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"/>
    </mc:Choice>
  </mc:AlternateContent>
  <xr:revisionPtr revIDLastSave="1361" documentId="8_{E116395F-23B1-4781-867C-818128799F0D}" xr6:coauthVersionLast="47" xr6:coauthVersionMax="47" xr10:uidLastSave="{DCC9C411-E8C2-48A6-8F00-9391C38FE49F}"/>
  <bookViews>
    <workbookView xWindow="-29115" yWindow="-16005" windowWidth="29040" windowHeight="15720" xr2:uid="{3C919C28-BF99-4E39-9BAE-CA645782308C}"/>
  </bookViews>
  <sheets>
    <sheet name="Sheet1" sheetId="7" r:id="rId1"/>
    <sheet name="To automate" sheetId="5" r:id="rId2"/>
    <sheet name="Full sheet Francesco" sheetId="6" r:id="rId3"/>
    <sheet name="AUM" sheetId="3" r:id="rId4"/>
    <sheet name="Index 14-01" sheetId="2" r:id="rId5"/>
    <sheet name="Old Sheet" sheetId="1" r:id="rId6"/>
  </sheets>
  <definedNames>
    <definedName name="_xlnm._FilterDatabase" localSheetId="4" hidden="1">'Index 14-01'!$A$1:$AF$1248</definedName>
    <definedName name="_xlnm._FilterDatabase" localSheetId="5" hidden="1">'Old Sheet'!$A$1:$G$305</definedName>
    <definedName name="_xlnm._FilterDatabase" localSheetId="0" hidden="1">Sheet1!$A$4:$I$31</definedName>
    <definedName name="_xlnm._FilterDatabase" localSheetId="1" hidden="1">'To automate'!$R$8:$T$313</definedName>
  </definedNames>
  <calcPr calcId="191029"/>
  <pivotCaches>
    <pivotCache cacheId="0" r:id="rId7"/>
    <pivotCache cacheId="1" r:id="rId8"/>
    <pivotCache cacheId="2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94" i="5" l="1"/>
  <c r="K193" i="5"/>
  <c r="K192" i="5"/>
  <c r="K191" i="5"/>
  <c r="K190" i="5"/>
  <c r="K189" i="5"/>
  <c r="K188" i="5"/>
  <c r="K187" i="5"/>
  <c r="K186" i="5"/>
  <c r="K185" i="5"/>
  <c r="K184" i="5"/>
  <c r="K183" i="5"/>
  <c r="K182" i="5"/>
  <c r="K181" i="5"/>
  <c r="K180" i="5"/>
  <c r="K179" i="5"/>
  <c r="K178" i="5"/>
  <c r="K177" i="5"/>
  <c r="K176" i="5"/>
  <c r="K175" i="5"/>
  <c r="K174" i="5"/>
  <c r="K173" i="5"/>
  <c r="K172" i="5"/>
  <c r="K171" i="5"/>
  <c r="K170" i="5"/>
  <c r="K169" i="5"/>
  <c r="K168" i="5"/>
  <c r="K167" i="5"/>
  <c r="K166" i="5"/>
  <c r="K165" i="5"/>
  <c r="K164" i="5"/>
  <c r="K163" i="5"/>
  <c r="K162" i="5"/>
  <c r="K161" i="5"/>
  <c r="K160" i="5"/>
  <c r="K159" i="5"/>
  <c r="K158" i="5"/>
  <c r="K157" i="5"/>
  <c r="K156" i="5"/>
  <c r="K155" i="5"/>
  <c r="K154" i="5"/>
  <c r="K153" i="5"/>
  <c r="K152" i="5"/>
  <c r="K151" i="5"/>
  <c r="K150" i="5"/>
  <c r="K149" i="5"/>
  <c r="K148" i="5"/>
  <c r="K147" i="5"/>
  <c r="K146" i="5"/>
  <c r="K145" i="5"/>
  <c r="K144" i="5"/>
  <c r="K143" i="5"/>
  <c r="K142" i="5"/>
  <c r="K141" i="5"/>
  <c r="K140" i="5"/>
  <c r="K139" i="5"/>
  <c r="K138" i="5"/>
  <c r="K137" i="5"/>
  <c r="K136" i="5"/>
  <c r="K135" i="5"/>
  <c r="K134" i="5"/>
  <c r="K133" i="5"/>
  <c r="K132" i="5"/>
  <c r="K131" i="5"/>
  <c r="K130" i="5"/>
  <c r="K129" i="5"/>
  <c r="K128" i="5"/>
  <c r="K127" i="5"/>
  <c r="K126" i="5"/>
  <c r="K125" i="5"/>
  <c r="K124" i="5"/>
  <c r="K123" i="5"/>
  <c r="K122" i="5"/>
  <c r="K121" i="5"/>
  <c r="K120" i="5"/>
  <c r="K119" i="5"/>
  <c r="K118" i="5"/>
  <c r="K117" i="5"/>
  <c r="K116" i="5"/>
  <c r="K115" i="5"/>
  <c r="K114" i="5"/>
  <c r="K113" i="5"/>
  <c r="K112" i="5"/>
  <c r="K111" i="5"/>
  <c r="K110" i="5"/>
  <c r="K109" i="5"/>
  <c r="K108" i="5"/>
  <c r="K107" i="5"/>
  <c r="K106" i="5"/>
  <c r="K105" i="5"/>
  <c r="K104" i="5"/>
  <c r="K103" i="5"/>
  <c r="K102" i="5"/>
  <c r="K101" i="5"/>
  <c r="K100" i="5"/>
  <c r="K99" i="5"/>
  <c r="K98" i="5"/>
  <c r="K97" i="5"/>
  <c r="K96" i="5"/>
  <c r="K95" i="5"/>
  <c r="K94" i="5"/>
  <c r="K93" i="5"/>
  <c r="K92" i="5"/>
  <c r="K91" i="5"/>
  <c r="K90" i="5"/>
  <c r="K89" i="5"/>
  <c r="K88" i="5"/>
  <c r="K87" i="5"/>
  <c r="K86" i="5"/>
  <c r="K85" i="5"/>
  <c r="K84" i="5"/>
  <c r="K83" i="5"/>
  <c r="K82" i="5"/>
  <c r="K81" i="5"/>
  <c r="K80" i="5"/>
  <c r="K79" i="5"/>
  <c r="K78" i="5"/>
  <c r="K77" i="5"/>
  <c r="K76" i="5"/>
  <c r="K75" i="5"/>
  <c r="K74" i="5"/>
  <c r="K73" i="5"/>
  <c r="K72" i="5"/>
  <c r="K71" i="5"/>
  <c r="K70" i="5"/>
  <c r="K69" i="5"/>
  <c r="K68" i="5"/>
  <c r="K67" i="5"/>
  <c r="K66" i="5"/>
  <c r="K65" i="5"/>
  <c r="K64" i="5"/>
  <c r="K63" i="5"/>
  <c r="K62" i="5"/>
  <c r="K61" i="5"/>
  <c r="K60" i="5"/>
  <c r="K59" i="5"/>
  <c r="K58" i="5"/>
  <c r="K57" i="5"/>
  <c r="K56" i="5"/>
  <c r="K55" i="5"/>
  <c r="K54" i="5"/>
  <c r="K53" i="5"/>
  <c r="K52" i="5"/>
  <c r="K51" i="5"/>
  <c r="K50" i="5"/>
  <c r="K49" i="5"/>
  <c r="K48" i="5"/>
  <c r="K47" i="5"/>
  <c r="K46" i="5"/>
  <c r="K45" i="5"/>
  <c r="K44" i="5"/>
  <c r="K43" i="5"/>
  <c r="K42" i="5"/>
  <c r="K41" i="5"/>
  <c r="K40" i="5"/>
  <c r="K39" i="5"/>
  <c r="K38" i="5"/>
  <c r="K37" i="5"/>
  <c r="K36" i="5"/>
  <c r="K35" i="5"/>
  <c r="K34" i="5"/>
  <c r="K33" i="5"/>
  <c r="K32" i="5"/>
  <c r="K31" i="5"/>
  <c r="K30" i="5"/>
  <c r="K29" i="5"/>
  <c r="K28" i="5"/>
  <c r="K27" i="5"/>
  <c r="K26" i="5"/>
  <c r="K25" i="5"/>
  <c r="K24" i="5"/>
  <c r="K23" i="5"/>
  <c r="K22" i="5"/>
  <c r="K21" i="5"/>
  <c r="K20" i="5"/>
  <c r="K19" i="5"/>
  <c r="K18" i="5"/>
  <c r="K17" i="5"/>
  <c r="K16" i="5"/>
  <c r="K15" i="5"/>
  <c r="K14" i="5"/>
  <c r="K13" i="5"/>
  <c r="K12" i="5"/>
  <c r="K11" i="5"/>
  <c r="K10" i="5"/>
  <c r="K9" i="5"/>
  <c r="K8" i="5"/>
  <c r="G1" i="5" l="1"/>
  <c r="G5" i="5" s="1"/>
  <c r="G3" i="5"/>
  <c r="G2" i="5"/>
  <c r="G4" i="5"/>
  <c r="H194" i="5"/>
  <c r="H193" i="5"/>
  <c r="H192" i="5"/>
  <c r="H191" i="5"/>
  <c r="H190" i="5"/>
  <c r="H189" i="5"/>
  <c r="H188" i="5"/>
  <c r="H187" i="5"/>
  <c r="H186" i="5"/>
  <c r="H185" i="5"/>
  <c r="H184" i="5"/>
  <c r="H183" i="5"/>
  <c r="H182" i="5"/>
  <c r="H181" i="5"/>
  <c r="H180" i="5"/>
  <c r="H179" i="5"/>
  <c r="H178" i="5"/>
  <c r="H177" i="5"/>
  <c r="H176" i="5"/>
  <c r="H175" i="5"/>
  <c r="H174" i="5"/>
  <c r="H173" i="5"/>
  <c r="H172" i="5"/>
  <c r="H171" i="5"/>
  <c r="H170" i="5"/>
  <c r="H169" i="5"/>
  <c r="H168" i="5"/>
  <c r="H167" i="5"/>
  <c r="H166" i="5"/>
  <c r="H165" i="5"/>
  <c r="H164" i="5"/>
  <c r="H163" i="5"/>
  <c r="H162" i="5"/>
  <c r="H161" i="5"/>
  <c r="H160" i="5"/>
  <c r="H159" i="5"/>
  <c r="H158" i="5"/>
  <c r="H157" i="5"/>
  <c r="H156" i="5"/>
  <c r="H155" i="5"/>
  <c r="H154" i="5"/>
  <c r="H153" i="5"/>
  <c r="H152" i="5"/>
  <c r="H151" i="5"/>
  <c r="H150" i="5"/>
  <c r="H149" i="5"/>
  <c r="H148" i="5"/>
  <c r="H147" i="5"/>
  <c r="H146" i="5"/>
  <c r="H145" i="5"/>
  <c r="H144" i="5"/>
  <c r="H143" i="5"/>
  <c r="H142" i="5"/>
  <c r="H141" i="5"/>
  <c r="H140" i="5"/>
  <c r="H139" i="5"/>
  <c r="H138" i="5"/>
  <c r="H137" i="5"/>
  <c r="H136" i="5"/>
  <c r="H135" i="5"/>
  <c r="H134" i="5"/>
  <c r="H133" i="5"/>
  <c r="H132" i="5"/>
  <c r="H131" i="5"/>
  <c r="H130" i="5"/>
  <c r="H129" i="5"/>
  <c r="H128" i="5"/>
  <c r="H127" i="5"/>
  <c r="H126" i="5"/>
  <c r="H125" i="5"/>
  <c r="H124" i="5"/>
  <c r="H123" i="5"/>
  <c r="H122" i="5"/>
  <c r="H121" i="5"/>
  <c r="H120" i="5"/>
  <c r="H119" i="5"/>
  <c r="H118" i="5"/>
  <c r="H117" i="5"/>
  <c r="H116" i="5"/>
  <c r="H115" i="5"/>
  <c r="H114" i="5"/>
  <c r="H113" i="5"/>
  <c r="H112" i="5"/>
  <c r="H111" i="5"/>
  <c r="H110" i="5"/>
  <c r="H109" i="5"/>
  <c r="H108" i="5"/>
  <c r="H107" i="5"/>
  <c r="H106" i="5"/>
  <c r="H105" i="5"/>
  <c r="H104" i="5"/>
  <c r="H103" i="5"/>
  <c r="H102" i="5"/>
  <c r="H101" i="5"/>
  <c r="H100" i="5"/>
  <c r="H99" i="5"/>
  <c r="H98" i="5"/>
  <c r="H97" i="5"/>
  <c r="H96" i="5"/>
  <c r="H95" i="5"/>
  <c r="H94" i="5"/>
  <c r="H93" i="5"/>
  <c r="H92" i="5"/>
  <c r="H91" i="5"/>
  <c r="H90" i="5"/>
  <c r="H89" i="5"/>
  <c r="H88" i="5"/>
  <c r="H87" i="5"/>
  <c r="H86" i="5"/>
  <c r="H85" i="5"/>
  <c r="H84" i="5"/>
  <c r="H83" i="5"/>
  <c r="H82" i="5"/>
  <c r="H81" i="5"/>
  <c r="H80" i="5"/>
  <c r="H79" i="5"/>
  <c r="H78" i="5"/>
  <c r="H77" i="5"/>
  <c r="H76" i="5"/>
  <c r="H75" i="5"/>
  <c r="H74" i="5"/>
  <c r="H73" i="5"/>
  <c r="H72" i="5"/>
  <c r="H71" i="5"/>
  <c r="H70" i="5"/>
  <c r="H69" i="5"/>
  <c r="H68" i="5"/>
  <c r="H67" i="5"/>
  <c r="H66" i="5"/>
  <c r="H65" i="5"/>
  <c r="H64" i="5"/>
  <c r="H63" i="5"/>
  <c r="H62" i="5"/>
  <c r="H61" i="5"/>
  <c r="H60" i="5"/>
  <c r="H59" i="5"/>
  <c r="H58" i="5"/>
  <c r="H57" i="5"/>
  <c r="H56" i="5"/>
  <c r="H55" i="5"/>
  <c r="H54" i="5"/>
  <c r="H53" i="5"/>
  <c r="H52" i="5"/>
  <c r="H51" i="5"/>
  <c r="H50" i="5"/>
  <c r="H49" i="5"/>
  <c r="H48" i="5"/>
  <c r="H47" i="5"/>
  <c r="H46" i="5"/>
  <c r="H45" i="5"/>
  <c r="H44" i="5"/>
  <c r="H43" i="5"/>
  <c r="H42" i="5"/>
  <c r="H41" i="5"/>
  <c r="H40" i="5"/>
  <c r="H39" i="5"/>
  <c r="H38" i="5"/>
  <c r="H37" i="5"/>
  <c r="H36" i="5"/>
  <c r="H35" i="5"/>
  <c r="H34" i="5"/>
  <c r="H33" i="5"/>
  <c r="H32" i="5"/>
  <c r="H31" i="5"/>
  <c r="H30" i="5"/>
  <c r="H29" i="5"/>
  <c r="H28" i="5"/>
  <c r="H27" i="5"/>
  <c r="H26" i="5"/>
  <c r="H25" i="5"/>
  <c r="H24" i="5"/>
  <c r="H23" i="5"/>
  <c r="H22" i="5"/>
  <c r="H21" i="5"/>
  <c r="H20" i="5"/>
  <c r="H19" i="5"/>
  <c r="H18" i="5"/>
  <c r="H17" i="5"/>
  <c r="H16" i="5"/>
  <c r="H15" i="5"/>
  <c r="H14" i="5"/>
  <c r="H13" i="5"/>
  <c r="H12" i="5"/>
  <c r="H11" i="5"/>
  <c r="H10" i="5"/>
  <c r="H9" i="5"/>
  <c r="H8" i="5"/>
  <c r="D228" i="1"/>
  <c r="D227" i="1"/>
  <c r="D226" i="1"/>
  <c r="D225" i="1"/>
  <c r="D224" i="1"/>
  <c r="D223" i="1"/>
  <c r="D222" i="1"/>
  <c r="D221" i="1"/>
  <c r="D220" i="1"/>
  <c r="D219" i="1"/>
  <c r="D218" i="1"/>
  <c r="D217" i="1"/>
  <c r="D6" i="1" l="1"/>
  <c r="D281" i="1"/>
  <c r="D280" i="1"/>
  <c r="D279" i="1"/>
  <c r="D278" i="1"/>
  <c r="D277" i="1"/>
  <c r="D276" i="1"/>
  <c r="D275" i="1"/>
  <c r="D274" i="1"/>
  <c r="D273" i="1"/>
  <c r="D272" i="1"/>
  <c r="D295" i="1" l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96" i="1"/>
  <c r="D297" i="1"/>
  <c r="D298" i="1"/>
  <c r="D299" i="1"/>
  <c r="D300" i="1"/>
  <c r="D301" i="1"/>
  <c r="D302" i="1"/>
  <c r="D303" i="1"/>
  <c r="D304" i="1"/>
  <c r="D305" i="1"/>
  <c r="D110" i="1" l="1"/>
  <c r="D111" i="1"/>
  <c r="D250" i="1"/>
  <c r="D4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2" i="1"/>
  <c r="D84" i="1"/>
  <c r="D85" i="1"/>
  <c r="D86" i="1"/>
  <c r="D87" i="1"/>
  <c r="D3" i="1"/>
  <c r="D88" i="1"/>
  <c r="D196" i="1"/>
  <c r="D197" i="1"/>
  <c r="D198" i="1"/>
  <c r="D199" i="1"/>
  <c r="D200" i="1"/>
  <c r="D89" i="1"/>
  <c r="D201" i="1"/>
  <c r="D202" i="1"/>
  <c r="D203" i="1"/>
  <c r="D204" i="1"/>
  <c r="D90" i="1"/>
  <c r="D91" i="1"/>
  <c r="D92" i="1"/>
  <c r="D229" i="1"/>
  <c r="D93" i="1"/>
  <c r="D94" i="1"/>
  <c r="D95" i="1"/>
  <c r="D96" i="1"/>
  <c r="D97" i="1"/>
  <c r="D230" i="1"/>
  <c r="D205" i="1"/>
  <c r="D206" i="1"/>
  <c r="D207" i="1"/>
  <c r="D208" i="1"/>
  <c r="D231" i="1"/>
  <c r="D232" i="1"/>
  <c r="D209" i="1"/>
  <c r="D210" i="1"/>
  <c r="D211" i="1"/>
  <c r="D233" i="1"/>
  <c r="D234" i="1"/>
  <c r="D235" i="1"/>
  <c r="D236" i="1"/>
  <c r="D98" i="1"/>
  <c r="D99" i="1"/>
  <c r="D237" i="1"/>
  <c r="D238" i="1"/>
  <c r="D100" i="1"/>
  <c r="D101" i="1"/>
  <c r="D239" i="1"/>
  <c r="D102" i="1"/>
  <c r="D240" i="1"/>
  <c r="D103" i="1"/>
  <c r="D241" i="1"/>
  <c r="D242" i="1"/>
  <c r="D104" i="1"/>
  <c r="D243" i="1"/>
  <c r="D105" i="1"/>
  <c r="D106" i="1"/>
  <c r="D244" i="1"/>
  <c r="D245" i="1"/>
  <c r="D107" i="1"/>
  <c r="D246" i="1"/>
  <c r="D247" i="1"/>
  <c r="D108" i="1"/>
  <c r="D248" i="1"/>
  <c r="D249" i="1"/>
  <c r="D109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270" i="1"/>
  <c r="D26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268" i="1"/>
  <c r="D267" i="1"/>
  <c r="D266" i="1"/>
  <c r="D216" i="1"/>
  <c r="D215" i="1"/>
  <c r="D122" i="1"/>
  <c r="D265" i="1"/>
  <c r="D214" i="1"/>
  <c r="D271" i="1"/>
  <c r="D264" i="1"/>
  <c r="D263" i="1"/>
  <c r="D262" i="1"/>
  <c r="D213" i="1"/>
  <c r="D261" i="1"/>
  <c r="D260" i="1"/>
  <c r="D259" i="1"/>
  <c r="D258" i="1"/>
  <c r="D257" i="1"/>
  <c r="D256" i="1"/>
  <c r="D255" i="1"/>
  <c r="D254" i="1"/>
  <c r="D253" i="1"/>
  <c r="D121" i="1"/>
  <c r="D120" i="1"/>
  <c r="D212" i="1"/>
  <c r="D252" i="1"/>
  <c r="D251" i="1"/>
  <c r="D119" i="1"/>
  <c r="D118" i="1"/>
  <c r="D117" i="1"/>
  <c r="D116" i="1"/>
  <c r="D115" i="1"/>
  <c r="D114" i="1"/>
  <c r="D113" i="1"/>
  <c r="D112" i="1"/>
  <c r="D5" i="1"/>
  <c r="D7" i="1"/>
  <c r="A7" i="1"/>
  <c r="A16" i="1"/>
  <c r="A206" i="1"/>
  <c r="A215" i="1"/>
  <c r="A246" i="1"/>
  <c r="A94" i="1"/>
  <c r="A39" i="1"/>
  <c r="A34" i="1"/>
  <c r="A28" i="1"/>
  <c r="A27" i="1"/>
  <c r="A38" i="1"/>
  <c r="A40" i="1"/>
  <c r="A254" i="1"/>
  <c r="A256" i="1"/>
  <c r="A257" i="1"/>
  <c r="A255" i="1"/>
  <c r="A115" i="1"/>
  <c r="A268" i="1"/>
  <c r="A98" i="1"/>
  <c r="A114" i="1"/>
  <c r="A241" i="1"/>
  <c r="A245" i="1"/>
  <c r="A262" i="1"/>
  <c r="A236" i="1"/>
  <c r="A235" i="1"/>
  <c r="A261" i="1"/>
  <c r="A260" i="1"/>
  <c r="A258" i="1"/>
  <c r="A244" i="1"/>
  <c r="A202" i="1"/>
  <c r="A203" i="1"/>
  <c r="A234" i="1"/>
  <c r="A104" i="1"/>
  <c r="A49" i="1"/>
  <c r="A50" i="1"/>
  <c r="A198" i="1"/>
  <c r="A51" i="1"/>
  <c r="A230" i="1"/>
  <c r="A249" i="1"/>
  <c r="A251" i="1"/>
  <c r="A267" i="1"/>
  <c r="A252" i="1"/>
  <c r="A4" i="1"/>
  <c r="A5" i="1"/>
  <c r="A44" i="1"/>
  <c r="A196" i="1"/>
  <c r="A269" i="1"/>
  <c r="A193" i="1"/>
  <c r="A53" i="1"/>
  <c r="A62" i="1"/>
  <c r="A63" i="1"/>
  <c r="A195" i="1"/>
  <c r="A65" i="1"/>
  <c r="A64" i="1"/>
  <c r="A48" i="1"/>
  <c r="A110" i="1"/>
  <c r="A84" i="1"/>
  <c r="A85" i="1"/>
  <c r="A109" i="1"/>
  <c r="A194" i="1"/>
  <c r="A2" i="1"/>
  <c r="A66" i="1"/>
  <c r="A263" i="1"/>
  <c r="A116" i="1"/>
  <c r="A105" i="1"/>
  <c r="A117" i="1"/>
  <c r="A70" i="1"/>
  <c r="A120" i="1"/>
  <c r="A121" i="1"/>
  <c r="A47" i="1"/>
  <c r="A107" i="1"/>
  <c r="A97" i="1"/>
  <c r="A112" i="1"/>
  <c r="A113" i="1"/>
  <c r="A138" i="1"/>
  <c r="A132" i="1"/>
  <c r="A129" i="1"/>
  <c r="A135" i="1"/>
  <c r="A126" i="1"/>
  <c r="A127" i="1"/>
  <c r="A128" i="1"/>
  <c r="A131" i="1"/>
  <c r="A136" i="1"/>
  <c r="A133" i="1"/>
  <c r="A123" i="1"/>
  <c r="A124" i="1"/>
  <c r="A134" i="1"/>
  <c r="A130" i="1"/>
  <c r="A125" i="1"/>
  <c r="A233" i="1"/>
  <c r="A232" i="1"/>
  <c r="A264" i="1"/>
  <c r="A271" i="1"/>
  <c r="A248" i="1"/>
  <c r="A211" i="1"/>
  <c r="A207" i="1"/>
  <c r="A208" i="1"/>
  <c r="A209" i="1"/>
  <c r="A205" i="1"/>
  <c r="A210" i="1"/>
  <c r="A212" i="1"/>
  <c r="A213" i="1"/>
  <c r="A204" i="1"/>
  <c r="A214" i="1"/>
  <c r="A240" i="1"/>
  <c r="A238" i="1"/>
  <c r="A265" i="1"/>
  <c r="A197" i="1"/>
  <c r="A243" i="1"/>
  <c r="A24" i="1"/>
  <c r="A26" i="1"/>
  <c r="A25" i="1"/>
  <c r="A8" i="1"/>
  <c r="A9" i="1"/>
  <c r="A200" i="1"/>
  <c r="A229" i="1"/>
  <c r="A79" i="1"/>
  <c r="A95" i="1"/>
  <c r="A201" i="1"/>
  <c r="A93" i="1"/>
  <c r="A99" i="1"/>
  <c r="A96" i="1"/>
  <c r="A86" i="1"/>
  <c r="A259" i="1"/>
  <c r="A250" i="1"/>
  <c r="A102" i="1"/>
  <c r="A106" i="1"/>
  <c r="A81" i="1"/>
  <c r="A103" i="1"/>
  <c r="A111" i="1"/>
  <c r="A101" i="1"/>
  <c r="A83" i="1"/>
  <c r="A77" i="1"/>
  <c r="A78" i="1"/>
  <c r="A100" i="1"/>
  <c r="A89" i="1"/>
  <c r="A82" i="1"/>
  <c r="A80" i="1"/>
  <c r="A75" i="1"/>
  <c r="A88" i="1"/>
  <c r="A87" i="1"/>
  <c r="A237" i="1"/>
  <c r="A239" i="1"/>
  <c r="A90" i="1"/>
  <c r="A91" i="1"/>
  <c r="A76" i="1"/>
  <c r="A20" i="1"/>
  <c r="A108" i="1"/>
  <c r="A242" i="1"/>
  <c r="A122" i="1"/>
  <c r="A3" i="1"/>
  <c r="A266" i="1"/>
  <c r="A216" i="1"/>
  <c r="A231" i="1"/>
  <c r="A92" i="1"/>
  <c r="A23" i="1"/>
  <c r="A253" i="1"/>
  <c r="A199" i="1"/>
  <c r="A155" i="1"/>
  <c r="A171" i="1"/>
  <c r="A170" i="1"/>
  <c r="A174" i="1"/>
  <c r="A151" i="1"/>
  <c r="A175" i="1"/>
  <c r="A177" i="1"/>
  <c r="A179" i="1"/>
  <c r="A173" i="1"/>
  <c r="A157" i="1"/>
  <c r="A140" i="1"/>
  <c r="A141" i="1"/>
  <c r="A159" i="1"/>
  <c r="A160" i="1"/>
  <c r="A167" i="1"/>
  <c r="A168" i="1"/>
  <c r="A169" i="1"/>
  <c r="A247" i="1"/>
  <c r="A161" i="1"/>
  <c r="A163" i="1"/>
  <c r="A165" i="1"/>
  <c r="A153" i="1"/>
  <c r="A154" i="1"/>
  <c r="A149" i="1"/>
  <c r="A152" i="1"/>
  <c r="A143" i="1"/>
  <c r="A150" i="1"/>
  <c r="A142" i="1"/>
  <c r="A144" i="1"/>
  <c r="A158" i="1"/>
  <c r="A139" i="1"/>
  <c r="A172" i="1"/>
  <c r="A156" i="1"/>
  <c r="A176" i="1"/>
  <c r="A178" i="1"/>
  <c r="A180" i="1"/>
  <c r="A164" i="1"/>
  <c r="A166" i="1"/>
  <c r="A162" i="1"/>
  <c r="A145" i="1"/>
  <c r="A148" i="1"/>
  <c r="A146" i="1"/>
  <c r="A147" i="1"/>
  <c r="A181" i="1"/>
  <c r="A187" i="1"/>
  <c r="A69" i="1"/>
  <c r="A68" i="1"/>
  <c r="A71" i="1"/>
  <c r="A67" i="1"/>
  <c r="A52" i="1"/>
  <c r="A11" i="1"/>
  <c r="A57" i="1"/>
  <c r="A54" i="1"/>
  <c r="A55" i="1"/>
  <c r="A59" i="1"/>
  <c r="A56" i="1"/>
  <c r="A73" i="1"/>
  <c r="A74" i="1"/>
  <c r="A58" i="1"/>
  <c r="A72" i="1"/>
  <c r="A119" i="1"/>
  <c r="A270" i="1"/>
  <c r="A137" i="1"/>
  <c r="A45" i="1"/>
  <c r="A13" i="1"/>
  <c r="A15" i="1"/>
  <c r="A46" i="1"/>
  <c r="A61" i="1"/>
  <c r="A182" i="1"/>
  <c r="A17" i="1"/>
  <c r="A60" i="1"/>
  <c r="A18" i="1"/>
  <c r="A19" i="1"/>
  <c r="A14" i="1"/>
  <c r="A29" i="1"/>
  <c r="A21" i="1"/>
  <c r="A22" i="1"/>
  <c r="A183" i="1"/>
  <c r="A189" i="1"/>
  <c r="A184" i="1"/>
  <c r="A185" i="1"/>
  <c r="A191" i="1"/>
  <c r="A192" i="1"/>
  <c r="A188" i="1"/>
  <c r="A190" i="1"/>
  <c r="A31" i="1"/>
  <c r="A43" i="1"/>
  <c r="A41" i="1"/>
  <c r="A35" i="1"/>
  <c r="A42" i="1"/>
  <c r="A36" i="1"/>
  <c r="A37" i="1"/>
  <c r="A30" i="1"/>
  <c r="A32" i="1"/>
  <c r="A10" i="1"/>
  <c r="A12" i="1"/>
  <c r="A118" i="1"/>
  <c r="A33" i="1"/>
  <c r="A186" i="1"/>
  <c r="AF1248" i="2"/>
  <c r="AF1247" i="2"/>
  <c r="AF1246" i="2"/>
  <c r="AF1245" i="2"/>
  <c r="AF1244" i="2"/>
  <c r="AF1243" i="2"/>
  <c r="AF1242" i="2"/>
  <c r="AF1241" i="2"/>
  <c r="AF1240" i="2"/>
  <c r="AF1239" i="2"/>
  <c r="AF1238" i="2"/>
  <c r="AF1237" i="2"/>
  <c r="AF1236" i="2"/>
  <c r="AF1235" i="2"/>
  <c r="AF1234" i="2"/>
  <c r="AF1233" i="2"/>
  <c r="AF1232" i="2"/>
  <c r="AF1231" i="2"/>
  <c r="AF1230" i="2"/>
  <c r="AF1229" i="2"/>
  <c r="AF1228" i="2"/>
  <c r="AF1227" i="2"/>
  <c r="AF1226" i="2"/>
  <c r="AF1225" i="2"/>
  <c r="AF1224" i="2"/>
  <c r="AF1223" i="2"/>
  <c r="AF1222" i="2"/>
  <c r="AF1221" i="2"/>
  <c r="AF1220" i="2"/>
  <c r="AF1219" i="2"/>
  <c r="AF1218" i="2"/>
  <c r="AF1217" i="2"/>
  <c r="AF1216" i="2"/>
  <c r="AF1215" i="2"/>
  <c r="AF1214" i="2"/>
  <c r="AF1213" i="2"/>
  <c r="AF1212" i="2"/>
  <c r="AF1211" i="2"/>
  <c r="AF1210" i="2"/>
  <c r="AF1209" i="2"/>
  <c r="AF1208" i="2"/>
  <c r="AF1207" i="2"/>
  <c r="AF1206" i="2"/>
  <c r="AF1205" i="2"/>
  <c r="AF1204" i="2"/>
  <c r="AF1203" i="2"/>
  <c r="AF1202" i="2"/>
  <c r="AF1201" i="2"/>
  <c r="AF1200" i="2"/>
  <c r="AF1199" i="2"/>
  <c r="AF1198" i="2"/>
  <c r="AF1197" i="2"/>
  <c r="AF1196" i="2"/>
  <c r="AF1195" i="2"/>
  <c r="AF1194" i="2"/>
  <c r="AF1193" i="2"/>
  <c r="AF1192" i="2"/>
  <c r="AF1191" i="2"/>
  <c r="AF1190" i="2"/>
  <c r="AF1189" i="2"/>
  <c r="AF1188" i="2"/>
  <c r="AF1187" i="2"/>
  <c r="AF1186" i="2"/>
  <c r="AF1185" i="2"/>
  <c r="AF1184" i="2"/>
  <c r="AF1183" i="2"/>
  <c r="AF1182" i="2"/>
  <c r="AF1181" i="2"/>
  <c r="AF1180" i="2"/>
  <c r="AF1179" i="2"/>
  <c r="AF1178" i="2"/>
  <c r="AF1177" i="2"/>
  <c r="AF1176" i="2"/>
  <c r="AF1175" i="2"/>
  <c r="AF1174" i="2"/>
  <c r="AF1173" i="2"/>
  <c r="AF1172" i="2"/>
  <c r="AF1171" i="2"/>
  <c r="AF1170" i="2"/>
  <c r="AF1169" i="2"/>
  <c r="AF1168" i="2"/>
  <c r="AF1167" i="2"/>
  <c r="AF1166" i="2"/>
  <c r="AF1165" i="2"/>
  <c r="AF1164" i="2"/>
  <c r="AF1163" i="2"/>
  <c r="AF1162" i="2"/>
  <c r="AF1161" i="2"/>
  <c r="AF1160" i="2"/>
  <c r="AF1159" i="2"/>
  <c r="AF1158" i="2"/>
  <c r="AF1157" i="2"/>
  <c r="AF1156" i="2"/>
  <c r="AF1155" i="2"/>
  <c r="AF1154" i="2"/>
  <c r="AF1153" i="2"/>
  <c r="AF1152" i="2"/>
  <c r="AF1151" i="2"/>
  <c r="AF1150" i="2"/>
  <c r="AF1149" i="2"/>
  <c r="AF1148" i="2"/>
  <c r="AF1147" i="2"/>
  <c r="AF1146" i="2"/>
  <c r="AF1145" i="2"/>
  <c r="AF1144" i="2"/>
  <c r="AF1143" i="2"/>
  <c r="AF1142" i="2"/>
  <c r="AF1141" i="2"/>
  <c r="AF1140" i="2"/>
  <c r="AF1139" i="2"/>
  <c r="AF1138" i="2"/>
  <c r="AF1137" i="2"/>
  <c r="AF1136" i="2"/>
  <c r="AF1135" i="2"/>
  <c r="AF1134" i="2"/>
  <c r="AF1133" i="2"/>
  <c r="AF1132" i="2"/>
  <c r="AF1131" i="2"/>
  <c r="AF1130" i="2"/>
  <c r="AF1129" i="2"/>
  <c r="AF1128" i="2"/>
  <c r="AF1127" i="2"/>
  <c r="AF1126" i="2"/>
  <c r="AF1125" i="2"/>
  <c r="AF1124" i="2"/>
  <c r="AF1123" i="2"/>
  <c r="AF1122" i="2"/>
  <c r="AF1121" i="2"/>
  <c r="AF1120" i="2"/>
  <c r="AF1119" i="2"/>
  <c r="AF1118" i="2"/>
  <c r="AF1117" i="2"/>
  <c r="AF1116" i="2"/>
  <c r="AF1115" i="2"/>
  <c r="AF1114" i="2"/>
  <c r="AF1113" i="2"/>
  <c r="AF1112" i="2"/>
  <c r="AF1111" i="2"/>
  <c r="AF1110" i="2"/>
  <c r="AF1109" i="2"/>
  <c r="AF1108" i="2"/>
  <c r="AF1107" i="2"/>
  <c r="AF1106" i="2"/>
  <c r="AF1105" i="2"/>
  <c r="AF1104" i="2"/>
  <c r="AF1103" i="2"/>
  <c r="AF1102" i="2"/>
  <c r="AF1101" i="2"/>
  <c r="AF1100" i="2"/>
  <c r="AF1099" i="2"/>
  <c r="AF1098" i="2"/>
  <c r="AF1097" i="2"/>
  <c r="AF1096" i="2"/>
  <c r="AF1095" i="2"/>
  <c r="AF1094" i="2"/>
  <c r="AF1093" i="2"/>
  <c r="AF1092" i="2"/>
  <c r="AF1091" i="2"/>
  <c r="AF1090" i="2"/>
  <c r="AF1089" i="2"/>
  <c r="AF1088" i="2"/>
  <c r="AF1087" i="2"/>
  <c r="AF1086" i="2"/>
  <c r="AF1085" i="2"/>
  <c r="AF1084" i="2"/>
  <c r="AF1083" i="2"/>
  <c r="AF1082" i="2"/>
  <c r="AF1081" i="2"/>
  <c r="AF1080" i="2"/>
  <c r="AF1079" i="2"/>
  <c r="AF1078" i="2"/>
  <c r="AF1077" i="2"/>
  <c r="AF1076" i="2"/>
  <c r="AF1075" i="2"/>
  <c r="AF1074" i="2"/>
  <c r="AF1073" i="2"/>
  <c r="AF1072" i="2"/>
  <c r="AF1071" i="2"/>
  <c r="AF1070" i="2"/>
  <c r="AF1069" i="2"/>
  <c r="AF1068" i="2"/>
  <c r="AF1067" i="2"/>
  <c r="AF1066" i="2"/>
  <c r="AF1065" i="2"/>
  <c r="AF1064" i="2"/>
  <c r="AF1063" i="2"/>
  <c r="AF1062" i="2"/>
  <c r="AF1061" i="2"/>
  <c r="AF1060" i="2"/>
  <c r="AF1059" i="2"/>
  <c r="AF1058" i="2"/>
  <c r="AF1057" i="2"/>
  <c r="AF1056" i="2"/>
  <c r="AF1055" i="2"/>
  <c r="AF1054" i="2"/>
  <c r="AF1053" i="2"/>
  <c r="AF1052" i="2"/>
  <c r="AF1051" i="2"/>
  <c r="AF1050" i="2"/>
  <c r="AF1049" i="2"/>
  <c r="AF1048" i="2"/>
  <c r="AF1047" i="2"/>
  <c r="AF1046" i="2"/>
  <c r="AF1045" i="2"/>
  <c r="AF1044" i="2"/>
  <c r="AF1043" i="2"/>
  <c r="AF1042" i="2"/>
  <c r="AF1041" i="2"/>
  <c r="AF1040" i="2"/>
  <c r="AF1039" i="2"/>
  <c r="AF1038" i="2"/>
  <c r="AF1037" i="2"/>
  <c r="AF1036" i="2"/>
  <c r="AF1035" i="2"/>
  <c r="AF1034" i="2"/>
  <c r="AF1033" i="2"/>
  <c r="AF1032" i="2"/>
  <c r="AF1031" i="2"/>
  <c r="AF1030" i="2"/>
  <c r="AF1029" i="2"/>
  <c r="AF1028" i="2"/>
  <c r="AF1027" i="2"/>
  <c r="AF1026" i="2"/>
  <c r="AF1025" i="2"/>
  <c r="AF1024" i="2"/>
  <c r="AF1023" i="2"/>
  <c r="AF1022" i="2"/>
  <c r="AF1021" i="2"/>
  <c r="AF1020" i="2"/>
  <c r="AF1019" i="2"/>
  <c r="AF1018" i="2"/>
  <c r="AF1017" i="2"/>
  <c r="AF1016" i="2"/>
  <c r="AF1015" i="2"/>
  <c r="AF1014" i="2"/>
  <c r="AF1013" i="2"/>
  <c r="AF1012" i="2"/>
  <c r="AF1011" i="2"/>
  <c r="AF1010" i="2"/>
  <c r="AF1009" i="2"/>
  <c r="AF1008" i="2"/>
  <c r="AF1007" i="2"/>
  <c r="AF1006" i="2"/>
  <c r="AF1005" i="2"/>
  <c r="AF1004" i="2"/>
  <c r="AF1003" i="2"/>
  <c r="AF1002" i="2"/>
  <c r="AF1001" i="2"/>
  <c r="AF1000" i="2"/>
  <c r="AF999" i="2"/>
  <c r="AF998" i="2"/>
  <c r="AF997" i="2"/>
  <c r="AF996" i="2"/>
  <c r="AF995" i="2"/>
  <c r="AF994" i="2"/>
  <c r="AF993" i="2"/>
  <c r="AF992" i="2"/>
  <c r="AF991" i="2"/>
  <c r="AF990" i="2"/>
  <c r="AF989" i="2"/>
  <c r="AF988" i="2"/>
  <c r="AF987" i="2"/>
  <c r="AF986" i="2"/>
  <c r="AF985" i="2"/>
  <c r="AF984" i="2"/>
  <c r="AF983" i="2"/>
  <c r="AF982" i="2"/>
  <c r="AF981" i="2"/>
  <c r="AF980" i="2"/>
  <c r="AF979" i="2"/>
  <c r="AF978" i="2"/>
  <c r="AF977" i="2"/>
  <c r="AF976" i="2"/>
  <c r="AF975" i="2"/>
  <c r="AF974" i="2"/>
  <c r="AF973" i="2"/>
  <c r="AF972" i="2"/>
  <c r="AF971" i="2"/>
  <c r="AF970" i="2"/>
  <c r="AF969" i="2"/>
  <c r="AF968" i="2"/>
  <c r="AF967" i="2"/>
  <c r="AF966" i="2"/>
  <c r="AF965" i="2"/>
  <c r="AF964" i="2"/>
  <c r="AF963" i="2"/>
  <c r="AF962" i="2"/>
  <c r="AF961" i="2"/>
  <c r="AF960" i="2"/>
  <c r="AF959" i="2"/>
  <c r="AF958" i="2"/>
  <c r="AF957" i="2"/>
  <c r="AF956" i="2"/>
  <c r="AF955" i="2"/>
  <c r="AF954" i="2"/>
  <c r="AF953" i="2"/>
  <c r="AF952" i="2"/>
  <c r="AF951" i="2"/>
  <c r="AF950" i="2"/>
  <c r="AF949" i="2"/>
  <c r="AF948" i="2"/>
  <c r="AF947" i="2"/>
  <c r="AF946" i="2"/>
  <c r="AF945" i="2"/>
  <c r="AF944" i="2"/>
  <c r="AF943" i="2"/>
  <c r="AF942" i="2"/>
  <c r="AF941" i="2"/>
  <c r="AF940" i="2"/>
  <c r="AF939" i="2"/>
  <c r="AF938" i="2"/>
  <c r="AF937" i="2"/>
  <c r="AF936" i="2"/>
  <c r="AF935" i="2"/>
  <c r="AF934" i="2"/>
  <c r="AF933" i="2"/>
  <c r="AF932" i="2"/>
  <c r="AF931" i="2"/>
  <c r="AF930" i="2"/>
  <c r="AF929" i="2"/>
  <c r="AF928" i="2"/>
  <c r="AF927" i="2"/>
  <c r="AF926" i="2"/>
  <c r="AF925" i="2"/>
  <c r="AF924" i="2"/>
  <c r="AF923" i="2"/>
  <c r="AF922" i="2"/>
  <c r="AF921" i="2"/>
  <c r="AF920" i="2"/>
  <c r="AF919" i="2"/>
  <c r="AF918" i="2"/>
  <c r="AF917" i="2"/>
  <c r="AF916" i="2"/>
  <c r="AF915" i="2"/>
  <c r="AF914" i="2"/>
  <c r="AF913" i="2"/>
  <c r="AF912" i="2"/>
  <c r="AF911" i="2"/>
  <c r="AF910" i="2"/>
  <c r="AF909" i="2"/>
  <c r="AF908" i="2"/>
  <c r="AF907" i="2"/>
  <c r="AF906" i="2"/>
  <c r="AF905" i="2"/>
  <c r="AF904" i="2"/>
  <c r="AF903" i="2"/>
  <c r="AF902" i="2"/>
  <c r="AF901" i="2"/>
  <c r="AF900" i="2"/>
  <c r="AF899" i="2"/>
  <c r="AF898" i="2"/>
  <c r="AF897" i="2"/>
  <c r="AF896" i="2"/>
  <c r="AF895" i="2"/>
  <c r="AF894" i="2"/>
  <c r="AF893" i="2"/>
  <c r="AF892" i="2"/>
  <c r="AF891" i="2"/>
  <c r="AF890" i="2"/>
  <c r="AF889" i="2"/>
  <c r="AF888" i="2"/>
  <c r="AF887" i="2"/>
  <c r="AF886" i="2"/>
  <c r="AF885" i="2"/>
  <c r="AF884" i="2"/>
  <c r="AF883" i="2"/>
  <c r="AF882" i="2"/>
  <c r="AF881" i="2"/>
  <c r="AF880" i="2"/>
  <c r="AF879" i="2"/>
  <c r="AF878" i="2"/>
  <c r="AF877" i="2"/>
  <c r="AF876" i="2"/>
  <c r="AF875" i="2"/>
  <c r="AF874" i="2"/>
  <c r="AF873" i="2"/>
  <c r="AF872" i="2"/>
  <c r="AF871" i="2"/>
  <c r="AF870" i="2"/>
  <c r="AF869" i="2"/>
  <c r="AF868" i="2"/>
  <c r="AF867" i="2"/>
  <c r="AF866" i="2"/>
  <c r="AF865" i="2"/>
  <c r="AF864" i="2"/>
  <c r="AF863" i="2"/>
  <c r="AF862" i="2"/>
  <c r="AF861" i="2"/>
  <c r="AF860" i="2"/>
  <c r="AF859" i="2"/>
  <c r="AF858" i="2"/>
  <c r="AF857" i="2"/>
  <c r="AF856" i="2"/>
  <c r="AF855" i="2"/>
  <c r="AF854" i="2"/>
  <c r="AF853" i="2"/>
  <c r="AF852" i="2"/>
  <c r="AF851" i="2"/>
  <c r="AF850" i="2"/>
  <c r="AF849" i="2"/>
  <c r="AF848" i="2"/>
  <c r="AF847" i="2"/>
  <c r="AF846" i="2"/>
  <c r="AF845" i="2"/>
  <c r="AF844" i="2"/>
  <c r="AF843" i="2"/>
  <c r="AF842" i="2"/>
  <c r="AF841" i="2"/>
  <c r="AF840" i="2"/>
  <c r="AF839" i="2"/>
  <c r="AF838" i="2"/>
  <c r="AF837" i="2"/>
  <c r="AF836" i="2"/>
  <c r="AF835" i="2"/>
  <c r="AF834" i="2"/>
  <c r="AF833" i="2"/>
  <c r="AF832" i="2"/>
  <c r="AF831" i="2"/>
  <c r="AF830" i="2"/>
  <c r="AF829" i="2"/>
  <c r="AF828" i="2"/>
  <c r="AF827" i="2"/>
  <c r="AF826" i="2"/>
  <c r="AF825" i="2"/>
  <c r="AF824" i="2"/>
  <c r="AF823" i="2"/>
  <c r="AF822" i="2"/>
  <c r="AF821" i="2"/>
  <c r="AF820" i="2"/>
  <c r="AF819" i="2"/>
  <c r="AF818" i="2"/>
  <c r="AF817" i="2"/>
  <c r="AF816" i="2"/>
  <c r="AF815" i="2"/>
  <c r="AF814" i="2"/>
  <c r="AF813" i="2"/>
  <c r="AF812" i="2"/>
  <c r="AF811" i="2"/>
  <c r="AF810" i="2"/>
  <c r="AF809" i="2"/>
  <c r="AF808" i="2"/>
  <c r="AF807" i="2"/>
  <c r="AF806" i="2"/>
  <c r="AF805" i="2"/>
  <c r="AF804" i="2"/>
  <c r="AF803" i="2"/>
  <c r="AF802" i="2"/>
  <c r="AF801" i="2"/>
  <c r="AF800" i="2"/>
  <c r="AF799" i="2"/>
  <c r="AF798" i="2"/>
  <c r="AF797" i="2"/>
  <c r="AF796" i="2"/>
  <c r="AF795" i="2"/>
  <c r="AF794" i="2"/>
  <c r="AF793" i="2"/>
  <c r="AF792" i="2"/>
  <c r="AF791" i="2"/>
  <c r="AF790" i="2"/>
  <c r="AF789" i="2"/>
  <c r="AF788" i="2"/>
  <c r="AF787" i="2"/>
  <c r="AF786" i="2"/>
  <c r="AF785" i="2"/>
  <c r="AF784" i="2"/>
  <c r="AF783" i="2"/>
  <c r="AF782" i="2"/>
  <c r="AF781" i="2"/>
  <c r="AF780" i="2"/>
  <c r="AF779" i="2"/>
  <c r="AF778" i="2"/>
  <c r="AF777" i="2"/>
  <c r="AF776" i="2"/>
  <c r="AF775" i="2"/>
  <c r="AF774" i="2"/>
  <c r="AF773" i="2"/>
  <c r="AF772" i="2"/>
  <c r="AF771" i="2"/>
  <c r="AF770" i="2"/>
  <c r="AF769" i="2"/>
  <c r="AF768" i="2"/>
  <c r="AF767" i="2"/>
  <c r="AF766" i="2"/>
  <c r="AF765" i="2"/>
  <c r="AF764" i="2"/>
  <c r="AF763" i="2"/>
  <c r="AF762" i="2"/>
  <c r="AF761" i="2"/>
  <c r="AF760" i="2"/>
  <c r="AF759" i="2"/>
  <c r="AF758" i="2"/>
  <c r="AF757" i="2"/>
  <c r="AF756" i="2"/>
  <c r="AF755" i="2"/>
  <c r="AF754" i="2"/>
  <c r="AF753" i="2"/>
  <c r="AF752" i="2"/>
  <c r="AF751" i="2"/>
  <c r="AF750" i="2"/>
  <c r="AF749" i="2"/>
  <c r="AF748" i="2"/>
  <c r="AF747" i="2"/>
  <c r="AF746" i="2"/>
  <c r="AF745" i="2"/>
  <c r="AF744" i="2"/>
  <c r="AF743" i="2"/>
  <c r="AF742" i="2"/>
  <c r="AF741" i="2"/>
  <c r="AF740" i="2"/>
  <c r="AF739" i="2"/>
  <c r="AF738" i="2"/>
  <c r="AF737" i="2"/>
  <c r="AF736" i="2"/>
  <c r="AF735" i="2"/>
  <c r="AF734" i="2"/>
  <c r="AF733" i="2"/>
  <c r="AF732" i="2"/>
  <c r="AF731" i="2"/>
  <c r="AF730" i="2"/>
  <c r="AF729" i="2"/>
  <c r="AF728" i="2"/>
  <c r="AF727" i="2"/>
  <c r="AF726" i="2"/>
  <c r="AF725" i="2"/>
  <c r="AF724" i="2"/>
  <c r="AF723" i="2"/>
  <c r="AF722" i="2"/>
  <c r="AF721" i="2"/>
  <c r="AF720" i="2"/>
  <c r="AF719" i="2"/>
  <c r="AF718" i="2"/>
  <c r="AF717" i="2"/>
  <c r="AF716" i="2"/>
  <c r="AF715" i="2"/>
  <c r="AF714" i="2"/>
  <c r="AF713" i="2"/>
  <c r="AF712" i="2"/>
  <c r="AF711" i="2"/>
  <c r="AF710" i="2"/>
  <c r="AF709" i="2"/>
  <c r="AF708" i="2"/>
  <c r="AF707" i="2"/>
  <c r="AF706" i="2"/>
  <c r="AF705" i="2"/>
  <c r="AF704" i="2"/>
  <c r="AF703" i="2"/>
  <c r="AF702" i="2"/>
  <c r="AF701" i="2"/>
  <c r="AF700" i="2"/>
  <c r="AF699" i="2"/>
  <c r="AF698" i="2"/>
  <c r="AF697" i="2"/>
  <c r="AF696" i="2"/>
  <c r="AF695" i="2"/>
  <c r="AF694" i="2"/>
  <c r="AF693" i="2"/>
  <c r="AF692" i="2"/>
  <c r="AF691" i="2"/>
  <c r="AF690" i="2"/>
  <c r="AF689" i="2"/>
  <c r="AF688" i="2"/>
  <c r="AF687" i="2"/>
  <c r="AF686" i="2"/>
  <c r="AF685" i="2"/>
  <c r="AF684" i="2"/>
  <c r="AF683" i="2"/>
  <c r="AF682" i="2"/>
  <c r="AF681" i="2"/>
  <c r="AF680" i="2"/>
  <c r="AF679" i="2"/>
  <c r="AF678" i="2"/>
  <c r="AF677" i="2"/>
  <c r="AF676" i="2"/>
  <c r="AF675" i="2"/>
  <c r="AF674" i="2"/>
  <c r="AF673" i="2"/>
  <c r="AF672" i="2"/>
  <c r="AF671" i="2"/>
  <c r="AF670" i="2"/>
  <c r="AF669" i="2"/>
  <c r="AF668" i="2"/>
  <c r="AF667" i="2"/>
  <c r="AF666" i="2"/>
  <c r="AF665" i="2"/>
  <c r="AF664" i="2"/>
  <c r="AF663" i="2"/>
  <c r="AF662" i="2"/>
  <c r="AF661" i="2"/>
  <c r="AF660" i="2"/>
  <c r="AF659" i="2"/>
  <c r="AF658" i="2"/>
  <c r="AF657" i="2"/>
  <c r="AF656" i="2"/>
  <c r="AF655" i="2"/>
  <c r="AF654" i="2"/>
  <c r="AF653" i="2"/>
  <c r="AF652" i="2"/>
  <c r="AF651" i="2"/>
  <c r="AF650" i="2"/>
  <c r="AF649" i="2"/>
  <c r="AF648" i="2"/>
  <c r="AF647" i="2"/>
  <c r="AF646" i="2"/>
  <c r="AF645" i="2"/>
  <c r="AF644" i="2"/>
  <c r="AF643" i="2"/>
  <c r="AF642" i="2"/>
  <c r="AF641" i="2"/>
  <c r="AF640" i="2"/>
  <c r="AF639" i="2"/>
  <c r="AF638" i="2"/>
  <c r="AF637" i="2"/>
  <c r="AF636" i="2"/>
  <c r="AF635" i="2"/>
  <c r="AF634" i="2"/>
  <c r="AF633" i="2"/>
  <c r="AF632" i="2"/>
  <c r="AF631" i="2"/>
  <c r="AF630" i="2"/>
  <c r="AF629" i="2"/>
  <c r="AF628" i="2"/>
  <c r="AF627" i="2"/>
  <c r="AF626" i="2"/>
  <c r="AF625" i="2"/>
  <c r="AF624" i="2"/>
  <c r="AF623" i="2"/>
  <c r="AF622" i="2"/>
  <c r="AF621" i="2"/>
  <c r="AF620" i="2"/>
  <c r="AF619" i="2"/>
  <c r="AF618" i="2"/>
  <c r="AF617" i="2"/>
  <c r="AF616" i="2"/>
  <c r="AF615" i="2"/>
  <c r="AF614" i="2"/>
  <c r="AF613" i="2"/>
  <c r="AF612" i="2"/>
  <c r="AF611" i="2"/>
  <c r="AF610" i="2"/>
  <c r="AF609" i="2"/>
  <c r="AF608" i="2"/>
  <c r="AF607" i="2"/>
  <c r="AF606" i="2"/>
  <c r="AF605" i="2"/>
  <c r="AF604" i="2"/>
  <c r="AF603" i="2"/>
  <c r="AF602" i="2"/>
  <c r="AF601" i="2"/>
  <c r="AF600" i="2"/>
  <c r="AF599" i="2"/>
  <c r="AF598" i="2"/>
  <c r="AF597" i="2"/>
  <c r="AF596" i="2"/>
  <c r="AF595" i="2"/>
  <c r="AF594" i="2"/>
  <c r="AF593" i="2"/>
  <c r="AF592" i="2"/>
  <c r="AF591" i="2"/>
  <c r="AF590" i="2"/>
  <c r="AF589" i="2"/>
  <c r="AF588" i="2"/>
  <c r="AF587" i="2"/>
  <c r="AF586" i="2"/>
  <c r="AF585" i="2"/>
  <c r="AF584" i="2"/>
  <c r="AF583" i="2"/>
  <c r="AF582" i="2"/>
  <c r="AF581" i="2"/>
  <c r="AF580" i="2"/>
  <c r="AF579" i="2"/>
  <c r="AF578" i="2"/>
  <c r="AF577" i="2"/>
  <c r="AF576" i="2"/>
  <c r="AF575" i="2"/>
  <c r="AF574" i="2"/>
  <c r="AF573" i="2"/>
  <c r="AF572" i="2"/>
  <c r="AF571" i="2"/>
  <c r="AF570" i="2"/>
  <c r="AF569" i="2"/>
  <c r="AF568" i="2"/>
  <c r="AF567" i="2"/>
  <c r="AF566" i="2"/>
  <c r="AF565" i="2"/>
  <c r="AF564" i="2"/>
  <c r="AF563" i="2"/>
  <c r="AF562" i="2"/>
  <c r="AF561" i="2"/>
  <c r="AF560" i="2"/>
  <c r="AF559" i="2"/>
  <c r="AF558" i="2"/>
  <c r="AF557" i="2"/>
  <c r="AF556" i="2"/>
  <c r="AF555" i="2"/>
  <c r="AF554" i="2"/>
  <c r="AF553" i="2"/>
  <c r="AF552" i="2"/>
  <c r="AF551" i="2"/>
  <c r="AF550" i="2"/>
  <c r="AF549" i="2"/>
  <c r="AF548" i="2"/>
  <c r="AF547" i="2"/>
  <c r="AF546" i="2"/>
  <c r="AF545" i="2"/>
  <c r="AF544" i="2"/>
  <c r="AF543" i="2"/>
  <c r="AF542" i="2"/>
  <c r="AF541" i="2"/>
  <c r="AF540" i="2"/>
  <c r="AF539" i="2"/>
  <c r="AF538" i="2"/>
  <c r="AF537" i="2"/>
  <c r="AF536" i="2"/>
  <c r="AF535" i="2"/>
  <c r="AF534" i="2"/>
  <c r="AF533" i="2"/>
  <c r="AF532" i="2"/>
  <c r="AF531" i="2"/>
  <c r="AF530" i="2"/>
  <c r="AF529" i="2"/>
  <c r="AF528" i="2"/>
  <c r="AF527" i="2"/>
  <c r="AF526" i="2"/>
  <c r="AF525" i="2"/>
  <c r="AF524" i="2"/>
  <c r="AF523" i="2"/>
  <c r="AF522" i="2"/>
  <c r="AF521" i="2"/>
  <c r="AF520" i="2"/>
  <c r="AF519" i="2"/>
  <c r="AF518" i="2"/>
  <c r="AF517" i="2"/>
  <c r="AF516" i="2"/>
  <c r="AF515" i="2"/>
  <c r="AF514" i="2"/>
  <c r="AF513" i="2"/>
  <c r="AF512" i="2"/>
  <c r="AF511" i="2"/>
  <c r="AF510" i="2"/>
  <c r="AF509" i="2"/>
  <c r="AF508" i="2"/>
  <c r="AF507" i="2"/>
  <c r="AF506" i="2"/>
  <c r="AF505" i="2"/>
  <c r="AF504" i="2"/>
  <c r="AF503" i="2"/>
  <c r="AF502" i="2"/>
  <c r="AF501" i="2"/>
  <c r="AF500" i="2"/>
  <c r="AF499" i="2"/>
  <c r="AF498" i="2"/>
  <c r="AF497" i="2"/>
  <c r="AF496" i="2"/>
  <c r="AF495" i="2"/>
  <c r="AF494" i="2"/>
  <c r="AF493" i="2"/>
  <c r="AF492" i="2"/>
  <c r="AF491" i="2"/>
  <c r="AF490" i="2"/>
  <c r="AF489" i="2"/>
  <c r="AF488" i="2"/>
  <c r="AF487" i="2"/>
  <c r="AF486" i="2"/>
  <c r="AF485" i="2"/>
  <c r="AF484" i="2"/>
  <c r="AF483" i="2"/>
  <c r="AF482" i="2"/>
  <c r="AF481" i="2"/>
  <c r="AF480" i="2"/>
  <c r="AF479" i="2"/>
  <c r="AF478" i="2"/>
  <c r="AF477" i="2"/>
  <c r="AF476" i="2"/>
  <c r="AF475" i="2"/>
  <c r="AF474" i="2"/>
  <c r="AF473" i="2"/>
  <c r="AF472" i="2"/>
  <c r="AF471" i="2"/>
  <c r="AF470" i="2"/>
  <c r="AF469" i="2"/>
  <c r="AF468" i="2"/>
  <c r="AF467" i="2"/>
  <c r="AF466" i="2"/>
  <c r="AF465" i="2"/>
  <c r="AF464" i="2"/>
  <c r="AF463" i="2"/>
  <c r="AF462" i="2"/>
  <c r="AF461" i="2"/>
  <c r="AF460" i="2"/>
  <c r="AF459" i="2"/>
  <c r="AF458" i="2"/>
  <c r="AF457" i="2"/>
  <c r="AF456" i="2"/>
  <c r="AF455" i="2"/>
  <c r="AF454" i="2"/>
  <c r="AF453" i="2"/>
  <c r="AF452" i="2"/>
  <c r="AF451" i="2"/>
  <c r="AF450" i="2"/>
  <c r="AF449" i="2"/>
  <c r="AF448" i="2"/>
  <c r="AF447" i="2"/>
  <c r="AF446" i="2"/>
  <c r="AF445" i="2"/>
  <c r="AF444" i="2"/>
  <c r="AF443" i="2"/>
  <c r="AF442" i="2"/>
  <c r="AF441" i="2"/>
  <c r="AF440" i="2"/>
  <c r="AF439" i="2"/>
  <c r="AF438" i="2"/>
  <c r="AF437" i="2"/>
  <c r="AF436" i="2"/>
  <c r="AF435" i="2"/>
  <c r="AF434" i="2"/>
  <c r="AF433" i="2"/>
  <c r="AF432" i="2"/>
  <c r="AF431" i="2"/>
  <c r="AF430" i="2"/>
  <c r="AF429" i="2"/>
  <c r="AF428" i="2"/>
  <c r="AF427" i="2"/>
  <c r="AF426" i="2"/>
  <c r="AF425" i="2"/>
  <c r="AF424" i="2"/>
  <c r="AF423" i="2"/>
  <c r="AF422" i="2"/>
  <c r="AF421" i="2"/>
  <c r="AF420" i="2"/>
  <c r="AF419" i="2"/>
  <c r="AF418" i="2"/>
  <c r="AF417" i="2"/>
  <c r="AF416" i="2"/>
  <c r="AF415" i="2"/>
  <c r="AF414" i="2"/>
  <c r="AF413" i="2"/>
  <c r="AF412" i="2"/>
  <c r="AF411" i="2"/>
  <c r="AF410" i="2"/>
  <c r="AF409" i="2"/>
  <c r="AF408" i="2"/>
  <c r="AF407" i="2"/>
  <c r="AF406" i="2"/>
  <c r="AF405" i="2"/>
  <c r="AF404" i="2"/>
  <c r="AF403" i="2"/>
  <c r="AF402" i="2"/>
  <c r="AF401" i="2"/>
  <c r="AF400" i="2"/>
  <c r="AF399" i="2"/>
  <c r="AF398" i="2"/>
  <c r="AF397" i="2"/>
  <c r="AF396" i="2"/>
  <c r="AF395" i="2"/>
  <c r="AF394" i="2"/>
  <c r="AF393" i="2"/>
  <c r="AF392" i="2"/>
  <c r="AF391" i="2"/>
  <c r="AF390" i="2"/>
  <c r="AF389" i="2"/>
  <c r="AF388" i="2"/>
  <c r="AF387" i="2"/>
  <c r="AF386" i="2"/>
  <c r="AF385" i="2"/>
  <c r="AF384" i="2"/>
  <c r="AF383" i="2"/>
  <c r="AF382" i="2"/>
  <c r="AF381" i="2"/>
  <c r="AF380" i="2"/>
  <c r="AF379" i="2"/>
  <c r="AF378" i="2"/>
  <c r="AF377" i="2"/>
  <c r="AF376" i="2"/>
  <c r="AF375" i="2"/>
  <c r="AF374" i="2"/>
  <c r="AF373" i="2"/>
  <c r="AF372" i="2"/>
  <c r="AF371" i="2"/>
  <c r="AF370" i="2"/>
  <c r="AF369" i="2"/>
  <c r="AF368" i="2"/>
  <c r="AF367" i="2"/>
  <c r="AF366" i="2"/>
  <c r="AF365" i="2"/>
  <c r="AF364" i="2"/>
  <c r="AF363" i="2"/>
  <c r="AF362" i="2"/>
  <c r="AF361" i="2"/>
  <c r="AF360" i="2"/>
  <c r="AF359" i="2"/>
  <c r="AF358" i="2"/>
  <c r="AF357" i="2"/>
  <c r="AF356" i="2"/>
  <c r="AF355" i="2"/>
  <c r="AF354" i="2"/>
  <c r="AF353" i="2"/>
  <c r="AF352" i="2"/>
  <c r="AF351" i="2"/>
  <c r="AF350" i="2"/>
  <c r="AF349" i="2"/>
  <c r="AF348" i="2"/>
  <c r="AF347" i="2"/>
  <c r="AF346" i="2"/>
  <c r="AF345" i="2"/>
  <c r="AF344" i="2"/>
  <c r="AF343" i="2"/>
  <c r="AF342" i="2"/>
  <c r="AF341" i="2"/>
  <c r="AF340" i="2"/>
  <c r="AF339" i="2"/>
  <c r="AF338" i="2"/>
  <c r="AF337" i="2"/>
  <c r="AF336" i="2"/>
  <c r="AF335" i="2"/>
  <c r="AF334" i="2"/>
  <c r="AF333" i="2"/>
  <c r="AF332" i="2"/>
  <c r="AF331" i="2"/>
  <c r="AF330" i="2"/>
  <c r="AF329" i="2"/>
  <c r="AF328" i="2"/>
  <c r="AF327" i="2"/>
  <c r="AF326" i="2"/>
  <c r="AF325" i="2"/>
  <c r="AF324" i="2"/>
  <c r="AF323" i="2"/>
  <c r="AF322" i="2"/>
  <c r="AF321" i="2"/>
  <c r="AF320" i="2"/>
  <c r="AF319" i="2"/>
  <c r="AF318" i="2"/>
  <c r="AF317" i="2"/>
  <c r="AF316" i="2"/>
  <c r="AF315" i="2"/>
  <c r="AF314" i="2"/>
  <c r="AF313" i="2"/>
  <c r="AF312" i="2"/>
  <c r="AF311" i="2"/>
  <c r="AF310" i="2"/>
  <c r="AF309" i="2"/>
  <c r="AF308" i="2"/>
  <c r="AF307" i="2"/>
  <c r="AF306" i="2"/>
  <c r="AF305" i="2"/>
  <c r="AF304" i="2"/>
  <c r="AF303" i="2"/>
  <c r="AF302" i="2"/>
  <c r="AF301" i="2"/>
  <c r="AF300" i="2"/>
  <c r="AF299" i="2"/>
  <c r="AF298" i="2"/>
  <c r="AF297" i="2"/>
  <c r="AF296" i="2"/>
  <c r="AF295" i="2"/>
  <c r="AF294" i="2"/>
  <c r="AF293" i="2"/>
  <c r="AF292" i="2"/>
  <c r="AF291" i="2"/>
  <c r="AF290" i="2"/>
  <c r="AF289" i="2"/>
  <c r="AF288" i="2"/>
  <c r="AF287" i="2"/>
  <c r="AF286" i="2"/>
  <c r="AF285" i="2"/>
  <c r="AF284" i="2"/>
  <c r="AF283" i="2"/>
  <c r="AF282" i="2"/>
  <c r="AF281" i="2"/>
  <c r="AF280" i="2"/>
  <c r="AF279" i="2"/>
  <c r="AF278" i="2"/>
  <c r="AF277" i="2"/>
  <c r="AF276" i="2"/>
  <c r="AF275" i="2"/>
  <c r="AF274" i="2"/>
  <c r="AF273" i="2"/>
  <c r="AF272" i="2"/>
  <c r="AF271" i="2"/>
  <c r="AF270" i="2"/>
  <c r="AF269" i="2"/>
  <c r="AF268" i="2"/>
  <c r="AF267" i="2"/>
  <c r="AF266" i="2"/>
  <c r="AF265" i="2"/>
  <c r="AF264" i="2"/>
  <c r="AF263" i="2"/>
  <c r="AF262" i="2"/>
  <c r="AF261" i="2"/>
  <c r="AF260" i="2"/>
  <c r="AF259" i="2"/>
  <c r="AF258" i="2"/>
  <c r="AF257" i="2"/>
  <c r="AF256" i="2"/>
  <c r="AF255" i="2"/>
  <c r="AF254" i="2"/>
  <c r="AF253" i="2"/>
  <c r="AF252" i="2"/>
  <c r="AF251" i="2"/>
  <c r="AF250" i="2"/>
  <c r="AF249" i="2"/>
  <c r="AF248" i="2"/>
  <c r="AF247" i="2"/>
  <c r="AF246" i="2"/>
  <c r="AF245" i="2"/>
  <c r="AF244" i="2"/>
  <c r="AF243" i="2"/>
  <c r="AF242" i="2"/>
  <c r="AF241" i="2"/>
  <c r="AF240" i="2"/>
  <c r="AF239" i="2"/>
  <c r="AF238" i="2"/>
  <c r="AF237" i="2"/>
  <c r="AF236" i="2"/>
  <c r="AF235" i="2"/>
  <c r="AF234" i="2"/>
  <c r="AF233" i="2"/>
  <c r="AF232" i="2"/>
  <c r="AF231" i="2"/>
  <c r="AF230" i="2"/>
  <c r="AF229" i="2"/>
  <c r="AF228" i="2"/>
  <c r="AF227" i="2"/>
  <c r="AF226" i="2"/>
  <c r="AF225" i="2"/>
  <c r="AF224" i="2"/>
  <c r="AF223" i="2"/>
  <c r="AF222" i="2"/>
  <c r="AF221" i="2"/>
  <c r="AF220" i="2"/>
  <c r="AF219" i="2"/>
  <c r="AF218" i="2"/>
  <c r="AF217" i="2"/>
  <c r="AF216" i="2"/>
  <c r="AF215" i="2"/>
  <c r="AF214" i="2"/>
  <c r="AF213" i="2"/>
  <c r="AF212" i="2"/>
  <c r="AF211" i="2"/>
  <c r="AF210" i="2"/>
  <c r="AF209" i="2"/>
  <c r="AF208" i="2"/>
  <c r="AF207" i="2"/>
  <c r="AF206" i="2"/>
  <c r="AF205" i="2"/>
  <c r="AF204" i="2"/>
  <c r="AF203" i="2"/>
  <c r="AF202" i="2"/>
  <c r="AF201" i="2"/>
  <c r="AF200" i="2"/>
  <c r="AF199" i="2"/>
  <c r="AF198" i="2"/>
  <c r="AF197" i="2"/>
  <c r="AF196" i="2"/>
  <c r="AF195" i="2"/>
  <c r="AF194" i="2"/>
  <c r="AF193" i="2"/>
  <c r="AF192" i="2"/>
  <c r="AF191" i="2"/>
  <c r="AF190" i="2"/>
  <c r="AF189" i="2"/>
  <c r="AF188" i="2"/>
  <c r="AF187" i="2"/>
  <c r="AF186" i="2"/>
  <c r="AF185" i="2"/>
  <c r="AF184" i="2"/>
  <c r="AF183" i="2"/>
  <c r="AF182" i="2"/>
  <c r="AF181" i="2"/>
  <c r="AF180" i="2"/>
  <c r="AF179" i="2"/>
  <c r="AF178" i="2"/>
  <c r="AF177" i="2"/>
  <c r="AF176" i="2"/>
  <c r="AF175" i="2"/>
  <c r="AF174" i="2"/>
  <c r="AF173" i="2"/>
  <c r="AF172" i="2"/>
  <c r="AF171" i="2"/>
  <c r="AF170" i="2"/>
  <c r="AF169" i="2"/>
  <c r="AF168" i="2"/>
  <c r="AF167" i="2"/>
  <c r="AF166" i="2"/>
  <c r="AF165" i="2"/>
  <c r="AF164" i="2"/>
  <c r="AF163" i="2"/>
  <c r="AF162" i="2"/>
  <c r="AF161" i="2"/>
  <c r="AF160" i="2"/>
  <c r="AF159" i="2"/>
  <c r="AF158" i="2"/>
  <c r="AF157" i="2"/>
  <c r="AF156" i="2"/>
  <c r="AF155" i="2"/>
  <c r="AF154" i="2"/>
  <c r="AF153" i="2"/>
  <c r="AF152" i="2"/>
  <c r="AF151" i="2"/>
  <c r="AF150" i="2"/>
  <c r="AF149" i="2"/>
  <c r="AF148" i="2"/>
  <c r="AF147" i="2"/>
  <c r="AF146" i="2"/>
  <c r="AF145" i="2"/>
  <c r="AF144" i="2"/>
  <c r="AF143" i="2"/>
  <c r="AF142" i="2"/>
  <c r="AF141" i="2"/>
  <c r="AF140" i="2"/>
  <c r="AF139" i="2"/>
  <c r="AF138" i="2"/>
  <c r="AF137" i="2"/>
  <c r="AF136" i="2"/>
  <c r="AF135" i="2"/>
  <c r="AF134" i="2"/>
  <c r="AF133" i="2"/>
  <c r="AF132" i="2"/>
  <c r="AF131" i="2"/>
  <c r="AF130" i="2"/>
  <c r="AF129" i="2"/>
  <c r="AF128" i="2"/>
  <c r="AF127" i="2"/>
  <c r="AF126" i="2"/>
  <c r="AF125" i="2"/>
  <c r="AF124" i="2"/>
  <c r="AF123" i="2"/>
  <c r="AF122" i="2"/>
  <c r="AF121" i="2"/>
  <c r="AF120" i="2"/>
  <c r="AF119" i="2"/>
  <c r="AF118" i="2"/>
  <c r="AF117" i="2"/>
  <c r="AF116" i="2"/>
  <c r="AF115" i="2"/>
  <c r="AF114" i="2"/>
  <c r="AF113" i="2"/>
  <c r="AF112" i="2"/>
  <c r="AF111" i="2"/>
  <c r="AF110" i="2"/>
  <c r="AF109" i="2"/>
  <c r="AF108" i="2"/>
  <c r="AF107" i="2"/>
  <c r="AF106" i="2"/>
  <c r="AF105" i="2"/>
  <c r="AF104" i="2"/>
  <c r="AF103" i="2"/>
  <c r="AF102" i="2"/>
  <c r="AF101" i="2"/>
  <c r="AF100" i="2"/>
  <c r="AF99" i="2"/>
  <c r="AF98" i="2"/>
  <c r="AF97" i="2"/>
  <c r="AF96" i="2"/>
  <c r="AF95" i="2"/>
  <c r="AF94" i="2"/>
  <c r="AF93" i="2"/>
  <c r="AF92" i="2"/>
  <c r="AF91" i="2"/>
  <c r="AF90" i="2"/>
  <c r="AF89" i="2"/>
  <c r="AF88" i="2"/>
  <c r="AF87" i="2"/>
  <c r="AF86" i="2"/>
  <c r="AF85" i="2"/>
  <c r="AF84" i="2"/>
  <c r="AF83" i="2"/>
  <c r="AF82" i="2"/>
  <c r="AF81" i="2"/>
  <c r="AF80" i="2"/>
  <c r="AF79" i="2"/>
  <c r="AF78" i="2"/>
  <c r="AF77" i="2"/>
  <c r="AF76" i="2"/>
  <c r="AF75" i="2"/>
  <c r="AF74" i="2"/>
  <c r="AF73" i="2"/>
  <c r="AF72" i="2"/>
  <c r="AF71" i="2"/>
  <c r="AF70" i="2"/>
  <c r="AF69" i="2"/>
  <c r="AF68" i="2"/>
  <c r="AF67" i="2"/>
  <c r="AF66" i="2"/>
  <c r="AF65" i="2"/>
  <c r="AF64" i="2"/>
  <c r="AF63" i="2"/>
  <c r="AF62" i="2"/>
  <c r="AF61" i="2"/>
  <c r="AF60" i="2"/>
  <c r="AF59" i="2"/>
  <c r="AF58" i="2"/>
  <c r="AF57" i="2"/>
  <c r="AF56" i="2"/>
  <c r="AF55" i="2"/>
  <c r="AF54" i="2"/>
  <c r="AF53" i="2"/>
  <c r="AF52" i="2"/>
  <c r="AF51" i="2"/>
  <c r="AF50" i="2"/>
  <c r="AF49" i="2"/>
  <c r="AF48" i="2"/>
  <c r="AF47" i="2"/>
  <c r="AF46" i="2"/>
  <c r="AF45" i="2"/>
  <c r="AF44" i="2"/>
  <c r="AF43" i="2"/>
  <c r="AF42" i="2"/>
  <c r="AF41" i="2"/>
  <c r="AF40" i="2"/>
  <c r="AF39" i="2"/>
  <c r="AF38" i="2"/>
  <c r="AF37" i="2"/>
  <c r="AF36" i="2"/>
  <c r="AF35" i="2"/>
  <c r="AF34" i="2"/>
  <c r="AF33" i="2"/>
  <c r="AF32" i="2"/>
  <c r="AF31" i="2"/>
  <c r="AF30" i="2"/>
  <c r="AF29" i="2"/>
  <c r="AF28" i="2"/>
  <c r="AF27" i="2"/>
  <c r="AF26" i="2"/>
  <c r="AF25" i="2"/>
  <c r="AF24" i="2"/>
  <c r="AF23" i="2"/>
  <c r="AF22" i="2"/>
  <c r="AF21" i="2"/>
  <c r="AF20" i="2"/>
  <c r="AF19" i="2"/>
  <c r="AF18" i="2"/>
  <c r="AF17" i="2"/>
  <c r="AF16" i="2"/>
  <c r="AF15" i="2"/>
  <c r="AF14" i="2"/>
  <c r="AF13" i="2"/>
  <c r="AF12" i="2"/>
  <c r="AF11" i="2"/>
  <c r="AF10" i="2"/>
  <c r="AF9" i="2"/>
  <c r="AF8" i="2"/>
  <c r="AF7" i="2"/>
  <c r="AF6" i="2"/>
  <c r="AF5" i="2"/>
  <c r="AF4" i="2"/>
  <c r="AF3" i="2"/>
  <c r="AF2" i="2"/>
  <c r="AE3" i="2"/>
  <c r="AE4" i="2"/>
  <c r="AE5" i="2"/>
  <c r="AE6" i="2"/>
  <c r="AE7" i="2"/>
  <c r="AE8" i="2"/>
  <c r="AE9" i="2"/>
  <c r="AE10" i="2"/>
  <c r="AE11" i="2"/>
  <c r="AE12" i="2"/>
  <c r="AE13" i="2"/>
  <c r="AE14" i="2"/>
  <c r="AE15" i="2"/>
  <c r="AE16" i="2"/>
  <c r="AE17" i="2"/>
  <c r="AE18" i="2"/>
  <c r="AE19" i="2"/>
  <c r="AE20" i="2"/>
  <c r="AE21" i="2"/>
  <c r="AE22" i="2"/>
  <c r="AE23" i="2"/>
  <c r="AE24" i="2"/>
  <c r="AE25" i="2"/>
  <c r="AE26" i="2"/>
  <c r="AE27" i="2"/>
  <c r="AE28" i="2"/>
  <c r="AE29" i="2"/>
  <c r="AE30" i="2"/>
  <c r="AE31" i="2"/>
  <c r="AE32" i="2"/>
  <c r="AE33" i="2"/>
  <c r="AE34" i="2"/>
  <c r="AE35" i="2"/>
  <c r="AE36" i="2"/>
  <c r="AE37" i="2"/>
  <c r="AE38" i="2"/>
  <c r="AE39" i="2"/>
  <c r="AE40" i="2"/>
  <c r="AE41" i="2"/>
  <c r="AE42" i="2"/>
  <c r="AE43" i="2"/>
  <c r="AE44" i="2"/>
  <c r="AE45" i="2"/>
  <c r="AE46" i="2"/>
  <c r="AE47" i="2"/>
  <c r="AE48" i="2"/>
  <c r="AE49" i="2"/>
  <c r="AE50" i="2"/>
  <c r="AE51" i="2"/>
  <c r="AE52" i="2"/>
  <c r="AE53" i="2"/>
  <c r="AE54" i="2"/>
  <c r="AE55" i="2"/>
  <c r="AE56" i="2"/>
  <c r="AE57" i="2"/>
  <c r="AE58" i="2"/>
  <c r="AE59" i="2"/>
  <c r="AE60" i="2"/>
  <c r="AE61" i="2"/>
  <c r="AE62" i="2"/>
  <c r="AE63" i="2"/>
  <c r="AE64" i="2"/>
  <c r="AE65" i="2"/>
  <c r="AE66" i="2"/>
  <c r="AE67" i="2"/>
  <c r="AE68" i="2"/>
  <c r="AE69" i="2"/>
  <c r="AE70" i="2"/>
  <c r="AE71" i="2"/>
  <c r="AE72" i="2"/>
  <c r="AE73" i="2"/>
  <c r="AE74" i="2"/>
  <c r="AE75" i="2"/>
  <c r="AE76" i="2"/>
  <c r="AE77" i="2"/>
  <c r="AE78" i="2"/>
  <c r="AE79" i="2"/>
  <c r="AE80" i="2"/>
  <c r="AE81" i="2"/>
  <c r="AE82" i="2"/>
  <c r="AE83" i="2"/>
  <c r="AE84" i="2"/>
  <c r="AE85" i="2"/>
  <c r="AE86" i="2"/>
  <c r="AE87" i="2"/>
  <c r="AE88" i="2"/>
  <c r="AE89" i="2"/>
  <c r="AE90" i="2"/>
  <c r="AE91" i="2"/>
  <c r="AE92" i="2"/>
  <c r="AE93" i="2"/>
  <c r="AE94" i="2"/>
  <c r="AE95" i="2"/>
  <c r="AE96" i="2"/>
  <c r="AE97" i="2"/>
  <c r="AE98" i="2"/>
  <c r="AE99" i="2"/>
  <c r="AE100" i="2"/>
  <c r="AE101" i="2"/>
  <c r="AE102" i="2"/>
  <c r="AE103" i="2"/>
  <c r="AE104" i="2"/>
  <c r="AE105" i="2"/>
  <c r="AE106" i="2"/>
  <c r="AE107" i="2"/>
  <c r="AE108" i="2"/>
  <c r="AE109" i="2"/>
  <c r="AE110" i="2"/>
  <c r="AE111" i="2"/>
  <c r="AE112" i="2"/>
  <c r="AE113" i="2"/>
  <c r="AE114" i="2"/>
  <c r="AE115" i="2"/>
  <c r="AE116" i="2"/>
  <c r="AE117" i="2"/>
  <c r="AE118" i="2"/>
  <c r="AE119" i="2"/>
  <c r="AE120" i="2"/>
  <c r="AE121" i="2"/>
  <c r="AE122" i="2"/>
  <c r="AE123" i="2"/>
  <c r="AE124" i="2"/>
  <c r="AE125" i="2"/>
  <c r="AE126" i="2"/>
  <c r="AE127" i="2"/>
  <c r="AE128" i="2"/>
  <c r="AE129" i="2"/>
  <c r="AE130" i="2"/>
  <c r="AE131" i="2"/>
  <c r="AE132" i="2"/>
  <c r="AE133" i="2"/>
  <c r="AE134" i="2"/>
  <c r="AE135" i="2"/>
  <c r="AE136" i="2"/>
  <c r="AE137" i="2"/>
  <c r="AE138" i="2"/>
  <c r="AE139" i="2"/>
  <c r="AE140" i="2"/>
  <c r="AE141" i="2"/>
  <c r="AE142" i="2"/>
  <c r="AE143" i="2"/>
  <c r="AE144" i="2"/>
  <c r="AE145" i="2"/>
  <c r="AE146" i="2"/>
  <c r="AE147" i="2"/>
  <c r="AE148" i="2"/>
  <c r="AE149" i="2"/>
  <c r="AE150" i="2"/>
  <c r="AE151" i="2"/>
  <c r="AE152" i="2"/>
  <c r="AE153" i="2"/>
  <c r="AE154" i="2"/>
  <c r="AE155" i="2"/>
  <c r="AE156" i="2"/>
  <c r="AE157" i="2"/>
  <c r="AE158" i="2"/>
  <c r="AE159" i="2"/>
  <c r="AE160" i="2"/>
  <c r="AE161" i="2"/>
  <c r="AE162" i="2"/>
  <c r="AE163" i="2"/>
  <c r="AE164" i="2"/>
  <c r="AE165" i="2"/>
  <c r="AE166" i="2"/>
  <c r="AE167" i="2"/>
  <c r="AE168" i="2"/>
  <c r="AE169" i="2"/>
  <c r="AE170" i="2"/>
  <c r="AE171" i="2"/>
  <c r="AE172" i="2"/>
  <c r="AE173" i="2"/>
  <c r="AE174" i="2"/>
  <c r="AE175" i="2"/>
  <c r="AE176" i="2"/>
  <c r="AE177" i="2"/>
  <c r="AE178" i="2"/>
  <c r="AE179" i="2"/>
  <c r="AE180" i="2"/>
  <c r="AE181" i="2"/>
  <c r="AE182" i="2"/>
  <c r="AE183" i="2"/>
  <c r="AE184" i="2"/>
  <c r="AE185" i="2"/>
  <c r="AE186" i="2"/>
  <c r="AE187" i="2"/>
  <c r="AE188" i="2"/>
  <c r="AE189" i="2"/>
  <c r="AE190" i="2"/>
  <c r="AE191" i="2"/>
  <c r="AE192" i="2"/>
  <c r="AE193" i="2"/>
  <c r="AE194" i="2"/>
  <c r="AE195" i="2"/>
  <c r="AE196" i="2"/>
  <c r="AE197" i="2"/>
  <c r="AE198" i="2"/>
  <c r="AE199" i="2"/>
  <c r="AE200" i="2"/>
  <c r="AE201" i="2"/>
  <c r="AE202" i="2"/>
  <c r="AE203" i="2"/>
  <c r="AE204" i="2"/>
  <c r="AE205" i="2"/>
  <c r="AE206" i="2"/>
  <c r="AE207" i="2"/>
  <c r="AE208" i="2"/>
  <c r="AE209" i="2"/>
  <c r="AE210" i="2"/>
  <c r="AE211" i="2"/>
  <c r="AE212" i="2"/>
  <c r="AE213" i="2"/>
  <c r="AE214" i="2"/>
  <c r="AE215" i="2"/>
  <c r="AE216" i="2"/>
  <c r="AE217" i="2"/>
  <c r="AE218" i="2"/>
  <c r="AE219" i="2"/>
  <c r="AE220" i="2"/>
  <c r="AE221" i="2"/>
  <c r="AE222" i="2"/>
  <c r="AE223" i="2"/>
  <c r="AE224" i="2"/>
  <c r="AE225" i="2"/>
  <c r="AE226" i="2"/>
  <c r="AE227" i="2"/>
  <c r="AE228" i="2"/>
  <c r="AE229" i="2"/>
  <c r="AE230" i="2"/>
  <c r="AE231" i="2"/>
  <c r="AE232" i="2"/>
  <c r="AE233" i="2"/>
  <c r="AE234" i="2"/>
  <c r="AE235" i="2"/>
  <c r="AE236" i="2"/>
  <c r="AE237" i="2"/>
  <c r="AE238" i="2"/>
  <c r="AE239" i="2"/>
  <c r="AE240" i="2"/>
  <c r="AE241" i="2"/>
  <c r="AE242" i="2"/>
  <c r="AE243" i="2"/>
  <c r="AE244" i="2"/>
  <c r="AE245" i="2"/>
  <c r="AE246" i="2"/>
  <c r="AE247" i="2"/>
  <c r="AE248" i="2"/>
  <c r="AE249" i="2"/>
  <c r="AE250" i="2"/>
  <c r="AE251" i="2"/>
  <c r="AE252" i="2"/>
  <c r="AE253" i="2"/>
  <c r="AE254" i="2"/>
  <c r="AE255" i="2"/>
  <c r="AE256" i="2"/>
  <c r="AE257" i="2"/>
  <c r="AE258" i="2"/>
  <c r="AE259" i="2"/>
  <c r="AE260" i="2"/>
  <c r="AE261" i="2"/>
  <c r="AE262" i="2"/>
  <c r="AE263" i="2"/>
  <c r="AE264" i="2"/>
  <c r="AE265" i="2"/>
  <c r="AE266" i="2"/>
  <c r="AE267" i="2"/>
  <c r="AE268" i="2"/>
  <c r="AE269" i="2"/>
  <c r="AE270" i="2"/>
  <c r="AE271" i="2"/>
  <c r="AE272" i="2"/>
  <c r="AE273" i="2"/>
  <c r="AE274" i="2"/>
  <c r="AE275" i="2"/>
  <c r="AE276" i="2"/>
  <c r="AE277" i="2"/>
  <c r="AE278" i="2"/>
  <c r="AE279" i="2"/>
  <c r="AE280" i="2"/>
  <c r="AE281" i="2"/>
  <c r="AE282" i="2"/>
  <c r="AE283" i="2"/>
  <c r="AE284" i="2"/>
  <c r="AE285" i="2"/>
  <c r="AE286" i="2"/>
  <c r="AE287" i="2"/>
  <c r="AE288" i="2"/>
  <c r="AE289" i="2"/>
  <c r="AE290" i="2"/>
  <c r="AE291" i="2"/>
  <c r="AE292" i="2"/>
  <c r="AE293" i="2"/>
  <c r="AE294" i="2"/>
  <c r="AE295" i="2"/>
  <c r="AE296" i="2"/>
  <c r="AE297" i="2"/>
  <c r="AE298" i="2"/>
  <c r="AE299" i="2"/>
  <c r="AE300" i="2"/>
  <c r="AE301" i="2"/>
  <c r="AE302" i="2"/>
  <c r="AE303" i="2"/>
  <c r="AE304" i="2"/>
  <c r="AE305" i="2"/>
  <c r="AE306" i="2"/>
  <c r="AE307" i="2"/>
  <c r="AE308" i="2"/>
  <c r="AE309" i="2"/>
  <c r="AE310" i="2"/>
  <c r="AE311" i="2"/>
  <c r="AE312" i="2"/>
  <c r="AE313" i="2"/>
  <c r="AE314" i="2"/>
  <c r="AE315" i="2"/>
  <c r="AE316" i="2"/>
  <c r="AE317" i="2"/>
  <c r="AE318" i="2"/>
  <c r="AE319" i="2"/>
  <c r="AE320" i="2"/>
  <c r="AE321" i="2"/>
  <c r="AE322" i="2"/>
  <c r="AE323" i="2"/>
  <c r="AE324" i="2"/>
  <c r="AE325" i="2"/>
  <c r="AE326" i="2"/>
  <c r="AE327" i="2"/>
  <c r="AE328" i="2"/>
  <c r="AE329" i="2"/>
  <c r="AE330" i="2"/>
  <c r="AE331" i="2"/>
  <c r="AE332" i="2"/>
  <c r="AE333" i="2"/>
  <c r="AE334" i="2"/>
  <c r="AE335" i="2"/>
  <c r="AE336" i="2"/>
  <c r="AE337" i="2"/>
  <c r="AE338" i="2"/>
  <c r="AE339" i="2"/>
  <c r="AE340" i="2"/>
  <c r="AE341" i="2"/>
  <c r="AE342" i="2"/>
  <c r="AE343" i="2"/>
  <c r="AE344" i="2"/>
  <c r="AE345" i="2"/>
  <c r="AE346" i="2"/>
  <c r="AE347" i="2"/>
  <c r="AE348" i="2"/>
  <c r="AE349" i="2"/>
  <c r="AE350" i="2"/>
  <c r="AE351" i="2"/>
  <c r="AE352" i="2"/>
  <c r="AE353" i="2"/>
  <c r="AE354" i="2"/>
  <c r="AE355" i="2"/>
  <c r="AE356" i="2"/>
  <c r="AE357" i="2"/>
  <c r="AE358" i="2"/>
  <c r="AE359" i="2"/>
  <c r="AE360" i="2"/>
  <c r="AE361" i="2"/>
  <c r="AE362" i="2"/>
  <c r="AE363" i="2"/>
  <c r="AE364" i="2"/>
  <c r="AE365" i="2"/>
  <c r="AE366" i="2"/>
  <c r="AE367" i="2"/>
  <c r="AE368" i="2"/>
  <c r="AE369" i="2"/>
  <c r="AE370" i="2"/>
  <c r="AE371" i="2"/>
  <c r="AE372" i="2"/>
  <c r="AE373" i="2"/>
  <c r="AE374" i="2"/>
  <c r="AE375" i="2"/>
  <c r="AE376" i="2"/>
  <c r="AE377" i="2"/>
  <c r="AE378" i="2"/>
  <c r="AE379" i="2"/>
  <c r="AE380" i="2"/>
  <c r="AE381" i="2"/>
  <c r="AE382" i="2"/>
  <c r="AE383" i="2"/>
  <c r="AE384" i="2"/>
  <c r="AE385" i="2"/>
  <c r="AE386" i="2"/>
  <c r="AE387" i="2"/>
  <c r="AE388" i="2"/>
  <c r="AE389" i="2"/>
  <c r="AE390" i="2"/>
  <c r="AE391" i="2"/>
  <c r="AE392" i="2"/>
  <c r="AE393" i="2"/>
  <c r="AE394" i="2"/>
  <c r="AE395" i="2"/>
  <c r="AE396" i="2"/>
  <c r="AE397" i="2"/>
  <c r="AE398" i="2"/>
  <c r="AE399" i="2"/>
  <c r="AE400" i="2"/>
  <c r="AE401" i="2"/>
  <c r="AE402" i="2"/>
  <c r="AE403" i="2"/>
  <c r="AE404" i="2"/>
  <c r="AE405" i="2"/>
  <c r="AE406" i="2"/>
  <c r="AE407" i="2"/>
  <c r="AE408" i="2"/>
  <c r="AE409" i="2"/>
  <c r="AE410" i="2"/>
  <c r="AE411" i="2"/>
  <c r="AE412" i="2"/>
  <c r="AE413" i="2"/>
  <c r="AE414" i="2"/>
  <c r="AE415" i="2"/>
  <c r="AE416" i="2"/>
  <c r="AE417" i="2"/>
  <c r="AE418" i="2"/>
  <c r="AE419" i="2"/>
  <c r="AE420" i="2"/>
  <c r="AE421" i="2"/>
  <c r="AE422" i="2"/>
  <c r="AE423" i="2"/>
  <c r="AE424" i="2"/>
  <c r="AE425" i="2"/>
  <c r="AE426" i="2"/>
  <c r="AE427" i="2"/>
  <c r="AE428" i="2"/>
  <c r="AE429" i="2"/>
  <c r="AE430" i="2"/>
  <c r="AE431" i="2"/>
  <c r="AE432" i="2"/>
  <c r="AE433" i="2"/>
  <c r="AE434" i="2"/>
  <c r="AE435" i="2"/>
  <c r="AE436" i="2"/>
  <c r="AE437" i="2"/>
  <c r="AE438" i="2"/>
  <c r="AE439" i="2"/>
  <c r="AE440" i="2"/>
  <c r="AE441" i="2"/>
  <c r="AE442" i="2"/>
  <c r="AE443" i="2"/>
  <c r="AE444" i="2"/>
  <c r="AE445" i="2"/>
  <c r="AE446" i="2"/>
  <c r="AE447" i="2"/>
  <c r="AE448" i="2"/>
  <c r="AE449" i="2"/>
  <c r="AE450" i="2"/>
  <c r="AE451" i="2"/>
  <c r="AE452" i="2"/>
  <c r="AE453" i="2"/>
  <c r="AE454" i="2"/>
  <c r="AE455" i="2"/>
  <c r="AE456" i="2"/>
  <c r="AE457" i="2"/>
  <c r="AE458" i="2"/>
  <c r="AE459" i="2"/>
  <c r="AE460" i="2"/>
  <c r="AE461" i="2"/>
  <c r="AE462" i="2"/>
  <c r="AE463" i="2"/>
  <c r="AE464" i="2"/>
  <c r="AE465" i="2"/>
  <c r="AE466" i="2"/>
  <c r="AE467" i="2"/>
  <c r="AE468" i="2"/>
  <c r="AE469" i="2"/>
  <c r="AE470" i="2"/>
  <c r="AE471" i="2"/>
  <c r="AE472" i="2"/>
  <c r="AE473" i="2"/>
  <c r="AE474" i="2"/>
  <c r="AE475" i="2"/>
  <c r="AE476" i="2"/>
  <c r="AE477" i="2"/>
  <c r="AE478" i="2"/>
  <c r="AE479" i="2"/>
  <c r="AE480" i="2"/>
  <c r="AE481" i="2"/>
  <c r="AE482" i="2"/>
  <c r="AE483" i="2"/>
  <c r="AE484" i="2"/>
  <c r="AE485" i="2"/>
  <c r="AE486" i="2"/>
  <c r="AE487" i="2"/>
  <c r="AE488" i="2"/>
  <c r="AE489" i="2"/>
  <c r="AE490" i="2"/>
  <c r="AE491" i="2"/>
  <c r="AE492" i="2"/>
  <c r="AE493" i="2"/>
  <c r="AE494" i="2"/>
  <c r="AE495" i="2"/>
  <c r="AE496" i="2"/>
  <c r="AE497" i="2"/>
  <c r="AE498" i="2"/>
  <c r="AE499" i="2"/>
  <c r="AE500" i="2"/>
  <c r="AE501" i="2"/>
  <c r="AE502" i="2"/>
  <c r="AE503" i="2"/>
  <c r="AE504" i="2"/>
  <c r="AE505" i="2"/>
  <c r="AE506" i="2"/>
  <c r="AE507" i="2"/>
  <c r="AE508" i="2"/>
  <c r="AE509" i="2"/>
  <c r="AE510" i="2"/>
  <c r="AE511" i="2"/>
  <c r="AE512" i="2"/>
  <c r="AE513" i="2"/>
  <c r="AE514" i="2"/>
  <c r="AE515" i="2"/>
  <c r="AE516" i="2"/>
  <c r="AE517" i="2"/>
  <c r="AE518" i="2"/>
  <c r="AE519" i="2"/>
  <c r="AE520" i="2"/>
  <c r="AE521" i="2"/>
  <c r="AE522" i="2"/>
  <c r="AE523" i="2"/>
  <c r="AE524" i="2"/>
  <c r="AE525" i="2"/>
  <c r="AE526" i="2"/>
  <c r="AE527" i="2"/>
  <c r="AE528" i="2"/>
  <c r="AE529" i="2"/>
  <c r="AE530" i="2"/>
  <c r="AE531" i="2"/>
  <c r="AE532" i="2"/>
  <c r="AE533" i="2"/>
  <c r="AE534" i="2"/>
  <c r="AE535" i="2"/>
  <c r="AE536" i="2"/>
  <c r="AE537" i="2"/>
  <c r="AE538" i="2"/>
  <c r="AE539" i="2"/>
  <c r="AE540" i="2"/>
  <c r="AE541" i="2"/>
  <c r="AE542" i="2"/>
  <c r="AE543" i="2"/>
  <c r="AE544" i="2"/>
  <c r="AE545" i="2"/>
  <c r="AE546" i="2"/>
  <c r="AE547" i="2"/>
  <c r="AE548" i="2"/>
  <c r="AE549" i="2"/>
  <c r="AE550" i="2"/>
  <c r="AE551" i="2"/>
  <c r="AE552" i="2"/>
  <c r="AE553" i="2"/>
  <c r="AE554" i="2"/>
  <c r="AE555" i="2"/>
  <c r="AE556" i="2"/>
  <c r="AE557" i="2"/>
  <c r="AE558" i="2"/>
  <c r="AE559" i="2"/>
  <c r="AE560" i="2"/>
  <c r="AE561" i="2"/>
  <c r="AE562" i="2"/>
  <c r="AE563" i="2"/>
  <c r="AE564" i="2"/>
  <c r="AE565" i="2"/>
  <c r="AE566" i="2"/>
  <c r="AE567" i="2"/>
  <c r="AE568" i="2"/>
  <c r="AE569" i="2"/>
  <c r="AE570" i="2"/>
  <c r="AE571" i="2"/>
  <c r="AE572" i="2"/>
  <c r="AE573" i="2"/>
  <c r="AE574" i="2"/>
  <c r="AE575" i="2"/>
  <c r="AE576" i="2"/>
  <c r="AE577" i="2"/>
  <c r="AE578" i="2"/>
  <c r="AE579" i="2"/>
  <c r="AE580" i="2"/>
  <c r="AE581" i="2"/>
  <c r="AE582" i="2"/>
  <c r="AE583" i="2"/>
  <c r="AE584" i="2"/>
  <c r="AE585" i="2"/>
  <c r="AE586" i="2"/>
  <c r="AE587" i="2"/>
  <c r="AE588" i="2"/>
  <c r="AE589" i="2"/>
  <c r="AE590" i="2"/>
  <c r="AE591" i="2"/>
  <c r="AE592" i="2"/>
  <c r="AE593" i="2"/>
  <c r="AE594" i="2"/>
  <c r="AE595" i="2"/>
  <c r="AE596" i="2"/>
  <c r="AE597" i="2"/>
  <c r="AE598" i="2"/>
  <c r="AE599" i="2"/>
  <c r="AE600" i="2"/>
  <c r="AE601" i="2"/>
  <c r="AE602" i="2"/>
  <c r="AE603" i="2"/>
  <c r="AE604" i="2"/>
  <c r="AE605" i="2"/>
  <c r="AE606" i="2"/>
  <c r="AE607" i="2"/>
  <c r="AE608" i="2"/>
  <c r="AE609" i="2"/>
  <c r="AE610" i="2"/>
  <c r="AE611" i="2"/>
  <c r="AE612" i="2"/>
  <c r="AE613" i="2"/>
  <c r="AE614" i="2"/>
  <c r="AE615" i="2"/>
  <c r="AE616" i="2"/>
  <c r="AE617" i="2"/>
  <c r="AE618" i="2"/>
  <c r="AE619" i="2"/>
  <c r="AE620" i="2"/>
  <c r="AE621" i="2"/>
  <c r="AE622" i="2"/>
  <c r="AE623" i="2"/>
  <c r="AE624" i="2"/>
  <c r="AE625" i="2"/>
  <c r="AE626" i="2"/>
  <c r="AE627" i="2"/>
  <c r="AE628" i="2"/>
  <c r="AE629" i="2"/>
  <c r="AE630" i="2"/>
  <c r="AE631" i="2"/>
  <c r="AE632" i="2"/>
  <c r="AE633" i="2"/>
  <c r="AE634" i="2"/>
  <c r="AE635" i="2"/>
  <c r="AE636" i="2"/>
  <c r="AE637" i="2"/>
  <c r="AE638" i="2"/>
  <c r="AE639" i="2"/>
  <c r="AE640" i="2"/>
  <c r="AE641" i="2"/>
  <c r="AE642" i="2"/>
  <c r="AE643" i="2"/>
  <c r="AE644" i="2"/>
  <c r="AE645" i="2"/>
  <c r="AE646" i="2"/>
  <c r="AE647" i="2"/>
  <c r="AE648" i="2"/>
  <c r="AE649" i="2"/>
  <c r="AE650" i="2"/>
  <c r="AE651" i="2"/>
  <c r="AE652" i="2"/>
  <c r="AE653" i="2"/>
  <c r="AE654" i="2"/>
  <c r="AE655" i="2"/>
  <c r="AE656" i="2"/>
  <c r="AE657" i="2"/>
  <c r="AE658" i="2"/>
  <c r="AE659" i="2"/>
  <c r="AE660" i="2"/>
  <c r="AE661" i="2"/>
  <c r="AE662" i="2"/>
  <c r="AE663" i="2"/>
  <c r="AE664" i="2"/>
  <c r="AE665" i="2"/>
  <c r="AE666" i="2"/>
  <c r="AE667" i="2"/>
  <c r="AE668" i="2"/>
  <c r="AE669" i="2"/>
  <c r="AE670" i="2"/>
  <c r="AE671" i="2"/>
  <c r="AE672" i="2"/>
  <c r="AE673" i="2"/>
  <c r="AE674" i="2"/>
  <c r="AE675" i="2"/>
  <c r="AE676" i="2"/>
  <c r="AE677" i="2"/>
  <c r="AE678" i="2"/>
  <c r="AE679" i="2"/>
  <c r="AE680" i="2"/>
  <c r="AE681" i="2"/>
  <c r="AE682" i="2"/>
  <c r="AE683" i="2"/>
  <c r="AE684" i="2"/>
  <c r="AE685" i="2"/>
  <c r="AE686" i="2"/>
  <c r="AE687" i="2"/>
  <c r="AE688" i="2"/>
  <c r="AE689" i="2"/>
  <c r="AE690" i="2"/>
  <c r="AE691" i="2"/>
  <c r="AE692" i="2"/>
  <c r="AE693" i="2"/>
  <c r="AE694" i="2"/>
  <c r="AE695" i="2"/>
  <c r="AE696" i="2"/>
  <c r="AE697" i="2"/>
  <c r="AE698" i="2"/>
  <c r="AE699" i="2"/>
  <c r="AE700" i="2"/>
  <c r="AE701" i="2"/>
  <c r="AE702" i="2"/>
  <c r="AE703" i="2"/>
  <c r="AE704" i="2"/>
  <c r="AE705" i="2"/>
  <c r="AE706" i="2"/>
  <c r="AE707" i="2"/>
  <c r="AE708" i="2"/>
  <c r="AE709" i="2"/>
  <c r="AE710" i="2"/>
  <c r="AE711" i="2"/>
  <c r="AE712" i="2"/>
  <c r="AE713" i="2"/>
  <c r="AE714" i="2"/>
  <c r="AE715" i="2"/>
  <c r="AE716" i="2"/>
  <c r="AE717" i="2"/>
  <c r="AE718" i="2"/>
  <c r="AE719" i="2"/>
  <c r="AE720" i="2"/>
  <c r="AE721" i="2"/>
  <c r="AE722" i="2"/>
  <c r="AE723" i="2"/>
  <c r="AE724" i="2"/>
  <c r="AE725" i="2"/>
  <c r="AE726" i="2"/>
  <c r="AE727" i="2"/>
  <c r="AE728" i="2"/>
  <c r="AE729" i="2"/>
  <c r="AE730" i="2"/>
  <c r="AE731" i="2"/>
  <c r="AE732" i="2"/>
  <c r="AE733" i="2"/>
  <c r="AE734" i="2"/>
  <c r="AE735" i="2"/>
  <c r="AE736" i="2"/>
  <c r="AE737" i="2"/>
  <c r="AE738" i="2"/>
  <c r="AE739" i="2"/>
  <c r="AE740" i="2"/>
  <c r="AE741" i="2"/>
  <c r="AE742" i="2"/>
  <c r="AE743" i="2"/>
  <c r="AE744" i="2"/>
  <c r="AE745" i="2"/>
  <c r="AE746" i="2"/>
  <c r="AE747" i="2"/>
  <c r="AE748" i="2"/>
  <c r="AE749" i="2"/>
  <c r="AE750" i="2"/>
  <c r="AE751" i="2"/>
  <c r="AE752" i="2"/>
  <c r="AE753" i="2"/>
  <c r="AE754" i="2"/>
  <c r="AE755" i="2"/>
  <c r="AE756" i="2"/>
  <c r="AE757" i="2"/>
  <c r="AE758" i="2"/>
  <c r="AE759" i="2"/>
  <c r="AE760" i="2"/>
  <c r="AE761" i="2"/>
  <c r="AE762" i="2"/>
  <c r="AE763" i="2"/>
  <c r="AE764" i="2"/>
  <c r="AE765" i="2"/>
  <c r="AE766" i="2"/>
  <c r="AE767" i="2"/>
  <c r="AE768" i="2"/>
  <c r="AE769" i="2"/>
  <c r="AE770" i="2"/>
  <c r="AE771" i="2"/>
  <c r="AE772" i="2"/>
  <c r="AE773" i="2"/>
  <c r="AE774" i="2"/>
  <c r="AE775" i="2"/>
  <c r="AE776" i="2"/>
  <c r="AE777" i="2"/>
  <c r="AE778" i="2"/>
  <c r="AE779" i="2"/>
  <c r="AE780" i="2"/>
  <c r="AE781" i="2"/>
  <c r="AE782" i="2"/>
  <c r="AE783" i="2"/>
  <c r="AE784" i="2"/>
  <c r="AE785" i="2"/>
  <c r="AE786" i="2"/>
  <c r="AE787" i="2"/>
  <c r="AE788" i="2"/>
  <c r="AE789" i="2"/>
  <c r="AE790" i="2"/>
  <c r="AE791" i="2"/>
  <c r="AE792" i="2"/>
  <c r="AE793" i="2"/>
  <c r="AE794" i="2"/>
  <c r="AE795" i="2"/>
  <c r="AE796" i="2"/>
  <c r="AE797" i="2"/>
  <c r="AE798" i="2"/>
  <c r="AE799" i="2"/>
  <c r="AE800" i="2"/>
  <c r="AE801" i="2"/>
  <c r="AE802" i="2"/>
  <c r="AE803" i="2"/>
  <c r="AE804" i="2"/>
  <c r="AE805" i="2"/>
  <c r="AE806" i="2"/>
  <c r="AE807" i="2"/>
  <c r="AE808" i="2"/>
  <c r="AE809" i="2"/>
  <c r="AE810" i="2"/>
  <c r="AE811" i="2"/>
  <c r="AE812" i="2"/>
  <c r="AE813" i="2"/>
  <c r="AE814" i="2"/>
  <c r="AE815" i="2"/>
  <c r="AE816" i="2"/>
  <c r="AE817" i="2"/>
  <c r="AE818" i="2"/>
  <c r="AE819" i="2"/>
  <c r="AE820" i="2"/>
  <c r="AE821" i="2"/>
  <c r="AE822" i="2"/>
  <c r="AE823" i="2"/>
  <c r="AE824" i="2"/>
  <c r="AE825" i="2"/>
  <c r="AE826" i="2"/>
  <c r="AE827" i="2"/>
  <c r="AE828" i="2"/>
  <c r="AE829" i="2"/>
  <c r="AE830" i="2"/>
  <c r="AE831" i="2"/>
  <c r="AE832" i="2"/>
  <c r="AE833" i="2"/>
  <c r="AE834" i="2"/>
  <c r="AE835" i="2"/>
  <c r="AE836" i="2"/>
  <c r="AE837" i="2"/>
  <c r="AE838" i="2"/>
  <c r="AE839" i="2"/>
  <c r="AE840" i="2"/>
  <c r="AE841" i="2"/>
  <c r="AE842" i="2"/>
  <c r="AE843" i="2"/>
  <c r="AE844" i="2"/>
  <c r="AE845" i="2"/>
  <c r="AE846" i="2"/>
  <c r="AE847" i="2"/>
  <c r="AE848" i="2"/>
  <c r="AE849" i="2"/>
  <c r="AE850" i="2"/>
  <c r="AE851" i="2"/>
  <c r="AE852" i="2"/>
  <c r="AE853" i="2"/>
  <c r="AE854" i="2"/>
  <c r="AE855" i="2"/>
  <c r="AE856" i="2"/>
  <c r="AE857" i="2"/>
  <c r="AE858" i="2"/>
  <c r="AE859" i="2"/>
  <c r="AE860" i="2"/>
  <c r="AE861" i="2"/>
  <c r="AE862" i="2"/>
  <c r="AE863" i="2"/>
  <c r="AE864" i="2"/>
  <c r="AE865" i="2"/>
  <c r="AE866" i="2"/>
  <c r="AE867" i="2"/>
  <c r="AE868" i="2"/>
  <c r="AE869" i="2"/>
  <c r="AE870" i="2"/>
  <c r="AE871" i="2"/>
  <c r="AE872" i="2"/>
  <c r="AE873" i="2"/>
  <c r="AE874" i="2"/>
  <c r="AE875" i="2"/>
  <c r="AE876" i="2"/>
  <c r="AE877" i="2"/>
  <c r="AE878" i="2"/>
  <c r="AE879" i="2"/>
  <c r="AE880" i="2"/>
  <c r="AE881" i="2"/>
  <c r="AE882" i="2"/>
  <c r="AE883" i="2"/>
  <c r="AE884" i="2"/>
  <c r="AE885" i="2"/>
  <c r="AE886" i="2"/>
  <c r="AE887" i="2"/>
  <c r="AE888" i="2"/>
  <c r="AE889" i="2"/>
  <c r="AE890" i="2"/>
  <c r="AE891" i="2"/>
  <c r="AE892" i="2"/>
  <c r="AE893" i="2"/>
  <c r="AE894" i="2"/>
  <c r="AE895" i="2"/>
  <c r="AE896" i="2"/>
  <c r="AE897" i="2"/>
  <c r="AE898" i="2"/>
  <c r="AE899" i="2"/>
  <c r="AE900" i="2"/>
  <c r="AE901" i="2"/>
  <c r="AE902" i="2"/>
  <c r="AE903" i="2"/>
  <c r="AE904" i="2"/>
  <c r="AE905" i="2"/>
  <c r="AE906" i="2"/>
  <c r="AE907" i="2"/>
  <c r="AE908" i="2"/>
  <c r="AE909" i="2"/>
  <c r="AE910" i="2"/>
  <c r="AE911" i="2"/>
  <c r="AE912" i="2"/>
  <c r="AE913" i="2"/>
  <c r="AE914" i="2"/>
  <c r="AE915" i="2"/>
  <c r="AE916" i="2"/>
  <c r="AE917" i="2"/>
  <c r="AE918" i="2"/>
  <c r="AE919" i="2"/>
  <c r="AE920" i="2"/>
  <c r="AE921" i="2"/>
  <c r="AE922" i="2"/>
  <c r="AE923" i="2"/>
  <c r="AE924" i="2"/>
  <c r="AE925" i="2"/>
  <c r="AE926" i="2"/>
  <c r="AE927" i="2"/>
  <c r="AE928" i="2"/>
  <c r="AE929" i="2"/>
  <c r="AE930" i="2"/>
  <c r="AE931" i="2"/>
  <c r="AE932" i="2"/>
  <c r="AE933" i="2"/>
  <c r="AE934" i="2"/>
  <c r="AE935" i="2"/>
  <c r="AE936" i="2"/>
  <c r="AE937" i="2"/>
  <c r="AE938" i="2"/>
  <c r="AE939" i="2"/>
  <c r="AE940" i="2"/>
  <c r="AE941" i="2"/>
  <c r="AE942" i="2"/>
  <c r="AE943" i="2"/>
  <c r="AE944" i="2"/>
  <c r="AE945" i="2"/>
  <c r="AE946" i="2"/>
  <c r="AE947" i="2"/>
  <c r="AE948" i="2"/>
  <c r="AE949" i="2"/>
  <c r="AE950" i="2"/>
  <c r="AE951" i="2"/>
  <c r="AE952" i="2"/>
  <c r="AE953" i="2"/>
  <c r="AE954" i="2"/>
  <c r="AE955" i="2"/>
  <c r="AE956" i="2"/>
  <c r="AE957" i="2"/>
  <c r="AE958" i="2"/>
  <c r="AE959" i="2"/>
  <c r="AE960" i="2"/>
  <c r="AE961" i="2"/>
  <c r="AE962" i="2"/>
  <c r="AE963" i="2"/>
  <c r="AE964" i="2"/>
  <c r="AE965" i="2"/>
  <c r="AE966" i="2"/>
  <c r="AE967" i="2"/>
  <c r="AE968" i="2"/>
  <c r="AE969" i="2"/>
  <c r="AE970" i="2"/>
  <c r="AE971" i="2"/>
  <c r="AE972" i="2"/>
  <c r="AE973" i="2"/>
  <c r="AE974" i="2"/>
  <c r="AE975" i="2"/>
  <c r="AE976" i="2"/>
  <c r="AE977" i="2"/>
  <c r="AE978" i="2"/>
  <c r="AE979" i="2"/>
  <c r="AE980" i="2"/>
  <c r="AE981" i="2"/>
  <c r="AE982" i="2"/>
  <c r="AE983" i="2"/>
  <c r="AE984" i="2"/>
  <c r="AE985" i="2"/>
  <c r="AE986" i="2"/>
  <c r="AE987" i="2"/>
  <c r="AE988" i="2"/>
  <c r="AE989" i="2"/>
  <c r="AE990" i="2"/>
  <c r="AE991" i="2"/>
  <c r="AE992" i="2"/>
  <c r="AE993" i="2"/>
  <c r="AE994" i="2"/>
  <c r="AE995" i="2"/>
  <c r="AE996" i="2"/>
  <c r="AE997" i="2"/>
  <c r="AE998" i="2"/>
  <c r="AE999" i="2"/>
  <c r="AE1000" i="2"/>
  <c r="AE1001" i="2"/>
  <c r="AE1002" i="2"/>
  <c r="AE1003" i="2"/>
  <c r="AE1004" i="2"/>
  <c r="AE1005" i="2"/>
  <c r="AE1006" i="2"/>
  <c r="AE1007" i="2"/>
  <c r="AE1008" i="2"/>
  <c r="AE1009" i="2"/>
  <c r="AE1010" i="2"/>
  <c r="AE1011" i="2"/>
  <c r="AE1012" i="2"/>
  <c r="AE1013" i="2"/>
  <c r="AE1014" i="2"/>
  <c r="AE1015" i="2"/>
  <c r="AE1016" i="2"/>
  <c r="AE1017" i="2"/>
  <c r="AE1018" i="2"/>
  <c r="AE1019" i="2"/>
  <c r="AE1020" i="2"/>
  <c r="AE1021" i="2"/>
  <c r="AE1022" i="2"/>
  <c r="AE1023" i="2"/>
  <c r="AE1024" i="2"/>
  <c r="AE1025" i="2"/>
  <c r="AE1026" i="2"/>
  <c r="AE1027" i="2"/>
  <c r="AE1028" i="2"/>
  <c r="AE1029" i="2"/>
  <c r="AE1030" i="2"/>
  <c r="AE1031" i="2"/>
  <c r="AE1032" i="2"/>
  <c r="AE1033" i="2"/>
  <c r="AE1034" i="2"/>
  <c r="AE1035" i="2"/>
  <c r="AE1036" i="2"/>
  <c r="AE1037" i="2"/>
  <c r="AE1038" i="2"/>
  <c r="AE1039" i="2"/>
  <c r="AE1040" i="2"/>
  <c r="AE1041" i="2"/>
  <c r="AE1042" i="2"/>
  <c r="AE1043" i="2"/>
  <c r="AE1044" i="2"/>
  <c r="AE1045" i="2"/>
  <c r="AE1046" i="2"/>
  <c r="AE1047" i="2"/>
  <c r="AE1048" i="2"/>
  <c r="AE1049" i="2"/>
  <c r="AE1050" i="2"/>
  <c r="AE1051" i="2"/>
  <c r="AE1052" i="2"/>
  <c r="AE1053" i="2"/>
  <c r="AE1054" i="2"/>
  <c r="AE1055" i="2"/>
  <c r="AE1056" i="2"/>
  <c r="AE1057" i="2"/>
  <c r="AE1058" i="2"/>
  <c r="AE1059" i="2"/>
  <c r="AE1060" i="2"/>
  <c r="AE1061" i="2"/>
  <c r="AE1062" i="2"/>
  <c r="AE1063" i="2"/>
  <c r="AE1064" i="2"/>
  <c r="AE1065" i="2"/>
  <c r="AE1066" i="2"/>
  <c r="AE1067" i="2"/>
  <c r="AE1068" i="2"/>
  <c r="AE1069" i="2"/>
  <c r="AE1070" i="2"/>
  <c r="AE1071" i="2"/>
  <c r="AE1072" i="2"/>
  <c r="AE1073" i="2"/>
  <c r="AE1074" i="2"/>
  <c r="AE1075" i="2"/>
  <c r="AE1076" i="2"/>
  <c r="AE1077" i="2"/>
  <c r="AE1078" i="2"/>
  <c r="AE1079" i="2"/>
  <c r="AE1080" i="2"/>
  <c r="AE1081" i="2"/>
  <c r="AE1082" i="2"/>
  <c r="AE1083" i="2"/>
  <c r="AE1084" i="2"/>
  <c r="AE1085" i="2"/>
  <c r="AE1086" i="2"/>
  <c r="AE1087" i="2"/>
  <c r="AE1088" i="2"/>
  <c r="AE1089" i="2"/>
  <c r="AE1090" i="2"/>
  <c r="AE1091" i="2"/>
  <c r="AE1092" i="2"/>
  <c r="AE1093" i="2"/>
  <c r="AE1094" i="2"/>
  <c r="AE1095" i="2"/>
  <c r="AE1096" i="2"/>
  <c r="AE1097" i="2"/>
  <c r="AE1098" i="2"/>
  <c r="AE1099" i="2"/>
  <c r="AE1100" i="2"/>
  <c r="AE1101" i="2"/>
  <c r="AE1102" i="2"/>
  <c r="AE1103" i="2"/>
  <c r="AE1104" i="2"/>
  <c r="AE1105" i="2"/>
  <c r="AE1106" i="2"/>
  <c r="AE1107" i="2"/>
  <c r="AE1108" i="2"/>
  <c r="AE1109" i="2"/>
  <c r="AE1110" i="2"/>
  <c r="AE1111" i="2"/>
  <c r="AE1112" i="2"/>
  <c r="AE1113" i="2"/>
  <c r="AE1114" i="2"/>
  <c r="AE1115" i="2"/>
  <c r="AE1116" i="2"/>
  <c r="AE1117" i="2"/>
  <c r="AE1118" i="2"/>
  <c r="AE1119" i="2"/>
  <c r="AE1120" i="2"/>
  <c r="AE1121" i="2"/>
  <c r="AE1122" i="2"/>
  <c r="AE1123" i="2"/>
  <c r="AE1124" i="2"/>
  <c r="AE1125" i="2"/>
  <c r="AE1126" i="2"/>
  <c r="AE1127" i="2"/>
  <c r="AE1128" i="2"/>
  <c r="AE1129" i="2"/>
  <c r="AE1130" i="2"/>
  <c r="AE1131" i="2"/>
  <c r="AE1132" i="2"/>
  <c r="AE1133" i="2"/>
  <c r="AE1134" i="2"/>
  <c r="AE1135" i="2"/>
  <c r="AE1136" i="2"/>
  <c r="AE1137" i="2"/>
  <c r="AE1138" i="2"/>
  <c r="AE1139" i="2"/>
  <c r="AE1140" i="2"/>
  <c r="AE1141" i="2"/>
  <c r="AE1142" i="2"/>
  <c r="AE1143" i="2"/>
  <c r="AE1144" i="2"/>
  <c r="AE1145" i="2"/>
  <c r="AE1146" i="2"/>
  <c r="AE1147" i="2"/>
  <c r="AE1148" i="2"/>
  <c r="AE1149" i="2"/>
  <c r="AE1150" i="2"/>
  <c r="AE1151" i="2"/>
  <c r="AE1152" i="2"/>
  <c r="AE1153" i="2"/>
  <c r="AE1154" i="2"/>
  <c r="AE1155" i="2"/>
  <c r="AE1156" i="2"/>
  <c r="AE1157" i="2"/>
  <c r="AE1158" i="2"/>
  <c r="AE1159" i="2"/>
  <c r="AE1160" i="2"/>
  <c r="AE1161" i="2"/>
  <c r="AE1162" i="2"/>
  <c r="AE1163" i="2"/>
  <c r="AE1164" i="2"/>
  <c r="AE1165" i="2"/>
  <c r="AE1166" i="2"/>
  <c r="AE1167" i="2"/>
  <c r="AE1168" i="2"/>
  <c r="AE1169" i="2"/>
  <c r="AE1170" i="2"/>
  <c r="AE1171" i="2"/>
  <c r="AE1172" i="2"/>
  <c r="AE1173" i="2"/>
  <c r="AE1174" i="2"/>
  <c r="AE1175" i="2"/>
  <c r="AE1176" i="2"/>
  <c r="AE1177" i="2"/>
  <c r="AE1178" i="2"/>
  <c r="AE1179" i="2"/>
  <c r="AE1180" i="2"/>
  <c r="AE1181" i="2"/>
  <c r="AE1182" i="2"/>
  <c r="AE1183" i="2"/>
  <c r="AE1184" i="2"/>
  <c r="AE1185" i="2"/>
  <c r="AE1186" i="2"/>
  <c r="AE1187" i="2"/>
  <c r="AE1188" i="2"/>
  <c r="AE1189" i="2"/>
  <c r="AE1190" i="2"/>
  <c r="AE1191" i="2"/>
  <c r="AE1192" i="2"/>
  <c r="AE1193" i="2"/>
  <c r="AE1194" i="2"/>
  <c r="AE1195" i="2"/>
  <c r="AE1196" i="2"/>
  <c r="AE1197" i="2"/>
  <c r="AE1198" i="2"/>
  <c r="AE1199" i="2"/>
  <c r="AE1200" i="2"/>
  <c r="AE1201" i="2"/>
  <c r="AE1202" i="2"/>
  <c r="AE1203" i="2"/>
  <c r="AE1204" i="2"/>
  <c r="AE1205" i="2"/>
  <c r="AE1206" i="2"/>
  <c r="AE1207" i="2"/>
  <c r="AE1208" i="2"/>
  <c r="AE1209" i="2"/>
  <c r="AE1210" i="2"/>
  <c r="AE1211" i="2"/>
  <c r="AE1212" i="2"/>
  <c r="AE1213" i="2"/>
  <c r="AE1214" i="2"/>
  <c r="AE1215" i="2"/>
  <c r="AE1216" i="2"/>
  <c r="AE1217" i="2"/>
  <c r="AE1218" i="2"/>
  <c r="AE1219" i="2"/>
  <c r="AE1220" i="2"/>
  <c r="AE1221" i="2"/>
  <c r="AE1222" i="2"/>
  <c r="AE1223" i="2"/>
  <c r="AE1224" i="2"/>
  <c r="AE1225" i="2"/>
  <c r="AE1226" i="2"/>
  <c r="AE1227" i="2"/>
  <c r="AE1228" i="2"/>
  <c r="AE1229" i="2"/>
  <c r="AE1230" i="2"/>
  <c r="AE1231" i="2"/>
  <c r="AE1232" i="2"/>
  <c r="AE1233" i="2"/>
  <c r="AE1234" i="2"/>
  <c r="AE1235" i="2"/>
  <c r="AE1236" i="2"/>
  <c r="AE1237" i="2"/>
  <c r="AE1238" i="2"/>
  <c r="AE1239" i="2"/>
  <c r="AE1240" i="2"/>
  <c r="AE1241" i="2"/>
  <c r="AE1242" i="2"/>
  <c r="AE1243" i="2"/>
  <c r="AE1244" i="2"/>
  <c r="AE1245" i="2"/>
  <c r="AE1246" i="2"/>
  <c r="AE1247" i="2"/>
  <c r="AE1248" i="2"/>
  <c r="AE2" i="2"/>
  <c r="E1207" i="3"/>
  <c r="E1206" i="3"/>
  <c r="E1205" i="3"/>
  <c r="E1204" i="3"/>
  <c r="E1203" i="3"/>
  <c r="E1202" i="3"/>
  <c r="E1201" i="3"/>
  <c r="E1200" i="3"/>
  <c r="E1199" i="3"/>
  <c r="E1198" i="3"/>
  <c r="E1197" i="3"/>
  <c r="E1196" i="3"/>
  <c r="E1195" i="3"/>
  <c r="E1194" i="3"/>
  <c r="E1193" i="3"/>
  <c r="E1192" i="3"/>
  <c r="E1191" i="3"/>
  <c r="E1190" i="3"/>
  <c r="E1189" i="3"/>
  <c r="E1188" i="3"/>
  <c r="E1187" i="3"/>
  <c r="E1186" i="3"/>
  <c r="E1185" i="3"/>
  <c r="E1184" i="3"/>
  <c r="E1183" i="3"/>
  <c r="E1182" i="3"/>
  <c r="E1181" i="3"/>
  <c r="E1180" i="3"/>
  <c r="E1179" i="3"/>
  <c r="E1178" i="3"/>
  <c r="E1177" i="3"/>
  <c r="E1176" i="3"/>
  <c r="E1175" i="3"/>
  <c r="E1174" i="3"/>
  <c r="E1173" i="3"/>
  <c r="E1172" i="3"/>
  <c r="E1171" i="3"/>
  <c r="E1170" i="3"/>
  <c r="E1169" i="3"/>
  <c r="E1168" i="3"/>
  <c r="E1167" i="3"/>
  <c r="E1166" i="3"/>
  <c r="E1165" i="3"/>
  <c r="E1164" i="3"/>
  <c r="E1163" i="3"/>
  <c r="E1162" i="3"/>
  <c r="E1161" i="3"/>
  <c r="E1160" i="3"/>
  <c r="E1159" i="3"/>
  <c r="E1158" i="3"/>
  <c r="E1157" i="3"/>
  <c r="E1156" i="3"/>
  <c r="E1155" i="3"/>
  <c r="E1154" i="3"/>
  <c r="E1153" i="3"/>
  <c r="E1152" i="3"/>
  <c r="E1151" i="3"/>
  <c r="E1150" i="3"/>
  <c r="E1149" i="3"/>
  <c r="E1148" i="3"/>
  <c r="E1147" i="3"/>
  <c r="E1146" i="3"/>
  <c r="E1145" i="3"/>
  <c r="E1144" i="3"/>
  <c r="E1143" i="3"/>
  <c r="E1142" i="3"/>
  <c r="E1141" i="3"/>
  <c r="E1140" i="3"/>
  <c r="E1139" i="3"/>
  <c r="E1138" i="3"/>
  <c r="E1137" i="3"/>
  <c r="E1136" i="3"/>
  <c r="E1135" i="3"/>
  <c r="E1134" i="3"/>
  <c r="E1133" i="3"/>
  <c r="E1132" i="3"/>
  <c r="E1131" i="3"/>
  <c r="E1130" i="3"/>
  <c r="E1129" i="3"/>
  <c r="E1128" i="3"/>
  <c r="E1127" i="3"/>
  <c r="E1126" i="3"/>
  <c r="E1125" i="3"/>
  <c r="E1124" i="3"/>
  <c r="E1123" i="3"/>
  <c r="E1122" i="3"/>
  <c r="E1121" i="3"/>
  <c r="E1120" i="3"/>
  <c r="E1119" i="3"/>
  <c r="E1118" i="3"/>
  <c r="E1117" i="3"/>
  <c r="E1116" i="3"/>
  <c r="E1115" i="3"/>
  <c r="E1114" i="3"/>
  <c r="E1113" i="3"/>
  <c r="E1112" i="3"/>
  <c r="E1111" i="3"/>
  <c r="E1110" i="3"/>
  <c r="E1109" i="3"/>
  <c r="E1108" i="3"/>
  <c r="E1107" i="3"/>
  <c r="E1106" i="3"/>
  <c r="E1105" i="3"/>
  <c r="E1104" i="3"/>
  <c r="E1103" i="3"/>
  <c r="E1102" i="3"/>
  <c r="E1101" i="3"/>
  <c r="E1100" i="3"/>
  <c r="E1099" i="3"/>
  <c r="E1098" i="3"/>
  <c r="E1097" i="3"/>
  <c r="E1096" i="3"/>
  <c r="E1095" i="3"/>
  <c r="E1094" i="3"/>
  <c r="E1093" i="3"/>
  <c r="E1092" i="3"/>
  <c r="E1091" i="3"/>
  <c r="E1090" i="3"/>
  <c r="E1089" i="3"/>
  <c r="E1088" i="3"/>
  <c r="E1087" i="3"/>
  <c r="E1086" i="3"/>
  <c r="E1085" i="3"/>
  <c r="E1084" i="3"/>
  <c r="E1083" i="3"/>
  <c r="E1082" i="3"/>
  <c r="E1081" i="3"/>
  <c r="E1080" i="3"/>
  <c r="E1079" i="3"/>
  <c r="E1078" i="3"/>
  <c r="E1077" i="3"/>
  <c r="E1076" i="3"/>
  <c r="E1075" i="3"/>
  <c r="E1074" i="3"/>
  <c r="E1073" i="3"/>
  <c r="E1072" i="3"/>
  <c r="E1071" i="3"/>
  <c r="E1070" i="3"/>
  <c r="E1069" i="3"/>
  <c r="E1068" i="3"/>
  <c r="E1067" i="3"/>
  <c r="E1066" i="3"/>
  <c r="E1065" i="3"/>
  <c r="E1064" i="3"/>
  <c r="E1063" i="3"/>
  <c r="E1062" i="3"/>
  <c r="E1061" i="3"/>
  <c r="E1060" i="3"/>
  <c r="E1059" i="3"/>
  <c r="E1058" i="3"/>
  <c r="E1057" i="3"/>
  <c r="E1056" i="3"/>
  <c r="E1055" i="3"/>
  <c r="E1054" i="3"/>
  <c r="E1053" i="3"/>
  <c r="E1052" i="3"/>
  <c r="E1051" i="3"/>
  <c r="E1050" i="3"/>
  <c r="E1049" i="3"/>
  <c r="E1048" i="3"/>
  <c r="E1047" i="3"/>
  <c r="E1046" i="3"/>
  <c r="E1045" i="3"/>
  <c r="E1044" i="3"/>
  <c r="E1043" i="3"/>
  <c r="E1042" i="3"/>
  <c r="E1041" i="3"/>
  <c r="E1040" i="3"/>
  <c r="E1039" i="3"/>
  <c r="E1038" i="3"/>
  <c r="E1037" i="3"/>
  <c r="E1036" i="3"/>
  <c r="E1035" i="3"/>
  <c r="E1034" i="3"/>
  <c r="E1033" i="3"/>
  <c r="E1032" i="3"/>
  <c r="E1031" i="3"/>
  <c r="E1030" i="3"/>
  <c r="E1029" i="3"/>
  <c r="E1028" i="3"/>
  <c r="E1027" i="3"/>
  <c r="E1026" i="3"/>
  <c r="E1025" i="3"/>
  <c r="E1024" i="3"/>
  <c r="E1023" i="3"/>
  <c r="E1022" i="3"/>
  <c r="E1021" i="3"/>
  <c r="E1020" i="3"/>
  <c r="E1019" i="3"/>
  <c r="E1018" i="3"/>
  <c r="E1017" i="3"/>
  <c r="E1016" i="3"/>
  <c r="E1015" i="3"/>
  <c r="E1014" i="3"/>
  <c r="E1013" i="3"/>
  <c r="E1012" i="3"/>
  <c r="E1011" i="3"/>
  <c r="E1010" i="3"/>
  <c r="E1009" i="3"/>
  <c r="E1008" i="3"/>
  <c r="E1007" i="3"/>
  <c r="E1006" i="3"/>
  <c r="E1005" i="3"/>
  <c r="E1004" i="3"/>
  <c r="E1003" i="3"/>
  <c r="E1002" i="3"/>
  <c r="E1001" i="3"/>
  <c r="E1000" i="3"/>
  <c r="E999" i="3"/>
  <c r="E998" i="3"/>
  <c r="E997" i="3"/>
  <c r="E996" i="3"/>
  <c r="E995" i="3"/>
  <c r="E994" i="3"/>
  <c r="E993" i="3"/>
  <c r="E992" i="3"/>
  <c r="E991" i="3"/>
  <c r="E990" i="3"/>
  <c r="E989" i="3"/>
  <c r="E988" i="3"/>
  <c r="E987" i="3"/>
  <c r="E986" i="3"/>
  <c r="E985" i="3"/>
  <c r="E984" i="3"/>
  <c r="E983" i="3"/>
  <c r="E982" i="3"/>
  <c r="E981" i="3"/>
  <c r="E980" i="3"/>
  <c r="E979" i="3"/>
  <c r="E978" i="3"/>
  <c r="E977" i="3"/>
  <c r="E976" i="3"/>
  <c r="E975" i="3"/>
  <c r="E974" i="3"/>
  <c r="E973" i="3"/>
  <c r="E972" i="3"/>
  <c r="E971" i="3"/>
  <c r="E970" i="3"/>
  <c r="E969" i="3"/>
  <c r="E968" i="3"/>
  <c r="E967" i="3"/>
  <c r="E966" i="3"/>
  <c r="E965" i="3"/>
  <c r="E964" i="3"/>
  <c r="E963" i="3"/>
  <c r="E962" i="3"/>
  <c r="E961" i="3"/>
  <c r="E960" i="3"/>
  <c r="E959" i="3"/>
  <c r="E958" i="3"/>
  <c r="E957" i="3"/>
  <c r="E956" i="3"/>
  <c r="E955" i="3"/>
  <c r="E954" i="3"/>
  <c r="E953" i="3"/>
  <c r="E952" i="3"/>
  <c r="E951" i="3"/>
  <c r="E950" i="3"/>
  <c r="E949" i="3"/>
  <c r="E948" i="3"/>
  <c r="E947" i="3"/>
  <c r="E946" i="3"/>
  <c r="E945" i="3"/>
  <c r="E944" i="3"/>
  <c r="E943" i="3"/>
  <c r="E942" i="3"/>
  <c r="E941" i="3"/>
  <c r="E940" i="3"/>
  <c r="E939" i="3"/>
  <c r="E938" i="3"/>
  <c r="E937" i="3"/>
  <c r="E936" i="3"/>
  <c r="E935" i="3"/>
  <c r="E934" i="3"/>
  <c r="E933" i="3"/>
  <c r="E932" i="3"/>
  <c r="E931" i="3"/>
  <c r="E930" i="3"/>
  <c r="E929" i="3"/>
  <c r="E928" i="3"/>
  <c r="E927" i="3"/>
  <c r="E926" i="3"/>
  <c r="E925" i="3"/>
  <c r="E924" i="3"/>
  <c r="E923" i="3"/>
  <c r="E922" i="3"/>
  <c r="E921" i="3"/>
  <c r="E920" i="3"/>
  <c r="E919" i="3"/>
  <c r="E918" i="3"/>
  <c r="E917" i="3"/>
  <c r="E916" i="3"/>
  <c r="E915" i="3"/>
  <c r="E914" i="3"/>
  <c r="E913" i="3"/>
  <c r="E912" i="3"/>
  <c r="E911" i="3"/>
  <c r="E910" i="3"/>
  <c r="E909" i="3"/>
  <c r="E908" i="3"/>
  <c r="E907" i="3"/>
  <c r="E906" i="3"/>
  <c r="E905" i="3"/>
  <c r="E904" i="3"/>
  <c r="E903" i="3"/>
  <c r="E902" i="3"/>
  <c r="E901" i="3"/>
  <c r="E900" i="3"/>
  <c r="E899" i="3"/>
  <c r="E898" i="3"/>
  <c r="E897" i="3"/>
  <c r="E896" i="3"/>
  <c r="E895" i="3"/>
  <c r="E894" i="3"/>
  <c r="E893" i="3"/>
  <c r="E892" i="3"/>
  <c r="E891" i="3"/>
  <c r="E890" i="3"/>
  <c r="E889" i="3"/>
  <c r="E888" i="3"/>
  <c r="E887" i="3"/>
  <c r="E886" i="3"/>
  <c r="E885" i="3"/>
  <c r="E884" i="3"/>
  <c r="E883" i="3"/>
  <c r="E882" i="3"/>
  <c r="E881" i="3"/>
  <c r="E880" i="3"/>
  <c r="E879" i="3"/>
  <c r="E878" i="3"/>
  <c r="E877" i="3"/>
  <c r="E876" i="3"/>
  <c r="E875" i="3"/>
  <c r="E874" i="3"/>
  <c r="E873" i="3"/>
  <c r="E872" i="3"/>
  <c r="E871" i="3"/>
  <c r="E870" i="3"/>
  <c r="E869" i="3"/>
  <c r="E868" i="3"/>
  <c r="E867" i="3"/>
  <c r="E866" i="3"/>
  <c r="E865" i="3"/>
  <c r="E864" i="3"/>
  <c r="E863" i="3"/>
  <c r="E862" i="3"/>
  <c r="E861" i="3"/>
  <c r="E860" i="3"/>
  <c r="E859" i="3"/>
  <c r="E858" i="3"/>
  <c r="E857" i="3"/>
  <c r="E856" i="3"/>
  <c r="E855" i="3"/>
  <c r="E854" i="3"/>
  <c r="E853" i="3"/>
  <c r="E852" i="3"/>
  <c r="E851" i="3"/>
  <c r="E850" i="3"/>
  <c r="E849" i="3"/>
  <c r="E848" i="3"/>
  <c r="E847" i="3"/>
  <c r="E846" i="3"/>
  <c r="E845" i="3"/>
  <c r="E844" i="3"/>
  <c r="E843" i="3"/>
  <c r="E842" i="3"/>
  <c r="E841" i="3"/>
  <c r="E840" i="3"/>
  <c r="E839" i="3"/>
  <c r="E838" i="3"/>
  <c r="E837" i="3"/>
  <c r="E836" i="3"/>
  <c r="E835" i="3"/>
  <c r="E834" i="3"/>
  <c r="E833" i="3"/>
  <c r="E832" i="3"/>
  <c r="E831" i="3"/>
  <c r="E830" i="3"/>
  <c r="E829" i="3"/>
  <c r="E828" i="3"/>
  <c r="E827" i="3"/>
  <c r="E826" i="3"/>
  <c r="E825" i="3"/>
  <c r="E824" i="3"/>
  <c r="E823" i="3"/>
  <c r="E822" i="3"/>
  <c r="E821" i="3"/>
  <c r="E820" i="3"/>
  <c r="E819" i="3"/>
  <c r="E818" i="3"/>
  <c r="E817" i="3"/>
  <c r="E816" i="3"/>
  <c r="E815" i="3"/>
  <c r="E814" i="3"/>
  <c r="E813" i="3"/>
  <c r="E812" i="3"/>
  <c r="E811" i="3"/>
  <c r="E810" i="3"/>
  <c r="E809" i="3"/>
  <c r="E808" i="3"/>
  <c r="E807" i="3"/>
  <c r="E806" i="3"/>
  <c r="E805" i="3"/>
  <c r="E804" i="3"/>
  <c r="E803" i="3"/>
  <c r="E802" i="3"/>
  <c r="E801" i="3"/>
  <c r="E800" i="3"/>
  <c r="E799" i="3"/>
  <c r="E798" i="3"/>
  <c r="E797" i="3"/>
  <c r="E796" i="3"/>
  <c r="E795" i="3"/>
  <c r="E794" i="3"/>
  <c r="E793" i="3"/>
  <c r="E792" i="3"/>
  <c r="E791" i="3"/>
  <c r="E790" i="3"/>
  <c r="E789" i="3"/>
  <c r="E788" i="3"/>
  <c r="E787" i="3"/>
  <c r="E786" i="3"/>
  <c r="E785" i="3"/>
  <c r="E784" i="3"/>
  <c r="E783" i="3"/>
  <c r="E782" i="3"/>
  <c r="E781" i="3"/>
  <c r="E780" i="3"/>
  <c r="E779" i="3"/>
  <c r="E778" i="3"/>
  <c r="E777" i="3"/>
  <c r="E776" i="3"/>
  <c r="E775" i="3"/>
  <c r="E774" i="3"/>
  <c r="E773" i="3"/>
  <c r="E772" i="3"/>
  <c r="E771" i="3"/>
  <c r="E770" i="3"/>
  <c r="E769" i="3"/>
  <c r="E768" i="3"/>
  <c r="E767" i="3"/>
  <c r="E766" i="3"/>
  <c r="E765" i="3"/>
  <c r="E764" i="3"/>
  <c r="E763" i="3"/>
  <c r="E762" i="3"/>
  <c r="E761" i="3"/>
  <c r="E760" i="3"/>
  <c r="E759" i="3"/>
  <c r="E758" i="3"/>
  <c r="E757" i="3"/>
  <c r="E756" i="3"/>
  <c r="E755" i="3"/>
  <c r="E754" i="3"/>
  <c r="E753" i="3"/>
  <c r="E752" i="3"/>
  <c r="E751" i="3"/>
  <c r="E750" i="3"/>
  <c r="E749" i="3"/>
  <c r="E748" i="3"/>
  <c r="E747" i="3"/>
  <c r="E746" i="3"/>
  <c r="E745" i="3"/>
  <c r="E744" i="3"/>
  <c r="E743" i="3"/>
  <c r="E742" i="3"/>
  <c r="E741" i="3"/>
  <c r="E740" i="3"/>
  <c r="E739" i="3"/>
  <c r="E738" i="3"/>
  <c r="E737" i="3"/>
  <c r="E736" i="3"/>
  <c r="E735" i="3"/>
  <c r="E734" i="3"/>
  <c r="E733" i="3"/>
  <c r="E732" i="3"/>
  <c r="E731" i="3"/>
  <c r="E730" i="3"/>
  <c r="E729" i="3"/>
  <c r="E728" i="3"/>
  <c r="E727" i="3"/>
  <c r="E726" i="3"/>
  <c r="E725" i="3"/>
  <c r="E724" i="3"/>
  <c r="E723" i="3"/>
  <c r="E722" i="3"/>
  <c r="E721" i="3"/>
  <c r="E720" i="3"/>
  <c r="E719" i="3"/>
  <c r="E718" i="3"/>
  <c r="E717" i="3"/>
  <c r="E716" i="3"/>
  <c r="E715" i="3"/>
  <c r="E714" i="3"/>
  <c r="E713" i="3"/>
  <c r="E712" i="3"/>
  <c r="E711" i="3"/>
  <c r="E710" i="3"/>
  <c r="E709" i="3"/>
  <c r="E708" i="3"/>
  <c r="E707" i="3"/>
  <c r="E706" i="3"/>
  <c r="E705" i="3"/>
  <c r="E704" i="3"/>
  <c r="E703" i="3"/>
  <c r="E702" i="3"/>
  <c r="E701" i="3"/>
  <c r="E700" i="3"/>
  <c r="E699" i="3"/>
  <c r="E698" i="3"/>
  <c r="E697" i="3"/>
  <c r="E696" i="3"/>
  <c r="E695" i="3"/>
  <c r="E694" i="3"/>
  <c r="E693" i="3"/>
  <c r="E692" i="3"/>
  <c r="E691" i="3"/>
  <c r="E690" i="3"/>
  <c r="E689" i="3"/>
  <c r="E688" i="3"/>
  <c r="E687" i="3"/>
  <c r="E686" i="3"/>
  <c r="E685" i="3"/>
  <c r="E684" i="3"/>
  <c r="E683" i="3"/>
  <c r="E682" i="3"/>
  <c r="E681" i="3"/>
  <c r="E680" i="3"/>
  <c r="E679" i="3"/>
  <c r="E678" i="3"/>
  <c r="E677" i="3"/>
  <c r="E676" i="3"/>
  <c r="E675" i="3"/>
  <c r="E674" i="3"/>
  <c r="E673" i="3"/>
  <c r="E672" i="3"/>
  <c r="E671" i="3"/>
  <c r="E670" i="3"/>
  <c r="E669" i="3"/>
  <c r="E668" i="3"/>
  <c r="E667" i="3"/>
  <c r="E666" i="3"/>
  <c r="E665" i="3"/>
  <c r="E664" i="3"/>
  <c r="E663" i="3"/>
  <c r="E662" i="3"/>
  <c r="E661" i="3"/>
  <c r="E660" i="3"/>
  <c r="E659" i="3"/>
  <c r="E658" i="3"/>
  <c r="E657" i="3"/>
  <c r="E656" i="3"/>
  <c r="E655" i="3"/>
  <c r="E654" i="3"/>
  <c r="E653" i="3"/>
  <c r="E652" i="3"/>
  <c r="E651" i="3"/>
  <c r="E650" i="3"/>
  <c r="E649" i="3"/>
  <c r="E648" i="3"/>
  <c r="E647" i="3"/>
  <c r="E646" i="3"/>
  <c r="E645" i="3"/>
  <c r="E644" i="3"/>
  <c r="E643" i="3"/>
  <c r="E642" i="3"/>
  <c r="E641" i="3"/>
  <c r="E640" i="3"/>
  <c r="E639" i="3"/>
  <c r="E638" i="3"/>
  <c r="E637" i="3"/>
  <c r="E636" i="3"/>
  <c r="E635" i="3"/>
  <c r="E634" i="3"/>
  <c r="E633" i="3"/>
  <c r="E632" i="3"/>
  <c r="E631" i="3"/>
  <c r="E630" i="3"/>
  <c r="E629" i="3"/>
  <c r="E628" i="3"/>
  <c r="E627" i="3"/>
  <c r="E626" i="3"/>
  <c r="E625" i="3"/>
  <c r="E624" i="3"/>
  <c r="E623" i="3"/>
  <c r="E622" i="3"/>
  <c r="E621" i="3"/>
  <c r="E620" i="3"/>
  <c r="E619" i="3"/>
  <c r="E618" i="3"/>
  <c r="E617" i="3"/>
  <c r="E616" i="3"/>
  <c r="E615" i="3"/>
  <c r="E614" i="3"/>
  <c r="E613" i="3"/>
  <c r="E612" i="3"/>
  <c r="E611" i="3"/>
  <c r="E610" i="3"/>
  <c r="E609" i="3"/>
  <c r="E608" i="3"/>
  <c r="E607" i="3"/>
  <c r="E606" i="3"/>
  <c r="E605" i="3"/>
  <c r="E604" i="3"/>
  <c r="E603" i="3"/>
  <c r="E602" i="3"/>
  <c r="E601" i="3"/>
  <c r="E600" i="3"/>
  <c r="E599" i="3"/>
  <c r="E598" i="3"/>
  <c r="E597" i="3"/>
  <c r="E596" i="3"/>
  <c r="E595" i="3"/>
  <c r="E594" i="3"/>
  <c r="E593" i="3"/>
  <c r="E592" i="3"/>
  <c r="E591" i="3"/>
  <c r="E590" i="3"/>
  <c r="E589" i="3"/>
  <c r="E588" i="3"/>
  <c r="E587" i="3"/>
  <c r="E586" i="3"/>
  <c r="E585" i="3"/>
  <c r="E584" i="3"/>
  <c r="E583" i="3"/>
  <c r="E582" i="3"/>
  <c r="E581" i="3"/>
  <c r="E580" i="3"/>
  <c r="E579" i="3"/>
  <c r="E578" i="3"/>
  <c r="E577" i="3"/>
  <c r="E576" i="3"/>
  <c r="E575" i="3"/>
  <c r="E574" i="3"/>
  <c r="E573" i="3"/>
  <c r="E572" i="3"/>
  <c r="E571" i="3"/>
  <c r="E570" i="3"/>
  <c r="E569" i="3"/>
  <c r="E568" i="3"/>
  <c r="E567" i="3"/>
  <c r="E566" i="3"/>
  <c r="E565" i="3"/>
  <c r="E564" i="3"/>
  <c r="E563" i="3"/>
  <c r="E562" i="3"/>
  <c r="E561" i="3"/>
  <c r="E560" i="3"/>
  <c r="E559" i="3"/>
  <c r="E558" i="3"/>
  <c r="E557" i="3"/>
  <c r="E556" i="3"/>
  <c r="E555" i="3"/>
  <c r="E554" i="3"/>
  <c r="E553" i="3"/>
  <c r="E552" i="3"/>
  <c r="E551" i="3"/>
  <c r="E550" i="3"/>
  <c r="E549" i="3"/>
  <c r="E548" i="3"/>
  <c r="E547" i="3"/>
  <c r="E546" i="3"/>
  <c r="E545" i="3"/>
  <c r="E544" i="3"/>
  <c r="E543" i="3"/>
  <c r="E542" i="3"/>
  <c r="E541" i="3"/>
  <c r="E540" i="3"/>
  <c r="E539" i="3"/>
  <c r="E538" i="3"/>
  <c r="E537" i="3"/>
  <c r="E536" i="3"/>
  <c r="E535" i="3"/>
  <c r="E534" i="3"/>
  <c r="E533" i="3"/>
  <c r="E532" i="3"/>
  <c r="E531" i="3"/>
  <c r="E530" i="3"/>
  <c r="E529" i="3"/>
  <c r="E528" i="3"/>
  <c r="E527" i="3"/>
  <c r="E526" i="3"/>
  <c r="E525" i="3"/>
  <c r="E524" i="3"/>
  <c r="E523" i="3"/>
  <c r="E522" i="3"/>
  <c r="E521" i="3"/>
  <c r="E520" i="3"/>
  <c r="E519" i="3"/>
  <c r="E518" i="3"/>
  <c r="E517" i="3"/>
  <c r="E516" i="3"/>
  <c r="E515" i="3"/>
  <c r="E514" i="3"/>
  <c r="E513" i="3"/>
  <c r="E512" i="3"/>
  <c r="E511" i="3"/>
  <c r="E510" i="3"/>
  <c r="E509" i="3"/>
  <c r="E508" i="3"/>
  <c r="E507" i="3"/>
  <c r="E506" i="3"/>
  <c r="E505" i="3"/>
  <c r="E504" i="3"/>
  <c r="E503" i="3"/>
  <c r="E502" i="3"/>
  <c r="E501" i="3"/>
  <c r="E500" i="3"/>
  <c r="E499" i="3"/>
  <c r="E498" i="3"/>
  <c r="E497" i="3"/>
  <c r="E496" i="3"/>
  <c r="E495" i="3"/>
  <c r="E494" i="3"/>
  <c r="E493" i="3"/>
  <c r="E492" i="3"/>
  <c r="E491" i="3"/>
  <c r="E490" i="3"/>
  <c r="E489" i="3"/>
  <c r="E488" i="3"/>
  <c r="E487" i="3"/>
  <c r="E486" i="3"/>
  <c r="E485" i="3"/>
  <c r="E484" i="3"/>
  <c r="E483" i="3"/>
  <c r="E482" i="3"/>
  <c r="E481" i="3"/>
  <c r="E480" i="3"/>
  <c r="E479" i="3"/>
  <c r="E478" i="3"/>
  <c r="E477" i="3"/>
  <c r="E476" i="3"/>
  <c r="E475" i="3"/>
  <c r="E474" i="3"/>
  <c r="E473" i="3"/>
  <c r="E472" i="3"/>
  <c r="E471" i="3"/>
  <c r="E470" i="3"/>
  <c r="E469" i="3"/>
  <c r="E468" i="3"/>
  <c r="E467" i="3"/>
  <c r="E466" i="3"/>
  <c r="E465" i="3"/>
  <c r="E464" i="3"/>
  <c r="E463" i="3"/>
  <c r="E462" i="3"/>
  <c r="E461" i="3"/>
  <c r="E460" i="3"/>
  <c r="E459" i="3"/>
  <c r="E458" i="3"/>
  <c r="E457" i="3"/>
  <c r="E456" i="3"/>
  <c r="E455" i="3"/>
  <c r="E454" i="3"/>
  <c r="E453" i="3"/>
  <c r="E452" i="3"/>
  <c r="E451" i="3"/>
  <c r="E450" i="3"/>
  <c r="E449" i="3"/>
  <c r="E448" i="3"/>
  <c r="E447" i="3"/>
  <c r="E446" i="3"/>
  <c r="E445" i="3"/>
  <c r="E444" i="3"/>
  <c r="E443" i="3"/>
  <c r="E442" i="3"/>
  <c r="E441" i="3"/>
  <c r="E440" i="3"/>
  <c r="E439" i="3"/>
  <c r="E438" i="3"/>
  <c r="E437" i="3"/>
  <c r="E436" i="3"/>
  <c r="E435" i="3"/>
  <c r="E434" i="3"/>
  <c r="E433" i="3"/>
  <c r="E432" i="3"/>
  <c r="E431" i="3"/>
  <c r="E430" i="3"/>
  <c r="E429" i="3"/>
  <c r="E428" i="3"/>
  <c r="E427" i="3"/>
  <c r="E426" i="3"/>
  <c r="E425" i="3"/>
  <c r="E424" i="3"/>
  <c r="E423" i="3"/>
  <c r="E422" i="3"/>
  <c r="E421" i="3"/>
  <c r="E420" i="3"/>
  <c r="E419" i="3"/>
  <c r="E418" i="3"/>
  <c r="E417" i="3"/>
  <c r="E416" i="3"/>
  <c r="E415" i="3"/>
  <c r="E414" i="3"/>
  <c r="E413" i="3"/>
  <c r="E412" i="3"/>
  <c r="E411" i="3"/>
  <c r="E410" i="3"/>
  <c r="E409" i="3"/>
  <c r="E408" i="3"/>
  <c r="E407" i="3"/>
  <c r="E406" i="3"/>
  <c r="E405" i="3"/>
  <c r="E404" i="3"/>
  <c r="E403" i="3"/>
  <c r="E402" i="3"/>
  <c r="E401" i="3"/>
  <c r="E400" i="3"/>
  <c r="E399" i="3"/>
  <c r="E398" i="3"/>
  <c r="E397" i="3"/>
  <c r="E396" i="3"/>
  <c r="E395" i="3"/>
  <c r="E394" i="3"/>
  <c r="E393" i="3"/>
  <c r="E392" i="3"/>
  <c r="E391" i="3"/>
  <c r="E390" i="3"/>
  <c r="E389" i="3"/>
  <c r="E388" i="3"/>
  <c r="E387" i="3"/>
  <c r="E386" i="3"/>
  <c r="E385" i="3"/>
  <c r="E384" i="3"/>
  <c r="E383" i="3"/>
  <c r="E382" i="3"/>
  <c r="E381" i="3"/>
  <c r="E380" i="3"/>
  <c r="E379" i="3"/>
  <c r="E378" i="3"/>
  <c r="E377" i="3"/>
  <c r="E376" i="3"/>
  <c r="E375" i="3"/>
  <c r="E374" i="3"/>
  <c r="E373" i="3"/>
  <c r="E372" i="3"/>
  <c r="E371" i="3"/>
  <c r="E370" i="3"/>
  <c r="E369" i="3"/>
  <c r="E368" i="3"/>
  <c r="E367" i="3"/>
  <c r="E366" i="3"/>
  <c r="E365" i="3"/>
  <c r="E364" i="3"/>
  <c r="E363" i="3"/>
  <c r="E362" i="3"/>
  <c r="E361" i="3"/>
  <c r="E360" i="3"/>
  <c r="E359" i="3"/>
  <c r="E358" i="3"/>
  <c r="E357" i="3"/>
  <c r="E356" i="3"/>
  <c r="E355" i="3"/>
  <c r="E354" i="3"/>
  <c r="E353" i="3"/>
  <c r="E352" i="3"/>
  <c r="E351" i="3"/>
  <c r="E350" i="3"/>
  <c r="E349" i="3"/>
  <c r="E348" i="3"/>
  <c r="E347" i="3"/>
  <c r="E346" i="3"/>
  <c r="E345" i="3"/>
  <c r="E344" i="3"/>
  <c r="E343" i="3"/>
  <c r="E342" i="3"/>
  <c r="E341" i="3"/>
  <c r="E340" i="3"/>
  <c r="E339" i="3"/>
  <c r="E338" i="3"/>
  <c r="E337" i="3"/>
  <c r="E336" i="3"/>
  <c r="E335" i="3"/>
  <c r="E334" i="3"/>
  <c r="E333" i="3"/>
  <c r="E332" i="3"/>
  <c r="E331" i="3"/>
  <c r="E330" i="3"/>
  <c r="E329" i="3"/>
  <c r="E328" i="3"/>
  <c r="E327" i="3"/>
  <c r="E326" i="3"/>
  <c r="E325" i="3"/>
  <c r="E324" i="3"/>
  <c r="E323" i="3"/>
  <c r="E322" i="3"/>
  <c r="E321" i="3"/>
  <c r="E320" i="3"/>
  <c r="E319" i="3"/>
  <c r="E318" i="3"/>
  <c r="E317" i="3"/>
  <c r="E316" i="3"/>
  <c r="E315" i="3"/>
  <c r="E314" i="3"/>
  <c r="E313" i="3"/>
  <c r="E312" i="3"/>
  <c r="E311" i="3"/>
  <c r="E310" i="3"/>
  <c r="E309" i="3"/>
  <c r="E308" i="3"/>
  <c r="E307" i="3"/>
  <c r="E306" i="3"/>
  <c r="E305" i="3"/>
  <c r="E304" i="3"/>
  <c r="E303" i="3"/>
  <c r="E302" i="3"/>
  <c r="E301" i="3"/>
  <c r="E300" i="3"/>
  <c r="E299" i="3"/>
  <c r="E298" i="3"/>
  <c r="E297" i="3"/>
  <c r="E296" i="3"/>
  <c r="E295" i="3"/>
  <c r="E294" i="3"/>
  <c r="E293" i="3"/>
  <c r="E292" i="3"/>
  <c r="E291" i="3"/>
  <c r="E290" i="3"/>
  <c r="E289" i="3"/>
  <c r="E288" i="3"/>
  <c r="E287" i="3"/>
  <c r="E286" i="3"/>
  <c r="E285" i="3"/>
  <c r="E284" i="3"/>
  <c r="E283" i="3"/>
  <c r="E282" i="3"/>
  <c r="E281" i="3"/>
  <c r="E280" i="3"/>
  <c r="E279" i="3"/>
  <c r="E278" i="3"/>
  <c r="E277" i="3"/>
  <c r="E276" i="3"/>
  <c r="E275" i="3"/>
  <c r="E274" i="3"/>
  <c r="E273" i="3"/>
  <c r="E272" i="3"/>
  <c r="E271" i="3"/>
  <c r="E270" i="3"/>
  <c r="E269" i="3"/>
  <c r="E268" i="3"/>
  <c r="E267" i="3"/>
  <c r="E266" i="3"/>
  <c r="E265" i="3"/>
  <c r="E264" i="3"/>
  <c r="E263" i="3"/>
  <c r="E262" i="3"/>
  <c r="E261" i="3"/>
  <c r="E260" i="3"/>
  <c r="E259" i="3"/>
  <c r="E258" i="3"/>
  <c r="E257" i="3"/>
  <c r="E256" i="3"/>
  <c r="E255" i="3"/>
  <c r="E254" i="3"/>
  <c r="E253" i="3"/>
  <c r="E252" i="3"/>
  <c r="E251" i="3"/>
  <c r="E250" i="3"/>
  <c r="E249" i="3"/>
  <c r="E248" i="3"/>
  <c r="E247" i="3"/>
  <c r="E246" i="3"/>
  <c r="E245" i="3"/>
  <c r="E244" i="3"/>
  <c r="E243" i="3"/>
  <c r="E242" i="3"/>
  <c r="E241" i="3"/>
  <c r="E240" i="3"/>
  <c r="E239" i="3"/>
  <c r="E238" i="3"/>
  <c r="E237" i="3"/>
  <c r="E236" i="3"/>
  <c r="E235" i="3"/>
  <c r="E234" i="3"/>
  <c r="E233" i="3"/>
  <c r="E232" i="3"/>
  <c r="E231" i="3"/>
  <c r="E230" i="3"/>
  <c r="E229" i="3"/>
  <c r="E228" i="3"/>
  <c r="E227" i="3"/>
  <c r="E226" i="3"/>
  <c r="E225" i="3"/>
  <c r="E224" i="3"/>
  <c r="E223" i="3"/>
  <c r="E222" i="3"/>
  <c r="E221" i="3"/>
  <c r="E220" i="3"/>
  <c r="E219" i="3"/>
  <c r="E218" i="3"/>
  <c r="E217" i="3"/>
  <c r="E216" i="3"/>
  <c r="E215" i="3"/>
  <c r="E214" i="3"/>
  <c r="E213" i="3"/>
  <c r="E212" i="3"/>
  <c r="E211" i="3"/>
  <c r="E210" i="3"/>
  <c r="E209" i="3"/>
  <c r="I208" i="3"/>
  <c r="E208" i="3"/>
  <c r="I207" i="3"/>
  <c r="E207" i="3"/>
  <c r="I206" i="3"/>
  <c r="E206" i="3"/>
  <c r="I205" i="3"/>
  <c r="E205" i="3"/>
  <c r="I204" i="3"/>
  <c r="E204" i="3"/>
  <c r="I203" i="3"/>
  <c r="E203" i="3"/>
  <c r="I202" i="3"/>
  <c r="E202" i="3"/>
  <c r="I201" i="3"/>
  <c r="E201" i="3"/>
  <c r="I200" i="3"/>
  <c r="E200" i="3"/>
  <c r="I199" i="3"/>
  <c r="E199" i="3"/>
  <c r="I198" i="3"/>
  <c r="E198" i="3"/>
  <c r="I197" i="3"/>
  <c r="E197" i="3"/>
  <c r="I196" i="3"/>
  <c r="E196" i="3"/>
  <c r="I195" i="3"/>
  <c r="E195" i="3"/>
  <c r="I194" i="3"/>
  <c r="E194" i="3"/>
  <c r="I193" i="3"/>
  <c r="E193" i="3"/>
  <c r="I192" i="3"/>
  <c r="E192" i="3"/>
  <c r="I191" i="3"/>
  <c r="E191" i="3"/>
  <c r="I190" i="3"/>
  <c r="E190" i="3"/>
  <c r="I189" i="3"/>
  <c r="E189" i="3"/>
  <c r="I188" i="3"/>
  <c r="E188" i="3"/>
  <c r="I187" i="3"/>
  <c r="E187" i="3"/>
  <c r="I186" i="3"/>
  <c r="E186" i="3"/>
  <c r="I185" i="3"/>
  <c r="E185" i="3"/>
  <c r="I184" i="3"/>
  <c r="E184" i="3"/>
  <c r="I183" i="3"/>
  <c r="E183" i="3"/>
  <c r="I182" i="3"/>
  <c r="E182" i="3"/>
  <c r="I181" i="3"/>
  <c r="E181" i="3"/>
  <c r="I180" i="3"/>
  <c r="E180" i="3"/>
  <c r="I179" i="3"/>
  <c r="E179" i="3"/>
  <c r="I178" i="3"/>
  <c r="E178" i="3"/>
  <c r="I177" i="3"/>
  <c r="E177" i="3"/>
  <c r="I176" i="3"/>
  <c r="E176" i="3"/>
  <c r="I175" i="3"/>
  <c r="E175" i="3"/>
  <c r="I174" i="3"/>
  <c r="E174" i="3"/>
  <c r="I173" i="3"/>
  <c r="E173" i="3"/>
  <c r="I172" i="3"/>
  <c r="E172" i="3"/>
  <c r="I171" i="3"/>
  <c r="E171" i="3"/>
  <c r="I170" i="3"/>
  <c r="E170" i="3"/>
  <c r="I169" i="3"/>
  <c r="E169" i="3"/>
  <c r="I168" i="3"/>
  <c r="E168" i="3"/>
  <c r="I167" i="3"/>
  <c r="E167" i="3"/>
  <c r="I166" i="3"/>
  <c r="E166" i="3"/>
  <c r="I165" i="3"/>
  <c r="E165" i="3"/>
  <c r="I164" i="3"/>
  <c r="E164" i="3"/>
  <c r="I163" i="3"/>
  <c r="E163" i="3"/>
  <c r="I162" i="3"/>
  <c r="E162" i="3"/>
  <c r="I161" i="3"/>
  <c r="E161" i="3"/>
  <c r="I160" i="3"/>
  <c r="E160" i="3"/>
  <c r="I159" i="3"/>
  <c r="E159" i="3"/>
  <c r="I158" i="3"/>
  <c r="E158" i="3"/>
  <c r="I157" i="3"/>
  <c r="E157" i="3"/>
  <c r="I156" i="3"/>
  <c r="E156" i="3"/>
  <c r="I155" i="3"/>
  <c r="E155" i="3"/>
  <c r="I154" i="3"/>
  <c r="E154" i="3"/>
  <c r="I153" i="3"/>
  <c r="E153" i="3"/>
  <c r="I152" i="3"/>
  <c r="E152" i="3"/>
  <c r="I151" i="3"/>
  <c r="E151" i="3"/>
  <c r="I150" i="3"/>
  <c r="E150" i="3"/>
  <c r="I149" i="3"/>
  <c r="E149" i="3"/>
  <c r="I148" i="3"/>
  <c r="E148" i="3"/>
  <c r="I147" i="3"/>
  <c r="E147" i="3"/>
  <c r="I146" i="3"/>
  <c r="E146" i="3"/>
  <c r="I145" i="3"/>
  <c r="E145" i="3"/>
  <c r="I144" i="3"/>
  <c r="E144" i="3"/>
  <c r="I143" i="3"/>
  <c r="E143" i="3"/>
  <c r="I142" i="3"/>
  <c r="E142" i="3"/>
  <c r="I141" i="3"/>
  <c r="E141" i="3"/>
  <c r="I140" i="3"/>
  <c r="E140" i="3"/>
  <c r="I139" i="3"/>
  <c r="E139" i="3"/>
  <c r="I138" i="3"/>
  <c r="E138" i="3"/>
  <c r="I137" i="3"/>
  <c r="E137" i="3"/>
  <c r="I136" i="3"/>
  <c r="E136" i="3"/>
  <c r="I135" i="3"/>
  <c r="E135" i="3"/>
  <c r="I134" i="3"/>
  <c r="E134" i="3"/>
  <c r="I133" i="3"/>
  <c r="E133" i="3"/>
  <c r="I132" i="3"/>
  <c r="E132" i="3"/>
  <c r="I131" i="3"/>
  <c r="E131" i="3"/>
  <c r="I130" i="3"/>
  <c r="E130" i="3"/>
  <c r="I129" i="3"/>
  <c r="E129" i="3"/>
  <c r="I128" i="3"/>
  <c r="E128" i="3"/>
  <c r="I127" i="3"/>
  <c r="E127" i="3"/>
  <c r="I126" i="3"/>
  <c r="E126" i="3"/>
  <c r="I125" i="3"/>
  <c r="E125" i="3"/>
  <c r="I124" i="3"/>
  <c r="E124" i="3"/>
  <c r="I123" i="3"/>
  <c r="E123" i="3"/>
  <c r="I122" i="3"/>
  <c r="E122" i="3"/>
  <c r="I121" i="3"/>
  <c r="E121" i="3"/>
  <c r="I120" i="3"/>
  <c r="E120" i="3"/>
  <c r="I119" i="3"/>
  <c r="E119" i="3"/>
  <c r="I118" i="3"/>
  <c r="E118" i="3"/>
  <c r="I117" i="3"/>
  <c r="E117" i="3"/>
  <c r="I116" i="3"/>
  <c r="E116" i="3"/>
  <c r="I115" i="3"/>
  <c r="E115" i="3"/>
  <c r="I114" i="3"/>
  <c r="E114" i="3"/>
  <c r="I113" i="3"/>
  <c r="E113" i="3"/>
  <c r="I112" i="3"/>
  <c r="E112" i="3"/>
  <c r="I111" i="3"/>
  <c r="E111" i="3"/>
  <c r="I110" i="3"/>
  <c r="E110" i="3"/>
  <c r="I109" i="3"/>
  <c r="E109" i="3"/>
  <c r="I108" i="3"/>
  <c r="E108" i="3"/>
  <c r="I107" i="3"/>
  <c r="E107" i="3"/>
  <c r="I106" i="3"/>
  <c r="E106" i="3"/>
  <c r="I105" i="3"/>
  <c r="E105" i="3"/>
  <c r="I104" i="3"/>
  <c r="E104" i="3"/>
  <c r="I103" i="3"/>
  <c r="E103" i="3"/>
  <c r="I102" i="3"/>
  <c r="E102" i="3"/>
  <c r="I101" i="3"/>
  <c r="E101" i="3"/>
  <c r="I100" i="3"/>
  <c r="E100" i="3"/>
  <c r="I99" i="3"/>
  <c r="E99" i="3"/>
  <c r="I98" i="3"/>
  <c r="E98" i="3"/>
  <c r="I97" i="3"/>
  <c r="E97" i="3"/>
  <c r="I96" i="3"/>
  <c r="E96" i="3"/>
  <c r="I95" i="3"/>
  <c r="E95" i="3"/>
  <c r="I94" i="3"/>
  <c r="E94" i="3"/>
  <c r="I93" i="3"/>
  <c r="E93" i="3"/>
  <c r="I92" i="3"/>
  <c r="E92" i="3"/>
  <c r="I91" i="3"/>
  <c r="E91" i="3"/>
  <c r="I90" i="3"/>
  <c r="E90" i="3"/>
  <c r="I89" i="3"/>
  <c r="E89" i="3"/>
  <c r="I88" i="3"/>
  <c r="E88" i="3"/>
  <c r="I87" i="3"/>
  <c r="E87" i="3"/>
  <c r="I86" i="3"/>
  <c r="E86" i="3"/>
  <c r="I85" i="3"/>
  <c r="E85" i="3"/>
  <c r="I84" i="3"/>
  <c r="E84" i="3"/>
  <c r="I83" i="3"/>
  <c r="E83" i="3"/>
  <c r="I82" i="3"/>
  <c r="E82" i="3"/>
  <c r="I81" i="3"/>
  <c r="E81" i="3"/>
  <c r="I80" i="3"/>
  <c r="E80" i="3"/>
  <c r="I79" i="3"/>
  <c r="E79" i="3"/>
  <c r="I78" i="3"/>
  <c r="E78" i="3"/>
  <c r="I77" i="3"/>
  <c r="E77" i="3"/>
  <c r="I76" i="3"/>
  <c r="E76" i="3"/>
  <c r="I75" i="3"/>
  <c r="E75" i="3"/>
  <c r="I74" i="3"/>
  <c r="E74" i="3"/>
  <c r="I73" i="3"/>
  <c r="E73" i="3"/>
  <c r="I72" i="3"/>
  <c r="E72" i="3"/>
  <c r="I71" i="3"/>
  <c r="E71" i="3"/>
  <c r="I70" i="3"/>
  <c r="E70" i="3"/>
  <c r="I69" i="3"/>
  <c r="E69" i="3"/>
  <c r="I68" i="3"/>
  <c r="E68" i="3"/>
  <c r="I67" i="3"/>
  <c r="E67" i="3"/>
  <c r="I66" i="3"/>
  <c r="E66" i="3"/>
  <c r="I65" i="3"/>
  <c r="E65" i="3"/>
  <c r="I64" i="3"/>
  <c r="E64" i="3"/>
  <c r="I63" i="3"/>
  <c r="E63" i="3"/>
  <c r="I62" i="3"/>
  <c r="E62" i="3"/>
  <c r="I61" i="3"/>
  <c r="E61" i="3"/>
  <c r="I60" i="3"/>
  <c r="E60" i="3"/>
  <c r="I59" i="3"/>
  <c r="E59" i="3"/>
  <c r="I58" i="3"/>
  <c r="E58" i="3"/>
  <c r="I57" i="3"/>
  <c r="E57" i="3"/>
  <c r="I56" i="3"/>
  <c r="E56" i="3"/>
  <c r="I55" i="3"/>
  <c r="E55" i="3"/>
  <c r="I54" i="3"/>
  <c r="E54" i="3"/>
  <c r="I53" i="3"/>
  <c r="E53" i="3"/>
  <c r="I52" i="3"/>
  <c r="E52" i="3"/>
  <c r="I51" i="3"/>
  <c r="E51" i="3"/>
  <c r="I50" i="3"/>
  <c r="E50" i="3"/>
  <c r="I49" i="3"/>
  <c r="E49" i="3"/>
  <c r="I48" i="3"/>
  <c r="E48" i="3"/>
  <c r="I47" i="3"/>
  <c r="E47" i="3"/>
  <c r="I46" i="3"/>
  <c r="E46" i="3"/>
  <c r="I45" i="3"/>
  <c r="E45" i="3"/>
  <c r="I44" i="3"/>
  <c r="E44" i="3"/>
  <c r="I43" i="3"/>
  <c r="E43" i="3"/>
  <c r="I42" i="3"/>
  <c r="E42" i="3"/>
  <c r="I41" i="3"/>
  <c r="E41" i="3"/>
  <c r="I40" i="3"/>
  <c r="E40" i="3"/>
  <c r="I39" i="3"/>
  <c r="E39" i="3"/>
  <c r="I38" i="3"/>
  <c r="E38" i="3"/>
  <c r="I37" i="3"/>
  <c r="E37" i="3"/>
  <c r="I36" i="3"/>
  <c r="E36" i="3"/>
  <c r="I35" i="3"/>
  <c r="E35" i="3"/>
  <c r="I34" i="3"/>
  <c r="E34" i="3"/>
  <c r="I33" i="3"/>
  <c r="E33" i="3"/>
  <c r="I32" i="3"/>
  <c r="E32" i="3"/>
  <c r="I31" i="3"/>
  <c r="E31" i="3"/>
  <c r="I30" i="3"/>
  <c r="E30" i="3"/>
  <c r="I29" i="3"/>
  <c r="E29" i="3"/>
  <c r="I28" i="3"/>
  <c r="E28" i="3"/>
  <c r="I27" i="3"/>
  <c r="E27" i="3"/>
  <c r="I26" i="3"/>
  <c r="E26" i="3"/>
  <c r="I25" i="3"/>
  <c r="E25" i="3"/>
  <c r="I24" i="3"/>
  <c r="E24" i="3"/>
  <c r="I23" i="3"/>
  <c r="E23" i="3"/>
  <c r="I22" i="3"/>
  <c r="E22" i="3"/>
  <c r="I21" i="3"/>
  <c r="E21" i="3"/>
  <c r="I20" i="3"/>
  <c r="E20" i="3"/>
  <c r="I19" i="3"/>
  <c r="E19" i="3"/>
  <c r="I18" i="3"/>
  <c r="E18" i="3"/>
  <c r="I17" i="3"/>
  <c r="E17" i="3"/>
  <c r="I16" i="3"/>
  <c r="E16" i="3"/>
  <c r="I15" i="3"/>
  <c r="E15" i="3"/>
  <c r="I14" i="3"/>
  <c r="E14" i="3"/>
  <c r="I13" i="3"/>
  <c r="E13" i="3"/>
  <c r="I12" i="3"/>
  <c r="E12" i="3"/>
  <c r="I11" i="3"/>
  <c r="E11" i="3"/>
  <c r="I10" i="3"/>
  <c r="E10" i="3"/>
  <c r="I9" i="3"/>
  <c r="E9" i="3"/>
  <c r="I8" i="3"/>
  <c r="E8" i="3"/>
  <c r="I7" i="3"/>
  <c r="E7" i="3"/>
  <c r="I6" i="3"/>
  <c r="E6" i="3"/>
  <c r="F1208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tc={8C3BB528-A23C-4718-8FEA-657E331FBCA7}</author>
    <author>tc={3908820C-4B47-40D1-B3A5-3025162E9FE3}</author>
    <author>tc={FFD5A026-EEFC-4BD2-88C3-EF400AE84664}</author>
    <author>tc={7BC99064-9F4C-49CE-8759-3EF50039DB7F}</author>
    <author>tc={F24DE63F-6DD6-49F6-A1CC-DF6BE4240D35}</author>
  </authors>
  <commentList>
    <comment ref="H3" authorId="0" shapeId="0" xr:uid="{8C3BB528-A23C-4718-8FEA-657E331FBCA7}">
      <text>
        <t>[Threaded comment]
Your version of Excel allows you to read this threaded comment; however, any edits to it will get removed if the file is opened in a newer version of Excel. Learn more: https://go.microsoft.com/fwlink/?linkid=870924
Comment:
    Important: indices in the same group must have the same effective dates</t>
      </text>
    </comment>
    <comment ref="I3" authorId="1" shapeId="0" xr:uid="{3908820C-4B47-40D1-B3A5-3025162E9FE3}">
      <text>
        <t>[Threaded comment]
Your version of Excel allows you to read this threaded comment; however, any edits to it will get removed if the file is opened in a newer version of Excel. Learn more: https://go.microsoft.com/fwlink/?linkid=870924
Comment:
    Important: indices in the same group must have the same cutoff dates</t>
      </text>
    </comment>
    <comment ref="O3" authorId="2" shapeId="0" xr:uid="{FFD5A026-EEFC-4BD2-88C3-EF400AE84664}">
      <text>
        <t>[Threaded comment]
Your version of Excel allows you to read this threaded comment; however, any edits to it will get removed if the file is opened in a newer version of Excel. Learn more: https://go.microsoft.com/fwlink/?linkid=870924
Comment:
    If multiple data vendors are applicable: sort them alphabetically and separate them with a ";". 
For example: "CDP;Moody's;Sustainalytics"</t>
      </text>
    </comment>
    <comment ref="O140" authorId="3" shapeId="0" xr:uid="{7BC99064-9F4C-49CE-8759-3EF50039DB7F}">
      <text>
        <t>[Threaded comment]
Your version of Excel allows you to read this threaded comment; however, any edits to it will get removed if the file is opened in a newer version of Excel. Learn more: https://go.microsoft.com/fwlink/?linkid=870924
Comment:
    Business France hidden into SESAMm (in universe we send them)</t>
      </text>
    </comment>
    <comment ref="O141" authorId="4" shapeId="0" xr:uid="{F24DE63F-6DD6-49F6-A1CC-DF6BE4240D35}">
      <text>
        <t>[Threaded comment]
Your version of Excel allows you to read this threaded comment; however, any edits to it will get removed if the file is opened in a newer version of Excel. Learn more: https://go.microsoft.com/fwlink/?linkid=870924
Comment:
    Business France hidden into SESAMm (in universe we send them)</t>
      </text>
    </comment>
  </commentList>
</comments>
</file>

<file path=xl/sharedStrings.xml><?xml version="1.0" encoding="utf-8"?>
<sst xmlns="http://schemas.openxmlformats.org/spreadsheetml/2006/main" count="22257" uniqueCount="5188">
  <si>
    <t>#Symbol</t>
  </si>
  <si>
    <t>System Date</t>
  </si>
  <si>
    <t>Change</t>
  </si>
  <si>
    <t>IsinCode</t>
  </si>
  <si>
    <t>Country</t>
  </si>
  <si>
    <t>Mnemo</t>
  </si>
  <si>
    <t>Name</t>
  </si>
  <si>
    <t>MIC</t>
  </si>
  <si>
    <t>Divisor</t>
  </si>
  <si>
    <t>t-1 IV</t>
  </si>
  <si>
    <t>t0 IV</t>
  </si>
  <si>
    <t>t0 IV unround</t>
  </si>
  <si>
    <t>Mkt Cap</t>
  </si>
  <si>
    <t>Nr of components</t>
  </si>
  <si>
    <t>Curr</t>
  </si>
  <si>
    <t>FX</t>
  </si>
  <si>
    <t>ISIN Underlying Price Index</t>
  </si>
  <si>
    <t>ISIN Gross Return version</t>
  </si>
  <si>
    <t>ISIN Net Return version</t>
  </si>
  <si>
    <t>Effect Gross Total Return</t>
  </si>
  <si>
    <t xml:space="preserve">Effect Net Total Return </t>
  </si>
  <si>
    <t>Stocks Effect Index</t>
  </si>
  <si>
    <t>Dividend Currency Type</t>
  </si>
  <si>
    <t>Calculation Type</t>
  </si>
  <si>
    <t>Index Type</t>
  </si>
  <si>
    <t>Return Method</t>
  </si>
  <si>
    <t>Return Value</t>
  </si>
  <si>
    <t>Number Of Days</t>
  </si>
  <si>
    <t>Yearly Days</t>
  </si>
  <si>
    <t>Dead Flag</t>
  </si>
  <si>
    <t>QS0011260732</t>
  </si>
  <si>
    <t>FR</t>
  </si>
  <si>
    <t>EEMHN</t>
  </si>
  <si>
    <t>ESI Excellence Europe Hedged w multip NR</t>
  </si>
  <si>
    <t>XPAR</t>
  </si>
  <si>
    <t>EUR</t>
  </si>
  <si>
    <t>ECB</t>
  </si>
  <si>
    <t>EU Price</t>
  </si>
  <si>
    <t>Indices</t>
  </si>
  <si>
    <t>QS0011260UNH</t>
  </si>
  <si>
    <t>NL</t>
  </si>
  <si>
    <t>EEUNH</t>
  </si>
  <si>
    <t>ESI UNHEDGED RETURN</t>
  </si>
  <si>
    <t>XAMS</t>
  </si>
  <si>
    <t>QS0011260SEK</t>
  </si>
  <si>
    <t>EESEK</t>
  </si>
  <si>
    <t>ESI SEK FWD RETURN</t>
  </si>
  <si>
    <t>QS0011260NOK</t>
  </si>
  <si>
    <t>EENOK</t>
  </si>
  <si>
    <t>ESI NOK FWD RETURN</t>
  </si>
  <si>
    <t>QS0011260HDG</t>
  </si>
  <si>
    <t>EEHDG</t>
  </si>
  <si>
    <t>ESI HEDGED RETURN</t>
  </si>
  <si>
    <t>QS0011260GBP</t>
  </si>
  <si>
    <t>EEGBP</t>
  </si>
  <si>
    <t>ESI GBP FWD RETURN</t>
  </si>
  <si>
    <t>QS0011260FWD</t>
  </si>
  <si>
    <t>EEFWD</t>
  </si>
  <si>
    <t>ESI TOTAL FWD RETURN</t>
  </si>
  <si>
    <t>QS0011260DKK</t>
  </si>
  <si>
    <t>EEDKK</t>
  </si>
  <si>
    <t>ESI DKK FWD RETURN</t>
  </si>
  <si>
    <t>QS0011260CHF</t>
  </si>
  <si>
    <t>EECHF</t>
  </si>
  <si>
    <t>ESI CHF FWD RETURN</t>
  </si>
  <si>
    <t>QS0011256250</t>
  </si>
  <si>
    <t>ENVBG</t>
  </si>
  <si>
    <t>Euronext Sustainable Benelux 20 GR Index</t>
  </si>
  <si>
    <t>QS0011256235</t>
  </si>
  <si>
    <t>TR1</t>
  </si>
  <si>
    <t>QS0011256243</t>
  </si>
  <si>
    <t>ENVBN</t>
  </si>
  <si>
    <t>Euronext Sustainable Benelux 20 NR Index</t>
  </si>
  <si>
    <t>ENVB</t>
  </si>
  <si>
    <t>Euronext Sustainable Benelux 20 Index</t>
  </si>
  <si>
    <t>QS0011256227</t>
  </si>
  <si>
    <t>ENVOG</t>
  </si>
  <si>
    <t>Euronext Sustainable Euro 120 GR Index</t>
  </si>
  <si>
    <t>QS0011256201</t>
  </si>
  <si>
    <t>FR0000121485</t>
  </si>
  <si>
    <t>QS0011256219</t>
  </si>
  <si>
    <t>ENVON</t>
  </si>
  <si>
    <t>Euronext Sustainable Euro 120 NR Index</t>
  </si>
  <si>
    <t>ENVEO</t>
  </si>
  <si>
    <t>Euronext Sustainable Euro 120 Index</t>
  </si>
  <si>
    <t>QS0011256169</t>
  </si>
  <si>
    <t>ENVU</t>
  </si>
  <si>
    <t>Euronext Sustainable US 50</t>
  </si>
  <si>
    <t>USD</t>
  </si>
  <si>
    <t>QS0011256193</t>
  </si>
  <si>
    <t>QS0011256185</t>
  </si>
  <si>
    <t xml:space="preserve">WM </t>
  </si>
  <si>
    <t>QS0011250956</t>
  </si>
  <si>
    <t>ENVUG</t>
  </si>
  <si>
    <t>Euronext Sustainable UK 20 GR Index</t>
  </si>
  <si>
    <t>QS0011250931</t>
  </si>
  <si>
    <t>QS0011250949</t>
  </si>
  <si>
    <t>ENVUN</t>
  </si>
  <si>
    <t>Euronext Sustainable UK 20 NR Index</t>
  </si>
  <si>
    <t>ENVUK</t>
  </si>
  <si>
    <t>Euronext Sustainable UK 20 Index</t>
  </si>
  <si>
    <t>GBX</t>
  </si>
  <si>
    <t>QS0011250923</t>
  </si>
  <si>
    <t>ENVFG</t>
  </si>
  <si>
    <t>Euronext Sustainable France 20 GR Index</t>
  </si>
  <si>
    <t>QS0011250907</t>
  </si>
  <si>
    <t>QS0011250915</t>
  </si>
  <si>
    <t>ENVFN</t>
  </si>
  <si>
    <t>Euronext Sustainable France 20 NR Index</t>
  </si>
  <si>
    <t>ENVF</t>
  </si>
  <si>
    <t>Euronext Sustainable France 20 Index</t>
  </si>
  <si>
    <t>QS0011250899</t>
  </si>
  <si>
    <t>ENVEG</t>
  </si>
  <si>
    <t>Euronext Sustainable Europe 120 GR Index</t>
  </si>
  <si>
    <t>QS0011250873</t>
  </si>
  <si>
    <t>QS0011250881</t>
  </si>
  <si>
    <t>ENVEN</t>
  </si>
  <si>
    <t>Euronext Sustainable Europe 120 NR Index</t>
  </si>
  <si>
    <t>ENVEU</t>
  </si>
  <si>
    <t>Euronext Sustainable Europe 120 Index</t>
  </si>
  <si>
    <t>QS0011250840</t>
  </si>
  <si>
    <t>ENVW</t>
  </si>
  <si>
    <t>Euronext Sustainable World 120</t>
  </si>
  <si>
    <t>QS0011250865</t>
  </si>
  <si>
    <t>QS0011250857</t>
  </si>
  <si>
    <t>QS0011249503</t>
  </si>
  <si>
    <t>PT</t>
  </si>
  <si>
    <t>PTOGP</t>
  </si>
  <si>
    <t>PSI Energy</t>
  </si>
  <si>
    <t>XLIS</t>
  </si>
  <si>
    <t>QS0011249495</t>
  </si>
  <si>
    <t>PTOG</t>
  </si>
  <si>
    <t>PSI Energy GR</t>
  </si>
  <si>
    <t>QS0011249487</t>
  </si>
  <si>
    <t>PTHCP</t>
  </si>
  <si>
    <t>PSI Health Care</t>
  </si>
  <si>
    <t>QS0011249479</t>
  </si>
  <si>
    <t>PTHC</t>
  </si>
  <si>
    <t>PSI Health Care GR</t>
  </si>
  <si>
    <t>QS0011249248</t>
  </si>
  <si>
    <t>BE</t>
  </si>
  <si>
    <t>BEOGP</t>
  </si>
  <si>
    <t>BEL Energy</t>
  </si>
  <si>
    <t>XBRU</t>
  </si>
  <si>
    <t>QS0011249230</t>
  </si>
  <si>
    <t>BEOG</t>
  </si>
  <si>
    <t>BEL Energy NR</t>
  </si>
  <si>
    <t>QS0011227186</t>
  </si>
  <si>
    <t>ALASG</t>
  </si>
  <si>
    <t>Euronext Growth All-Share Index GR</t>
  </si>
  <si>
    <t>QS0011040902</t>
  </si>
  <si>
    <t>NO0010360019</t>
  </si>
  <si>
    <t>QS0011227178</t>
  </si>
  <si>
    <t>ALASN</t>
  </si>
  <si>
    <t>Euronext Growth All-Share Index NR</t>
  </si>
  <si>
    <t>QS0011225420</t>
  </si>
  <si>
    <t>NLCSG</t>
  </si>
  <si>
    <t>AEX Consumer Staples GR</t>
  </si>
  <si>
    <t>QS0011016563</t>
  </si>
  <si>
    <t>QS0011225404</t>
  </si>
  <si>
    <t>NLCGG</t>
  </si>
  <si>
    <t>AEX Consumer Discretionary GR</t>
  </si>
  <si>
    <t>QS0011016530</t>
  </si>
  <si>
    <t>QS0011225396</t>
  </si>
  <si>
    <t>NLBMG</t>
  </si>
  <si>
    <t>AEX Basic Materials GR</t>
  </si>
  <si>
    <t>QS0011016480</t>
  </si>
  <si>
    <t>QS0011225370</t>
  </si>
  <si>
    <t>BELCP</t>
  </si>
  <si>
    <t>BEL Continuous Stocks Index</t>
  </si>
  <si>
    <t>BE0389552978</t>
  </si>
  <si>
    <t>QS0011225222</t>
  </si>
  <si>
    <t>BECGP</t>
  </si>
  <si>
    <t>BEL Consumer Discretionary</t>
  </si>
  <si>
    <t>QS0011016761</t>
  </si>
  <si>
    <t>QS0011225214</t>
  </si>
  <si>
    <t>BEINP</t>
  </si>
  <si>
    <t>BEL Industrials</t>
  </si>
  <si>
    <t>QS0011016738</t>
  </si>
  <si>
    <t>QS0011225206</t>
  </si>
  <si>
    <t>BEHCP</t>
  </si>
  <si>
    <t>BEL Health Care</t>
  </si>
  <si>
    <t>QS0011016795</t>
  </si>
  <si>
    <t>QS0011225198</t>
  </si>
  <si>
    <t>BETEP</t>
  </si>
  <si>
    <t>BEL Telecommunications</t>
  </si>
  <si>
    <t>QS0011016860</t>
  </si>
  <si>
    <t>QS0011225180</t>
  </si>
  <si>
    <t>BEFIP</t>
  </si>
  <si>
    <t>BEL Financials</t>
  </si>
  <si>
    <t>QS0011016902</t>
  </si>
  <si>
    <t>QS0011225172</t>
  </si>
  <si>
    <t>BETP</t>
  </si>
  <si>
    <t>BEL Technology</t>
  </si>
  <si>
    <t>QS0011016936</t>
  </si>
  <si>
    <t>QS0011225164</t>
  </si>
  <si>
    <t>BEUTP</t>
  </si>
  <si>
    <t>BEL Utilities</t>
  </si>
  <si>
    <t>QS0011019005</t>
  </si>
  <si>
    <t>QS0011225156</t>
  </si>
  <si>
    <t>BECSP</t>
  </si>
  <si>
    <t>BEL Consumer Staples</t>
  </si>
  <si>
    <t>QS0011016829</t>
  </si>
  <si>
    <t>QS0011225065</t>
  </si>
  <si>
    <t>PTTEP</t>
  </si>
  <si>
    <t>PSI Technology</t>
  </si>
  <si>
    <t>QS0011016688</t>
  </si>
  <si>
    <t>QS0011225057</t>
  </si>
  <si>
    <t>PTFIP</t>
  </si>
  <si>
    <t>PSI Financials</t>
  </si>
  <si>
    <t>QS0011016662</t>
  </si>
  <si>
    <t>QS0011225040</t>
  </si>
  <si>
    <t>PTUTP</t>
  </si>
  <si>
    <t>PSI Utilities</t>
  </si>
  <si>
    <t>QS0011016647</t>
  </si>
  <si>
    <t>QS0011225032</t>
  </si>
  <si>
    <t>PTTLP</t>
  </si>
  <si>
    <t>PSI Telecommunications</t>
  </si>
  <si>
    <t>QS0011016621</t>
  </si>
  <si>
    <t>QS0011225024</t>
  </si>
  <si>
    <t>PTCSP</t>
  </si>
  <si>
    <t>PSI Consumer Staples</t>
  </si>
  <si>
    <t>QS0011016597</t>
  </si>
  <si>
    <t>QS0011225016</t>
  </si>
  <si>
    <t>PTCGP</t>
  </si>
  <si>
    <t>PSI Consumer Discretionary</t>
  </si>
  <si>
    <t>QS0011016571</t>
  </si>
  <si>
    <t>QS0011225008</t>
  </si>
  <si>
    <t>PTINP</t>
  </si>
  <si>
    <t>PSI Industrials</t>
  </si>
  <si>
    <t>QS0011016522</t>
  </si>
  <si>
    <t>QS0011224993</t>
  </si>
  <si>
    <t>PTBMP</t>
  </si>
  <si>
    <t>PSI Basic Materials</t>
  </si>
  <si>
    <t>QS0011016514</t>
  </si>
  <si>
    <t>QS0011224977</t>
  </si>
  <si>
    <t>AAXG</t>
  </si>
  <si>
    <t>AEX All-Share Index GR</t>
  </si>
  <si>
    <t>NL0000249100</t>
  </si>
  <si>
    <t>QS0011224944</t>
  </si>
  <si>
    <t>NLTLG</t>
  </si>
  <si>
    <t>AEX Telecommunications GR</t>
  </si>
  <si>
    <t>QS0011016589</t>
  </si>
  <si>
    <t>QS0011224936</t>
  </si>
  <si>
    <t>NLTCG</t>
  </si>
  <si>
    <t>AEX Technology GR</t>
  </si>
  <si>
    <t>QS0011016613</t>
  </si>
  <si>
    <t>QS0011224910</t>
  </si>
  <si>
    <t>BEBMP</t>
  </si>
  <si>
    <t>BEL Basic Materials</t>
  </si>
  <si>
    <t>QS0011016696</t>
  </si>
  <si>
    <t>QS0011224829</t>
  </si>
  <si>
    <t>NLOGG</t>
  </si>
  <si>
    <t>AEX Energy GR</t>
  </si>
  <si>
    <t>QS0011016472</t>
  </si>
  <si>
    <t>QS0011224662</t>
  </si>
  <si>
    <t>NLING</t>
  </si>
  <si>
    <t>AEX Industrials GR</t>
  </si>
  <si>
    <t>QS0011016506</t>
  </si>
  <si>
    <t>QS0011224589</t>
  </si>
  <si>
    <t>NLHCG</t>
  </si>
  <si>
    <t>AEX Health Care GR</t>
  </si>
  <si>
    <t>QS0011016555</t>
  </si>
  <si>
    <t>QS0011224571</t>
  </si>
  <si>
    <t>FRINN</t>
  </si>
  <si>
    <t>CAC Industrials NR</t>
  </si>
  <si>
    <t>QS0011017652</t>
  </si>
  <si>
    <t>QS0011224522</t>
  </si>
  <si>
    <t>NLFNG</t>
  </si>
  <si>
    <t>AEX Financials GR</t>
  </si>
  <si>
    <t>QS0011016605</t>
  </si>
  <si>
    <t>QS0011224498</t>
  </si>
  <si>
    <t>FRHCN</t>
  </si>
  <si>
    <t>CAC Health Care NR</t>
  </si>
  <si>
    <t>QS0011017702</t>
  </si>
  <si>
    <t>QS0011224373</t>
  </si>
  <si>
    <t>FRFNN</t>
  </si>
  <si>
    <t>CAC Financials NR</t>
  </si>
  <si>
    <t>QS0011017801</t>
  </si>
  <si>
    <t>QS0011224308</t>
  </si>
  <si>
    <t>BVL</t>
  </si>
  <si>
    <t>PSI All-Share Index</t>
  </si>
  <si>
    <t>PTING1000005</t>
  </si>
  <si>
    <t>QS0011224290</t>
  </si>
  <si>
    <t>FRCSN</t>
  </si>
  <si>
    <t>CAC Consumer Staples NR</t>
  </si>
  <si>
    <t>QS0011017736</t>
  </si>
  <si>
    <t>QS0011224274</t>
  </si>
  <si>
    <t>N150G</t>
  </si>
  <si>
    <t>Next 150 Index GR</t>
  </si>
  <si>
    <t>FR0003502087</t>
  </si>
  <si>
    <t>QS0011224258</t>
  </si>
  <si>
    <t>N100G</t>
  </si>
  <si>
    <t>Euronext 100 Index GR</t>
  </si>
  <si>
    <t>FR0003502079</t>
  </si>
  <si>
    <t>QS0011224233</t>
  </si>
  <si>
    <t>CN20G</t>
  </si>
  <si>
    <t>CAC Next 20 GR</t>
  </si>
  <si>
    <t>QS0010989109</t>
  </si>
  <si>
    <t>QS0011224217</t>
  </si>
  <si>
    <t>PAXNR</t>
  </si>
  <si>
    <t>CAC All-Share Index NR</t>
  </si>
  <si>
    <t>QS0010989141</t>
  </si>
  <si>
    <t>QS0011224092</t>
  </si>
  <si>
    <t>CN20N</t>
  </si>
  <si>
    <t>CAC Next 20 NR</t>
  </si>
  <si>
    <t>QS0011224084</t>
  </si>
  <si>
    <t>FRUTN</t>
  </si>
  <si>
    <t>CAC Utilities NR</t>
  </si>
  <si>
    <t>QS0011017785</t>
  </si>
  <si>
    <t>QS0011223995</t>
  </si>
  <si>
    <t>FRCGN</t>
  </si>
  <si>
    <t>CAC Consumer Discretionary NR</t>
  </si>
  <si>
    <t>QS0011017686</t>
  </si>
  <si>
    <t>QS0011223979</t>
  </si>
  <si>
    <t>FRBMN</t>
  </si>
  <si>
    <t>CAC Basic Materials NR</t>
  </si>
  <si>
    <t>QS0011017637</t>
  </si>
  <si>
    <t>QS0011223920</t>
  </si>
  <si>
    <t>FRTEN</t>
  </si>
  <si>
    <t>CAC Telecommunications NR</t>
  </si>
  <si>
    <t>QS0011017769</t>
  </si>
  <si>
    <t>QS0011223896</t>
  </si>
  <si>
    <t>FRTCN</t>
  </si>
  <si>
    <t>CAC Technology NR</t>
  </si>
  <si>
    <t>QS0011017827</t>
  </si>
  <si>
    <t>QS0011223698</t>
  </si>
  <si>
    <t>FROGN</t>
  </si>
  <si>
    <t>CAC Energy NR</t>
  </si>
  <si>
    <t>QS0011017603</t>
  </si>
  <si>
    <t>QS0011213756</t>
  </si>
  <si>
    <t>CMSG</t>
  </si>
  <si>
    <t>CAC Mid &amp; Small GR</t>
  </si>
  <si>
    <t>QS0010989133</t>
  </si>
  <si>
    <t>QS0011213731</t>
  </si>
  <si>
    <t>CMSN</t>
  </si>
  <si>
    <t>CAC Mid &amp; Small NR</t>
  </si>
  <si>
    <t>QS0011213723</t>
  </si>
  <si>
    <t>CACSR</t>
  </si>
  <si>
    <t>CAC Small GR</t>
  </si>
  <si>
    <t>QS0010989125</t>
  </si>
  <si>
    <t>QS0011213707</t>
  </si>
  <si>
    <t>CACSN</t>
  </si>
  <si>
    <t>CAC Small NR</t>
  </si>
  <si>
    <t>QS0011213699</t>
  </si>
  <si>
    <t>CAR</t>
  </si>
  <si>
    <t>CAC Large 60 GR</t>
  </si>
  <si>
    <t>QS0011213657</t>
  </si>
  <si>
    <t>QS0011213681</t>
  </si>
  <si>
    <t>CACLN</t>
  </si>
  <si>
    <t>CAC Large 60 NR</t>
  </si>
  <si>
    <t>CACLG</t>
  </si>
  <si>
    <t>CAC Large 60</t>
  </si>
  <si>
    <t>QS0011211248</t>
  </si>
  <si>
    <t>BELSG</t>
  </si>
  <si>
    <t>BEL Small GR</t>
  </si>
  <si>
    <t>BE0389857146</t>
  </si>
  <si>
    <t>QS0011211230</t>
  </si>
  <si>
    <t>BELMG</t>
  </si>
  <si>
    <t>BEL Mid GR</t>
  </si>
  <si>
    <t>BE0389856130</t>
  </si>
  <si>
    <t>QS0011211222</t>
  </si>
  <si>
    <t>AEXEG</t>
  </si>
  <si>
    <t>AEX Equal Weight GR</t>
  </si>
  <si>
    <t>QS0011159744</t>
  </si>
  <si>
    <t>QS0011211214</t>
  </si>
  <si>
    <t>CACEG</t>
  </si>
  <si>
    <t>CAC 40 Equal Weight GR</t>
  </si>
  <si>
    <t>QS0011159777</t>
  </si>
  <si>
    <t>QS0011211206</t>
  </si>
  <si>
    <t>AEXEN</t>
  </si>
  <si>
    <t>AEX Equal Weight NR</t>
  </si>
  <si>
    <t>QS0011211198</t>
  </si>
  <si>
    <t>CACEN</t>
  </si>
  <si>
    <t>CAC 40 Equal Weight NR</t>
  </si>
  <si>
    <t>QS0011211180</t>
  </si>
  <si>
    <t>PSINR</t>
  </si>
  <si>
    <t>PSI NR</t>
  </si>
  <si>
    <t>PTING0200002</t>
  </si>
  <si>
    <t>QS0011211172</t>
  </si>
  <si>
    <t>ASCXN</t>
  </si>
  <si>
    <t>AScX NR</t>
  </si>
  <si>
    <t>NL0000249142</t>
  </si>
  <si>
    <t>QS0011211164</t>
  </si>
  <si>
    <t>AMXNR</t>
  </si>
  <si>
    <t>AMX NR</t>
  </si>
  <si>
    <t>NL0000249274</t>
  </si>
  <si>
    <t>QS0011211156</t>
  </si>
  <si>
    <t>AEXNR</t>
  </si>
  <si>
    <t>AEX NR</t>
  </si>
  <si>
    <t>NL0000000107</t>
  </si>
  <si>
    <t>QS0011204995</t>
  </si>
  <si>
    <t>ASCXG</t>
  </si>
  <si>
    <t>AScX GR</t>
  </si>
  <si>
    <t>QS0011204763</t>
  </si>
  <si>
    <t>AMXGR</t>
  </si>
  <si>
    <t>AMX GR</t>
  </si>
  <si>
    <t>QS00112PSINR</t>
  </si>
  <si>
    <t>PREUN</t>
  </si>
  <si>
    <t>PSI NET RT</t>
  </si>
  <si>
    <t>QS00112AMXNR</t>
  </si>
  <si>
    <t>MREUN</t>
  </si>
  <si>
    <t>AMX NET RT</t>
  </si>
  <si>
    <t>QS00112AMXGR</t>
  </si>
  <si>
    <t>MREUG</t>
  </si>
  <si>
    <t>AMX GROSS RT</t>
  </si>
  <si>
    <t>QS0011194238</t>
  </si>
  <si>
    <t>NAOIG</t>
  </si>
  <si>
    <t>EN Growth Bpifrance Innovation Index</t>
  </si>
  <si>
    <t>QS0011194212</t>
  </si>
  <si>
    <t>QS0011194220</t>
  </si>
  <si>
    <t>NAOIN</t>
  </si>
  <si>
    <t>NAOII</t>
  </si>
  <si>
    <t>QS0011176854</t>
  </si>
  <si>
    <t>REITG</t>
  </si>
  <si>
    <t>Euronext IEIF REIT Europe Index GR</t>
  </si>
  <si>
    <t>QS0011070230</t>
  </si>
  <si>
    <t>QS0011176847</t>
  </si>
  <si>
    <t>REITN</t>
  </si>
  <si>
    <t>Euronext IEIF REIT Europe Index NR</t>
  </si>
  <si>
    <t>CACEW</t>
  </si>
  <si>
    <t>CAC 40 Equal Weight</t>
  </si>
  <si>
    <t>AEXEW</t>
  </si>
  <si>
    <t>AEX Equal Weight</t>
  </si>
  <si>
    <t>QS0011158126</t>
  </si>
  <si>
    <t>AEXDI</t>
  </si>
  <si>
    <t>AEX Dividend Index</t>
  </si>
  <si>
    <t>TR6 Dividend Point Index</t>
  </si>
  <si>
    <t>QS0011158118</t>
  </si>
  <si>
    <t>CACDI</t>
  </si>
  <si>
    <t>CAC 40 Dividend Index</t>
  </si>
  <si>
    <t>FR0003500008</t>
  </si>
  <si>
    <t>QS0011131750</t>
  </si>
  <si>
    <t>LC1GR</t>
  </si>
  <si>
    <t>Low Carbon 100 Europe PAB Index GR</t>
  </si>
  <si>
    <t>QS0011131735</t>
  </si>
  <si>
    <t>QS0011131743</t>
  </si>
  <si>
    <t>LC1NR</t>
  </si>
  <si>
    <t>Low Carbon 100 Europe PAB Index NR</t>
  </si>
  <si>
    <t>LC100</t>
  </si>
  <si>
    <t>Low Carbon 100 Europe PAB Index</t>
  </si>
  <si>
    <t>QS00111PX1NR</t>
  </si>
  <si>
    <t>QS0011131826</t>
  </si>
  <si>
    <t>CREUN</t>
  </si>
  <si>
    <t>CAC 40 NET RT</t>
  </si>
  <si>
    <t>QS00111PX1GR</t>
  </si>
  <si>
    <t>QS0011131834</t>
  </si>
  <si>
    <t>CREUG</t>
  </si>
  <si>
    <t>CAC 40 GROSS RT</t>
  </si>
  <si>
    <t>QS0011095955</t>
  </si>
  <si>
    <t>BIOTK</t>
  </si>
  <si>
    <t>Next Biotech</t>
  </si>
  <si>
    <t>REITE</t>
  </si>
  <si>
    <t>Euronext IEIF REIT Europe Index</t>
  </si>
  <si>
    <t>ALASI</t>
  </si>
  <si>
    <t>Euronext Growth All-Share Index</t>
  </si>
  <si>
    <t>BEUT</t>
  </si>
  <si>
    <t>BEL Utilities NR</t>
  </si>
  <si>
    <t>FRTEC</t>
  </si>
  <si>
    <t>CAC Technology</t>
  </si>
  <si>
    <t>FRFIN</t>
  </si>
  <si>
    <t>CAC Financials</t>
  </si>
  <si>
    <t>FRUT</t>
  </si>
  <si>
    <t>CAC Utilities</t>
  </si>
  <si>
    <t>FRTEL</t>
  </si>
  <si>
    <t>CAC Telecommunications</t>
  </si>
  <si>
    <t>FRCS</t>
  </si>
  <si>
    <t>CAC Consumer Staples</t>
  </si>
  <si>
    <t>FRHC</t>
  </si>
  <si>
    <t>CAC Health Care</t>
  </si>
  <si>
    <t>FRCG</t>
  </si>
  <si>
    <t>CAC Consumer Discretionary</t>
  </si>
  <si>
    <t>FRIN</t>
  </si>
  <si>
    <t>CAC Industrials</t>
  </si>
  <si>
    <t>FRBM</t>
  </si>
  <si>
    <t>CAC Basic Materials</t>
  </si>
  <si>
    <t>FROG</t>
  </si>
  <si>
    <t>CAC Energy</t>
  </si>
  <si>
    <t>BETEC</t>
  </si>
  <si>
    <t>BEL Technology NR</t>
  </si>
  <si>
    <t>BEFIN</t>
  </si>
  <si>
    <t>BEL Financials NR</t>
  </si>
  <si>
    <t>BETEL</t>
  </si>
  <si>
    <t>BEL Telecommunications NR</t>
  </si>
  <si>
    <t>BECS</t>
  </si>
  <si>
    <t>BEL Consumer Staples NR</t>
  </si>
  <si>
    <t>BEHC</t>
  </si>
  <si>
    <t>BEL Health Care NR</t>
  </si>
  <si>
    <t>BECG</t>
  </si>
  <si>
    <t>BEL Consumer Discretionary NR</t>
  </si>
  <si>
    <t>BEIN</t>
  </si>
  <si>
    <t>BEL Industrials NR</t>
  </si>
  <si>
    <t>BEBM</t>
  </si>
  <si>
    <t>BEL Basic Materials NR</t>
  </si>
  <si>
    <t>PTTEC</t>
  </si>
  <si>
    <t>PSI Technology GR</t>
  </si>
  <si>
    <t>PTFIN</t>
  </si>
  <si>
    <t>PSI Financials GR</t>
  </si>
  <si>
    <t>NLTEC</t>
  </si>
  <si>
    <t>AEX Technology</t>
  </si>
  <si>
    <t>NLFIN</t>
  </si>
  <si>
    <t>AEX Financials</t>
  </si>
  <si>
    <t>NLTEL</t>
  </si>
  <si>
    <t>AEX Telecommunications</t>
  </si>
  <si>
    <t>NLCS</t>
  </si>
  <si>
    <t>AEX Consumer Staples</t>
  </si>
  <si>
    <t>NLHC</t>
  </si>
  <si>
    <t>AEX Health Care</t>
  </si>
  <si>
    <t>NLCG</t>
  </si>
  <si>
    <t>AEX Consumer Discretionary</t>
  </si>
  <si>
    <t>PTIN</t>
  </si>
  <si>
    <t>PSI Industrials GR</t>
  </si>
  <si>
    <t>PTBM</t>
  </si>
  <si>
    <t>PSI Basic Materials GR</t>
  </si>
  <si>
    <t>NLIN</t>
  </si>
  <si>
    <t>AEX Industrials</t>
  </si>
  <si>
    <t>NLBM</t>
  </si>
  <si>
    <t>AEX Basic Materials</t>
  </si>
  <si>
    <t>NLOG</t>
  </si>
  <si>
    <t>AEX Energy</t>
  </si>
  <si>
    <t>PAX</t>
  </si>
  <si>
    <t>CAC All-Share Index</t>
  </si>
  <si>
    <t>CACMS</t>
  </si>
  <si>
    <t>CAC Mid &amp; Small</t>
  </si>
  <si>
    <t>CACS</t>
  </si>
  <si>
    <t>CAC Small</t>
  </si>
  <si>
    <t>QS0010989117</t>
  </si>
  <si>
    <t>CACMD</t>
  </si>
  <si>
    <t>CAC Mid 60</t>
  </si>
  <si>
    <t>QS0011131917</t>
  </si>
  <si>
    <t>QS0011131909</t>
  </si>
  <si>
    <t>CN20</t>
  </si>
  <si>
    <t>CAC Next 20</t>
  </si>
  <si>
    <t>QS001INPX1NR</t>
  </si>
  <si>
    <t>QS001113182I</t>
  </si>
  <si>
    <t>CIRUN</t>
  </si>
  <si>
    <t>CAC 40 NET REUT INTERN</t>
  </si>
  <si>
    <t>FR000350000I</t>
  </si>
  <si>
    <t>QS001INPX1GR</t>
  </si>
  <si>
    <t>QS001113183I</t>
  </si>
  <si>
    <t>CIRUG</t>
  </si>
  <si>
    <t>CAC 40 GROSS REUT INTERN</t>
  </si>
  <si>
    <t>QS001INPSINR</t>
  </si>
  <si>
    <t>QS001121118I</t>
  </si>
  <si>
    <t>PIRUN</t>
  </si>
  <si>
    <t>PSI NET REUT INTERN</t>
  </si>
  <si>
    <t>PTING020000I</t>
  </si>
  <si>
    <t>QS001INAMXNR</t>
  </si>
  <si>
    <t>QS001121116I</t>
  </si>
  <si>
    <t>MIRUN</t>
  </si>
  <si>
    <t>AMX NET REUT INTERN</t>
  </si>
  <si>
    <t>NL000024927I</t>
  </si>
  <si>
    <t>QS001INAMXGR</t>
  </si>
  <si>
    <t>QS001120476I</t>
  </si>
  <si>
    <t>MIRUG</t>
  </si>
  <si>
    <t>AMX GROSS REUT INTERN</t>
  </si>
  <si>
    <t>PTINO0390005</t>
  </si>
  <si>
    <t>PTEB</t>
  </si>
  <si>
    <t>PSI ex Banks</t>
  </si>
  <si>
    <t>PTINO0410001</t>
  </si>
  <si>
    <t>PTINO0400002</t>
  </si>
  <si>
    <t>BVLGR</t>
  </si>
  <si>
    <t>PSI All-Share Index GR</t>
  </si>
  <si>
    <t>PTING0210001</t>
  </si>
  <si>
    <t>PSITR</t>
  </si>
  <si>
    <t>PSI GR</t>
  </si>
  <si>
    <t>PSI20</t>
  </si>
  <si>
    <t>PSI</t>
  </si>
  <si>
    <t>PTING02PSI20</t>
  </si>
  <si>
    <t>PREUT</t>
  </si>
  <si>
    <t>PSI RT</t>
  </si>
  <si>
    <t>PTING02PSIGR</t>
  </si>
  <si>
    <t>PREUG</t>
  </si>
  <si>
    <t>PSI GROSS RT</t>
  </si>
  <si>
    <t>PTINGINPSI20</t>
  </si>
  <si>
    <t>PIRUT</t>
  </si>
  <si>
    <t>PSI REUT INTERN</t>
  </si>
  <si>
    <t>PTING021000I</t>
  </si>
  <si>
    <t>PTINGINPSIGR</t>
  </si>
  <si>
    <t>PIRUG</t>
  </si>
  <si>
    <t>PSI GROSS REUT INTERN</t>
  </si>
  <si>
    <t>NO0012513524</t>
  </si>
  <si>
    <t>NO</t>
  </si>
  <si>
    <t>OEXON</t>
  </si>
  <si>
    <t>OBX ESG ex Oil and Gas NR</t>
  </si>
  <si>
    <t>XOSL</t>
  </si>
  <si>
    <t>NO0012513516</t>
  </si>
  <si>
    <t>OEXOP</t>
  </si>
  <si>
    <t>OBX ESG ex Oil and Gas PR</t>
  </si>
  <si>
    <t>NOK</t>
  </si>
  <si>
    <t>NO0012513508</t>
  </si>
  <si>
    <t>OEXOG</t>
  </si>
  <si>
    <t>OBX ESG ex Oil and Gas</t>
  </si>
  <si>
    <t>NO0012513490</t>
  </si>
  <si>
    <t>OBXEN</t>
  </si>
  <si>
    <t>OBX ESG NR</t>
  </si>
  <si>
    <t>NO0012513482</t>
  </si>
  <si>
    <t>OBXEP</t>
  </si>
  <si>
    <t>OBX ESG PR</t>
  </si>
  <si>
    <t>NO0012513474</t>
  </si>
  <si>
    <t>OBXES</t>
  </si>
  <si>
    <t>OBX ESG</t>
  </si>
  <si>
    <t>NO0010892227</t>
  </si>
  <si>
    <t>OSEPB</t>
  </si>
  <si>
    <t>OSEBX_STB Index PR</t>
  </si>
  <si>
    <t>NO0010865355</t>
  </si>
  <si>
    <t>NO0010892201</t>
  </si>
  <si>
    <t>OSEXP</t>
  </si>
  <si>
    <t>OSEEXR Index PR</t>
  </si>
  <si>
    <t>NO0010865371</t>
  </si>
  <si>
    <t>NO0010892193</t>
  </si>
  <si>
    <t>OSEPX</t>
  </si>
  <si>
    <t>OSEBXG Index PR</t>
  </si>
  <si>
    <t>NO0010865363</t>
  </si>
  <si>
    <t>NO0010892185</t>
  </si>
  <si>
    <t>SSSHP</t>
  </si>
  <si>
    <t>OSLO Shipping Index PR</t>
  </si>
  <si>
    <t>NO0010580640</t>
  </si>
  <si>
    <t>NO0010892177</t>
  </si>
  <si>
    <t>SSSFP</t>
  </si>
  <si>
    <t>OSLO Seafood Index PR</t>
  </si>
  <si>
    <t>NO0010580624</t>
  </si>
  <si>
    <t>NO0010892169</t>
  </si>
  <si>
    <t>SSENP</t>
  </si>
  <si>
    <t>OSLO Energy Index PR</t>
  </si>
  <si>
    <t>NO0010580590</t>
  </si>
  <si>
    <t>NO0010892151</t>
  </si>
  <si>
    <t>OBXUP</t>
  </si>
  <si>
    <t>OBX Uncapped Price Return Index</t>
  </si>
  <si>
    <t>NO0010865173</t>
  </si>
  <si>
    <t>NO0010890668</t>
  </si>
  <si>
    <t>OSEEP</t>
  </si>
  <si>
    <t>Oslo Børs Equity Certificate Index  PR</t>
  </si>
  <si>
    <t>NO0000000062</t>
  </si>
  <si>
    <t>NO0010890650</t>
  </si>
  <si>
    <t>OBOSP</t>
  </si>
  <si>
    <t>OBOSX Oil Service PR</t>
  </si>
  <si>
    <t>NO0010590086</t>
  </si>
  <si>
    <t>NO0010890643</t>
  </si>
  <si>
    <t>OUTP</t>
  </si>
  <si>
    <t>OBX Utilities PR</t>
  </si>
  <si>
    <t>NO0010890627</t>
  </si>
  <si>
    <t>NO0010890635</t>
  </si>
  <si>
    <t>OUTN</t>
  </si>
  <si>
    <t>OBX Utilities NR</t>
  </si>
  <si>
    <t>OUTG</t>
  </si>
  <si>
    <t>OBX Utilities GR</t>
  </si>
  <si>
    <t>NO0010890619</t>
  </si>
  <si>
    <t>OENP</t>
  </si>
  <si>
    <t>OBX Energy PR</t>
  </si>
  <si>
    <t>NO0010890593</t>
  </si>
  <si>
    <t>NO0010890601</t>
  </si>
  <si>
    <t>OENN</t>
  </si>
  <si>
    <t>OBX Energy NR</t>
  </si>
  <si>
    <t>OENG</t>
  </si>
  <si>
    <t>OBX Energy GR</t>
  </si>
  <si>
    <t>NO0010890585</t>
  </si>
  <si>
    <t>OBMP</t>
  </si>
  <si>
    <t>OBX Basic Materials PR</t>
  </si>
  <si>
    <t>NO0010890569</t>
  </si>
  <si>
    <t>NO0010890577</t>
  </si>
  <si>
    <t>OBMN</t>
  </si>
  <si>
    <t>OBX Basic Materials NR</t>
  </si>
  <si>
    <t>OBMG</t>
  </si>
  <si>
    <t>OBX Basic Materials GR</t>
  </si>
  <si>
    <t>NO0010890551</t>
  </si>
  <si>
    <t>OINP</t>
  </si>
  <si>
    <t>OBX Industrials PR</t>
  </si>
  <si>
    <t>NO0010890536</t>
  </si>
  <si>
    <t>NO0010890544</t>
  </si>
  <si>
    <t>OINN</t>
  </si>
  <si>
    <t>OBX Industrials NR</t>
  </si>
  <si>
    <t>OING</t>
  </si>
  <si>
    <t>OBX Industrials GR</t>
  </si>
  <si>
    <t>NO0010890528</t>
  </si>
  <si>
    <t>OCSP</t>
  </si>
  <si>
    <t>OBX Consumer Staples PR</t>
  </si>
  <si>
    <t>NO0010890502</t>
  </si>
  <si>
    <t>NO0010890510</t>
  </si>
  <si>
    <t>OCSN</t>
  </si>
  <si>
    <t>OBX Consumer Staples NR</t>
  </si>
  <si>
    <t>OCSG</t>
  </si>
  <si>
    <t>OBX Consumer Staples GR</t>
  </si>
  <si>
    <t>NO0010890494</t>
  </si>
  <si>
    <t>OCDP</t>
  </si>
  <si>
    <t>OBX Consumer Discretionary PR</t>
  </si>
  <si>
    <t>NO0010890478</t>
  </si>
  <si>
    <t>NO0010890486</t>
  </si>
  <si>
    <t>OCDN</t>
  </si>
  <si>
    <t>OBX Consumer Discretionary NR</t>
  </si>
  <si>
    <t>OCDG</t>
  </si>
  <si>
    <t>OBX Consumer Discretionary GR</t>
  </si>
  <si>
    <t>NO0010890460</t>
  </si>
  <si>
    <t>OREP</t>
  </si>
  <si>
    <t>OBX Real Estate PR</t>
  </si>
  <si>
    <t>NO0010890445</t>
  </si>
  <si>
    <t>NO0010890452</t>
  </si>
  <si>
    <t>OREN</t>
  </si>
  <si>
    <t>OBX Real Estate NR</t>
  </si>
  <si>
    <t>OREG</t>
  </si>
  <si>
    <t>OBX Real Estate GR</t>
  </si>
  <si>
    <t>NO0010890437</t>
  </si>
  <si>
    <t>OFINP</t>
  </si>
  <si>
    <t>OBX Financials PR</t>
  </si>
  <si>
    <t>NO0010890411</t>
  </si>
  <si>
    <t>NO0010890429</t>
  </si>
  <si>
    <t>OFINN</t>
  </si>
  <si>
    <t>OBX Financials NR</t>
  </si>
  <si>
    <t>OFING</t>
  </si>
  <si>
    <t>OBX Financials GR</t>
  </si>
  <si>
    <t>NO0010890403</t>
  </si>
  <si>
    <t>OHCP</t>
  </si>
  <si>
    <t>OBX Health Care PR</t>
  </si>
  <si>
    <t>NO0010890387</t>
  </si>
  <si>
    <t>NO0010890395</t>
  </si>
  <si>
    <t>OHCN</t>
  </si>
  <si>
    <t>OBX Health Care NR</t>
  </si>
  <si>
    <t>OHCG</t>
  </si>
  <si>
    <t>OBX Health Care GR</t>
  </si>
  <si>
    <t>NO0010890379</t>
  </si>
  <si>
    <t>OTELP</t>
  </si>
  <si>
    <t>OBX Telecommunications PR</t>
  </si>
  <si>
    <t>NO0010890353</t>
  </si>
  <si>
    <t>NO0010890361</t>
  </si>
  <si>
    <t>OTELN</t>
  </si>
  <si>
    <t>OBX Telecommunications NR</t>
  </si>
  <si>
    <t>OTELG</t>
  </si>
  <si>
    <t>OBX Telecommunications GR</t>
  </si>
  <si>
    <t>NO0010890346</t>
  </si>
  <si>
    <t>OTECP</t>
  </si>
  <si>
    <t>OBX Technology PR</t>
  </si>
  <si>
    <t>NO0010890320</t>
  </si>
  <si>
    <t>NO0010890338</t>
  </si>
  <si>
    <t>OTECN</t>
  </si>
  <si>
    <t>OBX Technology NR</t>
  </si>
  <si>
    <t>OTECG</t>
  </si>
  <si>
    <t>OBX Technology GR</t>
  </si>
  <si>
    <t>OSEER</t>
  </si>
  <si>
    <t>OSEEXR Index</t>
  </si>
  <si>
    <t>OSEBG</t>
  </si>
  <si>
    <t>OSEBXG Index</t>
  </si>
  <si>
    <t>OSEBS</t>
  </si>
  <si>
    <t>OSEBX_STB Index</t>
  </si>
  <si>
    <t>NO0010865330</t>
  </si>
  <si>
    <t>OAAXP</t>
  </si>
  <si>
    <t>Euronext Expand All-Share Index</t>
  </si>
  <si>
    <t>NO0007035384</t>
  </si>
  <si>
    <t>NO0010865322</t>
  </si>
  <si>
    <t>OAAXN</t>
  </si>
  <si>
    <t>Euronext Expand All-Share Index NR</t>
  </si>
  <si>
    <t>NO0010865314</t>
  </si>
  <si>
    <t>OSESP</t>
  </si>
  <si>
    <t>OSESX Small Cap_PR</t>
  </si>
  <si>
    <t>NO0007035343</t>
  </si>
  <si>
    <t>NO0010865306</t>
  </si>
  <si>
    <t>OSESN</t>
  </si>
  <si>
    <t>OSESX Small Cap_NR</t>
  </si>
  <si>
    <t>NO0010865298</t>
  </si>
  <si>
    <t>OSEMP</t>
  </si>
  <si>
    <t>OSEMX Mid Cap_PR</t>
  </si>
  <si>
    <t>NO0010735640</t>
  </si>
  <si>
    <t>NO0010865280</t>
  </si>
  <si>
    <t>OSEMN</t>
  </si>
  <si>
    <t>OSEMX Mid Cap_NR</t>
  </si>
  <si>
    <t>NO0010865272</t>
  </si>
  <si>
    <t>OSEFP</t>
  </si>
  <si>
    <t>OSEFX Mutual Fund_PR</t>
  </si>
  <si>
    <t>NO0007035335</t>
  </si>
  <si>
    <t>NO0010865264</t>
  </si>
  <si>
    <t>NO0010865256</t>
  </si>
  <si>
    <t>OSEBP</t>
  </si>
  <si>
    <t>OSEBX Benchmark_PR</t>
  </si>
  <si>
    <t>NO0007035327</t>
  </si>
  <si>
    <t>NO0010865249</t>
  </si>
  <si>
    <t>NO0010865231</t>
  </si>
  <si>
    <t>OSEAP</t>
  </si>
  <si>
    <t>OSE All share_PR</t>
  </si>
  <si>
    <t>NO0007033900</t>
  </si>
  <si>
    <t>NO0010865223</t>
  </si>
  <si>
    <t>OSEAN</t>
  </si>
  <si>
    <t>OSE All share_NR</t>
  </si>
  <si>
    <t>NO0010865215</t>
  </si>
  <si>
    <t>OBSHP</t>
  </si>
  <si>
    <t>OBSHX Shipping_PR</t>
  </si>
  <si>
    <t>NO0010771934</t>
  </si>
  <si>
    <t>NO0010865207</t>
  </si>
  <si>
    <t>NO0010865199</t>
  </si>
  <si>
    <t>OBSFP</t>
  </si>
  <si>
    <t>OBSFX Seafood_PR</t>
  </si>
  <si>
    <t>NO0010760663</t>
  </si>
  <si>
    <t>NO0010865181</t>
  </si>
  <si>
    <t>OBXU</t>
  </si>
  <si>
    <t>OBX Uncapped Total Return Index</t>
  </si>
  <si>
    <t>OSEMX</t>
  </si>
  <si>
    <t>Oslo Børs Mid Cap Index</t>
  </si>
  <si>
    <t>SSSHX</t>
  </si>
  <si>
    <t>OSLO Shipping Index</t>
  </si>
  <si>
    <t>SSSFX</t>
  </si>
  <si>
    <t>OSLO Seafood Index</t>
  </si>
  <si>
    <t>SSENX</t>
  </si>
  <si>
    <t>OSLO Energy Index</t>
  </si>
  <si>
    <t>OAAX</t>
  </si>
  <si>
    <t>Euronext Expand All-Share Index GR</t>
  </si>
  <si>
    <t>NO0007035376</t>
  </si>
  <si>
    <t>OBXP</t>
  </si>
  <si>
    <t>OBX Price Index</t>
  </si>
  <si>
    <t>NO0000000021</t>
  </si>
  <si>
    <t>OSESX</t>
  </si>
  <si>
    <t>Oslo Børs Small Cap Index_GI</t>
  </si>
  <si>
    <t>OSEAX</t>
  </si>
  <si>
    <t>Oslo Børs All-share Index_GI</t>
  </si>
  <si>
    <t>NO000703OBXP</t>
  </si>
  <si>
    <t>OREUT</t>
  </si>
  <si>
    <t>OBX Price RT</t>
  </si>
  <si>
    <t>NO0007INOBXP</t>
  </si>
  <si>
    <t>NO000703537I</t>
  </si>
  <si>
    <t>OIRUT</t>
  </si>
  <si>
    <t>OBX PRICE REUT INTERN</t>
  </si>
  <si>
    <t>NO000000002I</t>
  </si>
  <si>
    <t>OSEEX</t>
  </si>
  <si>
    <t>Oslo Børs Equity Certificate Index</t>
  </si>
  <si>
    <t>OBX</t>
  </si>
  <si>
    <t>OBX Total Return Index</t>
  </si>
  <si>
    <t>NO0000000OBX</t>
  </si>
  <si>
    <t>OREUG</t>
  </si>
  <si>
    <t>OBX TR RT</t>
  </si>
  <si>
    <t>NL0015436148</t>
  </si>
  <si>
    <t>AS500</t>
  </si>
  <si>
    <t>Euronext Asia Pacific 500</t>
  </si>
  <si>
    <t>NL0015436163</t>
  </si>
  <si>
    <t>NL0015436155</t>
  </si>
  <si>
    <t>NL0015436130</t>
  </si>
  <si>
    <t>NA5GR</t>
  </si>
  <si>
    <t>Euronext North America 500 GR</t>
  </si>
  <si>
    <t>NL0015436114</t>
  </si>
  <si>
    <t>US36266G1076 US74834L1008</t>
  </si>
  <si>
    <t>NL0015436122</t>
  </si>
  <si>
    <t>NA5NR</t>
  </si>
  <si>
    <t>Euronext North America 500 NR</t>
  </si>
  <si>
    <t>NA500</t>
  </si>
  <si>
    <t>Euronext North America 500</t>
  </si>
  <si>
    <t>NL00150006J3</t>
  </si>
  <si>
    <t>NLUT</t>
  </si>
  <si>
    <t>AEX Utilities</t>
  </si>
  <si>
    <t>NL00150006K1</t>
  </si>
  <si>
    <t>NL00150005G1</t>
  </si>
  <si>
    <t>EZWTP</t>
  </si>
  <si>
    <t>Euronext CDP Water Eurozone EW</t>
  </si>
  <si>
    <t>NL00150005E6</t>
  </si>
  <si>
    <t>NL00150005F3</t>
  </si>
  <si>
    <t>NL0015000I97</t>
  </si>
  <si>
    <t>ENWG</t>
  </si>
  <si>
    <t>Euronext World GR</t>
  </si>
  <si>
    <t>NL0015000IB0</t>
  </si>
  <si>
    <t>FR0000121485 US36266G1076 US74834L1008</t>
  </si>
  <si>
    <t>NL0015000I89</t>
  </si>
  <si>
    <t>ENDMP</t>
  </si>
  <si>
    <t>Euronext Developed Market</t>
  </si>
  <si>
    <t>NL0015000I63</t>
  </si>
  <si>
    <t>NL0015000I71</t>
  </si>
  <si>
    <t>ENDMN</t>
  </si>
  <si>
    <t>Euronext Developed Market NR</t>
  </si>
  <si>
    <t>ENDMG</t>
  </si>
  <si>
    <t>Euronext Developed Market GR</t>
  </si>
  <si>
    <t>ENWP</t>
  </si>
  <si>
    <t>Euronext World</t>
  </si>
  <si>
    <t>NL0015000IA2</t>
  </si>
  <si>
    <t>ENWN</t>
  </si>
  <si>
    <t>Euronext World NR</t>
  </si>
  <si>
    <t>NL0015000E91</t>
  </si>
  <si>
    <t>EWCSP</t>
  </si>
  <si>
    <t>Euronext World Country selection</t>
  </si>
  <si>
    <t>NL0015000E75</t>
  </si>
  <si>
    <t>NL0015000EB9</t>
  </si>
  <si>
    <t>NL0015000E83</t>
  </si>
  <si>
    <t>SES50</t>
  </si>
  <si>
    <t>EN Sovereign Economy Selection EZ50 D50P</t>
  </si>
  <si>
    <t>NL0015000EC7</t>
  </si>
  <si>
    <t>TR4 Dividend Return</t>
  </si>
  <si>
    <t>Points</t>
  </si>
  <si>
    <t>EWCSG</t>
  </si>
  <si>
    <t>Euronext World Country selection GR</t>
  </si>
  <si>
    <t>NL0015000EG8</t>
  </si>
  <si>
    <t>EVEWN</t>
  </si>
  <si>
    <t>Euronext ESG World-Select 75 Bund/SV NR</t>
  </si>
  <si>
    <t>NL0015000ED5</t>
  </si>
  <si>
    <t>NL0015000EF0</t>
  </si>
  <si>
    <t>SES5P</t>
  </si>
  <si>
    <t>EN Sovereign Economy Selection EZ50</t>
  </si>
  <si>
    <t>NL0015000EE3</t>
  </si>
  <si>
    <t>SES5N</t>
  </si>
  <si>
    <t>EN Sovereign Economy Selection EZ50 NR</t>
  </si>
  <si>
    <t>EVEWP</t>
  </si>
  <si>
    <t>Euronext ESG World-Select 75 Bund/SV</t>
  </si>
  <si>
    <t>NL0015000EA1</t>
  </si>
  <si>
    <t>SES5G</t>
  </si>
  <si>
    <t>EN Sovereign Economy Selection EZ50 GR</t>
  </si>
  <si>
    <t>EWCSN</t>
  </si>
  <si>
    <t>Euronext World Country selection NR</t>
  </si>
  <si>
    <t>EVEWG</t>
  </si>
  <si>
    <t>Euronext ESG World-Select 75 Bund/SV GR</t>
  </si>
  <si>
    <t>NL0015000BX9</t>
  </si>
  <si>
    <t>ETE5P</t>
  </si>
  <si>
    <t>EN Transatlantic Environment 50</t>
  </si>
  <si>
    <t>NL0015000BV3</t>
  </si>
  <si>
    <t>NL0015000BQ3</t>
  </si>
  <si>
    <t>NL0015000A95</t>
  </si>
  <si>
    <t>EUED5</t>
  </si>
  <si>
    <t>Euronext US ESGL 20 EW Decrement 5%</t>
  </si>
  <si>
    <t>NL0015000A79</t>
  </si>
  <si>
    <t>Percentage</t>
  </si>
  <si>
    <t>NL0015000A87</t>
  </si>
  <si>
    <t>EUEGR</t>
  </si>
  <si>
    <t>Euronext US ESGL 20 EW GR</t>
  </si>
  <si>
    <t>NL0015000A61</t>
  </si>
  <si>
    <t>EUENR</t>
  </si>
  <si>
    <t>Euronext US ESGL 20 EW NR</t>
  </si>
  <si>
    <t>EUEPR</t>
  </si>
  <si>
    <t>Euronext US ESGL 20 EW</t>
  </si>
  <si>
    <t>NL0015000AW3</t>
  </si>
  <si>
    <t>BANKD</t>
  </si>
  <si>
    <t>Euronext Eurozone Banks Decrement 5%</t>
  </si>
  <si>
    <t>NL0015000AT9</t>
  </si>
  <si>
    <t>NL0015000AV5</t>
  </si>
  <si>
    <t>BANKG</t>
  </si>
  <si>
    <t>Euronext Eurozone Banks GR</t>
  </si>
  <si>
    <t>NL0015000AR3</t>
  </si>
  <si>
    <t>BANKN</t>
  </si>
  <si>
    <t>Euronext Eurozone Banks NR</t>
  </si>
  <si>
    <t>BANK</t>
  </si>
  <si>
    <t>Euronext Eurozone Banks</t>
  </si>
  <si>
    <t>NL0015000AD3</t>
  </si>
  <si>
    <t>EEED5</t>
  </si>
  <si>
    <t>Euronext EZ ESGL 40 EW Decrement 5%</t>
  </si>
  <si>
    <t>NL0015000AB7</t>
  </si>
  <si>
    <t>NL0015000AC5</t>
  </si>
  <si>
    <t>EEEGR</t>
  </si>
  <si>
    <t>Euronext EZ ESGL 40 EW GR</t>
  </si>
  <si>
    <t>NL0015000AA9</t>
  </si>
  <si>
    <t>EEENR</t>
  </si>
  <si>
    <t>Euronext EZ ESGL 40 EW NR</t>
  </si>
  <si>
    <t>EEEPR</t>
  </si>
  <si>
    <t>Euronext EZ ESGL 40 EW</t>
  </si>
  <si>
    <t>NL0014787053</t>
  </si>
  <si>
    <t>NLRE</t>
  </si>
  <si>
    <t>AEX Real Estate</t>
  </si>
  <si>
    <t>NL0014787061</t>
  </si>
  <si>
    <t>NL0013941024</t>
  </si>
  <si>
    <t>EESGP</t>
  </si>
  <si>
    <t>EN CDP Environment ESG Eurozone EW</t>
  </si>
  <si>
    <t>NL0013941040</t>
  </si>
  <si>
    <t>NL0013941032</t>
  </si>
  <si>
    <t>NL0013941016</t>
  </si>
  <si>
    <t>WLESG</t>
  </si>
  <si>
    <t>EN CDP Environment ESG World EW D5%</t>
  </si>
  <si>
    <t>NL0013940992</t>
  </si>
  <si>
    <t>NL0013941008</t>
  </si>
  <si>
    <t>WESGG</t>
  </si>
  <si>
    <t>EN CDP Environment ESG World EW GR</t>
  </si>
  <si>
    <t>NL0013940984</t>
  </si>
  <si>
    <t>WESGN</t>
  </si>
  <si>
    <t>EN CDP Environment ESG World EW NR</t>
  </si>
  <si>
    <t>WESGP</t>
  </si>
  <si>
    <t>EN CDP Environment ESG World EW</t>
  </si>
  <si>
    <t>NL0013908825</t>
  </si>
  <si>
    <t>WATPR</t>
  </si>
  <si>
    <t>EN Water and Ocean Europe 40 EW</t>
  </si>
  <si>
    <t>NL0013908841</t>
  </si>
  <si>
    <t>NL0013908833</t>
  </si>
  <si>
    <t>NL0013908775</t>
  </si>
  <si>
    <t>ESGTP</t>
  </si>
  <si>
    <t>EN Transatlantic ESG Leaders 60 EW</t>
  </si>
  <si>
    <t>NL0013908791</t>
  </si>
  <si>
    <t>NL0013908783</t>
  </si>
  <si>
    <t>NL0013474224</t>
  </si>
  <si>
    <t>COP5D</t>
  </si>
  <si>
    <t>EN Climate Orientation Prior 50 EW 4.5%D</t>
  </si>
  <si>
    <t>NL0011923065</t>
  </si>
  <si>
    <t>NL0013352602</t>
  </si>
  <si>
    <t>WLENP</t>
  </si>
  <si>
    <t>Euronext CDP Environment World EW</t>
  </si>
  <si>
    <t>NL0013352628</t>
  </si>
  <si>
    <t>NL0013352610</t>
  </si>
  <si>
    <t>NL0013352560</t>
  </si>
  <si>
    <t>EZENP</t>
  </si>
  <si>
    <t>Euronext CDP Environment Eurozone EW</t>
  </si>
  <si>
    <t>NL0013352586</t>
  </si>
  <si>
    <t>NL0013352578</t>
  </si>
  <si>
    <t>NL0013273063</t>
  </si>
  <si>
    <t>EZ3GR</t>
  </si>
  <si>
    <t>Euronext Eurozone 300 GR</t>
  </si>
  <si>
    <t>NL0013273048</t>
  </si>
  <si>
    <t>NL0013273055</t>
  </si>
  <si>
    <t>EZ3NR</t>
  </si>
  <si>
    <t>Euronext Eurozone 300 NR</t>
  </si>
  <si>
    <t>EZ300</t>
  </si>
  <si>
    <t>Euronext Eurozone 300</t>
  </si>
  <si>
    <t>NL0013273030</t>
  </si>
  <si>
    <t>EU5GR</t>
  </si>
  <si>
    <t>Euronext Europe 500 GR</t>
  </si>
  <si>
    <t>NL0013273014</t>
  </si>
  <si>
    <t>NL0013273022</t>
  </si>
  <si>
    <t>EU5NR</t>
  </si>
  <si>
    <t>Euronext Europe 500 NR</t>
  </si>
  <si>
    <t>EU500</t>
  </si>
  <si>
    <t>Euronext Europe 500</t>
  </si>
  <si>
    <t>NL0013217730</t>
  </si>
  <si>
    <t>ERI5P</t>
  </si>
  <si>
    <t>EN Responsible Investment Euro 50 EW</t>
  </si>
  <si>
    <t>NL0013217755</t>
  </si>
  <si>
    <t>NL0013217748</t>
  </si>
  <si>
    <t>NL0013216468</t>
  </si>
  <si>
    <t>EUS5P</t>
  </si>
  <si>
    <t>EN Transatlantic 50 EW</t>
  </si>
  <si>
    <t>NL0013216484</t>
  </si>
  <si>
    <t>NL0013216476</t>
  </si>
  <si>
    <t>NL0013110224</t>
  </si>
  <si>
    <t>CEE1P</t>
  </si>
  <si>
    <t>Euronext Core Europe 100 ESG EW</t>
  </si>
  <si>
    <t>NL0013110240</t>
  </si>
  <si>
    <t>NL0013110232</t>
  </si>
  <si>
    <t>NL0013039282</t>
  </si>
  <si>
    <t>FRENE</t>
  </si>
  <si>
    <t>EN CDP ENV FR Oil &amp; Gas EW D 5%</t>
  </si>
  <si>
    <t>NL0013039266</t>
  </si>
  <si>
    <t>NL0013039274</t>
  </si>
  <si>
    <t>FREEG</t>
  </si>
  <si>
    <t>EN CDP ENV FR Ex Oil &amp; Gas EW GR</t>
  </si>
  <si>
    <t>NL0013039258</t>
  </si>
  <si>
    <t>FREEN</t>
  </si>
  <si>
    <t>EN CDP ENV FR Ex Oil &amp; Gas EW NR</t>
  </si>
  <si>
    <t>FREEP</t>
  </si>
  <si>
    <t>EN CDP ENV FR Ex Oil &amp; Gas EW</t>
  </si>
  <si>
    <t>NL0013026933</t>
  </si>
  <si>
    <t>CEE3G</t>
  </si>
  <si>
    <t>EN Core Europe 30 ESG EW GR</t>
  </si>
  <si>
    <t>NL0013026917</t>
  </si>
  <si>
    <t>NL0013026925</t>
  </si>
  <si>
    <t>CEE3N</t>
  </si>
  <si>
    <t>EN Core Europe 30 ESG EW NR</t>
  </si>
  <si>
    <t>CEE3P</t>
  </si>
  <si>
    <t>EN Core Europe 30 ESG EW</t>
  </si>
  <si>
    <t>NL0013025836</t>
  </si>
  <si>
    <t>EZMLG</t>
  </si>
  <si>
    <t>EN Eurozone Mid and Large 60 EW GR</t>
  </si>
  <si>
    <t>NL0013025810</t>
  </si>
  <si>
    <t>NL0013025828</t>
  </si>
  <si>
    <t>EZMLN</t>
  </si>
  <si>
    <t>EN Eurozone Mid and Large 60 EW NR</t>
  </si>
  <si>
    <t>EZMLP</t>
  </si>
  <si>
    <t>EN Eurozone Mid and Large 60 EW</t>
  </si>
  <si>
    <t>NL0013025711</t>
  </si>
  <si>
    <t>BESGG</t>
  </si>
  <si>
    <t>Euronext BeNeLux ESG Leaders 20 GR</t>
  </si>
  <si>
    <t>NL0013025695</t>
  </si>
  <si>
    <t>NL0013025703</t>
  </si>
  <si>
    <t>BESGN</t>
  </si>
  <si>
    <t>Euronext BeNeLux ESG Leaders 20 NR</t>
  </si>
  <si>
    <t>BESGP</t>
  </si>
  <si>
    <t>Euronext BeNeLux ESG Leaders 20</t>
  </si>
  <si>
    <t>NL0013025612</t>
  </si>
  <si>
    <t>ESG1G</t>
  </si>
  <si>
    <t>Euronext Eurozone 100 ESG GR</t>
  </si>
  <si>
    <t>NL0013025596</t>
  </si>
  <si>
    <t>NL0013025604</t>
  </si>
  <si>
    <t>ESG1N</t>
  </si>
  <si>
    <t>Euronext Eurozone 100 ESG NR</t>
  </si>
  <si>
    <t>ESG1P</t>
  </si>
  <si>
    <t>Euronext Eurozone 100 ESG</t>
  </si>
  <si>
    <t>NL0013025570</t>
  </si>
  <si>
    <t>ECO5G</t>
  </si>
  <si>
    <t>EN Climate Objective 50 Euro EW GR</t>
  </si>
  <si>
    <t>NL0013025554</t>
  </si>
  <si>
    <t>NL0013025562</t>
  </si>
  <si>
    <t>ECO5N</t>
  </si>
  <si>
    <t>EN Climate Objective 50 Euro EW NR</t>
  </si>
  <si>
    <t>ECO5P</t>
  </si>
  <si>
    <t>EN Climate Objective 50 Euro EW</t>
  </si>
  <si>
    <t>NL0013025497</t>
  </si>
  <si>
    <t>FRENG</t>
  </si>
  <si>
    <t>EN CDP Environment France EW GR</t>
  </si>
  <si>
    <t>NL0013025471</t>
  </si>
  <si>
    <t>NL0013025489</t>
  </si>
  <si>
    <t>FRENN</t>
  </si>
  <si>
    <t>EN CDP Environment France EW NR</t>
  </si>
  <si>
    <t>FRENP</t>
  </si>
  <si>
    <t>EN CDP Environment France EW</t>
  </si>
  <si>
    <t>NL0012949168</t>
  </si>
  <si>
    <t>EZN1G</t>
  </si>
  <si>
    <t>EN Eurozone Next 100 EW GR</t>
  </si>
  <si>
    <t>NL0012949143</t>
  </si>
  <si>
    <t>NL0012949150</t>
  </si>
  <si>
    <t>EZN1N</t>
  </si>
  <si>
    <t>EN Eurozone Next 100 EW NR</t>
  </si>
  <si>
    <t>EZN1P</t>
  </si>
  <si>
    <t>EN Eurozone Next 100 EW</t>
  </si>
  <si>
    <t>NL0012949127</t>
  </si>
  <si>
    <t>EZ15G</t>
  </si>
  <si>
    <t>Euronext Eurozone 150 EW GR</t>
  </si>
  <si>
    <t>NL0012949101</t>
  </si>
  <si>
    <t>NL0012949119</t>
  </si>
  <si>
    <t>EZ15N</t>
  </si>
  <si>
    <t>Euronext Eurozone 150 EW NR</t>
  </si>
  <si>
    <t>EZ15P</t>
  </si>
  <si>
    <t>Euronext Eurozone 150 EW</t>
  </si>
  <si>
    <t>NL0012939078</t>
  </si>
  <si>
    <t>ERGSD</t>
  </si>
  <si>
    <t>EN RM Global Sustainable Decrement</t>
  </si>
  <si>
    <t>NL0012939060</t>
  </si>
  <si>
    <t>ERGSN</t>
  </si>
  <si>
    <t>EN RM Global Sustainable NR</t>
  </si>
  <si>
    <t>NL0012838809</t>
  </si>
  <si>
    <t>NL0012846323</t>
  </si>
  <si>
    <t>FEZ6G</t>
  </si>
  <si>
    <t>Euronext France Eurozone 60 EW GR</t>
  </si>
  <si>
    <t>NL0012846307</t>
  </si>
  <si>
    <t>NL0012846315</t>
  </si>
  <si>
    <t>FEZ6N</t>
  </si>
  <si>
    <t>Euronext France Eurozone 60 EW NR</t>
  </si>
  <si>
    <t>FEZ6P</t>
  </si>
  <si>
    <t>Euronext France Eurozone 60 EW</t>
  </si>
  <si>
    <t>NL0012846281</t>
  </si>
  <si>
    <t>EZ60G</t>
  </si>
  <si>
    <t>Euronext Eurozone 60 EW GR</t>
  </si>
  <si>
    <t>NL0012846265</t>
  </si>
  <si>
    <t>NL0012846273</t>
  </si>
  <si>
    <t>EZ60N</t>
  </si>
  <si>
    <t>Euronext Eurozone 60 EW NR</t>
  </si>
  <si>
    <t>EZ60P</t>
  </si>
  <si>
    <t>Euronext Eurozone 60 EW</t>
  </si>
  <si>
    <t>ERGSP</t>
  </si>
  <si>
    <t>EN RM Global Sustainable</t>
  </si>
  <si>
    <t>NL0012758650</t>
  </si>
  <si>
    <t>ES1ED</t>
  </si>
  <si>
    <t>EN Europe Sustainable 100 EW D 50P</t>
  </si>
  <si>
    <t>NL0012758643</t>
  </si>
  <si>
    <t>ES1EG</t>
  </si>
  <si>
    <t>EN Europe Sustainable 100 EW GR</t>
  </si>
  <si>
    <t>NL0012758627</t>
  </si>
  <si>
    <t>NL0012758635</t>
  </si>
  <si>
    <t>ES1EN</t>
  </si>
  <si>
    <t>EN Europe Sustainable 100 EW NR</t>
  </si>
  <si>
    <t>ES1EP</t>
  </si>
  <si>
    <t>EN Europe Sustainable 100 EW</t>
  </si>
  <si>
    <t>NL0012758619</t>
  </si>
  <si>
    <t>CLIE5</t>
  </si>
  <si>
    <t>EN EZ EnergyTransition Leaders 50 EW D5%</t>
  </si>
  <si>
    <t>NL0012758593</t>
  </si>
  <si>
    <t>NL0012758601</t>
  </si>
  <si>
    <t>CLE5G</t>
  </si>
  <si>
    <t>EN EZ EnergyTransition Leaders 50 EW GR</t>
  </si>
  <si>
    <t>NL0012758585</t>
  </si>
  <si>
    <t>CLE5N</t>
  </si>
  <si>
    <t>EN EZ EnergyTransition Leaders 50 EW NR</t>
  </si>
  <si>
    <t>CLE5P</t>
  </si>
  <si>
    <t>EN EZ EnergyTransition Leaders 50 EW</t>
  </si>
  <si>
    <t>NL0012758577</t>
  </si>
  <si>
    <t>ESGE4</t>
  </si>
  <si>
    <t>Euronext Eurozone ESG Leaders 40 EW D 5%</t>
  </si>
  <si>
    <t>NL0012758551</t>
  </si>
  <si>
    <t>NL0012758569</t>
  </si>
  <si>
    <t>ESE4G</t>
  </si>
  <si>
    <t>Euronext Eurozone ESG Leaders 40 EW GR</t>
  </si>
  <si>
    <t>NL0012758544</t>
  </si>
  <si>
    <t>ESE4N</t>
  </si>
  <si>
    <t>Euronext Eurozone ESG Leaders 40 EW NR</t>
  </si>
  <si>
    <t>ESE4P</t>
  </si>
  <si>
    <t>Euronext Eurozone ESG Leaders 40 EW</t>
  </si>
  <si>
    <t>NL0012731905</t>
  </si>
  <si>
    <t>EZ40</t>
  </si>
  <si>
    <t>Euronext Eurozone 40 EW Decrement 5%</t>
  </si>
  <si>
    <t>NL0012731889</t>
  </si>
  <si>
    <t>NL0012731897</t>
  </si>
  <si>
    <t>EZ40G</t>
  </si>
  <si>
    <t>Euronext Eurozone 40 EW GR</t>
  </si>
  <si>
    <t>NL0012731871</t>
  </si>
  <si>
    <t>EZ40N</t>
  </si>
  <si>
    <t>Euronext Eurozone 40 EW NR</t>
  </si>
  <si>
    <t>EZ40P</t>
  </si>
  <si>
    <t>Euronext Eurozone 40 EW</t>
  </si>
  <si>
    <t>NL0012730667</t>
  </si>
  <si>
    <t>FGIND</t>
  </si>
  <si>
    <t>EN Top 30 Fra Ger Industrials EW D 5%</t>
  </si>
  <si>
    <t>NL0012730642</t>
  </si>
  <si>
    <t>NL0012730659</t>
  </si>
  <si>
    <t>FGING</t>
  </si>
  <si>
    <t>EN Top 30 Fra Ger Industrials EW GR</t>
  </si>
  <si>
    <t>NL0012730634</t>
  </si>
  <si>
    <t>FGINN</t>
  </si>
  <si>
    <t>EN Top 30 Fra Ger Industrials EW NR</t>
  </si>
  <si>
    <t>FGINP</t>
  </si>
  <si>
    <t>EN Top 30 Fra Ger Industrials EW</t>
  </si>
  <si>
    <t>NL0012730485</t>
  </si>
  <si>
    <t>EFMED</t>
  </si>
  <si>
    <t>EN Founding Members Europe 50 EW D 5%</t>
  </si>
  <si>
    <t>NL0012730469</t>
  </si>
  <si>
    <t>NL0012730477</t>
  </si>
  <si>
    <t>EFMEG</t>
  </si>
  <si>
    <t>EN Founding Members Europe 50 EW GR</t>
  </si>
  <si>
    <t>NL0012730451</t>
  </si>
  <si>
    <t>EFMEN</t>
  </si>
  <si>
    <t>EN Founding Members Europe 50 EW NR</t>
  </si>
  <si>
    <t>EFMEP</t>
  </si>
  <si>
    <t>EN Founding Members Europe 50 EW</t>
  </si>
  <si>
    <t>NL0012658785</t>
  </si>
  <si>
    <t>EFGG</t>
  </si>
  <si>
    <t>Euronext France Germany Leaders 50 GR</t>
  </si>
  <si>
    <t>NL0012658769</t>
  </si>
  <si>
    <t>NL0012658777</t>
  </si>
  <si>
    <t>EFGN</t>
  </si>
  <si>
    <t>Euronext France Germany Leaders 50 NR</t>
  </si>
  <si>
    <t>EFGP</t>
  </si>
  <si>
    <t>Euronext France Germany Leaders 50</t>
  </si>
  <si>
    <t>NL0012645253</t>
  </si>
  <si>
    <t>ERGBD</t>
  </si>
  <si>
    <t>EN Reitsmarket Global Balanced DECR</t>
  </si>
  <si>
    <t>NL0012645246</t>
  </si>
  <si>
    <t>ERGBN</t>
  </si>
  <si>
    <t>Euronext Reitsmarket Global Balanced NR</t>
  </si>
  <si>
    <t>NL0012645238</t>
  </si>
  <si>
    <t>ERGBP</t>
  </si>
  <si>
    <t>Euronext Reitsmarket Global Balanced</t>
  </si>
  <si>
    <t>NL0012645220</t>
  </si>
  <si>
    <t>ERGCD</t>
  </si>
  <si>
    <t>EN Reitsmarket Global Conviction DECR</t>
  </si>
  <si>
    <t>NL0012645212</t>
  </si>
  <si>
    <t>ERGCN</t>
  </si>
  <si>
    <t>EN Reitsmarket Global Conviction NR</t>
  </si>
  <si>
    <t>NL0012645204</t>
  </si>
  <si>
    <t>ERGCP</t>
  </si>
  <si>
    <t>EN Reitsmarket Global Conviction</t>
  </si>
  <si>
    <t>NL0012483937</t>
  </si>
  <si>
    <t>COR3G</t>
  </si>
  <si>
    <t>Euronext Core Europe 30 EW GR</t>
  </si>
  <si>
    <t>NL0012483903</t>
  </si>
  <si>
    <t>NL0012483911</t>
  </si>
  <si>
    <t>COR3N</t>
  </si>
  <si>
    <t>Euronext Core Europe 30 EW NR</t>
  </si>
  <si>
    <t>COR3P</t>
  </si>
  <si>
    <t>Euronext Core Europe 30 EW</t>
  </si>
  <si>
    <t>NL0012481774</t>
  </si>
  <si>
    <t>ESG5D</t>
  </si>
  <si>
    <t>Euronext Euro 50 ESG EW Decrement 50 P</t>
  </si>
  <si>
    <t>NL0012481766</t>
  </si>
  <si>
    <t>ESG5G</t>
  </si>
  <si>
    <t>Euronext Euro 50 ESG EW GR</t>
  </si>
  <si>
    <t>NL0012481741</t>
  </si>
  <si>
    <t>NL0012481758</t>
  </si>
  <si>
    <t>ESG5N</t>
  </si>
  <si>
    <t>Euronext Euro 50 ESG EW NR</t>
  </si>
  <si>
    <t>ESG50</t>
  </si>
  <si>
    <t>Euronext Euro 50 ESG EW</t>
  </si>
  <si>
    <t>NL0012375349</t>
  </si>
  <si>
    <t>COREN</t>
  </si>
  <si>
    <t>Euronext Core Europe 100 EW NR</t>
  </si>
  <si>
    <t>NL0012254635</t>
  </si>
  <si>
    <t>NL0012365050</t>
  </si>
  <si>
    <t>EFGEG</t>
  </si>
  <si>
    <t>EN France Germany Leaders 50 EW GR</t>
  </si>
  <si>
    <t>NL0012365035</t>
  </si>
  <si>
    <t>NL0012365043</t>
  </si>
  <si>
    <t>EFGEN</t>
  </si>
  <si>
    <t>EN France Germany Leaders 50 EW NR</t>
  </si>
  <si>
    <t>EFGEW</t>
  </si>
  <si>
    <t>EN France Germany Leaders 50 EW</t>
  </si>
  <si>
    <t>NL0012328835</t>
  </si>
  <si>
    <t>ECOEG</t>
  </si>
  <si>
    <t>Euronext Climate Objective 50 EW GR</t>
  </si>
  <si>
    <t>NL0012328819</t>
  </si>
  <si>
    <t>NL0012328827</t>
  </si>
  <si>
    <t>ECOEN</t>
  </si>
  <si>
    <t>Euronext Climate Objective 50 EW NR</t>
  </si>
  <si>
    <t>ECOEW</t>
  </si>
  <si>
    <t>Euronext Climate Objective 50 EW</t>
  </si>
  <si>
    <t>NL0012294268</t>
  </si>
  <si>
    <t>EBLRD</t>
  </si>
  <si>
    <t>Euronext BeNeLux Low Risk 20 D 4.5%</t>
  </si>
  <si>
    <t>NL0012294243</t>
  </si>
  <si>
    <t>NL0012294250</t>
  </si>
  <si>
    <t>EBLRG</t>
  </si>
  <si>
    <t>Euronext BeNeLux Low Risk 20 GR</t>
  </si>
  <si>
    <t>NL0012294235</t>
  </si>
  <si>
    <t>EBLRN</t>
  </si>
  <si>
    <t>Euronext BeNeLux Low Risk 20 NR</t>
  </si>
  <si>
    <t>EBLRE</t>
  </si>
  <si>
    <t>Euronext BeNeLux Low Risk 20</t>
  </si>
  <si>
    <t>NL0012254650</t>
  </si>
  <si>
    <t>EC1ED</t>
  </si>
  <si>
    <t>Euronext Core Europe 100 EW D 5% GR</t>
  </si>
  <si>
    <t>NL0012254643</t>
  </si>
  <si>
    <t>EC1EG</t>
  </si>
  <si>
    <t>Euronext Core Europe 100 EW GR</t>
  </si>
  <si>
    <t>EC1EW</t>
  </si>
  <si>
    <t>Euronext Core Europe 100 EW</t>
  </si>
  <si>
    <t>NL0012081418</t>
  </si>
  <si>
    <t>BNEWV</t>
  </si>
  <si>
    <t>Euronext BeNe 40 EW Volatility target</t>
  </si>
  <si>
    <t>NL0011923081</t>
  </si>
  <si>
    <t>COP5E</t>
  </si>
  <si>
    <t>EN Climate Orientation Priority 50 EW ER</t>
  </si>
  <si>
    <t>NL0011923073</t>
  </si>
  <si>
    <t>ECOPG</t>
  </si>
  <si>
    <t>EN Climate Orientation Priority 50 EW GR</t>
  </si>
  <si>
    <t>NL0011923057</t>
  </si>
  <si>
    <t>ECOPN</t>
  </si>
  <si>
    <t>EN Climate Orientation Priority 50 EW NR</t>
  </si>
  <si>
    <t>ECOP</t>
  </si>
  <si>
    <t>EN Climate Orientation Priority 50 EW</t>
  </si>
  <si>
    <t>NL0011923040</t>
  </si>
  <si>
    <t>ENCEG</t>
  </si>
  <si>
    <t>Euronext Climate Europe GR</t>
  </si>
  <si>
    <t>NL0011923024</t>
  </si>
  <si>
    <t>NL0011923032</t>
  </si>
  <si>
    <t>ENCEN</t>
  </si>
  <si>
    <t>Euronext Climate Europe NR</t>
  </si>
  <si>
    <t>ENCLE</t>
  </si>
  <si>
    <t>Euronext Climate Europe</t>
  </si>
  <si>
    <t>NL0011376132</t>
  </si>
  <si>
    <t>BNEWG</t>
  </si>
  <si>
    <t>Euronext BeNe 40 Equal Weight GR</t>
  </si>
  <si>
    <t>NL0011376116</t>
  </si>
  <si>
    <t>NL0011376124</t>
  </si>
  <si>
    <t>BNEWN</t>
  </si>
  <si>
    <t>Euronext BeNe 40 Equal Weight NR</t>
  </si>
  <si>
    <t>BNEW</t>
  </si>
  <si>
    <t>Euronext BeNe 40 Equal Weight</t>
  </si>
  <si>
    <t>NL0010614541</t>
  </si>
  <si>
    <t>ATAWG</t>
  </si>
  <si>
    <t>AEX All-Tradable Alternative Weight GR</t>
  </si>
  <si>
    <t>NL0010614525</t>
  </si>
  <si>
    <t>NL0010614533</t>
  </si>
  <si>
    <t>ATAWN</t>
  </si>
  <si>
    <t>AEX All-Tradable Alternative Weight NR</t>
  </si>
  <si>
    <t>AETAW</t>
  </si>
  <si>
    <t>AEX All-Tradable Alternative Weighting</t>
  </si>
  <si>
    <t>NL0010614517</t>
  </si>
  <si>
    <t>AEXTG</t>
  </si>
  <si>
    <t>AEX All-Tradable GR</t>
  </si>
  <si>
    <t>NL0010614491</t>
  </si>
  <si>
    <t>NL0010614509</t>
  </si>
  <si>
    <t>AEXTN</t>
  </si>
  <si>
    <t>AEX All-Tradable NR</t>
  </si>
  <si>
    <t>AEXAT</t>
  </si>
  <si>
    <t>AEX All-Tradable</t>
  </si>
  <si>
    <t>AMX</t>
  </si>
  <si>
    <t>AMX-Index</t>
  </si>
  <si>
    <t>ASCX</t>
  </si>
  <si>
    <t>AScX-Index</t>
  </si>
  <si>
    <t>AAX</t>
  </si>
  <si>
    <t>AEX All-Share Index</t>
  </si>
  <si>
    <t>NL0000249AMX</t>
  </si>
  <si>
    <t>MREUT</t>
  </si>
  <si>
    <t>AMX RT</t>
  </si>
  <si>
    <t>NL00002INAMX</t>
  </si>
  <si>
    <t>MIRUT</t>
  </si>
  <si>
    <t>AMX REUT INTERN</t>
  </si>
  <si>
    <t>AEX</t>
  </si>
  <si>
    <t>AEX-Index</t>
  </si>
  <si>
    <t>QS0011131990</t>
  </si>
  <si>
    <t>NL0000000AEX</t>
  </si>
  <si>
    <t>AREUT</t>
  </si>
  <si>
    <t>AEX RT</t>
  </si>
  <si>
    <t>NL00000INAEX</t>
  </si>
  <si>
    <t>NL000000010I</t>
  </si>
  <si>
    <t>AIRUT</t>
  </si>
  <si>
    <t>AEX REUT INTERN</t>
  </si>
  <si>
    <t>QS001113199I</t>
  </si>
  <si>
    <t>QS001121115I</t>
  </si>
  <si>
    <t>NL00000AEXNR</t>
  </si>
  <si>
    <t>AREUN</t>
  </si>
  <si>
    <t>AEX NET RT</t>
  </si>
  <si>
    <t>NL00000AEXGR</t>
  </si>
  <si>
    <t>AREUG</t>
  </si>
  <si>
    <t>AEX GROSS RT</t>
  </si>
  <si>
    <t>NL000INAEXNR</t>
  </si>
  <si>
    <t>AIRUN</t>
  </si>
  <si>
    <t>AEX NET REUT INTERN</t>
  </si>
  <si>
    <t>NL000INAEXGR</t>
  </si>
  <si>
    <t>AIRUG</t>
  </si>
  <si>
    <t>AEX GROSS REUT INTERN</t>
  </si>
  <si>
    <t>NLIX00005198</t>
  </si>
  <si>
    <t>UBMAG</t>
  </si>
  <si>
    <t>Euronext US Basic Mat GR</t>
  </si>
  <si>
    <t>NLIX00005172</t>
  </si>
  <si>
    <t>NLIX00005180</t>
  </si>
  <si>
    <t>UBMAN</t>
  </si>
  <si>
    <t>Euronext US Basic Mat NR</t>
  </si>
  <si>
    <t>UBMA</t>
  </si>
  <si>
    <t>Euronext US Basic Mat PR</t>
  </si>
  <si>
    <t>NLIX00005164</t>
  </si>
  <si>
    <t>UHECG</t>
  </si>
  <si>
    <t>Euronext US Health Care GR</t>
  </si>
  <si>
    <t>NLIX00005149</t>
  </si>
  <si>
    <t>NLIX00005156</t>
  </si>
  <si>
    <t>UHECN</t>
  </si>
  <si>
    <t>Euronext US Health Care NR</t>
  </si>
  <si>
    <t>UHEC</t>
  </si>
  <si>
    <t>Euronext US Health Care PR</t>
  </si>
  <si>
    <t>NLIX00005073</t>
  </si>
  <si>
    <t>UFING</t>
  </si>
  <si>
    <t>Euronext US Financials GR</t>
  </si>
  <si>
    <t>NLIX00005057</t>
  </si>
  <si>
    <t>NLIX00005065</t>
  </si>
  <si>
    <t>UFINN</t>
  </si>
  <si>
    <t>Euronext US Financials NR</t>
  </si>
  <si>
    <t>UFIN</t>
  </si>
  <si>
    <t>Euronext US Financials PR</t>
  </si>
  <si>
    <t>NLIX00005040</t>
  </si>
  <si>
    <t>UCDIG</t>
  </si>
  <si>
    <t>Euronext US Consumer Discretionary GR</t>
  </si>
  <si>
    <t>NLIX00005024</t>
  </si>
  <si>
    <t>NLIX00005032</t>
  </si>
  <si>
    <t>UCDIN</t>
  </si>
  <si>
    <t>Euronext US Consumer Discretionary NR</t>
  </si>
  <si>
    <t>UCDI</t>
  </si>
  <si>
    <t>Euronext US Consumer Discretionary PR</t>
  </si>
  <si>
    <t>NLIX00005016</t>
  </si>
  <si>
    <t>UCSTG</t>
  </si>
  <si>
    <t>Euronext US Consumer Staples GR</t>
  </si>
  <si>
    <t>NLIX00004993</t>
  </si>
  <si>
    <t>NLIX00005008</t>
  </si>
  <si>
    <t>UCSTN</t>
  </si>
  <si>
    <t>Euronext US Consumer Staples NR</t>
  </si>
  <si>
    <t>UCST</t>
  </si>
  <si>
    <t>Euronext US Consumer Staples PR</t>
  </si>
  <si>
    <t>NLIX00004985</t>
  </si>
  <si>
    <t>UENRG</t>
  </si>
  <si>
    <t>Euronext US Energy GR</t>
  </si>
  <si>
    <t>NLIX00004969</t>
  </si>
  <si>
    <t>NLIX00004977</t>
  </si>
  <si>
    <t>UENRN</t>
  </si>
  <si>
    <t>Euronext US Energy NR</t>
  </si>
  <si>
    <t>UENR</t>
  </si>
  <si>
    <t>Euronext US Energy PR</t>
  </si>
  <si>
    <t>NLIX00004910</t>
  </si>
  <si>
    <t>DWREN</t>
  </si>
  <si>
    <t>EN Developed World Real Estate TM NR</t>
  </si>
  <si>
    <t>NLIX00004894</t>
  </si>
  <si>
    <t>NLIX00004902</t>
  </si>
  <si>
    <t>DWREG</t>
  </si>
  <si>
    <t>EN Developed World Real Estate TM GR</t>
  </si>
  <si>
    <t>DWREP</t>
  </si>
  <si>
    <t>EN Developed World Real Estate TM</t>
  </si>
  <si>
    <t>NLIX00004886</t>
  </si>
  <si>
    <t>DEREN</t>
  </si>
  <si>
    <t>EN Developed Europe Real Estate TM NR</t>
  </si>
  <si>
    <t>NLIX00004860</t>
  </si>
  <si>
    <t>NLIX00004878</t>
  </si>
  <si>
    <t>DEREG</t>
  </si>
  <si>
    <t>EN Developed Europe Real Estate TM GR</t>
  </si>
  <si>
    <t>DEREP</t>
  </si>
  <si>
    <t>EN Developed Europe Real Estate TM</t>
  </si>
  <si>
    <t>NLIX00004852</t>
  </si>
  <si>
    <t>DAREN</t>
  </si>
  <si>
    <t>EN Developed Asia Real Estate TM NR</t>
  </si>
  <si>
    <t>NLIX00004837</t>
  </si>
  <si>
    <t>NLIX00004845</t>
  </si>
  <si>
    <t>DAREG</t>
  </si>
  <si>
    <t>EN Developed Asia Real Estate TM GR</t>
  </si>
  <si>
    <t>DAREP</t>
  </si>
  <si>
    <t>EN Developed Asia Real Estate TM</t>
  </si>
  <si>
    <t>NLIX00004829</t>
  </si>
  <si>
    <t>EUREN</t>
  </si>
  <si>
    <t>Euronext USA Real Estate Total Market NR</t>
  </si>
  <si>
    <t>NLIX00004803</t>
  </si>
  <si>
    <t>NLIX00004811</t>
  </si>
  <si>
    <t>EUREG</t>
  </si>
  <si>
    <t>Euronext USA Real Estate Total Market GR</t>
  </si>
  <si>
    <t>EUREP</t>
  </si>
  <si>
    <t>Euronext USA Real Estate Total Market</t>
  </si>
  <si>
    <t>NLIX00003979</t>
  </si>
  <si>
    <t>TUTIG</t>
  </si>
  <si>
    <t>Euronext Transatlantic Utilities GR</t>
  </si>
  <si>
    <t>NLIX00003953</t>
  </si>
  <si>
    <t>NLIX00003961</t>
  </si>
  <si>
    <t>TUTIN</t>
  </si>
  <si>
    <t>Euronext Transatlantic Utilities NR</t>
  </si>
  <si>
    <t>TUTI</t>
  </si>
  <si>
    <t>Euronext Transatlantic Utilities PR</t>
  </si>
  <si>
    <t>NLIX00003946</t>
  </si>
  <si>
    <t>TBMAG</t>
  </si>
  <si>
    <t>Euronext Transatlantic Basic Mat GR</t>
  </si>
  <si>
    <t>NLIX00003920</t>
  </si>
  <si>
    <t>NLIX00003938</t>
  </si>
  <si>
    <t>TBMAN</t>
  </si>
  <si>
    <t>Euronext Transatlantic Basic Mat NR</t>
  </si>
  <si>
    <t>TBMA</t>
  </si>
  <si>
    <t>Euronext Transatlantic Basic Mat PR</t>
  </si>
  <si>
    <t>NLIX00003912</t>
  </si>
  <si>
    <t>THECG</t>
  </si>
  <si>
    <t>Euronext Transatlantic Health Care GR</t>
  </si>
  <si>
    <t>NLIX00003896</t>
  </si>
  <si>
    <t>NLIX00003904</t>
  </si>
  <si>
    <t>THECN</t>
  </si>
  <si>
    <t>Euronext Transatlantic Health Care NR</t>
  </si>
  <si>
    <t>THEC</t>
  </si>
  <si>
    <t>Euronext Transatlantic Health Care PR</t>
  </si>
  <si>
    <t>NLIX00003888</t>
  </si>
  <si>
    <t>TTELG</t>
  </si>
  <si>
    <t>Euronext Transatlantic Telecom GR</t>
  </si>
  <si>
    <t>NLIX00003862</t>
  </si>
  <si>
    <t>NLIX00003870</t>
  </si>
  <si>
    <t>TTELN</t>
  </si>
  <si>
    <t>Euronext Transatlantic Telecom NR</t>
  </si>
  <si>
    <t>TTEL</t>
  </si>
  <si>
    <t>Euronext Transatlantic Telecom PR</t>
  </si>
  <si>
    <t>NLIX00003854</t>
  </si>
  <si>
    <t>TINDG</t>
  </si>
  <si>
    <t>Euronext Transatlantic Industrials GR</t>
  </si>
  <si>
    <t>NLIX00003839</t>
  </si>
  <si>
    <t>NLIX00003847</t>
  </si>
  <si>
    <t>TINDN</t>
  </si>
  <si>
    <t>Euronext Transatlantic Industrials NR</t>
  </si>
  <si>
    <t>TIND</t>
  </si>
  <si>
    <t>Euronext Transatlantic Industrials PR</t>
  </si>
  <si>
    <t>NLIX00003821</t>
  </si>
  <si>
    <t>TFING</t>
  </si>
  <si>
    <t>Euronext Transatlantic Financials GR</t>
  </si>
  <si>
    <t>NLIX00003805</t>
  </si>
  <si>
    <t>NLIX00003813</t>
  </si>
  <si>
    <t>TFINN</t>
  </si>
  <si>
    <t>Euronext Transatlantic Financials NR</t>
  </si>
  <si>
    <t>TFINP</t>
  </si>
  <si>
    <t>Euronext Transatlantic Financials PR</t>
  </si>
  <si>
    <t>NLIX00003797</t>
  </si>
  <si>
    <t>TCDIG</t>
  </si>
  <si>
    <t>Euronext Transatlantic Cons Discret GR</t>
  </si>
  <si>
    <t>NLIX00003771</t>
  </si>
  <si>
    <t>NLIX00003789</t>
  </si>
  <si>
    <t>TCDIN</t>
  </si>
  <si>
    <t>Euronext Transatlantic Cons Discret NR</t>
  </si>
  <si>
    <t>TCDI</t>
  </si>
  <si>
    <t>Euronext Transatlantic Cons Discret PR</t>
  </si>
  <si>
    <t>NLIX00003763</t>
  </si>
  <si>
    <t>TCSTG</t>
  </si>
  <si>
    <t>Euronext Transatlantic Cons Staples GR</t>
  </si>
  <si>
    <t>NLIX00003748</t>
  </si>
  <si>
    <t>NLIX00003755</t>
  </si>
  <si>
    <t>TCSTN</t>
  </si>
  <si>
    <t>Euronext Transatlantic Cons Staples NR</t>
  </si>
  <si>
    <t>TCST</t>
  </si>
  <si>
    <t>Euronext Transatlantic Cons Staples PR</t>
  </si>
  <si>
    <t>NLIX00003730</t>
  </si>
  <si>
    <t>TENRG</t>
  </si>
  <si>
    <t>Euronext Transatlantic Energy GR</t>
  </si>
  <si>
    <t>NLIX00003714</t>
  </si>
  <si>
    <t>NLIX00003722</t>
  </si>
  <si>
    <t>TENRN</t>
  </si>
  <si>
    <t>Euronext Transatlantic Energy NR</t>
  </si>
  <si>
    <t>TENR</t>
  </si>
  <si>
    <t>Euronext Transatlantic Energy PR</t>
  </si>
  <si>
    <t>NLIX00003706</t>
  </si>
  <si>
    <t>TTECG</t>
  </si>
  <si>
    <t>Euronext Transatlantic Technology GR</t>
  </si>
  <si>
    <t>NLIX00003680</t>
  </si>
  <si>
    <t>NLIX00003698</t>
  </si>
  <si>
    <t>TTECN</t>
  </si>
  <si>
    <t>Euronext Transatlantic Technology NR</t>
  </si>
  <si>
    <t>TTEC</t>
  </si>
  <si>
    <t>Euronext Transatlantic Technology PR</t>
  </si>
  <si>
    <t>NLIX00003631</t>
  </si>
  <si>
    <t>EZSCG</t>
  </si>
  <si>
    <t>Euronext Eurozone Small Cap GR</t>
  </si>
  <si>
    <t>NLIX00003615</t>
  </si>
  <si>
    <t>ES0182870214</t>
  </si>
  <si>
    <t>NLIX00003623</t>
  </si>
  <si>
    <t>EZSCN</t>
  </si>
  <si>
    <t>Euronext Eurozone Small Cap NR</t>
  </si>
  <si>
    <t>EZSCP</t>
  </si>
  <si>
    <t>Euronext Eurozone Small Cap</t>
  </si>
  <si>
    <t>NLIX00003573</t>
  </si>
  <si>
    <t>UTILG</t>
  </si>
  <si>
    <t>Euronext Eurozone Utilities GR</t>
  </si>
  <si>
    <t>NLIX00003375</t>
  </si>
  <si>
    <t>NLIX00003565</t>
  </si>
  <si>
    <t>UTILN</t>
  </si>
  <si>
    <t>Euronext Eurozone Utilities NR</t>
  </si>
  <si>
    <t>NLIX00003557</t>
  </si>
  <si>
    <t>BASMG</t>
  </si>
  <si>
    <t>Euronext Eurozone Basic Materials GR</t>
  </si>
  <si>
    <t>NLIX00003284</t>
  </si>
  <si>
    <t>NLIX00003540</t>
  </si>
  <si>
    <t>BASMN</t>
  </si>
  <si>
    <t>Euronext Eurozone Basic Materials NR</t>
  </si>
  <si>
    <t>NLIX00003532</t>
  </si>
  <si>
    <t>HEACG</t>
  </si>
  <si>
    <t>Euronext Eurozone Health Care GR</t>
  </si>
  <si>
    <t>NLIX00003334</t>
  </si>
  <si>
    <t>NLIX00003524</t>
  </si>
  <si>
    <t>HEACN</t>
  </si>
  <si>
    <t>Euronext Eurozone Health Care NR</t>
  </si>
  <si>
    <t>NLIX00003516</t>
  </si>
  <si>
    <t>TELEG</t>
  </si>
  <si>
    <t>Euronext Eurozone Telecommunications GR</t>
  </si>
  <si>
    <t>NLIX00003367</t>
  </si>
  <si>
    <t>NLIX00003508</t>
  </si>
  <si>
    <t>TELEN</t>
  </si>
  <si>
    <t>Euronext Eurozone Telecommunications NR</t>
  </si>
  <si>
    <t>NLIX00003490</t>
  </si>
  <si>
    <t>INDUG</t>
  </si>
  <si>
    <t>Euronext Eurozone Industrials GR</t>
  </si>
  <si>
    <t>NLIX00003342</t>
  </si>
  <si>
    <t>NLIX00003482</t>
  </si>
  <si>
    <t>INDUN</t>
  </si>
  <si>
    <t>Euronext Eurozone Industrials NR</t>
  </si>
  <si>
    <t>NLIX00003474</t>
  </si>
  <si>
    <t>FINAG</t>
  </si>
  <si>
    <t>Euronext Eurozone Financials GR</t>
  </si>
  <si>
    <t>NLIX00003326</t>
  </si>
  <si>
    <t>NLIX00003466</t>
  </si>
  <si>
    <t>FINAN</t>
  </si>
  <si>
    <t>Euronext Eurozone Financials NR</t>
  </si>
  <si>
    <t>NLIX00003458</t>
  </si>
  <si>
    <t>CDISG</t>
  </si>
  <si>
    <t>Euronext Eurozone Cons Discretionary GR</t>
  </si>
  <si>
    <t>NLIX00003292</t>
  </si>
  <si>
    <t>NLIX00003441</t>
  </si>
  <si>
    <t>CDISN</t>
  </si>
  <si>
    <t>Euronext Eurozone Cons Discretionary NR</t>
  </si>
  <si>
    <t>NLIX00003433</t>
  </si>
  <si>
    <t>CSTAG</t>
  </si>
  <si>
    <t>Euronext Eurozone Consumer Staples GR</t>
  </si>
  <si>
    <t>NLIX00003300</t>
  </si>
  <si>
    <t>NLIX00003425</t>
  </si>
  <si>
    <t>CSTAN</t>
  </si>
  <si>
    <t>Euronext Eurozone Consumer Staples NR</t>
  </si>
  <si>
    <t>NLIX00003417</t>
  </si>
  <si>
    <t>ENRGG</t>
  </si>
  <si>
    <t>Euronext Eurozone Energy GR</t>
  </si>
  <si>
    <t>NLIX00003318</t>
  </si>
  <si>
    <t>NLIX00003409</t>
  </si>
  <si>
    <t>ENRGN</t>
  </si>
  <si>
    <t>Euronext Eurozone Energy NR</t>
  </si>
  <si>
    <t>NLIX00003391</t>
  </si>
  <si>
    <t>TECHG</t>
  </si>
  <si>
    <t>Euronext Eurozone Technology GR</t>
  </si>
  <si>
    <t>NLIX00003359</t>
  </si>
  <si>
    <t>NLIX00003383</t>
  </si>
  <si>
    <t>TECHN</t>
  </si>
  <si>
    <t>Euronext Eurozone Technology NR</t>
  </si>
  <si>
    <t>UTIL</t>
  </si>
  <si>
    <t>Euronext Eurozone Utilities PR</t>
  </si>
  <si>
    <t>TELEP</t>
  </si>
  <si>
    <t>Euronext Eurozone Telecommunications PR</t>
  </si>
  <si>
    <t>TECHP</t>
  </si>
  <si>
    <t>Euronext Eurozone Technology PR</t>
  </si>
  <si>
    <t>INDU</t>
  </si>
  <si>
    <t>Euronext Eurozone Industrials PR</t>
  </si>
  <si>
    <t>HEAC</t>
  </si>
  <si>
    <t>Euronext Eurozone Health Care PR</t>
  </si>
  <si>
    <t>FINA</t>
  </si>
  <si>
    <t>Euronext Eurozone Financials PR</t>
  </si>
  <si>
    <t>ENRGP</t>
  </si>
  <si>
    <t>Euronext Eurozone Energy PR</t>
  </si>
  <si>
    <t>CSTA</t>
  </si>
  <si>
    <t>Euronext Eurozone Consumer Staples PR</t>
  </si>
  <si>
    <t>CDIS</t>
  </si>
  <si>
    <t>Euronext Eurozone Cons Discretionary PR</t>
  </si>
  <si>
    <t>BASM</t>
  </si>
  <si>
    <t>Euronext Eurozone Basic Materials PR</t>
  </si>
  <si>
    <t>NLIX00003128</t>
  </si>
  <si>
    <t>AERD5</t>
  </si>
  <si>
    <t>Euronext Aerospace and Defense D5%</t>
  </si>
  <si>
    <t>NLIX00003102</t>
  </si>
  <si>
    <t>NLIX00003110</t>
  </si>
  <si>
    <t>ARD35</t>
  </si>
  <si>
    <t>Euronext Aerospace and Defense D3.5%</t>
  </si>
  <si>
    <t>AERDN</t>
  </si>
  <si>
    <t>Euronext Aerospace and Defense NR</t>
  </si>
  <si>
    <t>NLIX00003086</t>
  </si>
  <si>
    <t>NLIX00003094</t>
  </si>
  <si>
    <t>AERDG</t>
  </si>
  <si>
    <t>Euronext Aerospace and Defense GR</t>
  </si>
  <si>
    <t>AERDP</t>
  </si>
  <si>
    <t>Euronext Aerospace and Defense PR</t>
  </si>
  <si>
    <t>NLIX00003037</t>
  </si>
  <si>
    <t>ESC50</t>
  </si>
  <si>
    <t>Euronext US Consumer Tech Energy Dec 50P</t>
  </si>
  <si>
    <t>NLIX00003003</t>
  </si>
  <si>
    <t>NLIX00003029</t>
  </si>
  <si>
    <t>ESC5D</t>
  </si>
  <si>
    <t>Euronext US Consumer Tech Energy Dec 5%</t>
  </si>
  <si>
    <t>NLIX00003011</t>
  </si>
  <si>
    <t>EUSCN</t>
  </si>
  <si>
    <t>Euronext US Consumer Tech Energy NR</t>
  </si>
  <si>
    <t>NLIX00002997</t>
  </si>
  <si>
    <t>EUSCG</t>
  </si>
  <si>
    <t>Euronext US Consumer Tech Energy GR</t>
  </si>
  <si>
    <t>EUSCS</t>
  </si>
  <si>
    <t>Euronext US Consumer Tech Energy</t>
  </si>
  <si>
    <t>NLIX00002989</t>
  </si>
  <si>
    <t>ELD5P</t>
  </si>
  <si>
    <t>Euronext Europe Luxury D50 Points</t>
  </si>
  <si>
    <t>NLIX00002948</t>
  </si>
  <si>
    <t>NLIX00002971</t>
  </si>
  <si>
    <t>ELUX5</t>
  </si>
  <si>
    <t>Euronext Europe Luxury D5%</t>
  </si>
  <si>
    <t>NLIX00002963</t>
  </si>
  <si>
    <t>ELUX3</t>
  </si>
  <si>
    <t>Euronext Europe Luxury D3.5%</t>
  </si>
  <si>
    <t>NLIX00002955</t>
  </si>
  <si>
    <t>ELUXG</t>
  </si>
  <si>
    <t>Euronext Europe Luxury GR</t>
  </si>
  <si>
    <t>NLIX00002930</t>
  </si>
  <si>
    <t>ELUXN</t>
  </si>
  <si>
    <t>Euronext Europe Luxury NR</t>
  </si>
  <si>
    <t>ELUXP</t>
  </si>
  <si>
    <t>Euronext Europe Luxury</t>
  </si>
  <si>
    <t>NLIX00002336</t>
  </si>
  <si>
    <t>ENEZ5</t>
  </si>
  <si>
    <t>Euronext Eurozone 50</t>
  </si>
  <si>
    <t>NLIX00002286</t>
  </si>
  <si>
    <t>EUKGT</t>
  </si>
  <si>
    <t>EN UK Total Market GR</t>
  </si>
  <si>
    <t>NLIX00002260</t>
  </si>
  <si>
    <t>NLIX00002278</t>
  </si>
  <si>
    <t>EUKNT</t>
  </si>
  <si>
    <t>EN UK Total Market NR</t>
  </si>
  <si>
    <t>EUKPT</t>
  </si>
  <si>
    <t>EN UK Total Market</t>
  </si>
  <si>
    <t>NLIX00002252</t>
  </si>
  <si>
    <t>CANGT</t>
  </si>
  <si>
    <t>EN Canada Total Market GR</t>
  </si>
  <si>
    <t>NLIX00002237</t>
  </si>
  <si>
    <t>NLIX00002245</t>
  </si>
  <si>
    <t>CANNT</t>
  </si>
  <si>
    <t>EN Canada Total Market NR</t>
  </si>
  <si>
    <t>CANPT</t>
  </si>
  <si>
    <t>EN Canada Total Market</t>
  </si>
  <si>
    <t>NLIX00002229</t>
  </si>
  <si>
    <t>ECHGT</t>
  </si>
  <si>
    <t>EN Switzerland Total Market GR</t>
  </si>
  <si>
    <t>NLIX00002203</t>
  </si>
  <si>
    <t>NLIX00002211</t>
  </si>
  <si>
    <t>ECHNT</t>
  </si>
  <si>
    <t>EN Switzerland Total Market NR</t>
  </si>
  <si>
    <t>ECHPT</t>
  </si>
  <si>
    <t>EN Switzerland Total Market</t>
  </si>
  <si>
    <t>NLIX00002195</t>
  </si>
  <si>
    <t>EJPGT</t>
  </si>
  <si>
    <t>EN Japan Total Market GR</t>
  </si>
  <si>
    <t>NLIX00002179</t>
  </si>
  <si>
    <t>NLIX00002187</t>
  </si>
  <si>
    <t>EJPNT</t>
  </si>
  <si>
    <t>EN Japan Total Market NR</t>
  </si>
  <si>
    <t>EJPPT</t>
  </si>
  <si>
    <t>EN Japan Total Market</t>
  </si>
  <si>
    <t>NLIX00002161</t>
  </si>
  <si>
    <t>EUSGT</t>
  </si>
  <si>
    <t>EN USA Total Market GR</t>
  </si>
  <si>
    <t>NLIX00002146</t>
  </si>
  <si>
    <t>US0259321042 US06417N1037 US36266G1076 US42234Q1022 US74834L1008</t>
  </si>
  <si>
    <t>NLIX00002153</t>
  </si>
  <si>
    <t>EUSNT</t>
  </si>
  <si>
    <t>EN USA Total Market NR</t>
  </si>
  <si>
    <t>EUSPT</t>
  </si>
  <si>
    <t>EN USA Total Market</t>
  </si>
  <si>
    <t>NLIX00002138</t>
  </si>
  <si>
    <t>DPAGT</t>
  </si>
  <si>
    <t>EN Developed Pacific Total Market GR</t>
  </si>
  <si>
    <t>NLIX00002112</t>
  </si>
  <si>
    <t>NLIX00002120</t>
  </si>
  <si>
    <t>DPANT</t>
  </si>
  <si>
    <t>EN Developed Pacific Total Market NR</t>
  </si>
  <si>
    <t>DPAPT</t>
  </si>
  <si>
    <t>EN Developed Pacific Total Market</t>
  </si>
  <si>
    <t>NLIX00002104</t>
  </si>
  <si>
    <t>DASGT</t>
  </si>
  <si>
    <t>EN Developed Asia Total Market GR</t>
  </si>
  <si>
    <t>NLIX00002088</t>
  </si>
  <si>
    <t>NLIX00002096</t>
  </si>
  <si>
    <t>DASNT</t>
  </si>
  <si>
    <t>EN Developed Asia Total Market NR</t>
  </si>
  <si>
    <t>DASPT</t>
  </si>
  <si>
    <t>EN Developed Asia Total Market</t>
  </si>
  <si>
    <t>NLIX00002070</t>
  </si>
  <si>
    <t>DAPGT</t>
  </si>
  <si>
    <t>EN Developed Asia Pacific TM GR</t>
  </si>
  <si>
    <t>NLIX00002054</t>
  </si>
  <si>
    <t>NLIX00002062</t>
  </si>
  <si>
    <t>DAPNT</t>
  </si>
  <si>
    <t>EN Developed Asia Pacific TM NR</t>
  </si>
  <si>
    <t>DAPPT</t>
  </si>
  <si>
    <t>EN Developed Asia Pacific Total Market</t>
  </si>
  <si>
    <t>NLIX00002047</t>
  </si>
  <si>
    <t>DNAGT</t>
  </si>
  <si>
    <t>EN Developed NA Total Market GR</t>
  </si>
  <si>
    <t>NLIX00002021</t>
  </si>
  <si>
    <t>NLIX00002039</t>
  </si>
  <si>
    <t>DNANT</t>
  </si>
  <si>
    <t>EN Developed NA Total Market NR</t>
  </si>
  <si>
    <t>DNAPT</t>
  </si>
  <si>
    <t>EN Developed NA Total Market</t>
  </si>
  <si>
    <t>NLIX00002013</t>
  </si>
  <si>
    <t>DEZGT</t>
  </si>
  <si>
    <t>EN Developed Eurozone Total Market GR</t>
  </si>
  <si>
    <t>NLIX00001999</t>
  </si>
  <si>
    <t>ES0182870214 FR0000121485</t>
  </si>
  <si>
    <t>NLIX00002005</t>
  </si>
  <si>
    <t>DEZNT</t>
  </si>
  <si>
    <t>EN Developed Eurozone Total Market NR</t>
  </si>
  <si>
    <t>DEZPT</t>
  </si>
  <si>
    <t>EN Developed Eurozone Total Market</t>
  </si>
  <si>
    <t>NLIX00001981</t>
  </si>
  <si>
    <t>DEUGT</t>
  </si>
  <si>
    <t>EN Developed Europe Total Market GR</t>
  </si>
  <si>
    <t>NLIX00001965</t>
  </si>
  <si>
    <t>NLIX00001973</t>
  </si>
  <si>
    <t>DEUNT</t>
  </si>
  <si>
    <t>EN Developed Europe Total Market NR</t>
  </si>
  <si>
    <t>DEUPT</t>
  </si>
  <si>
    <t>EN Developed Europe Total Market</t>
  </si>
  <si>
    <t>NLIX00001957</t>
  </si>
  <si>
    <t>EDWGT</t>
  </si>
  <si>
    <t>EN Developed World Total Market GR</t>
  </si>
  <si>
    <t>NLIX00001932</t>
  </si>
  <si>
    <t>ES0182870214 FR0000121485 US0259321042 US06417N1037 US36266G1076 US42234Q1022 US74834L1008</t>
  </si>
  <si>
    <t>NLIX00001940</t>
  </si>
  <si>
    <t>EDWNT</t>
  </si>
  <si>
    <t>EN Developed World Total Market NR</t>
  </si>
  <si>
    <t>EDWPT</t>
  </si>
  <si>
    <t>EN Developed World Total Market</t>
  </si>
  <si>
    <t>NLIX00001924</t>
  </si>
  <si>
    <t>EUKG</t>
  </si>
  <si>
    <t>Euronext UK GR</t>
  </si>
  <si>
    <t>NLIX00001908</t>
  </si>
  <si>
    <t>NLIX00001916</t>
  </si>
  <si>
    <t>EUKN</t>
  </si>
  <si>
    <t>Euronext UK NR</t>
  </si>
  <si>
    <t>EUKP</t>
  </si>
  <si>
    <t>Euronext UK</t>
  </si>
  <si>
    <t>NLIX00001890</t>
  </si>
  <si>
    <t>CANG</t>
  </si>
  <si>
    <t>Euronext Canada GR</t>
  </si>
  <si>
    <t>NLIX00001874</t>
  </si>
  <si>
    <t>NLIX00001882</t>
  </si>
  <si>
    <t>CANN</t>
  </si>
  <si>
    <t>Euronext Canada NR</t>
  </si>
  <si>
    <t>CANP</t>
  </si>
  <si>
    <t>Euronext Canada</t>
  </si>
  <si>
    <t>NLIX00001866</t>
  </si>
  <si>
    <t>ECHG</t>
  </si>
  <si>
    <t>Euronext Switzerland GR</t>
  </si>
  <si>
    <t>NLIX00001841</t>
  </si>
  <si>
    <t>NLIX00001858</t>
  </si>
  <si>
    <t>ECHN</t>
  </si>
  <si>
    <t>Euronext Switzerland NR</t>
  </si>
  <si>
    <t>ECHP</t>
  </si>
  <si>
    <t>Euronext Switzerland</t>
  </si>
  <si>
    <t>NLIX00001833</t>
  </si>
  <si>
    <t>EJPG</t>
  </si>
  <si>
    <t>Euronext Japan GR</t>
  </si>
  <si>
    <t>NLIX00001817</t>
  </si>
  <si>
    <t>NLIX00001825</t>
  </si>
  <si>
    <t>EJPN</t>
  </si>
  <si>
    <t>Euronext Japan NR</t>
  </si>
  <si>
    <t>EJPP</t>
  </si>
  <si>
    <t>Euronext Japan</t>
  </si>
  <si>
    <t>NLIX00001783</t>
  </si>
  <si>
    <t>EUSP</t>
  </si>
  <si>
    <t>Euronext USA</t>
  </si>
  <si>
    <t>NLIX00001809</t>
  </si>
  <si>
    <t>NLIX00001791</t>
  </si>
  <si>
    <t>NLIX00001775</t>
  </si>
  <si>
    <t>DPAG</t>
  </si>
  <si>
    <t>Euronext Developed Pacific GR</t>
  </si>
  <si>
    <t>NLIX00001759</t>
  </si>
  <si>
    <t>NLIX00001767</t>
  </si>
  <si>
    <t>DPAN</t>
  </si>
  <si>
    <t>Euronext Developed Pacific NR</t>
  </si>
  <si>
    <t>DPAP</t>
  </si>
  <si>
    <t>Euronext Developed Pacific</t>
  </si>
  <si>
    <t>NLIX00001742</t>
  </si>
  <si>
    <t>DASG</t>
  </si>
  <si>
    <t>Euronext Developed Asia GR</t>
  </si>
  <si>
    <t>NLIX00001726</t>
  </si>
  <si>
    <t>NLIX00001734</t>
  </si>
  <si>
    <t>DASN</t>
  </si>
  <si>
    <t>Euronext Developed Asia NR</t>
  </si>
  <si>
    <t>DASP</t>
  </si>
  <si>
    <t>Euronext Developed Asia</t>
  </si>
  <si>
    <t>NLIX00001718</t>
  </si>
  <si>
    <t>DAPG</t>
  </si>
  <si>
    <t>Euronext Developed Asia Pacific GR</t>
  </si>
  <si>
    <t>NLIX00001692</t>
  </si>
  <si>
    <t>NLIX00001700</t>
  </si>
  <si>
    <t>DAPN</t>
  </si>
  <si>
    <t>Euronext Developed Asia Pacific NR</t>
  </si>
  <si>
    <t>DAPPR</t>
  </si>
  <si>
    <t>Euronext Developed Asia Pacific</t>
  </si>
  <si>
    <t>NLIX00001684</t>
  </si>
  <si>
    <t>DNAG</t>
  </si>
  <si>
    <t>Euronext Developed North America GR</t>
  </si>
  <si>
    <t>NLIX00001668</t>
  </si>
  <si>
    <t>US36266G1076</t>
  </si>
  <si>
    <t>NLIX00001676</t>
  </si>
  <si>
    <t>DNAN</t>
  </si>
  <si>
    <t>Euronext Developed North America NR</t>
  </si>
  <si>
    <t>DNAP</t>
  </si>
  <si>
    <t>Euronext Developed North America</t>
  </si>
  <si>
    <t>NLIX00001650</t>
  </si>
  <si>
    <t>DEZG</t>
  </si>
  <si>
    <t>Euronext Developed Eurozone GR</t>
  </si>
  <si>
    <t>NLIX00001635</t>
  </si>
  <si>
    <t>NLIX00001643</t>
  </si>
  <si>
    <t>DEZN</t>
  </si>
  <si>
    <t>Euronext Developed Eurozone NR</t>
  </si>
  <si>
    <t>DEZP</t>
  </si>
  <si>
    <t>Euronext Developed Eurozone</t>
  </si>
  <si>
    <t>NLIX00001627</t>
  </si>
  <si>
    <t>DEUG</t>
  </si>
  <si>
    <t>Euronext Developed Europe GR</t>
  </si>
  <si>
    <t>NLIX00001601</t>
  </si>
  <si>
    <t>NLIX00001619</t>
  </si>
  <si>
    <t>DEUN</t>
  </si>
  <si>
    <t>Euronext Developed Europe NR</t>
  </si>
  <si>
    <t>DEUP</t>
  </si>
  <si>
    <t>Euronext Developed Europe</t>
  </si>
  <si>
    <t>NLIX00001593</t>
  </si>
  <si>
    <t>EDWG</t>
  </si>
  <si>
    <t>Euronext Developed World GR</t>
  </si>
  <si>
    <t>NLIX00001577</t>
  </si>
  <si>
    <t>NLIX00001585</t>
  </si>
  <si>
    <t>EDWN</t>
  </si>
  <si>
    <t>Euronext Developed World NR</t>
  </si>
  <si>
    <t>EDWP</t>
  </si>
  <si>
    <t>Euronext Developed World</t>
  </si>
  <si>
    <t>NLIX00001551</t>
  </si>
  <si>
    <t>ERI25</t>
  </si>
  <si>
    <t>Euronext Crypto Select Top 25 Real Time Index</t>
  </si>
  <si>
    <t>NLIX00001544</t>
  </si>
  <si>
    <t>ECI25</t>
  </si>
  <si>
    <t>Euronext Crypto Select Top 25 Index</t>
  </si>
  <si>
    <t>NLIX00001536</t>
  </si>
  <si>
    <t>ERENJ</t>
  </si>
  <si>
    <t>Euronext Crypto Real Time Enjin</t>
  </si>
  <si>
    <t>NLIX00001528</t>
  </si>
  <si>
    <t>ERTHE</t>
  </si>
  <si>
    <t>Euronext Crypto Real Time THETA</t>
  </si>
  <si>
    <t>NLIX00001510</t>
  </si>
  <si>
    <t>ERNEO</t>
  </si>
  <si>
    <t>Euronext Crypto Real Time NEO</t>
  </si>
  <si>
    <t>NLIX00001502</t>
  </si>
  <si>
    <t>ERTRX</t>
  </si>
  <si>
    <t>Euronext Crypto Real Time TRON</t>
  </si>
  <si>
    <t>NLIX00001494</t>
  </si>
  <si>
    <t>ERBAT</t>
  </si>
  <si>
    <t>Euronext Crypto Real Time Basic Attention Coin</t>
  </si>
  <si>
    <t>NLIX00001486</t>
  </si>
  <si>
    <t>ERLRC</t>
  </si>
  <si>
    <t>Euronext Crypto Real Time Loopring</t>
  </si>
  <si>
    <t>NLIX00001478</t>
  </si>
  <si>
    <t>ERSAN</t>
  </si>
  <si>
    <t>Euronext Crypto Real Time SAND</t>
  </si>
  <si>
    <t>NLIX00001460</t>
  </si>
  <si>
    <t>ERMKR</t>
  </si>
  <si>
    <t>Euronext Crypto Real Time Maker</t>
  </si>
  <si>
    <t>NLIX00001452</t>
  </si>
  <si>
    <t>ERCRV</t>
  </si>
  <si>
    <t>Euronext Crypto Real Time Curve DAO Token</t>
  </si>
  <si>
    <t>NLIX00001445</t>
  </si>
  <si>
    <t>ERXTZ</t>
  </si>
  <si>
    <t>Euronext Crypto Real Time Tezos</t>
  </si>
  <si>
    <t>NLIX00001437</t>
  </si>
  <si>
    <t>ERMAN</t>
  </si>
  <si>
    <t>Euronext Crypto Real Time Decentraland</t>
  </si>
  <si>
    <t>NLIX00001429</t>
  </si>
  <si>
    <t>ERAAV</t>
  </si>
  <si>
    <t>Euronext Crypto Real Time Aave</t>
  </si>
  <si>
    <t>NLIX00001411</t>
  </si>
  <si>
    <t>ERATO</t>
  </si>
  <si>
    <t>Euronext Crypto Real Time Cosmos</t>
  </si>
  <si>
    <t>NLIX00001403</t>
  </si>
  <si>
    <t>EREOS</t>
  </si>
  <si>
    <t>Euronext Crypto Real Time EOS</t>
  </si>
  <si>
    <t>NLIX00001395</t>
  </si>
  <si>
    <t>ERFTM</t>
  </si>
  <si>
    <t>Euronext Crypto Real Time FANTOM</t>
  </si>
  <si>
    <t>NLIX00001387</t>
  </si>
  <si>
    <t>ERALG</t>
  </si>
  <si>
    <t>Euronext Crypto Real Time Algorand</t>
  </si>
  <si>
    <t>NLIX00001379</t>
  </si>
  <si>
    <t>ERICP</t>
  </si>
  <si>
    <t>Euronext Crypto Real Time Internet Comp.</t>
  </si>
  <si>
    <t>NLIX00001361</t>
  </si>
  <si>
    <t>ERNEA</t>
  </si>
  <si>
    <t>Euronext Crypto Real Time Near</t>
  </si>
  <si>
    <t>NLIX00001353</t>
  </si>
  <si>
    <t>ERLDO</t>
  </si>
  <si>
    <t>Euronext Crypto Real Time Lido Dao</t>
  </si>
  <si>
    <t>NLIX00001346</t>
  </si>
  <si>
    <t>ERFIL</t>
  </si>
  <si>
    <t>Euronext Crypto Real Time Filecoin</t>
  </si>
  <si>
    <t>NLIX00001338</t>
  </si>
  <si>
    <t>ERBCH</t>
  </si>
  <si>
    <t>Euronext Crypto Real Time Bitcoin Cash</t>
  </si>
  <si>
    <t>NLIX00001320</t>
  </si>
  <si>
    <t>ERXLM</t>
  </si>
  <si>
    <t>Euronext Crypto Real Time Stellar</t>
  </si>
  <si>
    <t>NLIX00001312</t>
  </si>
  <si>
    <t>ERUNI</t>
  </si>
  <si>
    <t>Euronext Crypto Real Time Uniswap</t>
  </si>
  <si>
    <t>NLIX00001304</t>
  </si>
  <si>
    <t>ERLIN</t>
  </si>
  <si>
    <t>Euronext Crypto Real Time Chainlink</t>
  </si>
  <si>
    <t>NLIX00001296</t>
  </si>
  <si>
    <t>ERLTC</t>
  </si>
  <si>
    <t>Euronext Crypto Real Time Litecoin</t>
  </si>
  <si>
    <t>NLIX00001288</t>
  </si>
  <si>
    <t>ECENJ</t>
  </si>
  <si>
    <t>Euronext Crypto Index Enjin</t>
  </si>
  <si>
    <t>NLIX00001270</t>
  </si>
  <si>
    <t>ECTHE</t>
  </si>
  <si>
    <t>Euronext Crypto Index THETA</t>
  </si>
  <si>
    <t>NLIX00001262</t>
  </si>
  <si>
    <t>ECNEO</t>
  </si>
  <si>
    <t>Euronext Crypto Index NEO</t>
  </si>
  <si>
    <t>NLIX00001254</t>
  </si>
  <si>
    <t>ECTRX</t>
  </si>
  <si>
    <t>Euronext Crypto Index TRON</t>
  </si>
  <si>
    <t>NLIX00001247</t>
  </si>
  <si>
    <t>ECBAT</t>
  </si>
  <si>
    <t>Euronext Crypto Index Basic Attention Coin</t>
  </si>
  <si>
    <t>NLIX00001239</t>
  </si>
  <si>
    <t>ECLRC</t>
  </si>
  <si>
    <t>Euronext Crypto Index Loopring</t>
  </si>
  <si>
    <t>NLIX00001221</t>
  </si>
  <si>
    <t>ECSAN</t>
  </si>
  <si>
    <t>Euronext Crypto Index SAND</t>
  </si>
  <si>
    <t>NLIX00001213</t>
  </si>
  <si>
    <t>ECMKR</t>
  </si>
  <si>
    <t>Euronext Crypto Index Maker</t>
  </si>
  <si>
    <t>NLIX00001205</t>
  </si>
  <si>
    <t>ECCRV</t>
  </si>
  <si>
    <t>Euronext Crypto Index Curve DAO Token</t>
  </si>
  <si>
    <t>NLIX00001197</t>
  </si>
  <si>
    <t>ECXTZ</t>
  </si>
  <si>
    <t>Euronext Crypto Index Tezos</t>
  </si>
  <si>
    <t>NLIX00001189</t>
  </si>
  <si>
    <t>ECMAN</t>
  </si>
  <si>
    <t>Euronext Crypto Index Decentraland</t>
  </si>
  <si>
    <t>NLIX00001171</t>
  </si>
  <si>
    <t>ECAAV</t>
  </si>
  <si>
    <t>Euronext Crypto Index Aave</t>
  </si>
  <si>
    <t>NLIX00001163</t>
  </si>
  <si>
    <t>ECATO</t>
  </si>
  <si>
    <t>Euronext Crypto Index Cosmos</t>
  </si>
  <si>
    <t>NLIX00001155</t>
  </si>
  <si>
    <t>ECEOS</t>
  </si>
  <si>
    <t>Euronext Crypto Index EOS</t>
  </si>
  <si>
    <t>NLIX00001148</t>
  </si>
  <si>
    <t>ECFTM</t>
  </si>
  <si>
    <t>Euronext Crypto Index FANTOM</t>
  </si>
  <si>
    <t>NLIX00001130</t>
  </si>
  <si>
    <t>ECALG</t>
  </si>
  <si>
    <t>Euronext Crypto Index Algorand</t>
  </si>
  <si>
    <t>NLIX00001122</t>
  </si>
  <si>
    <t>ECICP</t>
  </si>
  <si>
    <t>Euronext Crypto Index Internet Comp.</t>
  </si>
  <si>
    <t>NLIX00001114</t>
  </si>
  <si>
    <t>ECNEA</t>
  </si>
  <si>
    <t>Euronext Crypto Index Near</t>
  </si>
  <si>
    <t>NLIX00001106</t>
  </si>
  <si>
    <t>ECLDO</t>
  </si>
  <si>
    <t>Euronext Crypto Index Lido Dao</t>
  </si>
  <si>
    <t>NLIX00001098</t>
  </si>
  <si>
    <t>ECFIL</t>
  </si>
  <si>
    <t>Euronext Crypto Index Filecoin</t>
  </si>
  <si>
    <t>NLIX00001080</t>
  </si>
  <si>
    <t>ECBCH</t>
  </si>
  <si>
    <t>Euronext Crypto Index Bitcoin Cash</t>
  </si>
  <si>
    <t>NLIX00001072</t>
  </si>
  <si>
    <t>ECXLM</t>
  </si>
  <si>
    <t>Euronext Crypto Index Stellar</t>
  </si>
  <si>
    <t>NLIX00001064</t>
  </si>
  <si>
    <t>ECUNI</t>
  </si>
  <si>
    <t>Euronext Crypto Index Uniswap</t>
  </si>
  <si>
    <t>NLIX00001056</t>
  </si>
  <si>
    <t>ECLIN</t>
  </si>
  <si>
    <t>Euronext Crypto Index Chainlink</t>
  </si>
  <si>
    <t>NLIX00001049</t>
  </si>
  <si>
    <t>ECLTC</t>
  </si>
  <si>
    <t>Euronext Crypto Index Litecoin</t>
  </si>
  <si>
    <t>NLIX00001031</t>
  </si>
  <si>
    <t>ENZTG</t>
  </si>
  <si>
    <t>Euronext EZ Transatlantic GR</t>
  </si>
  <si>
    <t>NLIX00001015</t>
  </si>
  <si>
    <t>NLIX00001023</t>
  </si>
  <si>
    <t>ENZTN</t>
  </si>
  <si>
    <t>Euronext EZ Transatlantic NR</t>
  </si>
  <si>
    <t>ENZTP</t>
  </si>
  <si>
    <t>Euronext EZ Transatlantic</t>
  </si>
  <si>
    <t>NLIX00001007</t>
  </si>
  <si>
    <t>HSPCG</t>
  </si>
  <si>
    <t>Euronext Helios Space Index GR</t>
  </si>
  <si>
    <t>NLIX00000983</t>
  </si>
  <si>
    <t>NLIX00000991</t>
  </si>
  <si>
    <t>HSPCN</t>
  </si>
  <si>
    <t>Euronext Helios Space Index NR</t>
  </si>
  <si>
    <t>HSPCP</t>
  </si>
  <si>
    <t>Euronext Helios Space Index</t>
  </si>
  <si>
    <t>NLIX00000975</t>
  </si>
  <si>
    <t>HSPAG</t>
  </si>
  <si>
    <t>Euronext Helios Space All-Share Index GR</t>
  </si>
  <si>
    <t>NLIX00000959</t>
  </si>
  <si>
    <t>NLIX00000967</t>
  </si>
  <si>
    <t>HSPAN</t>
  </si>
  <si>
    <t>Euronext Helios Space All-Share Index NR</t>
  </si>
  <si>
    <t>HSPAP</t>
  </si>
  <si>
    <t>Euronext Helios Space All-Share Index</t>
  </si>
  <si>
    <t>NLIX00000942</t>
  </si>
  <si>
    <t>ENTG</t>
  </si>
  <si>
    <t>Euronext Transatlantic GR</t>
  </si>
  <si>
    <t>NLIX00000926</t>
  </si>
  <si>
    <t>NLIX00000934</t>
  </si>
  <si>
    <t>ENTN</t>
  </si>
  <si>
    <t>Euronext Transatlantic NR</t>
  </si>
  <si>
    <t>ENTP</t>
  </si>
  <si>
    <t>Euronext Transatlantic</t>
  </si>
  <si>
    <t>NLIX00000272</t>
  </si>
  <si>
    <t>TECLG</t>
  </si>
  <si>
    <t>Euronext Tech Leaders GR</t>
  </si>
  <si>
    <t>NLIX00000256</t>
  </si>
  <si>
    <t>NLIX00000264</t>
  </si>
  <si>
    <t>TECLN</t>
  </si>
  <si>
    <t>Euronext Tech Leaders NR</t>
  </si>
  <si>
    <t>TECLP</t>
  </si>
  <si>
    <t>Euronext Tech Leaders</t>
  </si>
  <si>
    <t>NLIX00000249</t>
  </si>
  <si>
    <t>ERAVA</t>
  </si>
  <si>
    <t>Euronext Crypto Real Time Avalanche</t>
  </si>
  <si>
    <t>NLIX00000223</t>
  </si>
  <si>
    <t>ERMAT</t>
  </si>
  <si>
    <t>Euronext Crypto Real Time Polygon</t>
  </si>
  <si>
    <t>NLIX00000215</t>
  </si>
  <si>
    <t>ERDOT</t>
  </si>
  <si>
    <t>Euronext Crypto Real Time Polkadot</t>
  </si>
  <si>
    <t>NLIX00000207</t>
  </si>
  <si>
    <t>ERXRP</t>
  </si>
  <si>
    <t>Euronext Crypto Real Time Ripple</t>
  </si>
  <si>
    <t>NLIX00000199</t>
  </si>
  <si>
    <t>ERADA</t>
  </si>
  <si>
    <t>Euronext Crypto Real Time Cardano</t>
  </si>
  <si>
    <t>NLIX00000181</t>
  </si>
  <si>
    <t>ERSOL</t>
  </si>
  <si>
    <t>Euronext Crypto Real Time Solana</t>
  </si>
  <si>
    <t>NLIX00000173</t>
  </si>
  <si>
    <t>ERETH</t>
  </si>
  <si>
    <t>Euronext Crypto Real Time Ethereum</t>
  </si>
  <si>
    <t>NLIX00000165</t>
  </si>
  <si>
    <t>ERBTC</t>
  </si>
  <si>
    <t>Euronext Crypto Real Time Index Bitcoin</t>
  </si>
  <si>
    <t>NLIX00000157</t>
  </si>
  <si>
    <t>ECAVA</t>
  </si>
  <si>
    <t>Euronext Crypto Index Avalanche</t>
  </si>
  <si>
    <t>NLIX00000132</t>
  </si>
  <si>
    <t>ECMAT</t>
  </si>
  <si>
    <t>Euronext Crypto Index Polygon</t>
  </si>
  <si>
    <t>NLIX00000124</t>
  </si>
  <si>
    <t>ECDOT</t>
  </si>
  <si>
    <t>Euronext Crypto Index Polkadot</t>
  </si>
  <si>
    <t>NLIX00000116</t>
  </si>
  <si>
    <t>ECXRP</t>
  </si>
  <si>
    <t>Euronext Crypto Index Ripple</t>
  </si>
  <si>
    <t>NLIX00000108</t>
  </si>
  <si>
    <t>ECADA</t>
  </si>
  <si>
    <t>Euronext Crypto Index Cardano</t>
  </si>
  <si>
    <t>NLIX00000090</t>
  </si>
  <si>
    <t>ECSOL</t>
  </si>
  <si>
    <t>Euronext Crypto Index Solana</t>
  </si>
  <si>
    <t>NLIX00000082</t>
  </si>
  <si>
    <t>ECETH</t>
  </si>
  <si>
    <t>Euronext Crypto Index Ethereum</t>
  </si>
  <si>
    <t>NLIX00000074</t>
  </si>
  <si>
    <t>ECBTC</t>
  </si>
  <si>
    <t>Euronext Crypto Index Bitcoin</t>
  </si>
  <si>
    <t>NLIX00000025</t>
  </si>
  <si>
    <t>EDMGU</t>
  </si>
  <si>
    <t>Euronext Developed Market GR USD</t>
  </si>
  <si>
    <t>NLIX00000009</t>
  </si>
  <si>
    <t>NLIX00000017</t>
  </si>
  <si>
    <t>EDMNU</t>
  </si>
  <si>
    <t>Euronext Developed Market NR USD</t>
  </si>
  <si>
    <t>EDMPU</t>
  </si>
  <si>
    <t>Euronext Developed Market USD</t>
  </si>
  <si>
    <t>NLESG0000063</t>
  </si>
  <si>
    <t>EDWEG</t>
  </si>
  <si>
    <t>Euronext Developed World ESG Screened GR</t>
  </si>
  <si>
    <t>NLESG0000048</t>
  </si>
  <si>
    <t>NLESG0000055</t>
  </si>
  <si>
    <t>EDWEN</t>
  </si>
  <si>
    <t>Euronext Developed World ESG Screened NR</t>
  </si>
  <si>
    <t>EDWEP</t>
  </si>
  <si>
    <t>Euronext Developed World ESG Screened</t>
  </si>
  <si>
    <t>NLESG0000030</t>
  </si>
  <si>
    <t>AESGG</t>
  </si>
  <si>
    <t>AEX ESG GR</t>
  </si>
  <si>
    <t>NLESG0000014</t>
  </si>
  <si>
    <t>NLESG0000022</t>
  </si>
  <si>
    <t>AESGN</t>
  </si>
  <si>
    <t>AEX ESG NR</t>
  </si>
  <si>
    <t>AESGP</t>
  </si>
  <si>
    <t>AEX ESG</t>
  </si>
  <si>
    <t>IX0010661906</t>
  </si>
  <si>
    <t>FMIGR</t>
  </si>
  <si>
    <t>FTSE MIB GR</t>
  </si>
  <si>
    <t>IX0010661898</t>
  </si>
  <si>
    <t>FMINR</t>
  </si>
  <si>
    <t>FTSE MIB NR</t>
  </si>
  <si>
    <t>IE0001477250</t>
  </si>
  <si>
    <t>IE</t>
  </si>
  <si>
    <t>ISEQ</t>
  </si>
  <si>
    <t>ISEQ All Share</t>
  </si>
  <si>
    <t>XDUB</t>
  </si>
  <si>
    <t>IE0000506851</t>
  </si>
  <si>
    <t>IE0000516009</t>
  </si>
  <si>
    <t>ISEFI</t>
  </si>
  <si>
    <t>ISEQ Financial</t>
  </si>
  <si>
    <t>IE0000511505</t>
  </si>
  <si>
    <t>ISEFG</t>
  </si>
  <si>
    <t>ISEQ Financial GR</t>
  </si>
  <si>
    <t>ISEQG</t>
  </si>
  <si>
    <t>ISEQ All Share GR</t>
  </si>
  <si>
    <t>IE0000506745</t>
  </si>
  <si>
    <t>ISESG</t>
  </si>
  <si>
    <t>ISEQ Small GR</t>
  </si>
  <si>
    <t>IE0000506299</t>
  </si>
  <si>
    <t>ISESM</t>
  </si>
  <si>
    <t>ISEQ Small</t>
  </si>
  <si>
    <t>IE00B2QF5075</t>
  </si>
  <si>
    <t>ISECG</t>
  </si>
  <si>
    <t>ISEQ 20 Capped GR</t>
  </si>
  <si>
    <t>IE00B2QF4Z54</t>
  </si>
  <si>
    <t>ISECA</t>
  </si>
  <si>
    <t>ISEQ 20 Capped</t>
  </si>
  <si>
    <t>IE00B0500488</t>
  </si>
  <si>
    <t>ISE2G</t>
  </si>
  <si>
    <t>ISEQ 20 GR</t>
  </si>
  <si>
    <t>IE00B0500264</t>
  </si>
  <si>
    <t>ISE20</t>
  </si>
  <si>
    <t>ISEQ 20</t>
  </si>
  <si>
    <t>IE00B0500ISE</t>
  </si>
  <si>
    <t>IREUT</t>
  </si>
  <si>
    <t>ISEQ 20 RT</t>
  </si>
  <si>
    <t>IE00B05ISEGR</t>
  </si>
  <si>
    <t>IREUG</t>
  </si>
  <si>
    <t>ISEQ 20 GROSS RT</t>
  </si>
  <si>
    <t>IE00B05INISE</t>
  </si>
  <si>
    <t>IE00B050026I</t>
  </si>
  <si>
    <t>IIRUT</t>
  </si>
  <si>
    <t>ISEQ 20 REUT INTERN</t>
  </si>
  <si>
    <t>IE00B050048I</t>
  </si>
  <si>
    <t>IE00BM7VR750</t>
  </si>
  <si>
    <t>ISREG</t>
  </si>
  <si>
    <t>ISEQ Real Estate GR</t>
  </si>
  <si>
    <t>IE00BM7VR644</t>
  </si>
  <si>
    <t>ISRE</t>
  </si>
  <si>
    <t>ISEQ Real Estate</t>
  </si>
  <si>
    <t>IE00BMT9LL95</t>
  </si>
  <si>
    <t>ISUTG</t>
  </si>
  <si>
    <t>ISEQ Utilities GR</t>
  </si>
  <si>
    <t>IE00BMT9LK88</t>
  </si>
  <si>
    <t>ISUT</t>
  </si>
  <si>
    <t>ISEQ Utilities</t>
  </si>
  <si>
    <t>IE00BL6TX979</t>
  </si>
  <si>
    <t>ISEHC</t>
  </si>
  <si>
    <t>ISEQ Health Care</t>
  </si>
  <si>
    <t>IE00BL6TXB96</t>
  </si>
  <si>
    <t>IE00BL6TX862</t>
  </si>
  <si>
    <t>ISCSG</t>
  </si>
  <si>
    <t>ISEQ Consumer Staples GR</t>
  </si>
  <si>
    <t>IE00BL6TX755</t>
  </si>
  <si>
    <t>ISECS</t>
  </si>
  <si>
    <t>ISEQ Consumer Staples</t>
  </si>
  <si>
    <t>IE00BL6TX649</t>
  </si>
  <si>
    <t>ISCGG</t>
  </si>
  <si>
    <t>ISEQ Consumer Discretionary GR</t>
  </si>
  <si>
    <t>IE00BL6TX532</t>
  </si>
  <si>
    <t>ISCG</t>
  </si>
  <si>
    <t>ISEQ Consumer Discretionary</t>
  </si>
  <si>
    <t>IE00BL6TX425</t>
  </si>
  <si>
    <t>ISEBG</t>
  </si>
  <si>
    <t>ISEQ Basic Materials GR</t>
  </si>
  <si>
    <t>IE00BL6TX318</t>
  </si>
  <si>
    <t>ISEBM</t>
  </si>
  <si>
    <t>ISEQ Basic Materials</t>
  </si>
  <si>
    <t>IE00BL6TXJ72</t>
  </si>
  <si>
    <t>ISETG</t>
  </si>
  <si>
    <t>ISEQ Technology GR</t>
  </si>
  <si>
    <t>IE00BL6TXH58</t>
  </si>
  <si>
    <t>ISETE</t>
  </si>
  <si>
    <t>ISEQ Technology</t>
  </si>
  <si>
    <t>IE00BL6TXG42</t>
  </si>
  <si>
    <t>ISOGG</t>
  </si>
  <si>
    <t>ISEQ Energy GR</t>
  </si>
  <si>
    <t>IE00BL6TXF35</t>
  </si>
  <si>
    <t>ISEOG</t>
  </si>
  <si>
    <t>ISEQ Energy</t>
  </si>
  <si>
    <t>IE00BL6TXD11</t>
  </si>
  <si>
    <t>ISING</t>
  </si>
  <si>
    <t>ISEQ Industrials GR</t>
  </si>
  <si>
    <t>IE00BL6TXC04</t>
  </si>
  <si>
    <t>ISEIN</t>
  </si>
  <si>
    <t>ISEQ Industrials</t>
  </si>
  <si>
    <t>ISHCG</t>
  </si>
  <si>
    <t>ISEQ Health Care GR</t>
  </si>
  <si>
    <t>IE00BINISEGR</t>
  </si>
  <si>
    <t>IIRUG</t>
  </si>
  <si>
    <t>ISEQ 20 GROSS REUT INTERN</t>
  </si>
  <si>
    <t>FR0014005WN0</t>
  </si>
  <si>
    <t>MESGP</t>
  </si>
  <si>
    <t>MIB ESG</t>
  </si>
  <si>
    <t>FR0014005WM2</t>
  </si>
  <si>
    <t>FR0014005WL4</t>
  </si>
  <si>
    <t>MESGG</t>
  </si>
  <si>
    <t>MIB ESG GR</t>
  </si>
  <si>
    <t>MESGN</t>
  </si>
  <si>
    <t>MIB ESG NR</t>
  </si>
  <si>
    <t>FR0014005IN9</t>
  </si>
  <si>
    <t>EZCLN</t>
  </si>
  <si>
    <t>EN EZ Screened Climate Ambition 35 EW NR</t>
  </si>
  <si>
    <t>FR0014005IK5</t>
  </si>
  <si>
    <t>FR0014005IM1</t>
  </si>
  <si>
    <t>USCEN</t>
  </si>
  <si>
    <t>EN US Screened Climate Amb 25 EW NR EUR</t>
  </si>
  <si>
    <t>FR0014005IJ7</t>
  </si>
  <si>
    <t>FR0014005IL3</t>
  </si>
  <si>
    <t>EZCLG</t>
  </si>
  <si>
    <t>EN EZ Screened Climate Ambition 35 EW GR</t>
  </si>
  <si>
    <t>EZCLA</t>
  </si>
  <si>
    <t>EN EZ Screened Climate Ambition 35 EW</t>
  </si>
  <si>
    <t>USCLE</t>
  </si>
  <si>
    <t>EN US Screened Climate Amb 25 EW EUR</t>
  </si>
  <si>
    <t>FR0014005II9</t>
  </si>
  <si>
    <t>USCEG</t>
  </si>
  <si>
    <t>EN US Screened Climate Amb 25 EW GR EUR</t>
  </si>
  <si>
    <t>FR0014005GK9</t>
  </si>
  <si>
    <t>USCLG</t>
  </si>
  <si>
    <t>EN US Screened Climate Ambition 25 EW GR</t>
  </si>
  <si>
    <t>FR0014005GE2</t>
  </si>
  <si>
    <t>FR0014005GI3</t>
  </si>
  <si>
    <t>TCAMP</t>
  </si>
  <si>
    <t>EN Transatl Sustain and Cl Scr 60</t>
  </si>
  <si>
    <t>FR0014005GG7</t>
  </si>
  <si>
    <t>FR0014005GH5</t>
  </si>
  <si>
    <t>USCLN</t>
  </si>
  <si>
    <t>EN US Screened Climate Ambition 25 EW NR</t>
  </si>
  <si>
    <t>TCAMG</t>
  </si>
  <si>
    <t>EN Transatl Sustain and Cl Scr 60 GR</t>
  </si>
  <si>
    <t>FR0014005GF9</t>
  </si>
  <si>
    <t>TCAMB</t>
  </si>
  <si>
    <t>EN Transatl Sustain and Cl Scr 60 D50P</t>
  </si>
  <si>
    <t>USCLA</t>
  </si>
  <si>
    <t>EN US Screened Climate Ambition 25 EW</t>
  </si>
  <si>
    <t>FR0014005D93</t>
  </si>
  <si>
    <t>FRSOG</t>
  </si>
  <si>
    <t>Euronext France Social GR</t>
  </si>
  <si>
    <t>FR0014005D77</t>
  </si>
  <si>
    <t>FR0014005D85</t>
  </si>
  <si>
    <t>FRSON</t>
  </si>
  <si>
    <t>Euronext France Social NR</t>
  </si>
  <si>
    <t>FRSOP</t>
  </si>
  <si>
    <t>Euronext France Social</t>
  </si>
  <si>
    <t>FR0014005D69</t>
  </si>
  <si>
    <t>FRSOC</t>
  </si>
  <si>
    <t>Euronext France Social Decrement 3.75%</t>
  </si>
  <si>
    <t>FR0014004XR2</t>
  </si>
  <si>
    <t>CLAMP</t>
  </si>
  <si>
    <t>Euronext EZ Scr Clim Amb 40 EW</t>
  </si>
  <si>
    <t>FR0014004XP6</t>
  </si>
  <si>
    <t>FR0014004XO9</t>
  </si>
  <si>
    <t>FR0014004XQ4</t>
  </si>
  <si>
    <t>CLAMB</t>
  </si>
  <si>
    <t>Euronext EZ Scr Clim Amb 40 EW Decr 50</t>
  </si>
  <si>
    <t>CLAMG</t>
  </si>
  <si>
    <t>Euronext EZ Scr Clim Amb 40 EW GR</t>
  </si>
  <si>
    <t>CLAMN</t>
  </si>
  <si>
    <t>Euronext EZ Scr Clim Amb 40 EW NR</t>
  </si>
  <si>
    <t>FR0014004PU2</t>
  </si>
  <si>
    <t>TESGN</t>
  </si>
  <si>
    <t>EN CDP Environment Transatlantic EW NR</t>
  </si>
  <si>
    <t>FR0014004PQ0</t>
  </si>
  <si>
    <t>FR0014004PS6</t>
  </si>
  <si>
    <t>TLESG</t>
  </si>
  <si>
    <t>EN CDP Environment Transatlantic EW D5%</t>
  </si>
  <si>
    <t>FR0014004PR8</t>
  </si>
  <si>
    <t>TESGG</t>
  </si>
  <si>
    <t>EN CDP Environment Transatlantic EW GR</t>
  </si>
  <si>
    <t>TESGP</t>
  </si>
  <si>
    <t>EN CDP Environment Transatlantic EW</t>
  </si>
  <si>
    <t>FR0014004HJ2</t>
  </si>
  <si>
    <t>ESGCG</t>
  </si>
  <si>
    <t>EN EZ ESG Leaders Select 40 GR</t>
  </si>
  <si>
    <t>FR0014004HI4</t>
  </si>
  <si>
    <t>ESGCP</t>
  </si>
  <si>
    <t>EN EZ ESG Leaders Select 40</t>
  </si>
  <si>
    <t>FR0014004HG8</t>
  </si>
  <si>
    <t>FR0014004HH6</t>
  </si>
  <si>
    <t>ESGEC</t>
  </si>
  <si>
    <t>EN EZ ESG Leaders Select 40 D5%</t>
  </si>
  <si>
    <t>ESGCN</t>
  </si>
  <si>
    <t>EN EZ ESG Leaders Select 40 NR</t>
  </si>
  <si>
    <t>FR0014004FP3</t>
  </si>
  <si>
    <t>EZSFP</t>
  </si>
  <si>
    <t>Euronext Eurozone Social Focus</t>
  </si>
  <si>
    <t>FR0014004FN8</t>
  </si>
  <si>
    <t>FR0014004FO6</t>
  </si>
  <si>
    <t>EZSFN</t>
  </si>
  <si>
    <t>Euronext Eurozone Social Focus NR</t>
  </si>
  <si>
    <t>EZSFG</t>
  </si>
  <si>
    <t>Euronext Eurozone Social Focus GR</t>
  </si>
  <si>
    <t>FR0014004FM0</t>
  </si>
  <si>
    <t>EZSFD</t>
  </si>
  <si>
    <t>Euronext Eurozone Social Focus Decrement 5%</t>
  </si>
  <si>
    <t>FR0014003950</t>
  </si>
  <si>
    <t>FPABG</t>
  </si>
  <si>
    <t>Euronext France PAB 50 GR</t>
  </si>
  <si>
    <t>FR0014003927</t>
  </si>
  <si>
    <t>FR0014003943</t>
  </si>
  <si>
    <t>FPABN</t>
  </si>
  <si>
    <t>Euronext France PAB 50 NR</t>
  </si>
  <si>
    <t>FPABP</t>
  </si>
  <si>
    <t>Euronext France PAB 50</t>
  </si>
  <si>
    <t>FR0014003PX8</t>
  </si>
  <si>
    <t>GOVEZ</t>
  </si>
  <si>
    <t>EN EZ Diversity &amp; Governance 40 EW D5%</t>
  </si>
  <si>
    <t>FR0014003PT6</t>
  </si>
  <si>
    <t>FR0014003PV2</t>
  </si>
  <si>
    <t>CPAB5</t>
  </si>
  <si>
    <t>Euronext Core Europe PAB 50 Decrement 5%</t>
  </si>
  <si>
    <t>FR0014003PP4</t>
  </si>
  <si>
    <t>FR0014003PU4</t>
  </si>
  <si>
    <t>CPABP</t>
  </si>
  <si>
    <t>Euronext Core Europe PAB 50</t>
  </si>
  <si>
    <t>FR0014003PN9</t>
  </si>
  <si>
    <t>GOVEN</t>
  </si>
  <si>
    <t>EN EZ Diversity &amp; Governance 40 EW NR</t>
  </si>
  <si>
    <t>FR0014003PO7</t>
  </si>
  <si>
    <t>FR0014003PS8</t>
  </si>
  <si>
    <t>GOVEG</t>
  </si>
  <si>
    <t>EN EZ Diversity &amp; Governance 40 EW GR</t>
  </si>
  <si>
    <t>FR0014003PR0</t>
  </si>
  <si>
    <t>EPABP</t>
  </si>
  <si>
    <t>Euronext Eurozone PAB 50</t>
  </si>
  <si>
    <t>FR0014003PL3</t>
  </si>
  <si>
    <t>FR0014003PM1</t>
  </si>
  <si>
    <t>CPABN</t>
  </si>
  <si>
    <t>Euronext Core Europe PAB 50 NR</t>
  </si>
  <si>
    <t>GOVEP</t>
  </si>
  <si>
    <t>EN EZ Diversity &amp; Governance 40 EW</t>
  </si>
  <si>
    <t>CPABG</t>
  </si>
  <si>
    <t>Euronext Core Europe PAB 50 GR</t>
  </si>
  <si>
    <t>EPABN</t>
  </si>
  <si>
    <t>Euronext Eurozone PAB 50 NR</t>
  </si>
  <si>
    <t>EPABG</t>
  </si>
  <si>
    <t>Euronext Eurozone PAB 50 GR</t>
  </si>
  <si>
    <t>FR0014003PK5</t>
  </si>
  <si>
    <t>EPAB5</t>
  </si>
  <si>
    <t>Euronext Eurozone PAB 50 Decrement 5%</t>
  </si>
  <si>
    <t>FR0014003BY6</t>
  </si>
  <si>
    <t>TCED5</t>
  </si>
  <si>
    <t>EN Transat Circular Economy 50 EW D5%</t>
  </si>
  <si>
    <t>FR0014003BV2</t>
  </si>
  <si>
    <t>FR0014003BX8</t>
  </si>
  <si>
    <t>TCEGR</t>
  </si>
  <si>
    <t>EN Transat Circular Economy 50 EW GR</t>
  </si>
  <si>
    <t>FR0014003BU4</t>
  </si>
  <si>
    <t>TCENR</t>
  </si>
  <si>
    <t>EN Transat Circular Economy 50 EW NR</t>
  </si>
  <si>
    <t>TCEPR</t>
  </si>
  <si>
    <t>EN Transat Circular Economy 50 EW</t>
  </si>
  <si>
    <t>FR0014002G93</t>
  </si>
  <si>
    <t>CED5</t>
  </si>
  <si>
    <t>CAC 40 ESG Decrement 5%</t>
  </si>
  <si>
    <t>FR0014002B56</t>
  </si>
  <si>
    <t>FR0014002G85</t>
  </si>
  <si>
    <t>CED45</t>
  </si>
  <si>
    <t>CAC 40 ESG Decrement 4.5%</t>
  </si>
  <si>
    <t>FR0014002G77</t>
  </si>
  <si>
    <t>CED4</t>
  </si>
  <si>
    <t>CAC 40 ESG Decrement 4%</t>
  </si>
  <si>
    <t>FR0014002G69</t>
  </si>
  <si>
    <t>CED3</t>
  </si>
  <si>
    <t>CAC 40 ESG Decrement 3%</t>
  </si>
  <si>
    <t>FR0014002G51</t>
  </si>
  <si>
    <t>CED35</t>
  </si>
  <si>
    <t>CAC 40 ESG Decrement 3.5%</t>
  </si>
  <si>
    <t>CESGN</t>
  </si>
  <si>
    <t>CAC 40 ESG NR</t>
  </si>
  <si>
    <t>FR0014002B31</t>
  </si>
  <si>
    <t>FR0014002B49</t>
  </si>
  <si>
    <t>CESGG</t>
  </si>
  <si>
    <t>CAC 40 ESG GR</t>
  </si>
  <si>
    <t>CESGP</t>
  </si>
  <si>
    <t>CAC 40 ESG</t>
  </si>
  <si>
    <t>FR00140CESGP</t>
  </si>
  <si>
    <t>EREUT</t>
  </si>
  <si>
    <t>CAC 40 ESG RT</t>
  </si>
  <si>
    <t>FR00140CESGN</t>
  </si>
  <si>
    <t>EREUN</t>
  </si>
  <si>
    <t>CAC 40 ESG NR RT</t>
  </si>
  <si>
    <t>FR00140CESGG</t>
  </si>
  <si>
    <t>EREUG</t>
  </si>
  <si>
    <t>CAC 40 ESG GR RT</t>
  </si>
  <si>
    <t>FR0013533577</t>
  </si>
  <si>
    <t>ECC5G</t>
  </si>
  <si>
    <t>EN Core Euro&amp;Global Climate Change EW GR</t>
  </si>
  <si>
    <t>FR0013533551</t>
  </si>
  <si>
    <t>FR0013533569</t>
  </si>
  <si>
    <t>ECC5N</t>
  </si>
  <si>
    <t>EN Core Euro&amp;Global Climate Change EW NR</t>
  </si>
  <si>
    <t>ECC5P</t>
  </si>
  <si>
    <t>EN Core Euro &amp; Global Climate Change EW</t>
  </si>
  <si>
    <t>FR0013522604</t>
  </si>
  <si>
    <t>LC3WG</t>
  </si>
  <si>
    <t>Euronext Low Carbon 300 World PAB GR</t>
  </si>
  <si>
    <t>FR0013522588</t>
  </si>
  <si>
    <t>FR0013522596</t>
  </si>
  <si>
    <t>LC3W</t>
  </si>
  <si>
    <t>Euronext Low Carbon 300 World PAB NR</t>
  </si>
  <si>
    <t>LC3WP</t>
  </si>
  <si>
    <t>Euronext Low Carbon 300 World PAB</t>
  </si>
  <si>
    <t>FR0013522570</t>
  </si>
  <si>
    <t>LC1EG</t>
  </si>
  <si>
    <t>Euronext Low Carbon 100 Eurozone PAB GR</t>
  </si>
  <si>
    <t>FR0013522554</t>
  </si>
  <si>
    <t>FR0013522562</t>
  </si>
  <si>
    <t>LC1EZ</t>
  </si>
  <si>
    <t>Euronext Low Carbon 100 Eurozone PAB NR</t>
  </si>
  <si>
    <t>LC1EP</t>
  </si>
  <si>
    <t>Euronext Low Carbon 100 Eurozone PAB</t>
  </si>
  <si>
    <t>FR0013506789</t>
  </si>
  <si>
    <t>FRREN</t>
  </si>
  <si>
    <t>CAC Real Estate NR</t>
  </si>
  <si>
    <t>FR0013506771</t>
  </si>
  <si>
    <t>FRRE</t>
  </si>
  <si>
    <t>CAC Real Estate</t>
  </si>
  <si>
    <t>FR0013479797</t>
  </si>
  <si>
    <t>GRF5G</t>
  </si>
  <si>
    <t>Euronext Green Planet France GR</t>
  </si>
  <si>
    <t>FR0013479763</t>
  </si>
  <si>
    <t>FR0013479789</t>
  </si>
  <si>
    <t>GRF5N</t>
  </si>
  <si>
    <t>Euronext Green Planet France NR</t>
  </si>
  <si>
    <t>GRF5P</t>
  </si>
  <si>
    <t>Euronext Green Planet France</t>
  </si>
  <si>
    <t>FR0013477031</t>
  </si>
  <si>
    <t>ESGEG</t>
  </si>
  <si>
    <t>EN EZ ESG Leaders Select 40 EW GR</t>
  </si>
  <si>
    <t>FR0013477007</t>
  </si>
  <si>
    <t>FR0013477023</t>
  </si>
  <si>
    <t>ESGEN</t>
  </si>
  <si>
    <t>EN EZ ESG Leaders Select 40 EW NR</t>
  </si>
  <si>
    <t>ESGEP</t>
  </si>
  <si>
    <t>EN EZ ESG Leaders Select 40 EW</t>
  </si>
  <si>
    <t>FR0013476975</t>
  </si>
  <si>
    <t>ESGFG</t>
  </si>
  <si>
    <t>EN France ESG Leaders Select 30 EW GR</t>
  </si>
  <si>
    <t>FR0013476959</t>
  </si>
  <si>
    <t>FR0013476967</t>
  </si>
  <si>
    <t>ESGFN</t>
  </si>
  <si>
    <t>EN France ESG Leaders Select 30 EW NR</t>
  </si>
  <si>
    <t>ESGFP</t>
  </si>
  <si>
    <t>EN France ESG Leaders Select 30 EW</t>
  </si>
  <si>
    <t>FR0013468873</t>
  </si>
  <si>
    <t>ESGGR</t>
  </si>
  <si>
    <t>Euronext Eurozone ESG Large 80 GR</t>
  </si>
  <si>
    <t>FR0013468832</t>
  </si>
  <si>
    <t>FR0013468865</t>
  </si>
  <si>
    <t>ESGNR</t>
  </si>
  <si>
    <t>Euronext Eurozone ESG Large 80 NR</t>
  </si>
  <si>
    <t>ENESG</t>
  </si>
  <si>
    <t>Euronext Eurozone ESG Large 80</t>
  </si>
  <si>
    <t>FR0013457876</t>
  </si>
  <si>
    <t>GRE5G</t>
  </si>
  <si>
    <t>Euronext Green Planet E GR</t>
  </si>
  <si>
    <t>FR0013457850</t>
  </si>
  <si>
    <t>FR0013457868</t>
  </si>
  <si>
    <t>GRE5N</t>
  </si>
  <si>
    <t>Euronext Green Planet E NR</t>
  </si>
  <si>
    <t>GRE5P</t>
  </si>
  <si>
    <t>Euronext Green Planet E</t>
  </si>
  <si>
    <t>FR0013448156</t>
  </si>
  <si>
    <t>FESGG</t>
  </si>
  <si>
    <t>EN CDP Environment ESG France EW GR</t>
  </si>
  <si>
    <t>FR0013448131</t>
  </si>
  <si>
    <t>FR0013448149</t>
  </si>
  <si>
    <t>FESGN</t>
  </si>
  <si>
    <t>EN CDP Environment ESG France EW NR</t>
  </si>
  <si>
    <t>FESGP</t>
  </si>
  <si>
    <t>EN CDP Environment ESG France EW</t>
  </si>
  <si>
    <t>FR0013425386</t>
  </si>
  <si>
    <t>FRTGR</t>
  </si>
  <si>
    <t>Euronext Tech Croissance GR</t>
  </si>
  <si>
    <t>FR0013425352</t>
  </si>
  <si>
    <t>FR0013425360</t>
  </si>
  <si>
    <t>FRTEK</t>
  </si>
  <si>
    <t>Euronext Tech Croissance NR</t>
  </si>
  <si>
    <t>FRTPR</t>
  </si>
  <si>
    <t>Euronext Tech Croissance</t>
  </si>
  <si>
    <t>FR0013376274</t>
  </si>
  <si>
    <t>C6RIG</t>
  </si>
  <si>
    <t>CAC Large 60 RI SW GR</t>
  </si>
  <si>
    <t>FR0013376258</t>
  </si>
  <si>
    <t>FR0013376266</t>
  </si>
  <si>
    <t>C6RIN</t>
  </si>
  <si>
    <t>CAC Large 60 RI SW NR</t>
  </si>
  <si>
    <t>C6RIP</t>
  </si>
  <si>
    <t>CAC Large 60 RI SW</t>
  </si>
  <si>
    <t>FR0013376233</t>
  </si>
  <si>
    <t>F4RIG</t>
  </si>
  <si>
    <t>EN FR 40 Responsible Investment GR</t>
  </si>
  <si>
    <t>FR0013376209</t>
  </si>
  <si>
    <t>FR0013376225</t>
  </si>
  <si>
    <t>F4RIN</t>
  </si>
  <si>
    <t>EN FR 40 Responsible Investment NR</t>
  </si>
  <si>
    <t>F4RIP</t>
  </si>
  <si>
    <t>EN FR 40 Responsible Investment</t>
  </si>
  <si>
    <t>FR0013371432</t>
  </si>
  <si>
    <t>ESF5G</t>
  </si>
  <si>
    <t>SBF Top 50 ESG EW GR</t>
  </si>
  <si>
    <t>FR0013371416</t>
  </si>
  <si>
    <t>FR0013371424</t>
  </si>
  <si>
    <t>ESF5N</t>
  </si>
  <si>
    <t>SBF Top 50 ESG EW NR</t>
  </si>
  <si>
    <t>ESF5P</t>
  </si>
  <si>
    <t>SBF Top 50 ESG EW</t>
  </si>
  <si>
    <t>FR0013355963</t>
  </si>
  <si>
    <t>FR20G</t>
  </si>
  <si>
    <t>Euronext France 20 EW GR</t>
  </si>
  <si>
    <t>FR0013355948</t>
  </si>
  <si>
    <t>FR0013355955</t>
  </si>
  <si>
    <t>FR20N</t>
  </si>
  <si>
    <t>Euronext France 20 EW NR</t>
  </si>
  <si>
    <t>FR20P</t>
  </si>
  <si>
    <t>Euronext France 20 EW</t>
  </si>
  <si>
    <t>FR0013354172</t>
  </si>
  <si>
    <t>FRN4G</t>
  </si>
  <si>
    <t>EN France Next 40 EW GR</t>
  </si>
  <si>
    <t>FR0013354156</t>
  </si>
  <si>
    <t>FR0013354164</t>
  </si>
  <si>
    <t>FRN4N</t>
  </si>
  <si>
    <t>EN France Next 40 EW NR</t>
  </si>
  <si>
    <t>FRN4P</t>
  </si>
  <si>
    <t>EN France Next 40 EW</t>
  </si>
  <si>
    <t>FR0013349073</t>
  </si>
  <si>
    <t>FRECG</t>
  </si>
  <si>
    <t>EN France 20-40 Challengers EW GR</t>
  </si>
  <si>
    <t>FR0013349057</t>
  </si>
  <si>
    <t>FR0013349065</t>
  </si>
  <si>
    <t>FRECN</t>
  </si>
  <si>
    <t>EN France 20-40 Challengers EW NR</t>
  </si>
  <si>
    <t>FRECP</t>
  </si>
  <si>
    <t>EN France 20-40 Challengers EW</t>
  </si>
  <si>
    <t>FR0013325032</t>
  </si>
  <si>
    <t>CAMID</t>
  </si>
  <si>
    <t>CAC Mid 60 Decrement 5%</t>
  </si>
  <si>
    <t>FR0013317807</t>
  </si>
  <si>
    <t>CLIF4</t>
  </si>
  <si>
    <t>EN Fra Energy Transition Lead 40 EW D5%</t>
  </si>
  <si>
    <t>FR0013317781</t>
  </si>
  <si>
    <t>FR0013317799</t>
  </si>
  <si>
    <t>CLF4G</t>
  </si>
  <si>
    <t>EN Fra Energy Transition Lead 40 EW GR</t>
  </si>
  <si>
    <t>FR0013317773</t>
  </si>
  <si>
    <t>CLF4N</t>
  </si>
  <si>
    <t>EN Fra Energy Transition Lead 40 EW NR</t>
  </si>
  <si>
    <t>CLF4P</t>
  </si>
  <si>
    <t>EN Fra Energy Transition Lead 40 EW</t>
  </si>
  <si>
    <t>FR0013317765</t>
  </si>
  <si>
    <t>ESGF4</t>
  </si>
  <si>
    <t>Euronext France ESG Leaders 40 EW D 5%</t>
  </si>
  <si>
    <t>FR0013317740</t>
  </si>
  <si>
    <t>FR0013317757</t>
  </si>
  <si>
    <t>ESF4G</t>
  </si>
  <si>
    <t>Euronext France ESG Leaders 40 EW GR</t>
  </si>
  <si>
    <t>FR0013317732</t>
  </si>
  <si>
    <t>ESF4N</t>
  </si>
  <si>
    <t>Euronext France ESG Leaders 40 EW NR</t>
  </si>
  <si>
    <t>ESF4P</t>
  </si>
  <si>
    <t>Euronext France ESG Leaders 40 EW</t>
  </si>
  <si>
    <t>FR0013252418</t>
  </si>
  <si>
    <t>C4SD</t>
  </si>
  <si>
    <t>CAC 40 Synthetic Dividend</t>
  </si>
  <si>
    <t>FR0013236254</t>
  </si>
  <si>
    <t>C4EWD</t>
  </si>
  <si>
    <t>CAC 40 EW Decrement 5%</t>
  </si>
  <si>
    <t>FR0013232204</t>
  </si>
  <si>
    <t>CAGOG</t>
  </si>
  <si>
    <t>CAC 40 Governance GR</t>
  </si>
  <si>
    <t>FR0013232188</t>
  </si>
  <si>
    <t>FR0013232196</t>
  </si>
  <si>
    <t>CAGON</t>
  </si>
  <si>
    <t>CAC 40 Governance NR</t>
  </si>
  <si>
    <t>CAGOV</t>
  </si>
  <si>
    <t>CAC 40 Governance</t>
  </si>
  <si>
    <t>FR0013134855</t>
  </si>
  <si>
    <t>CLEJP</t>
  </si>
  <si>
    <t>CAC Large 60 EW NR JPY</t>
  </si>
  <si>
    <t>JPY</t>
  </si>
  <si>
    <t>FR0013134848</t>
  </si>
  <si>
    <t>CLEWJ</t>
  </si>
  <si>
    <t>CAC Large 60 EW NR JPY Hedged</t>
  </si>
  <si>
    <t>FR0013134UNH</t>
  </si>
  <si>
    <t>CLUNH</t>
  </si>
  <si>
    <t>CLEW UNHEDGED RETURN</t>
  </si>
  <si>
    <t>FR0013134HDG</t>
  </si>
  <si>
    <t>CLHDG</t>
  </si>
  <si>
    <t>CLEW HEDGED RETURN</t>
  </si>
  <si>
    <t>FR0013134FWD</t>
  </si>
  <si>
    <t>CLFWD</t>
  </si>
  <si>
    <t>CLEW FWD RETURN</t>
  </si>
  <si>
    <t>FR0013017969</t>
  </si>
  <si>
    <t>SBF8D</t>
  </si>
  <si>
    <t>SBF Top 80 EW Decrement 50 Points</t>
  </si>
  <si>
    <t>FR0013017951</t>
  </si>
  <si>
    <t>SBF8G</t>
  </si>
  <si>
    <t>SBF Top 80 EW GR</t>
  </si>
  <si>
    <t>FR0013017936</t>
  </si>
  <si>
    <t>FR0013017944</t>
  </si>
  <si>
    <t>SBF8N</t>
  </si>
  <si>
    <t>SBF Top 80 EW NR</t>
  </si>
  <si>
    <t>SBF80</t>
  </si>
  <si>
    <t>SBF Top 80 EW</t>
  </si>
  <si>
    <t>FR0012663334</t>
  </si>
  <si>
    <t>CLEWE</t>
  </si>
  <si>
    <t>CAC LARGE 60 EW ER</t>
  </si>
  <si>
    <t>FR0012663300</t>
  </si>
  <si>
    <t>FR0012663318</t>
  </si>
  <si>
    <t>CLEWG</t>
  </si>
  <si>
    <t>CAC Large 60 Equal Weight GR</t>
  </si>
  <si>
    <t>FR0012663292</t>
  </si>
  <si>
    <t>CLEWN</t>
  </si>
  <si>
    <t>CAC Large 60 Equal Weight NR</t>
  </si>
  <si>
    <t>CLEW</t>
  </si>
  <si>
    <t>CAC Large 60 Equal Weight</t>
  </si>
  <si>
    <t>FR0012246049</t>
  </si>
  <si>
    <t>EPMEG</t>
  </si>
  <si>
    <t>Euronext PEA-PME 150 Index GR</t>
  </si>
  <si>
    <t>FR0012246023</t>
  </si>
  <si>
    <t>ENPME</t>
  </si>
  <si>
    <t>Euronext PEA-PME 150 Index</t>
  </si>
  <si>
    <t>FR001INCESGP</t>
  </si>
  <si>
    <t>FR0014002B3I</t>
  </si>
  <si>
    <t>EIRUT</t>
  </si>
  <si>
    <t>CAC 40 ESG RT INTERN</t>
  </si>
  <si>
    <t>FR0014002B4I</t>
  </si>
  <si>
    <t>FR0014002B5I</t>
  </si>
  <si>
    <t>FR001INCESGN</t>
  </si>
  <si>
    <t>EIRUN</t>
  </si>
  <si>
    <t>CAC 40 ESG NR RT INTERN</t>
  </si>
  <si>
    <t>FR001INCESGG</t>
  </si>
  <si>
    <t>EIRUG</t>
  </si>
  <si>
    <t>CAC 40 ESG GR RT INTERN</t>
  </si>
  <si>
    <t>FR0003999499</t>
  </si>
  <si>
    <t>CACT</t>
  </si>
  <si>
    <t>CAC All-Tradable</t>
  </si>
  <si>
    <t>QS0011131891</t>
  </si>
  <si>
    <t>QS0011131883</t>
  </si>
  <si>
    <t>FR0003999481</t>
  </si>
  <si>
    <t>PX4</t>
  </si>
  <si>
    <t>SBF 120</t>
  </si>
  <si>
    <t>QS0011131859</t>
  </si>
  <si>
    <t>QS0011131842</t>
  </si>
  <si>
    <t>N150</t>
  </si>
  <si>
    <t>Next 150 Index</t>
  </si>
  <si>
    <t>N100</t>
  </si>
  <si>
    <t>Euronext 100 Index</t>
  </si>
  <si>
    <t>PX1</t>
  </si>
  <si>
    <t>CAC 40</t>
  </si>
  <si>
    <t>FR0003500PX1</t>
  </si>
  <si>
    <t>CREUT</t>
  </si>
  <si>
    <t>CAC 40 RT</t>
  </si>
  <si>
    <t>FR00035INPX1</t>
  </si>
  <si>
    <t>CIRUT</t>
  </si>
  <si>
    <t>CAC 40 REUT INTERN</t>
  </si>
  <si>
    <t>FRIX00021959</t>
  </si>
  <si>
    <t>SGACG</t>
  </si>
  <si>
    <t>Euronext G ACA 010622 GR 0 84</t>
  </si>
  <si>
    <t>FRIX00011943</t>
  </si>
  <si>
    <t>SGACP</t>
  </si>
  <si>
    <t>Euronext G ACA 010622 PR 0 84</t>
  </si>
  <si>
    <t>FRIX00003676</t>
  </si>
  <si>
    <t>FRI4D</t>
  </si>
  <si>
    <t>Euronext France Investissement 40 D5%</t>
  </si>
  <si>
    <t>FRIX00003650</t>
  </si>
  <si>
    <t>FRIX00003668</t>
  </si>
  <si>
    <t>FRI4G</t>
  </si>
  <si>
    <t>Euronext France Investissement 40 GR</t>
  </si>
  <si>
    <t>FRIX00003643</t>
  </si>
  <si>
    <t>FRI4N</t>
  </si>
  <si>
    <t>Euronext France Investissement 40 NR</t>
  </si>
  <si>
    <t>FRI4P</t>
  </si>
  <si>
    <t>Euronext France Investissement 40</t>
  </si>
  <si>
    <t>FRIX00003601</t>
  </si>
  <si>
    <t>SG03D</t>
  </si>
  <si>
    <t>Euronext G Orange 060624 D 0.74</t>
  </si>
  <si>
    <t>FRIX00003593</t>
  </si>
  <si>
    <t>SG03G</t>
  </si>
  <si>
    <t>Euronext G Orange 060624 GR 0.74</t>
  </si>
  <si>
    <t>FRIX00003585</t>
  </si>
  <si>
    <t>SG03P</t>
  </si>
  <si>
    <t>Euronext G Orange 060624 PR 0.74</t>
  </si>
  <si>
    <t>FRIX00003270</t>
  </si>
  <si>
    <t>SGBD1</t>
  </si>
  <si>
    <t>Euronext G Bouygues 030524 Decrement 1.80</t>
  </si>
  <si>
    <t>FRIX00003262</t>
  </si>
  <si>
    <t>SGBG1</t>
  </si>
  <si>
    <t>Euronext G Bouygues 030524 GR 1.80</t>
  </si>
  <si>
    <t>FRIX00003254</t>
  </si>
  <si>
    <t>SGBP1</t>
  </si>
  <si>
    <t>Euronext G Bouygues 030524 PR 1.80</t>
  </si>
  <si>
    <t>FRIX00003213</t>
  </si>
  <si>
    <t>SGRNO</t>
  </si>
  <si>
    <t>Euronext G Renault 240524 Decrement 1.85</t>
  </si>
  <si>
    <t>FRIX00003205</t>
  </si>
  <si>
    <t>SGRNG</t>
  </si>
  <si>
    <t>Euronext G Renault 240524 GR 1.85</t>
  </si>
  <si>
    <t>FRIX00003197</t>
  </si>
  <si>
    <t>SGRNP</t>
  </si>
  <si>
    <t>Euronext G Renault 240524 PR 1.85</t>
  </si>
  <si>
    <t>FRIX00003155</t>
  </si>
  <si>
    <t>SGG5D</t>
  </si>
  <si>
    <t>Euronext G Societe Generale 290524 Decrement 1.25</t>
  </si>
  <si>
    <t>FRIX00003148</t>
  </si>
  <si>
    <t>SGG5G</t>
  </si>
  <si>
    <t>Euronext G Societe Generale 290524 GR 1.25</t>
  </si>
  <si>
    <t>FRIX00003130</t>
  </si>
  <si>
    <t>SGG5P</t>
  </si>
  <si>
    <t>Euronext G Societe Generale 290524 PR 1.25</t>
  </si>
  <si>
    <t>FRIX00003072</t>
  </si>
  <si>
    <t>PX1G5</t>
  </si>
  <si>
    <t>CAC 40 Gross Return Decrement 5%</t>
  </si>
  <si>
    <t>FRIX00003064</t>
  </si>
  <si>
    <t>FRD4D</t>
  </si>
  <si>
    <t>Euronext France Developpement 40 D5%</t>
  </si>
  <si>
    <t>FRIX00003049</t>
  </si>
  <si>
    <t>FRIX00003056</t>
  </si>
  <si>
    <t>FRD4G</t>
  </si>
  <si>
    <t>Euronext France Developpement 40 GR</t>
  </si>
  <si>
    <t>FRIX00003031</t>
  </si>
  <si>
    <t>FRD4N</t>
  </si>
  <si>
    <t>Euronext France Developpement 40 NR</t>
  </si>
  <si>
    <t>FRD4P</t>
  </si>
  <si>
    <t>Euronext France Developpement 40</t>
  </si>
  <si>
    <t>FRIX00003015</t>
  </si>
  <si>
    <t>SGS4G</t>
  </si>
  <si>
    <t>Euronext G Stellantis 030524 GR 1.55</t>
  </si>
  <si>
    <t>FRIX00003007</t>
  </si>
  <si>
    <t>SGS4P</t>
  </si>
  <si>
    <t>Euronext G Stellantis 030524 PR 1.55</t>
  </si>
  <si>
    <t>FRIX00002991</t>
  </si>
  <si>
    <t>SGSCR</t>
  </si>
  <si>
    <t>Euronext G Scor 230524 Decrement 1.80</t>
  </si>
  <si>
    <t>FRIX00002983</t>
  </si>
  <si>
    <t>SGSCG</t>
  </si>
  <si>
    <t>Euronext G Scor 230524 GR 1.80</t>
  </si>
  <si>
    <t>FRIX00002975</t>
  </si>
  <si>
    <t>SGSC</t>
  </si>
  <si>
    <t>Euronext G Scor 230524 PR 1.80</t>
  </si>
  <si>
    <t>FRIX00002900</t>
  </si>
  <si>
    <t>INFRD</t>
  </si>
  <si>
    <t>Euronext Invest In France 40 D 5%</t>
  </si>
  <si>
    <t>FRIX00002884</t>
  </si>
  <si>
    <t>FRIX00002892</t>
  </si>
  <si>
    <t>INFRG</t>
  </si>
  <si>
    <t>Euronext Invest In France 40 GR</t>
  </si>
  <si>
    <t>FRIX00002876</t>
  </si>
  <si>
    <t>INFRN</t>
  </si>
  <si>
    <t>Euronext Invest In France 40 NR</t>
  </si>
  <si>
    <t>INFRP</t>
  </si>
  <si>
    <t>Euronext Invest In France 40</t>
  </si>
  <si>
    <t>FRIX00002850</t>
  </si>
  <si>
    <t>SGS3G</t>
  </si>
  <si>
    <t>Euronext G Stellantis 040523 GR 1.34</t>
  </si>
  <si>
    <t>FRIX00002843</t>
  </si>
  <si>
    <t>SGS3P</t>
  </si>
  <si>
    <t>Euronext G Stellantis 040523 PR 1.34</t>
  </si>
  <si>
    <t>FRIX00002827</t>
  </si>
  <si>
    <t>SGG4G</t>
  </si>
  <si>
    <t>Euronext G Societe Generale 310523 GR 1.30</t>
  </si>
  <si>
    <t>FRIX00002819</t>
  </si>
  <si>
    <t>SGG4P</t>
  </si>
  <si>
    <t>Euronext G Societe Generale 310523 PR 1.30</t>
  </si>
  <si>
    <t>FRIX00002801</t>
  </si>
  <si>
    <t>WIFRD</t>
  </si>
  <si>
    <t>Euronext World Invest In France 40 D5%</t>
  </si>
  <si>
    <t>FRIX00002785</t>
  </si>
  <si>
    <t>FRIX00002793</t>
  </si>
  <si>
    <t>WIFRG</t>
  </si>
  <si>
    <t>Euronext World Invest In France 40 GR</t>
  </si>
  <si>
    <t>FRIX00002777</t>
  </si>
  <si>
    <t>WIFRN</t>
  </si>
  <si>
    <t>Euronext World Invest In France 40 NR</t>
  </si>
  <si>
    <t>WIFRP</t>
  </si>
  <si>
    <t>Euronext World Invest In France 40</t>
  </si>
  <si>
    <t>FRIX00002769</t>
  </si>
  <si>
    <t>FILVD</t>
  </si>
  <si>
    <t>EN Invest In France Low Volatility D3 5%</t>
  </si>
  <si>
    <t>FRIX00002736</t>
  </si>
  <si>
    <t>FRIX00002751</t>
  </si>
  <si>
    <t>FILV3</t>
  </si>
  <si>
    <t>EN Invest In France Low Volatility D3%</t>
  </si>
  <si>
    <t>FRIX00002744</t>
  </si>
  <si>
    <t>FILVG</t>
  </si>
  <si>
    <t>EN Invest In France Low Volatility GR</t>
  </si>
  <si>
    <t>FRIX00002728</t>
  </si>
  <si>
    <t>FILVN</t>
  </si>
  <si>
    <t>EN Invest In France Low Volatility NR</t>
  </si>
  <si>
    <t>FILVP</t>
  </si>
  <si>
    <t>EN Invest In France Low Volatility</t>
  </si>
  <si>
    <t>FRIX00002702</t>
  </si>
  <si>
    <t>SGU2G</t>
  </si>
  <si>
    <t>Euronext G URW 270223 GR 3 50</t>
  </si>
  <si>
    <t>FRIX00002694</t>
  </si>
  <si>
    <t>SGU2P</t>
  </si>
  <si>
    <t>Euronext G URW 270223 PR 3 50</t>
  </si>
  <si>
    <t>FRIX00002645</t>
  </si>
  <si>
    <t>EIFRG</t>
  </si>
  <si>
    <t>Euronext Invest In France GR</t>
  </si>
  <si>
    <t>FRIX00002629</t>
  </si>
  <si>
    <t>FRIX00002637</t>
  </si>
  <si>
    <t>EIFRN</t>
  </si>
  <si>
    <t>Euronext Invest In France NR</t>
  </si>
  <si>
    <t>EIFRP</t>
  </si>
  <si>
    <t>Euronext Invest In France</t>
  </si>
  <si>
    <t>FRIX00002561</t>
  </si>
  <si>
    <t>SGEEG</t>
  </si>
  <si>
    <t>Euronext G Engie 030523 GR 1 10</t>
  </si>
  <si>
    <t>FRIX00002553</t>
  </si>
  <si>
    <t>SGEEP</t>
  </si>
  <si>
    <t>Euronext G Engie 030523 PR 1.10</t>
  </si>
  <si>
    <t>FRIX00002538</t>
  </si>
  <si>
    <t>SGA4G</t>
  </si>
  <si>
    <t>Euronext G Credit Agricole 310523 G 1 05</t>
  </si>
  <si>
    <t>FRIX00002520</t>
  </si>
  <si>
    <t>SGA4P</t>
  </si>
  <si>
    <t>Euronext G Credit Agricole 310523 P 1 05</t>
  </si>
  <si>
    <t>FRIX00002504</t>
  </si>
  <si>
    <t>SGG3G</t>
  </si>
  <si>
    <t>Euronext G Societe Generale 310523 GR 1.35</t>
  </si>
  <si>
    <t>FRIX00002496</t>
  </si>
  <si>
    <t>SGG3P</t>
  </si>
  <si>
    <t>Euronext G Societe Generale 310523 PR 1.35</t>
  </si>
  <si>
    <t>FRIX00002470</t>
  </si>
  <si>
    <t>SGB5G</t>
  </si>
  <si>
    <t>Euronext G BNP 310523 GR 4.00</t>
  </si>
  <si>
    <t>FRIX00002462</t>
  </si>
  <si>
    <t>SGB5P</t>
  </si>
  <si>
    <t>Euronext G BNP 310523 PR 4.00</t>
  </si>
  <si>
    <t>FRIX00002454</t>
  </si>
  <si>
    <t>EIASG</t>
  </si>
  <si>
    <t>Euronext FAS IAS GR</t>
  </si>
  <si>
    <t>FRIX00002439</t>
  </si>
  <si>
    <t>FRIX00002447</t>
  </si>
  <si>
    <t>EIASN</t>
  </si>
  <si>
    <t>Euronext FAS IAS NR</t>
  </si>
  <si>
    <t>EIASP</t>
  </si>
  <si>
    <t>Euronext FAS IAS</t>
  </si>
  <si>
    <t>FRIX00002413</t>
  </si>
  <si>
    <t>SGB4G</t>
  </si>
  <si>
    <t>Euronext G BNP 240523 GR 3.67</t>
  </si>
  <si>
    <t>FRIX00002405</t>
  </si>
  <si>
    <t>SGB4P</t>
  </si>
  <si>
    <t>Euronext G BNP 240523 PR 3.67</t>
  </si>
  <si>
    <t>FRIX00002389</t>
  </si>
  <si>
    <t>SGG2G</t>
  </si>
  <si>
    <t>Euronext G Societe Generale 010623 GR 1.50</t>
  </si>
  <si>
    <t>FRIX00002371</t>
  </si>
  <si>
    <t>SGG2P</t>
  </si>
  <si>
    <t>Euronext G Societe Generale 010623 PR 1.50</t>
  </si>
  <si>
    <t>FRIX00002355</t>
  </si>
  <si>
    <t>SGSAG</t>
  </si>
  <si>
    <t>Euronext G Sanofi 010623 GR 3.56</t>
  </si>
  <si>
    <t>FRIX00002348</t>
  </si>
  <si>
    <t>SGSAP</t>
  </si>
  <si>
    <t>Euronext G Sanofi 010623 PR 3.56</t>
  </si>
  <si>
    <t>FRIX00002314</t>
  </si>
  <si>
    <t>SGEG3</t>
  </si>
  <si>
    <t>Euronext G Engie 020523 GR 0.80</t>
  </si>
  <si>
    <t>FRIX00002306</t>
  </si>
  <si>
    <t>SGEP3</t>
  </si>
  <si>
    <t>Euronext G Engie 020523 PR 0.80</t>
  </si>
  <si>
    <t>FRIX00002033</t>
  </si>
  <si>
    <t>ECWGR</t>
  </si>
  <si>
    <t>Euronext Cybersecurity World GR</t>
  </si>
  <si>
    <t>FRIX00002017</t>
  </si>
  <si>
    <t>FRIX00002025</t>
  </si>
  <si>
    <t>ECWNR</t>
  </si>
  <si>
    <t>Euronext Cybersecurity World NR</t>
  </si>
  <si>
    <t>ECWPR</t>
  </si>
  <si>
    <t>Euronext Cybersecurity World</t>
  </si>
  <si>
    <t>FRIX00001993</t>
  </si>
  <si>
    <t>CTRFD</t>
  </si>
  <si>
    <t>CAC 40 TRF Adjusted</t>
  </si>
  <si>
    <t>FRIX00001977</t>
  </si>
  <si>
    <t>SGEG2</t>
  </si>
  <si>
    <t>Euronext G Engie 020523 GR 1.20</t>
  </si>
  <si>
    <t>FRIX00001969</t>
  </si>
  <si>
    <t>SGEP2</t>
  </si>
  <si>
    <t>Euronext G Engie 020523 PR 1.20</t>
  </si>
  <si>
    <t>FRIX00001910</t>
  </si>
  <si>
    <t>SGVIG</t>
  </si>
  <si>
    <t>Euronext G VIE 010622 GR 1 20</t>
  </si>
  <si>
    <t>FRIX00001902</t>
  </si>
  <si>
    <t>SGVIP</t>
  </si>
  <si>
    <t>Euronext G VIE 010622 PR 1 20</t>
  </si>
  <si>
    <t>FRIX00001886</t>
  </si>
  <si>
    <t>SGKEG</t>
  </si>
  <si>
    <t>Euronext G KER 010622 GR 13 00</t>
  </si>
  <si>
    <t>FRIX00001878</t>
  </si>
  <si>
    <t>SGKEP</t>
  </si>
  <si>
    <t>Euronext G KER 010622 PR 13 00</t>
  </si>
  <si>
    <t>FRIX00001860</t>
  </si>
  <si>
    <t>EAIWG</t>
  </si>
  <si>
    <t>Euronext AI World GR</t>
  </si>
  <si>
    <t>FRIX00001845</t>
  </si>
  <si>
    <t>FRIX00001852</t>
  </si>
  <si>
    <t>EAIWN</t>
  </si>
  <si>
    <t>Euronext AI World NR</t>
  </si>
  <si>
    <t>EAIWP</t>
  </si>
  <si>
    <t>Euronext AI World</t>
  </si>
  <si>
    <t>FRIX00001795</t>
  </si>
  <si>
    <t>SGU1G</t>
  </si>
  <si>
    <t>Euronext G URW 270223 GR 4 30</t>
  </si>
  <si>
    <t>FRIX00001787</t>
  </si>
  <si>
    <t>SGU1P</t>
  </si>
  <si>
    <t>Euronext G URW 270223 PR 4 30</t>
  </si>
  <si>
    <t>FRIX00001761</t>
  </si>
  <si>
    <t>SMMLG</t>
  </si>
  <si>
    <t>Euronext M Michelin 28042023 GR 1.25</t>
  </si>
  <si>
    <t>FRIX00001753</t>
  </si>
  <si>
    <t>SMMLP</t>
  </si>
  <si>
    <t>Euronext M Michelin 28042023 PR 1.25</t>
  </si>
  <si>
    <t>FRIX00001738</t>
  </si>
  <si>
    <t>SMSGG</t>
  </si>
  <si>
    <t>Euronext M Saint Gobain 28042023 GR 2.00</t>
  </si>
  <si>
    <t>FRIX00001720</t>
  </si>
  <si>
    <t>SMSGP</t>
  </si>
  <si>
    <t>Euronext M Saint Gobain 28042023 PR 2.00</t>
  </si>
  <si>
    <t>FRIX00001704</t>
  </si>
  <si>
    <t>SGSG1</t>
  </si>
  <si>
    <t>Euronext G Saint Gobain 010722 GR 1.80</t>
  </si>
  <si>
    <t>FRIX00001696</t>
  </si>
  <si>
    <t>SGSP1</t>
  </si>
  <si>
    <t>Euronext G Saint Gobain 010722 PR 1.80</t>
  </si>
  <si>
    <t>FRIX00001670</t>
  </si>
  <si>
    <t>SMEG1</t>
  </si>
  <si>
    <t>Euronext M Engie 28022023 GR 1.40</t>
  </si>
  <si>
    <t>FRIX00001662</t>
  </si>
  <si>
    <t>SMEP1</t>
  </si>
  <si>
    <t>Euronext M Engie 28022023 PR 1.40</t>
  </si>
  <si>
    <t>FRIX00001555</t>
  </si>
  <si>
    <t>SGBG3</t>
  </si>
  <si>
    <t>EN G BNP 010622 GR 3 85</t>
  </si>
  <si>
    <t>FRIX00001548</t>
  </si>
  <si>
    <t>SGBP3</t>
  </si>
  <si>
    <t>EN G BNP 010622 PR 3 85</t>
  </si>
  <si>
    <t>FRIX00001522</t>
  </si>
  <si>
    <t>SGGG1</t>
  </si>
  <si>
    <t>EN G Societe Generale 010622 GR 1 65</t>
  </si>
  <si>
    <t>FRIX00001514</t>
  </si>
  <si>
    <t>SGGP1</t>
  </si>
  <si>
    <t>EN G Societe Generale 010622 PR 1 65</t>
  </si>
  <si>
    <t>FRIX00001407</t>
  </si>
  <si>
    <t>SSS2G</t>
  </si>
  <si>
    <t>Euronext S Stellantis 030323 GR 1.34</t>
  </si>
  <si>
    <t>FRIX00001399</t>
  </si>
  <si>
    <t>SSS2P</t>
  </si>
  <si>
    <t>Euronext S Stellantis 030323 PR 1.34</t>
  </si>
  <si>
    <t>FRIX00001340</t>
  </si>
  <si>
    <t>SGEG1</t>
  </si>
  <si>
    <t>Euronext G Engie 020522 GR 1.0</t>
  </si>
  <si>
    <t>FRIX00001332</t>
  </si>
  <si>
    <t>SGEP1</t>
  </si>
  <si>
    <t>Euronext G Engie 020522 PR 1.0</t>
  </si>
  <si>
    <t>FRIX00001316</t>
  </si>
  <si>
    <t>SGEIG</t>
  </si>
  <si>
    <t>Euronext G Eni SPA 010622 GR 0.91</t>
  </si>
  <si>
    <t>FRIX00001308</t>
  </si>
  <si>
    <t>SGEIP</t>
  </si>
  <si>
    <t>Euronext G Eni SPA 010622 PR 0.91</t>
  </si>
  <si>
    <t>FRIX00001258</t>
  </si>
  <si>
    <t>SGURG</t>
  </si>
  <si>
    <t>Euronext G Unibail Rodamco Westfield 270223 GR 4</t>
  </si>
  <si>
    <t>FRIX00001241</t>
  </si>
  <si>
    <t>SGURP</t>
  </si>
  <si>
    <t>Euronext G Unibail Rodamco Westfield 270223 PR 4</t>
  </si>
  <si>
    <t>FRIX00001191</t>
  </si>
  <si>
    <t>SBCAG</t>
  </si>
  <si>
    <t>EN B Credit Agricole 170223 GR 0 9</t>
  </si>
  <si>
    <t>FRIX00001183</t>
  </si>
  <si>
    <t>SBCAP</t>
  </si>
  <si>
    <t>EN B Credit Agricole 170223 PR 0 9</t>
  </si>
  <si>
    <t>FRIX00001167</t>
  </si>
  <si>
    <t>SBSTG</t>
  </si>
  <si>
    <t>EN B Stellantis 140223 GR 1 04</t>
  </si>
  <si>
    <t>FRIX00001159</t>
  </si>
  <si>
    <t>SBSTP</t>
  </si>
  <si>
    <t>EN B Stellantis 140223 PR 1 04</t>
  </si>
  <si>
    <t>FRIX00001134</t>
  </si>
  <si>
    <t>SGS2G</t>
  </si>
  <si>
    <t>EN G Stellantis 020522 GR 1 20</t>
  </si>
  <si>
    <t>FRIX00001126</t>
  </si>
  <si>
    <t>SGS2P</t>
  </si>
  <si>
    <t>EN G Stellantis 020522 PR 1 20</t>
  </si>
  <si>
    <t>FRIX00001100</t>
  </si>
  <si>
    <t>SGLIG</t>
  </si>
  <si>
    <t>Euronext G Klepierre 010622 GR 1.7</t>
  </si>
  <si>
    <t>FRIX00001092</t>
  </si>
  <si>
    <t>SGLIP</t>
  </si>
  <si>
    <t>Euronext G Klepierre 010622 PR 1.7</t>
  </si>
  <si>
    <t>FRIX00001076</t>
  </si>
  <si>
    <t>SGSTG</t>
  </si>
  <si>
    <t>Euronext G Stellantis 020522 GR 1.04</t>
  </si>
  <si>
    <t>FRIX00001068</t>
  </si>
  <si>
    <t>SGSTP</t>
  </si>
  <si>
    <t>Euronext G Stellantis 020522 PR 1.04</t>
  </si>
  <si>
    <t>FRIX00001043</t>
  </si>
  <si>
    <t>SGB3G</t>
  </si>
  <si>
    <t>Euronext G BNP 010622 GR 3 5</t>
  </si>
  <si>
    <t>FRIX00001035</t>
  </si>
  <si>
    <t>SGB3P</t>
  </si>
  <si>
    <t>Euronext G BNP 010622 PR 3 5</t>
  </si>
  <si>
    <t>FRIX00001019</t>
  </si>
  <si>
    <t>SGC1G</t>
  </si>
  <si>
    <t>EN G Credit Agricole 010622 GR 0 8</t>
  </si>
  <si>
    <t>FRIX00001001</t>
  </si>
  <si>
    <t>SGC1P</t>
  </si>
  <si>
    <t>EN G Credit Agricole 010622 PR 0 8</t>
  </si>
  <si>
    <t>FRIX00000987</t>
  </si>
  <si>
    <t>SSBNG</t>
  </si>
  <si>
    <t>Euronext S BNP 070322 GR 3.47</t>
  </si>
  <si>
    <t>FRIX00000979</t>
  </si>
  <si>
    <t>SSBNP</t>
  </si>
  <si>
    <t>Euronext S BNP 070322 PR 3.47</t>
  </si>
  <si>
    <t>FRIX00000961</t>
  </si>
  <si>
    <t>NCACI</t>
  </si>
  <si>
    <t>CAC 40 NR Inflation Adjusted</t>
  </si>
  <si>
    <t>FRIX00000953</t>
  </si>
  <si>
    <t>CACIN</t>
  </si>
  <si>
    <t>CAC 40 Inflation Adjusted</t>
  </si>
  <si>
    <t>FRIX00000938</t>
  </si>
  <si>
    <t>SSING</t>
  </si>
  <si>
    <t>Euronext S ING 070322 GR 0.66</t>
  </si>
  <si>
    <t>FRIX00000920</t>
  </si>
  <si>
    <t>SSINP</t>
  </si>
  <si>
    <t>Euronext S ING 070322 PR 0.66</t>
  </si>
  <si>
    <t>FRIX00000904</t>
  </si>
  <si>
    <t>SSKEG</t>
  </si>
  <si>
    <t>Euronext S Kering 070322 GR 12</t>
  </si>
  <si>
    <t>FRIX00000896</t>
  </si>
  <si>
    <t>SSKEP</t>
  </si>
  <si>
    <t>Euronext S Kering 070322 PR 12</t>
  </si>
  <si>
    <t>FRIX00000870</t>
  </si>
  <si>
    <t>SSCAG</t>
  </si>
  <si>
    <t>Euronext S Carrefour 070322 GR 0.52</t>
  </si>
  <si>
    <t>FRIX00000862</t>
  </si>
  <si>
    <t>SSCAP</t>
  </si>
  <si>
    <t>Euronext S Carrefour 070322 PR 0.52</t>
  </si>
  <si>
    <t>FRIX00000813</t>
  </si>
  <si>
    <t>SSSTG</t>
  </si>
  <si>
    <t>Euronext S Stellantis 070322 GR 1.04</t>
  </si>
  <si>
    <t>FRIX00000805</t>
  </si>
  <si>
    <t>SSSTP</t>
  </si>
  <si>
    <t>Euronext S Stellantis 070322 PR 1.04</t>
  </si>
  <si>
    <t>FRIX00000789</t>
  </si>
  <si>
    <t>SSMTG</t>
  </si>
  <si>
    <t>Euronext S ArcelorMittal 070322 GR 0.35</t>
  </si>
  <si>
    <t>FRIX00000771</t>
  </si>
  <si>
    <t>SSMTP</t>
  </si>
  <si>
    <t>Euronext S ArcelorMittal 070322 PR 0.35</t>
  </si>
  <si>
    <t>FRIX00000755</t>
  </si>
  <si>
    <t>SSENG</t>
  </si>
  <si>
    <t>Euronext S ENI 070322 GR 0.87</t>
  </si>
  <si>
    <t>FRIX00000748</t>
  </si>
  <si>
    <t>SSENI</t>
  </si>
  <si>
    <t>Euronext S ENI 070322 PR 0.87</t>
  </si>
  <si>
    <t>FRIX00000722</t>
  </si>
  <si>
    <t>SSSNG</t>
  </si>
  <si>
    <t>Euronext S Sanofi 070322 GR 3.33</t>
  </si>
  <si>
    <t>FRIX00000714</t>
  </si>
  <si>
    <t>SSSNP</t>
  </si>
  <si>
    <t>Euronext S Sanofi 070322 PR 3.33</t>
  </si>
  <si>
    <t>FRIX00000698</t>
  </si>
  <si>
    <t>SSSAG</t>
  </si>
  <si>
    <t>Euronext S Safran 070322 GR 0.5</t>
  </si>
  <si>
    <t>FRIX00000680</t>
  </si>
  <si>
    <t>SSSAP</t>
  </si>
  <si>
    <t>Euronext S Safran 070322 PR 0.5</t>
  </si>
  <si>
    <t>FRIX00000664</t>
  </si>
  <si>
    <t>SSSHG</t>
  </si>
  <si>
    <t>Euronext S Shell 070322 GR 0.91</t>
  </si>
  <si>
    <t>FRIX00000656</t>
  </si>
  <si>
    <t>SSS1P</t>
  </si>
  <si>
    <t>Euronext S Shell 070322 PR 0.91</t>
  </si>
  <si>
    <t>FRIX00000631</t>
  </si>
  <si>
    <t>SSAXG</t>
  </si>
  <si>
    <t>Euronext S AXA 070322 GR 1.54</t>
  </si>
  <si>
    <t>FRIX00000623</t>
  </si>
  <si>
    <t>SSAXP</t>
  </si>
  <si>
    <t>Euronext S AXA 070322 PR 1.54</t>
  </si>
  <si>
    <t>FRIX00000607</t>
  </si>
  <si>
    <t>SSACG</t>
  </si>
  <si>
    <t>Euronext S Credit Agricole 070322 GR 1.05</t>
  </si>
  <si>
    <t>FRIX00000599</t>
  </si>
  <si>
    <t>SSACP</t>
  </si>
  <si>
    <t>Euronext S Credit Agricole 070322 PR 1.05</t>
  </si>
  <si>
    <t>FRIX00000573</t>
  </si>
  <si>
    <t>SGCAG</t>
  </si>
  <si>
    <t>Euronext G Credit Agricole 010621 GR 0.9</t>
  </si>
  <si>
    <t>FRIX00000565</t>
  </si>
  <si>
    <t>SGCAP</t>
  </si>
  <si>
    <t>Euronext G Credit Agricole 010621 PR 0.9</t>
  </si>
  <si>
    <t>FRIX00000516</t>
  </si>
  <si>
    <t>SBBG</t>
  </si>
  <si>
    <t>Euronext B Bouygues 040521 GR 1.583</t>
  </si>
  <si>
    <t>FRIX00000508</t>
  </si>
  <si>
    <t>SBBP</t>
  </si>
  <si>
    <t>Euronext B Bouygues 040521 PR 1.583</t>
  </si>
  <si>
    <t>FRIX00000482</t>
  </si>
  <si>
    <t>SBO1G</t>
  </si>
  <si>
    <t>Euronext B Orange 131221 GR 0.65</t>
  </si>
  <si>
    <t>FRIX00000474</t>
  </si>
  <si>
    <t>SBO1P</t>
  </si>
  <si>
    <t>Euronext B Orange 131221 PR 0.65</t>
  </si>
  <si>
    <t>FRIX00000458</t>
  </si>
  <si>
    <t>SBENG</t>
  </si>
  <si>
    <t>Euronext B Engie 240521 GR 0 71</t>
  </si>
  <si>
    <t>FRIX00000441</t>
  </si>
  <si>
    <t>SBENP</t>
  </si>
  <si>
    <t>Euronext B Engie 240521 PR 0.71</t>
  </si>
  <si>
    <t>FRIX00000391</t>
  </si>
  <si>
    <t>SG01G</t>
  </si>
  <si>
    <t>Euronext G Orange 131221 GR 0.7</t>
  </si>
  <si>
    <t>FRIX00000383</t>
  </si>
  <si>
    <t>SG01P</t>
  </si>
  <si>
    <t>Euronext G Orange 131221 PR 0.7</t>
  </si>
  <si>
    <t>FRIX00000367</t>
  </si>
  <si>
    <t>SCS1G</t>
  </si>
  <si>
    <t>Euronext C Sanofi 151221 GR 3 27</t>
  </si>
  <si>
    <t>FRIX00000359</t>
  </si>
  <si>
    <t>SCS1P</t>
  </si>
  <si>
    <t>Euronext C Sanofi 151221 PR 3 27</t>
  </si>
  <si>
    <t>FRIX00000334</t>
  </si>
  <si>
    <t>SGSGG</t>
  </si>
  <si>
    <t>EN G Societe Generale 261021 GR 1 80</t>
  </si>
  <si>
    <t>FRIX00000326</t>
  </si>
  <si>
    <t>SGSGP</t>
  </si>
  <si>
    <t>EN G Societe Generale 261021 PR 1 80</t>
  </si>
  <si>
    <t>FRIX00000243</t>
  </si>
  <si>
    <t>SGB1G</t>
  </si>
  <si>
    <t>Euronext G BNP 261021 GR 3 3</t>
  </si>
  <si>
    <t>FRIX00000235</t>
  </si>
  <si>
    <t>SGB1P</t>
  </si>
  <si>
    <t>Euronext G BNP 261021 PR 3 3</t>
  </si>
  <si>
    <t>FRIX00000219</t>
  </si>
  <si>
    <t>SGA1G</t>
  </si>
  <si>
    <t>Euronext G AXA 261021 GR 1 5</t>
  </si>
  <si>
    <t>FRIX00000201</t>
  </si>
  <si>
    <t>SGA1P</t>
  </si>
  <si>
    <t>Euronext G AXA 261021 PR 1 5</t>
  </si>
  <si>
    <t>FRIX00000193</t>
  </si>
  <si>
    <t>EZBDI</t>
  </si>
  <si>
    <t>Euronext Eurozone Banks Dividend</t>
  </si>
  <si>
    <t>FRIX00000185</t>
  </si>
  <si>
    <t>SGBD</t>
  </si>
  <si>
    <t>EN G BOUYGUES 261021 GR Decrement 1 7</t>
  </si>
  <si>
    <t>FRIX00000177</t>
  </si>
  <si>
    <t>SGBG</t>
  </si>
  <si>
    <t>EN G BOUYGUES 261021 GR 1 7</t>
  </si>
  <si>
    <t>FRIX00000169</t>
  </si>
  <si>
    <t>SGBP</t>
  </si>
  <si>
    <t>EN G BOUYGUES 261021 PR 1 7</t>
  </si>
  <si>
    <t>FRIX00000151</t>
  </si>
  <si>
    <t>SGT1D</t>
  </si>
  <si>
    <t>EN G TOTALENERGIES 261021 GR Decr 2 54</t>
  </si>
  <si>
    <t>FRIX00000144</t>
  </si>
  <si>
    <t>SGT1G</t>
  </si>
  <si>
    <t>EN G TOTALENERGIES 261021 GR 2 54</t>
  </si>
  <si>
    <t>FRIX00000136</t>
  </si>
  <si>
    <t>SGT1P</t>
  </si>
  <si>
    <t>EN G TOTALENERGIES 261021 PR 2 54</t>
  </si>
  <si>
    <t>FRIX00000110</t>
  </si>
  <si>
    <t>SGORG</t>
  </si>
  <si>
    <t>EN G ORANGE 261021 GR 0 7</t>
  </si>
  <si>
    <t>FRIX00000102</t>
  </si>
  <si>
    <t>SGORP</t>
  </si>
  <si>
    <t>EN G ORANGE 261021 PR 0 7</t>
  </si>
  <si>
    <t>FRIX00000052</t>
  </si>
  <si>
    <t>SGTEG</t>
  </si>
  <si>
    <t>EN G TOTALENERGIES 261021 GR 2 64</t>
  </si>
  <si>
    <t>FRIX00000045</t>
  </si>
  <si>
    <t>SGTEP</t>
  </si>
  <si>
    <t>EN G TOTALENERGIES 261021 PR 2 64</t>
  </si>
  <si>
    <t>FRESG0002765</t>
  </si>
  <si>
    <t>BIOC5</t>
  </si>
  <si>
    <t>EN Biodiversité Climat Conv PAB D 5%</t>
  </si>
  <si>
    <t>FRESG0002591</t>
  </si>
  <si>
    <t>FRESG0002757</t>
  </si>
  <si>
    <t>TER5N</t>
  </si>
  <si>
    <t>Euronext Earth Focus 40 NR Decrement 50P</t>
  </si>
  <si>
    <t>FRESG0002708</t>
  </si>
  <si>
    <t>FRESG0002740</t>
  </si>
  <si>
    <t>TER50</t>
  </si>
  <si>
    <t>Euronext Earth Focus 40 GR Decrement 50P</t>
  </si>
  <si>
    <t>FRESG0002716</t>
  </si>
  <si>
    <t>FRESG0002732</t>
  </si>
  <si>
    <t>TER35</t>
  </si>
  <si>
    <t>Euronext Earth Focus 40 Decrement 3 5%</t>
  </si>
  <si>
    <t>FRESG0002724</t>
  </si>
  <si>
    <t>TER5D</t>
  </si>
  <si>
    <t>Euronext Earth Focus 40 Decrement 5%</t>
  </si>
  <si>
    <t>TERGR</t>
  </si>
  <si>
    <t>Euronext Earth Focus 40 GR</t>
  </si>
  <si>
    <t>FRESG0002690</t>
  </si>
  <si>
    <t>TERNR</t>
  </si>
  <si>
    <t>Euronext Earth Focus 40 NR</t>
  </si>
  <si>
    <t>TERPR</t>
  </si>
  <si>
    <t>Euronext Earth Focus 40</t>
  </si>
  <si>
    <t>FRESG0002617</t>
  </si>
  <si>
    <t>BIOC3</t>
  </si>
  <si>
    <t>EN Biodiversité Climat Conv PAB D 3.5%</t>
  </si>
  <si>
    <t>FRESG0002609</t>
  </si>
  <si>
    <t>BIOCG</t>
  </si>
  <si>
    <t>EN Biodiversité Climat Conviction PAB GR</t>
  </si>
  <si>
    <t>FRESG0002583</t>
  </si>
  <si>
    <t>BIOCN</t>
  </si>
  <si>
    <t>EN Biodiversité Climat Conviction PAB NR</t>
  </si>
  <si>
    <t>BIOCP</t>
  </si>
  <si>
    <t>EN Biodiversité Climat Conviction PAB</t>
  </si>
  <si>
    <t>FRESG0001502</t>
  </si>
  <si>
    <t>FCLSD</t>
  </si>
  <si>
    <t>EN France CL Screened D50P</t>
  </si>
  <si>
    <t>FRESG0001486</t>
  </si>
  <si>
    <t>FRESG0001494</t>
  </si>
  <si>
    <t>FCLSN</t>
  </si>
  <si>
    <t>EN France CL Screened NR</t>
  </si>
  <si>
    <t>FRESG0001478</t>
  </si>
  <si>
    <t>FCLSG</t>
  </si>
  <si>
    <t>EN France CL Screened GR</t>
  </si>
  <si>
    <t>FCLSP</t>
  </si>
  <si>
    <t>EN France CL Screened</t>
  </si>
  <si>
    <t>FRESG0001460</t>
  </si>
  <si>
    <t>BISWG</t>
  </si>
  <si>
    <t>Euronext Biodiversity Screened World GR</t>
  </si>
  <si>
    <t>FRESG0001445</t>
  </si>
  <si>
    <t>FRESG0001452</t>
  </si>
  <si>
    <t>BISWN</t>
  </si>
  <si>
    <t>Euronext Biodiversity Screened World NR</t>
  </si>
  <si>
    <t>BISWP</t>
  </si>
  <si>
    <t>Euronext Biodiversity Screened World</t>
  </si>
  <si>
    <t>FRESG0001437</t>
  </si>
  <si>
    <t>EBEWG</t>
  </si>
  <si>
    <t>Euronext Biodiversity Enablers World GR</t>
  </si>
  <si>
    <t>FRESG0001411</t>
  </si>
  <si>
    <t>FRESG0001429</t>
  </si>
  <si>
    <t>EBEWN</t>
  </si>
  <si>
    <t>Euronext Biodiversity Enablers World NR</t>
  </si>
  <si>
    <t>EBEWP</t>
  </si>
  <si>
    <t>Euronext Biodiversity Enablers World</t>
  </si>
  <si>
    <t>FRESG0001403</t>
  </si>
  <si>
    <t>EBLPD</t>
  </si>
  <si>
    <t>EN ESG EZ Biodiversity Leaders PAB D3.5%</t>
  </si>
  <si>
    <t>FRESG0000397</t>
  </si>
  <si>
    <t>FRESG0001395</t>
  </si>
  <si>
    <t>GCSSD</t>
  </si>
  <si>
    <t>Euronext Global Climate and Sustain Screened D 50P</t>
  </si>
  <si>
    <t>FRCLIM000197</t>
  </si>
  <si>
    <t>FRESG0001387</t>
  </si>
  <si>
    <t>ESDG5</t>
  </si>
  <si>
    <t>EN Europe SBT 1 5 GR Decrement 5%</t>
  </si>
  <si>
    <t>FRESG0001320</t>
  </si>
  <si>
    <t>FRESG0001379</t>
  </si>
  <si>
    <t>ESDG4</t>
  </si>
  <si>
    <t>EN Europe SBT 1 5 GR Decrement 4%</t>
  </si>
  <si>
    <t>FRESG0001361</t>
  </si>
  <si>
    <t>ESDG3</t>
  </si>
  <si>
    <t>EN Europe SBT 1 5 GR Decrement 3 75%</t>
  </si>
  <si>
    <t>FRESG0001353</t>
  </si>
  <si>
    <t>ESN5D</t>
  </si>
  <si>
    <t>EN Europe SBT 1 5 NR Decrement 5%</t>
  </si>
  <si>
    <t>FRESG0001312</t>
  </si>
  <si>
    <t>FRESG0001346</t>
  </si>
  <si>
    <t>ESN4D</t>
  </si>
  <si>
    <t>EN Europe SBT 1 5 NR Decrement 4%</t>
  </si>
  <si>
    <t>FRESG0001338</t>
  </si>
  <si>
    <t>ESN3D</t>
  </si>
  <si>
    <t>EN Europe SBT 1 5 NR Decrement 3 75%</t>
  </si>
  <si>
    <t>ESBTG</t>
  </si>
  <si>
    <t>EN Europe SBT 1 5 GR</t>
  </si>
  <si>
    <t>FRESG0001304</t>
  </si>
  <si>
    <t>ESBTN</t>
  </si>
  <si>
    <t>EN Europe SBT 1 5 NR</t>
  </si>
  <si>
    <t>ESBTP</t>
  </si>
  <si>
    <t>EN Europe SBT 1 5</t>
  </si>
  <si>
    <t>FRESG0001296</t>
  </si>
  <si>
    <t>ZSG5D</t>
  </si>
  <si>
    <t>EN Eurozone SBT 1 5 GR Decrement 5%</t>
  </si>
  <si>
    <t>FRESG0001239</t>
  </si>
  <si>
    <t>FRESG0001288</t>
  </si>
  <si>
    <t>ZSG4D</t>
  </si>
  <si>
    <t>EN Eurozone SBT 1 5 GR Decrement 4%</t>
  </si>
  <si>
    <t>FRESG0001270</t>
  </si>
  <si>
    <t>ZSG3D</t>
  </si>
  <si>
    <t>EN Eurozone SBT 1 5 GR Decrement 3 75%</t>
  </si>
  <si>
    <t>FRESG0001262</t>
  </si>
  <si>
    <t>ZSN5D</t>
  </si>
  <si>
    <t>EN Eurozone SBT 1 5 NR Decrement 5%</t>
  </si>
  <si>
    <t>FRESG0001221</t>
  </si>
  <si>
    <t>FRESG0001254</t>
  </si>
  <si>
    <t>ZSN4D</t>
  </si>
  <si>
    <t>EN Eurozone SBT 1 5 NR Decrement 4%</t>
  </si>
  <si>
    <t>FRESG0001247</t>
  </si>
  <si>
    <t>ZSN3D</t>
  </si>
  <si>
    <t>EN Eurozone SBT 1 5 NR Decrement 3 75%</t>
  </si>
  <si>
    <t>ZSBTG</t>
  </si>
  <si>
    <t>EN Eurozone SBT 1 5 GR</t>
  </si>
  <si>
    <t>FRESG0001213</t>
  </si>
  <si>
    <t>ZSBTN</t>
  </si>
  <si>
    <t>EN Eurozone SBT 1 5 NR</t>
  </si>
  <si>
    <t>ZSBTP</t>
  </si>
  <si>
    <t>EN Eurozone SBT 1 5</t>
  </si>
  <si>
    <t>FRESG0001205</t>
  </si>
  <si>
    <t>EET5D</t>
  </si>
  <si>
    <t>Euronext Eurozone ESG Transition D 5%</t>
  </si>
  <si>
    <t>FRESG0001171</t>
  </si>
  <si>
    <t>FRESG0001197</t>
  </si>
  <si>
    <t>EET4D</t>
  </si>
  <si>
    <t>Euronext Eurozone ESG Transition D 4%</t>
  </si>
  <si>
    <t>FRESG0001189</t>
  </si>
  <si>
    <t>EETGR</t>
  </si>
  <si>
    <t>Euronext Eurozone ESG Transition GR</t>
  </si>
  <si>
    <t>FRESG0001163</t>
  </si>
  <si>
    <t>EETNR</t>
  </si>
  <si>
    <t>Euronext Eurozone ESG Transition NR</t>
  </si>
  <si>
    <t>EETPR</t>
  </si>
  <si>
    <t>Euronext Eurozone ESG Transition</t>
  </si>
  <si>
    <t>FRESG0001155</t>
  </si>
  <si>
    <t>PFC4E</t>
  </si>
  <si>
    <t>CAC 40 ESG Proforma</t>
  </si>
  <si>
    <t>FRESG0001056</t>
  </si>
  <si>
    <t>CSBTG</t>
  </si>
  <si>
    <t>CAC Transition Climat GR</t>
  </si>
  <si>
    <t>FRESG0001031</t>
  </si>
  <si>
    <t>FRESG0001049</t>
  </si>
  <si>
    <t>CSBTN</t>
  </si>
  <si>
    <t>CAC Transition Climat NR</t>
  </si>
  <si>
    <t>CSBTP</t>
  </si>
  <si>
    <t>CAC Transition Climat</t>
  </si>
  <si>
    <t>FRESG0001023</t>
  </si>
  <si>
    <t>BSWPF</t>
  </si>
  <si>
    <t>EN ESG Biodiversity Screened W Proforma</t>
  </si>
  <si>
    <t>FRESG0001015</t>
  </si>
  <si>
    <t>EQGEG</t>
  </si>
  <si>
    <t>EN Equileap Gender Equality EZ 100 GR</t>
  </si>
  <si>
    <t>FRESG0000991</t>
  </si>
  <si>
    <t>FRESG0001007</t>
  </si>
  <si>
    <t>EQGEN</t>
  </si>
  <si>
    <t>EN Equileap Gender Equality EZ 100 NR</t>
  </si>
  <si>
    <t>EQGEP</t>
  </si>
  <si>
    <t>EN Equileap Gender Equality EZ 100</t>
  </si>
  <si>
    <t>FRESG0000926</t>
  </si>
  <si>
    <t>EQGFG</t>
  </si>
  <si>
    <t>EN Equileap Gender Equality France 40 GR</t>
  </si>
  <si>
    <t>FRESG0000900</t>
  </si>
  <si>
    <t>FRESG0000918</t>
  </si>
  <si>
    <t>EQGFN</t>
  </si>
  <si>
    <t>EN Equileap Gender Equality France 40 NR</t>
  </si>
  <si>
    <t>EQGFP</t>
  </si>
  <si>
    <t>EN Equileap Gender Equality France40</t>
  </si>
  <si>
    <t>FRESG0000892</t>
  </si>
  <si>
    <t>GSCSD</t>
  </si>
  <si>
    <t>EN Glob Sustain and Cl Screened D 50P</t>
  </si>
  <si>
    <t>FRESG0000884</t>
  </si>
  <si>
    <t>GSCSG</t>
  </si>
  <si>
    <t>EN Glob Sustain and Cl Screened GR</t>
  </si>
  <si>
    <t>FRESG0000876</t>
  </si>
  <si>
    <t>GSCSP</t>
  </si>
  <si>
    <t>EN Glob Sustain and Cl Screened</t>
  </si>
  <si>
    <t>FRESG0000868</t>
  </si>
  <si>
    <t>ENVFR</t>
  </si>
  <si>
    <t>EN CDP France Environnement D 5%</t>
  </si>
  <si>
    <t>FRESG0000843</t>
  </si>
  <si>
    <t>FRESG0000850</t>
  </si>
  <si>
    <t>ENFRG</t>
  </si>
  <si>
    <t>EN CDP France Environnement GR</t>
  </si>
  <si>
    <t>FRESG0000835</t>
  </si>
  <si>
    <t>ENFRN</t>
  </si>
  <si>
    <t>EN CDP France Environnement NR</t>
  </si>
  <si>
    <t>ENFRP</t>
  </si>
  <si>
    <t>EN CDP France Environnement</t>
  </si>
  <si>
    <t>FRESG0000827</t>
  </si>
  <si>
    <t>PIWWG</t>
  </si>
  <si>
    <t>Euronext Positive Impact Water World GR</t>
  </si>
  <si>
    <t>FRESG0000801</t>
  </si>
  <si>
    <t>FRESG0000819</t>
  </si>
  <si>
    <t>PIWWN</t>
  </si>
  <si>
    <t>Euronext Positive Impact Water World NR</t>
  </si>
  <si>
    <t>PIWWP</t>
  </si>
  <si>
    <t>Euronext Positive Impact Water World</t>
  </si>
  <si>
    <t>FRESG0000793</t>
  </si>
  <si>
    <t>PIWEG</t>
  </si>
  <si>
    <t>EN Positive Impact Water Eurozone GR</t>
  </si>
  <si>
    <t>FRESG0000777</t>
  </si>
  <si>
    <t>FRESG0000785</t>
  </si>
  <si>
    <t>PIWEN</t>
  </si>
  <si>
    <t>EN Positive Impact Water Eurozone NR</t>
  </si>
  <si>
    <t>PIWEP</t>
  </si>
  <si>
    <t>EN Positive Impact Water Eurozone</t>
  </si>
  <si>
    <t>FRESG0000769</t>
  </si>
  <si>
    <t>SGSNE</t>
  </si>
  <si>
    <t>Euronext Social Goods and Services Eurozone NR</t>
  </si>
  <si>
    <t>FRESG0000744</t>
  </si>
  <si>
    <t>FRESG0000751</t>
  </si>
  <si>
    <t>SGSGE</t>
  </si>
  <si>
    <t>Euronext Social Goods and Services Eurozone GR</t>
  </si>
  <si>
    <t>SGSPE</t>
  </si>
  <si>
    <t>Euronext Social Goods and Services Eurozone</t>
  </si>
  <si>
    <t>FRESG0000736</t>
  </si>
  <si>
    <t>SGSWN</t>
  </si>
  <si>
    <t>Euronext Social Goods and Services World NR</t>
  </si>
  <si>
    <t>FRESG0000710</t>
  </si>
  <si>
    <t>FRESG0000728</t>
  </si>
  <si>
    <t>SGSWG</t>
  </si>
  <si>
    <t>Euronext Social Goods and Services World GR</t>
  </si>
  <si>
    <t>SGSWP</t>
  </si>
  <si>
    <t>Euronext Social Goods and Services World</t>
  </si>
  <si>
    <t>FRESG0000702</t>
  </si>
  <si>
    <t>EGSEN</t>
  </si>
  <si>
    <t>Euronext Environmental Goods and Services EZ NR</t>
  </si>
  <si>
    <t>FRESG0000686</t>
  </si>
  <si>
    <t>FRESG0000694</t>
  </si>
  <si>
    <t>EGSEG</t>
  </si>
  <si>
    <t>Euronext Environmental Goods and Services EZ GR</t>
  </si>
  <si>
    <t>EGSEP</t>
  </si>
  <si>
    <t>Euronext Environmental Goods and Services Eurozone</t>
  </si>
  <si>
    <t>FRESG0000678</t>
  </si>
  <si>
    <t>EGSWN</t>
  </si>
  <si>
    <t>Euronext Environmental Goods and Services World NR</t>
  </si>
  <si>
    <t>FRESG0000652</t>
  </si>
  <si>
    <t>FRESG0000660</t>
  </si>
  <si>
    <t>EGSWG</t>
  </si>
  <si>
    <t>Euronext Environmental Goods and Services World GR</t>
  </si>
  <si>
    <t>EGSW</t>
  </si>
  <si>
    <t>Euronext Environmental Goods and Services World</t>
  </si>
  <si>
    <t>FRESG0000637</t>
  </si>
  <si>
    <t>S2PD4</t>
  </si>
  <si>
    <t>Euronext Switzerland 20 PAB Decrement 4%</t>
  </si>
  <si>
    <t>FRESG0000603</t>
  </si>
  <si>
    <t>FRESG0000629</t>
  </si>
  <si>
    <t>S2PD3</t>
  </si>
  <si>
    <t>Euronext Switzerland 20 PAB Decrement 3%</t>
  </si>
  <si>
    <t>FRESG0000611</t>
  </si>
  <si>
    <t>S2PGR</t>
  </si>
  <si>
    <t>Euronext Switzerland 20 PAB GR</t>
  </si>
  <si>
    <t>FRESG0000595</t>
  </si>
  <si>
    <t>S2PNR</t>
  </si>
  <si>
    <t>Euronext Switzerland 20 PAB NR</t>
  </si>
  <si>
    <t>S2PPR</t>
  </si>
  <si>
    <t>Euronext Switzerland 20 PAB</t>
  </si>
  <si>
    <t>CHF</t>
  </si>
  <si>
    <t>FRESG0000587</t>
  </si>
  <si>
    <t>ES4P5</t>
  </si>
  <si>
    <t>Euronext Eurozone Focus 40 PAB Decrement 5%</t>
  </si>
  <si>
    <t>FRESG0000553</t>
  </si>
  <si>
    <t>FRESG0000579</t>
  </si>
  <si>
    <t>ES4P4</t>
  </si>
  <si>
    <t>Euronext Eurozone Focus 40 PAB Decrement 4%</t>
  </si>
  <si>
    <t>FRESG0000561</t>
  </si>
  <si>
    <t>ES4PG</t>
  </si>
  <si>
    <t>Euronext Eurozone Focus 40 PAB GR</t>
  </si>
  <si>
    <t>FRESG0000546</t>
  </si>
  <si>
    <t>ES4PN</t>
  </si>
  <si>
    <t>Euronext Eurozone Focus 40 PAB NR</t>
  </si>
  <si>
    <t>ES4PP</t>
  </si>
  <si>
    <t>Euronext Eurozone Focus 40 PAB</t>
  </si>
  <si>
    <t>FRESG0000538</t>
  </si>
  <si>
    <t>EZ6P5</t>
  </si>
  <si>
    <t>Euronext Eurozone 60 PAB Decrement 5%</t>
  </si>
  <si>
    <t>FRESG0000504</t>
  </si>
  <si>
    <t>FRESG0000520</t>
  </si>
  <si>
    <t>EZ6P4</t>
  </si>
  <si>
    <t>Euronext Eurozone 60 PAB Decrement 4%</t>
  </si>
  <si>
    <t>FRESG0000512</t>
  </si>
  <si>
    <t>EZ6PG</t>
  </si>
  <si>
    <t>Euronext Eurozone 60 PAB GR</t>
  </si>
  <si>
    <t>FRESG0000496</t>
  </si>
  <si>
    <t>EZ6PN</t>
  </si>
  <si>
    <t>Euronext Eurozone 60 PAB NR</t>
  </si>
  <si>
    <t>EZ6PP</t>
  </si>
  <si>
    <t>Euronext Eurozone 60 PAB</t>
  </si>
  <si>
    <t>FRESG0000488</t>
  </si>
  <si>
    <t>BIOE4</t>
  </si>
  <si>
    <t>EN Euro LC Biodiversity Leaders 30 D4%</t>
  </si>
  <si>
    <t>FRESG0000322</t>
  </si>
  <si>
    <t>FRESG0000470</t>
  </si>
  <si>
    <t>FREMG</t>
  </si>
  <si>
    <t>Euronext French Employment 40 EW GR</t>
  </si>
  <si>
    <t>FRESG0000454</t>
  </si>
  <si>
    <t>FRESG0000462</t>
  </si>
  <si>
    <t>FREMN</t>
  </si>
  <si>
    <t>Euronext French Employment 40 EW NR</t>
  </si>
  <si>
    <t>FREMP</t>
  </si>
  <si>
    <t>Euronext French Employment 40 EW</t>
  </si>
  <si>
    <t>FRESG0000447</t>
  </si>
  <si>
    <t>EBST5</t>
  </si>
  <si>
    <t>EN ESG Biodiv Screen Transatl 80 D 5%</t>
  </si>
  <si>
    <t>FRESG0000413</t>
  </si>
  <si>
    <t>FRESG0000439</t>
  </si>
  <si>
    <t>EBST4</t>
  </si>
  <si>
    <t>EN ESG Biodiv Screen Transatl 80 D 4%</t>
  </si>
  <si>
    <t>FRESG0000421</t>
  </si>
  <si>
    <t>EBSTG</t>
  </si>
  <si>
    <t>EN ESG Biodiv Screen Transatl 80 GR</t>
  </si>
  <si>
    <t>FRESG0000405</t>
  </si>
  <si>
    <t>EBSTN</t>
  </si>
  <si>
    <t>EN ESG Biodiv Screen Transatl 80 NR</t>
  </si>
  <si>
    <t>EBSTP</t>
  </si>
  <si>
    <t>EN ESG Biodiv Screen Transatl 80</t>
  </si>
  <si>
    <t>EBLPN</t>
  </si>
  <si>
    <t>Euronext ESG Eurozone Biodiversity Leaders PAB NR</t>
  </si>
  <si>
    <t>FRESG0000371</t>
  </si>
  <si>
    <t>FRESG0000389</t>
  </si>
  <si>
    <t>EBLPG</t>
  </si>
  <si>
    <t>Euronext ESG Eurozone Biodiversity Leaders PAB GR</t>
  </si>
  <si>
    <t>EBLPP</t>
  </si>
  <si>
    <t>Euronext ESG Eurozone Biodiversity Leaders PAB</t>
  </si>
  <si>
    <t>FRESG0000355</t>
  </si>
  <si>
    <t>WCAMG</t>
  </si>
  <si>
    <t>Euronext World Sustainable and Climate Screen GR</t>
  </si>
  <si>
    <t>FRESG0000348</t>
  </si>
  <si>
    <t>WCAMP</t>
  </si>
  <si>
    <t>Euronext World Sustainability and Climate Screened</t>
  </si>
  <si>
    <t>FRESG0000330</t>
  </si>
  <si>
    <t>BIOEZ</t>
  </si>
  <si>
    <t>EN Euro LC Biodiversity Leaders 30 D5%</t>
  </si>
  <si>
    <t>BIOEN</t>
  </si>
  <si>
    <t>EN Euro LC Biodiversity Leaders 30 NR</t>
  </si>
  <si>
    <t>FRESG0000306</t>
  </si>
  <si>
    <t>FRESG0000314</t>
  </si>
  <si>
    <t>BIOEG</t>
  </si>
  <si>
    <t>EN Euro LC Biodiversity Leaders 30 GR</t>
  </si>
  <si>
    <t>BIOEP</t>
  </si>
  <si>
    <t>EN Euro LC Biodiversity Leaders 30</t>
  </si>
  <si>
    <t>FRESG0000298</t>
  </si>
  <si>
    <t>UC3EN</t>
  </si>
  <si>
    <t>EN US Screened Climate Amb 35 EW NR EUR</t>
  </si>
  <si>
    <t>FRESG0000272</t>
  </si>
  <si>
    <t>FRESG0000280</t>
  </si>
  <si>
    <t>UC3EG</t>
  </si>
  <si>
    <t>EN US Screened Climate Amb 35 EW GR EUR</t>
  </si>
  <si>
    <t>UC3PE</t>
  </si>
  <si>
    <t>EN US Screened Climate Amb 35 EW EUR</t>
  </si>
  <si>
    <t>FRESG0000264</t>
  </si>
  <si>
    <t>USC3N</t>
  </si>
  <si>
    <t>EN US Screened Climate Ambition 35 EW NR</t>
  </si>
  <si>
    <t>FRESG0000249</t>
  </si>
  <si>
    <t>FRESG0000256</t>
  </si>
  <si>
    <t>USC3G</t>
  </si>
  <si>
    <t>EN US Screened Climate Ambition 35 EW GR</t>
  </si>
  <si>
    <t>USC3P</t>
  </si>
  <si>
    <t>EN US Screened Climate Ambition 35 EW</t>
  </si>
  <si>
    <t>FRESG0000231</t>
  </si>
  <si>
    <t>JPCEN</t>
  </si>
  <si>
    <t>EN JPN Screened Climate Amb 30 EW NR EUR</t>
  </si>
  <si>
    <t>FRESG0000215</t>
  </si>
  <si>
    <t>FRESG0000223</t>
  </si>
  <si>
    <t>JPCEG</t>
  </si>
  <si>
    <t>EN JPN Screened Climate Amb 30 EW GR EUR</t>
  </si>
  <si>
    <t>JPCLE</t>
  </si>
  <si>
    <t>EN JPN Screened Climate Amb 30 EW EUR</t>
  </si>
  <si>
    <t>FRESG0000207</t>
  </si>
  <si>
    <t>JPCLN</t>
  </si>
  <si>
    <t>EN JPN Screened Climate Ambition 30 EW NR</t>
  </si>
  <si>
    <t>FRESG0000181</t>
  </si>
  <si>
    <t>FRESG0000199</t>
  </si>
  <si>
    <t>JPCLG</t>
  </si>
  <si>
    <t>EN JPN Screened Climate Ambition 30 EW GR</t>
  </si>
  <si>
    <t>JPCLA</t>
  </si>
  <si>
    <t>EN JPN Screened Climate Ambition 30 EW</t>
  </si>
  <si>
    <t>FRESG0000173</t>
  </si>
  <si>
    <t>LC3WD</t>
  </si>
  <si>
    <t>Euronext Low Carbon 300 World D3.5%</t>
  </si>
  <si>
    <t>FRESG0000165</t>
  </si>
  <si>
    <t>EBSNW</t>
  </si>
  <si>
    <t>EN ESG Biodiversity Screened Wld NR USD</t>
  </si>
  <si>
    <t>FRESG0000140</t>
  </si>
  <si>
    <t>US74834L1008</t>
  </si>
  <si>
    <t>FRESG0000157</t>
  </si>
  <si>
    <t>EBSGW</t>
  </si>
  <si>
    <t>EN ESG Biodiversity Screened Wld GR USD</t>
  </si>
  <si>
    <t>EBSPW</t>
  </si>
  <si>
    <t>EN ESG Biodiversity Screened Wld USD</t>
  </si>
  <si>
    <t>FRESG0000132</t>
  </si>
  <si>
    <t>EBSE5</t>
  </si>
  <si>
    <t>EN ESG Biodiversity Screened EZ 50 D5%</t>
  </si>
  <si>
    <t>FRESG0000108</t>
  </si>
  <si>
    <t>FRESG0000124</t>
  </si>
  <si>
    <t>EBSE4</t>
  </si>
  <si>
    <t>EN ESG Biodiversity Screened EZ 50 D4%</t>
  </si>
  <si>
    <t>FRESG0000116</t>
  </si>
  <si>
    <t>EBSEG</t>
  </si>
  <si>
    <t>EN ESG Biodiversity Screened EZ 50 GR</t>
  </si>
  <si>
    <t>FRESG0000090</t>
  </si>
  <si>
    <t>EBSEN</t>
  </si>
  <si>
    <t>EN ESG Biodiversity Screened EZ 50 NR</t>
  </si>
  <si>
    <t>EBSEP</t>
  </si>
  <si>
    <t>EN ESG Biodiversity Screened EZ 50</t>
  </si>
  <si>
    <t>FRESG0000082</t>
  </si>
  <si>
    <t>EBSWG</t>
  </si>
  <si>
    <t>EN ESG Biodiversity Screened World GR</t>
  </si>
  <si>
    <t>FRESG0000066</t>
  </si>
  <si>
    <t>FRESG0000074</t>
  </si>
  <si>
    <t>EBSWN</t>
  </si>
  <si>
    <t>EN ESG Biodiversity Screened World NR</t>
  </si>
  <si>
    <t>EBSWP</t>
  </si>
  <si>
    <t>EN ESG Biodiversity Screened World</t>
  </si>
  <si>
    <t>FRESG0000033</t>
  </si>
  <si>
    <t>GHCD5</t>
  </si>
  <si>
    <t>Euronext Global Health Care 50 EW ESG Decrement 5%</t>
  </si>
  <si>
    <t>FRESG0000017</t>
  </si>
  <si>
    <t>FRESG0000025</t>
  </si>
  <si>
    <t>GHCGR</t>
  </si>
  <si>
    <t>Euronext Global Health Care 50 EW ESG GR</t>
  </si>
  <si>
    <t>FRESG0000009</t>
  </si>
  <si>
    <t>GHCNR</t>
  </si>
  <si>
    <t>Euronext Global Health Care 50 EW ESG NR</t>
  </si>
  <si>
    <t>GHCPR</t>
  </si>
  <si>
    <t>Euronext Global Health Care 50 EW ESG</t>
  </si>
  <si>
    <t>FRCLIM000346</t>
  </si>
  <si>
    <t>PT450</t>
  </si>
  <si>
    <t>Euronext PAB Transatlantic 40 D50 Points</t>
  </si>
  <si>
    <t>FRCLIM000320</t>
  </si>
  <si>
    <t>FRCLIM000338</t>
  </si>
  <si>
    <t>PT4D5</t>
  </si>
  <si>
    <t>Euronext PAB Transatlantic 40 D5%</t>
  </si>
  <si>
    <t>FRCLIM000312</t>
  </si>
  <si>
    <t>PBT4G</t>
  </si>
  <si>
    <t>Euronext PAB Transatlantic 40 GR</t>
  </si>
  <si>
    <t>FRCLIM000304</t>
  </si>
  <si>
    <t>PBT4N</t>
  </si>
  <si>
    <t>Euronext PAB Transatlantic 40 NR</t>
  </si>
  <si>
    <t>PBT4P</t>
  </si>
  <si>
    <t>Euronext PAB Transatlantic 40</t>
  </si>
  <si>
    <t>FRCLIM000296</t>
  </si>
  <si>
    <t>PBT50</t>
  </si>
  <si>
    <t>Euronext PAB Transatlantic 60 D50</t>
  </si>
  <si>
    <t>FRCLIM000270</t>
  </si>
  <si>
    <t>FRCLIM000288</t>
  </si>
  <si>
    <t>PBT5D</t>
  </si>
  <si>
    <t>Euronext PAB Transatlantic 60 D5%</t>
  </si>
  <si>
    <t>FRCLIM000262</t>
  </si>
  <si>
    <t>PBTAG</t>
  </si>
  <si>
    <t>Euronext PAB Transatlantic 60 GR</t>
  </si>
  <si>
    <t>FRCLIM000254</t>
  </si>
  <si>
    <t>PBTAN</t>
  </si>
  <si>
    <t>Euronext PAB Transatlantic 60 NR</t>
  </si>
  <si>
    <t>PBTAP</t>
  </si>
  <si>
    <t>Euronext PAB Transatlantic 60</t>
  </si>
  <si>
    <t>FRCLIM000221</t>
  </si>
  <si>
    <t>PABTG</t>
  </si>
  <si>
    <t>Euronext PAB Transatlantic 50 GR</t>
  </si>
  <si>
    <t>FRCLIM000205</t>
  </si>
  <si>
    <t>FRCLIM000213</t>
  </si>
  <si>
    <t>PABTN</t>
  </si>
  <si>
    <t>Euronext PAB Transatlantic 50 NR</t>
  </si>
  <si>
    <t>PABTP</t>
  </si>
  <si>
    <t>Euronext PAB Transatlantic 50</t>
  </si>
  <si>
    <t>GSCDG</t>
  </si>
  <si>
    <t>EN Global Sust and Cl Screened DR GR</t>
  </si>
  <si>
    <t>FRCLIM000189</t>
  </si>
  <si>
    <t>GSCDP</t>
  </si>
  <si>
    <t>EN Global Sust and Cl Screened DR</t>
  </si>
  <si>
    <t>FRCLIM000171</t>
  </si>
  <si>
    <t>PABU5</t>
  </si>
  <si>
    <t>Euronext PAB North America 50 Decrement 5%</t>
  </si>
  <si>
    <t>FRCLIM000155</t>
  </si>
  <si>
    <t>FRCLIM000163</t>
  </si>
  <si>
    <t>PABUG</t>
  </si>
  <si>
    <t>Euronext PAB North America 50 GR</t>
  </si>
  <si>
    <t>FRCLIM000148</t>
  </si>
  <si>
    <t>PABUN</t>
  </si>
  <si>
    <t>Euronext PAB North America 50 NR</t>
  </si>
  <si>
    <t>PABUP</t>
  </si>
  <si>
    <t>Euronext PAB North America 50</t>
  </si>
  <si>
    <t>FRCLIM000130</t>
  </si>
  <si>
    <t>TPAB5</t>
  </si>
  <si>
    <t>EN Transatlantic PAB 50 Decrement 5%</t>
  </si>
  <si>
    <t>FRCLIM000114</t>
  </si>
  <si>
    <t>FRCLIM000122</t>
  </si>
  <si>
    <t>TPABG</t>
  </si>
  <si>
    <t>EN Transatlantic PAB 50 GR</t>
  </si>
  <si>
    <t>FRCLIM000106</t>
  </si>
  <si>
    <t>TPABN</t>
  </si>
  <si>
    <t>EN Transatlantic PAB 50 NR</t>
  </si>
  <si>
    <t>TPABP</t>
  </si>
  <si>
    <t>EN Transatlantic PAB 50</t>
  </si>
  <si>
    <t>FRCLIM000056</t>
  </si>
  <si>
    <t>PFLCW</t>
  </si>
  <si>
    <t>EN Low Carbon 300 World PAB Proforma</t>
  </si>
  <si>
    <t>FRCLIM000049</t>
  </si>
  <si>
    <t>PFLCE</t>
  </si>
  <si>
    <t>EN Low Carbon 100 Eurozone PAB Proforma</t>
  </si>
  <si>
    <t>FRCLIM000031</t>
  </si>
  <si>
    <t>PFLC1</t>
  </si>
  <si>
    <t>Low Carbon 100 Europe PAB Proforma</t>
  </si>
  <si>
    <t>FRCLIM000023</t>
  </si>
  <si>
    <t>PFEBL</t>
  </si>
  <si>
    <t>EN ESG EZ Biodiversity Lead PAB Proforma</t>
  </si>
  <si>
    <t>DUMMY00000US</t>
  </si>
  <si>
    <t>DUMUS</t>
  </si>
  <si>
    <t>DUMMY INDEX US</t>
  </si>
  <si>
    <t>DUMMY00000EU</t>
  </si>
  <si>
    <t>DUMEU</t>
  </si>
  <si>
    <t>DUMMY INDEX EU</t>
  </si>
  <si>
    <t>DUMMY00DUUSC</t>
  </si>
  <si>
    <t>DUUSC</t>
  </si>
  <si>
    <t>DUMMY INDEX USD</t>
  </si>
  <si>
    <t>BELS</t>
  </si>
  <si>
    <t>BEL Small</t>
  </si>
  <si>
    <t>BE0389556045</t>
  </si>
  <si>
    <t>BELM</t>
  </si>
  <si>
    <t>BEL Mid</t>
  </si>
  <si>
    <t>BE0389561094</t>
  </si>
  <si>
    <t>BELMC</t>
  </si>
  <si>
    <t>BEL Mid NR</t>
  </si>
  <si>
    <t>BE0389558066</t>
  </si>
  <si>
    <t>BEL2P</t>
  </si>
  <si>
    <t>BEL 20 NR</t>
  </si>
  <si>
    <t>BE0389555039</t>
  </si>
  <si>
    <t>BE0389557050</t>
  </si>
  <si>
    <t>BEL2I</t>
  </si>
  <si>
    <t>BEL 20 GR</t>
  </si>
  <si>
    <t>BELSC</t>
  </si>
  <si>
    <t>BEL Small NR</t>
  </si>
  <si>
    <t>BEL20</t>
  </si>
  <si>
    <t>BEL 20</t>
  </si>
  <si>
    <t>BELCU</t>
  </si>
  <si>
    <t>BEL Continuous Stocks Index NR</t>
  </si>
  <si>
    <t>BE0389550956</t>
  </si>
  <si>
    <t>BELAR</t>
  </si>
  <si>
    <t>BEL All-Share Index NR</t>
  </si>
  <si>
    <t>BE0389549941</t>
  </si>
  <si>
    <t>BELAS</t>
  </si>
  <si>
    <t>BEL All-Share Index</t>
  </si>
  <si>
    <t>BE03895BEL20</t>
  </si>
  <si>
    <t>BREUT</t>
  </si>
  <si>
    <t>BEL 20 RT</t>
  </si>
  <si>
    <t>BE03895BEL2P</t>
  </si>
  <si>
    <t>BREUN</t>
  </si>
  <si>
    <t>BEL 20 NET RT</t>
  </si>
  <si>
    <t>BE03895BEL2I</t>
  </si>
  <si>
    <t>BREUG</t>
  </si>
  <si>
    <t>BEL 20 GROSS RT</t>
  </si>
  <si>
    <t>BE038INBEL20</t>
  </si>
  <si>
    <t>BE038955503I</t>
  </si>
  <si>
    <t>BIRUT</t>
  </si>
  <si>
    <t>BEL 20 REUT INTERN</t>
  </si>
  <si>
    <t>BE038955705I</t>
  </si>
  <si>
    <t>BE038955806I</t>
  </si>
  <si>
    <t>BE038INBEL2P</t>
  </si>
  <si>
    <t>BIRUN</t>
  </si>
  <si>
    <t>BEL 20 NET REUT INTERN</t>
  </si>
  <si>
    <t>BE038INBEL2I</t>
  </si>
  <si>
    <t>BIRUG</t>
  </si>
  <si>
    <t>BEL 20 GROSS REUT INTERN</t>
  </si>
  <si>
    <t>BE0004647880</t>
  </si>
  <si>
    <t>ESGBG</t>
  </si>
  <si>
    <t>BEL ESG GR</t>
  </si>
  <si>
    <t>BE0004645868</t>
  </si>
  <si>
    <t>BE0004646874</t>
  </si>
  <si>
    <t>ESGBN</t>
  </si>
  <si>
    <t>BEL ESG NR</t>
  </si>
  <si>
    <t>ESGBP</t>
  </si>
  <si>
    <t>BEL ESG</t>
  </si>
  <si>
    <t>BE0004644853</t>
  </si>
  <si>
    <t>BEREN</t>
  </si>
  <si>
    <t>BEL Real Estate NR</t>
  </si>
  <si>
    <t>BE0004643848</t>
  </si>
  <si>
    <t>BERE</t>
  </si>
  <si>
    <t>BEL Real Estate</t>
  </si>
  <si>
    <t>ESG Yes/No</t>
  </si>
  <si>
    <t>(Multiple Items)</t>
  </si>
  <si>
    <t>Yes</t>
  </si>
  <si>
    <t>Blue-Chip</t>
  </si>
  <si>
    <t>Total AUM per Index</t>
  </si>
  <si>
    <t>Classification</t>
  </si>
  <si>
    <t>Family Index</t>
  </si>
  <si>
    <t>Total AUM per Family Index</t>
  </si>
  <si>
    <t>Row Labels</t>
  </si>
  <si>
    <t>Sum of Total</t>
  </si>
  <si>
    <t>CAC</t>
  </si>
  <si>
    <t>CTB</t>
  </si>
  <si>
    <t>ESG</t>
  </si>
  <si>
    <t>ESG Other</t>
  </si>
  <si>
    <t>No</t>
  </si>
  <si>
    <t>CAC 40 NR</t>
  </si>
  <si>
    <t>Oslo Børs Benchmark and Mutual Fund</t>
  </si>
  <si>
    <t>PAB</t>
  </si>
  <si>
    <t>Oslo Børs Mutual Fund Index_GI</t>
  </si>
  <si>
    <t>Euronext V.E ESG World-Select 75 Bund SV</t>
  </si>
  <si>
    <t>(blank)</t>
  </si>
  <si>
    <t>CAC 40 GR</t>
  </si>
  <si>
    <t>Oslo Børs Benchmark Index_GI</t>
  </si>
  <si>
    <t>Euronext Single Stock Decrement</t>
  </si>
  <si>
    <t>Grand Total</t>
  </si>
  <si>
    <t>CAC All-Tradable NR</t>
  </si>
  <si>
    <t>CAC-EWE</t>
  </si>
  <si>
    <t>BEL</t>
  </si>
  <si>
    <t>SBF 120 NR</t>
  </si>
  <si>
    <t>SBF TOP 80 EW</t>
  </si>
  <si>
    <t>Euronext V.E ESG World-Select 75 Bund/SV</t>
  </si>
  <si>
    <t>Euronext Climate Objective 50 Euro EW</t>
  </si>
  <si>
    <t>Total</t>
  </si>
  <si>
    <t>CAC Large 60 EW ER</t>
  </si>
  <si>
    <t>Low Carbon 100 Europe PAB</t>
  </si>
  <si>
    <t>EN Climate Objective 50 Euro EW D5%</t>
  </si>
  <si>
    <t>LeverageShort indices</t>
  </si>
  <si>
    <t>Euronext G BNP 010622 Decrement 3.85</t>
  </si>
  <si>
    <t>Euronext CDP Environment Eurozone</t>
  </si>
  <si>
    <t>Administrator</t>
  </si>
  <si>
    <t>Oslo Børs Equity Certificate</t>
  </si>
  <si>
    <t>Euronext Amsterdam</t>
  </si>
  <si>
    <t>Euronext Brussels</t>
  </si>
  <si>
    <t>Euronext Water and Ocean Europe</t>
  </si>
  <si>
    <t>Euronext Dublin</t>
  </si>
  <si>
    <t>SBF Top 50 ESG EW Decrement 50 Points</t>
  </si>
  <si>
    <t>Euronext Core Euro and Global Climate</t>
  </si>
  <si>
    <t>Euronext Lisbon</t>
  </si>
  <si>
    <t>Euronext Euro 50 ESG EW Decrement 50 Points</t>
  </si>
  <si>
    <t>Euronext Transatlantic ESG Leaders</t>
  </si>
  <si>
    <t>Euronext Paris</t>
  </si>
  <si>
    <t>CAC Mid 60 NR</t>
  </si>
  <si>
    <t>Euronext Climate Orientation Priority 50 EW</t>
  </si>
  <si>
    <t>Oslo Børs</t>
  </si>
  <si>
    <t>Euronext CDP France Environment EW</t>
  </si>
  <si>
    <t>Euronext Core Europe EW</t>
  </si>
  <si>
    <t>Euronext CDP France Environnement</t>
  </si>
  <si>
    <t>Euronext Core Euro &amp; Global Climate Change EW Decrement 5%</t>
  </si>
  <si>
    <t>Euronext Transatlantic ESG Leaders 60 EW Decrement 5%</t>
  </si>
  <si>
    <t>CAC Large 60 Responsible Investment</t>
  </si>
  <si>
    <t>Euronext Water and Ocean Europe 40 EW Decrement 5% </t>
  </si>
  <si>
    <t>Euronext Europe Sustainable 100 EW</t>
  </si>
  <si>
    <t>Euronext CDP Environment Eurozone EW D5%</t>
  </si>
  <si>
    <t>Euronext Transatlantic Environment 50</t>
  </si>
  <si>
    <t>Euronext Transatlantic Sustainability and Climate Screened 60</t>
  </si>
  <si>
    <t>EN CDP Environment France EW Decrement 5%</t>
  </si>
  <si>
    <t>Euronext ESG Leaders Select 40 EW</t>
  </si>
  <si>
    <t>Euronext Core Europe 30 EW Decrement 5% NR</t>
  </si>
  <si>
    <t>Euronext France Energy Transition Leaders 40 EW</t>
  </si>
  <si>
    <t>Euronext G Societe Generale 010622 Decrement 1.65</t>
  </si>
  <si>
    <t>Euronext Tech</t>
  </si>
  <si>
    <t>CAC and Enternext PME and tech Index</t>
  </si>
  <si>
    <t>Euronext Eurozone ESG Leaders 40 EW Decrement 5%</t>
  </si>
  <si>
    <t>Euronext Eurozone 70 EW</t>
  </si>
  <si>
    <t>Euronext France Germany Leaders</t>
  </si>
  <si>
    <t>Euronext CDP France Environnement Decrement 5%</t>
  </si>
  <si>
    <t>Euronext Low Carbon World PAB</t>
  </si>
  <si>
    <t>Euronext Eurozone Diversity &amp; Governance 40 EW</t>
  </si>
  <si>
    <t>Euronext Growth</t>
  </si>
  <si>
    <t>Euronext World Sustainability and Climate Screened Decrement 50 Points</t>
  </si>
  <si>
    <t>Euronext CDP Environment Transatlantic EW</t>
  </si>
  <si>
    <t>CAC-DI</t>
  </si>
  <si>
    <t>CAC Large 60 RI SW Decrement 5%</t>
  </si>
  <si>
    <t>Euronext V.E Eurozone Social Focus</t>
  </si>
  <si>
    <t>Euronext G Credit Agricole 310523 Decrement 1.05 Index</t>
  </si>
  <si>
    <t>EN Europe Sustainable 100 EW Decrement 50 Points</t>
  </si>
  <si>
    <t>Euronext Transatlantic Environment 50 Decrement 5%</t>
  </si>
  <si>
    <t>Euronext CDP Environment ESG World</t>
  </si>
  <si>
    <t>CAC 40 Leverage GR</t>
  </si>
  <si>
    <t>Euronext Eurozone Energy Transition Leaders 50 EW</t>
  </si>
  <si>
    <t>Euronext Transatlantic Sustainability and Climate Screened 60 Decrement 50 Points</t>
  </si>
  <si>
    <t>Euronext France Climate Screened</t>
  </si>
  <si>
    <t>Euronext Global Sustainability and Climate Screened</t>
  </si>
  <si>
    <t>CAC 40 X2 Short GR</t>
  </si>
  <si>
    <t>Euronext Reitsmarket GRESB Global Sustainable</t>
  </si>
  <si>
    <t>Euronext G Engie 020523 Decrement 1.20</t>
  </si>
  <si>
    <t>Euronext CDP Environment ESG Eurozone</t>
  </si>
  <si>
    <t>Euronext Eurozone ESG Leaders Select 40 EW Decrement 5%</t>
  </si>
  <si>
    <t>Euronext Sovereign Economy Selection Eurozone 50</t>
  </si>
  <si>
    <t>Euronext G Stellantis 020522 Decrement 1.20 </t>
  </si>
  <si>
    <t>Euronext CDP Environment World</t>
  </si>
  <si>
    <t>Euronext BeNe 40 Index</t>
  </si>
  <si>
    <t>CAC 40 Short GR</t>
  </si>
  <si>
    <t>Euronext Euro Large Cap Biodiversity Leaders 30</t>
  </si>
  <si>
    <t>Enternext PEA-PME 150 Index GR</t>
  </si>
  <si>
    <t>Euronext Founding Members Europe 50 EW</t>
  </si>
  <si>
    <t>EN France Energy Transition Leaders 40 EW Decr 5%</t>
  </si>
  <si>
    <t>Euronext Eurozone 70 EW Decrement 5%</t>
  </si>
  <si>
    <t>Euronext Reitsmarket</t>
  </si>
  <si>
    <t>Euronext France Germany Leaders 50 EW Decrement 5%</t>
  </si>
  <si>
    <t>Euronext Low Carbon Eurozone PAB</t>
  </si>
  <si>
    <t>Euronext Eurozone Diversity &amp; Governance 40 EW Decrement 5%</t>
  </si>
  <si>
    <t>Euronext CDP Environment Transatlantic EW Decrement 5%</t>
  </si>
  <si>
    <t>CAC 40 X5 Leverage NR</t>
  </si>
  <si>
    <t>CAC-EW</t>
  </si>
  <si>
    <t>Euronext G Stellantis 040523 Decrement 1.34 Index</t>
  </si>
  <si>
    <t>Euronext G Orange 131221 Decrement 0.7</t>
  </si>
  <si>
    <t>Euronext ESG Biodiversity Screened World</t>
  </si>
  <si>
    <t>Euronext G Credit Agricole 010621 GR Decrement 0.9</t>
  </si>
  <si>
    <t>Euronext 100-150</t>
  </si>
  <si>
    <t>Euronext G Credit Agricole 010622 GR Decrement 0.84</t>
  </si>
  <si>
    <t>Euronext V.E Eurozone Social Focus Decrement 5%</t>
  </si>
  <si>
    <t>REIT Europe</t>
  </si>
  <si>
    <t>Euronext Eurozone Next 100 EW</t>
  </si>
  <si>
    <t>Euronext CDP Environment Eurozone EW Decrement 3.75%</t>
  </si>
  <si>
    <t>Euronext Transatlantic PAB 50</t>
  </si>
  <si>
    <t>Euronext G Eni SPA 010622 Decrement 0.91</t>
  </si>
  <si>
    <t>Euronext Green Planet F</t>
  </si>
  <si>
    <t>AEX-DI</t>
  </si>
  <si>
    <t>Euronext CDP Environment Eurozone EW Decrement 4% NR</t>
  </si>
  <si>
    <t>Euronext G Credit Agricole 010622 GR Decrement 0.8</t>
  </si>
  <si>
    <t>Euronext Single Stock Leverage and Short</t>
  </si>
  <si>
    <t>Euronext Eurozone ESG Leaders 40 EW Decrement 4%</t>
  </si>
  <si>
    <t>Euronext Developed North America Total Market </t>
  </si>
  <si>
    <t>Euronext Metaverse World</t>
  </si>
  <si>
    <t>Euronext Low Carbon 300 World 3.5% Decrement</t>
  </si>
  <si>
    <t>CAC-Gov</t>
  </si>
  <si>
    <t>Euronext ESG Eurozone Biodiversity Leaders PAB Decrement 3.5%</t>
  </si>
  <si>
    <t>AEX All-Share and Sector</t>
  </si>
  <si>
    <t>EN Eurozone Energy Transition Leaders 50 EW Decr 5</t>
  </si>
  <si>
    <t>CAC-EWJPY</t>
  </si>
  <si>
    <t>Euronext S Credit Agricole 070322 GR Decrement 1.05</t>
  </si>
  <si>
    <t>Euronext S Stellantis 030323 GR Decrement 1.34</t>
  </si>
  <si>
    <t>Euronext CDP Environment ESG World EW Decrement 5%</t>
  </si>
  <si>
    <t>Euronext VIGEO Benelux 20</t>
  </si>
  <si>
    <t>Euronext France Climate Screened Decrement 50 Points</t>
  </si>
  <si>
    <t>Euronext VIGEO Euro 120</t>
  </si>
  <si>
    <t>Euronext Global Sustainability and Climate Screened Decrement 50 Points</t>
  </si>
  <si>
    <t>Euronext G BNP 240523 Decrement 3.67 Index</t>
  </si>
  <si>
    <t>Euronext VIGEO Europe 120</t>
  </si>
  <si>
    <t>Euronext G Societe Generale 310523 Decrement 1.35 Index</t>
  </si>
  <si>
    <t>Euronext G BNP 010622 GR Decrement 3.5</t>
  </si>
  <si>
    <t>Euronext VIGEO France 20</t>
  </si>
  <si>
    <t>Euronext G Engie 020522 Decrement 1.0 </t>
  </si>
  <si>
    <t>Euronext VIGEO UK 20</t>
  </si>
  <si>
    <t>Euronext Helios Space</t>
  </si>
  <si>
    <t>Euronext G Stellantis 020522 Decrement 1.04 </t>
  </si>
  <si>
    <t>Euronext VIGEO US 50</t>
  </si>
  <si>
    <t>Euronext Wind and Solar World</t>
  </si>
  <si>
    <t>Euronext France Social Decrement 5%</t>
  </si>
  <si>
    <t>Euronext VIGEO World 120</t>
  </si>
  <si>
    <t>EN CDP Environment ESG Eurozone EW D5%</t>
  </si>
  <si>
    <t>Euronext G Societe Generale 261021 GR Decrement 1.80</t>
  </si>
  <si>
    <t>Euronext Transatlantic 50 EW</t>
  </si>
  <si>
    <t>Euronext G Klepierre 010622 Decrement 1.7</t>
  </si>
  <si>
    <t>Euronext France 40 Responsible Investment</t>
  </si>
  <si>
    <t>Euronext Sovereign Economy Selection Eurozone 50 Decrement 50 Points</t>
  </si>
  <si>
    <t>BEL All-Share and sector</t>
  </si>
  <si>
    <t>CAC 40 X3 Leverage NR</t>
  </si>
  <si>
    <t>Euronext Global Sustainability and Climate Screened DR</t>
  </si>
  <si>
    <t>Euronext CDP Environment World EW D5%</t>
  </si>
  <si>
    <t>Euronext BeNe 40 EW Excess Return</t>
  </si>
  <si>
    <t>Euronext Developed Asia Pacific Total Market </t>
  </si>
  <si>
    <t>Euronext G Orange 261021 GR Decrement 0.7</t>
  </si>
  <si>
    <t>Euronext Eurozone Mid and Large 60 EW</t>
  </si>
  <si>
    <t>Euronext Water and Ocean Europe 40 EW Decrement 4% </t>
  </si>
  <si>
    <t>Euronext G Sanofi 010623 Decrement 3.56</t>
  </si>
  <si>
    <t>Euronext G Kering 010622 Decrement 13.00</t>
  </si>
  <si>
    <t>Euronext G Engie 261021 GR Decrement 0.71</t>
  </si>
  <si>
    <t>EN FR NRG Transition Leaders 40 EW D3 5%</t>
  </si>
  <si>
    <t>Euronext G Societe Generale 261021 PR 1.80 </t>
  </si>
  <si>
    <t>Euronext Positive Impact Water Eurozone</t>
  </si>
  <si>
    <t>Euronext Euro Large Cap Biodiversity Leaders 30 Decrement 5%</t>
  </si>
  <si>
    <t>Euronext Expand All-share</t>
  </si>
  <si>
    <t>Euronext Equileap Gender Equality Eurozone 100</t>
  </si>
  <si>
    <t>CAC 40 X4 Leverage NR</t>
  </si>
  <si>
    <t>Euronext G Engie 030523 Decrement 1.10 Index</t>
  </si>
  <si>
    <t>Euronext NDR Hydrogen World</t>
  </si>
  <si>
    <t>Euronext Founding Members Europe 50 EW Decrement 5</t>
  </si>
  <si>
    <t>EN RM GRESB Global Sustainable Decrement</t>
  </si>
  <si>
    <t>Euronext Responsible Investment Euro 50 EW</t>
  </si>
  <si>
    <t>Euronext G Unibail Rodamco Westfield 270223 Decrement 4</t>
  </si>
  <si>
    <t>Euronext Europe SBT 1.5</t>
  </si>
  <si>
    <t>Euronext G BNP 261021 GR Decrement 3.3</t>
  </si>
  <si>
    <t>CAC-EXT</t>
  </si>
  <si>
    <t>Euronext CDP Environment ESG World EW</t>
  </si>
  <si>
    <t>EN RM GRESB Global Sustainable</t>
  </si>
  <si>
    <t>CAC-SynDiv</t>
  </si>
  <si>
    <t>Euronext G TotalEnergies 261021 GR Decrement 2.64</t>
  </si>
  <si>
    <t>Euronext CDP Environment France Ex Oil &amp; Gas EW</t>
  </si>
  <si>
    <t>Euronext G BNP 261021 GR Decrement 3.00</t>
  </si>
  <si>
    <t>Euronext Transatlantic Circular Economy 50 EW</t>
  </si>
  <si>
    <t>Euronext B Credit Agricole 170223 GR Decrement 0.9</t>
  </si>
  <si>
    <t>CAC Vol Bonus</t>
  </si>
  <si>
    <t>Euronext G Societe Generale 010623 Decrement 1.50</t>
  </si>
  <si>
    <t>CAC All-Share and sector</t>
  </si>
  <si>
    <t>Euronext Green Planet E Decrement 5%</t>
  </si>
  <si>
    <t>EN Climate Orientation Prior 50 EW 4 5%D</t>
  </si>
  <si>
    <t>Enternext PEA-PME 150 Index</t>
  </si>
  <si>
    <t>Euronext World Country Selection</t>
  </si>
  <si>
    <t>Euronext B Stellantis 140223 Decrement 1.04</t>
  </si>
  <si>
    <t>AEX-EW</t>
  </si>
  <si>
    <t>Euronext France ESG Leaders 40 EW D3 5%</t>
  </si>
  <si>
    <t>Euronext Biodiversité Climat Conviction PAB</t>
  </si>
  <si>
    <t>Euronext Top 30 France Germany Industrials EW</t>
  </si>
  <si>
    <t>Euronext Developed Europe Total Market </t>
  </si>
  <si>
    <t>Euronext Eurozone 150 EW Decrement 5%</t>
  </si>
  <si>
    <t>Oslo Børs Custom</t>
  </si>
  <si>
    <t>Euronext G Stellantis 030524 GR 1.55 Index</t>
  </si>
  <si>
    <t>Euronext Euro 50 SG EW</t>
  </si>
  <si>
    <t>Euronext Japan Total Market </t>
  </si>
  <si>
    <t>Euronext G Stellantis 030524 Decrement 1.55</t>
  </si>
  <si>
    <t>Oslo Børs Investable Sector</t>
  </si>
  <si>
    <t>Euronext S Stellantis 070322 GR Decrement 1.04</t>
  </si>
  <si>
    <t>Euronext France Next 40 EW</t>
  </si>
  <si>
    <t>Euronext G Saint Gobain 010722 Decrement 1.80</t>
  </si>
  <si>
    <t>Oslo Børs OBX Sector and All Share</t>
  </si>
  <si>
    <t>Euronext G Societe Generale 290524 Decrement 1.25 Index</t>
  </si>
  <si>
    <t>Oslo Børs Strong Sector</t>
  </si>
  <si>
    <t>Euronext G TotalEnergies 261021 GR Decrement 2.54</t>
  </si>
  <si>
    <t>Euronext G BNP 010622 GR 3.85</t>
  </si>
  <si>
    <t>Euronext Europe Pioneers 50 ESG EW</t>
  </si>
  <si>
    <t>Euronext G AXA 261021 GR Decrement 1.5</t>
  </si>
  <si>
    <t>Euronext G URW 270223 Decrement 3 50 Index</t>
  </si>
  <si>
    <t>Euronext G Engie 020523 Decrement 0.80</t>
  </si>
  <si>
    <t>Euronext Eurozone ESG Leaders Select 40</t>
  </si>
  <si>
    <t>Euronext CDP Water Eurozone EW Decrement 5%</t>
  </si>
  <si>
    <t>Euronext ESG Biodiversity Screened World NR USD</t>
  </si>
  <si>
    <t>Euronext Eurozone Screened Climate Ambition 40 EW</t>
  </si>
  <si>
    <t>CAC SBT 1.5</t>
  </si>
  <si>
    <t>Euronext CDP Environment ESG France EW</t>
  </si>
  <si>
    <t>Euronext G Bouygues 261021 GR Decrement 1.7</t>
  </si>
  <si>
    <t>Euronext Equileap Gender Equality France 40</t>
  </si>
  <si>
    <t>Euronext G Veolia 010622 Decrement 1.20</t>
  </si>
  <si>
    <t>Euronext France 20-40 Challengers EW</t>
  </si>
  <si>
    <t>Euronext Helios Space All-Share</t>
  </si>
  <si>
    <t>CAC 40 X7 Leverage NR</t>
  </si>
  <si>
    <t>Euronext NDR Web 3.0 World</t>
  </si>
  <si>
    <t>Euronext Eurozone Screened Climate Ambition 35 EW</t>
  </si>
  <si>
    <t>EN Eurozone Next 100 EW Decrement 5%</t>
  </si>
  <si>
    <t>Euronext Transatlantic PAB 50 Decrement 5%</t>
  </si>
  <si>
    <t>Euronext S Kering 070322 GR Decrement 12</t>
  </si>
  <si>
    <t>Euronext BeNeLux ESG Leaders 20 Decrement 4.5%</t>
  </si>
  <si>
    <t>Euronext US Screened Climate Ambition 25 EW</t>
  </si>
  <si>
    <t>CAC 40 X3 Short GR</t>
  </si>
  <si>
    <t>Euronext Eurozone SBT 1.5</t>
  </si>
  <si>
    <t>Euronext Green Planet France Decrement 5%</t>
  </si>
  <si>
    <t>ISEQ All-Share and sector</t>
  </si>
  <si>
    <t>CAC 40 Futures Monthly Roll 4D Excess Return</t>
  </si>
  <si>
    <t>Italia Leva</t>
  </si>
  <si>
    <t>CAC 40 X4 Short GR</t>
  </si>
  <si>
    <t>CAC 40 X10 Short GR</t>
  </si>
  <si>
    <t>Euronext BeNe 40 Index VT</t>
  </si>
  <si>
    <t>Euronext 3X Short MicroStrategy</t>
  </si>
  <si>
    <t>CAC 40 X15 Leverage NR</t>
  </si>
  <si>
    <t>Euronext ESG Biodiversity Screened Eurozone 50</t>
  </si>
  <si>
    <t>CAC 40 X15 Short GR</t>
  </si>
  <si>
    <t>CAC 40 X5 Short GR</t>
  </si>
  <si>
    <t>Euronext MTS EU</t>
  </si>
  <si>
    <t>CAC 40 X7 Short GR</t>
  </si>
  <si>
    <t>Euronext USA Total Market </t>
  </si>
  <si>
    <t>Euronext MTS EGB Finland GR</t>
  </si>
  <si>
    <t>Euronext Transatlantic Sectorial</t>
  </si>
  <si>
    <t>Euronext Developed World </t>
  </si>
  <si>
    <t>Euronext Invest In France Low Volatility GR</t>
  </si>
  <si>
    <t>Euronext World Hedged EUR</t>
  </si>
  <si>
    <t>AEX-EXT</t>
  </si>
  <si>
    <t>Euronext Transatlantic Telecommunications GR</t>
  </si>
  <si>
    <t>CAC-EWC</t>
  </si>
  <si>
    <t>LeverageShort VAR</t>
  </si>
  <si>
    <t>Euronext France Climate Screened NR Decrement 5%</t>
  </si>
  <si>
    <t>Euronext Aerospace and Defense</t>
  </si>
  <si>
    <t>Euronext MTS EGB 15-25 Year GR</t>
  </si>
  <si>
    <t>Euronext Eurozone 80 EW</t>
  </si>
  <si>
    <t>Euronext Global Health Care 50 EW ESG ER</t>
  </si>
  <si>
    <t>Euronext Canada Total Market </t>
  </si>
  <si>
    <t>Euronext MTS EGB Italy 3-5 Year GR</t>
  </si>
  <si>
    <t>Euronext ESG Biodiversity Screened Transatlantic 80</t>
  </si>
  <si>
    <t>Euronext Developed Asia Total Market </t>
  </si>
  <si>
    <t xml:space="preserve">Euronext Japan </t>
  </si>
  <si>
    <t>Euronext Developed Eurozone Total Market </t>
  </si>
  <si>
    <t>Euronext Eurozone Sectorial</t>
  </si>
  <si>
    <t>Euronext Developed Pacific Total Market </t>
  </si>
  <si>
    <t>Euronext Core Europe 30 ESG EW</t>
  </si>
  <si>
    <t>Euronext UK Total Market </t>
  </si>
  <si>
    <t xml:space="preserve">Euronext Developed Europe </t>
  </si>
  <si>
    <t>Euronext Invest In France Low Volatility</t>
  </si>
  <si>
    <t>Euronext MTS EGB</t>
  </si>
  <si>
    <t>Euronext MTS EGB 7-10 Year GR</t>
  </si>
  <si>
    <t>Euronext France ESG Leaders Select</t>
  </si>
  <si>
    <t>PSI All-Share and sector</t>
  </si>
  <si>
    <t>Euronext MTS EGB Italy 10-15 Year GR</t>
  </si>
  <si>
    <t>Euronext MTS EGB Portugal GR</t>
  </si>
  <si>
    <t>Euronext Switzerland Total Market </t>
  </si>
  <si>
    <t>Euronext G BNP 010622 PR 3.5</t>
  </si>
  <si>
    <t xml:space="preserve">Euronext Switzerland </t>
  </si>
  <si>
    <t>Euronext G Credit Agricole 310523 GR 1.05</t>
  </si>
  <si>
    <t>Euronext JPN Screened Climate Ambition 30 EW</t>
  </si>
  <si>
    <t>Euronext US Screened Climate Ambition 35 EW</t>
  </si>
  <si>
    <t xml:space="preserve">Euronext UK </t>
  </si>
  <si>
    <t xml:space="preserve">Euronext USA </t>
  </si>
  <si>
    <t>Euronext USA GR</t>
  </si>
  <si>
    <t>Euronext USA NR</t>
  </si>
  <si>
    <t>Euronext G BNP 310523 Decrement 4.00 Index</t>
  </si>
  <si>
    <t>Euronext Invest In France Low Volatility Decrement 3%</t>
  </si>
  <si>
    <t xml:space="preserve">Euronext Developed Eurozone </t>
  </si>
  <si>
    <t>Euronext Japan Total Market GR</t>
  </si>
  <si>
    <t>Euronext MTS EGB 1-3 Year GR</t>
  </si>
  <si>
    <t>Euronext G Scor 230524 Decrement 1.80 Index</t>
  </si>
  <si>
    <t>Euronext MTS EGB 3-5 Year GR</t>
  </si>
  <si>
    <t>Euronext MTS EGB Belgium GR</t>
  </si>
  <si>
    <t xml:space="preserve">Euronext Developed North America </t>
  </si>
  <si>
    <t>Euronext MTS EGB Germany GR</t>
  </si>
  <si>
    <t>Euronext MTS EGB Italy 15-25 Year GR</t>
  </si>
  <si>
    <t>Euronext MTS EGB Italy 7-10 Year GR</t>
  </si>
  <si>
    <t>Euronext MTS EGB The Netherlands GR</t>
  </si>
  <si>
    <t>Euronext PAB Transatlantic 40 Decrement 50 Points</t>
  </si>
  <si>
    <t>Euronext PAB Transatlantic 60 Decrement 5%</t>
  </si>
  <si>
    <t>Euronext G BNP 010622 GR 3.5</t>
  </si>
  <si>
    <t>Euronext Biodiversité Climat Conviction PAB Decrement 3.5%</t>
  </si>
  <si>
    <t>Euronext Biodiversité Climat Conviction PAB Decrement 5%</t>
  </si>
  <si>
    <t>Euronext Biodiversité Climat Conviction PAB GR</t>
  </si>
  <si>
    <t>Euronext G Societe Generale 310523 Decrement 1.30</t>
  </si>
  <si>
    <t>Euronext Biodiversité Climat Conviction PAB NR</t>
  </si>
  <si>
    <t>Euronext Canada Total Market GR</t>
  </si>
  <si>
    <t>Euronext Canada Total Market NR</t>
  </si>
  <si>
    <t>Euronext S Stellantis 280824 GR 1.2</t>
  </si>
  <si>
    <t>Euronext Developed Asia Pacific Total Market GR</t>
  </si>
  <si>
    <t>Euronext Developed Asia Pacific Total Market NR</t>
  </si>
  <si>
    <t>Euronext Developed Asia Total Market GR</t>
  </si>
  <si>
    <t>Euronext Transatlantic Telecommunications PR</t>
  </si>
  <si>
    <t>Euronext Developed Asia Total Market NR</t>
  </si>
  <si>
    <t>Euronext UK Total Market GR</t>
  </si>
  <si>
    <t>Euronext Developed Europe Total Market GR</t>
  </si>
  <si>
    <t>Euronext USA Total Market GR</t>
  </si>
  <si>
    <t>Euronext Developed Europe Total Market NR</t>
  </si>
  <si>
    <t>Euronext Developed Eurozone Total Market GR</t>
  </si>
  <si>
    <t>Euronext Developed Eurozone Total Market NR</t>
  </si>
  <si>
    <t>Euronext Developed North America Total Market GR</t>
  </si>
  <si>
    <t>Euronext Developed North America Total Market NR</t>
  </si>
  <si>
    <t>Euronext Invest In France Low Volatility Decrement 3.5%</t>
  </si>
  <si>
    <t>Euronext Developed Pacific Total Market GR</t>
  </si>
  <si>
    <t>Euronext Invest In France Low Volatility NR</t>
  </si>
  <si>
    <t>Euronext Developed Pacific Total Market NR</t>
  </si>
  <si>
    <t>Euronext Japan Total Market NR</t>
  </si>
  <si>
    <t>Euronext MTS EGB 10-15 Year GR</t>
  </si>
  <si>
    <t>Euronext MTS EGB 15+ Year GR</t>
  </si>
  <si>
    <t>Euronext Earth Focus 40 Decrement 3.5%</t>
  </si>
  <si>
    <t>Euronext MTS EGB 25+ Year GR</t>
  </si>
  <si>
    <t>Euronext MTS EGB 5-7 Year GR</t>
  </si>
  <si>
    <t>Euronext MTS EGB Austria GR</t>
  </si>
  <si>
    <t>Euronext Earth Focus 40 GR Decrement 50 Points</t>
  </si>
  <si>
    <t>Euronext MTS EGB Broad GR</t>
  </si>
  <si>
    <t>Euronext MTS EGB France GR</t>
  </si>
  <si>
    <t>Euronext Earth Focus 40 NR Decrement 50 Points </t>
  </si>
  <si>
    <t>Euronext MTS EGB Ireland GR</t>
  </si>
  <si>
    <t>Euronext ESG Eurozone Biodiversity Leaders PAB Decrement 5%</t>
  </si>
  <si>
    <t>Euronext MTS EGB Italy 1-3 Year GR</t>
  </si>
  <si>
    <t>Euronext MTS EGB Italy 25+ Year GR</t>
  </si>
  <si>
    <t>Euronext Europe Luxury Decrement 3.5%</t>
  </si>
  <si>
    <t>Euronext MTS EGB Italy 5-7 Year GR</t>
  </si>
  <si>
    <t>Euronext Europe Luxury Decrement 5%</t>
  </si>
  <si>
    <t>Euronext MTS EGB Italy GR</t>
  </si>
  <si>
    <t>Euronext Europe Luxury Decrement 50 Points</t>
  </si>
  <si>
    <t>Euronext MTS EGB Spain GR</t>
  </si>
  <si>
    <t>Euronext MTS EU GR</t>
  </si>
  <si>
    <t>Euronext PAB Transatlantic 40 Decrement 5%</t>
  </si>
  <si>
    <t>Euronext Eurozone 60 PAB Decrement 50 Points</t>
  </si>
  <si>
    <t>Euronext Eurozone PAB 50 Decrement 50 Points</t>
  </si>
  <si>
    <t>Euronext PAB Transatlantic 60 Decrement 50</t>
  </si>
  <si>
    <t>Euronext Eurozone Consumer Discretionary GR</t>
  </si>
  <si>
    <t>Euronext Eurozone Consumer Discretionary NR</t>
  </si>
  <si>
    <t>Euronext Eurozone Consumer Discretionary PR</t>
  </si>
  <si>
    <t>Euronext G Credit Agricole 310523 PR 1.05</t>
  </si>
  <si>
    <t>Euronext G Engie 030523 PR 1 10</t>
  </si>
  <si>
    <t>Euronext 3X Long MicroStrategy</t>
  </si>
  <si>
    <t>Euronext MicroStrategy</t>
  </si>
  <si>
    <t>Euronext Switzerland Total Market NR</t>
  </si>
  <si>
    <t>Euronext Transatlantic Basic Materials GR</t>
  </si>
  <si>
    <t>Euronext Transatlantic Basic Materials PR</t>
  </si>
  <si>
    <t xml:space="preserve">Euronext S Stellantis 280824 Decrement 1.2 </t>
  </si>
  <si>
    <t>Euronext Transatlantic Consumer Discretionary NR</t>
  </si>
  <si>
    <t>Euronext S Stellantis 280824 PR 1.2</t>
  </si>
  <si>
    <t>Euronext Transatlantic Consumer Staples GR</t>
  </si>
  <si>
    <t>Euronext Transatlantic Consumer Staples PR</t>
  </si>
  <si>
    <t>Euronext Switzerland Total Market GR</t>
  </si>
  <si>
    <t>Euronext Transatlantic Basic Materials NR</t>
  </si>
  <si>
    <t>Euronext Transatlantic Consumer Discretionary GR</t>
  </si>
  <si>
    <t>Euronext Transatlantic Consumer Discretionary PR</t>
  </si>
  <si>
    <t>Euronext Transatlantic Consumer Staples NR</t>
  </si>
  <si>
    <t>Euronext Transatlantic Telecommunications NR</t>
  </si>
  <si>
    <t xml:space="preserve">Euronext Eurozone Small Cap </t>
  </si>
  <si>
    <t>Euronext Eurozone Small Cap  GR</t>
  </si>
  <si>
    <t>Euronext Eurozone Small Cap  NR</t>
  </si>
  <si>
    <t>Euronext UK Total Market NR</t>
  </si>
  <si>
    <t>Euronext US Consumer Tech Energy Dec 50 Points</t>
  </si>
  <si>
    <t>Euronext USA Total Market NR</t>
  </si>
  <si>
    <t>Euronext World Invest In France 40 Decrement 5%</t>
  </si>
  <si>
    <t>Euronext G Veolia 010622 PR 1.20</t>
  </si>
  <si>
    <t>Euronext G Credit Agricole 010622 PR 0.84</t>
  </si>
  <si>
    <t>Euronext S ENI 070322 GR Decrement 0.87</t>
  </si>
  <si>
    <t>Euronext G Societe Generale 010622 GR 1.95</t>
  </si>
  <si>
    <t>Euronext S ArcelorMittal 070322 GR Decrement 0.35</t>
  </si>
  <si>
    <t>Euronext S Bouygues 030323 GR Decrement 1.80</t>
  </si>
  <si>
    <t>Euronext Europe SBT 1.5 GR Decrement 3.75%</t>
  </si>
  <si>
    <t>Euronext G AXA 010622 Decrement 1.80</t>
  </si>
  <si>
    <t>Euronext S BNP 070322 GR Decrement 3.47</t>
  </si>
  <si>
    <t>Euronext G TotalEnergies 240323 Decrement 2.85</t>
  </si>
  <si>
    <t>Euronext M Saint Gobain 28042023 GR Decrement 2.00</t>
  </si>
  <si>
    <t>AEX ESG </t>
  </si>
  <si>
    <t>Euronext S Carrefour 070322 GR Decrement 0.52</t>
  </si>
  <si>
    <t>Euronext G Stellantis 020522 GR 1.20</t>
  </si>
  <si>
    <t>Euronext S BNP 030323 GR 3.9</t>
  </si>
  <si>
    <t>Euronext S ING 070322 GR Decrement 0.66</t>
  </si>
  <si>
    <t>Euronext Europe SBT 1.5 NR Decrement 3.75%</t>
  </si>
  <si>
    <t>Euronext Eurozone SBT 1.5 GR</t>
  </si>
  <si>
    <t>Euronext Eurozone SBT 1.5 NR</t>
  </si>
  <si>
    <t>Euronext Global Climate and Sustainability Screened Decrement 50 Points</t>
  </si>
  <si>
    <t>AEX ESG NR </t>
  </si>
  <si>
    <t>Euronext G Unibail Rodamco Westfield 270223 GR 4.30</t>
  </si>
  <si>
    <t>Euronext S Engie 14042023 PR 1.23</t>
  </si>
  <si>
    <t>Euronext Transatlantic PAB 50 NR</t>
  </si>
  <si>
    <t>Euronext G Societe Generale 010622 Decrement 1.95</t>
  </si>
  <si>
    <t>Euronext G Societe Generale 010622 PR 1.95</t>
  </si>
  <si>
    <t>Euronext S AXA 030323 GR Decrement 1.70</t>
  </si>
  <si>
    <t>Euronext S BNP 030323 PR 3.9</t>
  </si>
  <si>
    <t>Euronext S Total 030323 GR Decrement 2.86</t>
  </si>
  <si>
    <t>Euronext Wind and Solar World NR</t>
  </si>
  <si>
    <t>Euronext Europe SBT 1.5 GR Decrement 5%</t>
  </si>
  <si>
    <t>Euronext Europe SBT 1.5 NR Decrement 5%</t>
  </si>
  <si>
    <t>Euronext Eurozone SBT 1.5 GR Decrement 4%</t>
  </si>
  <si>
    <t>Euronext Eurozone SBT 1.5 NR Decrement 4%</t>
  </si>
  <si>
    <t>Euronext Metaverse World GR</t>
  </si>
  <si>
    <t>Euronext G AXA 010622 PR 1.80</t>
  </si>
  <si>
    <t>Euronext CDP France Environnement GR</t>
  </si>
  <si>
    <t>Euronext G Credit Agricole 010622 GR 0.84</t>
  </si>
  <si>
    <t>Euronext CDP France Environnement NR</t>
  </si>
  <si>
    <t>AEX ESG GR </t>
  </si>
  <si>
    <t>Euronext Environmental Goods and Services Eurozone GR</t>
  </si>
  <si>
    <t>Euronext G TotalEnergies 240323 PR 2.85</t>
  </si>
  <si>
    <t>Euronext Environmental Goods and Services Eurozone NR</t>
  </si>
  <si>
    <t>Euronext M Engie 28022023 GR Decrement 1.40</t>
  </si>
  <si>
    <t>Euronext S Safran 070322 GR Decrement 0.5</t>
  </si>
  <si>
    <t>Euronext Global Sustainability and Climate Screened GR</t>
  </si>
  <si>
    <t>Euronext S Engie 14042023 GR 1.23</t>
  </si>
  <si>
    <t>Euronext Positive Impact Water Eurozone GR</t>
  </si>
  <si>
    <t>Euronext Positive Impact Water Eurozone NR</t>
  </si>
  <si>
    <t xml:space="preserve">Euronext Canada </t>
  </si>
  <si>
    <t>Euronext S Shell 070322 GR Decrement 0.91</t>
  </si>
  <si>
    <t>Euronext G Credit Agricole 010622 GR 0.8</t>
  </si>
  <si>
    <t>Euronext G Societe Generale 010622 GR 1.65</t>
  </si>
  <si>
    <t>Euronext G Credit Agricole 010622 PR 0.8</t>
  </si>
  <si>
    <t>Euronext G Societe Generale 010622 PR 1.65</t>
  </si>
  <si>
    <t>Euronext G Stellantis 020522 PR 1.20 </t>
  </si>
  <si>
    <t>Euronext S AXA 030323 GR 1.70</t>
  </si>
  <si>
    <t>CAC SBT 1.5 GR</t>
  </si>
  <si>
    <t>Euronext S AXA 030323 PR 1.70</t>
  </si>
  <si>
    <t>CAC SBT 1.5 GR Decrement 3.75%</t>
  </si>
  <si>
    <t>Euronext S BNP 030323 GR Decrement 3.9</t>
  </si>
  <si>
    <t>CAC SBT 1.5 GR Decrement 4%</t>
  </si>
  <si>
    <t>Euronext S Bouygues 030323 GR 1.80</t>
  </si>
  <si>
    <t>CAC SBT 1.5 GR Decrement 5%</t>
  </si>
  <si>
    <t>Euronext S Bouygues 030323 PR 1.80</t>
  </si>
  <si>
    <t>CAC SBT 1.5 NR</t>
  </si>
  <si>
    <t>CAC SBT 1.5 NR Decrement 3.75%</t>
  </si>
  <si>
    <t>Euronext S Total 030323 GR 2.86</t>
  </si>
  <si>
    <t>CAC SBT 1.5 NR Decrement 4%</t>
  </si>
  <si>
    <t>Euronext S Total 030323 PR 2.86</t>
  </si>
  <si>
    <t>CAC SBT 1.5 NR Decrement 5%</t>
  </si>
  <si>
    <t>Euronext Wind and Solar World GR</t>
  </si>
  <si>
    <t>Euronext Equileap Gender Equality Eurozone 100 GR</t>
  </si>
  <si>
    <t>Euronext Equileap Gender Equality Eurozone 100 NR</t>
  </si>
  <si>
    <t>Euronext Europe SBT 1.5 GR</t>
  </si>
  <si>
    <t>Euronext Europe SBT 1.5 GR Decrement 4%</t>
  </si>
  <si>
    <t>Euronext Equileap Gender Equality France 40 GR</t>
  </si>
  <si>
    <t>Euronext Europe SBT 1.5 NR</t>
  </si>
  <si>
    <t>Euronext Equileap Gender Equality France 40 NR</t>
  </si>
  <si>
    <t>Euronext Europe SBT 1.5 NR Decrement 4%</t>
  </si>
  <si>
    <t>Euronext Helios Space GR</t>
  </si>
  <si>
    <t>Euronext Eurozone SBT 1.5 GR Decrement 3.75%</t>
  </si>
  <si>
    <t>Euronext Helios Space NR</t>
  </si>
  <si>
    <t>Euronext Eurozone SBT 1.5 GR Decrement 5%</t>
  </si>
  <si>
    <t>Euronext Eurozone SBT 1.5 NR Decrement 3.75%</t>
  </si>
  <si>
    <t>Euronext Helios Space All-Share GR</t>
  </si>
  <si>
    <t>Euronext Eurozone SBT 1.5 NR Decrement 5%</t>
  </si>
  <si>
    <t>Euronext Helios Space All-Share NR</t>
  </si>
  <si>
    <t>Euronext Metaverse World NR</t>
  </si>
  <si>
    <t>Euronext NDR Hydrogen World GR</t>
  </si>
  <si>
    <t>Euronext G AXA 010622 GR 1.80</t>
  </si>
  <si>
    <t>Euronext NDR Hydrogen World NR</t>
  </si>
  <si>
    <t>Euronext G BNP 010622 PR 3.85</t>
  </si>
  <si>
    <t>Euronext NDR Web 3.0 World GR</t>
  </si>
  <si>
    <t>Euronext NDR Web 3.0 World NR</t>
  </si>
  <si>
    <t>Euronext S Sanofi 070322 GR Decrement 3.33</t>
  </si>
  <si>
    <t>Euronext G Stellantis 020522 GR 1.04 </t>
  </si>
  <si>
    <t>Euronext G Kering 010622 GR 13.00</t>
  </si>
  <si>
    <t>Euronext G Kering 010622 PR 13.00</t>
  </si>
  <si>
    <t>Euronext G Stellantis 020522 PR 1.04 </t>
  </si>
  <si>
    <t>Euronext G TotalEnergies 240323 GR 2.85</t>
  </si>
  <si>
    <t>Euronext G Unibail Rodamco Westfield 270223 Decrement 4.30</t>
  </si>
  <si>
    <t>Euronext G Unibail Rodamco Westfield 270223 PR 4.30</t>
  </si>
  <si>
    <t>Euronext G Veolia 010622 GR 1.20</t>
  </si>
  <si>
    <t>Euronext M Michelin 28042023 GR Decrement 1.25</t>
  </si>
  <si>
    <t>Euronext Eurozone ESG Transition Decrement 4%</t>
  </si>
  <si>
    <t>Euronext Eurozone ESG Transition Decrement 5%</t>
  </si>
  <si>
    <t>Euronext S Engie 14042023 GR Decrement 1.23</t>
  </si>
  <si>
    <t>Euronext B Credit Agricole 170223 GR 0.9</t>
  </si>
  <si>
    <t xml:space="preserve">Euronext Developed Asia Pacific </t>
  </si>
  <si>
    <t>Euronext France Climate Screened GR</t>
  </si>
  <si>
    <t>Euronext France Climate Screened NR</t>
  </si>
  <si>
    <t>Euronext B Stellantis 140223 GR 1.04</t>
  </si>
  <si>
    <t>Euronext B Stellantis 140223 PR 1.04 </t>
  </si>
  <si>
    <t>Euronext G Engie 020522 PR 1.0 </t>
  </si>
  <si>
    <t>Euronext Transatlantic PAB 50 GR</t>
  </si>
  <si>
    <t>Euronext G ING Groep NV 020522 Decrement 0.8</t>
  </si>
  <si>
    <t>Euronext G ING Groep NV 020522 GR 0.8</t>
  </si>
  <si>
    <t>Euronext G ING Groep NV 020522 PR 0.8</t>
  </si>
  <si>
    <t>Euronext B Credit Agricole 170223 PR 0.9</t>
  </si>
  <si>
    <t>Euronext G Orange 261021 PR 0.7</t>
  </si>
  <si>
    <t>Euronext Eurozone PAB 50 Decrement 4%</t>
  </si>
  <si>
    <t>Euronext ESG Biodiversity Screened Eurozone 50 GR</t>
  </si>
  <si>
    <t>PSI Utilities GR</t>
  </si>
  <si>
    <t>PSI Leverage</t>
  </si>
  <si>
    <t>EN CDP Environment France EW Decrement 4% NR</t>
  </si>
  <si>
    <t>Euronext G AXA 261021 PR 1.5 </t>
  </si>
  <si>
    <t>Euronext CDP Water Eurozone EW GR</t>
  </si>
  <si>
    <t>Euronext C Sanofi 151221 GR Decrement 3.27 </t>
  </si>
  <si>
    <t>Euronext CDP Water Eurozone EW NR</t>
  </si>
  <si>
    <t>Euronext B Engie 240521 GR 0.71</t>
  </si>
  <si>
    <t>Euronext Core Euro &amp; Global Climate Change EW Decrement 3.5%</t>
  </si>
  <si>
    <t>PSI Consumer Discretionary GR</t>
  </si>
  <si>
    <t>EN Transatlantic 50 EW D5%</t>
  </si>
  <si>
    <t>Euronext US Screened Climate Ambition 25 EW NR</t>
  </si>
  <si>
    <t>EN Transatlantic 50 EW GR</t>
  </si>
  <si>
    <t>PSI Telecommunications GR</t>
  </si>
  <si>
    <t>EN Transatlantic 50 EW NR</t>
  </si>
  <si>
    <t>AEX UTILITIES</t>
  </si>
  <si>
    <t>AEX UTILITIES GR</t>
  </si>
  <si>
    <t>Euronext ESG Biodiversity Screened World NR</t>
  </si>
  <si>
    <t>Euronext JPN Screened Climate Ambition 30 EW GR EUR</t>
  </si>
  <si>
    <t>Euronext G EDF 151121 PR 0.60</t>
  </si>
  <si>
    <t>Euronext Euro Large Cap Biodiversity Leaders 30 NR</t>
  </si>
  <si>
    <t>Euronext B Orange 131221 GR Decrement 0.65</t>
  </si>
  <si>
    <t>Euronext ESG Biodiversity Screened Transatlantic 80 NR</t>
  </si>
  <si>
    <t>Euronext Euro Large Cap Biodiversity Leaders 30 Decrement 4%</t>
  </si>
  <si>
    <t>PSI X2 Short GR</t>
  </si>
  <si>
    <t>Euronext S AXA 070322 GR Decrement 1.54</t>
  </si>
  <si>
    <t>Euronext Asia Pacific 500 GR</t>
  </si>
  <si>
    <t>Euronext US Screened Climate Ambition 25 EW GR</t>
  </si>
  <si>
    <t>Euronext Asia Pacific 500 NR</t>
  </si>
  <si>
    <t>Euronext G Orange 261021 GR 0.7</t>
  </si>
  <si>
    <t>Euronext Transatlantic Sustainability and Climate Screened 60 GR</t>
  </si>
  <si>
    <t>Euronext ESG Biodiversity Screened Eurozone 50 Decrement 4%</t>
  </si>
  <si>
    <t>Euronext G AXA 261021 GR 1.5</t>
  </si>
  <si>
    <t>Euronext G BNP 261021 GR 3.3</t>
  </si>
  <si>
    <t>Euronext G BNP 261021 PR 3.3 </t>
  </si>
  <si>
    <t>Euronext Eurozone Diversity &amp; Governance 40 EW GR</t>
  </si>
  <si>
    <t>Euronext JPN Screened Climate Ambition 30 EW EUR</t>
  </si>
  <si>
    <t>Euronext Eurozone Diversity &amp; Governance 40 EW NR</t>
  </si>
  <si>
    <t>Euronext JPN Screened Climate Ambition 30 EW NR EUR</t>
  </si>
  <si>
    <t>Euronext G EDF 151121 Decrement 0.60</t>
  </si>
  <si>
    <t>Euronext G EDF 261021 GR Decrement 0.60</t>
  </si>
  <si>
    <t>Oslo Børs Seafood Index</t>
  </si>
  <si>
    <t>Euronext B Bouygues 040521 GR Decrement 1.583</t>
  </si>
  <si>
    <t>Euronext ESG Biodiversity Screened Transatlantic 80 Decrement 5%</t>
  </si>
  <si>
    <t>Euronext G Orange 131221 GR Decrement 0.65</t>
  </si>
  <si>
    <t>PSI Consumer Staples GR</t>
  </si>
  <si>
    <t>Euronext France PAB 50 Decrement 5%</t>
  </si>
  <si>
    <t>PSI Short GR</t>
  </si>
  <si>
    <t>PSI X3 Short GR</t>
  </si>
  <si>
    <t>PSI ex Banks NR</t>
  </si>
  <si>
    <t>SBF 120 GR</t>
  </si>
  <si>
    <t>Euronext US Screened Climate Ambition 25 EW EUR</t>
  </si>
  <si>
    <t>Euronext US Screened Climate Ambition 25 EW GR EUR</t>
  </si>
  <si>
    <t>Euronext US Screened Climate Ambition 25 EW NR EUR</t>
  </si>
  <si>
    <t>Euronext G Engie 261021 GR 0.71</t>
  </si>
  <si>
    <t>Euronext G Engie 261021 PR 0.71</t>
  </si>
  <si>
    <t>Euronext G TotalEnergies 261021 GR 2.64</t>
  </si>
  <si>
    <t>Euronext Transatlantic Circular Economy 50 EW Decrement 5%</t>
  </si>
  <si>
    <t xml:space="preserve">Euronext G TotalEnergies 261021 PR 2.64 </t>
  </si>
  <si>
    <t>Euronext Transatlantic Circular Economy 50 EW GR</t>
  </si>
  <si>
    <t>Euronext Transatlantic Circular Economy 50 EW NR</t>
  </si>
  <si>
    <t>Euronext Transatlantic Environment 50 GR</t>
  </si>
  <si>
    <t>Euronext Transatlantic Environment 50 NR</t>
  </si>
  <si>
    <t>Euronext ESG Biodiversity Screened Eurozone 50 Decrement 5%</t>
  </si>
  <si>
    <t>Euronext ESG Biodiversity Screened Eurozone 50 NR</t>
  </si>
  <si>
    <t>Euronext ESG Biodiversity Screened World GR</t>
  </si>
  <si>
    <t>Euronext G Bouygues 261021 GR 1.7</t>
  </si>
  <si>
    <t>Euronext G Bouygues 261021 PR 1.7</t>
  </si>
  <si>
    <t>Euronext G BNP 261021 GR 3.00</t>
  </si>
  <si>
    <t>Oslo Børs Shipping Index</t>
  </si>
  <si>
    <t>MIB ESG Decrement 3.75%</t>
  </si>
  <si>
    <t>Euronext G BNP 261021 PR 3.00 </t>
  </si>
  <si>
    <t>Euronext Core Europe PAB 50 Decrement 4%</t>
  </si>
  <si>
    <t>Oslo Børs OBX Oil Service Index</t>
  </si>
  <si>
    <t>Euronext G TotalEnergies 261021 GR 2.54</t>
  </si>
  <si>
    <t>Euronext G TotalEnergies 261021 PR 2 .54</t>
  </si>
  <si>
    <t>Euronext World Country Selection GR</t>
  </si>
  <si>
    <t>MIB ESG Decrement 5%</t>
  </si>
  <si>
    <t>Euronext World Country Selection NR</t>
  </si>
  <si>
    <t>Euronext ESG Biodiversity Screened World GR USD</t>
  </si>
  <si>
    <t>Euronext ESG Biodiversity Screened World USD</t>
  </si>
  <si>
    <t>Euronext JPN Screened Climate Ambition 30 EW GR</t>
  </si>
  <si>
    <t>Euronext JPN Screened Climate Ambition 30 EW NR</t>
  </si>
  <si>
    <t>Euronext CDP Environment Transatlantic EW GR</t>
  </si>
  <si>
    <t>Euronext C Sanofi 151221 GR 3.27 </t>
  </si>
  <si>
    <t>Euronext CDP Environment Transatlantic EW NR</t>
  </si>
  <si>
    <t>Euronext C Sanofi 151221 PR 3.27 </t>
  </si>
  <si>
    <t>Euronext G Societe Generale 261021 GR 1.80 </t>
  </si>
  <si>
    <t>Euronext G EDF 151121 GR 0.60</t>
  </si>
  <si>
    <t>Euronext G EDF 261021 GR 0.60 </t>
  </si>
  <si>
    <t>Euronext G EDF 261021 PR 0.60 </t>
  </si>
  <si>
    <t>Euronext US Screened Climate Ambition 35 EW NR EUR</t>
  </si>
  <si>
    <t>Euronext US Screened Climate Ambition 35 EW EUR</t>
  </si>
  <si>
    <t>Euronext US Screened Climate Ambition 35 EW GR EUR</t>
  </si>
  <si>
    <t>Euronext US Screened Climate Ambition 35 EW GR</t>
  </si>
  <si>
    <t>Euronext US Screened Climate Ambition 35 EW NR</t>
  </si>
  <si>
    <t>Euronext Eurozone ESG Leaders Select 40 Decrement 5%</t>
  </si>
  <si>
    <t>Euronext Euro Large Cap Biodiversity Leaders 30 GR</t>
  </si>
  <si>
    <t>Euronext Eurozone ESG Leaders Select 40 GR</t>
  </si>
  <si>
    <t>Euronext Eurozone ESG Leaders Select 40 NR</t>
  </si>
  <si>
    <t>Euronext B Engie 240521 GR Decrement 0.71</t>
  </si>
  <si>
    <t>Euronext Eurozone Screened Climate Ambition 40 EW Decrement 50 Points</t>
  </si>
  <si>
    <t>Euronext Eurozone Screened Climate Ambition 40 EW GR</t>
  </si>
  <si>
    <t>Euronext Eurozone Screened Climate Ambition 40 EW NR</t>
  </si>
  <si>
    <t>Euronext World Sustainability and Climate Screened GR</t>
  </si>
  <si>
    <t>Euronext ESG Biodiversity Screened Transatlantic 80 Decrement 4%</t>
  </si>
  <si>
    <t>Euronext V.E ESG World-Select 75 Bund/SV GR</t>
  </si>
  <si>
    <t>Euronext ESG Biodiversity Screened Transatlantic 80 GR</t>
  </si>
  <si>
    <t>Euronext V.E ESG World-Select 75 Bund/SV NR</t>
  </si>
  <si>
    <t>Euronext G Orange 131221 GR 0.65</t>
  </si>
  <si>
    <t>Euronext G Orange 131221 PR 0.65</t>
  </si>
  <si>
    <t>Euronext V.E Eurozone Social Focus GR</t>
  </si>
  <si>
    <t>Euronext V.E Eurozone Social Focus NR</t>
  </si>
  <si>
    <t>PSI Leverage GR</t>
  </si>
  <si>
    <t>PSI Triple Leverage</t>
  </si>
  <si>
    <t>PSI X3 Leverage NR</t>
  </si>
  <si>
    <t>Euronext Eurozone Screened Climate Ambition 35 EW GR</t>
  </si>
  <si>
    <t>PSI Xbear GR</t>
  </si>
  <si>
    <t>Euronext Eurozone Screened Climate Ambition 35 EW NR</t>
  </si>
  <si>
    <t>PSI ex Banks GR</t>
  </si>
  <si>
    <t>Euronext Core Euro &amp; Global Climate Change EW NR</t>
  </si>
  <si>
    <t>Euronext Vigeo UK 20 Index</t>
  </si>
  <si>
    <t>Euronext Core Europe 100 ESG EW GR</t>
  </si>
  <si>
    <t>Euronext Core Europe 100 ESG EW NR</t>
  </si>
  <si>
    <t>Euronext Core Europe 100 EW Decrement 5% GR</t>
  </si>
  <si>
    <t>Euronext Core Europe 100 EW Decrement 5% NR</t>
  </si>
  <si>
    <t>Euronext CDP Environment ESG France EW GR</t>
  </si>
  <si>
    <t>Euronext CDP Environment World EW NR</t>
  </si>
  <si>
    <t>Euronext Vigeo Euro 120 NR Index</t>
  </si>
  <si>
    <t>Euronext Core Europe 30 EW Decrement 5% GR</t>
  </si>
  <si>
    <t>Euronext CDP Environment ESG World EW GR</t>
  </si>
  <si>
    <t>Euronext Reitsmarket Global Balanced RC12</t>
  </si>
  <si>
    <t>Euronext Top 30 France Germany Industrials EW Decr</t>
  </si>
  <si>
    <t>Euronext Vigeo Benelux 20 Index</t>
  </si>
  <si>
    <t>Euronext Vigeo France 20 GR Index</t>
  </si>
  <si>
    <t>Euronext Euro 50 SG EW Decr 50 Points</t>
  </si>
  <si>
    <t>Euronext Water and Ocean Europe 40 EW GR</t>
  </si>
  <si>
    <t>Euronext Euro 50 SG EW GR</t>
  </si>
  <si>
    <t>Euronext Euro 50 SG EW NR</t>
  </si>
  <si>
    <t>Euronext Europe Pioneers 50 ESG EW Decrement 50 Points</t>
  </si>
  <si>
    <t>OBX Health Care  PR</t>
  </si>
  <si>
    <t>Euronext Europe Pioneers 50 ESG EW GR</t>
  </si>
  <si>
    <t>Euronext Europe Pioneers 50 ESG EW NR</t>
  </si>
  <si>
    <t>Euronext Core Euro &amp; Global Climate Change EW GR</t>
  </si>
  <si>
    <t>Euronext Eurozone 100 ESG Decrement 3.5%</t>
  </si>
  <si>
    <t>Euronext Eurozone 100 ESG Decrement 4.5%</t>
  </si>
  <si>
    <t>Euronext Reitsmarket Global Balanced RC10</t>
  </si>
  <si>
    <t>Euronext Eurozone 100 ESG Decrement 5%</t>
  </si>
  <si>
    <t>Euronext Reitsmarket Global Conviction</t>
  </si>
  <si>
    <t>Euronext Top 30 France Germany Industrials EW NR</t>
  </si>
  <si>
    <t>Euronext Transatlantic ESG Leaders 60 EW NR</t>
  </si>
  <si>
    <t>Euronext Core Euro &amp; Global Climate Change EW</t>
  </si>
  <si>
    <t>Euronext Vigeo Euro 120 GR Index</t>
  </si>
  <si>
    <t>Euronext Vigeo Europe 120 Index</t>
  </si>
  <si>
    <t>Euronext Vigeo France 20 NR Index</t>
  </si>
  <si>
    <t>Euronext Water and Ocean Europe 40 EW </t>
  </si>
  <si>
    <t>Euronext CDP Environment ESG World EW NR</t>
  </si>
  <si>
    <t>Euronext Eurozone 60 EW Decrement 50 Points</t>
  </si>
  <si>
    <t>Italia Leva 7 Long</t>
  </si>
  <si>
    <t>OBX Consumer Staples  NR</t>
  </si>
  <si>
    <t>Euronext Eurozone 70 EW GR</t>
  </si>
  <si>
    <t>Euronext Eurozone 70 EW NR</t>
  </si>
  <si>
    <t>OBX Health Care  GR</t>
  </si>
  <si>
    <t>Euronext Eurozone 80 EW Decrement 5%</t>
  </si>
  <si>
    <t>Euronext Eurozone 80 EW GR</t>
  </si>
  <si>
    <t>Euronext Eurozone 80 EW NR</t>
  </si>
  <si>
    <t>Euronext Core Europe 100 ESG EW Decrement 5% NR</t>
  </si>
  <si>
    <t>Euronext Eurozone ESG Large 80 Decrement 3.5%</t>
  </si>
  <si>
    <t>Euronext Growth Bpifrance Innovation Index NR</t>
  </si>
  <si>
    <t>Euronext Eurozone ESG Large 80 Decrement 4%</t>
  </si>
  <si>
    <t>Euronext Eurozone ESG Large 80 Decrement 4.5%</t>
  </si>
  <si>
    <t>Euronext Eurozone ESG Large 80 Decrement 5%</t>
  </si>
  <si>
    <t>Euronext Reitsmarket Global Balanced RC10 Decremen</t>
  </si>
  <si>
    <t>Euronext Reitsmarket Global Balanced RC12 Decremen</t>
  </si>
  <si>
    <t>Euronext Eurozone ESG Leaders 40 EW D3 5</t>
  </si>
  <si>
    <t>Euronext Reitsmarket Global Conviction NR</t>
  </si>
  <si>
    <t>Euronext Top 30 France Germany Industrials EW GR</t>
  </si>
  <si>
    <t>Euronext Transatlantic ESG Leaders 60 EW</t>
  </si>
  <si>
    <t>Euronext Eurozone ESG Leaders Select 40 EW</t>
  </si>
  <si>
    <t>Euronext Transatlantic ESG Leaders 60 EW GR</t>
  </si>
  <si>
    <t>Euronext Eurozone ESG Leaders Select 40 EW Decrement 3.5%</t>
  </si>
  <si>
    <t>Euronext Vigeo Benelux 20 GR Index</t>
  </si>
  <si>
    <t>Euronext CDP Environment Eurozone EW GR</t>
  </si>
  <si>
    <t>Euronext Vigeo Benelux 20 NR Index</t>
  </si>
  <si>
    <t>Euronext Eurozone ESG Leaders Select 40 EW GR</t>
  </si>
  <si>
    <t>Euronext Vigeo Euro 120 Index</t>
  </si>
  <si>
    <t>Euronext Eurozone ESG Leaders Select 40 EW NR</t>
  </si>
  <si>
    <t>Euronext Vigeo Europe 120 GR Index</t>
  </si>
  <si>
    <t>Euronext Vigeo Europe 120 NR Index</t>
  </si>
  <si>
    <t>Euronext Vigeo France 20 Index</t>
  </si>
  <si>
    <t>Euronext Vigeo UK 20 GR Index</t>
  </si>
  <si>
    <t>Euronext Vigeo UK 20 NR Index</t>
  </si>
  <si>
    <t>Euronext CDP Environment Eurozone EW NR</t>
  </si>
  <si>
    <t>Euronext Founding Members Europe 50 EW GR</t>
  </si>
  <si>
    <t>Euronext Water and Ocean Europe 40 EW NR</t>
  </si>
  <si>
    <t>Euronext Founding Members Europe 50 EW NR</t>
  </si>
  <si>
    <t>Euronext France 20 EW Decrement 5.5%</t>
  </si>
  <si>
    <t>ISEQ 20 Leverage</t>
  </si>
  <si>
    <t>Euronext CDP Environment ESG France EW NR</t>
  </si>
  <si>
    <t>Euronext France ESG Leaders 40 EW Decrement 5%</t>
  </si>
  <si>
    <t>Euronext France ESG Leaders Select 30 EW</t>
  </si>
  <si>
    <t>Euronext France ESG Leaders Select 30 EW Decrement 5%</t>
  </si>
  <si>
    <t>Euronext France ESG Leaders Select 30 EW GR</t>
  </si>
  <si>
    <t>Euronext France ESG Leaders Select 30 EW NR</t>
  </si>
  <si>
    <t>Italia Leva 7 Short</t>
  </si>
  <si>
    <t>Euronext France Eurozone 60 EW Decrement 50 Points</t>
  </si>
  <si>
    <t>Euronext Core Europe 100 ESG EW </t>
  </si>
  <si>
    <t>OBSFX Seafood_NR</t>
  </si>
  <si>
    <t>OBSHX Shipping_NR</t>
  </si>
  <si>
    <t>Euronext France Germany Leaders 50 EW</t>
  </si>
  <si>
    <t>Euronext CDP Environment ESG France EW Decrement 5%</t>
  </si>
  <si>
    <t>Euronext France Germany Leaders 50 EW GR</t>
  </si>
  <si>
    <t>OBX Consumer Staples  GR</t>
  </si>
  <si>
    <t>Euronext France Germany Leaders 50 EW NR</t>
  </si>
  <si>
    <t>OBX Consumer Staples  PR</t>
  </si>
  <si>
    <t>OBX Health Care  NR</t>
  </si>
  <si>
    <t>OSEFX Mutual Fund_NR</t>
  </si>
  <si>
    <t>Euronext Climate Objective 50 Euro EW Decrement 4%</t>
  </si>
  <si>
    <t>Euronext CDP Environment World EW GR</t>
  </si>
  <si>
    <t>OSEBX Benchmark_NR</t>
  </si>
  <si>
    <t>Previous Q</t>
  </si>
  <si>
    <t>Euronext Growth Bpifrance Innovation Index</t>
  </si>
  <si>
    <t>Euronext Growth Bpifrance Innovation Index GR</t>
  </si>
  <si>
    <t>Euronext Green Planet E Decrement 5% GR</t>
  </si>
  <si>
    <t>Euronext Green Planet E </t>
  </si>
  <si>
    <t>CAC Large 60 Equal Weight Decrement 4%</t>
  </si>
  <si>
    <t>EN Eurozone Energy Transition Leaders 50 EW</t>
  </si>
  <si>
    <t>EN Vigeo World 120</t>
  </si>
  <si>
    <t>AEX X4 Short GR</t>
  </si>
  <si>
    <t>AEX Leverage GR</t>
  </si>
  <si>
    <t>EN CDP Environment ESG Eurozone EW NR</t>
  </si>
  <si>
    <t>BEL 20 Leverage</t>
  </si>
  <si>
    <t>BEL 20 Leverage GR</t>
  </si>
  <si>
    <t>BEL 20 Short GR</t>
  </si>
  <si>
    <t>Euronext BeNe 40 Equal Weight Volatility Target</t>
  </si>
  <si>
    <t>BEL 20 Triple Leverage</t>
  </si>
  <si>
    <t>BEL 20 X2 Short GR</t>
  </si>
  <si>
    <t>AEX GR</t>
  </si>
  <si>
    <t>BEL 20 X3 Leverage NR</t>
  </si>
  <si>
    <t>BEL 20 X3 Short GR</t>
  </si>
  <si>
    <t>BEL 20 X5 Leverage NR</t>
  </si>
  <si>
    <t>BEL 20 X5 Short GR</t>
  </si>
  <si>
    <t>BEL 20 Xbear GR</t>
  </si>
  <si>
    <t>EN France Energy Transition Leaders 40 EW</t>
  </si>
  <si>
    <t>AEX X3 Leverage NR</t>
  </si>
  <si>
    <t>AEX Leverage NR</t>
  </si>
  <si>
    <t>EN CDP Environment France EW Decrement 4%</t>
  </si>
  <si>
    <t>EN Climate Objective 50 EW Decrement 5%</t>
  </si>
  <si>
    <t>EN Eurozone Energy Transition Leaders 50 EW GR</t>
  </si>
  <si>
    <t>EN France Energy Transition Leaders 40 EW GR</t>
  </si>
  <si>
    <t>EN Vigeo W 120 GR</t>
  </si>
  <si>
    <t>AEX X12 Short GR</t>
  </si>
  <si>
    <t>CAC 40 Cumulative Dividend</t>
  </si>
  <si>
    <t>AEX X4 Leverage NR</t>
  </si>
  <si>
    <t>AEX EXT</t>
  </si>
  <si>
    <t>CAC 40 EXT</t>
  </si>
  <si>
    <t>CAC 40 Governance Decrement 5%</t>
  </si>
  <si>
    <t>CAC Mid 60 GR</t>
  </si>
  <si>
    <t>CAC 40 Leverage</t>
  </si>
  <si>
    <t>AEX Leverage</t>
  </si>
  <si>
    <t>CAC 40 Leverage NR</t>
  </si>
  <si>
    <t>CAC 40 X10 Leverage NR</t>
  </si>
  <si>
    <t>AEX X5 Leverage NR</t>
  </si>
  <si>
    <t>CAC 40 X12 Leverage NR</t>
  </si>
  <si>
    <t>CAC 40 X12 Short GR</t>
  </si>
  <si>
    <t>EN CDP Environment ESG Eurozone EW GR</t>
  </si>
  <si>
    <t>AEX X5 Short GR</t>
  </si>
  <si>
    <t>AEX X6 Leverage NR</t>
  </si>
  <si>
    <t>AEX X6 Short GR</t>
  </si>
  <si>
    <t>AEX Real Estate GR</t>
  </si>
  <si>
    <t>AEX X7 Leverage NR</t>
  </si>
  <si>
    <t xml:space="preserve">CAC 40 X3 Short GR VAR </t>
  </si>
  <si>
    <t>AEX Short GR</t>
  </si>
  <si>
    <t>AEX X7 Short GR</t>
  </si>
  <si>
    <t>EN Core Europe 30 ESG EW Decrement 5% NR</t>
  </si>
  <si>
    <t>AEX Xbear GR</t>
  </si>
  <si>
    <t>CAC 40 X6 Leverage NR</t>
  </si>
  <si>
    <t>CAC 40 X6 Short GR</t>
  </si>
  <si>
    <t>EN Eurozone Energy Transition Leaders 50 EW NR</t>
  </si>
  <si>
    <t>CAC 40 Xbear GR</t>
  </si>
  <si>
    <t>EN Eurozone Mid and Large 60 EW D 50P</t>
  </si>
  <si>
    <t>AEX X3 Short GR</t>
  </si>
  <si>
    <t>CAC All-Tradable GR</t>
  </si>
  <si>
    <t>EN FR 40 Responsible Investment D5%</t>
  </si>
  <si>
    <t>EN France 20-40 Challengers EW D 5.5%</t>
  </si>
  <si>
    <t>EN France Energy Transition Leaders 40 EW NR</t>
  </si>
  <si>
    <t>EN Responsible Investment Euro 50 EW GR</t>
  </si>
  <si>
    <t>EN France Next 40 EW Decrement 5.5%</t>
  </si>
  <si>
    <t>AEX X10 Leverage NR</t>
  </si>
  <si>
    <t>EN RM GRESB Global Sustainable NR</t>
  </si>
  <si>
    <t>EN Vigeo US 50 GR</t>
  </si>
  <si>
    <t>EN Responsible Investment Euro 50 EW D5%</t>
  </si>
  <si>
    <t>EN Responsible Investment Euro 50 EW NR</t>
  </si>
  <si>
    <t>AEX X10 Short GR</t>
  </si>
  <si>
    <t>EN Vigeo US 50</t>
  </si>
  <si>
    <t>EN Vigeo US 50 NR</t>
  </si>
  <si>
    <t>EN Vigeo W 120 NR</t>
  </si>
  <si>
    <t>CAC EWC 40</t>
  </si>
  <si>
    <t>AEX X12 Leverage NR</t>
  </si>
  <si>
    <t>AEX X15 Leverage NR</t>
  </si>
  <si>
    <t>AEX X15 Short GR</t>
  </si>
  <si>
    <t>AEX X2 Short GR</t>
  </si>
  <si>
    <t>x</t>
  </si>
  <si>
    <t>Index</t>
  </si>
  <si>
    <t>EW</t>
  </si>
  <si>
    <t>OSLO</t>
  </si>
  <si>
    <t>REITS</t>
  </si>
  <si>
    <t>Normal</t>
  </si>
  <si>
    <t>Type</t>
  </si>
  <si>
    <t>Dividend</t>
  </si>
  <si>
    <t>All share</t>
  </si>
  <si>
    <t>Transatlantic Sect</t>
  </si>
  <si>
    <t>Moody's</t>
  </si>
  <si>
    <t>To do:</t>
  </si>
  <si>
    <t>Euronext US Utilities PR</t>
  </si>
  <si>
    <t>UUTI</t>
  </si>
  <si>
    <t>Euronext US Telecommunications PR</t>
  </si>
  <si>
    <t>UTEL</t>
  </si>
  <si>
    <t>Euronext US Technology PR</t>
  </si>
  <si>
    <t>UTEC</t>
  </si>
  <si>
    <t>Euronext US Industrials PR</t>
  </si>
  <si>
    <t>UIND</t>
  </si>
  <si>
    <t>Euronext US Basic Materials PR</t>
  </si>
  <si>
    <t>US Sectorial</t>
  </si>
  <si>
    <t>Developed World Real Estate</t>
  </si>
  <si>
    <t>Transatlantic Sectorial</t>
  </si>
  <si>
    <t>GICP</t>
  </si>
  <si>
    <t>Eurozone Sectorial</t>
  </si>
  <si>
    <t>EBSWP EBSPW</t>
  </si>
  <si>
    <t>TECHP ENRGP UTIL BASM FINA CSTA TELEP HEAC INDU CDIS</t>
  </si>
  <si>
    <t>TBMA TCDI TCST TENR TFINP THEC TIND TTEC TTEL TUTI</t>
  </si>
  <si>
    <t>UUTI UTEL UTEC UIND UHEC UFIN UENR UCST UCDI UBMA</t>
  </si>
  <si>
    <t>DWREP DEREP DAREP EUREP</t>
  </si>
  <si>
    <t>ESVEP</t>
  </si>
  <si>
    <t>SEZTP</t>
  </si>
  <si>
    <t>EPSP</t>
  </si>
  <si>
    <t>Check</t>
  </si>
  <si>
    <t>EN Global Industry Champions 30</t>
  </si>
  <si>
    <t>Annual</t>
  </si>
  <si>
    <t>Prelim</t>
  </si>
  <si>
    <t>Not in Dataiku</t>
  </si>
  <si>
    <t>annual</t>
  </si>
  <si>
    <t>annually</t>
  </si>
  <si>
    <t>98% index</t>
  </si>
  <si>
    <t>Frequency</t>
  </si>
  <si>
    <t>Review</t>
  </si>
  <si>
    <t>EGSPP</t>
  </si>
  <si>
    <t xml:space="preserve">Euronext Core Europe 30 ESG EW </t>
  </si>
  <si>
    <t xml:space="preserve">Euronext Eurozone 40 EW </t>
  </si>
  <si>
    <t xml:space="preserve">Euronext Founding Members Europe 50 EW </t>
  </si>
  <si>
    <t>Euronext® Europe Sustainable 100 EW</t>
  </si>
  <si>
    <t>Euronext® Eurozone Energy Transition Leaders 50 EW</t>
  </si>
  <si>
    <t>Euronext® Eurozone ESG Leaders 40 EW</t>
  </si>
  <si>
    <t>Euronext® France ESG Leaders 40 EW</t>
  </si>
  <si>
    <t>Euronext CDP Environment France EW</t>
  </si>
  <si>
    <t xml:space="preserve">Euronext France 20-40 Challengers EW </t>
  </si>
  <si>
    <t xml:space="preserve">Euronext France Next 40 EW </t>
  </si>
  <si>
    <t xml:space="preserve">Euronext France 20 EW </t>
  </si>
  <si>
    <t>CAC Large 60 Responsible Investment SW</t>
  </si>
  <si>
    <t>Euronext CDP Environment ESG Eurozone EW</t>
  </si>
  <si>
    <t xml:space="preserve">Euronext Water and Ocean Europe 40 EW </t>
  </si>
  <si>
    <t xml:space="preserve">Euronext Green Planet E </t>
  </si>
  <si>
    <t>EN Sovereign Economy Selection Eurozone 50</t>
  </si>
  <si>
    <t>EN US Screened Climate Ambition 25 EW USD</t>
  </si>
  <si>
    <t>Euronext® Global Health Care 50 EW ESG</t>
  </si>
  <si>
    <t>EN ESG Biodiversity Screened Transatlantic 80</t>
  </si>
  <si>
    <t>EN TRANSATLANTIC</t>
  </si>
  <si>
    <t>EN EZ Transatlantic</t>
  </si>
  <si>
    <t>EN PAB Transatlantic 50</t>
  </si>
  <si>
    <t>Euronext Eurozone Small Cap Index</t>
  </si>
  <si>
    <t>NLIX00005206</t>
  </si>
  <si>
    <t>NLIX00005115</t>
  </si>
  <si>
    <t>NLIX00004936</t>
  </si>
  <si>
    <t>NLIX00005081</t>
  </si>
  <si>
    <t>NLIX00005230</t>
  </si>
  <si>
    <t>Euronext Souveraineté Européenne</t>
  </si>
  <si>
    <t>FRCLIM000403</t>
  </si>
  <si>
    <t>Euronext Eurozone Select PAB 50</t>
  </si>
  <si>
    <t>NLIX00005271</t>
  </si>
  <si>
    <t xml:space="preserve">EN Multi Sector Eurozone Top 20 </t>
  </si>
  <si>
    <t>FRCLIM000445</t>
  </si>
  <si>
    <t>Euronext Green Solutions PAB</t>
  </si>
  <si>
    <t>NLIX00005321</t>
  </si>
  <si>
    <t>Euronext Global Industry Champions 30</t>
  </si>
  <si>
    <t>ISIN</t>
  </si>
  <si>
    <t>Third Friday of March, June, September, December</t>
  </si>
  <si>
    <t>Third Friday of March, September</t>
  </si>
  <si>
    <t>Third Friday of September</t>
  </si>
  <si>
    <t>1. Blue Chip</t>
  </si>
  <si>
    <t>2.6 Normal index</t>
  </si>
  <si>
    <t>1.5 AEX/CAC</t>
  </si>
  <si>
    <t>CAC/AEX Equal Weight</t>
  </si>
  <si>
    <t>Bene40 Equal Weight</t>
  </si>
  <si>
    <t>SBF 80</t>
  </si>
  <si>
    <t>Cac 40 Governance</t>
  </si>
  <si>
    <t>1.6 Core</t>
  </si>
  <si>
    <t>Core Europe</t>
  </si>
  <si>
    <t>France German Leaders 50 EW</t>
  </si>
  <si>
    <t>France German Leaders 50</t>
  </si>
  <si>
    <t>1.8 Eurozone</t>
  </si>
  <si>
    <t>Eurozone 40 EW</t>
  </si>
  <si>
    <t>Eurozone 2</t>
  </si>
  <si>
    <t>Founding Members</t>
  </si>
  <si>
    <t>Europe Sustainable 100</t>
  </si>
  <si>
    <t>Eurozone Energy Transition Leaders 50</t>
  </si>
  <si>
    <t>2.5 ESG Leaders</t>
  </si>
  <si>
    <t>Eurozone ESG Leaders 40</t>
  </si>
  <si>
    <t>France Energy Transition Leaders 40</t>
  </si>
  <si>
    <t>France ESG Leaders 40</t>
  </si>
  <si>
    <t>Euronext ESG Euro 50</t>
  </si>
  <si>
    <t xml:space="preserve">France Eurozone 60 </t>
  </si>
  <si>
    <t>Eurozone</t>
  </si>
  <si>
    <t>2.0 CDP</t>
  </si>
  <si>
    <t>CDP Environment France</t>
  </si>
  <si>
    <t>Eurozone 100 ESG</t>
  </si>
  <si>
    <t>Euronext France 20-40 Challengers</t>
  </si>
  <si>
    <t>France Next 40</t>
  </si>
  <si>
    <t>France 20</t>
  </si>
  <si>
    <t>CDP Environ. France ex Oil &amp; Gas</t>
  </si>
  <si>
    <t>SBF Top 50 ESG</t>
  </si>
  <si>
    <t>2.2 Responsible Investment</t>
  </si>
  <si>
    <t>Responsible Investment CAC Large 60</t>
  </si>
  <si>
    <t>Responsible Investment Euronext France 40</t>
  </si>
  <si>
    <t>Transatlantic 50 EW</t>
  </si>
  <si>
    <t>Responsible Investment Euro 50</t>
  </si>
  <si>
    <t>CDP Environment Eurozone</t>
  </si>
  <si>
    <t>CDP Environment World</t>
  </si>
  <si>
    <t>Euro 50 Social Governance</t>
  </si>
  <si>
    <t xml:space="preserve">Euronext Transatlantic ESG Leaders 60 </t>
  </si>
  <si>
    <t>Euronext CDP Environment ESG France</t>
  </si>
  <si>
    <t>Euronext Green Planet</t>
  </si>
  <si>
    <t>Euronext France ESG Leaders Select 30</t>
  </si>
  <si>
    <t>1.7 Product linked</t>
  </si>
  <si>
    <t>Euronext Core Euro &amp; Global Climate Change</t>
  </si>
  <si>
    <t>Equity Certificate Indices</t>
  </si>
  <si>
    <t xml:space="preserve">Investable Sector Indices </t>
  </si>
  <si>
    <t>Oslo Custom Indices</t>
  </si>
  <si>
    <t>Euronext CDP Water Eurozone</t>
  </si>
  <si>
    <t>Eurozone ESGL 40</t>
  </si>
  <si>
    <t>US ESGL 20</t>
  </si>
  <si>
    <t>Eurozone Banks</t>
  </si>
  <si>
    <t>1.3 PAB</t>
  </si>
  <si>
    <t>1.2 World</t>
  </si>
  <si>
    <t>1.21 World</t>
  </si>
  <si>
    <t>EN V E ESG World-Select 75 Bund/SV</t>
  </si>
  <si>
    <t>Euronext V E Eurozone Social Focus</t>
  </si>
  <si>
    <t>2.3 Screened Climate</t>
  </si>
  <si>
    <t>2.1 Biodiversity</t>
  </si>
  <si>
    <t>EN Euro Large Cap Biodiversity 
Leaders 30</t>
  </si>
  <si>
    <t>2.71 Marketing index</t>
  </si>
  <si>
    <t>1.4 SBT</t>
  </si>
  <si>
    <t>CAC SBT 1 5</t>
  </si>
  <si>
    <t>EU SBT 1.5 </t>
  </si>
  <si>
    <t>Biodiversity Enablers World</t>
  </si>
  <si>
    <t>Biodiversity Screened World</t>
  </si>
  <si>
    <t>France Climate Screened</t>
  </si>
  <si>
    <t>Cybersecurity World</t>
  </si>
  <si>
    <t>PAB North America</t>
  </si>
  <si>
    <t>Transatlantic PAB 50</t>
  </si>
  <si>
    <t>EN PAB TR 50</t>
  </si>
  <si>
    <t>1.22 Euronext Developed World</t>
  </si>
  <si>
    <t>Euronext Developed Canada</t>
  </si>
  <si>
    <t>Euronext Developed Japan</t>
  </si>
  <si>
    <t>Euronext Developed Switzerland</t>
  </si>
  <si>
    <t>Euronext Developed UK</t>
  </si>
  <si>
    <t>Euronext Developed USA</t>
  </si>
  <si>
    <t>2.55 Euronext Invest In France</t>
  </si>
  <si>
    <t>Euronext Invest In France Low Vol</t>
  </si>
  <si>
    <t>2.7 Sectorial index</t>
  </si>
  <si>
    <t>Eurozone Sectorial Indices</t>
  </si>
  <si>
    <t>Transatlantic Sectorial Indices</t>
  </si>
  <si>
    <t>Real Estate Sectorial Indices</t>
  </si>
  <si>
    <t>US Sectorial Indices</t>
  </si>
  <si>
    <t>Last trading-day of March</t>
  </si>
  <si>
    <t>Last trading-day of March, June, September, December</t>
  </si>
  <si>
    <t>Last trading-day of June</t>
  </si>
  <si>
    <t>Third Friday of March</t>
  </si>
  <si>
    <t>Second Friday of January, April, July, October</t>
  </si>
  <si>
    <t>Third Friday of December</t>
  </si>
  <si>
    <t>Wednesday after the Third Friday of March, June, September, December</t>
  </si>
  <si>
    <t>Second Friday of October</t>
  </si>
  <si>
    <t>Second Friday of April</t>
  </si>
  <si>
    <t>Third Friday of June, December</t>
  </si>
  <si>
    <t>Third Friday of June</t>
  </si>
  <si>
    <t>Group</t>
  </si>
  <si>
    <t>SuperGroup</t>
  </si>
  <si>
    <t>Inception Date</t>
  </si>
  <si>
    <t>Delisting Date</t>
  </si>
  <si>
    <t>Number of effective dates per review</t>
  </si>
  <si>
    <t>First Review Effective Date 
(after close of the ... )</t>
  </si>
  <si>
    <t>Cut off Date(s)
(after close of the ... )</t>
  </si>
  <si>
    <t>Review Announcement Date 
(n. days before eff date)</t>
  </si>
  <si>
    <t>Review Composition Date
(n. days before eff date)</t>
  </si>
  <si>
    <t>Review Weighting Date 
(n. days before eff date)</t>
  </si>
  <si>
    <r>
      <t xml:space="preserve">Free float start date 
(n. days before </t>
    </r>
    <r>
      <rPr>
        <b/>
        <sz val="11"/>
        <color rgb="FFFF0000"/>
        <rFont val="Calibri"/>
        <family val="2"/>
        <scheme val="minor"/>
      </rPr>
      <t>cutoff</t>
    </r>
    <r>
      <rPr>
        <b/>
        <sz val="11"/>
        <color theme="1"/>
        <rFont val="Calibri"/>
        <family val="2"/>
        <scheme val="minor"/>
      </rPr>
      <t>)</t>
    </r>
  </si>
  <si>
    <t>Universe</t>
  </si>
  <si>
    <t>Data vendor(s)</t>
  </si>
  <si>
    <t>Packages</t>
  </si>
  <si>
    <t>Comments</t>
  </si>
  <si>
    <t>Responsible 1</t>
  </si>
  <si>
    <t>Method 1</t>
  </si>
  <si>
    <t>Responsible 2</t>
  </si>
  <si>
    <t>Method 2</t>
  </si>
  <si>
    <t xml:space="preserve">Will be in Agenda Review? </t>
  </si>
  <si>
    <t>Mnemos in group (price only)</t>
  </si>
  <si>
    <t>Effective String 1</t>
  </si>
  <si>
    <t>Effective String 2</t>
  </si>
  <si>
    <t>Effective String 3</t>
  </si>
  <si>
    <t>Effective String 4</t>
  </si>
  <si>
    <t>Effective String 5</t>
  </si>
  <si>
    <t>Effective String 6</t>
  </si>
  <si>
    <t>Effective String 7</t>
  </si>
  <si>
    <t>Effective String 8</t>
  </si>
  <si>
    <t>Effective String 9</t>
  </si>
  <si>
    <t>Effective String 10</t>
  </si>
  <si>
    <t>Effective String 11</t>
  </si>
  <si>
    <t>Effective String 12</t>
  </si>
  <si>
    <t>Effective Date 1</t>
  </si>
  <si>
    <t>Effective Date 2</t>
  </si>
  <si>
    <t>Effective Date 3</t>
  </si>
  <si>
    <t>Effective Date 4</t>
  </si>
  <si>
    <t>Effective Date 5</t>
  </si>
  <si>
    <t>Effective Date 6</t>
  </si>
  <si>
    <t>Effective Date 7</t>
  </si>
  <si>
    <t>Effective Date 8</t>
  </si>
  <si>
    <t>Effective Date 9</t>
  </si>
  <si>
    <t>Effective Date 10</t>
  </si>
  <si>
    <t>Effective Date 11</t>
  </si>
  <si>
    <t>Effective Date 12</t>
  </si>
  <si>
    <t>Effective Date 13</t>
  </si>
  <si>
    <t>Effective Date 14</t>
  </si>
  <si>
    <t>Effective Date 15</t>
  </si>
  <si>
    <t>Effective Date 16</t>
  </si>
  <si>
    <t>Effective Date 17</t>
  </si>
  <si>
    <t>Effective Date 18</t>
  </si>
  <si>
    <t>Effective Date 19</t>
  </si>
  <si>
    <t>Effective Date 20</t>
  </si>
  <si>
    <t>Cutoff String 1</t>
  </si>
  <si>
    <t>Cutoff String 2</t>
  </si>
  <si>
    <t>Cutoff String 3</t>
  </si>
  <si>
    <t>Cutoff String 4</t>
  </si>
  <si>
    <t>Cutoff String 5</t>
  </si>
  <si>
    <t>Cutoff String 6</t>
  </si>
  <si>
    <t>Cutoff String 7</t>
  </si>
  <si>
    <t>Cutoff String 8</t>
  </si>
  <si>
    <t>Cutoff String 9</t>
  </si>
  <si>
    <t>Cutoff String 10</t>
  </si>
  <si>
    <t>Cutoff String 11</t>
  </si>
  <si>
    <t>Cutoff String 12</t>
  </si>
  <si>
    <t>Cutoff Date 1</t>
  </si>
  <si>
    <t>Cutoff Date 2</t>
  </si>
  <si>
    <t>Cutoff Date 3</t>
  </si>
  <si>
    <t>Cutoff Date 4</t>
  </si>
  <si>
    <t>Cutoff Date 5</t>
  </si>
  <si>
    <t>Cutoff Date 6</t>
  </si>
  <si>
    <t>Cutoff Date 7</t>
  </si>
  <si>
    <t>Cutoff Date 8</t>
  </si>
  <si>
    <t>Cutoff Date 9</t>
  </si>
  <si>
    <t>Cutoff Date 10</t>
  </si>
  <si>
    <t>Cutoff Date 11</t>
  </si>
  <si>
    <t>Cutoff Date 12</t>
  </si>
  <si>
    <t>Announcement date 1</t>
  </si>
  <si>
    <t>Announcement date 2</t>
  </si>
  <si>
    <t>Announcement date 3</t>
  </si>
  <si>
    <t>Announcement date 4</t>
  </si>
  <si>
    <t>Announcement date 5</t>
  </si>
  <si>
    <t>Announcement date 6</t>
  </si>
  <si>
    <t>Announcement date 7</t>
  </si>
  <si>
    <t>Announcement date 8</t>
  </si>
  <si>
    <t>Announcement date 9</t>
  </si>
  <si>
    <t>Announcement date 10</t>
  </si>
  <si>
    <t>Announcement date 11</t>
  </si>
  <si>
    <t>Announcement date 12</t>
  </si>
  <si>
    <t>Composition date 1</t>
  </si>
  <si>
    <t>Composition date 2</t>
  </si>
  <si>
    <t>Composition date 3</t>
  </si>
  <si>
    <t>Composition date 4</t>
  </si>
  <si>
    <t>Composition date 5</t>
  </si>
  <si>
    <t>Composition date 6</t>
  </si>
  <si>
    <t>Composition date 7</t>
  </si>
  <si>
    <t>Composition date 8</t>
  </si>
  <si>
    <t>Composition date 9</t>
  </si>
  <si>
    <t>Composition date 10</t>
  </si>
  <si>
    <t>Composition date 11</t>
  </si>
  <si>
    <t>Composition date 12</t>
  </si>
  <si>
    <t>Free float date 1</t>
  </si>
  <si>
    <t>Free float date 2</t>
  </si>
  <si>
    <t>Free float date 3</t>
  </si>
  <si>
    <t>Free float date 4</t>
  </si>
  <si>
    <t>Free float date 5</t>
  </si>
  <si>
    <t>Free float date 6</t>
  </si>
  <si>
    <t>Free float date 7</t>
  </si>
  <si>
    <t>Free float date 8</t>
  </si>
  <si>
    <t>Free float date 9</t>
  </si>
  <si>
    <t>Free float date 10</t>
  </si>
  <si>
    <t>Free float date 11</t>
  </si>
  <si>
    <t>Free float date 12</t>
  </si>
  <si>
    <t>Effective dates in a year</t>
  </si>
  <si>
    <t>Cutoff dates in year</t>
  </si>
  <si>
    <t>Announcements in year</t>
  </si>
  <si>
    <t>Composition dates in year</t>
  </si>
  <si>
    <t>Free float start dates</t>
  </si>
  <si>
    <t>Total Dates counter</t>
  </si>
  <si>
    <t>Id</t>
  </si>
  <si>
    <t>Id stop</t>
  </si>
  <si>
    <t>Reason why it's not in dataiku yet</t>
  </si>
  <si>
    <t>Dataiku first release</t>
  </si>
  <si>
    <t>Year</t>
  </si>
  <si>
    <t>Month</t>
  </si>
  <si>
    <t>Price</t>
  </si>
  <si>
    <t>Penultimate Friday of February, May, August, November</t>
  </si>
  <si>
    <t>NXTG</t>
  </si>
  <si>
    <t>Lex</t>
  </si>
  <si>
    <t>New Sheet</t>
  </si>
  <si>
    <t>Automatic</t>
  </si>
  <si>
    <t>Dataiku</t>
  </si>
  <si>
    <t>AEXEW CACEW CLEW</t>
  </si>
  <si>
    <t>Penultimate Friday of February</t>
  </si>
  <si>
    <t>Penultimate Friday of May</t>
  </si>
  <si>
    <t>Penultimate Friday of August</t>
  </si>
  <si>
    <t>Penultimate Friday of November</t>
  </si>
  <si>
    <t/>
  </si>
  <si>
    <t>PAR</t>
  </si>
  <si>
    <t>Query rates from Vigeo Eiris rates on cut-off date</t>
  </si>
  <si>
    <t>Mother index Eurozone 300 can be used as underlying universe (not in rulebook)</t>
  </si>
  <si>
    <t>Amanda</t>
  </si>
  <si>
    <t>Edwin</t>
  </si>
  <si>
    <t>EC1EW COR3P CEE3P CEE1P</t>
  </si>
  <si>
    <t>Mother index Eurozone 300 can be used as underlying (not in rulebook). Review spread over 2 days.</t>
  </si>
  <si>
    <t>Underlying universe is mother index Eurozone 300</t>
  </si>
  <si>
    <t>Anna</t>
  </si>
  <si>
    <t>Mother index Eurozone 300 can be used as underlying (not in rulebook)</t>
  </si>
  <si>
    <t>Ginevra</t>
  </si>
  <si>
    <t>Underlying is mother index Europe 500</t>
  </si>
  <si>
    <t>Ken</t>
  </si>
  <si>
    <t>Second Friday of January</t>
  </si>
  <si>
    <t>Second Friday of July</t>
  </si>
  <si>
    <t>Underlying universe is mother index Eurozone 300. Review spread over 2 days.</t>
  </si>
  <si>
    <t>Underlying universe is mother index Eurozone 300, Vigeo Eiris is providing the ESG scores</t>
  </si>
  <si>
    <t>EZ15P EZN1P</t>
  </si>
  <si>
    <t>CDP</t>
  </si>
  <si>
    <t>CDP provides CDP score; annual review in March. Only Review Announcement at Annual.</t>
  </si>
  <si>
    <t>Underlying universe is mother index Eurozone 300, ESG scores provided</t>
  </si>
  <si>
    <t>Selection out of SBF120</t>
  </si>
  <si>
    <t>Selection out of CAC40</t>
  </si>
  <si>
    <t>Underlying is the SBF120</t>
  </si>
  <si>
    <t>ISS ESG</t>
  </si>
  <si>
    <t>Underlying is CAC40 and Large 60</t>
  </si>
  <si>
    <t>Underlying universe is mother index Eurozone 300 + 50 largest FF Mcap US; Composition to be announced on Wednesday on base of Tuesday close</t>
  </si>
  <si>
    <t>Underlying Universe in Mother index Eurozone 300; CDP provides CDP score; annual review in March. Only Review Announcement at Annual.</t>
  </si>
  <si>
    <t>CUSTOM</t>
  </si>
  <si>
    <t>CDP provides CDP score; annual review in March. US index, review composition sent out +1 (Thursday morning instead of Wednesday night). Only Review Announcement at Annual.</t>
  </si>
  <si>
    <t>Underlying is Mother Index Eurozone 300</t>
  </si>
  <si>
    <t>CDP;Moody's</t>
  </si>
  <si>
    <t>3 day upload!</t>
  </si>
  <si>
    <t>Martijn</t>
  </si>
  <si>
    <t>Underlying Universe in Mother index Europe 500</t>
  </si>
  <si>
    <t>Wednesday after the Third Friday of March</t>
  </si>
  <si>
    <t>Wednesday after the Third Friday of June</t>
  </si>
  <si>
    <t>Wednesday after the Third Friday of September</t>
  </si>
  <si>
    <t>Wednesday after the Third Friday of December</t>
  </si>
  <si>
    <t>Annual in March; underlying universe is mother index Eurozone 300</t>
  </si>
  <si>
    <t>Universe Europe 500, Asia 500 and North America 500</t>
  </si>
  <si>
    <t>Penultimate Friday of February, August</t>
  </si>
  <si>
    <t>OSL</t>
  </si>
  <si>
    <t>Roland</t>
  </si>
  <si>
    <t>Old Sheet</t>
  </si>
  <si>
    <t>OSEXP OSEEP</t>
  </si>
  <si>
    <t>Kelly</t>
  </si>
  <si>
    <t>OBOSP OBSFP OBSHP</t>
  </si>
  <si>
    <t>OSEPX OSEPB</t>
  </si>
  <si>
    <t>Follows CAC 40. Annual in September, Quarterly in other months</t>
  </si>
  <si>
    <t>Underlying is the Transatlantic ESG Leaders 60 EW</t>
  </si>
  <si>
    <t>Alice</t>
  </si>
  <si>
    <t>EZ300;NA500</t>
  </si>
  <si>
    <t>Underlying is the EZ300 and NA500</t>
  </si>
  <si>
    <t>Underlying is the SBF 120 Index, only Annual review</t>
  </si>
  <si>
    <t>EU500;NA500</t>
  </si>
  <si>
    <t>Underlying is the NA500 and EU500</t>
  </si>
  <si>
    <t>Annual review in March, no quarterly</t>
  </si>
  <si>
    <t>Underlying is EZ300</t>
  </si>
  <si>
    <t>ENXG</t>
  </si>
  <si>
    <t>Underlying is EU500 NA500, AS500 + main listings USA, CAN, UK, CH, JP, AUS</t>
  </si>
  <si>
    <t>Underlying is EU500/NA500/AS500 + JP, AUS, UK, SW, CA, USA // Only Annual in May</t>
  </si>
  <si>
    <t>Underlying is EZ300, alternative effective date</t>
  </si>
  <si>
    <t>Coen</t>
  </si>
  <si>
    <t>ENDM</t>
  </si>
  <si>
    <t>Benchmark index / Mother index.</t>
  </si>
  <si>
    <t>ENDMP EDMPU</t>
  </si>
  <si>
    <t>First Friday of January, April, July, October</t>
  </si>
  <si>
    <t>Underlying is SBF 120, alternative effective schedule</t>
  </si>
  <si>
    <t>First Friday of January</t>
  </si>
  <si>
    <t>First Friday of April</t>
  </si>
  <si>
    <t>First Friday of July</t>
  </si>
  <si>
    <t>First Friday of October</t>
  </si>
  <si>
    <t>Underlying is NA500, EUR version</t>
  </si>
  <si>
    <t>Underlying is NA500, USD version</t>
  </si>
  <si>
    <t>Underlying Euronext Developed Market</t>
  </si>
  <si>
    <t>Iceberg;Sustainalytics</t>
  </si>
  <si>
    <t>Sustainalytics data used, underlying Euronext EZ300</t>
  </si>
  <si>
    <t>Sustainalytics data used, underlying Euronext World</t>
  </si>
  <si>
    <t>Underlying AS500, ISS-ESG Oekom Trust Carbon data used</t>
  </si>
  <si>
    <t>Underlying NA500, ISS-ESG Oekom Trust Carbon data used</t>
  </si>
  <si>
    <t>Carbon4 Finance;Sustainalytics</t>
  </si>
  <si>
    <t>Underlying EZ300, Sustainanalytics data used</t>
  </si>
  <si>
    <t>Underlying is Euronext World Index, Sustainalytics &amp; Iceberg data needed</t>
  </si>
  <si>
    <t>Sustainalytics</t>
  </si>
  <si>
    <t>Semi-annual review, March and September</t>
  </si>
  <si>
    <t>OBXEP OEXOP</t>
  </si>
  <si>
    <t>AMS</t>
  </si>
  <si>
    <t>Annual Review in March</t>
  </si>
  <si>
    <t>Only Annual in March</t>
  </si>
  <si>
    <t>Iceberg;Moody's</t>
  </si>
  <si>
    <t>Also Review Weighting Announcement Date</t>
  </si>
  <si>
    <t>Only Annual in April</t>
  </si>
  <si>
    <t>CDP;Moody's;Sustainalytics</t>
  </si>
  <si>
    <t>Review 5 parts (effectuate first 5 trading dates). Announce new divisor last trading day.</t>
  </si>
  <si>
    <t>Last trading-day of September</t>
  </si>
  <si>
    <t>Last trading-day of December</t>
  </si>
  <si>
    <t>Equileap;ISS ESG</t>
  </si>
  <si>
    <t>Annual in January</t>
  </si>
  <si>
    <t>CDP;Sustainalytics</t>
  </si>
  <si>
    <t>Underlying is SBF120</t>
  </si>
  <si>
    <t>Underlying universe is mother index Europe 500 and North America 500</t>
  </si>
  <si>
    <t xml:space="preserve">Underlying are  Euronext® Eurozone 300, North America 500  </t>
  </si>
  <si>
    <t>Annually; companies included in underlying Eurozone 300</t>
  </si>
  <si>
    <t>Underlying is EU500</t>
  </si>
  <si>
    <t>SESAMm;Sustainalytics</t>
  </si>
  <si>
    <t>Iceberg</t>
  </si>
  <si>
    <t>ENWP;EZ300</t>
  </si>
  <si>
    <t>Business France</t>
  </si>
  <si>
    <t>Business France;ISS ESG;SESAMm</t>
  </si>
  <si>
    <t>ISS ESG;Sustainalytics</t>
  </si>
  <si>
    <t>Business France;ISS ESG;SESAMm;Trendeo</t>
  </si>
  <si>
    <t>SECTOR</t>
  </si>
  <si>
    <t>Prelim. Announcement only at annual review (March)</t>
  </si>
  <si>
    <t>Penultimate Friday of May, November</t>
  </si>
  <si>
    <t>Dorval AM;ISS ESG</t>
  </si>
  <si>
    <t>Done</t>
  </si>
  <si>
    <t>Moodys</t>
  </si>
  <si>
    <t xml:space="preserve">Moodys: </t>
  </si>
  <si>
    <t>Other</t>
  </si>
  <si>
    <t>Total Indices</t>
  </si>
  <si>
    <t>Significant</t>
  </si>
  <si>
    <t>Non-Quarterly</t>
  </si>
  <si>
    <t>Coding Notes</t>
  </si>
  <si>
    <t>Used the following datasets</t>
  </si>
  <si>
    <t>Weighting Method</t>
  </si>
  <si>
    <t>Capping</t>
  </si>
  <si>
    <t>Equal Weight</t>
  </si>
  <si>
    <t>AEX;BEL20</t>
  </si>
  <si>
    <t>Main Markets France, Germany, Netherland, Belgium, Luxembourg</t>
  </si>
  <si>
    <t>Fixed Basket</t>
  </si>
  <si>
    <t>BE1P</t>
  </si>
  <si>
    <t>Euronext Banks Eurozone Select 10 EW</t>
  </si>
  <si>
    <t>EIAPR</t>
  </si>
  <si>
    <t>EN Intelligence Artificielle PR</t>
  </si>
  <si>
    <t>DEUPT;EUSPT</t>
  </si>
  <si>
    <t>GSFBP</t>
  </si>
  <si>
    <t>EN Germany Selection Fixed Basket PR</t>
  </si>
  <si>
    <t>EDEFP</t>
  </si>
  <si>
    <t>Euronext Europe Defense Fixed Basket PR</t>
  </si>
  <si>
    <t>AS500;EU500;NA500;EZ300</t>
  </si>
  <si>
    <t>ETPFB</t>
  </si>
  <si>
    <t>Euronext Transatlantic Pharmaceuticals Selection Fixed Basket</t>
  </si>
  <si>
    <t>EES2</t>
  </si>
  <si>
    <t>Euronext European Sovereignty 20 EW</t>
  </si>
  <si>
    <t>ETSEP</t>
  </si>
  <si>
    <t>Euronext Transatlantic Selection Fixed Basket</t>
  </si>
  <si>
    <t>Review Aligned on June</t>
  </si>
  <si>
    <t>Where to find the details file:</t>
  </si>
  <si>
    <t>(4) Folder | Dataiku (Automation)</t>
  </si>
  <si>
    <t>App | Dataiku (Automation)</t>
  </si>
  <si>
    <t>Wait for Amanda/Edwin</t>
  </si>
  <si>
    <t>Practice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</si>
</sst>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\ _€_-;\-* #,##0\ _€_-;_-* &quot;-&quot;??\ _€_-;_-@_-"/>
    <numFmt numFmtId="165" formatCode="_(* #,##0_);_(* \(#,##0\);_(* &quot;-&quot;??_);_(@_)"/>
    <numFmt numFmtId="166" formatCode="dd/mmm/yyyy"/>
  </numFmts>
  <fonts count="13" x14ac:knownFonts="1">
    <font>
      <sz val="10"/>
      <color theme="1"/>
      <name val="Verdana"/>
      <family val="2"/>
    </font>
    <font>
      <sz val="10"/>
      <color theme="1"/>
      <name val="Verdan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theme="1"/>
      <name val="Verdana"/>
      <family val="2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y"/>
    </font>
    <font>
      <u/>
      <sz val="10"/>
      <color theme="10"/>
      <name val="Verdana"/>
      <family val="2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rgb="FFABABAB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12" fillId="0" borderId="0" applyNumberFormat="0" applyFill="0" applyBorder="0" applyAlignment="0" applyProtection="0"/>
  </cellStyleXfs>
  <cellXfs count="83">
    <xf numFmtId="0" fontId="0" fillId="0" borderId="0" xfId="0"/>
    <xf numFmtId="14" fontId="0" fillId="0" borderId="0" xfId="0" applyNumberFormat="1"/>
    <xf numFmtId="0" fontId="0" fillId="3" borderId="0" xfId="0" applyFill="1"/>
    <xf numFmtId="43" fontId="3" fillId="3" borderId="0" xfId="1" applyFont="1" applyFill="1" applyAlignment="1">
      <alignment horizontal="right"/>
    </xf>
    <xf numFmtId="43" fontId="2" fillId="3" borderId="0" xfId="1" applyFont="1" applyFill="1"/>
    <xf numFmtId="164" fontId="4" fillId="0" borderId="1" xfId="0" applyNumberFormat="1" applyFont="1" applyBorder="1"/>
    <xf numFmtId="164" fontId="4" fillId="0" borderId="2" xfId="0" applyNumberFormat="1" applyFont="1" applyBorder="1"/>
    <xf numFmtId="164" fontId="4" fillId="0" borderId="3" xfId="0" applyNumberFormat="1" applyFont="1" applyBorder="1"/>
    <xf numFmtId="0" fontId="3" fillId="4" borderId="4" xfId="3" applyFont="1" applyFill="1" applyBorder="1" applyAlignment="1">
      <alignment horizontal="center" vertical="center"/>
    </xf>
    <xf numFmtId="0" fontId="3" fillId="4" borderId="5" xfId="3" applyFont="1" applyFill="1" applyBorder="1" applyAlignment="1">
      <alignment horizontal="center" vertical="center"/>
    </xf>
    <xf numFmtId="164" fontId="3" fillId="4" borderId="5" xfId="3" applyNumberFormat="1" applyFont="1" applyFill="1" applyBorder="1" applyAlignment="1">
      <alignment horizontal="center" vertical="center"/>
    </xf>
    <xf numFmtId="0" fontId="3" fillId="4" borderId="6" xfId="3" applyFont="1" applyFill="1" applyBorder="1" applyAlignment="1">
      <alignment horizontal="center" vertical="center"/>
    </xf>
    <xf numFmtId="0" fontId="5" fillId="3" borderId="0" xfId="0" applyFont="1" applyFill="1"/>
    <xf numFmtId="0" fontId="6" fillId="5" borderId="0" xfId="0" applyFont="1" applyFill="1" applyAlignment="1">
      <alignment horizontal="center"/>
    </xf>
    <xf numFmtId="0" fontId="0" fillId="3" borderId="7" xfId="0" applyFill="1" applyBorder="1"/>
    <xf numFmtId="0" fontId="0" fillId="0" borderId="0" xfId="0" applyAlignment="1">
      <alignment horizontal="left"/>
    </xf>
    <xf numFmtId="165" fontId="0" fillId="3" borderId="0" xfId="0" applyNumberFormat="1" applyFill="1"/>
    <xf numFmtId="0" fontId="0" fillId="3" borderId="0" xfId="0" applyFill="1" applyAlignment="1">
      <alignment horizontal="left"/>
    </xf>
    <xf numFmtId="165" fontId="0" fillId="3" borderId="7" xfId="0" applyNumberFormat="1" applyFill="1" applyBorder="1"/>
    <xf numFmtId="0" fontId="7" fillId="3" borderId="0" xfId="0" applyFont="1" applyFill="1" applyAlignment="1">
      <alignment horizontal="left"/>
    </xf>
    <xf numFmtId="165" fontId="7" fillId="3" borderId="0" xfId="0" applyNumberFormat="1" applyFont="1" applyFill="1"/>
    <xf numFmtId="43" fontId="2" fillId="3" borderId="8" xfId="1" applyFont="1" applyFill="1" applyBorder="1" applyAlignment="1">
      <alignment horizontal="center"/>
    </xf>
    <xf numFmtId="2" fontId="2" fillId="3" borderId="8" xfId="1" applyNumberFormat="1" applyFont="1" applyFill="1" applyBorder="1" applyAlignment="1">
      <alignment horizontal="center"/>
    </xf>
    <xf numFmtId="10" fontId="2" fillId="3" borderId="8" xfId="2" applyNumberFormat="1" applyFont="1" applyFill="1" applyBorder="1" applyAlignment="1">
      <alignment horizontal="center"/>
    </xf>
    <xf numFmtId="3" fontId="2" fillId="3" borderId="8" xfId="1" applyNumberFormat="1" applyFont="1" applyFill="1" applyBorder="1" applyAlignment="1">
      <alignment horizontal="center"/>
    </xf>
    <xf numFmtId="0" fontId="3" fillId="3" borderId="0" xfId="0" applyFont="1" applyFill="1" applyAlignment="1">
      <alignment horizontal="left"/>
    </xf>
    <xf numFmtId="165" fontId="3" fillId="3" borderId="0" xfId="0" applyNumberFormat="1" applyFont="1" applyFill="1"/>
    <xf numFmtId="0" fontId="0" fillId="0" borderId="0" xfId="0" pivotButton="1"/>
    <xf numFmtId="0" fontId="6" fillId="5" borderId="0" xfId="0" pivotButton="1" applyFont="1" applyFill="1" applyAlignment="1">
      <alignment horizontal="left"/>
    </xf>
    <xf numFmtId="0" fontId="5" fillId="5" borderId="0" xfId="0" pivotButton="1" applyFont="1" applyFill="1" applyAlignment="1">
      <alignment horizontal="center"/>
    </xf>
    <xf numFmtId="0" fontId="5" fillId="5" borderId="0" xfId="0" pivotButton="1" applyFont="1" applyFill="1"/>
    <xf numFmtId="0" fontId="6" fillId="5" borderId="7" xfId="0" pivotButton="1" applyFont="1" applyFill="1" applyBorder="1"/>
    <xf numFmtId="0" fontId="6" fillId="5" borderId="0" xfId="0" pivotButton="1" applyFont="1" applyFill="1" applyAlignment="1">
      <alignment horizontal="center"/>
    </xf>
    <xf numFmtId="0" fontId="8" fillId="0" borderId="0" xfId="0" applyFont="1"/>
    <xf numFmtId="2" fontId="0" fillId="0" borderId="0" xfId="0" applyNumberFormat="1"/>
    <xf numFmtId="0" fontId="0" fillId="6" borderId="0" xfId="0" applyFill="1"/>
    <xf numFmtId="0" fontId="0" fillId="0" borderId="8" xfId="0" applyBorder="1"/>
    <xf numFmtId="0" fontId="0" fillId="0" borderId="0" xfId="0" applyFont="1"/>
    <xf numFmtId="0" fontId="0" fillId="0" borderId="0" xfId="0" applyAlignment="1">
      <alignment vertical="center"/>
    </xf>
    <xf numFmtId="0" fontId="0" fillId="0" borderId="0" xfId="0" applyFill="1"/>
    <xf numFmtId="16" fontId="0" fillId="0" borderId="0" xfId="0" applyNumberFormat="1"/>
    <xf numFmtId="9" fontId="0" fillId="0" borderId="0" xfId="0" applyNumberFormat="1" applyFont="1"/>
    <xf numFmtId="0" fontId="3" fillId="7" borderId="8" xfId="0" applyFont="1" applyFill="1" applyBorder="1" applyAlignment="1">
      <alignment horizontal="center" vertical="center" wrapText="1"/>
    </xf>
    <xf numFmtId="0" fontId="0" fillId="0" borderId="0" xfId="0" applyProtection="1">
      <protection locked="0"/>
    </xf>
    <xf numFmtId="0" fontId="0" fillId="0" borderId="0" xfId="0" applyAlignment="1">
      <alignment wrapText="1"/>
    </xf>
    <xf numFmtId="0" fontId="3" fillId="7" borderId="8" xfId="0" applyFont="1" applyFill="1" applyBorder="1" applyAlignment="1" applyProtection="1">
      <alignment horizontal="center" vertical="center" wrapText="1"/>
      <protection locked="0"/>
    </xf>
    <xf numFmtId="0" fontId="0" fillId="6" borderId="8" xfId="0" applyFill="1" applyBorder="1" applyAlignment="1">
      <alignment horizontal="center" vertical="center" wrapText="1"/>
    </xf>
    <xf numFmtId="0" fontId="0" fillId="6" borderId="8" xfId="0" applyFill="1" applyBorder="1" applyAlignment="1">
      <alignment horizontal="center" vertical="center"/>
    </xf>
    <xf numFmtId="0" fontId="0" fillId="8" borderId="8" xfId="0" applyFill="1" applyBorder="1" applyAlignment="1">
      <alignment horizontal="center" vertical="center" wrapText="1"/>
    </xf>
    <xf numFmtId="16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10" fillId="0" borderId="0" xfId="0" applyFont="1" applyProtection="1">
      <protection locked="0"/>
    </xf>
    <xf numFmtId="0" fontId="0" fillId="0" borderId="9" xfId="0" applyBorder="1" applyProtection="1">
      <protection locked="0"/>
    </xf>
    <xf numFmtId="0" fontId="0" fillId="0" borderId="9" xfId="0" applyBorder="1" applyAlignment="1">
      <alignment horizontal="center"/>
    </xf>
    <xf numFmtId="0" fontId="0" fillId="0" borderId="9" xfId="0" applyBorder="1"/>
    <xf numFmtId="0" fontId="0" fillId="0" borderId="10" xfId="0" applyBorder="1"/>
    <xf numFmtId="166" fontId="0" fillId="0" borderId="10" xfId="0" applyNumberFormat="1" applyBorder="1" applyAlignment="1">
      <alignment horizontal="center"/>
    </xf>
    <xf numFmtId="166" fontId="0" fillId="0" borderId="0" xfId="0" applyNumberFormat="1" applyAlignment="1">
      <alignment horizontal="center"/>
    </xf>
    <xf numFmtId="166" fontId="0" fillId="0" borderId="9" xfId="0" applyNumberFormat="1" applyBorder="1" applyAlignment="1">
      <alignment horizontal="center"/>
    </xf>
    <xf numFmtId="1" fontId="0" fillId="0" borderId="9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/>
    <xf numFmtId="14" fontId="0" fillId="0" borderId="10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0" borderId="9" xfId="0" applyBorder="1" applyAlignment="1">
      <alignment horizontal="center" vertical="center"/>
    </xf>
    <xf numFmtId="166" fontId="10" fillId="0" borderId="0" xfId="0" applyNumberFormat="1" applyFont="1" applyAlignment="1" applyProtection="1">
      <alignment horizontal="center"/>
      <protection locked="0"/>
    </xf>
    <xf numFmtId="0" fontId="3" fillId="7" borderId="11" xfId="0" applyFont="1" applyFill="1" applyBorder="1" applyAlignment="1">
      <alignment horizontal="center" vertical="center" wrapText="1"/>
    </xf>
    <xf numFmtId="0" fontId="0" fillId="0" borderId="0" xfId="0" applyBorder="1"/>
    <xf numFmtId="0" fontId="0" fillId="0" borderId="0" xfId="0" applyFill="1" applyBorder="1"/>
    <xf numFmtId="0" fontId="8" fillId="0" borderId="12" xfId="0" applyFont="1" applyBorder="1"/>
    <xf numFmtId="0" fontId="0" fillId="0" borderId="13" xfId="0" applyBorder="1"/>
    <xf numFmtId="0" fontId="8" fillId="0" borderId="14" xfId="0" applyFont="1" applyBorder="1"/>
    <xf numFmtId="0" fontId="0" fillId="0" borderId="15" xfId="0" applyFont="1" applyBorder="1"/>
    <xf numFmtId="0" fontId="8" fillId="0" borderId="16" xfId="0" applyFont="1" applyBorder="1"/>
    <xf numFmtId="0" fontId="0" fillId="0" borderId="17" xfId="0" applyFont="1" applyBorder="1"/>
    <xf numFmtId="0" fontId="0" fillId="0" borderId="0" xfId="0" applyFont="1" applyFill="1" applyBorder="1"/>
    <xf numFmtId="0" fontId="0" fillId="0" borderId="0" xfId="0" applyFill="1" applyBorder="1" applyProtection="1">
      <protection locked="0"/>
    </xf>
    <xf numFmtId="0" fontId="8" fillId="0" borderId="0" xfId="0" applyFont="1" applyProtection="1">
      <protection locked="0"/>
    </xf>
    <xf numFmtId="0" fontId="8" fillId="0" borderId="0" xfId="0" applyFont="1" applyBorder="1"/>
    <xf numFmtId="0" fontId="11" fillId="0" borderId="0" xfId="0" applyFont="1" applyBorder="1"/>
    <xf numFmtId="0" fontId="3" fillId="9" borderId="18" xfId="0" applyFont="1" applyFill="1" applyBorder="1" applyAlignment="1">
      <alignment horizontal="center"/>
    </xf>
    <xf numFmtId="0" fontId="12" fillId="0" borderId="0" xfId="4"/>
  </cellXfs>
  <cellStyles count="5">
    <cellStyle name="20 % - Accent6 2" xfId="3" xr:uid="{375642AE-AE74-4014-A205-3DDDDA7241F4}"/>
    <cellStyle name="Comma" xfId="1" builtinId="3"/>
    <cellStyle name="Hyperlink" xfId="4" builtinId="8"/>
    <cellStyle name="Normal" xfId="0" builtinId="0"/>
    <cellStyle name="Percent" xfId="2" builtinId="5"/>
  </cellStyles>
  <dxfs count="132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6" tint="0.79998168889431442"/>
        </patternFill>
      </fill>
    </dxf>
    <dxf>
      <font>
        <strike/>
      </font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>
          <bgColor theme="6" tint="0.79998168889431442"/>
        </patternFill>
      </fill>
    </dxf>
    <dxf>
      <font>
        <strike/>
      </font>
    </dxf>
    <dxf>
      <fill>
        <patternFill>
          <bgColor theme="6" tint="0.79998168889431442"/>
        </patternFill>
      </fill>
    </dxf>
    <dxf>
      <font>
        <strike/>
      </font>
    </dxf>
    <dxf>
      <font>
        <strike/>
      </font>
    </dxf>
    <dxf>
      <font>
        <strike/>
      </font>
    </dxf>
    <dxf>
      <font>
        <strike/>
      </font>
    </dxf>
    <dxf>
      <font>
        <b/>
        <color theme="0"/>
      </font>
      <fill>
        <patternFill patternType="solid">
          <fgColor indexed="64"/>
          <bgColor theme="1"/>
        </patternFill>
      </fill>
    </dxf>
    <dxf>
      <font>
        <b/>
        <color theme="0"/>
      </font>
      <fill>
        <patternFill patternType="solid">
          <fgColor indexed="64"/>
          <bgColor theme="1"/>
        </patternFill>
      </fill>
    </dxf>
    <dxf>
      <numFmt numFmtId="165" formatCode="_(* #,##0_);_(* \(#,##0\);_(* &quot;-&quot;??_);_(@_)"/>
    </dxf>
    <dxf>
      <numFmt numFmtId="165" formatCode="_(* #,##0_);_(* \(#,##0\);_(* &quot;-&quot;??_);_(@_)"/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numFmt numFmtId="165" formatCode="_(* #,##0_);_(* \(#,##0\);_(* &quot;-&quot;??_);_(@_)"/>
      <alignment horizontal="general" vertical="bottom" textRotation="0" wrapText="0" indent="0" justifyLastLine="0" shrinkToFit="0" readingOrder="0"/>
    </dxf>
    <dxf>
      <numFmt numFmtId="165" formatCode="_(* #,##0_);_(* \(#,##0\);_(* &quot;-&quot;??_);_(@_)"/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</dxf>
    <dxf>
      <font>
        <b/>
        <color theme="0"/>
      </font>
      <fill>
        <patternFill patternType="solid">
          <fgColor indexed="64"/>
          <bgColor theme="1"/>
        </patternFill>
      </fill>
    </dxf>
    <dxf>
      <font>
        <b/>
        <color theme="0"/>
      </font>
      <fill>
        <patternFill patternType="solid">
          <fgColor indexed="64"/>
          <bgColor theme="1"/>
        </patternFill>
      </fill>
    </dxf>
    <dxf>
      <numFmt numFmtId="165" formatCode="_(* #,##0_);_(* \(#,##0\);_(* &quot;-&quot;??_);_(@_)"/>
      <fill>
        <patternFill patternType="solid">
          <fgColor indexed="64"/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solid">
          <fgColor indexed="64"/>
          <bgColor theme="0"/>
        </patternFill>
      </fill>
    </dxf>
    <dxf>
      <numFmt numFmtId="165" formatCode="_(* #,##0_);_(* \(#,##0\);_(* &quot;-&quot;??_);_(@_)"/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ont>
        <b/>
        <color theme="0"/>
      </font>
      <fill>
        <patternFill patternType="solid">
          <fgColor indexed="64"/>
          <bgColor theme="1"/>
        </patternFill>
      </fill>
      <alignment horizontal="left"/>
    </dxf>
    <dxf>
      <numFmt numFmtId="165" formatCode="_(* #,##0_);_(* \(#,##0\);_(* &quot;-&quot;??_);_(@_)"/>
      <alignment horizontal="general" vertical="bottom" textRotation="0" wrapText="0" indent="0" justifyLastLine="0" shrinkToFit="0" readingOrder="0"/>
    </dxf>
    <dxf>
      <numFmt numFmtId="0" formatCode="General"/>
      <alignment horizontal="left"/>
    </dxf>
    <dxf>
      <numFmt numFmtId="0" formatCode="General"/>
    </dxf>
    <dxf>
      <numFmt numFmtId="0" formatCode="General"/>
    </dxf>
    <dxf>
      <numFmt numFmtId="0" formatCode="General"/>
    </dxf>
    <dxf>
      <numFmt numFmtId="165" formatCode="_(* #,##0_);_(* \(#,##0\);_(* &quot;-&quot;??_);_(@_)"/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</dxf>
    <dxf>
      <numFmt numFmtId="165" formatCode="_(* #,##0_);_(* \(#,##0\);_(* &quot;-&quot;??_);_(@_)"/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</dxf>
    <dxf>
      <numFmt numFmtId="165" formatCode="_(* #,##0_);_(* \(#,##0\);_(* &quot;-&quot;??_);_(@_)"/>
    </dxf>
    <dxf>
      <alignment horizontal="center"/>
    </dxf>
    <dxf>
      <alignment horizontal="center"/>
    </dxf>
    <dxf>
      <font>
        <color theme="0"/>
      </font>
    </dxf>
    <dxf>
      <fill>
        <patternFill patternType="solid">
          <bgColor theme="1"/>
        </patternFill>
      </fill>
    </dxf>
    <dxf>
      <fill>
        <patternFill>
          <bgColor theme="1"/>
        </patternFill>
      </fill>
    </dxf>
    <dxf>
      <font>
        <color theme="1"/>
      </font>
    </dxf>
    <dxf>
      <font>
        <color theme="1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b/>
      </font>
    </dxf>
    <dxf>
      <font>
        <b/>
      </font>
    </dxf>
    <dxf>
      <font>
        <color theme="0"/>
      </font>
    </dxf>
    <dxf>
      <fill>
        <patternFill patternType="solid">
          <bgColor rgb="FF008D7F"/>
        </patternFill>
      </fill>
    </dxf>
    <dxf>
      <fill>
        <patternFill patternType="solid">
          <bgColor rgb="FF008D7F"/>
        </patternFill>
      </fill>
    </dxf>
    <dxf>
      <alignment horizontal="center"/>
    </dxf>
    <dxf>
      <font>
        <b/>
      </font>
    </dxf>
    <dxf>
      <font>
        <color theme="0"/>
      </font>
    </dxf>
    <dxf>
      <fill>
        <patternFill patternType="solid">
          <bgColor rgb="FF008D7F"/>
        </patternFill>
      </fill>
    </dxf>
    <dxf>
      <font>
        <color auto="1"/>
      </font>
    </dxf>
    <dxf>
      <font>
        <color auto="1"/>
      </font>
    </dxf>
    <dxf>
      <numFmt numFmtId="165" formatCode="_(* #,##0_);_(* \(#,##0\);_(* &quot;-&quot;??_);_(@_)"/>
    </dxf>
    <dxf>
      <font>
        <b/>
        <color theme="0"/>
      </font>
      <fill>
        <patternFill patternType="solid">
          <fgColor indexed="64"/>
          <bgColor theme="1"/>
        </patternFill>
      </fill>
      <alignment horizontal="center"/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b/>
      </font>
    </dxf>
    <dxf>
      <font>
        <b/>
      </font>
    </dxf>
    <dxf>
      <font>
        <color theme="0"/>
      </font>
    </dxf>
    <dxf>
      <fill>
        <patternFill patternType="solid">
          <bgColor rgb="FF008D7F"/>
        </patternFill>
      </fill>
    </dxf>
    <dxf>
      <fill>
        <patternFill patternType="solid">
          <bgColor rgb="FF008D7F"/>
        </patternFill>
      </fill>
    </dxf>
    <dxf>
      <font>
        <color rgb="FF008D7F"/>
      </font>
    </dxf>
    <dxf>
      <font>
        <color rgb="FF008D7F"/>
      </font>
    </dxf>
    <dxf>
      <alignment horizontal="center"/>
    </dxf>
    <dxf>
      <font>
        <b/>
      </font>
    </dxf>
    <dxf>
      <font>
        <color theme="0"/>
      </font>
    </dxf>
    <dxf>
      <fill>
        <patternFill patternType="solid">
          <bgColor rgb="FF008D7F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theme="0"/>
      </font>
    </dxf>
    <dxf>
      <fill>
        <patternFill patternType="solid">
          <bgColor theme="1"/>
        </patternFill>
      </fill>
    </dxf>
    <dxf>
      <font>
        <color auto="1"/>
      </font>
    </dxf>
    <dxf>
      <font>
        <color auto="1"/>
      </font>
    </dxf>
    <dxf>
      <numFmt numFmtId="165" formatCode="_(* #,##0_);_(* \(#,##0\);_(* &quot;-&quot;??_);_(@_)"/>
    </dxf>
    <dxf>
      <font>
        <b/>
        <color theme="0"/>
      </font>
      <fill>
        <patternFill patternType="solid">
          <fgColor indexed="64"/>
          <bgColor theme="1"/>
        </patternFill>
      </fill>
      <alignment horizontal="center"/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b/>
      </font>
    </dxf>
    <dxf>
      <font>
        <b/>
      </font>
    </dxf>
    <dxf>
      <font>
        <color theme="0"/>
      </font>
    </dxf>
    <dxf>
      <fill>
        <patternFill patternType="solid">
          <bgColor rgb="FF008D7F"/>
        </patternFill>
      </fill>
    </dxf>
    <dxf>
      <fill>
        <patternFill patternType="solid">
          <bgColor rgb="FF008D7F"/>
        </patternFill>
      </fill>
    </dxf>
    <dxf>
      <font>
        <color rgb="FF008D7F"/>
      </font>
    </dxf>
    <dxf>
      <font>
        <color rgb="FF008D7F"/>
      </font>
    </dxf>
    <dxf>
      <alignment horizontal="center"/>
    </dxf>
    <dxf>
      <font>
        <b/>
      </font>
    </dxf>
    <dxf>
      <font>
        <color theme="0"/>
      </font>
    </dxf>
    <dxf>
      <fill>
        <patternFill patternType="solid">
          <bgColor rgb="FF008D7F"/>
        </patternFill>
      </fill>
    </dxf>
    <dxf>
      <alignment horizontal="left"/>
    </dxf>
    <dxf>
      <font>
        <color auto="1"/>
      </font>
    </dxf>
    <dxf>
      <font>
        <color auto="1"/>
      </font>
    </dxf>
    <dxf>
      <numFmt numFmtId="165" formatCode="_(* #,##0_);_(* \(#,##0\);_(* &quot;-&quot;??_);_(@_)"/>
    </dxf>
    <dxf>
      <font>
        <b/>
        <color theme="0"/>
      </font>
      <fill>
        <patternFill patternType="solid">
          <fgColor indexed="64"/>
          <bgColor theme="1"/>
        </patternFill>
      </fill>
      <alignment horizontal="center"/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b/>
      </font>
    </dxf>
    <dxf>
      <font>
        <b/>
      </font>
    </dxf>
    <dxf>
      <font>
        <color theme="0"/>
      </font>
    </dxf>
    <dxf>
      <fill>
        <patternFill patternType="solid">
          <bgColor rgb="FF008D7F"/>
        </patternFill>
      </fill>
    </dxf>
    <dxf>
      <fill>
        <patternFill patternType="solid">
          <bgColor rgb="FF008D7F"/>
        </patternFill>
      </fill>
    </dxf>
    <dxf>
      <font>
        <color rgb="FF008D7F"/>
      </font>
    </dxf>
    <dxf>
      <font>
        <color rgb="FF008D7F"/>
      </font>
    </dxf>
    <dxf>
      <alignment horizontal="center"/>
    </dxf>
    <dxf>
      <font>
        <b/>
      </font>
    </dxf>
    <dxf>
      <font>
        <color theme="0"/>
      </font>
    </dxf>
    <dxf>
      <fill>
        <patternFill patternType="solid">
          <bgColor rgb="FF008D7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Francesco Bernardi" id="{EDAFB5BA-B6E1-4A82-931D-F6E201F88CDF}" userId="S::FBernardi@euronext.com::a30b09c3-a502-44a1-805a-b653f868e439" providerId="AD"/>
</personList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Sonneveld\AppData\Local\Microsoft\Windows\INetCache\Content.Outlook\OE8OL9XN\AUM%20Report%20-%20Q3%202024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Sonneveld\AppData\Local\Microsoft\Windows\INetCache\Content.Outlook\OE8OL9XN\AUM%20Report%20-%20Q3%202024.xlsx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Sonneveld\AppData\Local\Microsoft\Windows\INetCache\Content.Outlook\OE8OL9XN\AUM%20Report%20-%20Q3%202024.xlsx" TargetMode="External"/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ctor De Matharel" refreshedDate="45614.663227199075" createdVersion="8" refreshedVersion="8" minRefreshableVersion="3" recordCount="65531" xr:uid="{84B02714-ED5C-4DCD-AE8B-5767FA226D19}">
  <cacheSource type="worksheet">
    <worksheetSource ref="A2:T1048576" sheet="IndicesPerBenchmarkfam" r:id="rId2"/>
  </cacheSource>
  <cacheFields count="20">
    <cacheField name="Full name" numFmtId="0">
      <sharedItems containsBlank="1" count="1447">
        <s v="AEX GR"/>
        <s v="AEX NR"/>
        <s v="AEX-Index"/>
        <s v="BEL 20"/>
        <s v="BEL 20 GR"/>
        <s v="BEL 20 NR"/>
        <s v="CAC 40"/>
        <s v="CAC 40 GR"/>
        <s v="CAC 40 NR"/>
        <s v="ISEQ 20"/>
        <s v="ISEQ 20 GR"/>
        <s v="PSI"/>
        <s v="PSI GR"/>
        <s v="PSI NR"/>
        <s v="AEX All-Tradable"/>
        <s v="AEX All-Tradable Alternative Weight GR"/>
        <s v="AEX All-Tradable Alternative Weight NR"/>
        <s v="AEX All-Tradable Alternative Weighting"/>
        <s v="AEX All-Tradable GR"/>
        <s v="AEX All-Tradable NR"/>
        <s v="AMX GR"/>
        <s v="AMX NR"/>
        <s v="AMX-Index"/>
        <s v="AScX GR"/>
        <s v="AScX NR"/>
        <s v="AScX-Index"/>
        <s v="AEX All-Share Index"/>
        <s v="AEX All-Share Index GR"/>
        <s v="AEX Basic Materials"/>
        <s v="AEX Basic Materials GR"/>
        <s v="AEX Consumer Discretionary"/>
        <s v="AEX Consumer Discretionary GR"/>
        <s v="AEX Consumer Staples"/>
        <s v="AEX Consumer Staples GR"/>
        <s v="AEX Energy"/>
        <s v="AEX Energy GR"/>
        <s v="AEX Financials"/>
        <s v="AEX Financials GR"/>
        <s v="AEX Health Care"/>
        <s v="AEX Health Care GR"/>
        <s v="AEX Industrials"/>
        <s v="AEX Industrials GR"/>
        <s v="AEX Real Estate"/>
        <s v="AEX Real Estate GR"/>
        <s v="AEX Technology"/>
        <s v="AEX Technology GR"/>
        <s v="AEX Telecommunications"/>
        <s v="AEX Telecommunications GR"/>
        <s v="AEX UTILITIES"/>
        <s v="AEX UTILITIES GR"/>
        <s v="AEX ESG GR "/>
        <s v="AEX ESG NR "/>
        <s v="AEX ESG "/>
        <s v="AEX Dividend Index"/>
        <s v="AEX Equal Weight"/>
        <s v="AEX Equal Weight GR"/>
        <s v="AEX Equal Weight NR"/>
        <s v="AEX EXT"/>
        <s v="BEL Mid"/>
        <s v="BEL Mid GR"/>
        <s v="BEL Mid NR"/>
        <s v="BEL Small"/>
        <s v="BEL Small GR"/>
        <s v="BEL Small NR"/>
        <s v="BEL All-Share Index"/>
        <s v="BEL All-Share Index NR"/>
        <s v="BEL Basic Materials"/>
        <s v="BEL Basic Materials NR"/>
        <s v="BEL Consumer Discretionary"/>
        <s v="BEL Consumer Discretionary NR"/>
        <s v="BEL Consumer Staples"/>
        <s v="BEL Consumer Staples NR"/>
        <s v="BEL Continuous Stocks Index"/>
        <s v="BEL Continuous Stocks Index NR"/>
        <s v="BEL Energy"/>
        <s v="BEL Energy NR"/>
        <s v="BEL Financials"/>
        <s v="BEL Financials NR"/>
        <s v="BEL Health Care"/>
        <s v="BEL Health Care NR"/>
        <s v="BEL Industrials"/>
        <s v="BEL Industrials NR"/>
        <s v="BEL Real Estate"/>
        <s v="BEL Real Estate NR"/>
        <s v="BEL Technology"/>
        <s v="BEL Technology NR"/>
        <s v="BEL Telecommunications"/>
        <s v="BEL Telecommunications NR"/>
        <s v="BEL Utilities"/>
        <s v="BEL Utilities NR"/>
        <s v="CAC All-Tradable"/>
        <s v="CAC All-Tradable GR"/>
        <s v="CAC All-Tradable NR"/>
        <s v="CAC Large 60"/>
        <s v="CAC Large 60 GR"/>
        <s v="CAC Large 60 NR"/>
        <s v="CAC Mid &amp; Small"/>
        <s v="CAC Mid &amp; Small GR"/>
        <s v="CAC Mid &amp; Small NR"/>
        <s v="CAC Mid 60"/>
        <s v="CAC Mid 60 Decrement 5%"/>
        <s v="CAC Mid 60 GR"/>
        <s v="CAC Mid 60 NR"/>
        <s v="CAC Next 20"/>
        <s v="CAC Next 20 GR"/>
        <s v="CAC Next 20 NR"/>
        <s v="CAC Small"/>
        <s v="CAC Small GR"/>
        <s v="CAC Small NR"/>
        <s v="SBF 120"/>
        <s v="SBF 120 GR"/>
        <s v="SBF 120 NR"/>
        <s v="CAC 40 ESG"/>
        <s v="CAC 40 ESG Decrement 3%"/>
        <s v="CAC 40 ESG Decrement 3.5%"/>
        <s v="CAC 40 ESG Decrement 4%"/>
        <s v="CAC 40 ESG Decrement 4.5%"/>
        <s v="CAC 40 ESG Decrement 5%"/>
        <s v="CAC 40 ESG GR"/>
        <s v="CAC 40 ESG NR"/>
        <s v="CAC 40 Inflation Adjusted"/>
        <s v="CAC 40 NR Inflation Adjusted"/>
        <s v="CAC All-Share Index"/>
        <s v="CAC All-Share Index NR"/>
        <s v="CAC 40 Gross Return Decrement 5%"/>
        <s v="CAC Basic Materials"/>
        <s v="CAC Basic Materials NR"/>
        <s v="CAC Consumer Discretionary"/>
        <s v="CAC Consumer Discretionary NR"/>
        <s v="CAC Consumer Staples"/>
        <s v="CAC Consumer Staples NR"/>
        <s v="CAC Energy"/>
        <s v="CAC Energy NR"/>
        <s v="CAC Financials"/>
        <s v="CAC Financials NR"/>
        <s v="CAC Health Care"/>
        <s v="CAC Health Care NR"/>
        <s v="CAC Industrials"/>
        <s v="CAC Industrials NR"/>
        <s v="CAC Real Estate"/>
        <s v="CAC Real Estate NR"/>
        <s v="CAC Technology"/>
        <s v="CAC Technology NR"/>
        <s v="CAC Telecommunications"/>
        <s v="CAC Telecommunications NR"/>
        <s v="CAC Utilities"/>
        <s v="CAC Utilities NR"/>
        <s v="Enternext PEA-PME 150 Index"/>
        <s v="Enternext PEA-PME 150 Index GR"/>
        <s v="CAC Large 60 RI SW"/>
        <s v="CAC Large 60 RI SW Decrement 5%"/>
        <s v="CAC Large 60 RI SW GR"/>
        <s v="CAC Large 60 RI SW NR"/>
        <s v="CAC SBT 1.5"/>
        <s v="CAC SBT 1.5 GR"/>
        <s v="CAC SBT 1.5 GR Decrement 3.75%"/>
        <s v="CAC SBT 1.5 GR Decrement 4%"/>
        <s v="CAC SBT 1.5 GR Decrement 5%"/>
        <s v="CAC SBT 1.5 NR"/>
        <s v="CAC SBT 1.5 NR Decrement 3.75%"/>
        <s v="CAC SBT 1.5 NR Decrement 4%"/>
        <s v="CAC SBT 1.5 NR Decrement 5%"/>
        <s v="CAC 40 Dividend Index"/>
        <s v="CAC 40 Equal Weight"/>
        <s v="CAC 40 Equal Weight GR"/>
        <s v="CAC 40 Equal Weight NR"/>
        <s v="CAC 40 EW Decrement 5%"/>
        <s v="CAC EWC 40"/>
        <s v="CAC Large 60 Equal Weight"/>
        <s v="CAC Large 60 Equal Weight Decrement 4%"/>
        <s v="CAC Large 60 Equal Weight GR"/>
        <s v="CAC Large 60 Equal Weight NR"/>
        <s v="CAC Large 60 EW ER"/>
        <s v="CAC Large 60 EW NR JPY"/>
        <s v="CAC Large 60 EW NR JPY Hedged"/>
        <s v="CAC 40 EXT"/>
        <s v="CAC 40 Governance"/>
        <s v="CAC 40 Governance Decrement 5%"/>
        <s v="CAC 40 Governance GR"/>
        <s v="CAC 40 Governance NR"/>
        <s v="CAC 40 Cumulative Dividend"/>
        <s v="CAC 40 Synthetic Dividend"/>
        <s v="Euronext 100 Index"/>
        <s v="Euronext 100 Index GR"/>
        <s v="Next 150 Index"/>
        <s v="Next 150 Index GR"/>
        <s v="Euronext Asia Pacific 500"/>
        <s v="Euronext Asia Pacific 500 GR"/>
        <s v="Euronext Asia Pacific 500 NR"/>
        <s v="Euronext BeNe 40 Equal Weight"/>
        <s v="Euronext BeNe 40 Equal Weight GR"/>
        <s v="Euronext BeNe 40 Equal Weight NR"/>
        <s v="Euronext BeNe 40 EW Excess Return"/>
        <s v="Euronext BeNe 40 Equal Weight Volatility Target"/>
        <s v="Euronext BeNeLux ESG Leaders 20"/>
        <s v="Euronext BeNeLux ESG Leaders 20 Decrement 4.5%"/>
        <s v="Euronext BeNeLux ESG Leaders 20 GR"/>
        <s v="Euronext BeNeLux ESG Leaders 20 NR"/>
        <s v="Euronext BeNeLux Low Risk 20"/>
        <s v="Euronext BeNeLux Low Risk 20 D 4.5%"/>
        <s v="Euronext BeNeLux Low Risk 20 GR"/>
        <s v="Euronext BeNeLux Low Risk 20 NR"/>
        <s v="EN CDP Environment ESG Eurozone EW"/>
        <s v="EN CDP Environment ESG Eurozone EW D5%"/>
        <s v="EN CDP Environment ESG Eurozone EW GR"/>
        <s v="EN CDP Environment ESG Eurozone EW NR"/>
        <s v="Euronext CDP Environment ESG France EW"/>
        <s v="Euronext CDP Environment ESG France EW Decrement 5%"/>
        <s v="Euronext CDP Environment ESG France EW GR"/>
        <s v="Euronext CDP Environment ESG France EW NR"/>
        <s v="Euronext CDP Environment ESG World EW"/>
        <s v="Euronext CDP Environment ESG World EW Decrement 5%"/>
        <s v="Euronext CDP Environment ESG World EW GR"/>
        <s v="Euronext CDP Environment ESG World EW NR"/>
        <s v="Euronext CDP Environment Eurozone EW"/>
        <s v="Euronext CDP Environment Eurozone EW D5%"/>
        <s v="Euronext CDP Environment Eurozone EW Decrement 3.75%"/>
        <s v="Euronext CDP Environment Eurozone EW Decrement 4% NR"/>
        <s v="Euronext CDP Environment Eurozone EW GR"/>
        <s v="Euronext CDP Environment Eurozone EW NR"/>
        <s v="EN CDP ENV FR Ex Oil &amp; Gas EW"/>
        <s v="EN CDP ENV FR Ex Oil &amp; Gas EW GR"/>
        <s v="EN CDP ENV FR Ex Oil &amp; Gas EW NR"/>
        <s v="EN CDP ENV FR Oil &amp; Gas EW D 5%"/>
        <s v="Euronext CDP Environment Transatlantic EW"/>
        <s v="Euronext CDP Environment Transatlantic EW Decrement 5%"/>
        <s v="Euronext CDP Environment Transatlantic EW GR"/>
        <s v="Euronext CDP Environment Transatlantic EW NR"/>
        <s v="Euronext CDP Environment World EW"/>
        <s v="Euronext CDP Environment World EW D5%"/>
        <s v="Euronext CDP Environment World EW GR"/>
        <s v="Euronext CDP Environment World EW NR"/>
        <s v="EN CDP Environment France EW"/>
        <s v="EN CDP Environment France EW Decrement 4%"/>
        <s v="EN CDP Environment France EW Decrement 4% NR"/>
        <s v="EN CDP Environment France EW Decrement 5%"/>
        <s v="EN CDP Environment France EW GR"/>
        <s v="EN CDP Environment France EW NR"/>
        <s v="Euronext CDP France Environnement"/>
        <s v="Euronext CDP France Environnement Decrement 5%"/>
        <s v="Euronext CDP France Environnement GR"/>
        <s v="Euronext CDP France Environnement NR"/>
        <s v="Euronext CDP Water Eurozone EW"/>
        <s v="Euronext CDP Water Eurozone EW Decrement 5%"/>
        <s v="Euronext CDP Water Eurozone EW GR"/>
        <s v="Euronext CDP Water Eurozone EW NR"/>
        <s v="Euronext Climate Europe"/>
        <s v="Euronext Climate Europe GR"/>
        <s v="Euronext Climate Europe NR"/>
        <s v="EN Climate Objective 50 Euro EW"/>
        <s v="EN Climate Objective 50 Euro EW D5%"/>
        <s v="EN Climate Objective 50 Euro EW GR"/>
        <s v="EN Climate Objective 50 Euro EW NR"/>
        <s v="Euronext Climate Objective 50 Euro EW Decrement 4%"/>
        <s v="EN Climate Objective 50 EW Decrement 5%"/>
        <s v="Euronext Climate Objective 50 EW"/>
        <s v="Euronext Climate Objective 50 EW GR"/>
        <s v="Euronext Climate Objective 50 EW NR"/>
        <s v="EN Climate Orientation Prior 50 EW 4 5%D"/>
        <s v="EN Climate Orientation Priority 50 EW"/>
        <s v="EN Climate Orientation Priority 50 EW ER"/>
        <s v="EN Climate Orientation Priority 50 EW GR"/>
        <s v="EN Climate Orientation Priority 50 EW NR"/>
        <s v="Euronext Core Euro &amp; Global Climate Change EW"/>
        <s v="Euronext Core Euro &amp; Global Climate Change EW Decrement 3.5%"/>
        <s v="Euronext Core Euro &amp; Global Climate Change EW Decrement 5%"/>
        <s v="Euronext Core Euro &amp; Global Climate Change EW GR"/>
        <s v="Euronext Core Euro &amp; Global Climate Change EW NR"/>
        <s v="Euronext Core Europe 100 ESG EW Decrement 5% NR"/>
        <s v="Euronext Core Europe 100 ESG EW "/>
        <s v="Euronext Core Europe 100 ESG EW GR"/>
        <s v="Euronext Core Europe 100 ESG EW NR"/>
        <s v="EN Core Europe 30 ESG EW"/>
        <s v="EN Core Europe 30 ESG EW Decrement 5% NR"/>
        <s v="EN Core Europe 30 ESG EW GR"/>
        <s v="EN Core Europe 30 ESG EW NR"/>
        <s v="Euronext Core Europe 100 EW"/>
        <s v="Euronext Core Europe 100 EW Decrement 5% GR"/>
        <s v="Euronext Core Europe 100 EW Decrement 5% NR"/>
        <s v="Euronext Core Europe 100 EW GR"/>
        <s v="Euronext Core Europe 100 EW NR"/>
        <s v="Euronext Core Europe 30 EW"/>
        <s v="Euronext Core Europe 30 EW Decrement 5% GR"/>
        <s v="Euronext Core Europe 30 EW Decrement 5% NR"/>
        <s v="Euronext Core Europe 30 EW GR"/>
        <s v="Euronext Core Europe 30 EW NR"/>
        <s v="Euronext Core Europe PAB 50"/>
        <s v="Euronext Core Europe PAB 50 Decrement 4%"/>
        <s v="Euronext Core Europe PAB 50 Decrement 5%"/>
        <s v="Euronext Core Europe PAB 50 GR"/>
        <s v="Euronext Core Europe PAB 50 NR"/>
        <s v="Euronext Developed Market"/>
        <s v="Euronext Developed Market GR"/>
        <s v="Euronext Developed Market GR USD"/>
        <s v="Euronext Developed Market NR"/>
        <s v="Euronext Developed Market NR USD"/>
        <s v="Euronext Developed Market USD"/>
        <s v="Euronext Environmental Goods and Services Eurozone"/>
        <s v="Euronext Environmental Goods and Services Eurozone GR"/>
        <s v="Euronext Environmental Goods and Services Eurozone NR"/>
        <s v="Euronext Environmental Goods and Services World"/>
        <s v="Euronext Environmental Goods and Services World GR"/>
        <s v="Euronext Environmental Goods and Services World NR"/>
        <s v="Euronext Equileap Gender Equality Eurozone 100"/>
        <s v="Euronext Equileap Gender Equality Eurozone 100 GR"/>
        <s v="Euronext Equileap Gender Equality Eurozone 100 NR"/>
        <s v="Euronext Equileap Gender Equality France 40"/>
        <s v="Euronext Equileap Gender Equality France 40 GR"/>
        <s v="Euronext Equileap Gender Equality France 40 NR"/>
        <s v="Euronext ESG Biodiversity Screened Eurozone 50"/>
        <s v="Euronext ESG Biodiversity Screened Eurozone 50 Decrement 4%"/>
        <s v="Euronext ESG Biodiversity Screened Eurozone 50 Decrement 5%"/>
        <s v="Euronext ESG Biodiversity Screened Eurozone 50 GR"/>
        <s v="Euronext ESG Biodiversity Screened Eurozone 50 NR"/>
        <s v="Euronext ESG Biodiversity Screened Transatlantic 80"/>
        <s v="Euronext ESG Biodiversity Screened Transatlantic 80 Decrement 4%"/>
        <s v="Euronext ESG Biodiversity Screened Transatlantic 80 Decrement 5%"/>
        <s v="Euronext ESG Biodiversity Screened Transatlantic 80 GR"/>
        <s v="Euronext ESG Biodiversity Screened Transatlantic 80 NR"/>
        <s v="Euronext ESG Biodiversity Screened World"/>
        <s v="Euronext ESG Biodiversity Screened World GR"/>
        <s v="Euronext ESG Biodiversity Screened World GR USD"/>
        <s v="Euronext ESG Biodiversity Screened World NR"/>
        <s v="Euronext ESG Biodiversity Screened World NR USD"/>
        <s v="Euronext ESG Biodiversity Screened World USD"/>
        <s v="Euronext ESG Eurozone Biodiversity Leaders PAB"/>
        <s v="Euronext ESG Eurozone Biodiversity Leaders PAB GR"/>
        <s v="Euronext ESG Eurozone Biodiversity Leaders PAB NR"/>
        <s v="Euronext Eurozone ESG Leaders Select 40 EW"/>
        <s v="Euronext Eurozone ESG Leaders Select 40 EW Decrement 3.5%"/>
        <s v="Euronext Eurozone ESG Leaders Select 40 EW Decrement 5%"/>
        <s v="Euronext Eurozone ESG Leaders Select 40 EW GR"/>
        <s v="Euronext Eurozone ESG Leaders Select 40 EW NR"/>
        <s v="Euronext Euro 50 ESG EW"/>
        <s v="Euronext Euro 50 ESG EW Decrement 50 Points"/>
        <s v="Euronext Euro 50 ESG EW GR"/>
        <s v="Euronext Euro 50 ESG EW NR"/>
        <s v="Euronext Euro 50 SG EW"/>
        <s v="Euronext Euro 50 SG EW Decr 50 Points"/>
        <s v="Euronext Euro 50 SG EW GR"/>
        <s v="Euronext Euro 50 SG EW NR"/>
        <s v="Euronext Euro Large Cap Biodiversity Leaders 30"/>
        <s v="Euronext Euro Large Cap Biodiversity Leaders 30 Decrement 4%"/>
        <s v="Euronext Euro Large Cap Biodiversity Leaders 30 Decrement 5%"/>
        <s v="Euronext Euro Large Cap Biodiversity Leaders 30 GR"/>
        <s v="Euronext Euro Large Cap Biodiversity Leaders 30 NR"/>
        <s v="Euronext Europe 500"/>
        <s v="Euronext Europe 500 GR"/>
        <s v="Euronext Europe 500 NR"/>
        <s v="Euronext Europe Pioneers 50 ESG EW"/>
        <s v="Euronext Europe Pioneers 50 ESG EW Decrement 50 Points"/>
        <s v="Euronext Europe Pioneers 50 ESG EW GR"/>
        <s v="Euronext Europe Pioneers 50 ESG EW NR"/>
        <s v="EN Europe Sustainable 100 EW"/>
        <s v="EN Europe Sustainable 100 EW Decrement 50 Points"/>
        <s v="EN Europe Sustainable 100 EW GR"/>
        <s v="EN Europe Sustainable 100 EW NR"/>
        <s v="Euronext Eurozone 100 ESG"/>
        <s v="Euronext Eurozone 100 ESG Decrement 3.5%"/>
        <s v="Euronext Eurozone 100 ESG Decrement 4.5%"/>
        <s v="Euronext Eurozone 100 ESG Decrement 5%"/>
        <s v="Euronext Eurozone 100 ESG GR"/>
        <s v="Euronext Eurozone 100 ESG NR"/>
        <s v="Euronext Eurozone 150 EW"/>
        <s v="Euronext Eurozone 150 EW Decrement 5%"/>
        <s v="Euronext Eurozone 150 EW GR"/>
        <s v="Euronext Eurozone 150 EW NR"/>
        <s v="Euronext Eurozone 300"/>
        <s v="Euronext Eurozone 300 GR"/>
        <s v="Euronext Eurozone 300 NR"/>
        <s v="Euronext Eurozone 40 EW"/>
        <s v="Euronext Eurozone 40 EW Decrement 5%"/>
        <s v="Euronext Eurozone 40 EW GR"/>
        <s v="Euronext Eurozone 40 EW NR"/>
        <s v="Euronext Eurozone 60 EW"/>
        <s v="Euronext Eurozone 60 EW Decrement 50 Points"/>
        <s v="Euronext Eurozone 60 EW GR"/>
        <s v="Euronext Eurozone 60 EW NR"/>
        <s v="Euronext Eurozone 60 PAB"/>
        <s v="Euronext Eurozone 60 PAB Decrement 4%"/>
        <s v="Euronext Eurozone 60 PAB Decrement 5%"/>
        <s v="Euronext Eurozone 60 PAB GR"/>
        <s v="Euronext Eurozone 60 PAB NR"/>
        <s v="Euronext Eurozone 70 EW"/>
        <s v="Euronext Eurozone 70 EW Decrement 5%"/>
        <s v="Euronext Eurozone 70 EW GR"/>
        <s v="Euronext Eurozone 70 EW NR"/>
        <s v="Euronext Eurozone 80 EW"/>
        <s v="Euronext Eurozone 80 EW Decrement 5%"/>
        <s v="Euronext Eurozone 80 EW GR"/>
        <s v="Euronext Eurozone 80 EW NR"/>
        <s v="Euronext Eurozone Banks"/>
        <s v="Euronext Eurozone Banks Decrement 5%"/>
        <s v="Euronext Eurozone Banks GR"/>
        <s v="Euronext Eurozone Banks NR"/>
        <s v="Euronext Eurozone Banks Dividend"/>
        <s v="Euronext Eurozone Diversity &amp; Governance 40 EW"/>
        <s v="Euronext Eurozone Diversity &amp; Governance 40 EW Decrement 5%"/>
        <s v="Euronext Eurozone Diversity &amp; Governance 40 EW GR"/>
        <s v="Euronext Eurozone Diversity &amp; Governance 40 EW NR"/>
        <s v="EN Eurozone Energy Transition Leaders 50 EW"/>
        <s v="EN Eurozone Energy Transition Leaders 50 EW Decr 5"/>
        <s v="EN Eurozone Energy Transition Leaders 50 EW GR"/>
        <s v="EN Eurozone Energy Transition Leaders 50 EW NR"/>
        <s v="Euronext Eurozone ESG Large 80"/>
        <s v="Euronext Eurozone ESG Large 80 Decrement 3.5%"/>
        <s v="Euronext Eurozone ESG Large 80 Decrement 4%"/>
        <s v="Euronext Eurozone ESG Large 80 Decrement 4.5%"/>
        <s v="Euronext Eurozone ESG Large 80 Decrement 5%"/>
        <s v="Euronext Eurozone ESG Large 80 GR"/>
        <s v="Euronext Eurozone ESG Large 80 NR"/>
        <s v="Euronext Eurozone ESG Leaders 40 EW"/>
        <s v="Euronext Eurozone ESG Leaders 40 EW D3 5"/>
        <s v="Euronext Eurozone ESG Leaders 40 EW Decrement 4%"/>
        <s v="Euronext Eurozone ESG Leaders 40 EW Decrement 5%"/>
        <s v="Euronext Eurozone ESG Leaders 40 EW GR"/>
        <s v="Euronext Eurozone ESG Leaders 40 EW NR"/>
        <s v="Euronext Eurozone ESG Leaders Select 40"/>
        <s v="Euronext Eurozone ESG Leaders Select 40 Decrement 5%"/>
        <s v="Euronext Eurozone ESG Leaders Select 40 GR"/>
        <s v="Euronext Eurozone ESG Leaders Select 40 NR"/>
        <s v="Euronext Eurozone Focus 40 PAB"/>
        <s v="Euronext Eurozone Focus 40 PAB Decrement 4%"/>
        <s v="Euronext Eurozone Focus 40 PAB Decrement 5%"/>
        <s v="Euronext Eurozone Focus 40 PAB GR"/>
        <s v="Euronext Eurozone Focus 40 PAB NR"/>
        <s v="EN Eurozone Mid and Large 60 EW"/>
        <s v="EN Eurozone Mid and Large 60 EW D 50P"/>
        <s v="EN Eurozone Mid and Large 60 EW GR"/>
        <s v="EN Eurozone Mid and Large 60 EW NR"/>
        <s v="EN Eurozone Next 100 EW"/>
        <s v="EN Eurozone Next 100 EW Decrement 5%"/>
        <s v="EN Eurozone Next 100 EW GR"/>
        <s v="EN Eurozone Next 100 EW NR"/>
        <s v="Euronext Eurozone PAB 50"/>
        <s v="Euronext Eurozone PAB 50 Decrement 4%"/>
        <s v="Euronext Eurozone PAB 50 Decrement 5%"/>
        <s v="Euronext Eurozone PAB 50 GR"/>
        <s v="Euronext Eurozone PAB 50 NR"/>
        <s v="Euronext Eurozone Screened Climate Ambition 35 EW"/>
        <s v="Euronext Eurozone Screened Climate Ambition 35 EW GR"/>
        <s v="Euronext Eurozone Screened Climate Ambition 35 EW NR"/>
        <s v="Euronext Eurozone Screened Climate Ambition 40 EW"/>
        <s v="Euronext Eurozone Screened Climate Ambition 40 EW Decrement 50 Points"/>
        <s v="Euronext Eurozone Screened Climate Ambition 40 EW GR"/>
        <s v="Euronext Eurozone Screened Climate Ambition 40 EW NR"/>
        <s v="Euronext Expand All-Share Index"/>
        <s v="Euronext Expand All-Share Index GR"/>
        <s v="Euronext Expand All-Share Index NR"/>
        <s v="Euronext EZ ESGL 40 EW"/>
        <s v="Euronext EZ ESGL 40 EW Decrement 5%"/>
        <s v="Euronext EZ ESGL 40 EW GR"/>
        <s v="Euronext EZ ESGL 40 EW NR"/>
        <s v="Euronext Founding Members Europe 50 EW"/>
        <s v="Euronext Founding Members Europe 50 EW Decrement 5"/>
        <s v="Euronext Founding Members Europe 50 EW GR"/>
        <s v="Euronext Founding Members Europe 50 EW NR"/>
        <s v="Euronext France 20 EW"/>
        <s v="Euronext France 20 EW Decrement 5.5%"/>
        <s v="Euronext France 20 EW GR"/>
        <s v="Euronext France 20 EW NR"/>
        <s v="EN France 20-40 Challengers EW"/>
        <s v="EN France 20-40 Challengers EW D 5.5%"/>
        <s v="EN France 20-40 Challengers EW GR"/>
        <s v="EN France 20-40 Challengers EW NR"/>
        <s v="EN FR 40 Responsible Investment"/>
        <s v="EN FR 40 Responsible Investment D5%"/>
        <s v="EN FR 40 Responsible Investment GR"/>
        <s v="EN FR 40 Responsible Investment NR"/>
        <s v="EN FR NRG Transition Leaders 40 EW D3 5%"/>
        <s v="EN France Energy Transition Leaders 40 EW"/>
        <s v="EN France Energy Transition Leaders 40 EW Decr 5%"/>
        <s v="EN France Energy Transition Leaders 40 EW GR"/>
        <s v="EN France Energy Transition Leaders 40 EW NR"/>
        <s v="Euronext France ESG Leaders 40 EW"/>
        <s v="Euronext France ESG Leaders 40 EW D3 5%"/>
        <s v="Euronext France ESG Leaders 40 EW Decrement 5%"/>
        <s v="Euronext France ESG Leaders 40 EW GR"/>
        <s v="Euronext France ESG Leaders 40 EW NR"/>
        <s v="Euronext France ESG Leaders Select 30 EW"/>
        <s v="Euronext France ESG Leaders Select 30 EW Decrement 5%"/>
        <s v="Euronext France ESG Leaders Select 30 EW GR"/>
        <s v="Euronext France ESG Leaders Select 30 EW NR"/>
        <s v="Euronext France Eurozone 60 EW"/>
        <s v="Euronext France Eurozone 60 EW Decrement 50 Points"/>
        <s v="Euronext France Eurozone 60 EW GR"/>
        <s v="Euronext France Eurozone 60 EW NR"/>
        <s v="Euronext France Germany Leaders 50"/>
        <s v="Euronext France Germany Leaders 50 EW"/>
        <s v="Euronext France Germany Leaders 50 EW Decrement 5%"/>
        <s v="Euronext France Germany Leaders 50 EW GR"/>
        <s v="Euronext France Germany Leaders 50 EW NR"/>
        <s v="Euronext France Germany Leaders 50 GR"/>
        <s v="Euronext France Germany Leaders 50 NR"/>
        <s v="EN France Next 40 EW"/>
        <s v="EN France Next 40 EW Decrement 5.5%"/>
        <s v="EN France Next 40 EW GR"/>
        <s v="EN France Next 40 EW NR"/>
        <s v="Euronext France PAB 50"/>
        <s v="Euronext France PAB 50 Decrement 5%"/>
        <s v="Euronext France PAB 50 GR"/>
        <s v="Euronext France PAB 50 NR"/>
        <s v="Euronext France Social"/>
        <s v="Euronext France Social Decrement 3.75%"/>
        <s v="Euronext France Social Decrement 5%"/>
        <s v="Euronext France Social GR"/>
        <s v="Euronext France Social NR"/>
        <s v="Euronext French Employment 40 EW"/>
        <s v="Euronext French Employment 40 EW GR"/>
        <s v="Euronext French Employment 40 EW NR"/>
        <s v="Euronext Global Health Care 50 EW ESG"/>
        <s v="Euronext Global Health Care 50 EW ESG Decrement 5%"/>
        <s v="Euronext Global Health Care 50 EW ESG GR"/>
        <s v="Euronext Global Health Care 50 EW ESG NR"/>
        <s v="Euronext Global Sustainability and Climate Screened"/>
        <s v="Euronext Global Sustainability and Climate Screened Decrement 50 Points"/>
        <s v="Euronext Global Sustainability and Climate Screened GR"/>
        <s v="Euronext Green Planet E Decrement 5%"/>
        <s v="Euronext Green Planet E Decrement 5% GR"/>
        <s v="Euronext Green Planet E GR"/>
        <s v="Euronext Green Planet E NR"/>
        <s v="Euronext Green Planet E "/>
        <s v="Euronext Green Planet France"/>
        <s v="Euronext Green Planet France Decrement 5%"/>
        <s v="Euronext Green Planet France GR"/>
        <s v="Euronext Green Planet France NR"/>
        <s v="Euronext Growth All-Share Index"/>
        <s v="Euronext Growth All-Share Index GR"/>
        <s v="Euronext Growth All-Share Index NR"/>
        <s v="Euronext Growth Bpifrance Innovation Index"/>
        <s v="Euronext Growth Bpifrance Innovation Index GR"/>
        <s v="Euronext Growth Bpifrance Innovation Index NR"/>
        <s v="Euronext Helios Space"/>
        <s v="Euronext Helios Space GR"/>
        <s v="Euronext Helios Space NR"/>
        <s v="Euronext Helios Space All-Share"/>
        <s v="Euronext Helios Space All-Share GR"/>
        <s v="Euronext Helios Space All-Share NR"/>
        <s v="Euronext JPN Screened Climate Ambition 30 EW"/>
        <s v="Euronext JPN Screened Climate Ambition 30 EW EUR"/>
        <s v="Euronext JPN Screened Climate Ambition 30 EW GR"/>
        <s v="Euronext JPN Screened Climate Ambition 30 EW GR EUR"/>
        <s v="Euronext JPN Screened Climate Ambition 30 EW NR"/>
        <s v="Euronext JPN Screened Climate Ambition 30 EW NR EUR"/>
        <s v="Euronext Low Carbon 100 Eurozone PAB"/>
        <s v="Euronext Low Carbon 100 Eurozone PAB GR"/>
        <s v="Euronext Low Carbon 100 Eurozone PAB NR"/>
        <s v="Euronext Low Carbon 300 World 3.5% Decrement"/>
        <s v="Euronext Low Carbon 300 World PAB"/>
        <s v="Euronext Low Carbon 300 World PAB GR"/>
        <s v="Euronext Low Carbon 300 World PAB NR"/>
        <s v="Euronext NDR Hydrogen World"/>
        <s v="Euronext NDR Hydrogen World GR"/>
        <s v="Euronext NDR Hydrogen World NR"/>
        <s v="Euronext NDR Web 3.0 World"/>
        <s v="Euronext NDR Web 3.0 World GR"/>
        <s v="Euronext NDR Web 3.0 World NR"/>
        <s v="Euronext North America 500"/>
        <s v="Euronext North America 500 GR"/>
        <s v="Euronext North America 500 NR"/>
        <s v="Euronext Positive Impact Water Eurozone"/>
        <s v="Euronext Positive Impact Water Eurozone GR"/>
        <s v="Euronext Positive Impact Water Eurozone NR"/>
        <s v="Euronext Positive Impact Water World"/>
        <s v="Euronext Positive Impact Water World GR"/>
        <s v="Euronext Positive Impact Water World NR"/>
        <s v="EN Reitsmarket Global Balanced DECR"/>
        <s v="EN Reitsmarket Global Conviction DECR"/>
        <s v="Euronext Reitsmarket Global Balanced"/>
        <s v="Euronext Reitsmarket Global Balanced NR"/>
        <s v="Euronext Reitsmarket Global Balanced RC10"/>
        <s v="Euronext Reitsmarket Global Balanced RC10 Decremen"/>
        <s v="Euronext Reitsmarket Global Balanced RC12"/>
        <s v="Euronext Reitsmarket Global Balanced RC12 Decremen"/>
        <s v="Euronext Reitsmarket Global Conviction"/>
        <s v="Euronext Reitsmarket Global Conviction NR"/>
        <s v="EN RM GRESB Global Sustainable"/>
        <s v="EN RM GRESB Global Sustainable Decrement"/>
        <s v="EN RM GRESB Global Sustainable NR"/>
        <s v="EN Responsible Investment Euro 50 EW"/>
        <s v="EN Responsible Investment Euro 50 EW D5%"/>
        <s v="EN Responsible Investment Euro 50 EW GR"/>
        <s v="EN Responsible Investment Euro 50 EW NR"/>
        <s v="Euronext B Bouygues 040521 GR 1.583"/>
        <s v="Euronext B Bouygues 040521 GR Decrement 1.583"/>
        <s v="Euronext B Bouygues 040521 PR 1.583"/>
        <s v="Euronext B Engie 240521 GR 0.71"/>
        <s v="Euronext B Engie 240521 GR Decrement 0.71"/>
        <s v="Euronext B Engie 240521 PR 0.71"/>
        <s v="Euronext B Orange 131221 GR 0.65"/>
        <s v="Euronext B Orange 131221 GR Decrement 0.65"/>
        <s v="Euronext B Orange 131221 PR 0.65"/>
        <s v="Euronext C Sanofi 151221 GR 3.27 "/>
        <s v="Euronext C Sanofi 151221 GR Decrement 3.27 "/>
        <s v="Euronext C Sanofi 151221 PR 3.27 "/>
        <s v="Euronext G AXA 261021 GR 1.5"/>
        <s v="Euronext G AXA 261021 GR Decrement 1.5"/>
        <s v="Euronext G AXA 261021 PR 1.5 "/>
        <s v="Euronext G BNP 261021 GR 3.00"/>
        <s v="Euronext G BNP 261021 GR 3.3"/>
        <s v="Euronext G BNP 261021 GR Decrement 3.00"/>
        <s v="Euronext G BNP 261021 GR Decrement 3.3"/>
        <s v="Euronext G BNP 261021 PR 3.00 "/>
        <s v="Euronext G BNP 261021 PR 3.3 "/>
        <s v="Euronext G BNP 240523 Decrement 3.67 Index"/>
        <s v="Euronext G BNP 310523 Decrement 4.00 Index"/>
        <s v="Euronext G Bouygues 261021 GR 1.7"/>
        <s v="Euronext G Bouygues 261021 GR Decrement 1.7"/>
        <s v="Euronext G Bouygues 261021 PR 1.7"/>
        <s v="Euronext G Credit Agricole 010621 GR 0.9"/>
        <s v="Euronext G Credit Agricole 010621 GR Decrement 0.9"/>
        <s v="Euronext G Credit Agricole 010621 PR 0.9"/>
        <s v="Euronext G Credit Agricole 010622 GR 0.8"/>
        <s v="Euronext G Credit Agricole 010622 GR Decrement 0.8"/>
        <s v="Euronext G Credit Agricole 010622 PR 0.8"/>
        <s v="Euronext G Credit Agricole 310523 Decrement 1.05 Index"/>
        <s v="Euronext G EDF 151121 Decrement 0.60"/>
        <s v="Euronext G EDF 151121 GR 0.60"/>
        <s v="Euronext G EDF 151121 PR 0.60"/>
        <s v="Euronext G EDF 261021 GR 0.60 "/>
        <s v="Euronext G EDF 261021 GR Decrement 0.60"/>
        <s v="Euronext G EDF 261021 PR 0.60 "/>
        <s v="Euronext G Engie 261021 GR 0.71"/>
        <s v="Euronext G Engie 261021 GR Decrement 0.71"/>
        <s v="Euronext G Engie 261021 PR 0.71"/>
        <s v="Euronext G Engie 030523 Decrement 1.10 Index"/>
        <s v="Euronext G Orange 131221 Decrement 0.7"/>
        <s v="Euronext G Orange 131221 GR 0.65"/>
        <s v="Euronext G Orange 131221 GR 0.7"/>
        <s v="Euronext G Orange 131221 GR Decrement 0.65"/>
        <s v="Euronext G Orange 131221 PR 0.65"/>
        <s v="Euronext G Orange 131221 PR 0.7"/>
        <s v="Euronext G Orange 261021 GR 0.7"/>
        <s v="Euronext G Orange 261021 GR Decrement 0.7"/>
        <s v="Euronext G Orange 261021 PR 0.7"/>
        <s v="Euronext G Scor 230524 Decrement 1.80 Index"/>
        <s v="Euronext G Societe Generale 261021 GR 1.80 "/>
        <s v="Euronext G Societe Generale 261021 GR Decrement 1.80"/>
        <s v="Euronext G Societe Generale 261021 PR 1.80 "/>
        <s v="Euronext G Societe Generale 290524 Decrement 1.25 Index"/>
        <s v="Euronext G Societe Generale 310523 Decrement 1.35 Index"/>
        <s v="Euronext G Stellantis 020522 Decrement 1.04 "/>
        <s v="Euronext G Stellantis 020522 GR 1.04 "/>
        <s v="Euronext G Stellantis 020522 PR 1.04 "/>
        <s v="Euronext G Stellantis 030524 GR 1.55 Index"/>
        <s v="Euronext G Stellantis 040523 Decrement 1.34 Index"/>
        <s v="Euronext G TotalEnergies 261021 GR 2.54"/>
        <s v="Euronext G TotalEnergies 261021 GR 2.64"/>
        <s v="Euronext G TotalEnergies 261021 GR Decrement 2.54"/>
        <s v="Euronext G TotalEnergies 261021 GR Decrement 2.64"/>
        <s v="Euronext G TotalEnergies 261021 PR 2 .54"/>
        <s v="Euronext G TotalEnergies 261021 PR 2.64 "/>
        <s v="Euronext G URW 270223 Decrement 3 50 Index"/>
        <s v="Euronext S ArcelorMittal 070322 GR 0.35"/>
        <s v="Euronext S ArcelorMittal 070322 GR Decrement 0.35"/>
        <s v="Euronext S ArcelorMittal 070322 PR 0.35"/>
        <s v="Euronext S AXA 070322 GR 1.54"/>
        <s v="Euronext S AXA 070322 GR Decrement 1.54"/>
        <s v="Euronext S AXA 070322 PR 1.54"/>
        <s v="Euronext S BNP 070322 GR 3.47"/>
        <s v="Euronext S BNP 070322 GR Decrement 3.47"/>
        <s v="Euronext S BNP 070322 PR 3.47"/>
        <s v="Euronext S Carrefour 070322 GR 0.52"/>
        <s v="Euronext S Carrefour 070322 GR Decrement 0.52"/>
        <s v="Euronext S Carrefour 070322 PR 0.52"/>
        <s v="Euronext S Credit Agricole 070322 GR 1.05"/>
        <s v="Euronext S Credit Agricole 070322 GR Decrement 1.05"/>
        <s v="Euronext S Credit Agricole 070322 PR 1.05"/>
        <s v="Euronext S ENI 070322 GR 0.87"/>
        <s v="Euronext S ENI 070322 GR Decrement 0.87"/>
        <s v="Euronext S ENI 070322 PR 0.87"/>
        <s v="Euronext S ING 070322 GR 0.66"/>
        <s v="Euronext S ING 070322 GR Decrement 0.66"/>
        <s v="Euronext S ING 070322 PR 0.66"/>
        <s v="Euronext S Kering 070322 GR 12"/>
        <s v="Euronext S Kering 070322 GR Decrement 12"/>
        <s v="Euronext S Kering 070322 PR 12"/>
        <s v="Euronext S Safran 070322 GR 0.5"/>
        <s v="Euronext S Safran 070322 GR Decrement 0.5"/>
        <s v="Euronext S Safran 070322 PR 0.5"/>
        <s v="Euronext S Sanofi 070322 GR 3.33"/>
        <s v="Euronext S Sanofi 070322 GR Decrement 3.33"/>
        <s v="Euronext S Sanofi 070322 PR 3.33"/>
        <s v="Euronext S Shell 070322 GR 0.91"/>
        <s v="Euronext S Shell 070322 GR Decrement 0.91"/>
        <s v="Euronext S Shell 070322 PR 0.91"/>
        <s v="Euronext S Stellantis 070322 GR 1.04"/>
        <s v="Euronext S Stellantis 070322 GR Decrement 1.04"/>
        <s v="Euronext S Stellantis 070322 PR 1.04"/>
        <s v="Euronext Social Goods and Services Eurozone"/>
        <s v="Euronext Social Goods and Services Eurozone GR"/>
        <s v="Euronext Social Goods and Services Eurozone NR"/>
        <s v="Euronext Social Goods and Services World"/>
        <s v="Euronext Social Goods and Services World GR"/>
        <s v="Euronext Social Goods and Services World NR"/>
        <s v="EN Sovereign Economy Selection EZ50 GR"/>
        <s v="EN Sovereign Economy Selection EZ50 NR"/>
        <s v="Euronext Sovereign Economy Selection Eurozone 50"/>
        <s v="Euronext Sovereign Economy Selection Eurozone 50 Decrement 50 Points"/>
        <s v="Euronext Switzerland 20 PAB"/>
        <s v="Euronext Switzerland 20 PAB Decrement 3%"/>
        <s v="Euronext Switzerland 20 PAB Decrement 4%"/>
        <s v="Euronext Switzerland 20 PAB GR"/>
        <s v="Euronext Switzerland 20 PAB NR"/>
        <s v="Euronext Tech Croissance"/>
        <s v="Euronext Tech Croissance GR"/>
        <s v="Euronext Tech Croissance NR"/>
        <s v="Euronext Tech Leaders"/>
        <s v="Euronext Tech Leaders GR"/>
        <s v="Euronext Tech Leaders NR"/>
        <s v="Euronext Top 30 France Germany Industrials EW"/>
        <s v="Euronext Top 30 France Germany Industrials EW Decr"/>
        <s v="Euronext Top 30 France Germany Industrials EW GR"/>
        <s v="Euronext Top 30 France Germany Industrials EW NR"/>
        <s v="Euronext Transatlantic"/>
        <s v="Euronext Transatlantic GR"/>
        <s v="Euronext Transatlantic NR"/>
        <s v="EN Transatlantic 50 EW"/>
        <s v="EN Transatlantic 50 EW D5%"/>
        <s v="EN Transatlantic 50 EW GR"/>
        <s v="EN Transatlantic 50 EW NR"/>
        <s v="Euronext Transatlantic Circular Economy 50 EW"/>
        <s v="Euronext Transatlantic Circular Economy 50 EW Decrement 5%"/>
        <s v="Euronext Transatlantic Circular Economy 50 EW GR"/>
        <s v="Euronext Transatlantic Circular Economy 50 EW NR"/>
        <s v="Euronext Transatlantic Environment 50"/>
        <s v="Euronext Transatlantic Environment 50 Decrement 5%"/>
        <s v="Euronext Transatlantic Environment 50 GR"/>
        <s v="Euronext Transatlantic Environment 50 NR"/>
        <s v="Euronext Transatlantic ESG Leaders 60 EW"/>
        <s v="Euronext Transatlantic ESG Leaders 60 EW Decrement 5%"/>
        <s v="Euronext Transatlantic ESG Leaders 60 EW GR"/>
        <s v="Euronext Transatlantic ESG Leaders 60 EW NR"/>
        <s v="Euronext Transatlantic Sustainability and Climate Screened 60"/>
        <s v="Euronext Transatlantic Sustainability and Climate Screened 60 Decrement 50 Points"/>
        <s v="Euronext Transatlantic Sustainability and Climate Screened 60 GR"/>
        <s v="Euronext US ESGL 20 EW"/>
        <s v="Euronext US ESGL 20 EW Decrement 5%"/>
        <s v="Euronext US ESGL 20 EW GR"/>
        <s v="Euronext US ESGL 20 EW NR"/>
        <s v="Euronext US Screened Climate Ambition 25 EW"/>
        <s v="Euronext US Screened Climate Ambition 25 EW EUR"/>
        <s v="Euronext US Screened Climate Ambition 25 EW GR"/>
        <s v="Euronext US Screened Climate Ambition 25 EW GR EUR"/>
        <s v="Euronext US Screened Climate Ambition 25 EW NR"/>
        <s v="Euronext US Screened Climate Ambition 25 EW NR EUR"/>
        <s v="Euronext US Screened Climate Ambition 35 EW"/>
        <s v="Euronext US Screened Climate Ambition 35 EW EUR"/>
        <s v="Euronext US Screened Climate Ambition 35 EW GR"/>
        <s v="Euronext US Screened Climate Ambition 35 EW GR EUR"/>
        <s v="Euronext US Screened Climate Ambition 35 EW NR"/>
        <s v="Euronext US Screened Climate Ambition 35 EW NR EUR"/>
        <s v="Euronext V.E ESG World-Select 75 Bund/SV"/>
        <s v="Euronext V.E ESG World-Select 75 Bund/SV GR"/>
        <s v="Euronext V.E ESG World-Select 75 Bund/SV NR"/>
        <s v="Euronext V.E Eurozone Social Focus"/>
        <s v="Euronext V.E Eurozone Social Focus Decrement 5%"/>
        <s v="Euronext V.E Eurozone Social Focus GR"/>
        <s v="Euronext V.E Eurozone Social Focus NR"/>
        <s v="Euronext Vigeo Benelux 20 GR Index"/>
        <s v="Euronext Vigeo Benelux 20 Index"/>
        <s v="Euronext Vigeo Benelux 20 NR Index"/>
        <s v="Euronext Vigeo Euro 120 GR Index"/>
        <s v="Euronext Vigeo Euro 120 Index"/>
        <s v="Euronext Vigeo Euro 120 NR Index"/>
        <s v="Euronext Vigeo Europe 120 GR Index"/>
        <s v="Euronext Vigeo Europe 120 Index"/>
        <s v="Euronext Vigeo Europe 120 NR Index"/>
        <s v="Euronext Vigeo France 20 GR Index"/>
        <s v="Euronext Vigeo France 20 Index"/>
        <s v="Euronext Vigeo France 20 NR Index"/>
        <s v="Euronext Vigeo UK 20 GR Index"/>
        <s v="Euronext Vigeo UK 20 Index"/>
        <s v="Euronext Vigeo UK 20 NR Index"/>
        <s v="EN Vigeo US 50"/>
        <s v="EN Vigeo US 50 GR"/>
        <s v="EN Vigeo US 50 NR"/>
        <s v="EN Vigeo W 120 GR"/>
        <s v="EN Vigeo W 120 NR"/>
        <s v="EN Vigeo World 120"/>
        <s v="Euronext Water and Ocean Europe 40 EW Decrement 4% "/>
        <s v="Euronext Water and Ocean Europe 40 EW Decrement 5% "/>
        <s v="Euronext Water and Ocean Europe 40 EW GR"/>
        <s v="Euronext Water and Ocean Europe 40 EW NR"/>
        <s v="Euronext Water and Ocean Europe 40 EW "/>
        <s v="Euronext World"/>
        <s v="Euronext World GR"/>
        <s v="Euronext World NR"/>
        <s v="Euronext World Country Selection"/>
        <s v="Euronext World Country Selection GR"/>
        <s v="Euronext World Country Selection NR"/>
        <s v="Euronext World Sustainability and Climate Screened"/>
        <s v="Euronext World Sustainability and Climate Screened Decrement 50 Points"/>
        <s v="Euronext World Sustainability and Climate Screened GR"/>
        <s v="ISEQ 20 Capped"/>
        <s v="ISEQ 20 Capped GR"/>
        <s v="ISEQ Small"/>
        <s v="ISEQ Small GR"/>
        <s v="ISEQ All Share"/>
        <s v="ISEQ All Share GR"/>
        <s v="ISEQ Basic Materials"/>
        <s v="ISEQ Basic Materials GR"/>
        <s v="ISEQ Consumer Discretionary"/>
        <s v="ISEQ Consumer Discretionary GR"/>
        <s v="ISEQ Consumer Staples"/>
        <s v="ISEQ Consumer Staples GR"/>
        <s v="ISEQ Energy"/>
        <s v="ISEQ Energy GR"/>
        <s v="ISEQ Financial"/>
        <s v="ISEQ Financial GR"/>
        <s v="ISEQ Health Care"/>
        <s v="ISEQ Health Care GR"/>
        <s v="ISEQ Industrials"/>
        <s v="ISEQ Industrials GR"/>
        <s v="ISEQ Real Estate"/>
        <s v="ISEQ Real Estate GR"/>
        <s v="ISEQ Technology"/>
        <s v="ISEQ Technology GR"/>
        <s v="ISEQ Utilities"/>
        <s v="ISEQ Utilities GR"/>
        <s v="Italia Leva 7 Long"/>
        <s v="Italia Leva 7 Short"/>
        <s v="AEX Leverage"/>
        <s v="AEX Leverage GR"/>
        <s v="AEX Leverage NR"/>
        <s v="AEX Short GR"/>
        <s v="AEX X10 Leverage NR"/>
        <s v="AEX X10 Short GR"/>
        <s v="AEX X12 Leverage NR"/>
        <s v="AEX X12 Short GR"/>
        <s v="AEX X15 Leverage NR"/>
        <s v="AEX X15 Short GR"/>
        <s v="AEX X2 Short GR"/>
        <s v="AEX X3 Leverage NR"/>
        <s v="AEX X3 Short GR"/>
        <s v="AEX X4 Leverage NR"/>
        <s v="AEX X4 Short GR"/>
        <s v="AEX X5 Leverage NR"/>
        <s v="AEX X5 Short GR"/>
        <s v="AEX X6 Leverage NR"/>
        <s v="AEX X6 Short GR"/>
        <s v="AEX X7 Leverage NR"/>
        <s v="AEX X7 Short GR"/>
        <s v="AEX Xbear GR"/>
        <s v="BEL 20 Leverage"/>
        <s v="BEL 20 Leverage GR"/>
        <s v="BEL 20 Short GR"/>
        <s v="BEL 20 Triple Leverage"/>
        <s v="BEL 20 X2 Short GR"/>
        <s v="BEL 20 X3 Leverage NR"/>
        <s v="BEL 20 X3 Short GR"/>
        <s v="BEL 20 X5 Leverage NR"/>
        <s v="BEL 20 X5 Short GR"/>
        <s v="BEL 20 Xbear GR"/>
        <s v="CAC 40 Leverage"/>
        <s v="CAC 40 Leverage GR"/>
        <s v="CAC 40 Leverage NR"/>
        <s v="CAC 40 Short GR"/>
        <s v="CAC 40 X10 Leverage NR"/>
        <s v="CAC 40 X10 Short GR"/>
        <s v="CAC 40 X12 Leverage NR"/>
        <s v="CAC 40 X12 Short GR"/>
        <s v="CAC 40 X15 Leverage NR"/>
        <s v="CAC 40 X15 Short GR"/>
        <s v="CAC 40 X2 Short GR"/>
        <s v="CAC 40 X3 Leverage NR"/>
        <s v="CAC 40 X3 Short GR"/>
        <s v="CAC 40 X4 Leverage NR"/>
        <s v="CAC 40 X4 Short GR"/>
        <s v="CAC 40 X5 Leverage NR"/>
        <s v="CAC 40 X5 Short GR"/>
        <s v="CAC 40 X6 Leverage NR"/>
        <s v="CAC 40 X6 Short GR"/>
        <s v="CAC 40 X7 Leverage NR"/>
        <s v="CAC 40 X7 Short GR"/>
        <s v="CAC 40 Xbear GR"/>
        <s v="ISEQ 20 Leverage"/>
        <s v="PSI Leverage"/>
        <s v="PSI Leverage GR"/>
        <s v="PSI Short GR"/>
        <s v="PSI Triple Leverage"/>
        <s v="PSI X2 Short GR"/>
        <s v="PSI X3 Leverage NR"/>
        <s v="PSI X3 Short GR"/>
        <s v="PSI Xbear GR"/>
        <s v="CAC 40 X3 Short GR VAR "/>
        <s v="Low Carbon 100 Europe PAB Index"/>
        <s v="Low Carbon 100 Europe PAB Index GR"/>
        <s v="Low Carbon 100 Europe PAB Index NR"/>
        <s v="MIB ESG"/>
        <s v="MIB ESG Decrement 3.75%"/>
        <s v="MIB ESG Decrement 5%"/>
        <s v="MIB ESG GR"/>
        <s v="MIB ESG NR"/>
        <s v="Next Biotech"/>
        <s v="OBX Price Index"/>
        <s v="OBX Total Return Index"/>
        <s v="OBX Uncapped Price Return Index"/>
        <s v="OBX Uncapped Total Return Index"/>
        <s v="OSEMX Mid Cap_NR"/>
        <s v="OSEMX Mid Cap_PR"/>
        <s v="OSESX Small Cap_NR"/>
        <s v="OSESX Small Cap_PR"/>
        <s v="Oslo Børs Mid Cap Index"/>
        <s v="Oslo Børs Small Cap Index_GI"/>
        <s v="OBX ESG"/>
        <s v="OBX ESG NR"/>
        <s v="OBX ESG PR"/>
        <s v="OBX ESG ex Oil and Gas"/>
        <s v="OBX ESG ex Oil and Gas NR"/>
        <s v="OBX ESG ex Oil and Gas PR"/>
        <s v="OSEBX Benchmark_NR"/>
        <s v="OSEBX Benchmark_PR"/>
        <s v="OSEFX Mutual Fund_NR"/>
        <s v="OSEFX Mutual Fund_PR"/>
        <s v="Oslo Børs Benchmark Index_GI"/>
        <s v="Oslo Børs Mutual Fund Index_GI"/>
        <s v="OSEBX_STB Index"/>
        <s v="OSEBX_STB Index PR"/>
        <s v="OSEBXG Index"/>
        <s v="OSEBXG Index PR"/>
        <s v="OSEEXR Index"/>
        <s v="OSEEXR Index PR"/>
        <s v="Oslo Børs Equity Certificate Index"/>
        <s v="Oslo Børs Equity Certificate Index  PR"/>
        <s v="OBOSX Oil Service PR"/>
        <s v="OBSFX Seafood_NR"/>
        <s v="OBSFX Seafood_PR"/>
        <s v="OBSHX Shipping_NR"/>
        <s v="OBSHX Shipping_PR"/>
        <s v="Oslo Børs OBX Oil Service Index"/>
        <s v="Oslo Børs Seafood Index"/>
        <s v="Oslo Børs Shipping Index"/>
        <s v="OBX Basic Materials GR"/>
        <s v="OBX Basic Materials NR"/>
        <s v="OBX Basic Materials PR"/>
        <s v="OBX Consumer Discretionary GR"/>
        <s v="OBX Consumer Discretionary NR"/>
        <s v="OBX Consumer Discretionary PR"/>
        <s v="OBX Consumer Staples  GR"/>
        <s v="OBX Consumer Staples  NR"/>
        <s v="OBX Consumer Staples  PR"/>
        <s v="OBX Energy GR"/>
        <s v="OBX Energy NR"/>
        <s v="OBX Energy PR"/>
        <s v="OBX Financials GR"/>
        <s v="OBX Financials NR"/>
        <s v="OBX Financials PR"/>
        <s v="OBX Health Care  GR"/>
        <s v="OBX Health Care  NR"/>
        <s v="OBX Health Care  PR"/>
        <s v="OBX Industrials GR"/>
        <s v="OBX Industrials NR"/>
        <s v="OBX Industrials PR"/>
        <s v="OBX Real Estate GR"/>
        <s v="OBX Real Estate NR"/>
        <s v="OBX Real Estate PR"/>
        <s v="OBX Technology GR"/>
        <s v="OBX Technology NR"/>
        <s v="OBX Technology PR"/>
        <s v="OBX Telecommunications GR"/>
        <s v="OBX Telecommunications NR"/>
        <s v="OBX Telecommunications PR"/>
        <s v="OBX Utilities GR"/>
        <s v="OBX Utilities NR"/>
        <s v="OBX Utilities PR"/>
        <s v="OSE All share_NR"/>
        <s v="OSE All share_PR"/>
        <s v="Oslo Børs All-share Index_GI"/>
        <s v="OSLO Energy Index"/>
        <s v="OSLO Energy Index PR"/>
        <s v="OSLO Seafood Index"/>
        <s v="OSLO Seafood Index PR"/>
        <s v="OSLO Shipping Index"/>
        <s v="OSLO Shipping Index PR"/>
        <s v="PSI ex Banks"/>
        <s v="PSI ex Banks GR"/>
        <s v="PSI ex Banks NR"/>
        <s v="PSI All-Share Index"/>
        <s v="PSI All-Share Index GR"/>
        <s v="PSI Basic Materials"/>
        <s v="PSI Basic Materials GR"/>
        <s v="PSI Consumer Discretionary"/>
        <s v="PSI Consumer Discretionary GR"/>
        <s v="PSI Consumer Staples"/>
        <s v="PSI Consumer Staples GR"/>
        <s v="PSI Energy"/>
        <s v="PSI Energy GR"/>
        <s v="PSI Financials"/>
        <s v="PSI Financials GR"/>
        <s v="PSI Industrials"/>
        <s v="PSI Industrials GR"/>
        <s v="PSI Technology"/>
        <s v="PSI Technology GR"/>
        <s v="PSI Telecommunications"/>
        <s v="PSI Telecommunications GR"/>
        <s v="PSI Utilities"/>
        <s v="PSI Utilities GR"/>
        <s v="Euronext IEIF REIT Europe Index"/>
        <s v="Euronext IEIF REIT Europe Index GR"/>
        <s v="Euronext IEIF REIT Europe Index NR"/>
        <s v="SBF Top 50 ESG EW"/>
        <s v="SBF Top 50 ESG EW Decrement 50 Points"/>
        <s v="SBF Top 50 ESG EW GR"/>
        <s v="SBF Top 50 ESG EW NR"/>
        <s v="SBF Top 80 EW"/>
        <s v="SBF Top 80 EW Decrement 50 Points"/>
        <s v="SBF Top 80 EW GR"/>
        <s v="SBF Top 80 EW NR"/>
        <s v="BEL ESG"/>
        <s v="BEL ESG GR"/>
        <s v="BEL ESG NR"/>
        <s v="Euronext Eurozone ESG Transition"/>
        <s v="Euronext Eurozone ESG Transition Decrement 4%"/>
        <s v="Euronext Eurozone ESG Transition Decrement 5%"/>
        <s v="Euronext Eurozone ESG Transition GR"/>
        <s v="Euronext Eurozone ESG Transition NR"/>
        <s v="Euronext EZ Transatlantic"/>
        <s v="Euronext EZ Transatlantic GR"/>
        <s v="Euronext EZ Transatlantic NR"/>
        <s v="Euronext B Credit Agricole 170223 GR 0.9"/>
        <s v="Euronext B Credit Agricole 170223 GR Decrement 0.9"/>
        <s v="Euronext B Credit Agricole 170223 PR 0.9"/>
        <s v="Euronext B Stellantis 140223 Decrement 1.04"/>
        <s v="Euronext B Stellantis 140223 GR 1.04"/>
        <s v="Euronext B Stellantis 140223 PR 1.04 "/>
        <s v="Euronext G Engie 020522 Decrement 1.0 "/>
        <s v="Euronext G Engie 020522 GR 1.0"/>
        <s v="Euronext G Engie 020522 PR 1.0 "/>
        <s v="Euronext G Eni SPA 010622 Decrement 0.91"/>
        <s v="Euronext G Eni SPA 010622 GR 0.91"/>
        <s v="Euronext G Eni SPA 010622 PR 0.91"/>
        <s v="Euronext G ING Groep NV 020522 Decrement 0.8"/>
        <s v="Euronext G ING Groep NV 020522 GR 0.8"/>
        <s v="Euronext G ING Groep NV 020522 PR 0.8"/>
        <s v="Euronext G Klepierre 010622 Decrement 1.7"/>
        <s v="Euronext G Klepierre 010622 GR 1.7"/>
        <s v="Euronext G Klepierre 010622 PR 1.7"/>
        <s v="Euronext G Societe Generale 010622 Decrement 1.65"/>
        <s v="Euronext G Societe Generale 010622 Decrement 1.95"/>
        <s v="Euronext G Societe Generale 010622 GR 1.65"/>
        <s v="Euronext G Societe Generale 010622 GR 1.95"/>
        <s v="Euronext G Societe Generale 010622 PR 1.65"/>
        <s v="Euronext G Societe Generale 010622 PR 1.95"/>
        <s v="Euronext G Stellantis 020522 Decrement 1.20 "/>
        <s v="Euronext G Stellantis 020522 GR 1.20"/>
        <s v="Euronext G Stellantis 020522 PR 1.20 "/>
        <s v="Euronext G Unibail Rodamco Westfield 270223 Decrement 4"/>
        <s v="Euronext G Unibail Rodamco Westfield 270223 GR 4"/>
        <s v="Euronext G Unibail Rodamco Westfield 270223 PR 4"/>
        <s v="Euronext S AXA 030323 GR 1.70"/>
        <s v="Euronext S AXA 030323 GR Decrement 1.70"/>
        <s v="Euronext S AXA 030323 PR 1.70"/>
        <s v="Euronext S BNP 030323 GR 3.9"/>
        <s v="Euronext S BNP 030323 GR Decrement 3.9"/>
        <s v="Euronext S BNP 030323 PR 3.9"/>
        <s v="Euronext S Bouygues 030323 GR 1.80"/>
        <s v="Euronext S Bouygues 030323 GR Decrement 1.80"/>
        <s v="Euronext S Bouygues 030323 PR 1.80"/>
        <s v="Euronext S Stellantis 030323 GR 1.34"/>
        <s v="Euronext S Stellantis 030323 GR Decrement 1.34"/>
        <s v="Euronext S Stellantis 030323 PR 1.34"/>
        <s v="Euronext S Total 030323 GR 2.86"/>
        <s v="Euronext S Total 030323 GR Decrement 2.86"/>
        <s v="Euronext S Total 030323 PR 2.86"/>
        <s v="Euronext Wind and Solar World"/>
        <s v="Euronext Wind and Solar World GR"/>
        <s v="Euronext Wind and Solar World NR"/>
        <s v="Euronext AI World"/>
        <s v="Euronext AI World GR"/>
        <s v="Euronext AI World NR"/>
        <s v="Euronext Europe SBT 1.5"/>
        <s v="Euronext Europe SBT 1.5 GR"/>
        <s v="Euronext Europe SBT 1.5 GR Decrement 3.75%"/>
        <s v="Euronext Europe SBT 1.5 GR Decrement 4%"/>
        <s v="Euronext Europe SBT 1.5 GR Decrement 5%"/>
        <s v="Euronext Europe SBT 1.5 NR"/>
        <s v="Euronext Europe SBT 1.5 NR Decrement 3.75%"/>
        <s v="Euronext Europe SBT 1.5 NR Decrement 4%"/>
        <s v="Euronext Europe SBT 1.5 NR Decrement 5%"/>
        <s v="Euronext Eurozone SBT 1.5"/>
        <s v="Euronext Eurozone SBT 1.5 GR"/>
        <s v="Euronext Eurozone SBT 1.5 GR Decrement 3.75%"/>
        <s v="Euronext Eurozone SBT 1.5 GR Decrement 4%"/>
        <s v="Euronext Eurozone SBT 1.5 GR Decrement 5%"/>
        <s v="Euronext Eurozone SBT 1.5 NR"/>
        <s v="Euronext Eurozone SBT 1.5 NR Decrement 3.75%"/>
        <s v="Euronext Eurozone SBT 1.5 NR Decrement 4%"/>
        <s v="Euronext Eurozone SBT 1.5 NR Decrement 5%"/>
        <s v="Euronext Global Climate and Sustainability Screened Decrement 50 Points"/>
        <s v="Euronext Metaverse World"/>
        <s v="Euronext Metaverse World GR"/>
        <s v="Euronext Metaverse World NR"/>
        <s v="Euronext G AXA 010622 Decrement 1.80"/>
        <s v="Euronext G AXA 010622 GR 1.80"/>
        <s v="Euronext G AXA 010622 PR 1.80"/>
        <s v="Euronext G BNP 010622 Decrement 3.85"/>
        <s v="Euronext G BNP 010622 GR 3.85"/>
        <s v="Euronext G BNP 010622 PR 3.85"/>
        <s v="Euronext G Credit Agricole 010622 GR 0.84"/>
        <s v="Euronext G Credit Agricole 010622 GR Decrement 0.84"/>
        <s v="Euronext G Credit Agricole 010622 PR 0.84"/>
        <s v="Euronext G Engie 020523 Decrement 1.20"/>
        <s v="Euronext G Engie 020523 GR 1.20"/>
        <s v="Euronext G Engie 020523 PR 1.20"/>
        <s v="Euronext G Kering 010622 Decrement 13.00"/>
        <s v="Euronext G Kering 010622 GR 13.00"/>
        <s v="Euronext G Kering 010622 PR 13.00"/>
        <s v="Euronext G Saint Gobain 010722 Decrement 1.80"/>
        <s v="Euronext G Saint Gobain 010722 GR 1.80"/>
        <s v="Euronext G Saint Gobain 010722 PR 1.80"/>
        <s v="Euronext G TotalEnergies 240323 Decrement 2.85"/>
        <s v="Euronext G TotalEnergies 240323 GR 2.85"/>
        <s v="Euronext G TotalEnergies 240323 PR 2.85"/>
        <s v="Euronext G Unibail Rodamco Westfield 270223 Decrement 4.30"/>
        <s v="Euronext G Unibail Rodamco Westfield 270223 GR 4.30"/>
        <s v="Euronext G Unibail Rodamco Westfield 270223 PR 4.30"/>
        <s v="Euronext G Veolia 010622 Decrement 1.20"/>
        <s v="Euronext G Veolia 010622 GR 1.20"/>
        <s v="Euronext G Veolia 010622 PR 1.20"/>
        <s v="Euronext M Engie 28022023 GR 1.40"/>
        <s v="Euronext M Engie 28022023 GR Decrement 1.40"/>
        <s v="Euronext M Engie 28022023 PR 1.40"/>
        <s v="Euronext M Michelin 28042023 GR 1.25"/>
        <s v="Euronext M Michelin 28042023 GR Decrement 1.25"/>
        <s v="Euronext M Michelin 28042023 PR 1.25"/>
        <s v="Euronext M Saint Gobain 28042023 GR 2.00"/>
        <s v="Euronext M Saint Gobain 28042023 GR Decrement 2.00"/>
        <s v="Euronext M Saint Gobain 28042023 PR 2.00"/>
        <s v="Euronext S Engie 14042023 GR 1.23"/>
        <s v="Euronext S Engie 14042023 GR Decrement 1.23"/>
        <s v="Euronext S Engie 14042023 PR 1.23"/>
        <s v="CAC 40 Futures Monthly Roll 4D Excess Return"/>
        <s v="CAC 40 TRF Adjusted"/>
        <s v="Euronext Biodiversity Enablers World"/>
        <s v="Euronext Biodiversity Enablers World GR"/>
        <s v="Euronext Biodiversity Enablers World NR"/>
        <s v="Euronext Biodiversity Screened World"/>
        <s v="Euronext Biodiversity Screened World GR"/>
        <s v="Euronext Biodiversity Screened World NR"/>
        <s v="Euronext Cybersecurity World"/>
        <s v="Euronext Cybersecurity World GR"/>
        <s v="Euronext Cybersecurity World NR"/>
        <s v="Euronext ESG Eurozone Biodiversity Leaders PAB Decrement 3.5%"/>
        <s v="Euronext France Climate Screened"/>
        <s v="Euronext France Climate Screened Decrement 50 Points"/>
        <s v="Euronext France Climate Screened GR"/>
        <s v="Euronext France Climate Screened NR"/>
        <s v="Euronext PAB North America 50"/>
        <s v="Euronext PAB North America 50 Decrement 5%"/>
        <s v="Euronext PAB North America 50 GR"/>
        <s v="Euronext PAB North America 50 NR"/>
        <s v="Euronext PAB Transatlantic 50"/>
        <s v="Euronext PAB Transatlantic 50 GR"/>
        <s v="Euronext PAB Transatlantic 50 NR"/>
        <s v="Euronext Transatlantic PAB 50"/>
        <s v="Euronext Transatlantic PAB 50 Decrement 5%"/>
        <s v="Euronext Transatlantic PAB 50 GR"/>
        <s v="Euronext Transatlantic PAB 50 NR"/>
        <s v="CAC Vol Bonus"/>
        <s v="Euronext Canada "/>
        <s v="Euronext Canada GR"/>
        <s v="Euronext Canada NR"/>
        <s v="Euronext Developed Asia"/>
        <s v="Euronext Developed Asia GR"/>
        <s v="Euronext Developed Asia NR"/>
        <s v="Euronext Developed Asia Pacific "/>
        <s v="Euronext Developed Asia Pacific GR"/>
        <s v="Euronext Developed Asia Pacific NR"/>
        <s v="Euronext Developed Europe "/>
        <s v="Euronext Developed Europe GR"/>
        <s v="Euronext Developed Europe NR"/>
        <s v="Euronext Developed Eurozone "/>
        <s v="Euronext Developed Eurozone GR"/>
        <s v="Euronext Developed Eurozone NR"/>
        <s v="Euronext Developed North America "/>
        <s v="Euronext Developed North America GR"/>
        <s v="Euronext Developed North America NR"/>
        <s v="Euronext Developed Pacific"/>
        <s v="Euronext Developed Pacific GR"/>
        <s v="Euronext Developed Pacific NR"/>
        <s v="Euronext Developed World GR"/>
        <s v="Euronext Developed World NR"/>
        <s v="Euronext Developed World "/>
        <s v="Euronext Developed World ESG Screened"/>
        <s v="Euronext Developed World ESG Screened GR"/>
        <s v="Euronext Developed World ESG Screened NR"/>
        <s v="Euronext Eurozone 50"/>
        <s v="Euronext France Climate Screened NR Decrement 5%"/>
        <s v="Euronext Global Health Care 50 EW ESG ER"/>
        <s v="Euronext Global Sustainability and Climate Screened DR"/>
        <s v="Euronext Global Sustainability and Climate Screened DR GR"/>
        <s v="Euronext Japan "/>
        <s v="Euronext Japan GR"/>
        <s v="Euronext Japan NR"/>
        <s v="Euronext G Engie 020523 Decrement 0.80"/>
        <s v="Euronext G Engie 020523 GR 0.80"/>
        <s v="Euronext G Engie 020523 PR 0.80"/>
        <s v="Euronext G Sanofi 010623 Decrement 3.56"/>
        <s v="Euronext G Sanofi 010623 GR 3.56"/>
        <s v="Euronext G Sanofi 010623 PR 3.56"/>
        <s v="Euronext G Societe Generale 010623 Decrement 1.50"/>
        <s v="Euronext G Societe Generale 010623 GR 1.50"/>
        <s v="Euronext G Societe Generale 010623 PR 1.50"/>
        <s v="Euronext Switzerland "/>
        <s v="Euronext Switzerland GR"/>
        <s v="Euronext Switzerland NR"/>
        <s v="Euronext UK "/>
        <s v="Euronext UK GR"/>
        <s v="Euronext UK NR"/>
        <s v="Euronext USA "/>
        <s v="Euronext USA GR"/>
        <s v="Euronext USA NR"/>
        <s v="Euronext Aerospace and Defense"/>
        <s v="Euronext Aerospace and Defense D3.5%"/>
        <s v="Euronext Aerospace and Defense D5%"/>
        <s v="Euronext Aerospace and Defense GR"/>
        <s v="Euronext Aerospace and Defense NR"/>
        <s v="Euronext Biodiversité Climat Conviction PAB"/>
        <s v="Euronext Biodiversité Climat Conviction PAB Decrement 3.5%"/>
        <s v="Euronext Biodiversité Climat Conviction PAB Decrement 5%"/>
        <s v="Euronext Biodiversité Climat Conviction PAB GR"/>
        <s v="Euronext Biodiversité Climat Conviction PAB NR"/>
        <s v="Euronext Canada Total Market GR"/>
        <s v="Euronext Canada Total Market NR"/>
        <s v="Euronext Canada Total Market "/>
        <s v="Euronext Developed Asia Pacific Total Market GR"/>
        <s v="Euronext Developed Asia Pacific Total Market NR"/>
        <s v="Euronext Developed Asia Pacific Total Market "/>
        <s v="Euronext Developed Asia Total Market GR"/>
        <s v="Euronext Developed Asia Total Market NR"/>
        <s v="Euronext Developed Asia Total Market "/>
        <s v="Euronext Developed Europe Total Market GR"/>
        <s v="Euronext Developed Europe Total Market NR"/>
        <s v="Euronext Developed Europe Total Market "/>
        <s v="Euronext Developed Eurozone Total Market GR"/>
        <s v="Euronext Developed Eurozone Total Market NR"/>
        <s v="Euronext Developed Eurozone Total Market "/>
        <s v="Euronext Developed North America Total Market GR"/>
        <s v="Euronext Developed North America Total Market NR"/>
        <s v="Euronext Developed North America Total Market "/>
        <s v="Euronext Developed Pacific Total Market GR"/>
        <s v="Euronext Developed Pacific Total Market NR"/>
        <s v="Euronext Developed Pacific Total Market "/>
        <s v="Euronext Earth Focus 40"/>
        <s v="Euronext Earth Focus 40 Decrement 3.5%"/>
        <s v="Euronext Earth Focus 40 Decrement 5%"/>
        <s v="Euronext Earth Focus 40 GR"/>
        <s v="Euronext Earth Focus 40 GR Decrement 50 Points"/>
        <s v="Euronext Earth Focus 40 NR"/>
        <s v="Euronext Earth Focus 40 NR Decrement 50 Points "/>
        <s v="Euronext ESG Eurozone Biodiversity Leaders PAB Decrement 5%"/>
        <s v="Euronext Europe Luxury"/>
        <s v="Euronext Europe Luxury Decrement 3.5%"/>
        <s v="Euronext Europe Luxury Decrement 5%"/>
        <s v="Euronext Europe Luxury Decrement 50 Points"/>
        <s v="Euronext Europe Luxury GR"/>
        <s v="Euronext Europe Luxury NR"/>
        <s v="Euronext Eurozone 60 PAB Decrement 50 Points"/>
        <s v="Euronext Eurozone PAB 50 Decrement 50 Points"/>
        <s v="Euronext Eurozone Basic Materials GR"/>
        <s v="Euronext Eurozone Basic Materials NR"/>
        <s v="Euronext Eurozone Basic Materials PR"/>
        <s v="Euronext Eurozone Consumer Discretionary GR"/>
        <s v="Euronext Eurozone Consumer Discretionary NR"/>
        <s v="Euronext Eurozone Consumer Discretionary PR"/>
        <s v="Euronext Eurozone Consumer Staples GR"/>
        <s v="Euronext Eurozone Consumer Staples NR"/>
        <s v="Euronext Eurozone Consumer Staples PR"/>
        <s v="Euronext Eurozone Energy GR"/>
        <s v="Euronext Eurozone Energy NR"/>
        <s v="Euronext Eurozone Energy PR"/>
        <s v="Euronext Eurozone Financials GR"/>
        <s v="Euronext Eurozone Financials NR"/>
        <s v="Euronext Eurozone Financials PR"/>
        <s v="Euronext Eurozone Health Care GR"/>
        <s v="Euronext Eurozone Health Care NR"/>
        <s v="Euronext Eurozone Health Care PR"/>
        <s v="Euronext Eurozone Industrials GR"/>
        <s v="Euronext Eurozone Industrials NR"/>
        <s v="Euronext Eurozone Industrials PR"/>
        <s v="Euronext Eurozone Technology GR"/>
        <s v="Euronext Eurozone Technology NR"/>
        <s v="Euronext Eurozone Technology PR"/>
        <s v="Euronext Eurozone Telecommunications GR"/>
        <s v="Euronext Eurozone Telecommunications NR"/>
        <s v="Euronext Eurozone Telecommunications PR"/>
        <s v="Euronext Eurozone Utilities GR"/>
        <s v="Euronext Eurozone Utilities NR"/>
        <s v="Euronext Eurozone Utilities PR"/>
        <s v="Euronext Eurozone Small Cap "/>
        <s v="Euronext Eurozone Small Cap  GR"/>
        <s v="Euronext Eurozone Small Cap  NR"/>
        <s v="Euronext FAS IAS"/>
        <s v="Euronext FAS IAS GR"/>
        <s v="Euronext FAS IAS NR"/>
        <s v="Euronext France Developpement 40"/>
        <s v="Euronext France Developpement 40 D5%"/>
        <s v="Euronext France Developpement 40 GR"/>
        <s v="Euronext France Developpement 40 NR"/>
        <s v="Euronext France Investissement 40"/>
        <s v="Euronext France Investissement 40 D5%"/>
        <s v="Euronext France Investissement 40 GR"/>
        <s v="Euronext France Investissement 40 NR"/>
        <s v="Euronext Invest In France"/>
        <s v="Euronext Invest In France GR"/>
        <s v="Euronext Invest In France NR"/>
        <s v="Euronext Invest In France 40"/>
        <s v="Euronext Invest In France 40 D 5%"/>
        <s v="Euronext Invest In France 40 GR"/>
        <s v="Euronext Invest In France 40 NR"/>
        <s v="Euronext Invest In France Low Volatility"/>
        <s v="Euronext Invest In France Low Volatility Decrement 3%"/>
        <s v="Euronext Invest In France Low Volatility Decrement 3.5%"/>
        <s v="Euronext Invest In France Low Volatility GR"/>
        <s v="Euronext Invest In France Low Volatility NR"/>
        <s v="Euronext Japan Total Market GR"/>
        <s v="Euronext Japan Total Market NR"/>
        <s v="Euronext Japan Total Market "/>
        <s v="Euronext MTS EGB 10-15 Year GR"/>
        <s v="Euronext MTS EGB 1-3 Year GR"/>
        <s v="Euronext MTS EGB 15+ Year GR"/>
        <s v="Euronext MTS EGB 15-25 Year GR"/>
        <s v="Euronext MTS EGB 25+ Year GR"/>
        <s v="Euronext MTS EGB 3-5 Year GR"/>
        <s v="Euronext MTS EGB 5-7 Year GR"/>
        <s v="Euronext MTS EGB 7-10 Year GR"/>
        <s v="Euronext MTS EGB Austria GR"/>
        <s v="Euronext MTS EGB Belgium GR"/>
        <s v="Euronext MTS EGB Broad GR"/>
        <s v="Euronext MTS EGB Finland GR"/>
        <s v="Euronext MTS EGB France GR"/>
        <s v="Euronext MTS EGB Germany GR"/>
        <s v="Euronext MTS EGB Ireland GR"/>
        <s v="Euronext MTS EGB Italy 10-15 Year GR"/>
        <s v="Euronext MTS EGB Italy 1-3 Year GR"/>
        <s v="Euronext MTS EGB Italy 15-25 Year GR"/>
        <s v="Euronext MTS EGB Italy 25+ Year GR"/>
        <s v="Euronext MTS EGB Italy 3-5 Year GR"/>
        <s v="Euronext MTS EGB Italy 5-7 Year GR"/>
        <s v="Euronext MTS EGB Italy 7-10 Year GR"/>
        <s v="Euronext MTS EGB Italy GR"/>
        <s v="Euronext MTS EGB Portugal GR"/>
        <s v="Euronext MTS EGB Spain GR"/>
        <s v="Euronext MTS EGB The Netherlands GR"/>
        <s v="Euronext MTS EU GR"/>
        <s v="Euronext PAB Transatlantic 40"/>
        <s v="Euronext PAB Transatlantic 40 Decrement 5%"/>
        <s v="Euronext PAB Transatlantic 40 Decrement 50 Points"/>
        <s v="Euronext PAB Transatlantic 40 GR"/>
        <s v="Euronext PAB Transatlantic 40 NR"/>
        <s v="Euronext PAB Transatlantic 60"/>
        <s v="Euronext PAB Transatlantic 60 Decrement 5%"/>
        <s v="Euronext PAB Transatlantic 60 Decrement 50"/>
        <s v="Euronext PAB Transatlantic 60 GR"/>
        <s v="Euronext PAB Transatlantic 60 NR"/>
        <s v="Euronext G BNP 010622 GR 3.5"/>
        <s v="Euronext G BNP 010622 GR Decrement 3.5"/>
        <s v="Euronext G BNP 010622 PR 3.5"/>
        <s v="Euronext G BNP 240523 GR 3.67"/>
        <s v="Euronext G BNP 240523 PR 3.67"/>
        <s v="Euronext G BNP 310523 GR 4.00"/>
        <s v="Euronext G BNP 310523 PR 4.00"/>
        <s v="Euronext G Bouygues 030524 Decrement 1.80"/>
        <s v="Euronext G Bouygues 030524 GR 1.80"/>
        <s v="Euronext G Bouygues 030524 PR 1.80"/>
        <s v="Euronext G Credit Agricole 310523 GR 1.05"/>
        <s v="Euronext G Credit Agricole 310523 PR 1.05"/>
        <s v="Euronext G Engie 030523 GR 1 10"/>
        <s v="Euronext G Engie 030523 PR 1 10"/>
        <s v="Euronext G Orange 060624 D 0.74"/>
        <s v="Euronext G Orange 060624 GR 0.74"/>
        <s v="Euronext G Orange 060624 PR 0.74"/>
        <s v="Euronext G Renault 240524 Decrement 1.85"/>
        <s v="Euronext G Renault 240524 GR 1.85"/>
        <s v="Euronext G Renault 240524 PR 1.85"/>
        <s v="Euronext G Scor 230524 GR 1.80"/>
        <s v="Euronext G Scor 230524 PR 1.80"/>
        <s v="Euronext G Societe Generale 290524 GR 1.25"/>
        <s v="Euronext G Societe Generale 290524 PR 1.25"/>
        <s v="Euronext G Societe Generale 310523 Decrement 1.30"/>
        <s v="Euronext G Societe Generale 310523 GR 1.30"/>
        <s v="Euronext G Societe Generale 310523 GR 1.35"/>
        <s v="Euronext G Societe Generale 310523 PR 1.30"/>
        <s v="Euronext G Societe Generale 310523 PR 1.35"/>
        <s v="Euronext G Stellantis 030524 Decrement 1.55"/>
        <s v="Euronext G Stellantis 030524 PR 1.55"/>
        <s v="Euronext G Stellantis 040523 GR 1.34"/>
        <s v="Euronext G Stellantis 040523 PR 1.34"/>
        <s v="Euronext G URW 270223 GR 3 50"/>
        <s v="Euronext G URW 270223 PR 3 50"/>
        <s v="Euronext S Stellantis 280824 Decrement 1.2 "/>
        <s v="Euronext S Stellantis 280824 GR 1.2"/>
        <s v="Euronext S Stellantis 280824 PR 1.2"/>
        <s v="Euronext 3X Long MicroStrategy"/>
        <s v="Euronext 3X Short MicroStrategy"/>
        <s v="Euronext MicroStrategy"/>
        <s v="Euronext Switzerland Total Market GR"/>
        <s v="Euronext Switzerland Total Market NR"/>
        <s v="Euronext Switzerland Total Market "/>
        <s v="Euronext Transatlantic Basic Materials GR"/>
        <s v="Euronext Transatlantic Basic Materials NR"/>
        <s v="Euronext Transatlantic Basic Materials PR"/>
        <s v="Euronext Transatlantic Consumer Discretionary GR"/>
        <s v="Euronext Transatlantic Consumer Discretionary NR"/>
        <s v="Euronext Transatlantic Consumer Discretionary PR"/>
        <s v="Euronext Transatlantic Consumer Staples GR"/>
        <s v="Euronext Transatlantic Consumer Staples NR"/>
        <s v="Euronext Transatlantic Consumer Staples PR"/>
        <s v="Euronext Transatlantic Energy GR"/>
        <s v="Euronext Transatlantic Energy NR"/>
        <s v="Euronext Transatlantic Energy PR"/>
        <s v="Euronext Transatlantic Financials GR"/>
        <s v="Euronext Transatlantic Financials NR"/>
        <s v="Euronext Transatlantic Financials PR"/>
        <s v="Euronext Transatlantic Health Care GR"/>
        <s v="Euronext Transatlantic Health Care NR"/>
        <s v="Euronext Transatlantic Health Care PR"/>
        <s v="Euronext Transatlantic Industrials GR"/>
        <s v="Euronext Transatlantic Industrials NR"/>
        <s v="Euronext Transatlantic Industrials PR"/>
        <s v="Euronext Transatlantic Technology GR"/>
        <s v="Euronext Transatlantic Technology NR"/>
        <s v="Euronext Transatlantic Technology PR"/>
        <s v="Euronext Transatlantic Telecommunications GR"/>
        <s v="Euronext Transatlantic Telecommunications NR"/>
        <s v="Euronext Transatlantic Telecommunications PR"/>
        <s v="Euronext Transatlantic Utilities GR"/>
        <s v="Euronext Transatlantic Utilities NR"/>
        <s v="Euronext Transatlantic Utilities PR"/>
        <s v="Euronext UK Total Market GR"/>
        <s v="Euronext UK Total Market NR"/>
        <s v="Euronext UK Total Market "/>
        <s v="Euronext US Consumer Tech Energy"/>
        <s v="Euronext US Consumer Tech Energy Dec 5%"/>
        <s v="Euronext US Consumer Tech Energy Dec 50 Points"/>
        <s v="Euronext US Consumer Tech Energy GR"/>
        <s v="Euronext US Consumer Tech Energy NR"/>
        <s v="Euronext USA Total Market GR"/>
        <s v="Euronext USA Total Market NR"/>
        <s v="Euronext USA Total Market "/>
        <s v="Euronext World Hedged EUR"/>
        <s v="Euronext World Invest In France 40"/>
        <s v="Euronext World Invest In France 40 Decrement 5%"/>
        <s v="Euronext World Invest In France 40 GR"/>
        <s v="Euronext World Invest In France 40 NR"/>
        <m/>
      </sharedItems>
    </cacheField>
    <cacheField name="BenchmarkStatementFamily" numFmtId="0">
      <sharedItems containsBlank="1" count="236">
        <s v="AEX"/>
        <s v="BEL"/>
        <s v="CAC"/>
        <s v="ISEQ"/>
        <s v="PSI"/>
        <s v="AEX All-Share and Sector"/>
        <s v="AEX ESG"/>
        <s v="AEX-DI"/>
        <s v="AEX-EW"/>
        <s v="AEX-EXT"/>
        <s v="BEL All-Share and sector"/>
        <s v="CAC 40 ESG"/>
        <s v="CAC 40 Inflation Adjusted"/>
        <s v="CAC All-Share and sector"/>
        <s v="CAC and Enternext PME and tech Index"/>
        <s v="CAC Large 60 Responsible Investment"/>
        <s v="CAC SBT 1.5"/>
        <s v="CAC-DI"/>
        <s v="CAC-EW"/>
        <s v="CAC-EWC"/>
        <s v="CAC-EWE"/>
        <s v="CAC-EWJPY"/>
        <s v="CAC-EXT"/>
        <s v="CAC-Gov"/>
        <s v="CAC-SynDiv"/>
        <s v="Euronext 100-150"/>
        <s v="Euronext Asia Pacific 500"/>
        <s v="Euronext BeNe 40 Index"/>
        <s v="Euronext BeNe 40 Index VT"/>
        <s v="Euronext BeNeLux ESG Leaders 20"/>
        <s v="Euronext BeNeLux Low Risk 20"/>
        <s v="Euronext CDP Environment ESG Eurozone"/>
        <s v="Euronext CDP Environment ESG France EW"/>
        <s v="Euronext CDP Environment ESG World"/>
        <s v="Euronext CDP Environment Eurozone"/>
        <s v="Euronext CDP Environment France Ex Oil &amp; Gas EW"/>
        <s v="Euronext CDP Environment Transatlantic EW"/>
        <s v="Euronext CDP Environment World"/>
        <s v="Euronext CDP France Environment EW"/>
        <s v="Euronext CDP France Environnement"/>
        <s v="Euronext CDP Water Eurozone EW"/>
        <s v="Euronext Climate Europe"/>
        <s v="Euronext Climate Objective 50 Euro EW"/>
        <s v="Euronext Climate Objective 50 EW"/>
        <s v="Euronext Climate Orientation Priority 50 EW"/>
        <s v="Euronext Core Euro and Global Climate"/>
        <s v="Euronext Core Europe 100 ESG EW"/>
        <s v="Euronext Core Europe 30 ESG EW"/>
        <s v="Euronext Core Europe EW"/>
        <s v="Euronext Core Europe PAB 50"/>
        <s v="Euronext Developed Market"/>
        <s v="Euronext Environmental Goods and Services Eurozone"/>
        <s v="Euronext Environmental Goods and Services World"/>
        <s v="Euronext Equileap Gender Equality Eurozone 100"/>
        <s v="Euronext Equileap Gender Equality France 40"/>
        <s v="Euronext ESG Biodiversity Screened Eurozone 50"/>
        <s v="Euronext ESG Biodiversity Screened Transatlantic 80"/>
        <s v="Euronext ESG Biodiversity Screened World"/>
        <s v="Euronext ESG Eurozone Biodiversity Leaders PAB"/>
        <s v="Euronext ESG Leaders Select 40 EW"/>
        <s v="Euronext Euro 50 ESG EW"/>
        <s v="Euronext Euro 50 SG EW"/>
        <s v="Euronext Euro Large Cap Biodiversity Leaders 30"/>
        <s v="Euronext Europe 500"/>
        <s v="Euronext Europe Pioneers 50 ESG EW"/>
        <s v="Euronext Europe Sustainable 100 EW"/>
        <s v="Euronext Eurozone 100 ESG"/>
        <s v="Euronext Eurozone 150 EW"/>
        <s v="Euronext Eurozone 300"/>
        <s v="Euronext Eurozone 40 EW"/>
        <s v="Euronext Eurozone 60 EW"/>
        <s v="Euronext Eurozone 60 PAB"/>
        <s v="Euronext Eurozone 70 EW"/>
        <s v="Euronext Eurozone 80 EW"/>
        <s v="Euronext Eurozone Banks"/>
        <s v="Euronext Eurozone Banks Dividend"/>
        <s v="Euronext Eurozone Diversity &amp; Governance 40 EW"/>
        <s v="Euronext Eurozone Energy Transition Leaders 50 EW"/>
        <s v="Euronext Eurozone ESG Large 80"/>
        <s v="Euronext Eurozone ESG Leaders 40 EW"/>
        <s v="Euronext Eurozone ESG Leaders Select 40"/>
        <s v="Euronext Eurozone Focus 40 PAB"/>
        <s v="Euronext Eurozone Mid and Large 60 EW"/>
        <s v="Euronext Eurozone Next 100 EW"/>
        <s v="Euronext Eurozone PAB 50"/>
        <s v="Euronext Eurozone Screened Climate Ambition 35 EW"/>
        <s v="Euronext Eurozone Screened Climate Ambition 40 EW"/>
        <s v="Euronext Expand All-share"/>
        <s v="Euronext EZ ESGL 40 EW"/>
        <s v="Euronext Founding Members Europe 50 EW"/>
        <s v="Euronext France 20 EW"/>
        <s v="Euronext France 20-40 Challengers EW"/>
        <s v="Euronext France 40 Responsible Investment"/>
        <s v="Euronext France Energy Transition Leaders 40 EW"/>
        <s v="Euronext France ESG Leaders 40 EW"/>
        <s v="Euronext France ESG Leaders Select"/>
        <s v="Euronext France Eurozone 60 EW"/>
        <s v="Euronext France Germany Leaders"/>
        <s v="Euronext France Next 40 EW"/>
        <s v="Euronext France PAB 50"/>
        <s v="Euronext France Social"/>
        <s v="Euronext French Employment 40 EW"/>
        <s v="Euronext Global Health Care 50 EW ESG"/>
        <s v="Euronext Global Sustainability and Climate Screened"/>
        <s v="Euronext Green Planet E"/>
        <s v="Euronext Green Planet F"/>
        <s v="Euronext Growth"/>
        <s v="Euronext Helios Space"/>
        <s v="Euronext Helios Space All-Share"/>
        <s v="Euronext JPN Screened Climate Ambition 30 EW"/>
        <s v="Euronext Low Carbon Eurozone PAB"/>
        <s v="Euronext Low Carbon World PAB"/>
        <s v="Euronext NDR Hydrogen World"/>
        <s v="Euronext NDR Web 3.0 World"/>
        <s v="Euronext North America 500"/>
        <s v="Euronext Positive Impact Water Eurozone"/>
        <s v="Euronext Positive Impact Water World"/>
        <s v="Euronext Reitsmarket"/>
        <s v="Euronext Reitsmarket GRESB Global Sustainable"/>
        <s v="Euronext Responsible Investment Euro 50 EW"/>
        <s v="Euronext Single Stock Decrement"/>
        <s v="Euronext Social Goods and Services Eurozone"/>
        <s v="Euronext Social Goods and Services World"/>
        <s v="Euronext Sovereign Economy Selection Eurozone 50"/>
        <s v="Euronext Switzerland 20 PAB"/>
        <s v="Euronext Tech"/>
        <s v="Euronext Tech Leaders"/>
        <s v="Euronext Top 30 France Germany Industrials EW"/>
        <s v="Euronext Transatlantic"/>
        <s v="Euronext Transatlantic 50 EW"/>
        <s v="Euronext Transatlantic Circular Economy 50 EW"/>
        <s v="Euronext Transatlantic Environment 50"/>
        <s v="Euronext Transatlantic ESG Leaders"/>
        <s v="Euronext Transatlantic Sustainability and Climate Screened 60"/>
        <s v="Euronext US ESGL 20 EW"/>
        <s v="Euronext US Screened Climate Ambition 25 EW"/>
        <s v="Euronext US Screened Climate Ambition 35 EW"/>
        <s v="Euronext V.E ESG World-Select 75 Bund SV"/>
        <s v="Euronext V.E Eurozone Social Focus"/>
        <s v="Euronext VIGEO Benelux 20"/>
        <s v="Euronext VIGEO Euro 120"/>
        <s v="Euronext VIGEO Europe 120"/>
        <s v="Euronext VIGEO France 20"/>
        <s v="Euronext VIGEO UK 20"/>
        <s v="Euronext VIGEO US 50"/>
        <s v="Euronext VIGEO World 120"/>
        <s v="Euronext Water and Ocean Europe"/>
        <s v="Euronext World"/>
        <s v="Euronext World Country Selection"/>
        <s v="Euronext World Sustainability and Climate Screened"/>
        <s v="ISEQ All-Share and sector"/>
        <s v="Italia Leva"/>
        <s v="LeverageShort indices"/>
        <s v="LeverageShort VAR"/>
        <s v="Low Carbon 100 Europe PAB"/>
        <s v="MIB ESG"/>
        <s v="Next Biotech"/>
        <s v="OBX"/>
        <s v="OBX ESG"/>
        <s v="OBX ESG ex Oil and Gas"/>
        <s v="Oslo Børs Benchmark and Mutual Fund"/>
        <s v="Oslo Børs Custom"/>
        <s v="Oslo Børs Equity Certificate"/>
        <s v="Oslo Børs Investable Sector"/>
        <s v="Oslo Børs OBX Sector and All Share"/>
        <s v="Oslo Børs Strong Sector"/>
        <s v="PSI All-Share and sector"/>
        <s v="REIT Europe"/>
        <s v="SBF Top 50 ESG EW"/>
        <s v="SBF TOP 80 EW"/>
        <s v="BEL ESG"/>
        <s v="Euronext Eurozone ESG Transition"/>
        <s v="Euronext EZ Transatlantic"/>
        <s v="Euronext Wind and Solar World"/>
        <s v="Euronext AI World"/>
        <s v="Euronext Europe SBT 1.5"/>
        <s v="Euronext Eurozone SBT 1.5"/>
        <s v="Euronext Metaverse World"/>
        <s v="CAC 40 Futures Monthly Roll 4D Excess Return"/>
        <s v="CAC 40 TRF Adjusted"/>
        <s v="Euronext Biodiversity Enablers World"/>
        <s v="Euronext Biodiversity Screened World"/>
        <s v="Euronext Cybersecurity World"/>
        <s v="Euronext France Climate Screened"/>
        <s v="Euronext PAB North America 50"/>
        <s v="Euronext PAB Transatlantic 50"/>
        <s v="Euronext Transatlantic PAB 50"/>
        <s v="CAC Vol Bonus"/>
        <s v="Euronext Canada"/>
        <s v="Euronext Developed Asia"/>
        <s v="Euronext Developed Asia Pacific"/>
        <s v="Euronext Developed Europe"/>
        <s v="Euronext Developed Eurozone"/>
        <s v="Euronext Developed North America"/>
        <s v="Euronext Developed Pacific"/>
        <s v="Euronext Developed World"/>
        <s v="Euronext Developed World ESG Screened"/>
        <s v="Euronext Eurozone 50"/>
        <s v="Euronext Global Sustainability and Climate Screened DR"/>
        <s v="Euronext Japan"/>
        <s v="Euronext Switzerland"/>
        <s v="Euronext UK"/>
        <s v="Euronext USA"/>
        <s v="Euronext Aerospace and Defense"/>
        <s v="Euronext Biodiversité Climat Conviction PAB"/>
        <s v="Euronext Canada Total Market "/>
        <s v="Euronext Developed Asia Pacific Total Market "/>
        <s v="Euronext Developed Asia Total Market "/>
        <s v="Euronext Developed Europe Total Market "/>
        <s v="Euronext Developed Eurozone Total Market "/>
        <s v="Euronext Developed North America Total Market "/>
        <s v="Euronext Developed Pacific Total Market "/>
        <s v="Euronext Earth Focus 40"/>
        <s v="Euronext Europe Luxury"/>
        <s v="Euronext Eurozone Sectorial"/>
        <s v="Euronext Eurozone Small Cap"/>
        <s v="Euronext FAS IAS"/>
        <s v="Euronext France Developpement 40"/>
        <s v="Euronext France Investissement 40"/>
        <s v="Euronext Invest In France"/>
        <s v="Euronext Invest In France 40"/>
        <s v="Euronext Invest In France Low Volatility"/>
        <s v="Euronext Japan Total Market "/>
        <s v="Euronext MTS EGB"/>
        <s v="Euronext MTS EU"/>
        <s v="Euronext PAB Transatlantic 40"/>
        <s v="Euronext PAB Transatlantic 60"/>
        <s v="Euronext Single Stock Leverage and Short"/>
        <s v="Euronext Switzerland Total Market "/>
        <s v="Euronext Transatlantic Sectorial"/>
        <s v="Euronext UK Total Market "/>
        <s v="Euronext US Consumer Tech Energy"/>
        <s v="Euronext USA Total Market "/>
        <s v="Euronext World Hedged EUR"/>
        <s v="Euronext World Invest In France 40"/>
        <m/>
      </sharedItems>
    </cacheField>
    <cacheField name="IsinCode" numFmtId="0">
      <sharedItems containsBlank="1"/>
    </cacheField>
    <cacheField name="ESG Yes/No" numFmtId="0">
      <sharedItems containsBlank="1" count="3">
        <s v="No"/>
        <s v="Yes"/>
        <m/>
      </sharedItems>
    </cacheField>
    <cacheField name="Category" numFmtId="0">
      <sharedItems containsBlank="1"/>
    </cacheField>
    <cacheField name="PAB/CTB" numFmtId="0">
      <sharedItems containsBlank="1" count="4">
        <m/>
        <s v="ESG Other"/>
        <s v="PAB"/>
        <s v="CTB"/>
      </sharedItems>
    </cacheField>
    <cacheField name="Mnemo" numFmtId="0">
      <sharedItems containsBlank="1"/>
    </cacheField>
    <cacheField name="AdministratorName" numFmtId="0">
      <sharedItems containsBlank="1" count="7">
        <s v="Euronext Amsterdam"/>
        <s v="Euronext Brussels"/>
        <s v="Euronext Paris"/>
        <s v="Euronext Dublin"/>
        <s v="Euronext Lisbon"/>
        <s v="Oslo Børs"/>
        <m/>
      </sharedItems>
    </cacheField>
    <cacheField name="Significant/non-significant" numFmtId="0">
      <sharedItems containsBlank="1"/>
    </cacheField>
    <cacheField name="Value reported (€): Invoicing" numFmtId="0">
      <sharedItems containsString="0" containsBlank="1" containsNumber="1" minValue="0" maxValue="5262516339"/>
    </cacheField>
    <cacheField name="Nominal value " numFmtId="0">
      <sharedItems containsString="0" containsBlank="1" containsNumber="1" minValue="0" maxValue="2914671477.6789999"/>
    </cacheField>
    <cacheField name="Sales volume SRP: (€)" numFmtId="0">
      <sharedItems containsString="0" containsBlank="1" containsNumber="1" minValue="0" maxValue="2145530797.8436"/>
    </cacheField>
    <cacheField name="Funds benchmarked: Morningstar (€)" numFmtId="0">
      <sharedItems containsString="0" containsBlank="1" containsNumber="1" minValue="0" maxValue="13336241280.458595"/>
    </cacheField>
    <cacheField name="Warrants and Certificates (€)" numFmtId="0">
      <sharedItems containsString="0" containsBlank="1" containsNumber="1" minValue="0" maxValue="155503185450.1496"/>
    </cacheField>
    <cacheField name="Value of _x000a_Open Interest derivatives (€)" numFmtId="0">
      <sharedItems containsString="0" containsBlank="1" containsNumber="1" minValue="0" maxValue="22550396339.600002"/>
    </cacheField>
    <cacheField name="Total" numFmtId="0">
      <sharedItems containsString="0" containsBlank="1" containsNumber="1" minValue="0" maxValue="178903298963.45627" count="179">
        <n v="0"/>
        <n v="677345850.85687852"/>
        <n v="135395607364.7899"/>
        <n v="114968395.77999999"/>
        <n v="254158873"/>
        <n v="178903298963.45627"/>
        <n v="4379144962.6000004"/>
        <n v="13337071280.458595"/>
        <n v="306321232.02999997"/>
        <n v="301958144.69999993"/>
        <n v="515734000"/>
        <n v="53475013"/>
        <n v="617600"/>
        <n v="470000"/>
        <n v="68800895.599999994"/>
        <n v="6020738085.8000002"/>
        <n v="173634941"/>
        <n v="61233827"/>
        <n v="2003383790.2100003"/>
        <n v="3600000"/>
        <n v="684657431"/>
        <n v="2431500"/>
        <n v="26985000"/>
        <n v="1861205632.79"/>
        <n v="47489040.660000011"/>
        <n v="5948578738.5150023"/>
        <n v="137099606"/>
        <n v="200000000"/>
        <n v="329732605"/>
        <n v="1114756668"/>
        <n v="2919640.8812000002"/>
        <m/>
        <n v="15832800"/>
        <n v="175100475"/>
        <n v="285650359.02450001"/>
        <n v="105621370"/>
        <n v="9944000"/>
        <n v="1284044000"/>
        <n v="2914671477.6789999"/>
        <n v="3246341.7600000002"/>
        <n v="36305000"/>
        <n v="9090000"/>
        <n v="1161500"/>
        <n v="12546000"/>
        <n v="43019736.852972999"/>
        <n v="25000000"/>
        <n v="62555838.691200003"/>
        <n v="448291872.66600001"/>
        <n v="94542945.254000008"/>
        <n v="78001383.668400005"/>
        <n v="131549623.6788"/>
        <n v="39420744.939999998"/>
        <n v="394799457.07560003"/>
        <n v="337208424.39560002"/>
        <n v="4862998.0608000001"/>
        <n v="1795054159.1928"/>
        <n v="29030624.7872"/>
        <n v="16359475.57"/>
        <n v="421883502.2216"/>
        <n v="469196420.85480005"/>
        <n v="1100000"/>
        <n v="388321447.42320001"/>
        <n v="100000000"/>
        <n v="4803903.0320111997"/>
        <n v="46350802"/>
        <n v="227950381"/>
        <n v="240000000"/>
        <n v="725931403.70480001"/>
        <n v="29087000"/>
        <n v="268643801.9648"/>
        <n v="10384500"/>
        <n v="30000000"/>
        <n v="5000000"/>
        <n v="164273548.12960002"/>
        <n v="133718528.4544"/>
        <n v="64803133.249600001"/>
        <n v="73029800"/>
        <n v="358729200"/>
        <n v="5074833.2036000006"/>
        <n v="1703256.8214201599"/>
        <n v="26239927.036400001"/>
        <n v="173124573.00920001"/>
        <n v="80000000"/>
        <n v="13621920.704400001"/>
        <n v="138788859.42840001"/>
        <n v="303250164.75320005"/>
        <n v="45618237.490800001"/>
        <n v="10420000"/>
        <n v="60000000"/>
        <n v="18393129"/>
        <n v="500000"/>
        <n v="132291604"/>
        <n v="15660477"/>
        <n v="68524063.584000006"/>
        <n v="67032997"/>
        <n v="88.801788999999999"/>
        <n v="17974689.25"/>
        <n v="23295721"/>
        <n v="25877930.300000001"/>
        <n v="4973520.7439999999"/>
        <n v="22390053.571600001"/>
        <n v="25153120.6516"/>
        <n v="59930924.965199992"/>
        <n v="3030163.5644"/>
        <n v="102215061.51280001"/>
        <n v="600000000"/>
        <n v="76444855.88000001"/>
        <n v="283656466.43279999"/>
        <n v="27013476.900000002"/>
        <n v="110467421.8584"/>
        <n v="32742344.898000002"/>
        <n v="42090721.852000006"/>
        <n v="5102463.8744000001"/>
        <n v="54616625.947999999"/>
        <n v="47193185.726400003"/>
        <n v="9993092.6060000006"/>
        <n v="111084506.83960001"/>
        <n v="5010361.6384000005"/>
        <n v="22997928.3292"/>
        <n v="4890628.7316000005"/>
        <n v="63500000"/>
        <n v="1427584.6580000001"/>
        <n v="6557679.2032000003"/>
        <n v="40000000"/>
        <n v="199938017.53999999"/>
        <n v="260000000"/>
        <n v="461054583.19240004"/>
        <n v="5262516339"/>
        <n v="100759846.184"/>
        <n v="31500000"/>
        <n v="457831004.93240005"/>
        <n v="304810000"/>
        <n v="251531094"/>
        <n v="175119088"/>
        <n v="108000"/>
        <n v="68400"/>
        <n v="16050"/>
        <n v="232246963"/>
        <n v="39864767"/>
        <n v="976967"/>
        <n v="27640000"/>
        <n v="288110"/>
        <n v="127145000"/>
        <n v="2160"/>
        <n v="2349100"/>
        <n v="1050"/>
        <n v="1386268710"/>
        <n v="72633454"/>
        <n v="351869"/>
        <n v="597967380.3265897"/>
        <n v="340523656.12192625"/>
        <n v="8790557471.6180553"/>
        <n v="12522008119.518494"/>
        <n v="617967374.32240248"/>
        <n v="2146044.5"/>
        <n v="516600000"/>
        <n v="915072555.55440009"/>
        <n v="2738000000"/>
        <n v="21155883.609200001"/>
        <n v="15178448.492800001"/>
        <n v="52967995.923600003"/>
        <n v="87303709.5044"/>
        <n v="40193415.790399998"/>
        <n v="375961327.35200006"/>
        <n v="213667977.29640001"/>
        <n v="25411006.9124"/>
        <n v="1392500000"/>
        <n v="100769056.4076"/>
        <n v="229622789.42052099"/>
        <n v="370000000"/>
        <n v="5176145.6632000003"/>
        <n v="2993322.67"/>
        <n v="67731984.354400009"/>
        <n v="60500000"/>
        <n v="1502340.875"/>
        <n v="19884872.7524"/>
        <n v="53715493.01106599"/>
        <n v="9075900"/>
        <n v="107921.68767119999"/>
      </sharedItems>
    </cacheField>
    <cacheField name="Blue-Chip" numFmtId="0">
      <sharedItems containsBlank="1" count="4">
        <s v="Yes"/>
        <s v="No"/>
        <e v="#N/A"/>
        <m/>
      </sharedItems>
    </cacheField>
    <cacheField name="Q3 2023" numFmtId="0">
      <sharedItems containsBlank="1" containsMixedTypes="1" containsNumber="1" minValue="0" maxValue="206189697610.6358"/>
    </cacheField>
    <cacheField name="Var" numFmtId="10">
      <sharedItems containsBlank="1" containsMixedTypes="1" containsNumber="1" minValue="-1" maxValue="283656465.43279999"/>
    </cacheField>
    <cacheField name="Family Link" numFmtId="0">
      <sharedItems containsBlank="1" containsMixedTypes="1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ctor De Matharel" refreshedDate="45614.663235879627" createdVersion="8" refreshedVersion="8" recordCount="7915" xr:uid="{222F0C3A-0A4B-4DEF-9274-A3F50459C3EF}">
  <cacheSource type="worksheet">
    <worksheetSource ref="A2:P7917" sheet="IndicesPerBenchmarkfam" r:id="rId2"/>
  </cacheSource>
  <cacheFields count="16">
    <cacheField name="Full name" numFmtId="0">
      <sharedItems containsBlank="1" count="1472">
        <s v="AEX GR"/>
        <s v="AEX NR"/>
        <s v="AEX-Index"/>
        <s v="BEL 20"/>
        <s v="BEL 20 GR"/>
        <s v="BEL 20 NR"/>
        <s v="CAC 40"/>
        <s v="CAC 40 GR"/>
        <s v="CAC 40 NR"/>
        <s v="ISEQ 20"/>
        <s v="ISEQ 20 GR"/>
        <s v="PSI"/>
        <s v="PSI GR"/>
        <s v="PSI NR"/>
        <s v="AEX All-Tradable"/>
        <s v="AEX All-Tradable Alternative Weight GR"/>
        <s v="AEX All-Tradable Alternative Weight NR"/>
        <s v="AEX All-Tradable Alternative Weighting"/>
        <s v="AEX All-Tradable GR"/>
        <s v="AEX All-Tradable NR"/>
        <s v="AMX GR"/>
        <s v="AMX NR"/>
        <s v="AMX-Index"/>
        <s v="AScX GR"/>
        <s v="AScX NR"/>
        <s v="AScX-Index"/>
        <s v="AEX All-Share Index"/>
        <s v="AEX All-Share Index GR"/>
        <s v="AEX Basic Materials"/>
        <s v="AEX Basic Materials GR"/>
        <s v="AEX Consumer Discretionary"/>
        <s v="AEX Consumer Discretionary GR"/>
        <s v="AEX Consumer Staples"/>
        <s v="AEX Consumer Staples GR"/>
        <s v="AEX Energy"/>
        <s v="AEX Energy GR"/>
        <s v="AEX Financials"/>
        <s v="AEX Financials GR"/>
        <s v="AEX Health Care"/>
        <s v="AEX Health Care GR"/>
        <s v="AEX Industrials"/>
        <s v="AEX Industrials GR"/>
        <s v="AEX Real Estate"/>
        <s v="AEX Real Estate GR"/>
        <s v="AEX Technology"/>
        <s v="AEX Technology GR"/>
        <s v="AEX Telecommunications"/>
        <s v="AEX Telecommunications GR"/>
        <s v="AEX UTILITIES"/>
        <s v="AEX UTILITIES GR"/>
        <s v="AEX ESG GR "/>
        <s v="AEX ESG NR "/>
        <s v="AEX ESG "/>
        <s v="AEX Dividend Index"/>
        <s v="AEX Equal Weight"/>
        <s v="AEX Equal Weight GR"/>
        <s v="AEX Equal Weight NR"/>
        <s v="AEX EXT"/>
        <s v="BEL Mid"/>
        <s v="BEL Mid GR"/>
        <s v="BEL Mid NR"/>
        <s v="BEL Small"/>
        <s v="BEL Small GR"/>
        <s v="BEL Small NR"/>
        <s v="BEL All-Share Index"/>
        <s v="BEL All-Share Index NR"/>
        <s v="BEL Basic Materials"/>
        <s v="BEL Basic Materials NR"/>
        <s v="BEL Consumer Discretionary"/>
        <s v="BEL Consumer Discretionary NR"/>
        <s v="BEL Consumer Staples"/>
        <s v="BEL Consumer Staples NR"/>
        <s v="BEL Continuous Stocks Index"/>
        <s v="BEL Continuous Stocks Index NR"/>
        <s v="BEL Energy"/>
        <s v="BEL Energy NR"/>
        <s v="BEL Financials"/>
        <s v="BEL Financials NR"/>
        <s v="BEL Health Care"/>
        <s v="BEL Health Care NR"/>
        <s v="BEL Industrials"/>
        <s v="BEL Industrials NR"/>
        <s v="BEL Real Estate"/>
        <s v="BEL Real Estate NR"/>
        <s v="BEL Technology"/>
        <s v="BEL Technology NR"/>
        <s v="BEL Telecommunications"/>
        <s v="BEL Telecommunications NR"/>
        <s v="BEL Utilities"/>
        <s v="BEL Utilities NR"/>
        <s v="CAC All-Tradable"/>
        <s v="CAC All-Tradable GR"/>
        <s v="CAC All-Tradable NR"/>
        <s v="CAC Large 60"/>
        <s v="CAC Large 60 GR"/>
        <s v="CAC Large 60 NR"/>
        <s v="CAC Mid &amp; Small"/>
        <s v="CAC Mid &amp; Small GR"/>
        <s v="CAC Mid &amp; Small NR"/>
        <s v="CAC Mid 60"/>
        <s v="CAC Mid 60 Decrement 5%"/>
        <s v="CAC Mid 60 GR"/>
        <s v="CAC Mid 60 NR"/>
        <s v="CAC Next 20"/>
        <s v="CAC Next 20 GR"/>
        <s v="CAC Next 20 NR"/>
        <s v="CAC Small"/>
        <s v="CAC Small GR"/>
        <s v="CAC Small NR"/>
        <s v="SBF 120"/>
        <s v="SBF 120 GR"/>
        <s v="SBF 120 NR"/>
        <s v="CAC 40 ESG"/>
        <s v="CAC 40 ESG Decrement 3%"/>
        <s v="CAC 40 ESG Decrement 3.5%"/>
        <s v="CAC 40 ESG Decrement 4%"/>
        <s v="CAC 40 ESG Decrement 4.5%"/>
        <s v="CAC 40 ESG Decrement 5%"/>
        <s v="CAC 40 ESG GR"/>
        <s v="CAC 40 ESG NR"/>
        <s v="CAC 40 Inflation Adjusted"/>
        <s v="CAC 40 NR Inflation Adjusted"/>
        <s v="CAC All-Share Index"/>
        <s v="CAC All-Share Index NR"/>
        <s v="CAC 40 Gross Return Decrement 5%"/>
        <s v="CAC Basic Materials"/>
        <s v="CAC Basic Materials NR"/>
        <s v="CAC Consumer Discretionary"/>
        <s v="CAC Consumer Discretionary NR"/>
        <s v="CAC Consumer Staples"/>
        <s v="CAC Consumer Staples NR"/>
        <s v="CAC Energy"/>
        <s v="CAC Energy NR"/>
        <s v="CAC Financials"/>
        <s v="CAC Financials NR"/>
        <s v="CAC Health Care"/>
        <s v="CAC Health Care NR"/>
        <s v="CAC Industrials"/>
        <s v="CAC Industrials NR"/>
        <s v="CAC Real Estate"/>
        <s v="CAC Real Estate NR"/>
        <s v="CAC Technology"/>
        <s v="CAC Technology NR"/>
        <s v="CAC Telecommunications"/>
        <s v="CAC Telecommunications NR"/>
        <s v="CAC Utilities"/>
        <s v="CAC Utilities NR"/>
        <s v="Enternext PEA-PME 150 Index"/>
        <s v="Enternext PEA-PME 150 Index GR"/>
        <s v="CAC Large 60 RI SW"/>
        <s v="CAC Large 60 RI SW Decrement 5%"/>
        <s v="CAC Large 60 RI SW GR"/>
        <s v="CAC Large 60 RI SW NR"/>
        <s v="CAC SBT 1.5"/>
        <s v="CAC SBT 1.5 GR"/>
        <s v="CAC SBT 1.5 GR Decrement 3.75%"/>
        <s v="CAC SBT 1.5 GR Decrement 4%"/>
        <s v="CAC SBT 1.5 GR Decrement 5%"/>
        <s v="CAC SBT 1.5 NR"/>
        <s v="CAC SBT 1.5 NR Decrement 3.75%"/>
        <s v="CAC SBT 1.5 NR Decrement 4%"/>
        <s v="CAC SBT 1.5 NR Decrement 5%"/>
        <s v="CAC 40 Dividend Index"/>
        <s v="CAC 40 Equal Weight"/>
        <s v="CAC 40 Equal Weight GR"/>
        <s v="CAC 40 Equal Weight NR"/>
        <s v="CAC 40 EW Decrement 5%"/>
        <s v="CAC EWC 40"/>
        <s v="CAC Large 60 Equal Weight"/>
        <s v="CAC Large 60 Equal Weight Decrement 4%"/>
        <s v="CAC Large 60 Equal Weight GR"/>
        <s v="CAC Large 60 Equal Weight NR"/>
        <s v="CAC Large 60 EW ER"/>
        <s v="CAC Large 60 EW NR JPY"/>
        <s v="CAC Large 60 EW NR JPY Hedged"/>
        <s v="CAC 40 EXT"/>
        <s v="CAC 40 Governance"/>
        <s v="CAC 40 Governance Decrement 5%"/>
        <s v="CAC 40 Governance GR"/>
        <s v="CAC 40 Governance NR"/>
        <s v="CAC 40 Cumulative Dividend"/>
        <s v="CAC 40 Synthetic Dividend"/>
        <s v="Euronext 100 Index"/>
        <s v="Euronext 100 Index GR"/>
        <s v="Next 150 Index"/>
        <s v="Next 150 Index GR"/>
        <s v="Euronext Asia Pacific 500"/>
        <s v="Euronext Asia Pacific 500 GR"/>
        <s v="Euronext Asia Pacific 500 NR"/>
        <s v="Euronext BeNe 40 Equal Weight"/>
        <s v="Euronext BeNe 40 Equal Weight GR"/>
        <s v="Euronext BeNe 40 Equal Weight NR"/>
        <s v="Euronext BeNe 40 EW Excess Return"/>
        <s v="Euronext BeNe 40 Equal Weight Volatility Target"/>
        <s v="Euronext BeNeLux ESG Leaders 20"/>
        <s v="Euronext BeNeLux ESG Leaders 20 Decrement 4.5%"/>
        <s v="Euronext BeNeLux ESG Leaders 20 GR"/>
        <s v="Euronext BeNeLux ESG Leaders 20 NR"/>
        <s v="Euronext BeNeLux Low Risk 20"/>
        <s v="Euronext BeNeLux Low Risk 20 D 4.5%"/>
        <s v="Euronext BeNeLux Low Risk 20 GR"/>
        <s v="Euronext BeNeLux Low Risk 20 NR"/>
        <s v="EN CDP Environment ESG Eurozone EW"/>
        <s v="EN CDP Environment ESG Eurozone EW D5%"/>
        <s v="EN CDP Environment ESG Eurozone EW GR"/>
        <s v="EN CDP Environment ESG Eurozone EW NR"/>
        <s v="Euronext CDP Environment ESG France EW"/>
        <s v="Euronext CDP Environment ESG France EW Decrement 5%"/>
        <s v="Euronext CDP Environment ESG France EW GR"/>
        <s v="Euronext CDP Environment ESG France EW NR"/>
        <s v="Euronext CDP Environment ESG World EW"/>
        <s v="Euronext CDP Environment ESG World EW Decrement 5%"/>
        <s v="Euronext CDP Environment ESG World EW GR"/>
        <s v="Euronext CDP Environment ESG World EW NR"/>
        <s v="Euronext CDP Environment Eurozone EW"/>
        <s v="Euronext CDP Environment Eurozone EW D5%"/>
        <s v="Euronext CDP Environment Eurozone EW Decrement 3.75%"/>
        <s v="Euronext CDP Environment Eurozone EW Decrement 4% NR"/>
        <s v="Euronext CDP Environment Eurozone EW GR"/>
        <s v="Euronext CDP Environment Eurozone EW NR"/>
        <s v="EN CDP ENV FR Ex Oil &amp; Gas EW"/>
        <s v="EN CDP ENV FR Ex Oil &amp; Gas EW GR"/>
        <s v="EN CDP ENV FR Ex Oil &amp; Gas EW NR"/>
        <s v="EN CDP ENV FR Oil &amp; Gas EW D 5%"/>
        <s v="Euronext CDP Environment Transatlantic EW"/>
        <s v="Euronext CDP Environment Transatlantic EW Decrement 5%"/>
        <s v="Euronext CDP Environment Transatlantic EW GR"/>
        <s v="Euronext CDP Environment Transatlantic EW NR"/>
        <s v="Euronext CDP Environment World EW"/>
        <s v="Euronext CDP Environment World EW D5%"/>
        <s v="Euronext CDP Environment World EW GR"/>
        <s v="Euronext CDP Environment World EW NR"/>
        <s v="EN CDP Environment France EW"/>
        <s v="EN CDP Environment France EW Decrement 4%"/>
        <s v="EN CDP Environment France EW Decrement 4% NR"/>
        <s v="EN CDP Environment France EW Decrement 5%"/>
        <s v="EN CDP Environment France EW GR"/>
        <s v="EN CDP Environment France EW NR"/>
        <s v="Euronext CDP France Environnement"/>
        <s v="Euronext CDP France Environnement Decrement 5%"/>
        <s v="Euronext CDP France Environnement GR"/>
        <s v="Euronext CDP France Environnement NR"/>
        <s v="Euronext CDP Water Eurozone EW"/>
        <s v="Euronext CDP Water Eurozone EW Decrement 5%"/>
        <s v="Euronext CDP Water Eurozone EW GR"/>
        <s v="Euronext CDP Water Eurozone EW NR"/>
        <s v="Euronext Climate Europe"/>
        <s v="Euronext Climate Europe GR"/>
        <s v="Euronext Climate Europe NR"/>
        <s v="EN Climate Objective 50 Euro EW"/>
        <s v="EN Climate Objective 50 Euro EW D5%"/>
        <s v="EN Climate Objective 50 Euro EW GR"/>
        <s v="EN Climate Objective 50 Euro EW NR"/>
        <s v="Euronext Climate Objective 50 Euro EW Decrement 4%"/>
        <s v="EN Climate Objective 50 EW Decrement 5%"/>
        <s v="Euronext Climate Objective 50 EW"/>
        <s v="Euronext Climate Objective 50 EW GR"/>
        <s v="Euronext Climate Objective 50 EW NR"/>
        <s v="EN Climate Orientation Prior 50 EW 4 5%D"/>
        <s v="EN Climate Orientation Priority 50 EW"/>
        <s v="EN Climate Orientation Priority 50 EW ER"/>
        <s v="EN Climate Orientation Priority 50 EW GR"/>
        <s v="EN Climate Orientation Priority 50 EW NR"/>
        <s v="Euronext Core Euro &amp; Global Climate Change EW"/>
        <s v="Euronext Core Euro &amp; Global Climate Change EW Decrement 3.5%"/>
        <s v="Euronext Core Euro &amp; Global Climate Change EW Decrement 5%"/>
        <s v="Euronext Core Euro &amp; Global Climate Change EW GR"/>
        <s v="Euronext Core Euro &amp; Global Climate Change EW NR"/>
        <s v="Euronext Core Europe 100 ESG EW Decrement 5% NR"/>
        <s v="Euronext Core Europe 100 ESG EW "/>
        <s v="Euronext Core Europe 100 ESG EW GR"/>
        <s v="Euronext Core Europe 100 ESG EW NR"/>
        <s v="EN Core Europe 30 ESG EW"/>
        <s v="EN Core Europe 30 ESG EW Decrement 5% NR"/>
        <s v="EN Core Europe 30 ESG EW GR"/>
        <s v="EN Core Europe 30 ESG EW NR"/>
        <s v="Euronext Core Europe 100 EW"/>
        <s v="Euronext Core Europe 100 EW Decrement 5% GR"/>
        <s v="Euronext Core Europe 100 EW Decrement 5% NR"/>
        <s v="Euronext Core Europe 100 EW GR"/>
        <s v="Euronext Core Europe 100 EW NR"/>
        <s v="Euronext Core Europe 30 EW"/>
        <s v="Euronext Core Europe 30 EW Decrement 5% GR"/>
        <s v="Euronext Core Europe 30 EW Decrement 5% NR"/>
        <s v="Euronext Core Europe 30 EW GR"/>
        <s v="Euronext Core Europe 30 EW NR"/>
        <s v="Euronext Core Europe PAB 50"/>
        <s v="Euronext Core Europe PAB 50 Decrement 4%"/>
        <s v="Euronext Core Europe PAB 50 Decrement 5%"/>
        <s v="Euronext Core Europe PAB 50 GR"/>
        <s v="Euronext Core Europe PAB 50 NR"/>
        <s v="Euronext Developed Market"/>
        <s v="Euronext Developed Market GR"/>
        <s v="Euronext Developed Market GR USD"/>
        <s v="Euronext Developed Market NR"/>
        <s v="Euronext Developed Market NR USD"/>
        <s v="Euronext Developed Market USD"/>
        <s v="Euronext Environmental Goods and Services Eurozone"/>
        <s v="Euronext Environmental Goods and Services Eurozone GR"/>
        <s v="Euronext Environmental Goods and Services Eurozone NR"/>
        <s v="Euronext Environmental Goods and Services World"/>
        <s v="Euronext Environmental Goods and Services World GR"/>
        <s v="Euronext Environmental Goods and Services World NR"/>
        <s v="Euronext Equileap Gender Equality Eurozone 100"/>
        <s v="Euronext Equileap Gender Equality Eurozone 100 GR"/>
        <s v="Euronext Equileap Gender Equality Eurozone 100 NR"/>
        <s v="Euronext Equileap Gender Equality France 40"/>
        <s v="Euronext Equileap Gender Equality France 40 GR"/>
        <s v="Euronext Equileap Gender Equality France 40 NR"/>
        <s v="Euronext ESG Biodiversity Screened Eurozone 50"/>
        <s v="Euronext ESG Biodiversity Screened Eurozone 50 Decrement 4%"/>
        <s v="Euronext ESG Biodiversity Screened Eurozone 50 Decrement 5%"/>
        <s v="Euronext ESG Biodiversity Screened Eurozone 50 GR"/>
        <s v="Euronext ESG Biodiversity Screened Eurozone 50 NR"/>
        <s v="Euronext ESG Biodiversity Screened Transatlantic 80"/>
        <s v="Euronext ESG Biodiversity Screened Transatlantic 80 Decrement 4%"/>
        <s v="Euronext ESG Biodiversity Screened Transatlantic 80 Decrement 5%"/>
        <s v="Euronext ESG Biodiversity Screened Transatlantic 80 GR"/>
        <s v="Euronext ESG Biodiversity Screened Transatlantic 80 NR"/>
        <s v="Euronext ESG Biodiversity Screened World"/>
        <s v="Euronext ESG Biodiversity Screened World GR"/>
        <s v="Euronext ESG Biodiversity Screened World GR USD"/>
        <s v="Euronext ESG Biodiversity Screened World NR"/>
        <s v="Euronext ESG Biodiversity Screened World NR USD"/>
        <s v="Euronext ESG Biodiversity Screened World USD"/>
        <s v="Euronext ESG Eurozone Biodiversity Leaders PAB"/>
        <s v="Euronext ESG Eurozone Biodiversity Leaders PAB GR"/>
        <s v="Euronext ESG Eurozone Biodiversity Leaders PAB NR"/>
        <s v="Euronext Eurozone ESG Leaders Select 40 EW"/>
        <s v="Euronext Eurozone ESG Leaders Select 40 EW Decrement 3.5%"/>
        <s v="Euronext Eurozone ESG Leaders Select 40 EW Decrement 5%"/>
        <s v="Euronext Eurozone ESG Leaders Select 40 EW GR"/>
        <s v="Euronext Eurozone ESG Leaders Select 40 EW NR"/>
        <s v="Euronext Euro 50 ESG EW"/>
        <s v="Euronext Euro 50 ESG EW Decrement 50 Points"/>
        <s v="Euronext Euro 50 ESG EW GR"/>
        <s v="Euronext Euro 50 ESG EW NR"/>
        <s v="Euronext Euro 50 SG EW"/>
        <s v="Euronext Euro 50 SG EW Decr 50 Points"/>
        <s v="Euronext Euro 50 SG EW GR"/>
        <s v="Euronext Euro 50 SG EW NR"/>
        <s v="Euronext Euro Large Cap Biodiversity Leaders 30"/>
        <s v="Euronext Euro Large Cap Biodiversity Leaders 30 Decrement 4%"/>
        <s v="Euronext Euro Large Cap Biodiversity Leaders 30 Decrement 5%"/>
        <s v="Euronext Euro Large Cap Biodiversity Leaders 30 GR"/>
        <s v="Euronext Euro Large Cap Biodiversity Leaders 30 NR"/>
        <s v="Euronext Europe 500"/>
        <s v="Euronext Europe 500 GR"/>
        <s v="Euronext Europe 500 NR"/>
        <s v="Euronext Europe Pioneers 50 ESG EW"/>
        <s v="Euronext Europe Pioneers 50 ESG EW Decrement 50 Points"/>
        <s v="Euronext Europe Pioneers 50 ESG EW GR"/>
        <s v="Euronext Europe Pioneers 50 ESG EW NR"/>
        <s v="EN Europe Sustainable 100 EW"/>
        <s v="EN Europe Sustainable 100 EW Decrement 50 Points"/>
        <s v="EN Europe Sustainable 100 EW GR"/>
        <s v="EN Europe Sustainable 100 EW NR"/>
        <s v="Euronext Eurozone 100 ESG"/>
        <s v="Euronext Eurozone 100 ESG Decrement 3.5%"/>
        <s v="Euronext Eurozone 100 ESG Decrement 4.5%"/>
        <s v="Euronext Eurozone 100 ESG Decrement 5%"/>
        <s v="Euronext Eurozone 100 ESG GR"/>
        <s v="Euronext Eurozone 100 ESG NR"/>
        <s v="Euronext Eurozone 150 EW"/>
        <s v="Euronext Eurozone 150 EW Decrement 5%"/>
        <s v="Euronext Eurozone 150 EW GR"/>
        <s v="Euronext Eurozone 150 EW NR"/>
        <s v="Euronext Eurozone 300"/>
        <s v="Euronext Eurozone 300 GR"/>
        <s v="Euronext Eurozone 300 NR"/>
        <s v="Euronext Eurozone 40 EW"/>
        <s v="Euronext Eurozone 40 EW Decrement 5%"/>
        <s v="Euronext Eurozone 40 EW GR"/>
        <s v="Euronext Eurozone 40 EW NR"/>
        <s v="Euronext Eurozone 60 EW"/>
        <s v="Euronext Eurozone 60 EW Decrement 50 Points"/>
        <s v="Euronext Eurozone 60 EW GR"/>
        <s v="Euronext Eurozone 60 EW NR"/>
        <s v="Euronext Eurozone 60 PAB"/>
        <s v="Euronext Eurozone 60 PAB Decrement 4%"/>
        <s v="Euronext Eurozone 60 PAB Decrement 5%"/>
        <s v="Euronext Eurozone 60 PAB GR"/>
        <s v="Euronext Eurozone 60 PAB NR"/>
        <s v="Euronext Eurozone 70 EW"/>
        <s v="Euronext Eurozone 70 EW Decrement 5%"/>
        <s v="Euronext Eurozone 70 EW GR"/>
        <s v="Euronext Eurozone 70 EW NR"/>
        <s v="Euronext Eurozone 80 EW"/>
        <s v="Euronext Eurozone 80 EW Decrement 5%"/>
        <s v="Euronext Eurozone 80 EW GR"/>
        <s v="Euronext Eurozone 80 EW NR"/>
        <s v="Euronext Eurozone Banks"/>
        <s v="Euronext Eurozone Banks Decrement 5%"/>
        <s v="Euronext Eurozone Banks GR"/>
        <s v="Euronext Eurozone Banks NR"/>
        <s v="Euronext Eurozone Banks Dividend"/>
        <s v="Euronext Eurozone Diversity &amp; Governance 40 EW"/>
        <s v="Euronext Eurozone Diversity &amp; Governance 40 EW Decrement 5%"/>
        <s v="Euronext Eurozone Diversity &amp; Governance 40 EW GR"/>
        <s v="Euronext Eurozone Diversity &amp; Governance 40 EW NR"/>
        <s v="EN Eurozone Energy Transition Leaders 50 EW"/>
        <s v="EN Eurozone Energy Transition Leaders 50 EW Decr 5"/>
        <s v="EN Eurozone Energy Transition Leaders 50 EW GR"/>
        <s v="EN Eurozone Energy Transition Leaders 50 EW NR"/>
        <s v="Euronext Eurozone ESG Large 80"/>
        <s v="Euronext Eurozone ESG Large 80 Decrement 3.5%"/>
        <s v="Euronext Eurozone ESG Large 80 Decrement 4%"/>
        <s v="Euronext Eurozone ESG Large 80 Decrement 4.5%"/>
        <s v="Euronext Eurozone ESG Large 80 Decrement 5%"/>
        <s v="Euronext Eurozone ESG Large 80 GR"/>
        <s v="Euronext Eurozone ESG Large 80 NR"/>
        <s v="Euronext Eurozone ESG Leaders 40 EW"/>
        <s v="Euronext Eurozone ESG Leaders 40 EW D3 5"/>
        <s v="Euronext Eurozone ESG Leaders 40 EW Decrement 4%"/>
        <s v="Euronext Eurozone ESG Leaders 40 EW Decrement 5%"/>
        <s v="Euronext Eurozone ESG Leaders 40 EW GR"/>
        <s v="Euronext Eurozone ESG Leaders 40 EW NR"/>
        <s v="Euronext Eurozone ESG Leaders Select 40"/>
        <s v="Euronext Eurozone ESG Leaders Select 40 Decrement 5%"/>
        <s v="Euronext Eurozone ESG Leaders Select 40 GR"/>
        <s v="Euronext Eurozone ESG Leaders Select 40 NR"/>
        <s v="Euronext Eurozone Focus 40 PAB"/>
        <s v="Euronext Eurozone Focus 40 PAB Decrement 4%"/>
        <s v="Euronext Eurozone Focus 40 PAB Decrement 5%"/>
        <s v="Euronext Eurozone Focus 40 PAB GR"/>
        <s v="Euronext Eurozone Focus 40 PAB NR"/>
        <s v="EN Eurozone Mid and Large 60 EW"/>
        <s v="EN Eurozone Mid and Large 60 EW D 50P"/>
        <s v="EN Eurozone Mid and Large 60 EW GR"/>
        <s v="EN Eurozone Mid and Large 60 EW NR"/>
        <s v="EN Eurozone Next 100 EW"/>
        <s v="EN Eurozone Next 100 EW Decrement 5%"/>
        <s v="EN Eurozone Next 100 EW GR"/>
        <s v="EN Eurozone Next 100 EW NR"/>
        <s v="Euronext Eurozone PAB 50"/>
        <s v="Euronext Eurozone PAB 50 Decrement 4%"/>
        <s v="Euronext Eurozone PAB 50 Decrement 5%"/>
        <s v="Euronext Eurozone PAB 50 GR"/>
        <s v="Euronext Eurozone PAB 50 NR"/>
        <s v="Euronext Eurozone Screened Climate Ambition 35 EW"/>
        <s v="Euronext Eurozone Screened Climate Ambition 35 EW GR"/>
        <s v="Euronext Eurozone Screened Climate Ambition 35 EW NR"/>
        <s v="Euronext Eurozone Screened Climate Ambition 40 EW"/>
        <s v="Euronext Eurozone Screened Climate Ambition 40 EW Decrement 50 Points"/>
        <s v="Euronext Eurozone Screened Climate Ambition 40 EW GR"/>
        <s v="Euronext Eurozone Screened Climate Ambition 40 EW NR"/>
        <s v="Euronext Expand All-Share Index"/>
        <s v="Euronext Expand All-Share Index GR"/>
        <s v="Euronext Expand All-Share Index NR"/>
        <s v="Euronext EZ ESGL 40 EW"/>
        <s v="Euronext EZ ESGL 40 EW Decrement 5%"/>
        <s v="Euronext EZ ESGL 40 EW GR"/>
        <s v="Euronext EZ ESGL 40 EW NR"/>
        <s v="Euronext Founding Members Europe 50 EW"/>
        <s v="Euronext Founding Members Europe 50 EW Decrement 5"/>
        <s v="Euronext Founding Members Europe 50 EW GR"/>
        <s v="Euronext Founding Members Europe 50 EW NR"/>
        <s v="Euronext France 20 EW"/>
        <s v="Euronext France 20 EW Decrement 5.5%"/>
        <s v="Euronext France 20 EW GR"/>
        <s v="Euronext France 20 EW NR"/>
        <s v="EN France 20-40 Challengers EW"/>
        <s v="EN France 20-40 Challengers EW D 5.5%"/>
        <s v="EN France 20-40 Challengers EW GR"/>
        <s v="EN France 20-40 Challengers EW NR"/>
        <s v="EN FR 40 Responsible Investment"/>
        <s v="EN FR 40 Responsible Investment D5%"/>
        <s v="EN FR 40 Responsible Investment GR"/>
        <s v="EN FR 40 Responsible Investment NR"/>
        <s v="EN FR NRG Transition Leaders 40 EW D3 5%"/>
        <s v="EN France Energy Transition Leaders 40 EW"/>
        <s v="EN France Energy Transition Leaders 40 EW Decr 5%"/>
        <s v="EN France Energy Transition Leaders 40 EW GR"/>
        <s v="EN France Energy Transition Leaders 40 EW NR"/>
        <s v="Euronext France ESG Leaders 40 EW"/>
        <s v="Euronext France ESG Leaders 40 EW D3 5%"/>
        <s v="Euronext France ESG Leaders 40 EW Decrement 5%"/>
        <s v="Euronext France ESG Leaders 40 EW GR"/>
        <s v="Euronext France ESG Leaders 40 EW NR"/>
        <s v="Euronext France ESG Leaders Select 30 EW"/>
        <s v="Euronext France ESG Leaders Select 30 EW Decrement 5%"/>
        <s v="Euronext France ESG Leaders Select 30 EW GR"/>
        <s v="Euronext France ESG Leaders Select 30 EW NR"/>
        <s v="Euronext France Eurozone 60 EW"/>
        <s v="Euronext France Eurozone 60 EW Decrement 50 Points"/>
        <s v="Euronext France Eurozone 60 EW GR"/>
        <s v="Euronext France Eurozone 60 EW NR"/>
        <s v="Euronext France Germany Leaders 50"/>
        <s v="Euronext France Germany Leaders 50 EW"/>
        <s v="Euronext France Germany Leaders 50 EW Decrement 5%"/>
        <s v="Euronext France Germany Leaders 50 EW GR"/>
        <s v="Euronext France Germany Leaders 50 EW NR"/>
        <s v="Euronext France Germany Leaders 50 GR"/>
        <s v="Euronext France Germany Leaders 50 NR"/>
        <s v="EN France Next 40 EW"/>
        <s v="EN France Next 40 EW Decrement 5.5%"/>
        <s v="EN France Next 40 EW GR"/>
        <s v="EN France Next 40 EW NR"/>
        <s v="Euronext France PAB 50"/>
        <s v="Euronext France PAB 50 Decrement 5%"/>
        <s v="Euronext France PAB 50 GR"/>
        <s v="Euronext France PAB 50 NR"/>
        <s v="Euronext France Social"/>
        <s v="Euronext France Social Decrement 3.75%"/>
        <s v="Euronext France Social Decrement 5%"/>
        <s v="Euronext France Social GR"/>
        <s v="Euronext France Social NR"/>
        <s v="Euronext French Employment 40 EW"/>
        <s v="Euronext French Employment 40 EW GR"/>
        <s v="Euronext French Employment 40 EW NR"/>
        <s v="Euronext Global Health Care 50 EW ESG"/>
        <s v="Euronext Global Health Care 50 EW ESG Decrement 5%"/>
        <s v="Euronext Global Health Care 50 EW ESG GR"/>
        <s v="Euronext Global Health Care 50 EW ESG NR"/>
        <s v="Euronext Global Sustainability and Climate Screened"/>
        <s v="Euronext Global Sustainability and Climate Screened Decrement 50 Points"/>
        <s v="Euronext Global Sustainability and Climate Screened GR"/>
        <s v="Euronext Green Planet E Decrement 5%"/>
        <s v="Euronext Green Planet E Decrement 5% GR"/>
        <s v="Euronext Green Planet E GR"/>
        <s v="Euronext Green Planet E NR"/>
        <s v="Euronext Green Planet E "/>
        <s v="Euronext Green Planet France"/>
        <s v="Euronext Green Planet France Decrement 5%"/>
        <s v="Euronext Green Planet France GR"/>
        <s v="Euronext Green Planet France NR"/>
        <s v="Euronext Growth All-Share Index"/>
        <s v="Euronext Growth All-Share Index GR"/>
        <s v="Euronext Growth All-Share Index NR"/>
        <s v="Euronext Growth Bpifrance Innovation Index"/>
        <s v="Euronext Growth Bpifrance Innovation Index GR"/>
        <s v="Euronext Growth Bpifrance Innovation Index NR"/>
        <s v="Euronext Helios Space"/>
        <s v="Euronext Helios Space GR"/>
        <s v="Euronext Helios Space NR"/>
        <s v="Euronext Helios Space All-Share"/>
        <s v="Euronext Helios Space All-Share GR"/>
        <s v="Euronext Helios Space All-Share NR"/>
        <s v="Euronext JPN Screened Climate Ambition 30 EW"/>
        <s v="Euronext JPN Screened Climate Ambition 30 EW EUR"/>
        <s v="Euronext JPN Screened Climate Ambition 30 EW GR"/>
        <s v="Euronext JPN Screened Climate Ambition 30 EW GR EUR"/>
        <s v="Euronext JPN Screened Climate Ambition 30 EW NR"/>
        <s v="Euronext JPN Screened Climate Ambition 30 EW NR EUR"/>
        <s v="Euronext Low Carbon 100 Eurozone PAB"/>
        <s v="Euronext Low Carbon 100 Eurozone PAB GR"/>
        <s v="Euronext Low Carbon 100 Eurozone PAB NR"/>
        <s v="Euronext Low Carbon 300 World 3.5% Decrement"/>
        <s v="Euronext Low Carbon 300 World PAB"/>
        <s v="Euronext Low Carbon 300 World PAB GR"/>
        <s v="Euronext Low Carbon 300 World PAB NR"/>
        <s v="Euronext NDR Hydrogen World"/>
        <s v="Euronext NDR Hydrogen World GR"/>
        <s v="Euronext NDR Hydrogen World NR"/>
        <s v="Euronext NDR Web 3.0 World"/>
        <s v="Euronext NDR Web 3.0 World GR"/>
        <s v="Euronext NDR Web 3.0 World NR"/>
        <s v="Euronext North America 500"/>
        <s v="Euronext North America 500 GR"/>
        <s v="Euronext North America 500 NR"/>
        <s v="Euronext Positive Impact Water Eurozone"/>
        <s v="Euronext Positive Impact Water Eurozone GR"/>
        <s v="Euronext Positive Impact Water Eurozone NR"/>
        <s v="Euronext Positive Impact Water World"/>
        <s v="Euronext Positive Impact Water World GR"/>
        <s v="Euronext Positive Impact Water World NR"/>
        <s v="EN Reitsmarket Global Balanced DECR"/>
        <s v="EN Reitsmarket Global Conviction DECR"/>
        <s v="Euronext Reitsmarket Global Balanced"/>
        <s v="Euronext Reitsmarket Global Balanced NR"/>
        <s v="Euronext Reitsmarket Global Balanced RC10"/>
        <s v="Euronext Reitsmarket Global Balanced RC10 Decremen"/>
        <s v="Euronext Reitsmarket Global Balanced RC12"/>
        <s v="Euronext Reitsmarket Global Balanced RC12 Decremen"/>
        <s v="Euronext Reitsmarket Global Conviction"/>
        <s v="Euronext Reitsmarket Global Conviction NR"/>
        <s v="EN RM GRESB Global Sustainable"/>
        <s v="EN RM GRESB Global Sustainable Decrement"/>
        <s v="EN RM GRESB Global Sustainable NR"/>
        <s v="EN Responsible Investment Euro 50 EW"/>
        <s v="EN Responsible Investment Euro 50 EW D5%"/>
        <s v="EN Responsible Investment Euro 50 EW GR"/>
        <s v="EN Responsible Investment Euro 50 EW NR"/>
        <s v="Euronext B Bouygues 040521 GR 1.583"/>
        <s v="Euronext B Bouygues 040521 GR Decrement 1.583"/>
        <s v="Euronext B Bouygues 040521 PR 1.583"/>
        <s v="Euronext B Engie 240521 GR 0.71"/>
        <s v="Euronext B Engie 240521 GR Decrement 0.71"/>
        <s v="Euronext B Engie 240521 PR 0.71"/>
        <s v="Euronext B Orange 131221 GR 0.65"/>
        <s v="Euronext B Orange 131221 GR Decrement 0.65"/>
        <s v="Euronext B Orange 131221 PR 0.65"/>
        <s v="Euronext C Sanofi 151221 GR 3.27 "/>
        <s v="Euronext C Sanofi 151221 GR Decrement 3.27 "/>
        <s v="Euronext C Sanofi 151221 PR 3.27 "/>
        <s v="Euronext G AXA 261021 GR 1.5"/>
        <s v="Euronext G AXA 261021 GR Decrement 1.5"/>
        <s v="Euronext G AXA 261021 PR 1.5 "/>
        <s v="Euronext G BNP 261021 GR 3.00"/>
        <s v="Euronext G BNP 261021 GR 3.3"/>
        <s v="Euronext G BNP 261021 GR Decrement 3.00"/>
        <s v="Euronext G BNP 261021 GR Decrement 3.3"/>
        <s v="Euronext G BNP 261021 PR 3.00 "/>
        <s v="Euronext G BNP 261021 PR 3.3 "/>
        <s v="Euronext G BNP 240523 Decrement 3.67 Index"/>
        <s v="Euronext G BNP 310523 Decrement 4.00 Index"/>
        <s v="Euronext G Bouygues 261021 GR 1.7"/>
        <s v="Euronext G Bouygues 261021 GR Decrement 1.7"/>
        <s v="Euronext G Bouygues 261021 PR 1.7"/>
        <s v="Euronext G Credit Agricole 010621 GR 0.9"/>
        <s v="Euronext G Credit Agricole 010621 GR Decrement 0.9"/>
        <s v="Euronext G Credit Agricole 010621 PR 0.9"/>
        <s v="Euronext G Credit Agricole 010622 GR 0.8"/>
        <s v="Euronext G Credit Agricole 010622 GR Decrement 0.8"/>
        <s v="Euronext G Credit Agricole 010622 PR 0.8"/>
        <s v="Euronext G Credit Agricole 310523 Decrement 1.05 Index"/>
        <s v="Euronext G EDF 151121 Decrement 0.60"/>
        <s v="Euronext G EDF 151121 GR 0.60"/>
        <s v="Euronext G EDF 151121 PR 0.60"/>
        <s v="Euronext G EDF 261021 GR 0.60 "/>
        <s v="Euronext G EDF 261021 GR Decrement 0.60"/>
        <s v="Euronext G EDF 261021 PR 0.60 "/>
        <s v="Euronext G Engie 261021 GR 0.71"/>
        <s v="Euronext G Engie 261021 GR Decrement 0.71"/>
        <s v="Euronext G Engie 261021 PR 0.71"/>
        <s v="Euronext G Engie 030523 Decrement 1.10 Index"/>
        <s v="Euronext G Orange 131221 Decrement 0.7"/>
        <s v="Euronext G Orange 131221 GR 0.65"/>
        <s v="Euronext G Orange 131221 GR 0.7"/>
        <s v="Euronext G Orange 131221 GR Decrement 0.65"/>
        <s v="Euronext G Orange 131221 PR 0.65"/>
        <s v="Euronext G Orange 131221 PR 0.7"/>
        <s v="Euronext G Orange 261021 GR 0.7"/>
        <s v="Euronext G Orange 261021 GR Decrement 0.7"/>
        <s v="Euronext G Orange 261021 PR 0.7"/>
        <s v="Euronext G Scor 230524 Decrement 1.80 Index"/>
        <s v="Euronext G Societe Generale 261021 GR 1.80 "/>
        <s v="Euronext G Societe Generale 261021 GR Decrement 1.80"/>
        <s v="Euronext G Societe Generale 261021 PR 1.80 "/>
        <s v="Euronext G Societe Generale 290524 Decrement 1.25 Index"/>
        <s v="Euronext G Societe Generale 310523 Decrement 1.35 Index"/>
        <s v="Euronext G Stellantis 020522 Decrement 1.04 "/>
        <s v="Euronext G Stellantis 020522 GR 1.04 "/>
        <s v="Euronext G Stellantis 020522 PR 1.04 "/>
        <s v="Euronext G Stellantis 030524 GR 1.55 Index"/>
        <s v="Euronext G Stellantis 040523 Decrement 1.34 Index"/>
        <s v="Euronext G TotalEnergies 261021 GR 2.54"/>
        <s v="Euronext G TotalEnergies 261021 GR 2.64"/>
        <s v="Euronext G TotalEnergies 261021 GR Decrement 2.54"/>
        <s v="Euronext G TotalEnergies 261021 GR Decrement 2.64"/>
        <s v="Euronext G TotalEnergies 261021 PR 2 .54"/>
        <s v="Euronext G TotalEnergies 261021 PR 2.64 "/>
        <s v="Euronext G URW 270223 Decrement 3 50 Index"/>
        <s v="Euronext S ArcelorMittal 070322 GR 0.35"/>
        <s v="Euronext S ArcelorMittal 070322 GR Decrement 0.35"/>
        <s v="Euronext S ArcelorMittal 070322 PR 0.35"/>
        <s v="Euronext S AXA 070322 GR 1.54"/>
        <s v="Euronext S AXA 070322 GR Decrement 1.54"/>
        <s v="Euronext S AXA 070322 PR 1.54"/>
        <s v="Euronext S BNP 070322 GR 3.47"/>
        <s v="Euronext S BNP 070322 GR Decrement 3.47"/>
        <s v="Euronext S BNP 070322 PR 3.47"/>
        <s v="Euronext S Carrefour 070322 GR 0.52"/>
        <s v="Euronext S Carrefour 070322 GR Decrement 0.52"/>
        <s v="Euronext S Carrefour 070322 PR 0.52"/>
        <s v="Euronext S Credit Agricole 070322 GR 1.05"/>
        <s v="Euronext S Credit Agricole 070322 GR Decrement 1.05"/>
        <s v="Euronext S Credit Agricole 070322 PR 1.05"/>
        <s v="Euronext S ENI 070322 GR 0.87"/>
        <s v="Euronext S ENI 070322 GR Decrement 0.87"/>
        <s v="Euronext S ENI 070322 PR 0.87"/>
        <s v="Euronext S ING 070322 GR 0.66"/>
        <s v="Euronext S ING 070322 GR Decrement 0.66"/>
        <s v="Euronext S ING 070322 PR 0.66"/>
        <s v="Euronext S Kering 070322 GR 12"/>
        <s v="Euronext S Kering 070322 GR Decrement 12"/>
        <s v="Euronext S Kering 070322 PR 12"/>
        <s v="Euronext S Safran 070322 GR 0.5"/>
        <s v="Euronext S Safran 070322 GR Decrement 0.5"/>
        <s v="Euronext S Safran 070322 PR 0.5"/>
        <s v="Euronext S Sanofi 070322 GR 3.33"/>
        <s v="Euronext S Sanofi 070322 GR Decrement 3.33"/>
        <s v="Euronext S Sanofi 070322 PR 3.33"/>
        <s v="Euronext S Shell 070322 GR 0.91"/>
        <s v="Euronext S Shell 070322 GR Decrement 0.91"/>
        <s v="Euronext S Shell 070322 PR 0.91"/>
        <s v="Euronext S Stellantis 070322 GR 1.04"/>
        <s v="Euronext S Stellantis 070322 GR Decrement 1.04"/>
        <s v="Euronext S Stellantis 070322 PR 1.04"/>
        <s v="Euronext Social Goods and Services Eurozone"/>
        <s v="Euronext Social Goods and Services Eurozone GR"/>
        <s v="Euronext Social Goods and Services Eurozone NR"/>
        <s v="Euronext Social Goods and Services World"/>
        <s v="Euronext Social Goods and Services World GR"/>
        <s v="Euronext Social Goods and Services World NR"/>
        <s v="EN Sovereign Economy Selection EZ50 GR"/>
        <s v="EN Sovereign Economy Selection EZ50 NR"/>
        <s v="Euronext Sovereign Economy Selection Eurozone 50"/>
        <s v="Euronext Sovereign Economy Selection Eurozone 50 Decrement 50 Points"/>
        <s v="Euronext Switzerland 20 PAB"/>
        <s v="Euronext Switzerland 20 PAB Decrement 3%"/>
        <s v="Euronext Switzerland 20 PAB Decrement 4%"/>
        <s v="Euronext Switzerland 20 PAB GR"/>
        <s v="Euronext Switzerland 20 PAB NR"/>
        <s v="Euronext Tech Croissance"/>
        <s v="Euronext Tech Croissance GR"/>
        <s v="Euronext Tech Croissance NR"/>
        <s v="Euronext Tech Leaders"/>
        <s v="Euronext Tech Leaders GR"/>
        <s v="Euronext Tech Leaders NR"/>
        <s v="Euronext Top 30 France Germany Industrials EW"/>
        <s v="Euronext Top 30 France Germany Industrials EW Decr"/>
        <s v="Euronext Top 30 France Germany Industrials EW GR"/>
        <s v="Euronext Top 30 France Germany Industrials EW NR"/>
        <s v="Euronext Transatlantic"/>
        <s v="Euronext Transatlantic GR"/>
        <s v="Euronext Transatlantic NR"/>
        <s v="EN Transatlantic 50 EW"/>
        <s v="EN Transatlantic 50 EW D5%"/>
        <s v="EN Transatlantic 50 EW GR"/>
        <s v="EN Transatlantic 50 EW NR"/>
        <s v="Euronext Transatlantic Circular Economy 50 EW"/>
        <s v="Euronext Transatlantic Circular Economy 50 EW Decrement 5%"/>
        <s v="Euronext Transatlantic Circular Economy 50 EW GR"/>
        <s v="Euronext Transatlantic Circular Economy 50 EW NR"/>
        <s v="Euronext Transatlantic Environment 50"/>
        <s v="Euronext Transatlantic Environment 50 Decrement 5%"/>
        <s v="Euronext Transatlantic Environment 50 GR"/>
        <s v="Euronext Transatlantic Environment 50 NR"/>
        <s v="Euronext Transatlantic ESG Leaders 60 EW"/>
        <s v="Euronext Transatlantic ESG Leaders 60 EW Decrement 5%"/>
        <s v="Euronext Transatlantic ESG Leaders 60 EW GR"/>
        <s v="Euronext Transatlantic ESG Leaders 60 EW NR"/>
        <s v="Euronext Transatlantic Sustainability and Climate Screened 60"/>
        <s v="Euronext Transatlantic Sustainability and Climate Screened 60 Decrement 50 Points"/>
        <s v="Euronext Transatlantic Sustainability and Climate Screened 60 GR"/>
        <s v="Euronext US ESGL 20 EW"/>
        <s v="Euronext US ESGL 20 EW Decrement 5%"/>
        <s v="Euronext US ESGL 20 EW GR"/>
        <s v="Euronext US ESGL 20 EW NR"/>
        <s v="Euronext US Screened Climate Ambition 25 EW"/>
        <s v="Euronext US Screened Climate Ambition 25 EW EUR"/>
        <s v="Euronext US Screened Climate Ambition 25 EW GR"/>
        <s v="Euronext US Screened Climate Ambition 25 EW GR EUR"/>
        <s v="Euronext US Screened Climate Ambition 25 EW NR"/>
        <s v="Euronext US Screened Climate Ambition 25 EW NR EUR"/>
        <s v="Euronext US Screened Climate Ambition 35 EW"/>
        <s v="Euronext US Screened Climate Ambition 35 EW EUR"/>
        <s v="Euronext US Screened Climate Ambition 35 EW GR"/>
        <s v="Euronext US Screened Climate Ambition 35 EW GR EUR"/>
        <s v="Euronext US Screened Climate Ambition 35 EW NR"/>
        <s v="Euronext US Screened Climate Ambition 35 EW NR EUR"/>
        <s v="Euronext V.E ESG World-Select 75 Bund/SV"/>
        <s v="Euronext V.E ESG World-Select 75 Bund/SV GR"/>
        <s v="Euronext V.E ESG World-Select 75 Bund/SV NR"/>
        <s v="Euronext V.E Eurozone Social Focus"/>
        <s v="Euronext V.E Eurozone Social Focus Decrement 5%"/>
        <s v="Euronext V.E Eurozone Social Focus GR"/>
        <s v="Euronext V.E Eurozone Social Focus NR"/>
        <s v="Euronext Vigeo Benelux 20 GR Index"/>
        <s v="Euronext Vigeo Benelux 20 Index"/>
        <s v="Euronext Vigeo Benelux 20 NR Index"/>
        <s v="Euronext Vigeo Euro 120 GR Index"/>
        <s v="Euronext Vigeo Euro 120 Index"/>
        <s v="Euronext Vigeo Euro 120 NR Index"/>
        <s v="Euronext Vigeo Europe 120 GR Index"/>
        <s v="Euronext Vigeo Europe 120 Index"/>
        <s v="Euronext Vigeo Europe 120 NR Index"/>
        <s v="Euronext Vigeo France 20 GR Index"/>
        <s v="Euronext Vigeo France 20 Index"/>
        <s v="Euronext Vigeo France 20 NR Index"/>
        <s v="Euronext Vigeo UK 20 GR Index"/>
        <s v="Euronext Vigeo UK 20 Index"/>
        <s v="Euronext Vigeo UK 20 NR Index"/>
        <s v="EN Vigeo US 50"/>
        <s v="EN Vigeo US 50 GR"/>
        <s v="EN Vigeo US 50 NR"/>
        <s v="EN Vigeo W 120 GR"/>
        <s v="EN Vigeo W 120 NR"/>
        <s v="EN Vigeo World 120"/>
        <s v="Euronext Water and Ocean Europe 40 EW Decrement 4% "/>
        <s v="Euronext Water and Ocean Europe 40 EW Decrement 5% "/>
        <s v="Euronext Water and Ocean Europe 40 EW GR"/>
        <s v="Euronext Water and Ocean Europe 40 EW NR"/>
        <s v="Euronext Water and Ocean Europe 40 EW "/>
        <s v="Euronext World"/>
        <s v="Euronext World GR"/>
        <s v="Euronext World NR"/>
        <s v="Euronext World Country Selection"/>
        <s v="Euronext World Country Selection GR"/>
        <s v="Euronext World Country Selection NR"/>
        <s v="Euronext World Sustainability and Climate Screened"/>
        <s v="Euronext World Sustainability and Climate Screened Decrement 50 Points"/>
        <s v="Euronext World Sustainability and Climate Screened GR"/>
        <s v="ISEQ 20 Capped"/>
        <s v="ISEQ 20 Capped GR"/>
        <s v="ISEQ Small"/>
        <s v="ISEQ Small GR"/>
        <s v="ISEQ All Share"/>
        <s v="ISEQ All Share GR"/>
        <s v="ISEQ Basic Materials"/>
        <s v="ISEQ Basic Materials GR"/>
        <s v="ISEQ Consumer Discretionary"/>
        <s v="ISEQ Consumer Discretionary GR"/>
        <s v="ISEQ Consumer Staples"/>
        <s v="ISEQ Consumer Staples GR"/>
        <s v="ISEQ Energy"/>
        <s v="ISEQ Energy GR"/>
        <s v="ISEQ Financial"/>
        <s v="ISEQ Financial GR"/>
        <s v="ISEQ Health Care"/>
        <s v="ISEQ Health Care GR"/>
        <s v="ISEQ Industrials"/>
        <s v="ISEQ Industrials GR"/>
        <s v="ISEQ Real Estate"/>
        <s v="ISEQ Real Estate GR"/>
        <s v="ISEQ Technology"/>
        <s v="ISEQ Technology GR"/>
        <s v="ISEQ Utilities"/>
        <s v="ISEQ Utilities GR"/>
        <s v="Italia Leva 7 Long"/>
        <s v="Italia Leva 7 Short"/>
        <s v="AEX Leverage"/>
        <s v="AEX Leverage GR"/>
        <s v="AEX Leverage NR"/>
        <s v="AEX Short GR"/>
        <s v="AEX X10 Leverage NR"/>
        <s v="AEX X10 Short GR"/>
        <s v="AEX X12 Leverage NR"/>
        <s v="AEX X12 Short GR"/>
        <s v="AEX X15 Leverage NR"/>
        <s v="AEX X15 Short GR"/>
        <s v="AEX X2 Short GR"/>
        <s v="AEX X3 Leverage NR"/>
        <s v="AEX X3 Short GR"/>
        <s v="AEX X4 Leverage NR"/>
        <s v="AEX X4 Short GR"/>
        <s v="AEX X5 Leverage NR"/>
        <s v="AEX X5 Short GR"/>
        <s v="AEX X6 Leverage NR"/>
        <s v="AEX X6 Short GR"/>
        <s v="AEX X7 Leverage NR"/>
        <s v="AEX X7 Short GR"/>
        <s v="AEX Xbear GR"/>
        <s v="BEL 20 Leverage"/>
        <s v="BEL 20 Leverage GR"/>
        <s v="BEL 20 Short GR"/>
        <s v="BEL 20 Triple Leverage"/>
        <s v="BEL 20 X2 Short GR"/>
        <s v="BEL 20 X3 Leverage NR"/>
        <s v="BEL 20 X3 Short GR"/>
        <s v="BEL 20 X5 Leverage NR"/>
        <s v="BEL 20 X5 Short GR"/>
        <s v="BEL 20 Xbear GR"/>
        <s v="CAC 40 Leverage"/>
        <s v="CAC 40 Leverage GR"/>
        <s v="CAC 40 Leverage NR"/>
        <s v="CAC 40 Short GR"/>
        <s v="CAC 40 X10 Leverage NR"/>
        <s v="CAC 40 X10 Short GR"/>
        <s v="CAC 40 X12 Leverage NR"/>
        <s v="CAC 40 X12 Short GR"/>
        <s v="CAC 40 X15 Leverage NR"/>
        <s v="CAC 40 X15 Short GR"/>
        <s v="CAC 40 X2 Short GR"/>
        <s v="CAC 40 X3 Leverage NR"/>
        <s v="CAC 40 X3 Short GR"/>
        <s v="CAC 40 X4 Leverage NR"/>
        <s v="CAC 40 X4 Short GR"/>
        <s v="CAC 40 X5 Leverage NR"/>
        <s v="CAC 40 X5 Short GR"/>
        <s v="CAC 40 X6 Leverage NR"/>
        <s v="CAC 40 X6 Short GR"/>
        <s v="CAC 40 X7 Leverage NR"/>
        <s v="CAC 40 X7 Short GR"/>
        <s v="CAC 40 Xbear GR"/>
        <s v="ISEQ 20 Leverage"/>
        <s v="PSI Leverage"/>
        <s v="PSI Leverage GR"/>
        <s v="PSI Short GR"/>
        <s v="PSI Triple Leverage"/>
        <s v="PSI X2 Short GR"/>
        <s v="PSI X3 Leverage NR"/>
        <s v="PSI X3 Short GR"/>
        <s v="PSI Xbear GR"/>
        <s v="CAC 40 X3 Short GR VAR "/>
        <s v="Low Carbon 100 Europe PAB Index"/>
        <s v="Low Carbon 100 Europe PAB Index GR"/>
        <s v="Low Carbon 100 Europe PAB Index NR"/>
        <s v="MIB ESG"/>
        <s v="MIB ESG Decrement 3.75%"/>
        <s v="MIB ESG Decrement 5%"/>
        <s v="MIB ESG GR"/>
        <s v="MIB ESG NR"/>
        <s v="Next Biotech"/>
        <s v="OBX Price Index"/>
        <s v="OBX Total Return Index"/>
        <s v="OBX Uncapped Price Return Index"/>
        <s v="OBX Uncapped Total Return Index"/>
        <s v="OSEMX Mid Cap_NR"/>
        <s v="OSEMX Mid Cap_PR"/>
        <s v="OSESX Small Cap_NR"/>
        <s v="OSESX Small Cap_PR"/>
        <s v="Oslo Børs Mid Cap Index"/>
        <s v="Oslo Børs Small Cap Index_GI"/>
        <s v="OBX ESG"/>
        <s v="OBX ESG NR"/>
        <s v="OBX ESG PR"/>
        <s v="OBX ESG ex Oil and Gas"/>
        <s v="OBX ESG ex Oil and Gas NR"/>
        <s v="OBX ESG ex Oil and Gas PR"/>
        <s v="OSEBX Benchmark_NR"/>
        <s v="OSEBX Benchmark_PR"/>
        <s v="OSEFX Mutual Fund_NR"/>
        <s v="OSEFX Mutual Fund_PR"/>
        <s v="Oslo Børs Benchmark Index_GI"/>
        <s v="Oslo Børs Mutual Fund Index_GI"/>
        <s v="OSEBX_STB Index"/>
        <s v="OSEBX_STB Index PR"/>
        <s v="OSEBXG Index"/>
        <s v="OSEBXG Index PR"/>
        <s v="OSEEXR Index"/>
        <s v="OSEEXR Index PR"/>
        <s v="Oslo Børs Equity Certificate Index"/>
        <s v="Oslo Børs Equity Certificate Index  PR"/>
        <s v="OBOSX Oil Service PR"/>
        <s v="OBSFX Seafood_NR"/>
        <s v="OBSFX Seafood_PR"/>
        <s v="OBSHX Shipping_NR"/>
        <s v="OBSHX Shipping_PR"/>
        <s v="Oslo Børs OBX Oil Service Index"/>
        <s v="Oslo Børs Seafood Index"/>
        <s v="Oslo Børs Shipping Index"/>
        <s v="OBX Basic Materials GR"/>
        <s v="OBX Basic Materials NR"/>
        <s v="OBX Basic Materials PR"/>
        <s v="OBX Consumer Discretionary GR"/>
        <s v="OBX Consumer Discretionary NR"/>
        <s v="OBX Consumer Discretionary PR"/>
        <s v="OBX Consumer Staples  GR"/>
        <s v="OBX Consumer Staples  NR"/>
        <s v="OBX Consumer Staples  PR"/>
        <s v="OBX Energy GR"/>
        <s v="OBX Energy NR"/>
        <s v="OBX Energy PR"/>
        <s v="OBX Financials GR"/>
        <s v="OBX Financials NR"/>
        <s v="OBX Financials PR"/>
        <s v="OBX Health Care  GR"/>
        <s v="OBX Health Care  NR"/>
        <s v="OBX Health Care  PR"/>
        <s v="OBX Industrials GR"/>
        <s v="OBX Industrials NR"/>
        <s v="OBX Industrials PR"/>
        <s v="OBX Real Estate GR"/>
        <s v="OBX Real Estate NR"/>
        <s v="OBX Real Estate PR"/>
        <s v="OBX Technology GR"/>
        <s v="OBX Technology NR"/>
        <s v="OBX Technology PR"/>
        <s v="OBX Telecommunications GR"/>
        <s v="OBX Telecommunications NR"/>
        <s v="OBX Telecommunications PR"/>
        <s v="OBX Utilities GR"/>
        <s v="OBX Utilities NR"/>
        <s v="OBX Utilities PR"/>
        <s v="OSE All share_NR"/>
        <s v="OSE All share_PR"/>
        <s v="Oslo Børs All-share Index_GI"/>
        <s v="OSLO Energy Index"/>
        <s v="OSLO Energy Index PR"/>
        <s v="OSLO Seafood Index"/>
        <s v="OSLO Seafood Index PR"/>
        <s v="OSLO Shipping Index"/>
        <s v="OSLO Shipping Index PR"/>
        <s v="PSI ex Banks"/>
        <s v="PSI ex Banks GR"/>
        <s v="PSI ex Banks NR"/>
        <s v="PSI All-Share Index"/>
        <s v="PSI All-Share Index GR"/>
        <s v="PSI Basic Materials"/>
        <s v="PSI Basic Materials GR"/>
        <s v="PSI Consumer Discretionary"/>
        <s v="PSI Consumer Discretionary GR"/>
        <s v="PSI Consumer Staples"/>
        <s v="PSI Consumer Staples GR"/>
        <s v="PSI Energy"/>
        <s v="PSI Energy GR"/>
        <s v="PSI Financials"/>
        <s v="PSI Financials GR"/>
        <s v="PSI Industrials"/>
        <s v="PSI Industrials GR"/>
        <s v="PSI Technology"/>
        <s v="PSI Technology GR"/>
        <s v="PSI Telecommunications"/>
        <s v="PSI Telecommunications GR"/>
        <s v="PSI Utilities"/>
        <s v="PSI Utilities GR"/>
        <s v="Euronext IEIF REIT Europe Index"/>
        <s v="Euronext IEIF REIT Europe Index GR"/>
        <s v="Euronext IEIF REIT Europe Index NR"/>
        <s v="SBF Top 50 ESG EW"/>
        <s v="SBF Top 50 ESG EW Decrement 50 Points"/>
        <s v="SBF Top 50 ESG EW GR"/>
        <s v="SBF Top 50 ESG EW NR"/>
        <s v="SBF Top 80 EW"/>
        <s v="SBF Top 80 EW Decrement 50 Points"/>
        <s v="SBF Top 80 EW GR"/>
        <s v="SBF Top 80 EW NR"/>
        <s v="BEL ESG"/>
        <s v="BEL ESG GR"/>
        <s v="BEL ESG NR"/>
        <s v="Euronext Eurozone ESG Transition"/>
        <s v="Euronext Eurozone ESG Transition Decrement 4%"/>
        <s v="Euronext Eurozone ESG Transition Decrement 5%"/>
        <s v="Euronext Eurozone ESG Transition GR"/>
        <s v="Euronext Eurozone ESG Transition NR"/>
        <s v="Euronext EZ Transatlantic"/>
        <s v="Euronext EZ Transatlantic GR"/>
        <s v="Euronext EZ Transatlantic NR"/>
        <s v="Euronext B Credit Agricole 170223 GR 0.9"/>
        <s v="Euronext B Credit Agricole 170223 GR Decrement 0.9"/>
        <s v="Euronext B Credit Agricole 170223 PR 0.9"/>
        <s v="Euronext B Stellantis 140223 Decrement 1.04"/>
        <s v="Euronext B Stellantis 140223 GR 1.04"/>
        <s v="Euronext B Stellantis 140223 PR 1.04 "/>
        <s v="Euronext G Engie 020522 Decrement 1.0 "/>
        <s v="Euronext G Engie 020522 GR 1.0"/>
        <s v="Euronext G Engie 020522 PR 1.0 "/>
        <s v="Euronext G Eni SPA 010622 Decrement 0.91"/>
        <s v="Euronext G Eni SPA 010622 GR 0.91"/>
        <s v="Euronext G Eni SPA 010622 PR 0.91"/>
        <s v="Euronext G ING Groep NV 020522 Decrement 0.8"/>
        <s v="Euronext G ING Groep NV 020522 GR 0.8"/>
        <s v="Euronext G ING Groep NV 020522 PR 0.8"/>
        <s v="Euronext G Klepierre 010622 Decrement 1.7"/>
        <s v="Euronext G Klepierre 010622 GR 1.7"/>
        <s v="Euronext G Klepierre 010622 PR 1.7"/>
        <s v="Euronext G Societe Generale 010622 Decrement 1.65"/>
        <s v="Euronext G Societe Generale 010622 Decrement 1.95"/>
        <s v="Euronext G Societe Generale 010622 GR 1.65"/>
        <s v="Euronext G Societe Generale 010622 GR 1.95"/>
        <s v="Euronext G Societe Generale 010622 PR 1.65"/>
        <s v="Euronext G Societe Generale 010622 PR 1.95"/>
        <s v="Euronext G Stellantis 020522 Decrement 1.20 "/>
        <s v="Euronext G Stellantis 020522 GR 1.20"/>
        <s v="Euronext G Stellantis 020522 PR 1.20 "/>
        <s v="Euronext G Unibail Rodamco Westfield 270223 Decrement 4"/>
        <s v="Euronext G Unibail Rodamco Westfield 270223 GR 4"/>
        <s v="Euronext G Unibail Rodamco Westfield 270223 PR 4"/>
        <s v="Euronext S AXA 030323 GR 1.70"/>
        <s v="Euronext S AXA 030323 GR Decrement 1.70"/>
        <s v="Euronext S AXA 030323 PR 1.70"/>
        <s v="Euronext S BNP 030323 GR 3.9"/>
        <s v="Euronext S BNP 030323 GR Decrement 3.9"/>
        <s v="Euronext S BNP 030323 PR 3.9"/>
        <s v="Euronext S Bouygues 030323 GR 1.80"/>
        <s v="Euronext S Bouygues 030323 GR Decrement 1.80"/>
        <s v="Euronext S Bouygues 030323 PR 1.80"/>
        <s v="Euronext S Stellantis 030323 GR 1.34"/>
        <s v="Euronext S Stellantis 030323 GR Decrement 1.34"/>
        <s v="Euronext S Stellantis 030323 PR 1.34"/>
        <s v="Euronext S Total 030323 GR 2.86"/>
        <s v="Euronext S Total 030323 GR Decrement 2.86"/>
        <s v="Euronext S Total 030323 PR 2.86"/>
        <s v="Euronext Wind and Solar World"/>
        <s v="Euronext Wind and Solar World GR"/>
        <s v="Euronext Wind and Solar World NR"/>
        <s v="Euronext AI World"/>
        <s v="Euronext AI World GR"/>
        <s v="Euronext AI World NR"/>
        <s v="Euronext Europe SBT 1.5"/>
        <s v="Euronext Europe SBT 1.5 GR"/>
        <s v="Euronext Europe SBT 1.5 GR Decrement 3.75%"/>
        <s v="Euronext Europe SBT 1.5 GR Decrement 4%"/>
        <s v="Euronext Europe SBT 1.5 GR Decrement 5%"/>
        <s v="Euronext Europe SBT 1.5 NR"/>
        <s v="Euronext Europe SBT 1.5 NR Decrement 3.75%"/>
        <s v="Euronext Europe SBT 1.5 NR Decrement 4%"/>
        <s v="Euronext Europe SBT 1.5 NR Decrement 5%"/>
        <s v="Euronext Eurozone SBT 1.5"/>
        <s v="Euronext Eurozone SBT 1.5 GR"/>
        <s v="Euronext Eurozone SBT 1.5 GR Decrement 3.75%"/>
        <s v="Euronext Eurozone SBT 1.5 GR Decrement 4%"/>
        <s v="Euronext Eurozone SBT 1.5 GR Decrement 5%"/>
        <s v="Euronext Eurozone SBT 1.5 NR"/>
        <s v="Euronext Eurozone SBT 1.5 NR Decrement 3.75%"/>
        <s v="Euronext Eurozone SBT 1.5 NR Decrement 4%"/>
        <s v="Euronext Eurozone SBT 1.5 NR Decrement 5%"/>
        <s v="Euronext Global Climate and Sustainability Screened Decrement 50 Points"/>
        <s v="Euronext Metaverse World"/>
        <s v="Euronext Metaverse World GR"/>
        <s v="Euronext Metaverse World NR"/>
        <s v="Euronext G AXA 010622 Decrement 1.80"/>
        <s v="Euronext G AXA 010622 GR 1.80"/>
        <s v="Euronext G AXA 010622 PR 1.80"/>
        <s v="Euronext G BNP 010622 Decrement 3.85"/>
        <s v="Euronext G BNP 010622 GR 3.85"/>
        <s v="Euronext G BNP 010622 PR 3.85"/>
        <s v="Euronext G Credit Agricole 010622 GR 0.84"/>
        <s v="Euronext G Credit Agricole 010622 GR Decrement 0.84"/>
        <s v="Euronext G Credit Agricole 010622 PR 0.84"/>
        <s v="Euronext G Engie 020523 Decrement 1.20"/>
        <s v="Euronext G Engie 020523 GR 1.20"/>
        <s v="Euronext G Engie 020523 PR 1.20"/>
        <s v="Euronext G Kering 010622 Decrement 13.00"/>
        <s v="Euronext G Kering 010622 GR 13.00"/>
        <s v="Euronext G Kering 010622 PR 13.00"/>
        <s v="Euronext G Saint Gobain 010722 Decrement 1.80"/>
        <s v="Euronext G Saint Gobain 010722 GR 1.80"/>
        <s v="Euronext G Saint Gobain 010722 PR 1.80"/>
        <s v="Euronext G TotalEnergies 240323 Decrement 2.85"/>
        <s v="Euronext G TotalEnergies 240323 GR 2.85"/>
        <s v="Euronext G TotalEnergies 240323 PR 2.85"/>
        <s v="Euronext G Unibail Rodamco Westfield 270223 Decrement 4.30"/>
        <s v="Euronext G Unibail Rodamco Westfield 270223 GR 4.30"/>
        <s v="Euronext G Unibail Rodamco Westfield 270223 PR 4.30"/>
        <s v="Euronext G Veolia 010622 Decrement 1.20"/>
        <s v="Euronext G Veolia 010622 GR 1.20"/>
        <s v="Euronext G Veolia 010622 PR 1.20"/>
        <s v="Euronext M Engie 28022023 GR 1.40"/>
        <s v="Euronext M Engie 28022023 GR Decrement 1.40"/>
        <s v="Euronext M Engie 28022023 PR 1.40"/>
        <s v="Euronext M Michelin 28042023 GR 1.25"/>
        <s v="Euronext M Michelin 28042023 GR Decrement 1.25"/>
        <s v="Euronext M Michelin 28042023 PR 1.25"/>
        <s v="Euronext M Saint Gobain 28042023 GR 2.00"/>
        <s v="Euronext M Saint Gobain 28042023 GR Decrement 2.00"/>
        <s v="Euronext M Saint Gobain 28042023 PR 2.00"/>
        <s v="Euronext S Engie 14042023 GR 1.23"/>
        <s v="Euronext S Engie 14042023 GR Decrement 1.23"/>
        <s v="Euronext S Engie 14042023 PR 1.23"/>
        <s v="CAC 40 Futures Monthly Roll 4D Excess Return"/>
        <s v="CAC 40 TRF Adjusted"/>
        <s v="Euronext Biodiversity Enablers World"/>
        <s v="Euronext Biodiversity Enablers World GR"/>
        <s v="Euronext Biodiversity Enablers World NR"/>
        <s v="Euronext Biodiversity Screened World"/>
        <s v="Euronext Biodiversity Screened World GR"/>
        <s v="Euronext Biodiversity Screened World NR"/>
        <s v="Euronext Cybersecurity World"/>
        <s v="Euronext Cybersecurity World GR"/>
        <s v="Euronext Cybersecurity World NR"/>
        <s v="Euronext ESG Eurozone Biodiversity Leaders PAB Decrement 3.5%"/>
        <s v="Euronext France Climate Screened"/>
        <s v="Euronext France Climate Screened Decrement 50 Points"/>
        <s v="Euronext France Climate Screened GR"/>
        <s v="Euronext France Climate Screened NR"/>
        <s v="Euronext PAB North America 50"/>
        <s v="Euronext PAB North America 50 Decrement 5%"/>
        <s v="Euronext PAB North America 50 GR"/>
        <s v="Euronext PAB North America 50 NR"/>
        <s v="Euronext PAB Transatlantic 50"/>
        <s v="Euronext PAB Transatlantic 50 GR"/>
        <s v="Euronext PAB Transatlantic 50 NR"/>
        <s v="Euronext Transatlantic PAB 50"/>
        <s v="Euronext Transatlantic PAB 50 Decrement 5%"/>
        <s v="Euronext Transatlantic PAB 50 GR"/>
        <s v="Euronext Transatlantic PAB 50 NR"/>
        <s v="CAC Vol Bonus"/>
        <s v="Euronext Canada "/>
        <s v="Euronext Canada GR"/>
        <s v="Euronext Canada NR"/>
        <s v="Euronext Developed Asia"/>
        <s v="Euronext Developed Asia GR"/>
        <s v="Euronext Developed Asia NR"/>
        <s v="Euronext Developed Asia Pacific "/>
        <s v="Euronext Developed Asia Pacific GR"/>
        <s v="Euronext Developed Asia Pacific NR"/>
        <s v="Euronext Developed Europe "/>
        <s v="Euronext Developed Europe GR"/>
        <s v="Euronext Developed Europe NR"/>
        <s v="Euronext Developed Eurozone "/>
        <s v="Euronext Developed Eurozone GR"/>
        <s v="Euronext Developed Eurozone NR"/>
        <s v="Euronext Developed North America "/>
        <s v="Euronext Developed North America GR"/>
        <s v="Euronext Developed North America NR"/>
        <s v="Euronext Developed Pacific"/>
        <s v="Euronext Developed Pacific GR"/>
        <s v="Euronext Developed Pacific NR"/>
        <s v="Euronext Developed World GR"/>
        <s v="Euronext Developed World NR"/>
        <s v="Euronext Developed World "/>
        <s v="Euronext Developed World ESG Screened"/>
        <s v="Euronext Developed World ESG Screened GR"/>
        <s v="Euronext Developed World ESG Screened NR"/>
        <s v="Euronext Eurozone 50"/>
        <s v="Euronext France Climate Screened NR Decrement 5%"/>
        <s v="Euronext Global Health Care 50 EW ESG ER"/>
        <s v="Euronext Global Sustainability and Climate Screened DR"/>
        <s v="Euronext Global Sustainability and Climate Screened DR GR"/>
        <s v="Euronext Japan "/>
        <s v="Euronext Japan GR"/>
        <s v="Euronext Japan NR"/>
        <s v="Euronext G Engie 020523 Decrement 0.80"/>
        <s v="Euronext G Engie 020523 GR 0.80"/>
        <s v="Euronext G Engie 020523 PR 0.80"/>
        <s v="Euronext G Sanofi 010623 Decrement 3.56"/>
        <s v="Euronext G Sanofi 010623 GR 3.56"/>
        <s v="Euronext G Sanofi 010623 PR 3.56"/>
        <s v="Euronext G Societe Generale 010623 Decrement 1.50"/>
        <s v="Euronext G Societe Generale 010623 GR 1.50"/>
        <s v="Euronext G Societe Generale 010623 PR 1.50"/>
        <s v="Euronext Switzerland "/>
        <s v="Euronext Switzerland GR"/>
        <s v="Euronext Switzerland NR"/>
        <s v="Euronext UK "/>
        <s v="Euronext UK GR"/>
        <s v="Euronext UK NR"/>
        <s v="Euronext USA "/>
        <s v="Euronext USA GR"/>
        <s v="Euronext USA NR"/>
        <s v="Euronext Aerospace and Defense"/>
        <s v="Euronext Aerospace and Defense D3.5%"/>
        <s v="Euronext Aerospace and Defense D5%"/>
        <s v="Euronext Aerospace and Defense GR"/>
        <s v="Euronext Aerospace and Defense NR"/>
        <s v="Euronext Biodiversité Climat Conviction PAB"/>
        <s v="Euronext Biodiversité Climat Conviction PAB Decrement 3.5%"/>
        <s v="Euronext Biodiversité Climat Conviction PAB Decrement 5%"/>
        <s v="Euronext Biodiversité Climat Conviction PAB GR"/>
        <s v="Euronext Biodiversité Climat Conviction PAB NR"/>
        <s v="Euronext Canada Total Market GR"/>
        <s v="Euronext Canada Total Market NR"/>
        <s v="Euronext Canada Total Market "/>
        <s v="Euronext Developed Asia Pacific Total Market GR"/>
        <s v="Euronext Developed Asia Pacific Total Market NR"/>
        <s v="Euronext Developed Asia Pacific Total Market "/>
        <s v="Euronext Developed Asia Total Market GR"/>
        <s v="Euronext Developed Asia Total Market NR"/>
        <s v="Euronext Developed Asia Total Market "/>
        <s v="Euronext Developed Europe Total Market GR"/>
        <s v="Euronext Developed Europe Total Market NR"/>
        <s v="Euronext Developed Europe Total Market "/>
        <s v="Euronext Developed Eurozone Total Market GR"/>
        <s v="Euronext Developed Eurozone Total Market NR"/>
        <s v="Euronext Developed Eurozone Total Market "/>
        <s v="Euronext Developed North America Total Market GR"/>
        <s v="Euronext Developed North America Total Market NR"/>
        <s v="Euronext Developed North America Total Market "/>
        <s v="Euronext Developed Pacific Total Market GR"/>
        <s v="Euronext Developed Pacific Total Market NR"/>
        <s v="Euronext Developed Pacific Total Market "/>
        <s v="Euronext Earth Focus 40"/>
        <s v="Euronext Earth Focus 40 Decrement 3.5%"/>
        <s v="Euronext Earth Focus 40 Decrement 5%"/>
        <s v="Euronext Earth Focus 40 GR"/>
        <s v="Euronext Earth Focus 40 GR Decrement 50 Points"/>
        <s v="Euronext Earth Focus 40 NR"/>
        <s v="Euronext Earth Focus 40 NR Decrement 50 Points "/>
        <s v="Euronext ESG Eurozone Biodiversity Leaders PAB Decrement 5%"/>
        <s v="Euronext Europe Luxury"/>
        <s v="Euronext Europe Luxury Decrement 3.5%"/>
        <s v="Euronext Europe Luxury Decrement 5%"/>
        <s v="Euronext Europe Luxury Decrement 50 Points"/>
        <s v="Euronext Europe Luxury GR"/>
        <s v="Euronext Europe Luxury NR"/>
        <s v="Euronext Eurozone 60 PAB Decrement 50 Points"/>
        <s v="Euronext Eurozone PAB 50 Decrement 50 Points"/>
        <s v="Euronext Eurozone Basic Materials GR"/>
        <s v="Euronext Eurozone Basic Materials NR"/>
        <s v="Euronext Eurozone Basic Materials PR"/>
        <s v="Euronext Eurozone Consumer Discretionary GR"/>
        <s v="Euronext Eurozone Consumer Discretionary NR"/>
        <s v="Euronext Eurozone Consumer Discretionary PR"/>
        <s v="Euronext Eurozone Consumer Staples GR"/>
        <s v="Euronext Eurozone Consumer Staples NR"/>
        <s v="Euronext Eurozone Consumer Staples PR"/>
        <s v="Euronext Eurozone Energy GR"/>
        <s v="Euronext Eurozone Energy NR"/>
        <s v="Euronext Eurozone Energy PR"/>
        <s v="Euronext Eurozone Financials GR"/>
        <s v="Euronext Eurozone Financials NR"/>
        <s v="Euronext Eurozone Financials PR"/>
        <s v="Euronext Eurozone Health Care GR"/>
        <s v="Euronext Eurozone Health Care NR"/>
        <s v="Euronext Eurozone Health Care PR"/>
        <s v="Euronext Eurozone Industrials GR"/>
        <s v="Euronext Eurozone Industrials NR"/>
        <s v="Euronext Eurozone Industrials PR"/>
        <s v="Euronext Eurozone Technology GR"/>
        <s v="Euronext Eurozone Technology NR"/>
        <s v="Euronext Eurozone Technology PR"/>
        <s v="Euronext Eurozone Telecommunications GR"/>
        <s v="Euronext Eurozone Telecommunications NR"/>
        <s v="Euronext Eurozone Telecommunications PR"/>
        <s v="Euronext Eurozone Utilities GR"/>
        <s v="Euronext Eurozone Utilities NR"/>
        <s v="Euronext Eurozone Utilities PR"/>
        <s v="Euronext Eurozone Small Cap "/>
        <s v="Euronext Eurozone Small Cap  GR"/>
        <s v="Euronext Eurozone Small Cap  NR"/>
        <s v="Euronext FAS IAS"/>
        <s v="Euronext FAS IAS GR"/>
        <s v="Euronext FAS IAS NR"/>
        <s v="Euronext France Developpement 40"/>
        <s v="Euronext France Developpement 40 D5%"/>
        <s v="Euronext France Developpement 40 GR"/>
        <s v="Euronext France Developpement 40 NR"/>
        <s v="Euronext France Investissement 40"/>
        <s v="Euronext France Investissement 40 D5%"/>
        <s v="Euronext France Investissement 40 GR"/>
        <s v="Euronext France Investissement 40 NR"/>
        <s v="Euronext Invest In France"/>
        <s v="Euronext Invest In France GR"/>
        <s v="Euronext Invest In France NR"/>
        <s v="Euronext Invest In France 40"/>
        <s v="Euronext Invest In France 40 D 5%"/>
        <s v="Euronext Invest In France 40 GR"/>
        <s v="Euronext Invest In France 40 NR"/>
        <s v="Euronext Invest In France Low Volatility"/>
        <s v="Euronext Invest In France Low Volatility Decrement 3%"/>
        <s v="Euronext Invest In France Low Volatility Decrement 3.5%"/>
        <s v="Euronext Invest In France Low Volatility GR"/>
        <s v="Euronext Invest In France Low Volatility NR"/>
        <s v="Euronext Japan Total Market GR"/>
        <s v="Euronext Japan Total Market NR"/>
        <s v="Euronext Japan Total Market "/>
        <s v="Euronext MTS EGB 10-15 Year GR"/>
        <s v="Euronext MTS EGB 1-3 Year GR"/>
        <s v="Euronext MTS EGB 15+ Year GR"/>
        <s v="Euronext MTS EGB 15-25 Year GR"/>
        <s v="Euronext MTS EGB 25+ Year GR"/>
        <s v="Euronext MTS EGB 3-5 Year GR"/>
        <s v="Euronext MTS EGB 5-7 Year GR"/>
        <s v="Euronext MTS EGB 7-10 Year GR"/>
        <s v="Euronext MTS EGB Austria GR"/>
        <s v="Euronext MTS EGB Belgium GR"/>
        <s v="Euronext MTS EGB Broad GR"/>
        <s v="Euronext MTS EGB Finland GR"/>
        <s v="Euronext MTS EGB France GR"/>
        <s v="Euronext MTS EGB Germany GR"/>
        <s v="Euronext MTS EGB Ireland GR"/>
        <s v="Euronext MTS EGB Italy 10-15 Year GR"/>
        <s v="Euronext MTS EGB Italy 1-3 Year GR"/>
        <s v="Euronext MTS EGB Italy 15-25 Year GR"/>
        <s v="Euronext MTS EGB Italy 25+ Year GR"/>
        <s v="Euronext MTS EGB Italy 3-5 Year GR"/>
        <s v="Euronext MTS EGB Italy 5-7 Year GR"/>
        <s v="Euronext MTS EGB Italy 7-10 Year GR"/>
        <s v="Euronext MTS EGB Italy GR"/>
        <s v="Euronext MTS EGB Portugal GR"/>
        <s v="Euronext MTS EGB Spain GR"/>
        <s v="Euronext MTS EGB The Netherlands GR"/>
        <s v="Euronext MTS EU GR"/>
        <s v="Euronext PAB Transatlantic 40"/>
        <s v="Euronext PAB Transatlantic 40 Decrement 5%"/>
        <s v="Euronext PAB Transatlantic 40 Decrement 50 Points"/>
        <s v="Euronext PAB Transatlantic 40 GR"/>
        <s v="Euronext PAB Transatlantic 40 NR"/>
        <s v="Euronext PAB Transatlantic 60"/>
        <s v="Euronext PAB Transatlantic 60 Decrement 5%"/>
        <s v="Euronext PAB Transatlantic 60 Decrement 50"/>
        <s v="Euronext PAB Transatlantic 60 GR"/>
        <s v="Euronext PAB Transatlantic 60 NR"/>
        <s v="Euronext G BNP 010622 GR 3.5"/>
        <s v="Euronext G BNP 010622 GR Decrement 3.5"/>
        <s v="Euronext G BNP 010622 PR 3.5"/>
        <s v="Euronext G BNP 240523 GR 3.67"/>
        <s v="Euronext G BNP 240523 PR 3.67"/>
        <s v="Euronext G BNP 310523 GR 4.00"/>
        <s v="Euronext G BNP 310523 PR 4.00"/>
        <s v="Euronext G Bouygues 030524 Decrement 1.80"/>
        <s v="Euronext G Bouygues 030524 GR 1.80"/>
        <s v="Euronext G Bouygues 030524 PR 1.80"/>
        <s v="Euronext G Credit Agricole 310523 GR 1.05"/>
        <s v="Euronext G Credit Agricole 310523 PR 1.05"/>
        <s v="Euronext G Engie 030523 GR 1 10"/>
        <s v="Euronext G Engie 030523 PR 1 10"/>
        <s v="Euronext G Orange 060624 D 0.74"/>
        <s v="Euronext G Orange 060624 GR 0.74"/>
        <s v="Euronext G Orange 060624 PR 0.74"/>
        <s v="Euronext G Renault 240524 Decrement 1.85"/>
        <s v="Euronext G Renault 240524 GR 1.85"/>
        <s v="Euronext G Renault 240524 PR 1.85"/>
        <s v="Euronext G Scor 230524 GR 1.80"/>
        <s v="Euronext G Scor 230524 PR 1.80"/>
        <s v="Euronext G Societe Generale 290524 GR 1.25"/>
        <s v="Euronext G Societe Generale 290524 PR 1.25"/>
        <s v="Euronext G Societe Generale 310523 Decrement 1.30"/>
        <s v="Euronext G Societe Generale 310523 GR 1.30"/>
        <s v="Euronext G Societe Generale 310523 GR 1.35"/>
        <s v="Euronext G Societe Generale 310523 PR 1.30"/>
        <s v="Euronext G Societe Generale 310523 PR 1.35"/>
        <s v="Euronext G Stellantis 030524 Decrement 1.55"/>
        <s v="Euronext G Stellantis 030524 PR 1.55"/>
        <s v="Euronext G Stellantis 040523 GR 1.34"/>
        <s v="Euronext G Stellantis 040523 PR 1.34"/>
        <s v="Euronext G URW 270223 GR 3 50"/>
        <s v="Euronext G URW 270223 PR 3 50"/>
        <s v="Euronext S Stellantis 280824 Decrement 1.2 "/>
        <s v="Euronext S Stellantis 280824 GR 1.2"/>
        <s v="Euronext S Stellantis 280824 PR 1.2"/>
        <s v="Euronext 3X Long MicroStrategy"/>
        <s v="Euronext 3X Short MicroStrategy"/>
        <s v="Euronext MicroStrategy"/>
        <s v="Euronext Switzerland Total Market GR"/>
        <s v="Euronext Switzerland Total Market NR"/>
        <s v="Euronext Switzerland Total Market "/>
        <s v="Euronext Transatlantic Basic Materials GR"/>
        <s v="Euronext Transatlantic Basic Materials NR"/>
        <s v="Euronext Transatlantic Basic Materials PR"/>
        <s v="Euronext Transatlantic Consumer Discretionary GR"/>
        <s v="Euronext Transatlantic Consumer Discretionary NR"/>
        <s v="Euronext Transatlantic Consumer Discretionary PR"/>
        <s v="Euronext Transatlantic Consumer Staples GR"/>
        <s v="Euronext Transatlantic Consumer Staples NR"/>
        <s v="Euronext Transatlantic Consumer Staples PR"/>
        <s v="Euronext Transatlantic Energy GR"/>
        <s v="Euronext Transatlantic Energy NR"/>
        <s v="Euronext Transatlantic Energy PR"/>
        <s v="Euronext Transatlantic Financials GR"/>
        <s v="Euronext Transatlantic Financials NR"/>
        <s v="Euronext Transatlantic Financials PR"/>
        <s v="Euronext Transatlantic Health Care GR"/>
        <s v="Euronext Transatlantic Health Care NR"/>
        <s v="Euronext Transatlantic Health Care PR"/>
        <s v="Euronext Transatlantic Industrials GR"/>
        <s v="Euronext Transatlantic Industrials NR"/>
        <s v="Euronext Transatlantic Industrials PR"/>
        <s v="Euronext Transatlantic Technology GR"/>
        <s v="Euronext Transatlantic Technology NR"/>
        <s v="Euronext Transatlantic Technology PR"/>
        <s v="Euronext Transatlantic Telecommunications GR"/>
        <s v="Euronext Transatlantic Telecommunications NR"/>
        <s v="Euronext Transatlantic Telecommunications PR"/>
        <s v="Euronext Transatlantic Utilities GR"/>
        <s v="Euronext Transatlantic Utilities NR"/>
        <s v="Euronext Transatlantic Utilities PR"/>
        <s v="Euronext UK Total Market GR"/>
        <s v="Euronext UK Total Market NR"/>
        <s v="Euronext UK Total Market "/>
        <s v="Euronext US Consumer Tech Energy"/>
        <s v="Euronext US Consumer Tech Energy Dec 5%"/>
        <s v="Euronext US Consumer Tech Energy Dec 50 Points"/>
        <s v="Euronext US Consumer Tech Energy GR"/>
        <s v="Euronext US Consumer Tech Energy NR"/>
        <s v="Euronext USA Total Market GR"/>
        <s v="Euronext USA Total Market NR"/>
        <s v="Euronext USA Total Market "/>
        <s v="Euronext World Hedged EUR"/>
        <s v="Euronext World Invest In France 40"/>
        <s v="Euronext World Invest In France 40 Decrement 5%"/>
        <s v="Euronext World Invest In France 40 GR"/>
        <s v="Euronext World Invest In France 40 NR"/>
        <m/>
        <s v="PSI 20 ex Banks GR" u="1"/>
        <s v="PSI 20 Xbear GR" u="1"/>
        <s v="Euronext IEIF SIIC France Index NR" u="1"/>
        <s v="PSI 20 NR" u="1"/>
        <s v="PSI 20 Short GR" u="1"/>
        <s v="EN Health Care Equipment &amp; Services EW" u="1"/>
        <s v="Euronext Family Business GR" u="1"/>
        <s v="Euronext Family Business NR" u="1"/>
        <s v="CAC PME GR" u="1"/>
        <s v="Euronext IEIF SIIC France Index GR" u="1"/>
        <s v="CAC PME" u="1"/>
        <s v="PSI 20 X3 Leverage NR" u="1"/>
        <s v="Euronext Family Business" u="1"/>
        <s v="Euronext IEIF SIIC France Index" u="1"/>
        <s v="CAC PME NR" u="1"/>
        <s v="CAC PME DIV RETURN" u="1"/>
        <s v="PSI 20" u="1"/>
        <s v="PSI 20 Leverage GR" u="1"/>
        <s v="PSI 20 GR" u="1"/>
        <s v="PSI 20 ex Banks" u="1"/>
        <s v="PSI 20 Triple Leverage" u="1"/>
        <s v="PSI 20 X2 Short GR" u="1"/>
        <s v="PSI 20 X3 Short GR" u="1"/>
        <s v="PSI 20 ex Banks NR" u="1"/>
        <s v="PSI 20 Leverage" u="1"/>
      </sharedItems>
    </cacheField>
    <cacheField name="BenchmarkStatementFamily" numFmtId="0">
      <sharedItems containsBlank="1" count="242">
        <s v="AEX"/>
        <s v="BEL"/>
        <s v="CAC"/>
        <s v="ISEQ"/>
        <s v="PSI"/>
        <s v="AEX All-Share and Sector"/>
        <s v="AEX ESG"/>
        <s v="AEX-DI"/>
        <s v="AEX-EW"/>
        <s v="AEX-EXT"/>
        <s v="BEL All-Share and sector"/>
        <s v="CAC 40 ESG"/>
        <s v="CAC 40 Inflation Adjusted"/>
        <s v="CAC All-Share and sector"/>
        <s v="CAC and Enternext PME and tech Index"/>
        <s v="CAC Large 60 Responsible Investment"/>
        <s v="CAC SBT 1.5"/>
        <s v="CAC-DI"/>
        <s v="CAC-EW"/>
        <s v="CAC-EWC"/>
        <s v="CAC-EWE"/>
        <s v="CAC-EWJPY"/>
        <s v="CAC-EXT"/>
        <s v="CAC-Gov"/>
        <s v="CAC-SynDiv"/>
        <s v="Euronext 100-150"/>
        <s v="Euronext Asia Pacific 500"/>
        <s v="Euronext BeNe 40 Index"/>
        <s v="Euronext BeNe 40 Index VT"/>
        <s v="Euronext BeNeLux ESG Leaders 20"/>
        <s v="Euronext BeNeLux Low Risk 20"/>
        <s v="Euronext CDP Environment ESG Eurozone"/>
        <s v="Euronext CDP Environment ESG France EW"/>
        <s v="Euronext CDP Environment ESG World"/>
        <s v="Euronext CDP Environment Eurozone"/>
        <s v="Euronext CDP Environment France Ex Oil &amp; Gas EW"/>
        <s v="Euronext CDP Environment Transatlantic EW"/>
        <s v="Euronext CDP Environment World"/>
        <s v="Euronext CDP France Environment EW"/>
        <s v="Euronext CDP France Environnement"/>
        <s v="Euronext CDP Water Eurozone EW"/>
        <s v="Euronext Climate Europe"/>
        <s v="Euronext Climate Objective 50 Euro EW"/>
        <s v="Euronext Climate Objective 50 EW"/>
        <s v="Euronext Climate Orientation Priority 50 EW"/>
        <s v="Euronext Core Euro and Global Climate"/>
        <s v="Euronext Core Europe 100 ESG EW"/>
        <s v="Euronext Core Europe 30 ESG EW"/>
        <s v="Euronext Core Europe EW"/>
        <s v="Euronext Core Europe PAB 50"/>
        <s v="Euronext Developed Market"/>
        <s v="Euronext Environmental Goods and Services Eurozone"/>
        <s v="Euronext Environmental Goods and Services World"/>
        <s v="Euronext Equileap Gender Equality Eurozone 100"/>
        <s v="Euronext Equileap Gender Equality France 40"/>
        <s v="Euronext ESG Biodiversity Screened Eurozone 50"/>
        <s v="Euronext ESG Biodiversity Screened Transatlantic 80"/>
        <s v="Euronext ESG Biodiversity Screened World"/>
        <s v="Euronext ESG Eurozone Biodiversity Leaders PAB"/>
        <s v="Euronext ESG Leaders Select 40 EW"/>
        <s v="Euronext Euro 50 ESG EW"/>
        <s v="Euronext Euro 50 SG EW"/>
        <s v="Euronext Euro Large Cap Biodiversity Leaders 30"/>
        <s v="Euronext Europe 500"/>
        <s v="Euronext Europe Pioneers 50 ESG EW"/>
        <s v="Euronext Europe Sustainable 100 EW"/>
        <s v="Euronext Eurozone 100 ESG"/>
        <s v="Euronext Eurozone 150 EW"/>
        <s v="Euronext Eurozone 300"/>
        <s v="Euronext Eurozone 40 EW"/>
        <s v="Euronext Eurozone 60 EW"/>
        <s v="Euronext Eurozone 60 PAB"/>
        <s v="Euronext Eurozone 70 EW"/>
        <s v="Euronext Eurozone 80 EW"/>
        <s v="Euronext Eurozone Banks"/>
        <s v="Euronext Eurozone Banks Dividend"/>
        <s v="Euronext Eurozone Diversity &amp; Governance 40 EW"/>
        <s v="Euronext Eurozone Energy Transition Leaders 50 EW"/>
        <s v="Euronext Eurozone ESG Large 80"/>
        <s v="Euronext Eurozone ESG Leaders 40 EW"/>
        <s v="Euronext Eurozone ESG Leaders Select 40"/>
        <s v="Euronext Eurozone Focus 40 PAB"/>
        <s v="Euronext Eurozone Mid and Large 60 EW"/>
        <s v="Euronext Eurozone Next 100 EW"/>
        <s v="Euronext Eurozone PAB 50"/>
        <s v="Euronext Eurozone Screened Climate Ambition 35 EW"/>
        <s v="Euronext Eurozone Screened Climate Ambition 40 EW"/>
        <s v="Euronext Expand All-share"/>
        <s v="Euronext EZ ESGL 40 EW"/>
        <s v="Euronext Founding Members Europe 50 EW"/>
        <s v="Euronext France 20 EW"/>
        <s v="Euronext France 20-40 Challengers EW"/>
        <s v="Euronext France 40 Responsible Investment"/>
        <s v="Euronext France Energy Transition Leaders 40 EW"/>
        <s v="Euronext France ESG Leaders 40 EW"/>
        <s v="Euronext France ESG Leaders Select"/>
        <s v="Euronext France Eurozone 60 EW"/>
        <s v="Euronext France Germany Leaders"/>
        <s v="Euronext France Next 40 EW"/>
        <s v="Euronext France PAB 50"/>
        <s v="Euronext France Social"/>
        <s v="Euronext French Employment 40 EW"/>
        <s v="Euronext Global Health Care 50 EW ESG"/>
        <s v="Euronext Global Sustainability and Climate Screened"/>
        <s v="Euronext Green Planet E"/>
        <s v="Euronext Green Planet F"/>
        <s v="Euronext Growth"/>
        <s v="Euronext Helios Space"/>
        <s v="Euronext Helios Space All-Share"/>
        <s v="Euronext JPN Screened Climate Ambition 30 EW"/>
        <s v="Euronext Low Carbon Eurozone PAB"/>
        <s v="Euronext Low Carbon World PAB"/>
        <s v="Euronext NDR Hydrogen World"/>
        <s v="Euronext NDR Web 3.0 World"/>
        <s v="Euronext North America 500"/>
        <s v="Euronext Positive Impact Water Eurozone"/>
        <s v="Euronext Positive Impact Water World"/>
        <s v="Euronext Reitsmarket"/>
        <s v="Euronext Reitsmarket GRESB Global Sustainable"/>
        <s v="Euronext Responsible Investment Euro 50 EW"/>
        <s v="Euronext Single Stock Decrement"/>
        <s v="Euronext Social Goods and Services Eurozone"/>
        <s v="Euronext Social Goods and Services World"/>
        <s v="Euronext Sovereign Economy Selection Eurozone 50"/>
        <s v="Euronext Switzerland 20 PAB"/>
        <s v="Euronext Tech"/>
        <s v="Euronext Tech Leaders"/>
        <s v="Euronext Top 30 France Germany Industrials EW"/>
        <s v="Euronext Transatlantic"/>
        <s v="Euronext Transatlantic 50 EW"/>
        <s v="Euronext Transatlantic Circular Economy 50 EW"/>
        <s v="Euronext Transatlantic Environment 50"/>
        <s v="Euronext Transatlantic ESG Leaders"/>
        <s v="Euronext Transatlantic Sustainability and Climate Screened 60"/>
        <s v="Euronext US ESGL 20 EW"/>
        <s v="Euronext US Screened Climate Ambition 25 EW"/>
        <s v="Euronext US Screened Climate Ambition 35 EW"/>
        <s v="Euronext V.E ESG World-Select 75 Bund SV"/>
        <s v="Euronext V.E Eurozone Social Focus"/>
        <s v="Euronext VIGEO Benelux 20"/>
        <s v="Euronext VIGEO Euro 120"/>
        <s v="Euronext VIGEO Europe 120"/>
        <s v="Euronext VIGEO France 20"/>
        <s v="Euronext VIGEO UK 20"/>
        <s v="Euronext VIGEO US 50"/>
        <s v="Euronext VIGEO World 120"/>
        <s v="Euronext Water and Ocean Europe"/>
        <s v="Euronext World"/>
        <s v="Euronext World Country Selection"/>
        <s v="Euronext World Sustainability and Climate Screened"/>
        <s v="ISEQ All-Share and sector"/>
        <s v="Italia Leva"/>
        <s v="LeverageShort indices"/>
        <s v="LeverageShort VAR"/>
        <s v="Low Carbon 100 Europe PAB"/>
        <s v="MIB ESG"/>
        <s v="Next Biotech"/>
        <s v="OBX"/>
        <s v="OBX ESG"/>
        <s v="OBX ESG ex Oil and Gas"/>
        <s v="Oslo Børs Benchmark and Mutual Fund"/>
        <s v="Oslo Børs Custom"/>
        <s v="Oslo Børs Equity Certificate"/>
        <s v="Oslo Børs Investable Sector"/>
        <s v="Oslo Børs OBX Sector and All Share"/>
        <s v="Oslo Børs Strong Sector"/>
        <s v="PSI All-Share and sector"/>
        <s v="REIT Europe"/>
        <s v="SBF Top 50 ESG EW"/>
        <s v="SBF TOP 80 EW"/>
        <s v="BEL ESG"/>
        <s v="Euronext Eurozone ESG Transition"/>
        <s v="Euronext EZ Transatlantic"/>
        <s v="Euronext Wind and Solar World"/>
        <s v="Euronext AI World"/>
        <s v="Euronext Europe SBT 1.5"/>
        <s v="Euronext Eurozone SBT 1.5"/>
        <s v="Euronext Metaverse World"/>
        <s v="CAC 40 Futures Monthly Roll 4D Excess Return"/>
        <s v="CAC 40 TRF Adjusted"/>
        <s v="Euronext Biodiversity Enablers World"/>
        <s v="Euronext Biodiversity Screened World"/>
        <s v="Euronext Cybersecurity World"/>
        <s v="Euronext France Climate Screened"/>
        <s v="Euronext PAB North America 50"/>
        <s v="Euronext PAB Transatlantic 50"/>
        <s v="Euronext Transatlantic PAB 50"/>
        <s v="CAC Vol Bonus"/>
        <s v="Euronext Canada"/>
        <s v="Euronext Developed Asia"/>
        <s v="Euronext Developed Asia Pacific"/>
        <s v="Euronext Developed Europe"/>
        <s v="Euronext Developed Eurozone"/>
        <s v="Euronext Developed North America"/>
        <s v="Euronext Developed Pacific"/>
        <s v="Euronext Developed World"/>
        <s v="Euronext Developed World ESG Screened"/>
        <s v="Euronext Eurozone 50"/>
        <s v="Euronext Global Sustainability and Climate Screened DR"/>
        <s v="Euronext Japan"/>
        <s v="Euronext Switzerland"/>
        <s v="Euronext UK"/>
        <s v="Euronext USA"/>
        <s v="Euronext Aerospace and Defense"/>
        <s v="Euronext Biodiversité Climat Conviction PAB"/>
        <s v="Euronext Canada Total Market "/>
        <s v="Euronext Developed Asia Pacific Total Market "/>
        <s v="Euronext Developed Asia Total Market "/>
        <s v="Euronext Developed Europe Total Market "/>
        <s v="Euronext Developed Eurozone Total Market "/>
        <s v="Euronext Developed North America Total Market "/>
        <s v="Euronext Developed Pacific Total Market "/>
        <s v="Euronext Earth Focus 40"/>
        <s v="Euronext Europe Luxury"/>
        <s v="Euronext Eurozone Sectorial"/>
        <s v="Euronext Eurozone Small Cap"/>
        <s v="Euronext FAS IAS"/>
        <s v="Euronext France Developpement 40"/>
        <s v="Euronext France Investissement 40"/>
        <s v="Euronext Invest In France"/>
        <s v="Euronext Invest In France 40"/>
        <s v="Euronext Invest In France Low Volatility"/>
        <s v="Euronext Japan Total Market "/>
        <s v="Euronext MTS EGB"/>
        <s v="Euronext MTS EU"/>
        <s v="Euronext PAB Transatlantic 40"/>
        <s v="Euronext PAB Transatlantic 60"/>
        <s v="Euronext Single Stock Leverage and Short"/>
        <s v="Euronext Switzerland Total Market "/>
        <s v="Euronext Transatlantic Sectorial"/>
        <s v="Euronext UK Total Market "/>
        <s v="Euronext US Consumer Tech Energy"/>
        <s v="Euronext USA Total Market "/>
        <s v="Euronext World Hedged EUR"/>
        <s v="Euronext World Invest In France 40"/>
        <m/>
        <s v="Euronext Family Business" u="1"/>
        <s v="PSI 20" u="1"/>
        <s v="Euronext Health Care Equipment Services EW" u="1"/>
        <s v="SIIC FR" u="1"/>
        <s v="Euronext Eurozone ESG Leaders Select" u="1"/>
        <s v="Euronext Eur 500 EZ 300" u="1"/>
      </sharedItems>
    </cacheField>
    <cacheField name="IsinCode" numFmtId="0">
      <sharedItems containsBlank="1"/>
    </cacheField>
    <cacheField name="ESG Yes/No" numFmtId="0">
      <sharedItems containsBlank="1" count="3">
        <s v="No"/>
        <s v="Yes"/>
        <m/>
      </sharedItems>
    </cacheField>
    <cacheField name="Category" numFmtId="0">
      <sharedItems containsBlank="1"/>
    </cacheField>
    <cacheField name="PAB/CTB" numFmtId="0">
      <sharedItems containsBlank="1"/>
    </cacheField>
    <cacheField name="Mnemo" numFmtId="0">
      <sharedItems containsBlank="1"/>
    </cacheField>
    <cacheField name="AdministratorName" numFmtId="0">
      <sharedItems containsBlank="1"/>
    </cacheField>
    <cacheField name="Significant/non-significant" numFmtId="0">
      <sharedItems containsBlank="1"/>
    </cacheField>
    <cacheField name="Value reported (€): Invoicing" numFmtId="0">
      <sharedItems containsString="0" containsBlank="1" containsNumber="1" minValue="0" maxValue="5262516339"/>
    </cacheField>
    <cacheField name="Nominal value " numFmtId="0">
      <sharedItems containsString="0" containsBlank="1" containsNumber="1" minValue="0" maxValue="2914671477.6789999"/>
    </cacheField>
    <cacheField name="Sales volume SRP: (€)" numFmtId="0">
      <sharedItems containsString="0" containsBlank="1" containsNumber="1" minValue="0" maxValue="2145530797.8436"/>
    </cacheField>
    <cacheField name="Funds benchmarked: Morningstar (€)" numFmtId="0">
      <sharedItems containsString="0" containsBlank="1" containsNumber="1" minValue="0" maxValue="13336241280.458595"/>
    </cacheField>
    <cacheField name="Warrants and Certificates (€)" numFmtId="43">
      <sharedItems containsString="0" containsBlank="1" containsNumber="1" minValue="0" maxValue="155503185450.1496"/>
    </cacheField>
    <cacheField name="Value of _x000a_Open Interest derivatives (€)" numFmtId="0">
      <sharedItems containsString="0" containsBlank="1" containsNumber="1" minValue="0" maxValue="22550396339.600002"/>
    </cacheField>
    <cacheField name="Total" numFmtId="0">
      <sharedItems containsString="0" containsBlank="1" containsNumber="1" minValue="0" maxValue="178903298963.4562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ctor De Matharel" refreshedDate="45614.663233449071" createdVersion="8" refreshedVersion="8" minRefreshableVersion="3" recordCount="7915" xr:uid="{04FB3857-FBF7-4851-958E-17ED23B4DA7B}">
  <cacheSource type="worksheet">
    <worksheetSource ref="A2:Q7917" sheet="IndicesPerBenchmarkfam" r:id="rId2"/>
  </cacheSource>
  <cacheFields count="17">
    <cacheField name="Full name" numFmtId="0">
      <sharedItems containsBlank="1" count="1447">
        <s v="AEX GR"/>
        <s v="AEX NR"/>
        <s v="AEX-Index"/>
        <s v="BEL 20"/>
        <s v="BEL 20 GR"/>
        <s v="BEL 20 NR"/>
        <s v="CAC 40"/>
        <s v="CAC 40 GR"/>
        <s v="CAC 40 NR"/>
        <s v="ISEQ 20"/>
        <s v="ISEQ 20 GR"/>
        <s v="PSI"/>
        <s v="PSI GR"/>
        <s v="PSI NR"/>
        <s v="AEX All-Tradable"/>
        <s v="AEX All-Tradable Alternative Weight GR"/>
        <s v="AEX All-Tradable Alternative Weight NR"/>
        <s v="AEX All-Tradable Alternative Weighting"/>
        <s v="AEX All-Tradable GR"/>
        <s v="AEX All-Tradable NR"/>
        <s v="AMX GR"/>
        <s v="AMX NR"/>
        <s v="AMX-Index"/>
        <s v="AScX GR"/>
        <s v="AScX NR"/>
        <s v="AScX-Index"/>
        <s v="AEX All-Share Index"/>
        <s v="AEX All-Share Index GR"/>
        <s v="AEX Basic Materials"/>
        <s v="AEX Basic Materials GR"/>
        <s v="AEX Consumer Discretionary"/>
        <s v="AEX Consumer Discretionary GR"/>
        <s v="AEX Consumer Staples"/>
        <s v="AEX Consumer Staples GR"/>
        <s v="AEX Energy"/>
        <s v="AEX Energy GR"/>
        <s v="AEX Financials"/>
        <s v="AEX Financials GR"/>
        <s v="AEX Health Care"/>
        <s v="AEX Health Care GR"/>
        <s v="AEX Industrials"/>
        <s v="AEX Industrials GR"/>
        <s v="AEX Real Estate"/>
        <s v="AEX Real Estate GR"/>
        <s v="AEX Technology"/>
        <s v="AEX Technology GR"/>
        <s v="AEX Telecommunications"/>
        <s v="AEX Telecommunications GR"/>
        <s v="AEX UTILITIES"/>
        <s v="AEX UTILITIES GR"/>
        <s v="AEX ESG GR "/>
        <s v="AEX ESG NR "/>
        <s v="AEX ESG "/>
        <s v="AEX Dividend Index"/>
        <s v="AEX Equal Weight"/>
        <s v="AEX Equal Weight GR"/>
        <s v="AEX Equal Weight NR"/>
        <s v="AEX EXT"/>
        <s v="BEL Mid"/>
        <s v="BEL Mid GR"/>
        <s v="BEL Mid NR"/>
        <s v="BEL Small"/>
        <s v="BEL Small GR"/>
        <s v="BEL Small NR"/>
        <s v="BEL All-Share Index"/>
        <s v="BEL All-Share Index NR"/>
        <s v="BEL Basic Materials"/>
        <s v="BEL Basic Materials NR"/>
        <s v="BEL Consumer Discretionary"/>
        <s v="BEL Consumer Discretionary NR"/>
        <s v="BEL Consumer Staples"/>
        <s v="BEL Consumer Staples NR"/>
        <s v="BEL Continuous Stocks Index"/>
        <s v="BEL Continuous Stocks Index NR"/>
        <s v="BEL Energy"/>
        <s v="BEL Energy NR"/>
        <s v="BEL Financials"/>
        <s v="BEL Financials NR"/>
        <s v="BEL Health Care"/>
        <s v="BEL Health Care NR"/>
        <s v="BEL Industrials"/>
        <s v="BEL Industrials NR"/>
        <s v="BEL Real Estate"/>
        <s v="BEL Real Estate NR"/>
        <s v="BEL Technology"/>
        <s v="BEL Technology NR"/>
        <s v="BEL Telecommunications"/>
        <s v="BEL Telecommunications NR"/>
        <s v="BEL Utilities"/>
        <s v="BEL Utilities NR"/>
        <s v="CAC All-Tradable"/>
        <s v="CAC All-Tradable GR"/>
        <s v="CAC All-Tradable NR"/>
        <s v="CAC Large 60"/>
        <s v="CAC Large 60 GR"/>
        <s v="CAC Large 60 NR"/>
        <s v="CAC Mid &amp; Small"/>
        <s v="CAC Mid &amp; Small GR"/>
        <s v="CAC Mid &amp; Small NR"/>
        <s v="CAC Mid 60"/>
        <s v="CAC Mid 60 Decrement 5%"/>
        <s v="CAC Mid 60 GR"/>
        <s v="CAC Mid 60 NR"/>
        <s v="CAC Next 20"/>
        <s v="CAC Next 20 GR"/>
        <s v="CAC Next 20 NR"/>
        <s v="CAC Small"/>
        <s v="CAC Small GR"/>
        <s v="CAC Small NR"/>
        <s v="SBF 120"/>
        <s v="SBF 120 GR"/>
        <s v="SBF 120 NR"/>
        <s v="CAC 40 ESG"/>
        <s v="CAC 40 ESG Decrement 3%"/>
        <s v="CAC 40 ESG Decrement 3.5%"/>
        <s v="CAC 40 ESG Decrement 4%"/>
        <s v="CAC 40 ESG Decrement 4.5%"/>
        <s v="CAC 40 ESG Decrement 5%"/>
        <s v="CAC 40 ESG GR"/>
        <s v="CAC 40 ESG NR"/>
        <s v="CAC 40 Inflation Adjusted"/>
        <s v="CAC 40 NR Inflation Adjusted"/>
        <s v="CAC All-Share Index"/>
        <s v="CAC All-Share Index NR"/>
        <s v="CAC 40 Gross Return Decrement 5%"/>
        <s v="CAC Basic Materials"/>
        <s v="CAC Basic Materials NR"/>
        <s v="CAC Consumer Discretionary"/>
        <s v="CAC Consumer Discretionary NR"/>
        <s v="CAC Consumer Staples"/>
        <s v="CAC Consumer Staples NR"/>
        <s v="CAC Energy"/>
        <s v="CAC Energy NR"/>
        <s v="CAC Financials"/>
        <s v="CAC Financials NR"/>
        <s v="CAC Health Care"/>
        <s v="CAC Health Care NR"/>
        <s v="CAC Industrials"/>
        <s v="CAC Industrials NR"/>
        <s v="CAC Real Estate"/>
        <s v="CAC Real Estate NR"/>
        <s v="CAC Technology"/>
        <s v="CAC Technology NR"/>
        <s v="CAC Telecommunications"/>
        <s v="CAC Telecommunications NR"/>
        <s v="CAC Utilities"/>
        <s v="CAC Utilities NR"/>
        <s v="Enternext PEA-PME 150 Index"/>
        <s v="Enternext PEA-PME 150 Index GR"/>
        <s v="CAC Large 60 RI SW"/>
        <s v="CAC Large 60 RI SW Decrement 5%"/>
        <s v="CAC Large 60 RI SW GR"/>
        <s v="CAC Large 60 RI SW NR"/>
        <s v="CAC SBT 1.5"/>
        <s v="CAC SBT 1.5 GR"/>
        <s v="CAC SBT 1.5 GR Decrement 3.75%"/>
        <s v="CAC SBT 1.5 GR Decrement 4%"/>
        <s v="CAC SBT 1.5 GR Decrement 5%"/>
        <s v="CAC SBT 1.5 NR"/>
        <s v="CAC SBT 1.5 NR Decrement 3.75%"/>
        <s v="CAC SBT 1.5 NR Decrement 4%"/>
        <s v="CAC SBT 1.5 NR Decrement 5%"/>
        <s v="CAC 40 Dividend Index"/>
        <s v="CAC 40 Equal Weight"/>
        <s v="CAC 40 Equal Weight GR"/>
        <s v="CAC 40 Equal Weight NR"/>
        <s v="CAC 40 EW Decrement 5%"/>
        <s v="CAC EWC 40"/>
        <s v="CAC Large 60 Equal Weight"/>
        <s v="CAC Large 60 Equal Weight Decrement 4%"/>
        <s v="CAC Large 60 Equal Weight GR"/>
        <s v="CAC Large 60 Equal Weight NR"/>
        <s v="CAC Large 60 EW ER"/>
        <s v="CAC Large 60 EW NR JPY"/>
        <s v="CAC Large 60 EW NR JPY Hedged"/>
        <s v="CAC 40 EXT"/>
        <s v="CAC 40 Governance"/>
        <s v="CAC 40 Governance Decrement 5%"/>
        <s v="CAC 40 Governance GR"/>
        <s v="CAC 40 Governance NR"/>
        <s v="CAC 40 Cumulative Dividend"/>
        <s v="CAC 40 Synthetic Dividend"/>
        <s v="Euronext 100 Index"/>
        <s v="Euronext 100 Index GR"/>
        <s v="Next 150 Index"/>
        <s v="Next 150 Index GR"/>
        <s v="Euronext Asia Pacific 500"/>
        <s v="Euronext Asia Pacific 500 GR"/>
        <s v="Euronext Asia Pacific 500 NR"/>
        <s v="Euronext BeNe 40 Equal Weight"/>
        <s v="Euronext BeNe 40 Equal Weight GR"/>
        <s v="Euronext BeNe 40 Equal Weight NR"/>
        <s v="Euronext BeNe 40 EW Excess Return"/>
        <s v="Euronext BeNe 40 Equal Weight Volatility Target"/>
        <s v="Euronext BeNeLux ESG Leaders 20"/>
        <s v="Euronext BeNeLux ESG Leaders 20 Decrement 4.5%"/>
        <s v="Euronext BeNeLux ESG Leaders 20 GR"/>
        <s v="Euronext BeNeLux ESG Leaders 20 NR"/>
        <s v="Euronext BeNeLux Low Risk 20"/>
        <s v="Euronext BeNeLux Low Risk 20 D 4.5%"/>
        <s v="Euronext BeNeLux Low Risk 20 GR"/>
        <s v="Euronext BeNeLux Low Risk 20 NR"/>
        <s v="EN CDP Environment ESG Eurozone EW"/>
        <s v="EN CDP Environment ESG Eurozone EW D5%"/>
        <s v="EN CDP Environment ESG Eurozone EW GR"/>
        <s v="EN CDP Environment ESG Eurozone EW NR"/>
        <s v="Euronext CDP Environment ESG France EW"/>
        <s v="Euronext CDP Environment ESG France EW Decrement 5%"/>
        <s v="Euronext CDP Environment ESG France EW GR"/>
        <s v="Euronext CDP Environment ESG France EW NR"/>
        <s v="Euronext CDP Environment ESG World EW"/>
        <s v="Euronext CDP Environment ESG World EW Decrement 5%"/>
        <s v="Euronext CDP Environment ESG World EW GR"/>
        <s v="Euronext CDP Environment ESG World EW NR"/>
        <s v="Euronext CDP Environment Eurozone EW"/>
        <s v="Euronext CDP Environment Eurozone EW D5%"/>
        <s v="Euronext CDP Environment Eurozone EW Decrement 3.75%"/>
        <s v="Euronext CDP Environment Eurozone EW Decrement 4% NR"/>
        <s v="Euronext CDP Environment Eurozone EW GR"/>
        <s v="Euronext CDP Environment Eurozone EW NR"/>
        <s v="EN CDP ENV FR Ex Oil &amp; Gas EW"/>
        <s v="EN CDP ENV FR Ex Oil &amp; Gas EW GR"/>
        <s v="EN CDP ENV FR Ex Oil &amp; Gas EW NR"/>
        <s v="EN CDP ENV FR Oil &amp; Gas EW D 5%"/>
        <s v="Euronext CDP Environment Transatlantic EW"/>
        <s v="Euronext CDP Environment Transatlantic EW Decrement 5%"/>
        <s v="Euronext CDP Environment Transatlantic EW GR"/>
        <s v="Euronext CDP Environment Transatlantic EW NR"/>
        <s v="Euronext CDP Environment World EW"/>
        <s v="Euronext CDP Environment World EW D5%"/>
        <s v="Euronext CDP Environment World EW GR"/>
        <s v="Euronext CDP Environment World EW NR"/>
        <s v="EN CDP Environment France EW"/>
        <s v="EN CDP Environment France EW Decrement 4%"/>
        <s v="EN CDP Environment France EW Decrement 4% NR"/>
        <s v="EN CDP Environment France EW Decrement 5%"/>
        <s v="EN CDP Environment France EW GR"/>
        <s v="EN CDP Environment France EW NR"/>
        <s v="Euronext CDP France Environnement"/>
        <s v="Euronext CDP France Environnement Decrement 5%"/>
        <s v="Euronext CDP France Environnement GR"/>
        <s v="Euronext CDP France Environnement NR"/>
        <s v="Euronext CDP Water Eurozone EW"/>
        <s v="Euronext CDP Water Eurozone EW Decrement 5%"/>
        <s v="Euronext CDP Water Eurozone EW GR"/>
        <s v="Euronext CDP Water Eurozone EW NR"/>
        <s v="Euronext Climate Europe"/>
        <s v="Euronext Climate Europe GR"/>
        <s v="Euronext Climate Europe NR"/>
        <s v="EN Climate Objective 50 Euro EW"/>
        <s v="EN Climate Objective 50 Euro EW D5%"/>
        <s v="EN Climate Objective 50 Euro EW GR"/>
        <s v="EN Climate Objective 50 Euro EW NR"/>
        <s v="Euronext Climate Objective 50 Euro EW Decrement 4%"/>
        <s v="EN Climate Objective 50 EW Decrement 5%"/>
        <s v="Euronext Climate Objective 50 EW"/>
        <s v="Euronext Climate Objective 50 EW GR"/>
        <s v="Euronext Climate Objective 50 EW NR"/>
        <s v="EN Climate Orientation Prior 50 EW 4 5%D"/>
        <s v="EN Climate Orientation Priority 50 EW"/>
        <s v="EN Climate Orientation Priority 50 EW ER"/>
        <s v="EN Climate Orientation Priority 50 EW GR"/>
        <s v="EN Climate Orientation Priority 50 EW NR"/>
        <s v="Euronext Core Euro &amp; Global Climate Change EW"/>
        <s v="Euronext Core Euro &amp; Global Climate Change EW Decrement 3.5%"/>
        <s v="Euronext Core Euro &amp; Global Climate Change EW Decrement 5%"/>
        <s v="Euronext Core Euro &amp; Global Climate Change EW GR"/>
        <s v="Euronext Core Euro &amp; Global Climate Change EW NR"/>
        <s v="Euronext Core Europe 100 ESG EW Decrement 5% NR"/>
        <s v="Euronext Core Europe 100 ESG EW "/>
        <s v="Euronext Core Europe 100 ESG EW GR"/>
        <s v="Euronext Core Europe 100 ESG EW NR"/>
        <s v="EN Core Europe 30 ESG EW"/>
        <s v="EN Core Europe 30 ESG EW Decrement 5% NR"/>
        <s v="EN Core Europe 30 ESG EW GR"/>
        <s v="EN Core Europe 30 ESG EW NR"/>
        <s v="Euronext Core Europe 100 EW"/>
        <s v="Euronext Core Europe 100 EW Decrement 5% GR"/>
        <s v="Euronext Core Europe 100 EW Decrement 5% NR"/>
        <s v="Euronext Core Europe 100 EW GR"/>
        <s v="Euronext Core Europe 100 EW NR"/>
        <s v="Euronext Core Europe 30 EW"/>
        <s v="Euronext Core Europe 30 EW Decrement 5% GR"/>
        <s v="Euronext Core Europe 30 EW Decrement 5% NR"/>
        <s v="Euronext Core Europe 30 EW GR"/>
        <s v="Euronext Core Europe 30 EW NR"/>
        <s v="Euronext Core Europe PAB 50"/>
        <s v="Euronext Core Europe PAB 50 Decrement 4%"/>
        <s v="Euronext Core Europe PAB 50 Decrement 5%"/>
        <s v="Euronext Core Europe PAB 50 GR"/>
        <s v="Euronext Core Europe PAB 50 NR"/>
        <s v="Euronext Developed Market"/>
        <s v="Euronext Developed Market GR"/>
        <s v="Euronext Developed Market GR USD"/>
        <s v="Euronext Developed Market NR"/>
        <s v="Euronext Developed Market NR USD"/>
        <s v="Euronext Developed Market USD"/>
        <s v="Euronext Environmental Goods and Services Eurozone"/>
        <s v="Euronext Environmental Goods and Services Eurozone GR"/>
        <s v="Euronext Environmental Goods and Services Eurozone NR"/>
        <s v="Euronext Environmental Goods and Services World"/>
        <s v="Euronext Environmental Goods and Services World GR"/>
        <s v="Euronext Environmental Goods and Services World NR"/>
        <s v="Euronext Equileap Gender Equality Eurozone 100"/>
        <s v="Euronext Equileap Gender Equality Eurozone 100 GR"/>
        <s v="Euronext Equileap Gender Equality Eurozone 100 NR"/>
        <s v="Euronext Equileap Gender Equality France 40"/>
        <s v="Euronext Equileap Gender Equality France 40 GR"/>
        <s v="Euronext Equileap Gender Equality France 40 NR"/>
        <s v="Euronext ESG Biodiversity Screened Eurozone 50"/>
        <s v="Euronext ESG Biodiversity Screened Eurozone 50 Decrement 4%"/>
        <s v="Euronext ESG Biodiversity Screened Eurozone 50 Decrement 5%"/>
        <s v="Euronext ESG Biodiversity Screened Eurozone 50 GR"/>
        <s v="Euronext ESG Biodiversity Screened Eurozone 50 NR"/>
        <s v="Euronext ESG Biodiversity Screened Transatlantic 80"/>
        <s v="Euronext ESG Biodiversity Screened Transatlantic 80 Decrement 4%"/>
        <s v="Euronext ESG Biodiversity Screened Transatlantic 80 Decrement 5%"/>
        <s v="Euronext ESG Biodiversity Screened Transatlantic 80 GR"/>
        <s v="Euronext ESG Biodiversity Screened Transatlantic 80 NR"/>
        <s v="Euronext ESG Biodiversity Screened World"/>
        <s v="Euronext ESG Biodiversity Screened World GR"/>
        <s v="Euronext ESG Biodiversity Screened World GR USD"/>
        <s v="Euronext ESG Biodiversity Screened World NR"/>
        <s v="Euronext ESG Biodiversity Screened World NR USD"/>
        <s v="Euronext ESG Biodiversity Screened World USD"/>
        <s v="Euronext ESG Eurozone Biodiversity Leaders PAB"/>
        <s v="Euronext ESG Eurozone Biodiversity Leaders PAB GR"/>
        <s v="Euronext ESG Eurozone Biodiversity Leaders PAB NR"/>
        <s v="Euronext Eurozone ESG Leaders Select 40 EW"/>
        <s v="Euronext Eurozone ESG Leaders Select 40 EW Decrement 3.5%"/>
        <s v="Euronext Eurozone ESG Leaders Select 40 EW Decrement 5%"/>
        <s v="Euronext Eurozone ESG Leaders Select 40 EW GR"/>
        <s v="Euronext Eurozone ESG Leaders Select 40 EW NR"/>
        <s v="Euronext Euro 50 ESG EW"/>
        <s v="Euronext Euro 50 ESG EW Decrement 50 Points"/>
        <s v="Euronext Euro 50 ESG EW GR"/>
        <s v="Euronext Euro 50 ESG EW NR"/>
        <s v="Euronext Euro 50 SG EW"/>
        <s v="Euronext Euro 50 SG EW Decr 50 Points"/>
        <s v="Euronext Euro 50 SG EW GR"/>
        <s v="Euronext Euro 50 SG EW NR"/>
        <s v="Euronext Euro Large Cap Biodiversity Leaders 30"/>
        <s v="Euronext Euro Large Cap Biodiversity Leaders 30 Decrement 4%"/>
        <s v="Euronext Euro Large Cap Biodiversity Leaders 30 Decrement 5%"/>
        <s v="Euronext Euro Large Cap Biodiversity Leaders 30 GR"/>
        <s v="Euronext Euro Large Cap Biodiversity Leaders 30 NR"/>
        <s v="Euronext Europe 500"/>
        <s v="Euronext Europe 500 GR"/>
        <s v="Euronext Europe 500 NR"/>
        <s v="Euronext Europe Pioneers 50 ESG EW"/>
        <s v="Euronext Europe Pioneers 50 ESG EW Decrement 50 Points"/>
        <s v="Euronext Europe Pioneers 50 ESG EW GR"/>
        <s v="Euronext Europe Pioneers 50 ESG EW NR"/>
        <s v="EN Europe Sustainable 100 EW"/>
        <s v="EN Europe Sustainable 100 EW Decrement 50 Points"/>
        <s v="EN Europe Sustainable 100 EW GR"/>
        <s v="EN Europe Sustainable 100 EW NR"/>
        <s v="Euronext Eurozone 100 ESG"/>
        <s v="Euronext Eurozone 100 ESG Decrement 3.5%"/>
        <s v="Euronext Eurozone 100 ESG Decrement 4.5%"/>
        <s v="Euronext Eurozone 100 ESG Decrement 5%"/>
        <s v="Euronext Eurozone 100 ESG GR"/>
        <s v="Euronext Eurozone 100 ESG NR"/>
        <s v="Euronext Eurozone 150 EW"/>
        <s v="Euronext Eurozone 150 EW Decrement 5%"/>
        <s v="Euronext Eurozone 150 EW GR"/>
        <s v="Euronext Eurozone 150 EW NR"/>
        <s v="Euronext Eurozone 300"/>
        <s v="Euronext Eurozone 300 GR"/>
        <s v="Euronext Eurozone 300 NR"/>
        <s v="Euronext Eurozone 40 EW"/>
        <s v="Euronext Eurozone 40 EW Decrement 5%"/>
        <s v="Euronext Eurozone 40 EW GR"/>
        <s v="Euronext Eurozone 40 EW NR"/>
        <s v="Euronext Eurozone 60 EW"/>
        <s v="Euronext Eurozone 60 EW Decrement 50 Points"/>
        <s v="Euronext Eurozone 60 EW GR"/>
        <s v="Euronext Eurozone 60 EW NR"/>
        <s v="Euronext Eurozone 60 PAB"/>
        <s v="Euronext Eurozone 60 PAB Decrement 4%"/>
        <s v="Euronext Eurozone 60 PAB Decrement 5%"/>
        <s v="Euronext Eurozone 60 PAB GR"/>
        <s v="Euronext Eurozone 60 PAB NR"/>
        <s v="Euronext Eurozone 70 EW"/>
        <s v="Euronext Eurozone 70 EW Decrement 5%"/>
        <s v="Euronext Eurozone 70 EW GR"/>
        <s v="Euronext Eurozone 70 EW NR"/>
        <s v="Euronext Eurozone 80 EW"/>
        <s v="Euronext Eurozone 80 EW Decrement 5%"/>
        <s v="Euronext Eurozone 80 EW GR"/>
        <s v="Euronext Eurozone 80 EW NR"/>
        <s v="Euronext Eurozone Banks"/>
        <s v="Euronext Eurozone Banks Decrement 5%"/>
        <s v="Euronext Eurozone Banks GR"/>
        <s v="Euronext Eurozone Banks NR"/>
        <s v="Euronext Eurozone Banks Dividend"/>
        <s v="Euronext Eurozone Diversity &amp; Governance 40 EW"/>
        <s v="Euronext Eurozone Diversity &amp; Governance 40 EW Decrement 5%"/>
        <s v="Euronext Eurozone Diversity &amp; Governance 40 EW GR"/>
        <s v="Euronext Eurozone Diversity &amp; Governance 40 EW NR"/>
        <s v="EN Eurozone Energy Transition Leaders 50 EW"/>
        <s v="EN Eurozone Energy Transition Leaders 50 EW Decr 5"/>
        <s v="EN Eurozone Energy Transition Leaders 50 EW GR"/>
        <s v="EN Eurozone Energy Transition Leaders 50 EW NR"/>
        <s v="Euronext Eurozone ESG Large 80"/>
        <s v="Euronext Eurozone ESG Large 80 Decrement 3.5%"/>
        <s v="Euronext Eurozone ESG Large 80 Decrement 4%"/>
        <s v="Euronext Eurozone ESG Large 80 Decrement 4.5%"/>
        <s v="Euronext Eurozone ESG Large 80 Decrement 5%"/>
        <s v="Euronext Eurozone ESG Large 80 GR"/>
        <s v="Euronext Eurozone ESG Large 80 NR"/>
        <s v="Euronext Eurozone ESG Leaders 40 EW"/>
        <s v="Euronext Eurozone ESG Leaders 40 EW D3 5"/>
        <s v="Euronext Eurozone ESG Leaders 40 EW Decrement 4%"/>
        <s v="Euronext Eurozone ESG Leaders 40 EW Decrement 5%"/>
        <s v="Euronext Eurozone ESG Leaders 40 EW GR"/>
        <s v="Euronext Eurozone ESG Leaders 40 EW NR"/>
        <s v="Euronext Eurozone ESG Leaders Select 40"/>
        <s v="Euronext Eurozone ESG Leaders Select 40 Decrement 5%"/>
        <s v="Euronext Eurozone ESG Leaders Select 40 GR"/>
        <s v="Euronext Eurozone ESG Leaders Select 40 NR"/>
        <s v="Euronext Eurozone Focus 40 PAB"/>
        <s v="Euronext Eurozone Focus 40 PAB Decrement 4%"/>
        <s v="Euronext Eurozone Focus 40 PAB Decrement 5%"/>
        <s v="Euronext Eurozone Focus 40 PAB GR"/>
        <s v="Euronext Eurozone Focus 40 PAB NR"/>
        <s v="EN Eurozone Mid and Large 60 EW"/>
        <s v="EN Eurozone Mid and Large 60 EW D 50P"/>
        <s v="EN Eurozone Mid and Large 60 EW GR"/>
        <s v="EN Eurozone Mid and Large 60 EW NR"/>
        <s v="EN Eurozone Next 100 EW"/>
        <s v="EN Eurozone Next 100 EW Decrement 5%"/>
        <s v="EN Eurozone Next 100 EW GR"/>
        <s v="EN Eurozone Next 100 EW NR"/>
        <s v="Euronext Eurozone PAB 50"/>
        <s v="Euronext Eurozone PAB 50 Decrement 4%"/>
        <s v="Euronext Eurozone PAB 50 Decrement 5%"/>
        <s v="Euronext Eurozone PAB 50 GR"/>
        <s v="Euronext Eurozone PAB 50 NR"/>
        <s v="Euronext Eurozone Screened Climate Ambition 35 EW"/>
        <s v="Euronext Eurozone Screened Climate Ambition 35 EW GR"/>
        <s v="Euronext Eurozone Screened Climate Ambition 35 EW NR"/>
        <s v="Euronext Eurozone Screened Climate Ambition 40 EW"/>
        <s v="Euronext Eurozone Screened Climate Ambition 40 EW Decrement 50 Points"/>
        <s v="Euronext Eurozone Screened Climate Ambition 40 EW GR"/>
        <s v="Euronext Eurozone Screened Climate Ambition 40 EW NR"/>
        <s v="Euronext Expand All-Share Index"/>
        <s v="Euronext Expand All-Share Index GR"/>
        <s v="Euronext Expand All-Share Index NR"/>
        <s v="Euronext EZ ESGL 40 EW"/>
        <s v="Euronext EZ ESGL 40 EW Decrement 5%"/>
        <s v="Euronext EZ ESGL 40 EW GR"/>
        <s v="Euronext EZ ESGL 40 EW NR"/>
        <s v="Euronext Founding Members Europe 50 EW"/>
        <s v="Euronext Founding Members Europe 50 EW Decrement 5"/>
        <s v="Euronext Founding Members Europe 50 EW GR"/>
        <s v="Euronext Founding Members Europe 50 EW NR"/>
        <s v="Euronext France 20 EW"/>
        <s v="Euronext France 20 EW Decrement 5.5%"/>
        <s v="Euronext France 20 EW GR"/>
        <s v="Euronext France 20 EW NR"/>
        <s v="EN France 20-40 Challengers EW"/>
        <s v="EN France 20-40 Challengers EW D 5.5%"/>
        <s v="EN France 20-40 Challengers EW GR"/>
        <s v="EN France 20-40 Challengers EW NR"/>
        <s v="EN FR 40 Responsible Investment"/>
        <s v="EN FR 40 Responsible Investment D5%"/>
        <s v="EN FR 40 Responsible Investment GR"/>
        <s v="EN FR 40 Responsible Investment NR"/>
        <s v="EN FR NRG Transition Leaders 40 EW D3 5%"/>
        <s v="EN France Energy Transition Leaders 40 EW"/>
        <s v="EN France Energy Transition Leaders 40 EW Decr 5%"/>
        <s v="EN France Energy Transition Leaders 40 EW GR"/>
        <s v="EN France Energy Transition Leaders 40 EW NR"/>
        <s v="Euronext France ESG Leaders 40 EW"/>
        <s v="Euronext France ESG Leaders 40 EW D3 5%"/>
        <s v="Euronext France ESG Leaders 40 EW Decrement 5%"/>
        <s v="Euronext France ESG Leaders 40 EW GR"/>
        <s v="Euronext France ESG Leaders 40 EW NR"/>
        <s v="Euronext France ESG Leaders Select 30 EW"/>
        <s v="Euronext France ESG Leaders Select 30 EW Decrement 5%"/>
        <s v="Euronext France ESG Leaders Select 30 EW GR"/>
        <s v="Euronext France ESG Leaders Select 30 EW NR"/>
        <s v="Euronext France Eurozone 60 EW"/>
        <s v="Euronext France Eurozone 60 EW Decrement 50 Points"/>
        <s v="Euronext France Eurozone 60 EW GR"/>
        <s v="Euronext France Eurozone 60 EW NR"/>
        <s v="Euronext France Germany Leaders 50"/>
        <s v="Euronext France Germany Leaders 50 EW"/>
        <s v="Euronext France Germany Leaders 50 EW Decrement 5%"/>
        <s v="Euronext France Germany Leaders 50 EW GR"/>
        <s v="Euronext France Germany Leaders 50 EW NR"/>
        <s v="Euronext France Germany Leaders 50 GR"/>
        <s v="Euronext France Germany Leaders 50 NR"/>
        <s v="EN France Next 40 EW"/>
        <s v="EN France Next 40 EW Decrement 5.5%"/>
        <s v="EN France Next 40 EW GR"/>
        <s v="EN France Next 40 EW NR"/>
        <s v="Euronext France PAB 50"/>
        <s v="Euronext France PAB 50 Decrement 5%"/>
        <s v="Euronext France PAB 50 GR"/>
        <s v="Euronext France PAB 50 NR"/>
        <s v="Euronext France Social"/>
        <s v="Euronext France Social Decrement 3.75%"/>
        <s v="Euronext France Social Decrement 5%"/>
        <s v="Euronext France Social GR"/>
        <s v="Euronext France Social NR"/>
        <s v="Euronext French Employment 40 EW"/>
        <s v="Euronext French Employment 40 EW GR"/>
        <s v="Euronext French Employment 40 EW NR"/>
        <s v="Euronext Global Health Care 50 EW ESG"/>
        <s v="Euronext Global Health Care 50 EW ESG Decrement 5%"/>
        <s v="Euronext Global Health Care 50 EW ESG GR"/>
        <s v="Euronext Global Health Care 50 EW ESG NR"/>
        <s v="Euronext Global Sustainability and Climate Screened"/>
        <s v="Euronext Global Sustainability and Climate Screened Decrement 50 Points"/>
        <s v="Euronext Global Sustainability and Climate Screened GR"/>
        <s v="Euronext Green Planet E Decrement 5%"/>
        <s v="Euronext Green Planet E Decrement 5% GR"/>
        <s v="Euronext Green Planet E GR"/>
        <s v="Euronext Green Planet E NR"/>
        <s v="Euronext Green Planet E "/>
        <s v="Euronext Green Planet France"/>
        <s v="Euronext Green Planet France Decrement 5%"/>
        <s v="Euronext Green Planet France GR"/>
        <s v="Euronext Green Planet France NR"/>
        <s v="Euronext Growth All-Share Index"/>
        <s v="Euronext Growth All-Share Index GR"/>
        <s v="Euronext Growth All-Share Index NR"/>
        <s v="Euronext Growth Bpifrance Innovation Index"/>
        <s v="Euronext Growth Bpifrance Innovation Index GR"/>
        <s v="Euronext Growth Bpifrance Innovation Index NR"/>
        <s v="Euronext Helios Space"/>
        <s v="Euronext Helios Space GR"/>
        <s v="Euronext Helios Space NR"/>
        <s v="Euronext Helios Space All-Share"/>
        <s v="Euronext Helios Space All-Share GR"/>
        <s v="Euronext Helios Space All-Share NR"/>
        <s v="Euronext JPN Screened Climate Ambition 30 EW"/>
        <s v="Euronext JPN Screened Climate Ambition 30 EW EUR"/>
        <s v="Euronext JPN Screened Climate Ambition 30 EW GR"/>
        <s v="Euronext JPN Screened Climate Ambition 30 EW GR EUR"/>
        <s v="Euronext JPN Screened Climate Ambition 30 EW NR"/>
        <s v="Euronext JPN Screened Climate Ambition 30 EW NR EUR"/>
        <s v="Euronext Low Carbon 100 Eurozone PAB"/>
        <s v="Euronext Low Carbon 100 Eurozone PAB GR"/>
        <s v="Euronext Low Carbon 100 Eurozone PAB NR"/>
        <s v="Euronext Low Carbon 300 World 3.5% Decrement"/>
        <s v="Euronext Low Carbon 300 World PAB"/>
        <s v="Euronext Low Carbon 300 World PAB GR"/>
        <s v="Euronext Low Carbon 300 World PAB NR"/>
        <s v="Euronext NDR Hydrogen World"/>
        <s v="Euronext NDR Hydrogen World GR"/>
        <s v="Euronext NDR Hydrogen World NR"/>
        <s v="Euronext NDR Web 3.0 World"/>
        <s v="Euronext NDR Web 3.0 World GR"/>
        <s v="Euronext NDR Web 3.0 World NR"/>
        <s v="Euronext North America 500"/>
        <s v="Euronext North America 500 GR"/>
        <s v="Euronext North America 500 NR"/>
        <s v="Euronext Positive Impact Water Eurozone"/>
        <s v="Euronext Positive Impact Water Eurozone GR"/>
        <s v="Euronext Positive Impact Water Eurozone NR"/>
        <s v="Euronext Positive Impact Water World"/>
        <s v="Euronext Positive Impact Water World GR"/>
        <s v="Euronext Positive Impact Water World NR"/>
        <s v="EN Reitsmarket Global Balanced DECR"/>
        <s v="EN Reitsmarket Global Conviction DECR"/>
        <s v="Euronext Reitsmarket Global Balanced"/>
        <s v="Euronext Reitsmarket Global Balanced NR"/>
        <s v="Euronext Reitsmarket Global Balanced RC10"/>
        <s v="Euronext Reitsmarket Global Balanced RC10 Decremen"/>
        <s v="Euronext Reitsmarket Global Balanced RC12"/>
        <s v="Euronext Reitsmarket Global Balanced RC12 Decremen"/>
        <s v="Euronext Reitsmarket Global Conviction"/>
        <s v="Euronext Reitsmarket Global Conviction NR"/>
        <s v="EN RM GRESB Global Sustainable"/>
        <s v="EN RM GRESB Global Sustainable Decrement"/>
        <s v="EN RM GRESB Global Sustainable NR"/>
        <s v="EN Responsible Investment Euro 50 EW"/>
        <s v="EN Responsible Investment Euro 50 EW D5%"/>
        <s v="EN Responsible Investment Euro 50 EW GR"/>
        <s v="EN Responsible Investment Euro 50 EW NR"/>
        <s v="Euronext B Bouygues 040521 GR 1.583"/>
        <s v="Euronext B Bouygues 040521 GR Decrement 1.583"/>
        <s v="Euronext B Bouygues 040521 PR 1.583"/>
        <s v="Euronext B Engie 240521 GR 0.71"/>
        <s v="Euronext B Engie 240521 GR Decrement 0.71"/>
        <s v="Euronext B Engie 240521 PR 0.71"/>
        <s v="Euronext B Orange 131221 GR 0.65"/>
        <s v="Euronext B Orange 131221 GR Decrement 0.65"/>
        <s v="Euronext B Orange 131221 PR 0.65"/>
        <s v="Euronext C Sanofi 151221 GR 3.27 "/>
        <s v="Euronext C Sanofi 151221 GR Decrement 3.27 "/>
        <s v="Euronext C Sanofi 151221 PR 3.27 "/>
        <s v="Euronext G AXA 261021 GR 1.5"/>
        <s v="Euronext G AXA 261021 GR Decrement 1.5"/>
        <s v="Euronext G AXA 261021 PR 1.5 "/>
        <s v="Euronext G BNP 261021 GR 3.00"/>
        <s v="Euronext G BNP 261021 GR 3.3"/>
        <s v="Euronext G BNP 261021 GR Decrement 3.00"/>
        <s v="Euronext G BNP 261021 GR Decrement 3.3"/>
        <s v="Euronext G BNP 261021 PR 3.00 "/>
        <s v="Euronext G BNP 261021 PR 3.3 "/>
        <s v="Euronext G BNP 240523 Decrement 3.67 Index"/>
        <s v="Euronext G BNP 310523 Decrement 4.00 Index"/>
        <s v="Euronext G Bouygues 261021 GR 1.7"/>
        <s v="Euronext G Bouygues 261021 GR Decrement 1.7"/>
        <s v="Euronext G Bouygues 261021 PR 1.7"/>
        <s v="Euronext G Credit Agricole 010621 GR 0.9"/>
        <s v="Euronext G Credit Agricole 010621 GR Decrement 0.9"/>
        <s v="Euronext G Credit Agricole 010621 PR 0.9"/>
        <s v="Euronext G Credit Agricole 010622 GR 0.8"/>
        <s v="Euronext G Credit Agricole 010622 GR Decrement 0.8"/>
        <s v="Euronext G Credit Agricole 010622 PR 0.8"/>
        <s v="Euronext G Credit Agricole 310523 Decrement 1.05 Index"/>
        <s v="Euronext G EDF 151121 Decrement 0.60"/>
        <s v="Euronext G EDF 151121 GR 0.60"/>
        <s v="Euronext G EDF 151121 PR 0.60"/>
        <s v="Euronext G EDF 261021 GR 0.60 "/>
        <s v="Euronext G EDF 261021 GR Decrement 0.60"/>
        <s v="Euronext G EDF 261021 PR 0.60 "/>
        <s v="Euronext G Engie 261021 GR 0.71"/>
        <s v="Euronext G Engie 261021 GR Decrement 0.71"/>
        <s v="Euronext G Engie 261021 PR 0.71"/>
        <s v="Euronext G Engie 030523 Decrement 1.10 Index"/>
        <s v="Euronext G Orange 131221 Decrement 0.7"/>
        <s v="Euronext G Orange 131221 GR 0.65"/>
        <s v="Euronext G Orange 131221 GR 0.7"/>
        <s v="Euronext G Orange 131221 GR Decrement 0.65"/>
        <s v="Euronext G Orange 131221 PR 0.65"/>
        <s v="Euronext G Orange 131221 PR 0.7"/>
        <s v="Euronext G Orange 261021 GR 0.7"/>
        <s v="Euronext G Orange 261021 GR Decrement 0.7"/>
        <s v="Euronext G Orange 261021 PR 0.7"/>
        <s v="Euronext G Scor 230524 Decrement 1.80 Index"/>
        <s v="Euronext G Societe Generale 261021 GR 1.80 "/>
        <s v="Euronext G Societe Generale 261021 GR Decrement 1.80"/>
        <s v="Euronext G Societe Generale 261021 PR 1.80 "/>
        <s v="Euronext G Societe Generale 290524 Decrement 1.25 Index"/>
        <s v="Euronext G Societe Generale 310523 Decrement 1.35 Index"/>
        <s v="Euronext G Stellantis 020522 Decrement 1.04 "/>
        <s v="Euronext G Stellantis 020522 GR 1.04 "/>
        <s v="Euronext G Stellantis 020522 PR 1.04 "/>
        <s v="Euronext G Stellantis 030524 GR 1.55 Index"/>
        <s v="Euronext G Stellantis 040523 Decrement 1.34 Index"/>
        <s v="Euronext G TotalEnergies 261021 GR 2.54"/>
        <s v="Euronext G TotalEnergies 261021 GR 2.64"/>
        <s v="Euronext G TotalEnergies 261021 GR Decrement 2.54"/>
        <s v="Euronext G TotalEnergies 261021 GR Decrement 2.64"/>
        <s v="Euronext G TotalEnergies 261021 PR 2 .54"/>
        <s v="Euronext G TotalEnergies 261021 PR 2.64 "/>
        <s v="Euronext G URW 270223 Decrement 3 50 Index"/>
        <s v="Euronext S ArcelorMittal 070322 GR 0.35"/>
        <s v="Euronext S ArcelorMittal 070322 GR Decrement 0.35"/>
        <s v="Euronext S ArcelorMittal 070322 PR 0.35"/>
        <s v="Euronext S AXA 070322 GR 1.54"/>
        <s v="Euronext S AXA 070322 GR Decrement 1.54"/>
        <s v="Euronext S AXA 070322 PR 1.54"/>
        <s v="Euronext S BNP 070322 GR 3.47"/>
        <s v="Euronext S BNP 070322 GR Decrement 3.47"/>
        <s v="Euronext S BNP 070322 PR 3.47"/>
        <s v="Euronext S Carrefour 070322 GR 0.52"/>
        <s v="Euronext S Carrefour 070322 GR Decrement 0.52"/>
        <s v="Euronext S Carrefour 070322 PR 0.52"/>
        <s v="Euronext S Credit Agricole 070322 GR 1.05"/>
        <s v="Euronext S Credit Agricole 070322 GR Decrement 1.05"/>
        <s v="Euronext S Credit Agricole 070322 PR 1.05"/>
        <s v="Euronext S ENI 070322 GR 0.87"/>
        <s v="Euronext S ENI 070322 GR Decrement 0.87"/>
        <s v="Euronext S ENI 070322 PR 0.87"/>
        <s v="Euronext S ING 070322 GR 0.66"/>
        <s v="Euronext S ING 070322 GR Decrement 0.66"/>
        <s v="Euronext S ING 070322 PR 0.66"/>
        <s v="Euronext S Kering 070322 GR 12"/>
        <s v="Euronext S Kering 070322 GR Decrement 12"/>
        <s v="Euronext S Kering 070322 PR 12"/>
        <s v="Euronext S Safran 070322 GR 0.5"/>
        <s v="Euronext S Safran 070322 GR Decrement 0.5"/>
        <s v="Euronext S Safran 070322 PR 0.5"/>
        <s v="Euronext S Sanofi 070322 GR 3.33"/>
        <s v="Euronext S Sanofi 070322 GR Decrement 3.33"/>
        <s v="Euronext S Sanofi 070322 PR 3.33"/>
        <s v="Euronext S Shell 070322 GR 0.91"/>
        <s v="Euronext S Shell 070322 GR Decrement 0.91"/>
        <s v="Euronext S Shell 070322 PR 0.91"/>
        <s v="Euronext S Stellantis 070322 GR 1.04"/>
        <s v="Euronext S Stellantis 070322 GR Decrement 1.04"/>
        <s v="Euronext S Stellantis 070322 PR 1.04"/>
        <s v="Euronext Social Goods and Services Eurozone"/>
        <s v="Euronext Social Goods and Services Eurozone GR"/>
        <s v="Euronext Social Goods and Services Eurozone NR"/>
        <s v="Euronext Social Goods and Services World"/>
        <s v="Euronext Social Goods and Services World GR"/>
        <s v="Euronext Social Goods and Services World NR"/>
        <s v="EN Sovereign Economy Selection EZ50 GR"/>
        <s v="EN Sovereign Economy Selection EZ50 NR"/>
        <s v="Euronext Sovereign Economy Selection Eurozone 50"/>
        <s v="Euronext Sovereign Economy Selection Eurozone 50 Decrement 50 Points"/>
        <s v="Euronext Switzerland 20 PAB"/>
        <s v="Euronext Switzerland 20 PAB Decrement 3%"/>
        <s v="Euronext Switzerland 20 PAB Decrement 4%"/>
        <s v="Euronext Switzerland 20 PAB GR"/>
        <s v="Euronext Switzerland 20 PAB NR"/>
        <s v="Euronext Tech Croissance"/>
        <s v="Euronext Tech Croissance GR"/>
        <s v="Euronext Tech Croissance NR"/>
        <s v="Euronext Tech Leaders"/>
        <s v="Euronext Tech Leaders GR"/>
        <s v="Euronext Tech Leaders NR"/>
        <s v="Euronext Top 30 France Germany Industrials EW"/>
        <s v="Euronext Top 30 France Germany Industrials EW Decr"/>
        <s v="Euronext Top 30 France Germany Industrials EW GR"/>
        <s v="Euronext Top 30 France Germany Industrials EW NR"/>
        <s v="Euronext Transatlantic"/>
        <s v="Euronext Transatlantic GR"/>
        <s v="Euronext Transatlantic NR"/>
        <s v="EN Transatlantic 50 EW"/>
        <s v="EN Transatlantic 50 EW D5%"/>
        <s v="EN Transatlantic 50 EW GR"/>
        <s v="EN Transatlantic 50 EW NR"/>
        <s v="Euronext Transatlantic Circular Economy 50 EW"/>
        <s v="Euronext Transatlantic Circular Economy 50 EW Decrement 5%"/>
        <s v="Euronext Transatlantic Circular Economy 50 EW GR"/>
        <s v="Euronext Transatlantic Circular Economy 50 EW NR"/>
        <s v="Euronext Transatlantic Environment 50"/>
        <s v="Euronext Transatlantic Environment 50 Decrement 5%"/>
        <s v="Euronext Transatlantic Environment 50 GR"/>
        <s v="Euronext Transatlantic Environment 50 NR"/>
        <s v="Euronext Transatlantic ESG Leaders 60 EW"/>
        <s v="Euronext Transatlantic ESG Leaders 60 EW Decrement 5%"/>
        <s v="Euronext Transatlantic ESG Leaders 60 EW GR"/>
        <s v="Euronext Transatlantic ESG Leaders 60 EW NR"/>
        <s v="Euronext Transatlantic Sustainability and Climate Screened 60"/>
        <s v="Euronext Transatlantic Sustainability and Climate Screened 60 Decrement 50 Points"/>
        <s v="Euronext Transatlantic Sustainability and Climate Screened 60 GR"/>
        <s v="Euronext US ESGL 20 EW"/>
        <s v="Euronext US ESGL 20 EW Decrement 5%"/>
        <s v="Euronext US ESGL 20 EW GR"/>
        <s v="Euronext US ESGL 20 EW NR"/>
        <s v="Euronext US Screened Climate Ambition 25 EW"/>
        <s v="Euronext US Screened Climate Ambition 25 EW EUR"/>
        <s v="Euronext US Screened Climate Ambition 25 EW GR"/>
        <s v="Euronext US Screened Climate Ambition 25 EW GR EUR"/>
        <s v="Euronext US Screened Climate Ambition 25 EW NR"/>
        <s v="Euronext US Screened Climate Ambition 25 EW NR EUR"/>
        <s v="Euronext US Screened Climate Ambition 35 EW"/>
        <s v="Euronext US Screened Climate Ambition 35 EW EUR"/>
        <s v="Euronext US Screened Climate Ambition 35 EW GR"/>
        <s v="Euronext US Screened Climate Ambition 35 EW GR EUR"/>
        <s v="Euronext US Screened Climate Ambition 35 EW NR"/>
        <s v="Euronext US Screened Climate Ambition 35 EW NR EUR"/>
        <s v="Euronext V.E ESG World-Select 75 Bund/SV"/>
        <s v="Euronext V.E ESG World-Select 75 Bund/SV GR"/>
        <s v="Euronext V.E ESG World-Select 75 Bund/SV NR"/>
        <s v="Euronext V.E Eurozone Social Focus"/>
        <s v="Euronext V.E Eurozone Social Focus Decrement 5%"/>
        <s v="Euronext V.E Eurozone Social Focus GR"/>
        <s v="Euronext V.E Eurozone Social Focus NR"/>
        <s v="Euronext Vigeo Benelux 20 GR Index"/>
        <s v="Euronext Vigeo Benelux 20 Index"/>
        <s v="Euronext Vigeo Benelux 20 NR Index"/>
        <s v="Euronext Vigeo Euro 120 GR Index"/>
        <s v="Euronext Vigeo Euro 120 Index"/>
        <s v="Euronext Vigeo Euro 120 NR Index"/>
        <s v="Euronext Vigeo Europe 120 GR Index"/>
        <s v="Euronext Vigeo Europe 120 Index"/>
        <s v="Euronext Vigeo Europe 120 NR Index"/>
        <s v="Euronext Vigeo France 20 GR Index"/>
        <s v="Euronext Vigeo France 20 Index"/>
        <s v="Euronext Vigeo France 20 NR Index"/>
        <s v="Euronext Vigeo UK 20 GR Index"/>
        <s v="Euronext Vigeo UK 20 Index"/>
        <s v="Euronext Vigeo UK 20 NR Index"/>
        <s v="EN Vigeo US 50"/>
        <s v="EN Vigeo US 50 GR"/>
        <s v="EN Vigeo US 50 NR"/>
        <s v="EN Vigeo W 120 GR"/>
        <s v="EN Vigeo W 120 NR"/>
        <s v="EN Vigeo World 120"/>
        <s v="Euronext Water and Ocean Europe 40 EW Decrement 4% "/>
        <s v="Euronext Water and Ocean Europe 40 EW Decrement 5% "/>
        <s v="Euronext Water and Ocean Europe 40 EW GR"/>
        <s v="Euronext Water and Ocean Europe 40 EW NR"/>
        <s v="Euronext Water and Ocean Europe 40 EW "/>
        <s v="Euronext World"/>
        <s v="Euronext World GR"/>
        <s v="Euronext World NR"/>
        <s v="Euronext World Country Selection"/>
        <s v="Euronext World Country Selection GR"/>
        <s v="Euronext World Country Selection NR"/>
        <s v="Euronext World Sustainability and Climate Screened"/>
        <s v="Euronext World Sustainability and Climate Screened Decrement 50 Points"/>
        <s v="Euronext World Sustainability and Climate Screened GR"/>
        <s v="ISEQ 20 Capped"/>
        <s v="ISEQ 20 Capped GR"/>
        <s v="ISEQ Small"/>
        <s v="ISEQ Small GR"/>
        <s v="ISEQ All Share"/>
        <s v="ISEQ All Share GR"/>
        <s v="ISEQ Basic Materials"/>
        <s v="ISEQ Basic Materials GR"/>
        <s v="ISEQ Consumer Discretionary"/>
        <s v="ISEQ Consumer Discretionary GR"/>
        <s v="ISEQ Consumer Staples"/>
        <s v="ISEQ Consumer Staples GR"/>
        <s v="ISEQ Energy"/>
        <s v="ISEQ Energy GR"/>
        <s v="ISEQ Financial"/>
        <s v="ISEQ Financial GR"/>
        <s v="ISEQ Health Care"/>
        <s v="ISEQ Health Care GR"/>
        <s v="ISEQ Industrials"/>
        <s v="ISEQ Industrials GR"/>
        <s v="ISEQ Real Estate"/>
        <s v="ISEQ Real Estate GR"/>
        <s v="ISEQ Technology"/>
        <s v="ISEQ Technology GR"/>
        <s v="ISEQ Utilities"/>
        <s v="ISEQ Utilities GR"/>
        <s v="Italia Leva 7 Long"/>
        <s v="Italia Leva 7 Short"/>
        <s v="AEX Leverage"/>
        <s v="AEX Leverage GR"/>
        <s v="AEX Leverage NR"/>
        <s v="AEX Short GR"/>
        <s v="AEX X10 Leverage NR"/>
        <s v="AEX X10 Short GR"/>
        <s v="AEX X12 Leverage NR"/>
        <s v="AEX X12 Short GR"/>
        <s v="AEX X15 Leverage NR"/>
        <s v="AEX X15 Short GR"/>
        <s v="AEX X2 Short GR"/>
        <s v="AEX X3 Leverage NR"/>
        <s v="AEX X3 Short GR"/>
        <s v="AEX X4 Leverage NR"/>
        <s v="AEX X4 Short GR"/>
        <s v="AEX X5 Leverage NR"/>
        <s v="AEX X5 Short GR"/>
        <s v="AEX X6 Leverage NR"/>
        <s v="AEX X6 Short GR"/>
        <s v="AEX X7 Leverage NR"/>
        <s v="AEX X7 Short GR"/>
        <s v="AEX Xbear GR"/>
        <s v="BEL 20 Leverage"/>
        <s v="BEL 20 Leverage GR"/>
        <s v="BEL 20 Short GR"/>
        <s v="BEL 20 Triple Leverage"/>
        <s v="BEL 20 X2 Short GR"/>
        <s v="BEL 20 X3 Leverage NR"/>
        <s v="BEL 20 X3 Short GR"/>
        <s v="BEL 20 X5 Leverage NR"/>
        <s v="BEL 20 X5 Short GR"/>
        <s v="BEL 20 Xbear GR"/>
        <s v="CAC 40 Leverage"/>
        <s v="CAC 40 Leverage GR"/>
        <s v="CAC 40 Leverage NR"/>
        <s v="CAC 40 Short GR"/>
        <s v="CAC 40 X10 Leverage NR"/>
        <s v="CAC 40 X10 Short GR"/>
        <s v="CAC 40 X12 Leverage NR"/>
        <s v="CAC 40 X12 Short GR"/>
        <s v="CAC 40 X15 Leverage NR"/>
        <s v="CAC 40 X15 Short GR"/>
        <s v="CAC 40 X2 Short GR"/>
        <s v="CAC 40 X3 Leverage NR"/>
        <s v="CAC 40 X3 Short GR"/>
        <s v="CAC 40 X4 Leverage NR"/>
        <s v="CAC 40 X4 Short GR"/>
        <s v="CAC 40 X5 Leverage NR"/>
        <s v="CAC 40 X5 Short GR"/>
        <s v="CAC 40 X6 Leverage NR"/>
        <s v="CAC 40 X6 Short GR"/>
        <s v="CAC 40 X7 Leverage NR"/>
        <s v="CAC 40 X7 Short GR"/>
        <s v="CAC 40 Xbear GR"/>
        <s v="ISEQ 20 Leverage"/>
        <s v="PSI Leverage"/>
        <s v="PSI Leverage GR"/>
        <s v="PSI Short GR"/>
        <s v="PSI Triple Leverage"/>
        <s v="PSI X2 Short GR"/>
        <s v="PSI X3 Leverage NR"/>
        <s v="PSI X3 Short GR"/>
        <s v="PSI Xbear GR"/>
        <s v="CAC 40 X3 Short GR VAR "/>
        <s v="Low Carbon 100 Europe PAB Index"/>
        <s v="Low Carbon 100 Europe PAB Index GR"/>
        <s v="Low Carbon 100 Europe PAB Index NR"/>
        <s v="MIB ESG"/>
        <s v="MIB ESG Decrement 3.75%"/>
        <s v="MIB ESG Decrement 5%"/>
        <s v="MIB ESG GR"/>
        <s v="MIB ESG NR"/>
        <s v="Next Biotech"/>
        <s v="OBX Price Index"/>
        <s v="OBX Total Return Index"/>
        <s v="OBX Uncapped Price Return Index"/>
        <s v="OBX Uncapped Total Return Index"/>
        <s v="OSEMX Mid Cap_NR"/>
        <s v="OSEMX Mid Cap_PR"/>
        <s v="OSESX Small Cap_NR"/>
        <s v="OSESX Small Cap_PR"/>
        <s v="Oslo Børs Mid Cap Index"/>
        <s v="Oslo Børs Small Cap Index_GI"/>
        <s v="OBX ESG"/>
        <s v="OBX ESG NR"/>
        <s v="OBX ESG PR"/>
        <s v="OBX ESG ex Oil and Gas"/>
        <s v="OBX ESG ex Oil and Gas NR"/>
        <s v="OBX ESG ex Oil and Gas PR"/>
        <s v="OSEBX Benchmark_NR"/>
        <s v="OSEBX Benchmark_PR"/>
        <s v="OSEFX Mutual Fund_NR"/>
        <s v="OSEFX Mutual Fund_PR"/>
        <s v="Oslo Børs Benchmark Index_GI"/>
        <s v="Oslo Børs Mutual Fund Index_GI"/>
        <s v="OSEBX_STB Index"/>
        <s v="OSEBX_STB Index PR"/>
        <s v="OSEBXG Index"/>
        <s v="OSEBXG Index PR"/>
        <s v="OSEEXR Index"/>
        <s v="OSEEXR Index PR"/>
        <s v="Oslo Børs Equity Certificate Index"/>
        <s v="Oslo Børs Equity Certificate Index  PR"/>
        <s v="OBOSX Oil Service PR"/>
        <s v="OBSFX Seafood_NR"/>
        <s v="OBSFX Seafood_PR"/>
        <s v="OBSHX Shipping_NR"/>
        <s v="OBSHX Shipping_PR"/>
        <s v="Oslo Børs OBX Oil Service Index"/>
        <s v="Oslo Børs Seafood Index"/>
        <s v="Oslo Børs Shipping Index"/>
        <s v="OBX Basic Materials GR"/>
        <s v="OBX Basic Materials NR"/>
        <s v="OBX Basic Materials PR"/>
        <s v="OBX Consumer Discretionary GR"/>
        <s v="OBX Consumer Discretionary NR"/>
        <s v="OBX Consumer Discretionary PR"/>
        <s v="OBX Consumer Staples  GR"/>
        <s v="OBX Consumer Staples  NR"/>
        <s v="OBX Consumer Staples  PR"/>
        <s v="OBX Energy GR"/>
        <s v="OBX Energy NR"/>
        <s v="OBX Energy PR"/>
        <s v="OBX Financials GR"/>
        <s v="OBX Financials NR"/>
        <s v="OBX Financials PR"/>
        <s v="OBX Health Care  GR"/>
        <s v="OBX Health Care  NR"/>
        <s v="OBX Health Care  PR"/>
        <s v="OBX Industrials GR"/>
        <s v="OBX Industrials NR"/>
        <s v="OBX Industrials PR"/>
        <s v="OBX Real Estate GR"/>
        <s v="OBX Real Estate NR"/>
        <s v="OBX Real Estate PR"/>
        <s v="OBX Technology GR"/>
        <s v="OBX Technology NR"/>
        <s v="OBX Technology PR"/>
        <s v="OBX Telecommunications GR"/>
        <s v="OBX Telecommunications NR"/>
        <s v="OBX Telecommunications PR"/>
        <s v="OBX Utilities GR"/>
        <s v="OBX Utilities NR"/>
        <s v="OBX Utilities PR"/>
        <s v="OSE All share_NR"/>
        <s v="OSE All share_PR"/>
        <s v="Oslo Børs All-share Index_GI"/>
        <s v="OSLO Energy Index"/>
        <s v="OSLO Energy Index PR"/>
        <s v="OSLO Seafood Index"/>
        <s v="OSLO Seafood Index PR"/>
        <s v="OSLO Shipping Index"/>
        <s v="OSLO Shipping Index PR"/>
        <s v="PSI ex Banks"/>
        <s v="PSI ex Banks GR"/>
        <s v="PSI ex Banks NR"/>
        <s v="PSI All-Share Index"/>
        <s v="PSI All-Share Index GR"/>
        <s v="PSI Basic Materials"/>
        <s v="PSI Basic Materials GR"/>
        <s v="PSI Consumer Discretionary"/>
        <s v="PSI Consumer Discretionary GR"/>
        <s v="PSI Consumer Staples"/>
        <s v="PSI Consumer Staples GR"/>
        <s v="PSI Energy"/>
        <s v="PSI Energy GR"/>
        <s v="PSI Financials"/>
        <s v="PSI Financials GR"/>
        <s v="PSI Industrials"/>
        <s v="PSI Industrials GR"/>
        <s v="PSI Technology"/>
        <s v="PSI Technology GR"/>
        <s v="PSI Telecommunications"/>
        <s v="PSI Telecommunications GR"/>
        <s v="PSI Utilities"/>
        <s v="PSI Utilities GR"/>
        <s v="Euronext IEIF REIT Europe Index"/>
        <s v="Euronext IEIF REIT Europe Index GR"/>
        <s v="Euronext IEIF REIT Europe Index NR"/>
        <s v="SBF Top 50 ESG EW"/>
        <s v="SBF Top 50 ESG EW Decrement 50 Points"/>
        <s v="SBF Top 50 ESG EW GR"/>
        <s v="SBF Top 50 ESG EW NR"/>
        <s v="SBF Top 80 EW"/>
        <s v="SBF Top 80 EW Decrement 50 Points"/>
        <s v="SBF Top 80 EW GR"/>
        <s v="SBF Top 80 EW NR"/>
        <s v="BEL ESG"/>
        <s v="BEL ESG GR"/>
        <s v="BEL ESG NR"/>
        <s v="Euronext Eurozone ESG Transition"/>
        <s v="Euronext Eurozone ESG Transition Decrement 4%"/>
        <s v="Euronext Eurozone ESG Transition Decrement 5%"/>
        <s v="Euronext Eurozone ESG Transition GR"/>
        <s v="Euronext Eurozone ESG Transition NR"/>
        <s v="Euronext EZ Transatlantic"/>
        <s v="Euronext EZ Transatlantic GR"/>
        <s v="Euronext EZ Transatlantic NR"/>
        <s v="Euronext B Credit Agricole 170223 GR 0.9"/>
        <s v="Euronext B Credit Agricole 170223 GR Decrement 0.9"/>
        <s v="Euronext B Credit Agricole 170223 PR 0.9"/>
        <s v="Euronext B Stellantis 140223 Decrement 1.04"/>
        <s v="Euronext B Stellantis 140223 GR 1.04"/>
        <s v="Euronext B Stellantis 140223 PR 1.04 "/>
        <s v="Euronext G Engie 020522 Decrement 1.0 "/>
        <s v="Euronext G Engie 020522 GR 1.0"/>
        <s v="Euronext G Engie 020522 PR 1.0 "/>
        <s v="Euronext G Eni SPA 010622 Decrement 0.91"/>
        <s v="Euronext G Eni SPA 010622 GR 0.91"/>
        <s v="Euronext G Eni SPA 010622 PR 0.91"/>
        <s v="Euronext G ING Groep NV 020522 Decrement 0.8"/>
        <s v="Euronext G ING Groep NV 020522 GR 0.8"/>
        <s v="Euronext G ING Groep NV 020522 PR 0.8"/>
        <s v="Euronext G Klepierre 010622 Decrement 1.7"/>
        <s v="Euronext G Klepierre 010622 GR 1.7"/>
        <s v="Euronext G Klepierre 010622 PR 1.7"/>
        <s v="Euronext G Societe Generale 010622 Decrement 1.65"/>
        <s v="Euronext G Societe Generale 010622 Decrement 1.95"/>
        <s v="Euronext G Societe Generale 010622 GR 1.65"/>
        <s v="Euronext G Societe Generale 010622 GR 1.95"/>
        <s v="Euronext G Societe Generale 010622 PR 1.65"/>
        <s v="Euronext G Societe Generale 010622 PR 1.95"/>
        <s v="Euronext G Stellantis 020522 Decrement 1.20 "/>
        <s v="Euronext G Stellantis 020522 GR 1.20"/>
        <s v="Euronext G Stellantis 020522 PR 1.20 "/>
        <s v="Euronext G Unibail Rodamco Westfield 270223 Decrement 4"/>
        <s v="Euronext G Unibail Rodamco Westfield 270223 GR 4"/>
        <s v="Euronext G Unibail Rodamco Westfield 270223 PR 4"/>
        <s v="Euronext S AXA 030323 GR 1.70"/>
        <s v="Euronext S AXA 030323 GR Decrement 1.70"/>
        <s v="Euronext S AXA 030323 PR 1.70"/>
        <s v="Euronext S BNP 030323 GR 3.9"/>
        <s v="Euronext S BNP 030323 GR Decrement 3.9"/>
        <s v="Euronext S BNP 030323 PR 3.9"/>
        <s v="Euronext S Bouygues 030323 GR 1.80"/>
        <s v="Euronext S Bouygues 030323 GR Decrement 1.80"/>
        <s v="Euronext S Bouygues 030323 PR 1.80"/>
        <s v="Euronext S Stellantis 030323 GR 1.34"/>
        <s v="Euronext S Stellantis 030323 GR Decrement 1.34"/>
        <s v="Euronext S Stellantis 030323 PR 1.34"/>
        <s v="Euronext S Total 030323 GR 2.86"/>
        <s v="Euronext S Total 030323 GR Decrement 2.86"/>
        <s v="Euronext S Total 030323 PR 2.86"/>
        <s v="Euronext Wind and Solar World"/>
        <s v="Euronext Wind and Solar World GR"/>
        <s v="Euronext Wind and Solar World NR"/>
        <s v="Euronext AI World"/>
        <s v="Euronext AI World GR"/>
        <s v="Euronext AI World NR"/>
        <s v="Euronext Europe SBT 1.5"/>
        <s v="Euronext Europe SBT 1.5 GR"/>
        <s v="Euronext Europe SBT 1.5 GR Decrement 3.75%"/>
        <s v="Euronext Europe SBT 1.5 GR Decrement 4%"/>
        <s v="Euronext Europe SBT 1.5 GR Decrement 5%"/>
        <s v="Euronext Europe SBT 1.5 NR"/>
        <s v="Euronext Europe SBT 1.5 NR Decrement 3.75%"/>
        <s v="Euronext Europe SBT 1.5 NR Decrement 4%"/>
        <s v="Euronext Europe SBT 1.5 NR Decrement 5%"/>
        <s v="Euronext Eurozone SBT 1.5"/>
        <s v="Euronext Eurozone SBT 1.5 GR"/>
        <s v="Euronext Eurozone SBT 1.5 GR Decrement 3.75%"/>
        <s v="Euronext Eurozone SBT 1.5 GR Decrement 4%"/>
        <s v="Euronext Eurozone SBT 1.5 GR Decrement 5%"/>
        <s v="Euronext Eurozone SBT 1.5 NR"/>
        <s v="Euronext Eurozone SBT 1.5 NR Decrement 3.75%"/>
        <s v="Euronext Eurozone SBT 1.5 NR Decrement 4%"/>
        <s v="Euronext Eurozone SBT 1.5 NR Decrement 5%"/>
        <s v="Euronext Global Climate and Sustainability Screened Decrement 50 Points"/>
        <s v="Euronext Metaverse World"/>
        <s v="Euronext Metaverse World GR"/>
        <s v="Euronext Metaverse World NR"/>
        <s v="Euronext G AXA 010622 Decrement 1.80"/>
        <s v="Euronext G AXA 010622 GR 1.80"/>
        <s v="Euronext G AXA 010622 PR 1.80"/>
        <s v="Euronext G BNP 010622 Decrement 3.85"/>
        <s v="Euronext G BNP 010622 GR 3.85"/>
        <s v="Euronext G BNP 010622 PR 3.85"/>
        <s v="Euronext G Credit Agricole 010622 GR 0.84"/>
        <s v="Euronext G Credit Agricole 010622 GR Decrement 0.84"/>
        <s v="Euronext G Credit Agricole 010622 PR 0.84"/>
        <s v="Euronext G Engie 020523 Decrement 1.20"/>
        <s v="Euronext G Engie 020523 GR 1.20"/>
        <s v="Euronext G Engie 020523 PR 1.20"/>
        <s v="Euronext G Kering 010622 Decrement 13.00"/>
        <s v="Euronext G Kering 010622 GR 13.00"/>
        <s v="Euronext G Kering 010622 PR 13.00"/>
        <s v="Euronext G Saint Gobain 010722 Decrement 1.80"/>
        <s v="Euronext G Saint Gobain 010722 GR 1.80"/>
        <s v="Euronext G Saint Gobain 010722 PR 1.80"/>
        <s v="Euronext G TotalEnergies 240323 Decrement 2.85"/>
        <s v="Euronext G TotalEnergies 240323 GR 2.85"/>
        <s v="Euronext G TotalEnergies 240323 PR 2.85"/>
        <s v="Euronext G Unibail Rodamco Westfield 270223 Decrement 4.30"/>
        <s v="Euronext G Unibail Rodamco Westfield 270223 GR 4.30"/>
        <s v="Euronext G Unibail Rodamco Westfield 270223 PR 4.30"/>
        <s v="Euronext G Veolia 010622 Decrement 1.20"/>
        <s v="Euronext G Veolia 010622 GR 1.20"/>
        <s v="Euronext G Veolia 010622 PR 1.20"/>
        <s v="Euronext M Engie 28022023 GR 1.40"/>
        <s v="Euronext M Engie 28022023 GR Decrement 1.40"/>
        <s v="Euronext M Engie 28022023 PR 1.40"/>
        <s v="Euronext M Michelin 28042023 GR 1.25"/>
        <s v="Euronext M Michelin 28042023 GR Decrement 1.25"/>
        <s v="Euronext M Michelin 28042023 PR 1.25"/>
        <s v="Euronext M Saint Gobain 28042023 GR 2.00"/>
        <s v="Euronext M Saint Gobain 28042023 GR Decrement 2.00"/>
        <s v="Euronext M Saint Gobain 28042023 PR 2.00"/>
        <s v="Euronext S Engie 14042023 GR 1.23"/>
        <s v="Euronext S Engie 14042023 GR Decrement 1.23"/>
        <s v="Euronext S Engie 14042023 PR 1.23"/>
        <s v="CAC 40 Futures Monthly Roll 4D Excess Return"/>
        <s v="CAC 40 TRF Adjusted"/>
        <s v="Euronext Biodiversity Enablers World"/>
        <s v="Euronext Biodiversity Enablers World GR"/>
        <s v="Euronext Biodiversity Enablers World NR"/>
        <s v="Euronext Biodiversity Screened World"/>
        <s v="Euronext Biodiversity Screened World GR"/>
        <s v="Euronext Biodiversity Screened World NR"/>
        <s v="Euronext Cybersecurity World"/>
        <s v="Euronext Cybersecurity World GR"/>
        <s v="Euronext Cybersecurity World NR"/>
        <s v="Euronext ESG Eurozone Biodiversity Leaders PAB Decrement 3.5%"/>
        <s v="Euronext France Climate Screened"/>
        <s v="Euronext France Climate Screened Decrement 50 Points"/>
        <s v="Euronext France Climate Screened GR"/>
        <s v="Euronext France Climate Screened NR"/>
        <s v="Euronext PAB North America 50"/>
        <s v="Euronext PAB North America 50 Decrement 5%"/>
        <s v="Euronext PAB North America 50 GR"/>
        <s v="Euronext PAB North America 50 NR"/>
        <s v="Euronext PAB Transatlantic 50"/>
        <s v="Euronext PAB Transatlantic 50 GR"/>
        <s v="Euronext PAB Transatlantic 50 NR"/>
        <s v="Euronext Transatlantic PAB 50"/>
        <s v="Euronext Transatlantic PAB 50 Decrement 5%"/>
        <s v="Euronext Transatlantic PAB 50 GR"/>
        <s v="Euronext Transatlantic PAB 50 NR"/>
        <s v="CAC Vol Bonus"/>
        <s v="Euronext Canada "/>
        <s v="Euronext Canada GR"/>
        <s v="Euronext Canada NR"/>
        <s v="Euronext Developed Asia"/>
        <s v="Euronext Developed Asia GR"/>
        <s v="Euronext Developed Asia NR"/>
        <s v="Euronext Developed Asia Pacific "/>
        <s v="Euronext Developed Asia Pacific GR"/>
        <s v="Euronext Developed Asia Pacific NR"/>
        <s v="Euronext Developed Europe "/>
        <s v="Euronext Developed Europe GR"/>
        <s v="Euronext Developed Europe NR"/>
        <s v="Euronext Developed Eurozone "/>
        <s v="Euronext Developed Eurozone GR"/>
        <s v="Euronext Developed Eurozone NR"/>
        <s v="Euronext Developed North America "/>
        <s v="Euronext Developed North America GR"/>
        <s v="Euronext Developed North America NR"/>
        <s v="Euronext Developed Pacific"/>
        <s v="Euronext Developed Pacific GR"/>
        <s v="Euronext Developed Pacific NR"/>
        <s v="Euronext Developed World GR"/>
        <s v="Euronext Developed World NR"/>
        <s v="Euronext Developed World "/>
        <s v="Euronext Developed World ESG Screened"/>
        <s v="Euronext Developed World ESG Screened GR"/>
        <s v="Euronext Developed World ESG Screened NR"/>
        <s v="Euronext Eurozone 50"/>
        <s v="Euronext France Climate Screened NR Decrement 5%"/>
        <s v="Euronext Global Health Care 50 EW ESG ER"/>
        <s v="Euronext Global Sustainability and Climate Screened DR"/>
        <s v="Euronext Global Sustainability and Climate Screened DR GR"/>
        <s v="Euronext Japan "/>
        <s v="Euronext Japan GR"/>
        <s v="Euronext Japan NR"/>
        <s v="Euronext G Engie 020523 Decrement 0.80"/>
        <s v="Euronext G Engie 020523 GR 0.80"/>
        <s v="Euronext G Engie 020523 PR 0.80"/>
        <s v="Euronext G Sanofi 010623 Decrement 3.56"/>
        <s v="Euronext G Sanofi 010623 GR 3.56"/>
        <s v="Euronext G Sanofi 010623 PR 3.56"/>
        <s v="Euronext G Societe Generale 010623 Decrement 1.50"/>
        <s v="Euronext G Societe Generale 010623 GR 1.50"/>
        <s v="Euronext G Societe Generale 010623 PR 1.50"/>
        <s v="Euronext Switzerland "/>
        <s v="Euronext Switzerland GR"/>
        <s v="Euronext Switzerland NR"/>
        <s v="Euronext UK "/>
        <s v="Euronext UK GR"/>
        <s v="Euronext UK NR"/>
        <s v="Euronext USA "/>
        <s v="Euronext USA GR"/>
        <s v="Euronext USA NR"/>
        <s v="Euronext Aerospace and Defense"/>
        <s v="Euronext Aerospace and Defense D3.5%"/>
        <s v="Euronext Aerospace and Defense D5%"/>
        <s v="Euronext Aerospace and Defense GR"/>
        <s v="Euronext Aerospace and Defense NR"/>
        <s v="Euronext Biodiversité Climat Conviction PAB"/>
        <s v="Euronext Biodiversité Climat Conviction PAB Decrement 3.5%"/>
        <s v="Euronext Biodiversité Climat Conviction PAB Decrement 5%"/>
        <s v="Euronext Biodiversité Climat Conviction PAB GR"/>
        <s v="Euronext Biodiversité Climat Conviction PAB NR"/>
        <s v="Euronext Canada Total Market GR"/>
        <s v="Euronext Canada Total Market NR"/>
        <s v="Euronext Canada Total Market "/>
        <s v="Euronext Developed Asia Pacific Total Market GR"/>
        <s v="Euronext Developed Asia Pacific Total Market NR"/>
        <s v="Euronext Developed Asia Pacific Total Market "/>
        <s v="Euronext Developed Asia Total Market GR"/>
        <s v="Euronext Developed Asia Total Market NR"/>
        <s v="Euronext Developed Asia Total Market "/>
        <s v="Euronext Developed Europe Total Market GR"/>
        <s v="Euronext Developed Europe Total Market NR"/>
        <s v="Euronext Developed Europe Total Market "/>
        <s v="Euronext Developed Eurozone Total Market GR"/>
        <s v="Euronext Developed Eurozone Total Market NR"/>
        <s v="Euronext Developed Eurozone Total Market "/>
        <s v="Euronext Developed North America Total Market GR"/>
        <s v="Euronext Developed North America Total Market NR"/>
        <s v="Euronext Developed North America Total Market "/>
        <s v="Euronext Developed Pacific Total Market GR"/>
        <s v="Euronext Developed Pacific Total Market NR"/>
        <s v="Euronext Developed Pacific Total Market "/>
        <s v="Euronext Earth Focus 40"/>
        <s v="Euronext Earth Focus 40 Decrement 3.5%"/>
        <s v="Euronext Earth Focus 40 Decrement 5%"/>
        <s v="Euronext Earth Focus 40 GR"/>
        <s v="Euronext Earth Focus 40 GR Decrement 50 Points"/>
        <s v="Euronext Earth Focus 40 NR"/>
        <s v="Euronext Earth Focus 40 NR Decrement 50 Points "/>
        <s v="Euronext ESG Eurozone Biodiversity Leaders PAB Decrement 5%"/>
        <s v="Euronext Europe Luxury"/>
        <s v="Euronext Europe Luxury Decrement 3.5%"/>
        <s v="Euronext Europe Luxury Decrement 5%"/>
        <s v="Euronext Europe Luxury Decrement 50 Points"/>
        <s v="Euronext Europe Luxury GR"/>
        <s v="Euronext Europe Luxury NR"/>
        <s v="Euronext Eurozone 60 PAB Decrement 50 Points"/>
        <s v="Euronext Eurozone PAB 50 Decrement 50 Points"/>
        <s v="Euronext Eurozone Basic Materials GR"/>
        <s v="Euronext Eurozone Basic Materials NR"/>
        <s v="Euronext Eurozone Basic Materials PR"/>
        <s v="Euronext Eurozone Consumer Discretionary GR"/>
        <s v="Euronext Eurozone Consumer Discretionary NR"/>
        <s v="Euronext Eurozone Consumer Discretionary PR"/>
        <s v="Euronext Eurozone Consumer Staples GR"/>
        <s v="Euronext Eurozone Consumer Staples NR"/>
        <s v="Euronext Eurozone Consumer Staples PR"/>
        <s v="Euronext Eurozone Energy GR"/>
        <s v="Euronext Eurozone Energy NR"/>
        <s v="Euronext Eurozone Energy PR"/>
        <s v="Euronext Eurozone Financials GR"/>
        <s v="Euronext Eurozone Financials NR"/>
        <s v="Euronext Eurozone Financials PR"/>
        <s v="Euronext Eurozone Health Care GR"/>
        <s v="Euronext Eurozone Health Care NR"/>
        <s v="Euronext Eurozone Health Care PR"/>
        <s v="Euronext Eurozone Industrials GR"/>
        <s v="Euronext Eurozone Industrials NR"/>
        <s v="Euronext Eurozone Industrials PR"/>
        <s v="Euronext Eurozone Technology GR"/>
        <s v="Euronext Eurozone Technology NR"/>
        <s v="Euronext Eurozone Technology PR"/>
        <s v="Euronext Eurozone Telecommunications GR"/>
        <s v="Euronext Eurozone Telecommunications NR"/>
        <s v="Euronext Eurozone Telecommunications PR"/>
        <s v="Euronext Eurozone Utilities GR"/>
        <s v="Euronext Eurozone Utilities NR"/>
        <s v="Euronext Eurozone Utilities PR"/>
        <s v="Euronext Eurozone Small Cap "/>
        <s v="Euronext Eurozone Small Cap  GR"/>
        <s v="Euronext Eurozone Small Cap  NR"/>
        <s v="Euronext FAS IAS"/>
        <s v="Euronext FAS IAS GR"/>
        <s v="Euronext FAS IAS NR"/>
        <s v="Euronext France Developpement 40"/>
        <s v="Euronext France Developpement 40 D5%"/>
        <s v="Euronext France Developpement 40 GR"/>
        <s v="Euronext France Developpement 40 NR"/>
        <s v="Euronext France Investissement 40"/>
        <s v="Euronext France Investissement 40 D5%"/>
        <s v="Euronext France Investissement 40 GR"/>
        <s v="Euronext France Investissement 40 NR"/>
        <s v="Euronext Invest In France"/>
        <s v="Euronext Invest In France GR"/>
        <s v="Euronext Invest In France NR"/>
        <s v="Euronext Invest In France 40"/>
        <s v="Euronext Invest In France 40 D 5%"/>
        <s v="Euronext Invest In France 40 GR"/>
        <s v="Euronext Invest In France 40 NR"/>
        <s v="Euronext Invest In France Low Volatility"/>
        <s v="Euronext Invest In France Low Volatility Decrement 3%"/>
        <s v="Euronext Invest In France Low Volatility Decrement 3.5%"/>
        <s v="Euronext Invest In France Low Volatility GR"/>
        <s v="Euronext Invest In France Low Volatility NR"/>
        <s v="Euronext Japan Total Market GR"/>
        <s v="Euronext Japan Total Market NR"/>
        <s v="Euronext Japan Total Market "/>
        <s v="Euronext MTS EGB 10-15 Year GR"/>
        <s v="Euronext MTS EGB 1-3 Year GR"/>
        <s v="Euronext MTS EGB 15+ Year GR"/>
        <s v="Euronext MTS EGB 15-25 Year GR"/>
        <s v="Euronext MTS EGB 25+ Year GR"/>
        <s v="Euronext MTS EGB 3-5 Year GR"/>
        <s v="Euronext MTS EGB 5-7 Year GR"/>
        <s v="Euronext MTS EGB 7-10 Year GR"/>
        <s v="Euronext MTS EGB Austria GR"/>
        <s v="Euronext MTS EGB Belgium GR"/>
        <s v="Euronext MTS EGB Broad GR"/>
        <s v="Euronext MTS EGB Finland GR"/>
        <s v="Euronext MTS EGB France GR"/>
        <s v="Euronext MTS EGB Germany GR"/>
        <s v="Euronext MTS EGB Ireland GR"/>
        <s v="Euronext MTS EGB Italy 10-15 Year GR"/>
        <s v="Euronext MTS EGB Italy 1-3 Year GR"/>
        <s v="Euronext MTS EGB Italy 15-25 Year GR"/>
        <s v="Euronext MTS EGB Italy 25+ Year GR"/>
        <s v="Euronext MTS EGB Italy 3-5 Year GR"/>
        <s v="Euronext MTS EGB Italy 5-7 Year GR"/>
        <s v="Euronext MTS EGB Italy 7-10 Year GR"/>
        <s v="Euronext MTS EGB Italy GR"/>
        <s v="Euronext MTS EGB Portugal GR"/>
        <s v="Euronext MTS EGB Spain GR"/>
        <s v="Euronext MTS EGB The Netherlands GR"/>
        <s v="Euronext MTS EU GR"/>
        <s v="Euronext PAB Transatlantic 40"/>
        <s v="Euronext PAB Transatlantic 40 Decrement 5%"/>
        <s v="Euronext PAB Transatlantic 40 Decrement 50 Points"/>
        <s v="Euronext PAB Transatlantic 40 GR"/>
        <s v="Euronext PAB Transatlantic 40 NR"/>
        <s v="Euronext PAB Transatlantic 60"/>
        <s v="Euronext PAB Transatlantic 60 Decrement 5%"/>
        <s v="Euronext PAB Transatlantic 60 Decrement 50"/>
        <s v="Euronext PAB Transatlantic 60 GR"/>
        <s v="Euronext PAB Transatlantic 60 NR"/>
        <s v="Euronext G BNP 010622 GR 3.5"/>
        <s v="Euronext G BNP 010622 GR Decrement 3.5"/>
        <s v="Euronext G BNP 010622 PR 3.5"/>
        <s v="Euronext G BNP 240523 GR 3.67"/>
        <s v="Euronext G BNP 240523 PR 3.67"/>
        <s v="Euronext G BNP 310523 GR 4.00"/>
        <s v="Euronext G BNP 310523 PR 4.00"/>
        <s v="Euronext G Bouygues 030524 Decrement 1.80"/>
        <s v="Euronext G Bouygues 030524 GR 1.80"/>
        <s v="Euronext G Bouygues 030524 PR 1.80"/>
        <s v="Euronext G Credit Agricole 310523 GR 1.05"/>
        <s v="Euronext G Credit Agricole 310523 PR 1.05"/>
        <s v="Euronext G Engie 030523 GR 1 10"/>
        <s v="Euronext G Engie 030523 PR 1 10"/>
        <s v="Euronext G Orange 060624 D 0.74"/>
        <s v="Euronext G Orange 060624 GR 0.74"/>
        <s v="Euronext G Orange 060624 PR 0.74"/>
        <s v="Euronext G Renault 240524 Decrement 1.85"/>
        <s v="Euronext G Renault 240524 GR 1.85"/>
        <s v="Euronext G Renault 240524 PR 1.85"/>
        <s v="Euronext G Scor 230524 GR 1.80"/>
        <s v="Euronext G Scor 230524 PR 1.80"/>
        <s v="Euronext G Societe Generale 290524 GR 1.25"/>
        <s v="Euronext G Societe Generale 290524 PR 1.25"/>
        <s v="Euronext G Societe Generale 310523 Decrement 1.30"/>
        <s v="Euronext G Societe Generale 310523 GR 1.30"/>
        <s v="Euronext G Societe Generale 310523 GR 1.35"/>
        <s v="Euronext G Societe Generale 310523 PR 1.30"/>
        <s v="Euronext G Societe Generale 310523 PR 1.35"/>
        <s v="Euronext G Stellantis 030524 Decrement 1.55"/>
        <s v="Euronext G Stellantis 030524 PR 1.55"/>
        <s v="Euronext G Stellantis 040523 GR 1.34"/>
        <s v="Euronext G Stellantis 040523 PR 1.34"/>
        <s v="Euronext G URW 270223 GR 3 50"/>
        <s v="Euronext G URW 270223 PR 3 50"/>
        <s v="Euronext S Stellantis 280824 Decrement 1.2 "/>
        <s v="Euronext S Stellantis 280824 GR 1.2"/>
        <s v="Euronext S Stellantis 280824 PR 1.2"/>
        <s v="Euronext 3X Long MicroStrategy"/>
        <s v="Euronext 3X Short MicroStrategy"/>
        <s v="Euronext MicroStrategy"/>
        <s v="Euronext Switzerland Total Market GR"/>
        <s v="Euronext Switzerland Total Market NR"/>
        <s v="Euronext Switzerland Total Market "/>
        <s v="Euronext Transatlantic Basic Materials GR"/>
        <s v="Euronext Transatlantic Basic Materials NR"/>
        <s v="Euronext Transatlantic Basic Materials PR"/>
        <s v="Euronext Transatlantic Consumer Discretionary GR"/>
        <s v="Euronext Transatlantic Consumer Discretionary NR"/>
        <s v="Euronext Transatlantic Consumer Discretionary PR"/>
        <s v="Euronext Transatlantic Consumer Staples GR"/>
        <s v="Euronext Transatlantic Consumer Staples NR"/>
        <s v="Euronext Transatlantic Consumer Staples PR"/>
        <s v="Euronext Transatlantic Energy GR"/>
        <s v="Euronext Transatlantic Energy NR"/>
        <s v="Euronext Transatlantic Energy PR"/>
        <s v="Euronext Transatlantic Financials GR"/>
        <s v="Euronext Transatlantic Financials NR"/>
        <s v="Euronext Transatlantic Financials PR"/>
        <s v="Euronext Transatlantic Health Care GR"/>
        <s v="Euronext Transatlantic Health Care NR"/>
        <s v="Euronext Transatlantic Health Care PR"/>
        <s v="Euronext Transatlantic Industrials GR"/>
        <s v="Euronext Transatlantic Industrials NR"/>
        <s v="Euronext Transatlantic Industrials PR"/>
        <s v="Euronext Transatlantic Technology GR"/>
        <s v="Euronext Transatlantic Technology NR"/>
        <s v="Euronext Transatlantic Technology PR"/>
        <s v="Euronext Transatlantic Telecommunications GR"/>
        <s v="Euronext Transatlantic Telecommunications NR"/>
        <s v="Euronext Transatlantic Telecommunications PR"/>
        <s v="Euronext Transatlantic Utilities GR"/>
        <s v="Euronext Transatlantic Utilities NR"/>
        <s v="Euronext Transatlantic Utilities PR"/>
        <s v="Euronext UK Total Market GR"/>
        <s v="Euronext UK Total Market NR"/>
        <s v="Euronext UK Total Market "/>
        <s v="Euronext US Consumer Tech Energy"/>
        <s v="Euronext US Consumer Tech Energy Dec 5%"/>
        <s v="Euronext US Consumer Tech Energy Dec 50 Points"/>
        <s v="Euronext US Consumer Tech Energy GR"/>
        <s v="Euronext US Consumer Tech Energy NR"/>
        <s v="Euronext USA Total Market GR"/>
        <s v="Euronext USA Total Market NR"/>
        <s v="Euronext USA Total Market "/>
        <s v="Euronext World Hedged EUR"/>
        <s v="Euronext World Invest In France 40"/>
        <s v="Euronext World Invest In France 40 Decrement 5%"/>
        <s v="Euronext World Invest In France 40 GR"/>
        <s v="Euronext World Invest In France 40 NR"/>
        <m/>
      </sharedItems>
    </cacheField>
    <cacheField name="BenchmarkStatementFamily" numFmtId="0">
      <sharedItems containsBlank="1" count="236">
        <s v="AEX"/>
        <s v="BEL"/>
        <s v="CAC"/>
        <s v="ISEQ"/>
        <s v="PSI"/>
        <s v="AEX All-Share and Sector"/>
        <s v="AEX ESG"/>
        <s v="AEX-DI"/>
        <s v="AEX-EW"/>
        <s v="AEX-EXT"/>
        <s v="BEL All-Share and sector"/>
        <s v="CAC 40 ESG"/>
        <s v="CAC 40 Inflation Adjusted"/>
        <s v="CAC All-Share and sector"/>
        <s v="CAC and Enternext PME and tech Index"/>
        <s v="CAC Large 60 Responsible Investment"/>
        <s v="CAC SBT 1.5"/>
        <s v="CAC-DI"/>
        <s v="CAC-EW"/>
        <s v="CAC-EWC"/>
        <s v="CAC-EWE"/>
        <s v="CAC-EWJPY"/>
        <s v="CAC-EXT"/>
        <s v="CAC-Gov"/>
        <s v="CAC-SynDiv"/>
        <s v="Euronext 100-150"/>
        <s v="Euronext Asia Pacific 500"/>
        <s v="Euronext BeNe 40 Index"/>
        <s v="Euronext BeNe 40 Index VT"/>
        <s v="Euronext BeNeLux ESG Leaders 20"/>
        <s v="Euronext BeNeLux Low Risk 20"/>
        <s v="Euronext CDP Environment ESG Eurozone"/>
        <s v="Euronext CDP Environment ESG France EW"/>
        <s v="Euronext CDP Environment ESG World"/>
        <s v="Euronext CDP Environment Eurozone"/>
        <s v="Euronext CDP Environment France Ex Oil &amp; Gas EW"/>
        <s v="Euronext CDP Environment Transatlantic EW"/>
        <s v="Euronext CDP Environment World"/>
        <s v="Euronext CDP France Environment EW"/>
        <s v="Euronext CDP France Environnement"/>
        <s v="Euronext CDP Water Eurozone EW"/>
        <s v="Euronext Climate Europe"/>
        <s v="Euronext Climate Objective 50 Euro EW"/>
        <s v="Euronext Climate Objective 50 EW"/>
        <s v="Euronext Climate Orientation Priority 50 EW"/>
        <s v="Euronext Core Euro and Global Climate"/>
        <s v="Euronext Core Europe 100 ESG EW"/>
        <s v="Euronext Core Europe 30 ESG EW"/>
        <s v="Euronext Core Europe EW"/>
        <s v="Euronext Core Europe PAB 50"/>
        <s v="Euronext Developed Market"/>
        <s v="Euronext Environmental Goods and Services Eurozone"/>
        <s v="Euronext Environmental Goods and Services World"/>
        <s v="Euronext Equileap Gender Equality Eurozone 100"/>
        <s v="Euronext Equileap Gender Equality France 40"/>
        <s v="Euronext ESG Biodiversity Screened Eurozone 50"/>
        <s v="Euronext ESG Biodiversity Screened Transatlantic 80"/>
        <s v="Euronext ESG Biodiversity Screened World"/>
        <s v="Euronext ESG Eurozone Biodiversity Leaders PAB"/>
        <s v="Euronext ESG Leaders Select 40 EW"/>
        <s v="Euronext Euro 50 ESG EW"/>
        <s v="Euronext Euro 50 SG EW"/>
        <s v="Euronext Euro Large Cap Biodiversity Leaders 30"/>
        <s v="Euronext Europe 500"/>
        <s v="Euronext Europe Pioneers 50 ESG EW"/>
        <s v="Euronext Europe Sustainable 100 EW"/>
        <s v="Euronext Eurozone 100 ESG"/>
        <s v="Euronext Eurozone 150 EW"/>
        <s v="Euronext Eurozone 300"/>
        <s v="Euronext Eurozone 40 EW"/>
        <s v="Euronext Eurozone 60 EW"/>
        <s v="Euronext Eurozone 60 PAB"/>
        <s v="Euronext Eurozone 70 EW"/>
        <s v="Euronext Eurozone 80 EW"/>
        <s v="Euronext Eurozone Banks"/>
        <s v="Euronext Eurozone Banks Dividend"/>
        <s v="Euronext Eurozone Diversity &amp; Governance 40 EW"/>
        <s v="Euronext Eurozone Energy Transition Leaders 50 EW"/>
        <s v="Euronext Eurozone ESG Large 80"/>
        <s v="Euronext Eurozone ESG Leaders 40 EW"/>
        <s v="Euronext Eurozone ESG Leaders Select 40"/>
        <s v="Euronext Eurozone Focus 40 PAB"/>
        <s v="Euronext Eurozone Mid and Large 60 EW"/>
        <s v="Euronext Eurozone Next 100 EW"/>
        <s v="Euronext Eurozone PAB 50"/>
        <s v="Euronext Eurozone Screened Climate Ambition 35 EW"/>
        <s v="Euronext Eurozone Screened Climate Ambition 40 EW"/>
        <s v="Euronext Expand All-share"/>
        <s v="Euronext EZ ESGL 40 EW"/>
        <s v="Euronext Founding Members Europe 50 EW"/>
        <s v="Euronext France 20 EW"/>
        <s v="Euronext France 20-40 Challengers EW"/>
        <s v="Euronext France 40 Responsible Investment"/>
        <s v="Euronext France Energy Transition Leaders 40 EW"/>
        <s v="Euronext France ESG Leaders 40 EW"/>
        <s v="Euronext France ESG Leaders Select"/>
        <s v="Euronext France Eurozone 60 EW"/>
        <s v="Euronext France Germany Leaders"/>
        <s v="Euronext France Next 40 EW"/>
        <s v="Euronext France PAB 50"/>
        <s v="Euronext France Social"/>
        <s v="Euronext French Employment 40 EW"/>
        <s v="Euronext Global Health Care 50 EW ESG"/>
        <s v="Euronext Global Sustainability and Climate Screened"/>
        <s v="Euronext Green Planet E"/>
        <s v="Euronext Green Planet F"/>
        <s v="Euronext Growth"/>
        <s v="Euronext Helios Space"/>
        <s v="Euronext Helios Space All-Share"/>
        <s v="Euronext JPN Screened Climate Ambition 30 EW"/>
        <s v="Euronext Low Carbon Eurozone PAB"/>
        <s v="Euronext Low Carbon World PAB"/>
        <s v="Euronext NDR Hydrogen World"/>
        <s v="Euronext NDR Web 3.0 World"/>
        <s v="Euronext North America 500"/>
        <s v="Euronext Positive Impact Water Eurozone"/>
        <s v="Euronext Positive Impact Water World"/>
        <s v="Euronext Reitsmarket"/>
        <s v="Euronext Reitsmarket GRESB Global Sustainable"/>
        <s v="Euronext Responsible Investment Euro 50 EW"/>
        <s v="Euronext Single Stock Decrement"/>
        <s v="Euronext Social Goods and Services Eurozone"/>
        <s v="Euronext Social Goods and Services World"/>
        <s v="Euronext Sovereign Economy Selection Eurozone 50"/>
        <s v="Euronext Switzerland 20 PAB"/>
        <s v="Euronext Tech"/>
        <s v="Euronext Tech Leaders"/>
        <s v="Euronext Top 30 France Germany Industrials EW"/>
        <s v="Euronext Transatlantic"/>
        <s v="Euronext Transatlantic 50 EW"/>
        <s v="Euronext Transatlantic Circular Economy 50 EW"/>
        <s v="Euronext Transatlantic Environment 50"/>
        <s v="Euronext Transatlantic ESG Leaders"/>
        <s v="Euronext Transatlantic Sustainability and Climate Screened 60"/>
        <s v="Euronext US ESGL 20 EW"/>
        <s v="Euronext US Screened Climate Ambition 25 EW"/>
        <s v="Euronext US Screened Climate Ambition 35 EW"/>
        <s v="Euronext V.E ESG World-Select 75 Bund SV"/>
        <s v="Euronext V.E Eurozone Social Focus"/>
        <s v="Euronext VIGEO Benelux 20"/>
        <s v="Euronext VIGEO Euro 120"/>
        <s v="Euronext VIGEO Europe 120"/>
        <s v="Euronext VIGEO France 20"/>
        <s v="Euronext VIGEO UK 20"/>
        <s v="Euronext VIGEO US 50"/>
        <s v="Euronext VIGEO World 120"/>
        <s v="Euronext Water and Ocean Europe"/>
        <s v="Euronext World"/>
        <s v="Euronext World Country Selection"/>
        <s v="Euronext World Sustainability and Climate Screened"/>
        <s v="ISEQ All-Share and sector"/>
        <s v="Italia Leva"/>
        <s v="LeverageShort indices"/>
        <s v="LeverageShort VAR"/>
        <s v="Low Carbon 100 Europe PAB"/>
        <s v="MIB ESG"/>
        <s v="Next Biotech"/>
        <s v="OBX"/>
        <s v="OBX ESG"/>
        <s v="OBX ESG ex Oil and Gas"/>
        <s v="Oslo Børs Benchmark and Mutual Fund"/>
        <s v="Oslo Børs Custom"/>
        <s v="Oslo Børs Equity Certificate"/>
        <s v="Oslo Børs Investable Sector"/>
        <s v="Oslo Børs OBX Sector and All Share"/>
        <s v="Oslo Børs Strong Sector"/>
        <s v="PSI All-Share and sector"/>
        <s v="REIT Europe"/>
        <s v="SBF Top 50 ESG EW"/>
        <s v="SBF TOP 80 EW"/>
        <s v="BEL ESG"/>
        <s v="Euronext Eurozone ESG Transition"/>
        <s v="Euronext EZ Transatlantic"/>
        <s v="Euronext Wind and Solar World"/>
        <s v="Euronext AI World"/>
        <s v="Euronext Europe SBT 1.5"/>
        <s v="Euronext Eurozone SBT 1.5"/>
        <s v="Euronext Metaverse World"/>
        <s v="CAC 40 Futures Monthly Roll 4D Excess Return"/>
        <s v="CAC 40 TRF Adjusted"/>
        <s v="Euronext Biodiversity Enablers World"/>
        <s v="Euronext Biodiversity Screened World"/>
        <s v="Euronext Cybersecurity World"/>
        <s v="Euronext France Climate Screened"/>
        <s v="Euronext PAB North America 50"/>
        <s v="Euronext PAB Transatlantic 50"/>
        <s v="Euronext Transatlantic PAB 50"/>
        <s v="CAC Vol Bonus"/>
        <s v="Euronext Canada"/>
        <s v="Euronext Developed Asia"/>
        <s v="Euronext Developed Asia Pacific"/>
        <s v="Euronext Developed Europe"/>
        <s v="Euronext Developed Eurozone"/>
        <s v="Euronext Developed North America"/>
        <s v="Euronext Developed Pacific"/>
        <s v="Euronext Developed World"/>
        <s v="Euronext Developed World ESG Screened"/>
        <s v="Euronext Eurozone 50"/>
        <s v="Euronext Global Sustainability and Climate Screened DR"/>
        <s v="Euronext Japan"/>
        <s v="Euronext Switzerland"/>
        <s v="Euronext UK"/>
        <s v="Euronext USA"/>
        <s v="Euronext Aerospace and Defense"/>
        <s v="Euronext Biodiversité Climat Conviction PAB"/>
        <s v="Euronext Canada Total Market "/>
        <s v="Euronext Developed Asia Pacific Total Market "/>
        <s v="Euronext Developed Asia Total Market "/>
        <s v="Euronext Developed Europe Total Market "/>
        <s v="Euronext Developed Eurozone Total Market "/>
        <s v="Euronext Developed North America Total Market "/>
        <s v="Euronext Developed Pacific Total Market "/>
        <s v="Euronext Earth Focus 40"/>
        <s v="Euronext Europe Luxury"/>
        <s v="Euronext Eurozone Sectorial"/>
        <s v="Euronext Eurozone Small Cap"/>
        <s v="Euronext FAS IAS"/>
        <s v="Euronext France Developpement 40"/>
        <s v="Euronext France Investissement 40"/>
        <s v="Euronext Invest In France"/>
        <s v="Euronext Invest In France 40"/>
        <s v="Euronext Invest In France Low Volatility"/>
        <s v="Euronext Japan Total Market "/>
        <s v="Euronext MTS EGB"/>
        <s v="Euronext MTS EU"/>
        <s v="Euronext PAB Transatlantic 40"/>
        <s v="Euronext PAB Transatlantic 60"/>
        <s v="Euronext Single Stock Leverage and Short"/>
        <s v="Euronext Switzerland Total Market "/>
        <s v="Euronext Transatlantic Sectorial"/>
        <s v="Euronext UK Total Market "/>
        <s v="Euronext US Consumer Tech Energy"/>
        <s v="Euronext USA Total Market "/>
        <s v="Euronext World Hedged EUR"/>
        <s v="Euronext World Invest In France 40"/>
        <m/>
      </sharedItems>
    </cacheField>
    <cacheField name="IsinCode" numFmtId="0">
      <sharedItems containsBlank="1"/>
    </cacheField>
    <cacheField name="ESG Yes/No" numFmtId="0">
      <sharedItems containsBlank="1"/>
    </cacheField>
    <cacheField name="Category" numFmtId="0">
      <sharedItems containsBlank="1"/>
    </cacheField>
    <cacheField name="PAB/CTB" numFmtId="0">
      <sharedItems containsBlank="1"/>
    </cacheField>
    <cacheField name="Mnemo" numFmtId="0">
      <sharedItems containsBlank="1"/>
    </cacheField>
    <cacheField name="AdministratorName" numFmtId="0">
      <sharedItems containsBlank="1"/>
    </cacheField>
    <cacheField name="Significant/non-significant" numFmtId="0">
      <sharedItems containsBlank="1"/>
    </cacheField>
    <cacheField name="Value reported (€): Invoicing" numFmtId="0">
      <sharedItems containsString="0" containsBlank="1" containsNumber="1" minValue="0" maxValue="5262516339"/>
    </cacheField>
    <cacheField name="Nominal value " numFmtId="0">
      <sharedItems containsString="0" containsBlank="1" containsNumber="1" minValue="0" maxValue="2914671477.6789999"/>
    </cacheField>
    <cacheField name="Sales volume SRP: (€)" numFmtId="0">
      <sharedItems containsString="0" containsBlank="1" containsNumber="1" minValue="0" maxValue="2145530797.8436"/>
    </cacheField>
    <cacheField name="Funds benchmarked: Morningstar (€)" numFmtId="0">
      <sharedItems containsString="0" containsBlank="1" containsNumber="1" minValue="0" maxValue="13336241280.458595"/>
    </cacheField>
    <cacheField name="Warrants and Certificates (€)" numFmtId="43">
      <sharedItems containsString="0" containsBlank="1" containsNumber="1" minValue="0" maxValue="155503185450.1496"/>
    </cacheField>
    <cacheField name="Value of _x000a_Open Interest derivatives (€)" numFmtId="0">
      <sharedItems containsString="0" containsBlank="1" containsNumber="1" minValue="0" maxValue="22550396339.600002"/>
    </cacheField>
    <cacheField name="Total" numFmtId="0">
      <sharedItems containsString="0" containsBlank="1" containsNumber="1" minValue="0" maxValue="178903298963.45627"/>
    </cacheField>
    <cacheField name="Blue-Chip" numFmtId="0">
      <sharedItems containsBlank="1" count="4">
        <s v="Yes"/>
        <s v="No"/>
        <e v="#N/A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5531">
  <r>
    <x v="0"/>
    <x v="0"/>
    <s v="QS0011131990"/>
    <x v="0"/>
    <s v="Country"/>
    <x v="0"/>
    <s v="AEXGR"/>
    <x v="0"/>
    <s v="Significant Benchmark"/>
    <n v="0"/>
    <n v="0"/>
    <n v="0"/>
    <n v="0"/>
    <n v="0"/>
    <n v="0"/>
    <x v="0"/>
    <x v="0"/>
    <n v="0"/>
    <s v=""/>
    <s v="AEX"/>
  </r>
  <r>
    <x v="1"/>
    <x v="0"/>
    <s v="QS0011211156"/>
    <x v="0"/>
    <s v="Country"/>
    <x v="0"/>
    <s v="AEXNR"/>
    <x v="0"/>
    <s v="Significant Benchmark"/>
    <n v="0"/>
    <n v="0"/>
    <n v="0"/>
    <n v="677345850.85687852"/>
    <n v="0"/>
    <n v="0"/>
    <x v="1"/>
    <x v="0"/>
    <n v="608593674.08999991"/>
    <n v="0.11296893098614658"/>
    <s v="AEX"/>
  </r>
  <r>
    <x v="2"/>
    <x v="0"/>
    <s v="NL0000000107"/>
    <x v="0"/>
    <s v="Country"/>
    <x v="0"/>
    <s v="AEX"/>
    <x v="0"/>
    <s v="Significant Benchmark"/>
    <n v="0"/>
    <n v="0"/>
    <n v="0"/>
    <n v="312464196"/>
    <n v="129973354484.88991"/>
    <n v="5109788683.8999996"/>
    <x v="2"/>
    <x v="0"/>
    <n v="123606600829.9151"/>
    <n v="9.5375218278971108E-2"/>
    <s v="AEX"/>
  </r>
  <r>
    <x v="3"/>
    <x v="1"/>
    <s v="BE0389555039"/>
    <x v="0"/>
    <s v="Country"/>
    <x v="0"/>
    <s v="BEL20"/>
    <x v="1"/>
    <s v="Significant Benchmark"/>
    <n v="0"/>
    <n v="16859000"/>
    <n v="0"/>
    <n v="0"/>
    <n v="98109395.779999986"/>
    <n v="0"/>
    <x v="3"/>
    <x v="0"/>
    <n v="844908871.17819548"/>
    <n v="-0.86392805224108882"/>
    <s v="BEL20"/>
  </r>
  <r>
    <x v="4"/>
    <x v="1"/>
    <s v="BE0389557050"/>
    <x v="0"/>
    <s v="Country"/>
    <x v="0"/>
    <s v="BEL2I"/>
    <x v="1"/>
    <s v="Significant Benchmark"/>
    <n v="0"/>
    <n v="0"/>
    <n v="0"/>
    <n v="0"/>
    <n v="0"/>
    <n v="0"/>
    <x v="0"/>
    <x v="0"/>
    <n v="0"/>
    <s v=""/>
    <s v="BEL20"/>
  </r>
  <r>
    <x v="5"/>
    <x v="1"/>
    <s v="BE0389558066"/>
    <x v="0"/>
    <s v="Country"/>
    <x v="0"/>
    <s v="BEL2P"/>
    <x v="1"/>
    <s v="Significant Benchmark"/>
    <n v="0"/>
    <n v="0"/>
    <n v="0"/>
    <n v="254158873"/>
    <n v="0"/>
    <n v="0"/>
    <x v="4"/>
    <x v="0"/>
    <n v="207947396.17172921"/>
    <n v="0.22222676349410975"/>
    <s v="BEL20"/>
  </r>
  <r>
    <x v="6"/>
    <x v="2"/>
    <s v="FR0003500008"/>
    <x v="0"/>
    <s v="Country"/>
    <x v="0"/>
    <s v="PX1"/>
    <x v="2"/>
    <s v="Significant Benchmark"/>
    <n v="6400000"/>
    <n v="1604993593.3999999"/>
    <n v="844402509.87160003"/>
    <n v="5314663.8350424878"/>
    <n v="155503185450.1496"/>
    <n v="22550396339.600002"/>
    <x v="5"/>
    <x v="0"/>
    <n v="206189697610.6358"/>
    <n v="-0.13233638228960687"/>
    <s v="PX1"/>
  </r>
  <r>
    <x v="7"/>
    <x v="2"/>
    <s v="QS0011131834"/>
    <x v="0"/>
    <s v="Country"/>
    <x v="0"/>
    <s v="PX1GR"/>
    <x v="2"/>
    <s v="Significant Benchmark"/>
    <n v="0"/>
    <n v="0"/>
    <n v="0"/>
    <n v="4378847212.6000004"/>
    <n v="297750"/>
    <n v="0"/>
    <x v="6"/>
    <x v="0"/>
    <n v="3544164579.5682163"/>
    <n v="0.23559300486364809"/>
    <s v="PX1"/>
  </r>
  <r>
    <x v="8"/>
    <x v="2"/>
    <s v="QS0011131826"/>
    <x v="0"/>
    <s v="Country"/>
    <x v="0"/>
    <s v="PX1NR"/>
    <x v="2"/>
    <s v="Significant Benchmark"/>
    <n v="0"/>
    <n v="0"/>
    <n v="0"/>
    <n v="13336241280.458595"/>
    <n v="830000"/>
    <n v="0"/>
    <x v="7"/>
    <x v="0"/>
    <n v="9373928400.214859"/>
    <n v="0.42278356640241643"/>
    <s v="PX1"/>
  </r>
  <r>
    <x v="9"/>
    <x v="3"/>
    <s v="IE00B0500264"/>
    <x v="0"/>
    <s v="Country"/>
    <x v="0"/>
    <s v="ISE20"/>
    <x v="3"/>
    <s v="Significant Benchmark"/>
    <n v="0"/>
    <n v="0"/>
    <n v="0"/>
    <n v="0"/>
    <n v="0"/>
    <n v="0"/>
    <x v="0"/>
    <x v="0"/>
    <n v="0"/>
    <s v=""/>
    <s v="ISE20"/>
  </r>
  <r>
    <x v="10"/>
    <x v="3"/>
    <s v="IE00B0500488"/>
    <x v="0"/>
    <s v="Country"/>
    <x v="0"/>
    <s v="ISE2G"/>
    <x v="3"/>
    <s v="Significant Benchmark"/>
    <n v="0"/>
    <n v="0"/>
    <n v="0"/>
    <n v="0"/>
    <n v="0"/>
    <n v="0"/>
    <x v="0"/>
    <x v="0"/>
    <n v="0"/>
    <s v=""/>
    <s v="ISE20"/>
  </r>
  <r>
    <x v="11"/>
    <x v="4"/>
    <s v="PTING0200002"/>
    <x v="0"/>
    <s v="Country"/>
    <x v="0"/>
    <s v="PSI20"/>
    <x v="4"/>
    <s v="Significant Benchmark"/>
    <n v="0"/>
    <n v="0"/>
    <n v="0"/>
    <n v="46327741"/>
    <n v="170404935.03"/>
    <n v="89588556"/>
    <x v="8"/>
    <x v="0"/>
    <n v="258043896.18401068"/>
    <n v="0.18708962529213546"/>
    <s v="PSI20"/>
  </r>
  <r>
    <x v="12"/>
    <x v="4"/>
    <s v="PTING0210001"/>
    <x v="0"/>
    <s v="Country"/>
    <x v="0"/>
    <s v="PSITR"/>
    <x v="4"/>
    <s v="Significant Benchmark"/>
    <n v="0"/>
    <n v="0"/>
    <n v="0"/>
    <n v="301958144.69999993"/>
    <n v="0"/>
    <n v="0"/>
    <x v="9"/>
    <x v="0"/>
    <n v="231508761.14153224"/>
    <n v="0.30430547514095441"/>
    <s v="PSI20"/>
  </r>
  <r>
    <x v="13"/>
    <x v="4"/>
    <s v="QS0011211180"/>
    <x v="0"/>
    <s v="Country"/>
    <x v="0"/>
    <s v="PSINR"/>
    <x v="4"/>
    <s v="Significant Benchmark"/>
    <n v="0"/>
    <n v="0"/>
    <n v="0"/>
    <n v="0"/>
    <n v="0"/>
    <n v="0"/>
    <x v="0"/>
    <x v="0"/>
    <n v="0"/>
    <s v=""/>
    <s v="PSI20"/>
  </r>
  <r>
    <x v="14"/>
    <x v="0"/>
    <s v="NL0010614491"/>
    <x v="0"/>
    <s v="Country"/>
    <x v="0"/>
    <s v="AEXAT"/>
    <x v="0"/>
    <s v="Non-significant benchmark"/>
    <n v="0"/>
    <n v="0"/>
    <n v="0"/>
    <n v="0"/>
    <n v="0"/>
    <n v="0"/>
    <x v="0"/>
    <x v="1"/>
    <n v="0"/>
    <s v=""/>
    <s v="AEXAT"/>
  </r>
  <r>
    <x v="15"/>
    <x v="0"/>
    <s v="NL0010614541"/>
    <x v="0"/>
    <s v="Country"/>
    <x v="0"/>
    <s v="ATAWG"/>
    <x v="0"/>
    <s v="Non-significant benchmark"/>
    <n v="0"/>
    <n v="0"/>
    <n v="0"/>
    <n v="0"/>
    <n v="0"/>
    <n v="0"/>
    <x v="0"/>
    <x v="1"/>
    <n v="0"/>
    <s v=""/>
    <s v="AETAW"/>
  </r>
  <r>
    <x v="16"/>
    <x v="0"/>
    <s v="NL0010614533"/>
    <x v="0"/>
    <s v="Country"/>
    <x v="0"/>
    <s v="ATAWN"/>
    <x v="0"/>
    <s v="Non-significant benchmark"/>
    <n v="0"/>
    <n v="0"/>
    <n v="0"/>
    <n v="515734000"/>
    <n v="0"/>
    <n v="0"/>
    <x v="10"/>
    <x v="1"/>
    <n v="0"/>
    <s v=""/>
    <s v="AETAW"/>
  </r>
  <r>
    <x v="17"/>
    <x v="0"/>
    <s v="NL0010614525"/>
    <x v="0"/>
    <s v="Country"/>
    <x v="0"/>
    <s v="AETAW"/>
    <x v="0"/>
    <s v="Non-significant benchmark"/>
    <n v="0"/>
    <n v="0"/>
    <n v="0"/>
    <n v="0"/>
    <n v="0"/>
    <n v="0"/>
    <x v="0"/>
    <x v="1"/>
    <n v="0"/>
    <s v=""/>
    <s v="AETAW"/>
  </r>
  <r>
    <x v="18"/>
    <x v="0"/>
    <s v="NL0010614517"/>
    <x v="0"/>
    <s v="Country"/>
    <x v="0"/>
    <s v="AEXTG"/>
    <x v="0"/>
    <s v="Non-significant benchmark"/>
    <n v="0"/>
    <n v="0"/>
    <n v="0"/>
    <n v="0"/>
    <n v="0"/>
    <n v="0"/>
    <x v="0"/>
    <x v="1"/>
    <n v="0"/>
    <s v=""/>
    <s v="AEXAT"/>
  </r>
  <r>
    <x v="19"/>
    <x v="0"/>
    <s v="NL0010614509"/>
    <x v="0"/>
    <s v="Country"/>
    <x v="0"/>
    <s v="AEXTN"/>
    <x v="0"/>
    <s v="Non-significant benchmark"/>
    <n v="0"/>
    <n v="0"/>
    <n v="0"/>
    <n v="0"/>
    <n v="0"/>
    <n v="0"/>
    <x v="0"/>
    <x v="1"/>
    <n v="0"/>
    <s v=""/>
    <s v="AEXAT"/>
  </r>
  <r>
    <x v="20"/>
    <x v="0"/>
    <s v="QS0011204763"/>
    <x v="0"/>
    <s v="Country"/>
    <x v="0"/>
    <s v="AMXGR"/>
    <x v="0"/>
    <s v="Non-significant benchmark"/>
    <n v="0"/>
    <n v="0"/>
    <n v="0"/>
    <n v="0"/>
    <n v="0"/>
    <n v="0"/>
    <x v="0"/>
    <x v="1"/>
    <n v="0"/>
    <s v=""/>
    <s v="AMX"/>
  </r>
  <r>
    <x v="21"/>
    <x v="0"/>
    <s v="QS0011211164"/>
    <x v="0"/>
    <s v="Country"/>
    <x v="0"/>
    <s v="AMXNR"/>
    <x v="0"/>
    <s v="Non-significant benchmark"/>
    <n v="0"/>
    <n v="0"/>
    <n v="0"/>
    <n v="0"/>
    <n v="0"/>
    <n v="0"/>
    <x v="0"/>
    <x v="1"/>
    <n v="0"/>
    <s v=""/>
    <s v="AMX"/>
  </r>
  <r>
    <x v="22"/>
    <x v="0"/>
    <s v="NL0000249274"/>
    <x v="0"/>
    <s v="Country"/>
    <x v="0"/>
    <s v="AMX"/>
    <x v="0"/>
    <s v="Non-significant benchmark"/>
    <n v="0"/>
    <n v="0"/>
    <n v="0"/>
    <n v="20265013"/>
    <n v="33210000"/>
    <n v="0"/>
    <x v="11"/>
    <x v="1"/>
    <n v="170364997.66196969"/>
    <n v="-0.68611502518784617"/>
    <s v="AMX"/>
  </r>
  <r>
    <x v="23"/>
    <x v="0"/>
    <s v="QS0011204995"/>
    <x v="0"/>
    <s v="Country"/>
    <x v="0"/>
    <s v="ASCXG"/>
    <x v="0"/>
    <s v="Non-significant benchmark"/>
    <n v="0"/>
    <n v="0"/>
    <n v="0"/>
    <n v="0"/>
    <n v="0"/>
    <n v="0"/>
    <x v="0"/>
    <x v="1"/>
    <n v="0"/>
    <s v=""/>
    <s v="ASCX"/>
  </r>
  <r>
    <x v="24"/>
    <x v="0"/>
    <s v="QS0011211172"/>
    <x v="0"/>
    <s v="Country"/>
    <x v="0"/>
    <s v="ASCXN"/>
    <x v="0"/>
    <s v="Non-significant benchmark"/>
    <n v="0"/>
    <n v="0"/>
    <n v="0"/>
    <n v="0"/>
    <n v="0"/>
    <n v="0"/>
    <x v="0"/>
    <x v="1"/>
    <n v="0"/>
    <s v=""/>
    <s v="ASCX"/>
  </r>
  <r>
    <x v="25"/>
    <x v="0"/>
    <s v="NL0000249142"/>
    <x v="0"/>
    <s v="Country"/>
    <x v="0"/>
    <s v="ASCX"/>
    <x v="0"/>
    <s v="Non-significant benchmark"/>
    <n v="0"/>
    <n v="0"/>
    <n v="0"/>
    <n v="0"/>
    <n v="617600"/>
    <n v="0"/>
    <x v="12"/>
    <x v="1"/>
    <n v="605350"/>
    <n v="2.023622697612959E-2"/>
    <s v="ASCX"/>
  </r>
  <r>
    <x v="26"/>
    <x v="5"/>
    <s v="NL0000249100"/>
    <x v="0"/>
    <s v="Country"/>
    <x v="0"/>
    <s v="AAX"/>
    <x v="0"/>
    <s v="Non-significant benchmark"/>
    <n v="0"/>
    <n v="0"/>
    <n v="0"/>
    <n v="0"/>
    <n v="0"/>
    <n v="0"/>
    <x v="0"/>
    <x v="1"/>
    <n v="0"/>
    <s v=""/>
    <s v="AAX"/>
  </r>
  <r>
    <x v="27"/>
    <x v="5"/>
    <s v="QS0011224977"/>
    <x v="0"/>
    <s v="Country"/>
    <x v="0"/>
    <s v="AAXG"/>
    <x v="0"/>
    <s v="Non-significant benchmark"/>
    <n v="0"/>
    <n v="0"/>
    <n v="0"/>
    <n v="0"/>
    <n v="0"/>
    <n v="0"/>
    <x v="0"/>
    <x v="1"/>
    <n v="0"/>
    <s v=""/>
    <s v="AAX"/>
  </r>
  <r>
    <x v="28"/>
    <x v="5"/>
    <s v="QS0011016480"/>
    <x v="0"/>
    <s v="Industry"/>
    <x v="0"/>
    <s v="NLBM"/>
    <x v="0"/>
    <s v="Non-significant benchmark"/>
    <n v="0"/>
    <n v="0"/>
    <n v="0"/>
    <n v="0"/>
    <n v="0"/>
    <n v="0"/>
    <x v="0"/>
    <x v="1"/>
    <n v="0"/>
    <s v=""/>
    <s v="NLBM"/>
  </r>
  <r>
    <x v="29"/>
    <x v="5"/>
    <s v="QS0011225396"/>
    <x v="0"/>
    <s v="Industry"/>
    <x v="0"/>
    <s v="NLBMG"/>
    <x v="0"/>
    <s v="Non-significant benchmark"/>
    <n v="0"/>
    <n v="0"/>
    <n v="0"/>
    <n v="0"/>
    <n v="0"/>
    <n v="0"/>
    <x v="0"/>
    <x v="1"/>
    <n v="0"/>
    <s v=""/>
    <s v="NLBM"/>
  </r>
  <r>
    <x v="30"/>
    <x v="5"/>
    <s v="QS0011016530"/>
    <x v="0"/>
    <s v="Industry"/>
    <x v="0"/>
    <s v="NLCG"/>
    <x v="0"/>
    <s v="Non-significant benchmark"/>
    <n v="0"/>
    <n v="0"/>
    <n v="0"/>
    <n v="0"/>
    <n v="0"/>
    <n v="0"/>
    <x v="0"/>
    <x v="1"/>
    <n v="0"/>
    <s v=""/>
    <s v="NLCG"/>
  </r>
  <r>
    <x v="31"/>
    <x v="5"/>
    <s v="QS0011225404"/>
    <x v="0"/>
    <s v="Industry"/>
    <x v="0"/>
    <s v="NLCGG"/>
    <x v="0"/>
    <s v="Non-significant benchmark"/>
    <n v="0"/>
    <n v="0"/>
    <n v="0"/>
    <n v="0"/>
    <n v="0"/>
    <n v="0"/>
    <x v="0"/>
    <x v="1"/>
    <n v="0"/>
    <s v=""/>
    <s v="NLCG"/>
  </r>
  <r>
    <x v="32"/>
    <x v="5"/>
    <s v="QS0011016563"/>
    <x v="0"/>
    <s v="Industry"/>
    <x v="0"/>
    <s v="NLCS"/>
    <x v="0"/>
    <s v="Non-significant benchmark"/>
    <n v="0"/>
    <n v="0"/>
    <n v="0"/>
    <n v="0"/>
    <n v="0"/>
    <n v="0"/>
    <x v="0"/>
    <x v="1"/>
    <n v="0"/>
    <s v=""/>
    <s v="NLCS"/>
  </r>
  <r>
    <x v="33"/>
    <x v="5"/>
    <s v="QS0011225420"/>
    <x v="0"/>
    <s v="Industry"/>
    <x v="0"/>
    <s v="NLCSG"/>
    <x v="0"/>
    <s v="Non-significant benchmark"/>
    <n v="0"/>
    <n v="0"/>
    <n v="0"/>
    <n v="0"/>
    <n v="0"/>
    <n v="0"/>
    <x v="0"/>
    <x v="1"/>
    <n v="0"/>
    <s v=""/>
    <s v="NLCS"/>
  </r>
  <r>
    <x v="34"/>
    <x v="5"/>
    <s v="QS0011016472"/>
    <x v="0"/>
    <s v="Industry"/>
    <x v="0"/>
    <s v="NLOG"/>
    <x v="0"/>
    <s v="Non-significant benchmark"/>
    <n v="0"/>
    <n v="0"/>
    <n v="0"/>
    <n v="0"/>
    <n v="0"/>
    <n v="0"/>
    <x v="0"/>
    <x v="1"/>
    <n v="0"/>
    <s v=""/>
    <s v="NLOG"/>
  </r>
  <r>
    <x v="35"/>
    <x v="5"/>
    <s v="QS0011224829"/>
    <x v="0"/>
    <s v="Industry"/>
    <x v="0"/>
    <s v="NLOGG"/>
    <x v="0"/>
    <s v="Non-significant benchmark"/>
    <n v="0"/>
    <n v="0"/>
    <n v="0"/>
    <n v="0"/>
    <n v="0"/>
    <n v="0"/>
    <x v="0"/>
    <x v="1"/>
    <n v="0"/>
    <s v=""/>
    <s v="NLOG"/>
  </r>
  <r>
    <x v="36"/>
    <x v="5"/>
    <s v="QS0011016605"/>
    <x v="0"/>
    <s v="Industry"/>
    <x v="0"/>
    <s v="NLFIN"/>
    <x v="0"/>
    <s v="Non-significant benchmark"/>
    <n v="0"/>
    <n v="0"/>
    <n v="0"/>
    <n v="0"/>
    <n v="0"/>
    <n v="0"/>
    <x v="0"/>
    <x v="1"/>
    <n v="0"/>
    <s v=""/>
    <s v="NLFIN"/>
  </r>
  <r>
    <x v="37"/>
    <x v="5"/>
    <s v="QS0011224522"/>
    <x v="0"/>
    <s v="Industry"/>
    <x v="0"/>
    <s v="NLFNG"/>
    <x v="0"/>
    <s v="Non-significant benchmark"/>
    <n v="0"/>
    <n v="0"/>
    <n v="0"/>
    <n v="0"/>
    <n v="0"/>
    <n v="0"/>
    <x v="0"/>
    <x v="1"/>
    <n v="0"/>
    <s v=""/>
    <s v="NLFIN"/>
  </r>
  <r>
    <x v="38"/>
    <x v="5"/>
    <s v="QS0011016555"/>
    <x v="0"/>
    <s v="Industry"/>
    <x v="0"/>
    <s v="NLHC"/>
    <x v="0"/>
    <s v="Non-significant benchmark"/>
    <n v="0"/>
    <n v="0"/>
    <n v="0"/>
    <n v="0"/>
    <n v="0"/>
    <n v="0"/>
    <x v="0"/>
    <x v="1"/>
    <n v="0"/>
    <s v=""/>
    <s v="NLHC"/>
  </r>
  <r>
    <x v="39"/>
    <x v="5"/>
    <s v="QS0011224589"/>
    <x v="0"/>
    <s v="Industry"/>
    <x v="0"/>
    <s v="NLHCG"/>
    <x v="0"/>
    <s v="Non-significant benchmark"/>
    <n v="0"/>
    <n v="0"/>
    <n v="0"/>
    <n v="0"/>
    <n v="0"/>
    <n v="0"/>
    <x v="0"/>
    <x v="1"/>
    <n v="0"/>
    <s v=""/>
    <s v="NLHC"/>
  </r>
  <r>
    <x v="40"/>
    <x v="5"/>
    <s v="QS0011016506"/>
    <x v="0"/>
    <s v="Industry"/>
    <x v="0"/>
    <s v="NLIN"/>
    <x v="0"/>
    <s v="Non-significant benchmark"/>
    <n v="0"/>
    <n v="0"/>
    <n v="0"/>
    <n v="0"/>
    <n v="0"/>
    <n v="0"/>
    <x v="0"/>
    <x v="1"/>
    <n v="0"/>
    <s v=""/>
    <s v="NLIN"/>
  </r>
  <r>
    <x v="41"/>
    <x v="5"/>
    <s v="QS0011224662"/>
    <x v="0"/>
    <s v="Industry"/>
    <x v="0"/>
    <s v="NLING"/>
    <x v="0"/>
    <s v="Non-significant benchmark"/>
    <n v="0"/>
    <n v="0"/>
    <n v="0"/>
    <n v="0"/>
    <n v="0"/>
    <n v="0"/>
    <x v="0"/>
    <x v="1"/>
    <n v="0"/>
    <s v=""/>
    <s v="NLIN"/>
  </r>
  <r>
    <x v="42"/>
    <x v="5"/>
    <s v="NL0014787053"/>
    <x v="0"/>
    <s v="Industry"/>
    <x v="0"/>
    <s v="NLRE"/>
    <x v="0"/>
    <s v="Non-significant benchmark"/>
    <n v="0"/>
    <n v="0"/>
    <n v="0"/>
    <n v="0"/>
    <n v="0"/>
    <n v="0"/>
    <x v="0"/>
    <x v="1"/>
    <n v="0"/>
    <s v=""/>
    <s v="NLRE"/>
  </r>
  <r>
    <x v="43"/>
    <x v="5"/>
    <s v="NL0014787061"/>
    <x v="0"/>
    <s v="Industry"/>
    <x v="0"/>
    <s v="NLREG"/>
    <x v="0"/>
    <s v="Non-significant benchmark"/>
    <n v="0"/>
    <n v="0"/>
    <n v="0"/>
    <n v="0"/>
    <n v="0"/>
    <n v="0"/>
    <x v="0"/>
    <x v="1"/>
    <n v="0"/>
    <s v=""/>
    <s v="NLRE"/>
  </r>
  <r>
    <x v="44"/>
    <x v="5"/>
    <s v="QS0011016613"/>
    <x v="0"/>
    <s v="Industry"/>
    <x v="0"/>
    <s v="NLTEC"/>
    <x v="0"/>
    <s v="Non-significant benchmark"/>
    <n v="0"/>
    <n v="0"/>
    <n v="0"/>
    <n v="0"/>
    <n v="0"/>
    <n v="0"/>
    <x v="0"/>
    <x v="1"/>
    <n v="0"/>
    <s v=""/>
    <s v="NLTEC"/>
  </r>
  <r>
    <x v="45"/>
    <x v="5"/>
    <s v="QS0011224936"/>
    <x v="0"/>
    <s v="Industry"/>
    <x v="0"/>
    <s v="NLTCG"/>
    <x v="0"/>
    <s v="Non-significant benchmark"/>
    <n v="0"/>
    <n v="0"/>
    <n v="0"/>
    <n v="0"/>
    <n v="0"/>
    <n v="0"/>
    <x v="0"/>
    <x v="1"/>
    <n v="0"/>
    <s v=""/>
    <s v="NLTEC"/>
  </r>
  <r>
    <x v="46"/>
    <x v="5"/>
    <s v="QS0011016589"/>
    <x v="0"/>
    <s v="Industry"/>
    <x v="0"/>
    <s v="NLTEL"/>
    <x v="0"/>
    <s v="Non-significant benchmark"/>
    <n v="0"/>
    <n v="0"/>
    <n v="0"/>
    <n v="0"/>
    <n v="0"/>
    <n v="0"/>
    <x v="0"/>
    <x v="1"/>
    <n v="0"/>
    <s v=""/>
    <s v="NLTEL"/>
  </r>
  <r>
    <x v="47"/>
    <x v="5"/>
    <s v="QS0011224944"/>
    <x v="0"/>
    <s v="Industry"/>
    <x v="0"/>
    <s v="NLTLG"/>
    <x v="0"/>
    <s v="Non-significant benchmark"/>
    <n v="0"/>
    <n v="0"/>
    <n v="0"/>
    <n v="0"/>
    <n v="0"/>
    <n v="0"/>
    <x v="0"/>
    <x v="1"/>
    <n v="0"/>
    <s v=""/>
    <s v="NLTEL"/>
  </r>
  <r>
    <x v="48"/>
    <x v="5"/>
    <s v="NL00150006J3"/>
    <x v="0"/>
    <s v="Industry"/>
    <x v="0"/>
    <s v="NLUT"/>
    <x v="0"/>
    <s v="Non-significant benchmark"/>
    <n v="0"/>
    <n v="0"/>
    <n v="0"/>
    <n v="0"/>
    <n v="0"/>
    <n v="0"/>
    <x v="0"/>
    <x v="1"/>
    <n v="0"/>
    <s v=""/>
    <s v="NLUT"/>
  </r>
  <r>
    <x v="49"/>
    <x v="5"/>
    <s v="NL00150006K1"/>
    <x v="0"/>
    <s v="Industry"/>
    <x v="0"/>
    <s v="NLUTG"/>
    <x v="0"/>
    <s v="Non-significant benchmark"/>
    <n v="0"/>
    <n v="0"/>
    <n v="0"/>
    <n v="0"/>
    <n v="0"/>
    <n v="0"/>
    <x v="0"/>
    <x v="1"/>
    <n v="0"/>
    <s v=""/>
    <s v="NLUT"/>
  </r>
  <r>
    <x v="50"/>
    <x v="6"/>
    <s v="NLESG0000030"/>
    <x v="1"/>
    <s v="Broad ESG"/>
    <x v="1"/>
    <s v="AESGG"/>
    <x v="0"/>
    <s v="Non-significant benchmark"/>
    <n v="0"/>
    <n v="0"/>
    <n v="0"/>
    <n v="0"/>
    <n v="0"/>
    <n v="0"/>
    <x v="0"/>
    <x v="0"/>
    <n v="0"/>
    <s v=""/>
    <s v="AESGP"/>
  </r>
  <r>
    <x v="51"/>
    <x v="6"/>
    <s v="NLESG0000022"/>
    <x v="1"/>
    <s v="Broad ESG"/>
    <x v="1"/>
    <s v="AESGN"/>
    <x v="0"/>
    <s v="Non-significant benchmark"/>
    <n v="0"/>
    <n v="0"/>
    <n v="0"/>
    <n v="0"/>
    <n v="0"/>
    <n v="0"/>
    <x v="0"/>
    <x v="0"/>
    <n v="0"/>
    <s v=""/>
    <s v="AESGP"/>
  </r>
  <r>
    <x v="52"/>
    <x v="6"/>
    <s v="NLESG0000014"/>
    <x v="1"/>
    <s v="Broad ESG"/>
    <x v="1"/>
    <s v="AESGP"/>
    <x v="0"/>
    <s v="Non-significant benchmark"/>
    <n v="0"/>
    <n v="0"/>
    <n v="0"/>
    <n v="0"/>
    <n v="0"/>
    <n v="0"/>
    <x v="0"/>
    <x v="0"/>
    <n v="0"/>
    <s v=""/>
    <s v="AESGP"/>
  </r>
  <r>
    <x v="53"/>
    <x v="7"/>
    <s v="QS0011158126"/>
    <x v="0"/>
    <s v="Strategy"/>
    <x v="0"/>
    <s v="AEXDI"/>
    <x v="0"/>
    <s v="Non-significant benchmark"/>
    <n v="0"/>
    <n v="0"/>
    <n v="0"/>
    <n v="0"/>
    <n v="0"/>
    <n v="470000"/>
    <x v="13"/>
    <x v="1"/>
    <n v="0"/>
    <s v=""/>
    <s v="AEXDI"/>
  </r>
  <r>
    <x v="54"/>
    <x v="8"/>
    <s v="QS0011159744"/>
    <x v="0"/>
    <s v="Country"/>
    <x v="0"/>
    <s v="AEXEW"/>
    <x v="0"/>
    <s v="Non-significant benchmark"/>
    <n v="0"/>
    <n v="0"/>
    <n v="0"/>
    <n v="0"/>
    <n v="0"/>
    <n v="0"/>
    <x v="0"/>
    <x v="1"/>
    <n v="0"/>
    <s v=""/>
    <s v="AEXEW"/>
  </r>
  <r>
    <x v="55"/>
    <x v="8"/>
    <s v="QS0011211222"/>
    <x v="0"/>
    <s v="Country"/>
    <x v="0"/>
    <s v="AEXEG"/>
    <x v="0"/>
    <s v="Non-significant benchmark"/>
    <n v="0"/>
    <n v="0"/>
    <n v="0"/>
    <n v="0"/>
    <n v="0"/>
    <n v="0"/>
    <x v="0"/>
    <x v="1"/>
    <n v="0"/>
    <s v=""/>
    <s v="AEXEW"/>
  </r>
  <r>
    <x v="56"/>
    <x v="8"/>
    <s v="QS0011211206"/>
    <x v="0"/>
    <s v="Country"/>
    <x v="0"/>
    <s v="AEXEN"/>
    <x v="0"/>
    <s v="Non-significant benchmark"/>
    <n v="0"/>
    <n v="0"/>
    <n v="0"/>
    <n v="0"/>
    <n v="0"/>
    <n v="0"/>
    <x v="0"/>
    <x v="1"/>
    <n v="0"/>
    <s v=""/>
    <s v="AEXEW"/>
  </r>
  <r>
    <x v="57"/>
    <x v="9"/>
    <s v="QS0011257225"/>
    <x v="0"/>
    <e v="#N/A"/>
    <x v="0"/>
    <s v="AEEXT"/>
    <x v="0"/>
    <s v="Non-significant benchmark"/>
    <n v="0"/>
    <n v="0"/>
    <n v="0"/>
    <n v="0"/>
    <n v="0"/>
    <n v="0"/>
    <x v="0"/>
    <x v="2"/>
    <n v="0"/>
    <s v=""/>
    <e v="#N/A"/>
  </r>
  <r>
    <x v="58"/>
    <x v="1"/>
    <s v="BE0389856130"/>
    <x v="0"/>
    <s v="Country"/>
    <x v="0"/>
    <s v="BELM"/>
    <x v="1"/>
    <s v="Non-significant benchmark"/>
    <n v="0"/>
    <n v="0"/>
    <n v="0"/>
    <n v="0"/>
    <n v="0"/>
    <n v="0"/>
    <x v="0"/>
    <x v="1"/>
    <n v="0"/>
    <s v=""/>
    <s v="BELM"/>
  </r>
  <r>
    <x v="59"/>
    <x v="1"/>
    <s v="QS0011211230"/>
    <x v="0"/>
    <s v="Country"/>
    <x v="0"/>
    <s v="BELMG"/>
    <x v="1"/>
    <s v="Non-significant benchmark"/>
    <n v="0"/>
    <n v="0"/>
    <n v="0"/>
    <n v="0"/>
    <n v="0"/>
    <n v="0"/>
    <x v="0"/>
    <x v="1"/>
    <n v="0"/>
    <s v=""/>
    <s v="BELM"/>
  </r>
  <r>
    <x v="60"/>
    <x v="1"/>
    <s v="BE0389561094"/>
    <x v="0"/>
    <s v="Country"/>
    <x v="0"/>
    <s v="BELMC"/>
    <x v="1"/>
    <s v="Non-significant benchmark"/>
    <n v="0"/>
    <n v="0"/>
    <n v="0"/>
    <n v="0"/>
    <n v="0"/>
    <n v="0"/>
    <x v="0"/>
    <x v="1"/>
    <n v="0"/>
    <s v=""/>
    <s v="BELM"/>
  </r>
  <r>
    <x v="61"/>
    <x v="1"/>
    <s v="BE0389857146"/>
    <x v="0"/>
    <s v="Country"/>
    <x v="0"/>
    <s v="BELS"/>
    <x v="1"/>
    <s v="Non-significant benchmark"/>
    <n v="0"/>
    <n v="0"/>
    <n v="0"/>
    <n v="0"/>
    <n v="0"/>
    <n v="0"/>
    <x v="0"/>
    <x v="1"/>
    <n v="0"/>
    <s v=""/>
    <s v="BELS"/>
  </r>
  <r>
    <x v="62"/>
    <x v="1"/>
    <s v="QS0011211248"/>
    <x v="0"/>
    <s v="Country"/>
    <x v="0"/>
    <s v="BELSG"/>
    <x v="1"/>
    <s v="Non-significant benchmark"/>
    <n v="0"/>
    <n v="0"/>
    <n v="0"/>
    <n v="0"/>
    <n v="0"/>
    <n v="0"/>
    <x v="0"/>
    <x v="1"/>
    <n v="0"/>
    <s v=""/>
    <s v="BELS"/>
  </r>
  <r>
    <x v="63"/>
    <x v="1"/>
    <s v="BE0389556045"/>
    <x v="0"/>
    <s v="Country"/>
    <x v="0"/>
    <s v="BELSC"/>
    <x v="1"/>
    <s v="Non-significant benchmark"/>
    <n v="0"/>
    <n v="0"/>
    <n v="0"/>
    <n v="0"/>
    <n v="0"/>
    <n v="0"/>
    <x v="0"/>
    <x v="1"/>
    <n v="0"/>
    <s v=""/>
    <s v="BELS"/>
  </r>
  <r>
    <x v="64"/>
    <x v="10"/>
    <s v="BE0389549941"/>
    <x v="0"/>
    <s v="Country"/>
    <x v="0"/>
    <s v="BELAS"/>
    <x v="1"/>
    <s v="Non-significant benchmark"/>
    <n v="0"/>
    <n v="0"/>
    <n v="0"/>
    <n v="0"/>
    <n v="0"/>
    <n v="0"/>
    <x v="0"/>
    <x v="1"/>
    <n v="0"/>
    <s v=""/>
    <s v="BELAS"/>
  </r>
  <r>
    <x v="65"/>
    <x v="10"/>
    <s v="BE0389550956"/>
    <x v="0"/>
    <s v="Country"/>
    <x v="0"/>
    <s v="BELAR"/>
    <x v="1"/>
    <s v="Non-significant benchmark"/>
    <n v="0"/>
    <n v="0"/>
    <n v="0"/>
    <n v="0"/>
    <n v="0"/>
    <n v="0"/>
    <x v="0"/>
    <x v="1"/>
    <n v="0"/>
    <s v=""/>
    <s v="BELAS"/>
  </r>
  <r>
    <x v="66"/>
    <x v="10"/>
    <s v="QS0011224910"/>
    <x v="0"/>
    <s v="Industry"/>
    <x v="0"/>
    <s v="BEBMP"/>
    <x v="1"/>
    <s v="Non-significant benchmark"/>
    <n v="0"/>
    <n v="0"/>
    <n v="0"/>
    <n v="0"/>
    <n v="0"/>
    <n v="0"/>
    <x v="0"/>
    <x v="1"/>
    <n v="0"/>
    <s v=""/>
    <s v="BEBMP"/>
  </r>
  <r>
    <x v="67"/>
    <x v="10"/>
    <s v="QS0011016696"/>
    <x v="0"/>
    <s v="Industry"/>
    <x v="0"/>
    <s v="BEBM"/>
    <x v="1"/>
    <s v="Non-significant benchmark"/>
    <n v="0"/>
    <n v="0"/>
    <n v="0"/>
    <n v="0"/>
    <n v="0"/>
    <n v="0"/>
    <x v="0"/>
    <x v="1"/>
    <n v="0"/>
    <s v=""/>
    <s v="BEBMP"/>
  </r>
  <r>
    <x v="68"/>
    <x v="10"/>
    <s v="QS0011225222"/>
    <x v="0"/>
    <s v="Industry"/>
    <x v="0"/>
    <s v="BECGP"/>
    <x v="1"/>
    <s v="Non-significant benchmark"/>
    <n v="0"/>
    <n v="0"/>
    <n v="0"/>
    <n v="0"/>
    <n v="0"/>
    <n v="0"/>
    <x v="0"/>
    <x v="1"/>
    <n v="0"/>
    <s v=""/>
    <s v="BECGP"/>
  </r>
  <r>
    <x v="69"/>
    <x v="10"/>
    <s v="QS0011016761"/>
    <x v="0"/>
    <s v="Industry"/>
    <x v="0"/>
    <s v="BECG"/>
    <x v="1"/>
    <s v="Non-significant benchmark"/>
    <n v="0"/>
    <n v="0"/>
    <n v="0"/>
    <n v="0"/>
    <n v="0"/>
    <n v="0"/>
    <x v="0"/>
    <x v="1"/>
    <n v="0"/>
    <s v=""/>
    <s v="BECGP"/>
  </r>
  <r>
    <x v="70"/>
    <x v="10"/>
    <s v="QS0011225156"/>
    <x v="0"/>
    <s v="Industry"/>
    <x v="0"/>
    <s v="BECSP"/>
    <x v="1"/>
    <s v="Non-significant benchmark"/>
    <n v="0"/>
    <n v="0"/>
    <n v="0"/>
    <n v="0"/>
    <n v="0"/>
    <n v="0"/>
    <x v="0"/>
    <x v="1"/>
    <n v="0"/>
    <s v=""/>
    <s v="BECSP"/>
  </r>
  <r>
    <x v="71"/>
    <x v="10"/>
    <s v="QS0011016829"/>
    <x v="0"/>
    <s v="Industry"/>
    <x v="0"/>
    <s v="BECS"/>
    <x v="1"/>
    <s v="Non-significant benchmark"/>
    <n v="0"/>
    <n v="0"/>
    <n v="0"/>
    <n v="0"/>
    <n v="0"/>
    <n v="0"/>
    <x v="0"/>
    <x v="1"/>
    <n v="0"/>
    <s v=""/>
    <s v="BECSP"/>
  </r>
  <r>
    <x v="72"/>
    <x v="10"/>
    <s v="QS0011225370"/>
    <x v="0"/>
    <s v="Country"/>
    <x v="0"/>
    <s v="BELCP"/>
    <x v="1"/>
    <s v="Non-significant benchmark"/>
    <n v="0"/>
    <n v="0"/>
    <n v="0"/>
    <n v="0"/>
    <n v="0"/>
    <n v="0"/>
    <x v="0"/>
    <x v="1"/>
    <n v="0"/>
    <s v=""/>
    <s v="BELCP"/>
  </r>
  <r>
    <x v="73"/>
    <x v="10"/>
    <s v="BE0389552978"/>
    <x v="0"/>
    <s v="Country"/>
    <x v="0"/>
    <s v="BELCU"/>
    <x v="1"/>
    <s v="Non-significant benchmark"/>
    <n v="0"/>
    <n v="0"/>
    <n v="0"/>
    <n v="0"/>
    <n v="0"/>
    <n v="0"/>
    <x v="0"/>
    <x v="1"/>
    <n v="0"/>
    <s v=""/>
    <s v="BELCP"/>
  </r>
  <r>
    <x v="74"/>
    <x v="10"/>
    <s v="QS0011249248"/>
    <x v="0"/>
    <s v="Industry"/>
    <x v="0"/>
    <s v="BEOGP"/>
    <x v="1"/>
    <s v="Non-significant benchmark"/>
    <n v="0"/>
    <n v="0"/>
    <n v="0"/>
    <n v="0"/>
    <n v="0"/>
    <n v="0"/>
    <x v="0"/>
    <x v="1"/>
    <n v="0"/>
    <s v=""/>
    <s v="BEOGP"/>
  </r>
  <r>
    <x v="75"/>
    <x v="10"/>
    <s v="QS0011249230"/>
    <x v="0"/>
    <s v="Industry"/>
    <x v="0"/>
    <s v="BEOG"/>
    <x v="1"/>
    <s v="Non-significant benchmark"/>
    <n v="0"/>
    <n v="0"/>
    <n v="0"/>
    <n v="0"/>
    <n v="0"/>
    <n v="0"/>
    <x v="0"/>
    <x v="1"/>
    <n v="0"/>
    <s v=""/>
    <s v="BEOGP"/>
  </r>
  <r>
    <x v="76"/>
    <x v="10"/>
    <s v="QS0011225180"/>
    <x v="0"/>
    <s v="Industry"/>
    <x v="0"/>
    <s v="BEFIP"/>
    <x v="1"/>
    <s v="Non-significant benchmark"/>
    <n v="0"/>
    <n v="0"/>
    <n v="0"/>
    <n v="0"/>
    <n v="0"/>
    <n v="0"/>
    <x v="0"/>
    <x v="1"/>
    <n v="0"/>
    <s v=""/>
    <s v="BEFIP"/>
  </r>
  <r>
    <x v="77"/>
    <x v="10"/>
    <s v="QS0011016902"/>
    <x v="0"/>
    <s v="Industry"/>
    <x v="0"/>
    <s v="BEFIN"/>
    <x v="1"/>
    <s v="Non-significant benchmark"/>
    <n v="0"/>
    <n v="0"/>
    <n v="0"/>
    <n v="0"/>
    <n v="0"/>
    <n v="0"/>
    <x v="0"/>
    <x v="1"/>
    <n v="0"/>
    <s v=""/>
    <s v="BEFIP"/>
  </r>
  <r>
    <x v="78"/>
    <x v="10"/>
    <s v="QS0011225206"/>
    <x v="0"/>
    <s v="Industry"/>
    <x v="0"/>
    <s v="BEHCP"/>
    <x v="1"/>
    <s v="Non-significant benchmark"/>
    <n v="0"/>
    <n v="0"/>
    <n v="0"/>
    <n v="0"/>
    <n v="0"/>
    <n v="0"/>
    <x v="0"/>
    <x v="1"/>
    <n v="0"/>
    <s v=""/>
    <s v="BEHCP"/>
  </r>
  <r>
    <x v="79"/>
    <x v="10"/>
    <s v="QS0011016795"/>
    <x v="0"/>
    <s v="Industry"/>
    <x v="0"/>
    <s v="BEHC"/>
    <x v="1"/>
    <s v="Non-significant benchmark"/>
    <n v="0"/>
    <n v="0"/>
    <n v="0"/>
    <n v="0"/>
    <n v="0"/>
    <n v="0"/>
    <x v="0"/>
    <x v="1"/>
    <n v="0"/>
    <s v=""/>
    <s v="BEHCP"/>
  </r>
  <r>
    <x v="80"/>
    <x v="10"/>
    <s v="QS0011225214"/>
    <x v="0"/>
    <s v="Industry"/>
    <x v="0"/>
    <s v="BEINP"/>
    <x v="1"/>
    <s v="Non-significant benchmark"/>
    <n v="0"/>
    <n v="0"/>
    <n v="0"/>
    <n v="0"/>
    <n v="0"/>
    <n v="0"/>
    <x v="0"/>
    <x v="1"/>
    <n v="0"/>
    <s v=""/>
    <s v="BEINP"/>
  </r>
  <r>
    <x v="81"/>
    <x v="10"/>
    <s v="QS0011016738"/>
    <x v="0"/>
    <s v="Industry"/>
    <x v="0"/>
    <s v="BEIN"/>
    <x v="1"/>
    <s v="Non-significant benchmark"/>
    <n v="0"/>
    <n v="0"/>
    <n v="0"/>
    <n v="0"/>
    <n v="0"/>
    <n v="0"/>
    <x v="0"/>
    <x v="1"/>
    <n v="0"/>
    <s v=""/>
    <s v="BEINP"/>
  </r>
  <r>
    <x v="82"/>
    <x v="10"/>
    <s v="BE0004643848"/>
    <x v="0"/>
    <s v="Industry"/>
    <x v="0"/>
    <s v="BERE"/>
    <x v="1"/>
    <s v="Non-significant benchmark"/>
    <n v="0"/>
    <n v="0"/>
    <n v="0"/>
    <n v="0"/>
    <n v="0"/>
    <n v="0"/>
    <x v="0"/>
    <x v="1"/>
    <n v="0"/>
    <s v=""/>
    <s v="BERE"/>
  </r>
  <r>
    <x v="83"/>
    <x v="10"/>
    <s v="BE0004644853"/>
    <x v="0"/>
    <s v="Industry"/>
    <x v="0"/>
    <s v="BEREN"/>
    <x v="1"/>
    <s v="Non-significant benchmark"/>
    <n v="0"/>
    <n v="0"/>
    <n v="0"/>
    <n v="0"/>
    <n v="0"/>
    <n v="0"/>
    <x v="0"/>
    <x v="1"/>
    <n v="0"/>
    <s v=""/>
    <s v="BERE"/>
  </r>
  <r>
    <x v="84"/>
    <x v="10"/>
    <s v="QS0011225172"/>
    <x v="0"/>
    <s v="Industry"/>
    <x v="0"/>
    <s v="BETP"/>
    <x v="1"/>
    <s v="Non-significant benchmark"/>
    <n v="0"/>
    <n v="0"/>
    <n v="0"/>
    <n v="0"/>
    <n v="0"/>
    <n v="0"/>
    <x v="0"/>
    <x v="1"/>
    <n v="0"/>
    <s v=""/>
    <s v="BETP"/>
  </r>
  <r>
    <x v="85"/>
    <x v="10"/>
    <s v="QS0011016936"/>
    <x v="0"/>
    <s v="Industry"/>
    <x v="0"/>
    <s v="BETEC"/>
    <x v="1"/>
    <s v="Non-significant benchmark"/>
    <n v="0"/>
    <n v="0"/>
    <n v="0"/>
    <n v="0"/>
    <n v="0"/>
    <n v="0"/>
    <x v="0"/>
    <x v="1"/>
    <n v="0"/>
    <s v=""/>
    <s v="BETP"/>
  </r>
  <r>
    <x v="86"/>
    <x v="10"/>
    <s v="QS0011225198"/>
    <x v="0"/>
    <s v="Industry"/>
    <x v="0"/>
    <s v="BETEP"/>
    <x v="1"/>
    <s v="Non-significant benchmark"/>
    <n v="0"/>
    <n v="0"/>
    <n v="0"/>
    <n v="0"/>
    <n v="0"/>
    <n v="0"/>
    <x v="0"/>
    <x v="1"/>
    <n v="0"/>
    <s v=""/>
    <s v="BETEP"/>
  </r>
  <r>
    <x v="87"/>
    <x v="10"/>
    <s v="QS0011016860"/>
    <x v="0"/>
    <s v="Industry"/>
    <x v="0"/>
    <s v="BETEL"/>
    <x v="1"/>
    <s v="Non-significant benchmark"/>
    <n v="0"/>
    <n v="0"/>
    <n v="0"/>
    <n v="0"/>
    <n v="0"/>
    <n v="0"/>
    <x v="0"/>
    <x v="1"/>
    <n v="0"/>
    <s v=""/>
    <s v="BETEP"/>
  </r>
  <r>
    <x v="88"/>
    <x v="10"/>
    <s v="QS0011225164"/>
    <x v="0"/>
    <s v="Industry"/>
    <x v="0"/>
    <s v="BEUTP"/>
    <x v="1"/>
    <s v="Non-significant benchmark"/>
    <n v="0"/>
    <n v="0"/>
    <n v="0"/>
    <n v="0"/>
    <n v="0"/>
    <n v="0"/>
    <x v="0"/>
    <x v="1"/>
    <n v="0"/>
    <s v=""/>
    <s v="BEUTP"/>
  </r>
  <r>
    <x v="89"/>
    <x v="10"/>
    <s v="QS0011019005"/>
    <x v="0"/>
    <s v="Industry"/>
    <x v="0"/>
    <s v="BEUT"/>
    <x v="1"/>
    <s v="Non-significant benchmark"/>
    <n v="0"/>
    <n v="0"/>
    <n v="0"/>
    <n v="0"/>
    <n v="0"/>
    <n v="0"/>
    <x v="0"/>
    <x v="1"/>
    <n v="0"/>
    <s v=""/>
    <s v="BEUTP"/>
  </r>
  <r>
    <x v="90"/>
    <x v="2"/>
    <s v="FR0003999499"/>
    <x v="0"/>
    <s v="Country"/>
    <x v="0"/>
    <s v="CACT"/>
    <x v="2"/>
    <s v="Non-significant benchmark"/>
    <n v="0"/>
    <n v="0"/>
    <n v="0"/>
    <n v="68800895.599999994"/>
    <n v="0"/>
    <n v="0"/>
    <x v="14"/>
    <x v="1"/>
    <n v="0"/>
    <s v=""/>
    <s v="CACT"/>
  </r>
  <r>
    <x v="91"/>
    <x v="2"/>
    <s v="QS0011131891"/>
    <x v="0"/>
    <s v="Country"/>
    <x v="0"/>
    <s v="CACTR"/>
    <x v="2"/>
    <s v="Non-significant benchmark"/>
    <n v="0"/>
    <n v="0"/>
    <n v="0"/>
    <n v="0"/>
    <n v="0"/>
    <n v="0"/>
    <x v="0"/>
    <x v="1"/>
    <n v="0"/>
    <s v=""/>
    <s v="CACT"/>
  </r>
  <r>
    <x v="92"/>
    <x v="2"/>
    <s v="QS0011131883"/>
    <x v="0"/>
    <s v="Country"/>
    <x v="0"/>
    <s v="CACTN"/>
    <x v="2"/>
    <s v="Non-significant benchmark"/>
    <n v="0"/>
    <n v="0"/>
    <n v="0"/>
    <n v="6020738085.8000002"/>
    <n v="0"/>
    <n v="0"/>
    <x v="15"/>
    <x v="1"/>
    <n v="5961250774.0508232"/>
    <n v="9.9789983686182637E-3"/>
    <s v="CACT"/>
  </r>
  <r>
    <x v="93"/>
    <x v="2"/>
    <s v="QS0011213657"/>
    <x v="0"/>
    <s v="Country"/>
    <x v="0"/>
    <s v="CACLG"/>
    <x v="2"/>
    <s v="Non-significant benchmark"/>
    <n v="0"/>
    <n v="0"/>
    <n v="0"/>
    <n v="0"/>
    <n v="0"/>
    <n v="0"/>
    <x v="0"/>
    <x v="1"/>
    <n v="0"/>
    <s v=""/>
    <s v="CACLG"/>
  </r>
  <r>
    <x v="94"/>
    <x v="2"/>
    <s v="QS0011213699"/>
    <x v="0"/>
    <s v="Country"/>
    <x v="0"/>
    <s v="CAR"/>
    <x v="2"/>
    <s v="Non-significant benchmark"/>
    <n v="0"/>
    <n v="0"/>
    <n v="0"/>
    <n v="0"/>
    <n v="0"/>
    <n v="0"/>
    <x v="0"/>
    <x v="1"/>
    <n v="0"/>
    <s v=""/>
    <s v="CACLG"/>
  </r>
  <r>
    <x v="95"/>
    <x v="2"/>
    <s v="QS0011213681"/>
    <x v="0"/>
    <s v="Country"/>
    <x v="0"/>
    <s v="CACLN"/>
    <x v="2"/>
    <s v="Non-significant benchmark"/>
    <n v="0"/>
    <n v="0"/>
    <n v="0"/>
    <n v="0"/>
    <n v="0"/>
    <n v="0"/>
    <x v="0"/>
    <x v="1"/>
    <n v="0"/>
    <s v=""/>
    <s v="CACLG"/>
  </r>
  <r>
    <x v="96"/>
    <x v="2"/>
    <s v="QS0010989133"/>
    <x v="0"/>
    <s v="Country"/>
    <x v="0"/>
    <s v="CACMS"/>
    <x v="2"/>
    <s v="Non-significant benchmark"/>
    <n v="0"/>
    <n v="0"/>
    <n v="0"/>
    <n v="173634941"/>
    <n v="0"/>
    <n v="0"/>
    <x v="16"/>
    <x v="1"/>
    <n v="679583300.29999995"/>
    <n v="-0.74449792847565655"/>
    <s v="CACMS"/>
  </r>
  <r>
    <x v="97"/>
    <x v="2"/>
    <s v="QS0011213756"/>
    <x v="0"/>
    <s v="Country"/>
    <x v="0"/>
    <s v="CMSG"/>
    <x v="2"/>
    <s v="Non-significant benchmark"/>
    <n v="0"/>
    <n v="0"/>
    <n v="0"/>
    <n v="61233827"/>
    <n v="0"/>
    <n v="0"/>
    <x v="17"/>
    <x v="1"/>
    <n v="0"/>
    <s v=""/>
    <s v="CACMS"/>
  </r>
  <r>
    <x v="98"/>
    <x v="2"/>
    <s v="QS0011213731"/>
    <x v="0"/>
    <s v="Country"/>
    <x v="0"/>
    <s v="CMSN"/>
    <x v="2"/>
    <s v="Non-significant benchmark"/>
    <n v="0"/>
    <n v="0"/>
    <n v="0"/>
    <n v="2003383790.2100003"/>
    <n v="0"/>
    <n v="0"/>
    <x v="18"/>
    <x v="1"/>
    <n v="774774312.21544743"/>
    <n v="1.5857643427559895"/>
    <s v="CACMS"/>
  </r>
  <r>
    <x v="99"/>
    <x v="2"/>
    <s v="QS0010989117"/>
    <x v="0"/>
    <s v="Country"/>
    <x v="0"/>
    <s v="CACMD"/>
    <x v="2"/>
    <s v="Non-significant benchmark"/>
    <n v="0"/>
    <n v="0"/>
    <n v="0"/>
    <n v="0"/>
    <n v="0"/>
    <n v="0"/>
    <x v="0"/>
    <x v="1"/>
    <n v="27660482.609999999"/>
    <n v="-1"/>
    <s v="CACMD"/>
  </r>
  <r>
    <x v="100"/>
    <x v="2"/>
    <s v="FR0013325032"/>
    <x v="0"/>
    <s v="Country"/>
    <x v="0"/>
    <s v="CAMID"/>
    <x v="2"/>
    <s v="Non-significant benchmark"/>
    <n v="3600000"/>
    <n v="5000000"/>
    <n v="3232788.4835999999"/>
    <n v="0"/>
    <n v="0"/>
    <n v="0"/>
    <x v="19"/>
    <x v="1"/>
    <n v="14799673.441163637"/>
    <n v="-0.75675138952816334"/>
    <s v="CACMD"/>
  </r>
  <r>
    <x v="101"/>
    <x v="2"/>
    <s v="QS0011131917"/>
    <x v="0"/>
    <s v="Country"/>
    <x v="0"/>
    <s v="CACMR"/>
    <x v="2"/>
    <s v="Non-significant benchmark"/>
    <n v="0"/>
    <n v="0"/>
    <n v="0"/>
    <n v="0"/>
    <n v="0"/>
    <n v="0"/>
    <x v="0"/>
    <x v="1"/>
    <n v="11355373.901000001"/>
    <n v="-1"/>
    <s v="CACMD"/>
  </r>
  <r>
    <x v="102"/>
    <x v="2"/>
    <s v="QS0011131909"/>
    <x v="0"/>
    <s v="Country"/>
    <x v="0"/>
    <s v="CACMN"/>
    <x v="2"/>
    <s v="Non-significant benchmark"/>
    <n v="0"/>
    <n v="0"/>
    <n v="0"/>
    <n v="684657431"/>
    <n v="0"/>
    <n v="0"/>
    <x v="20"/>
    <x v="1"/>
    <n v="731229138.48980331"/>
    <n v="-6.3689622087526709E-2"/>
    <s v="CACMD"/>
  </r>
  <r>
    <x v="103"/>
    <x v="2"/>
    <s v="QS0010989109"/>
    <x v="0"/>
    <s v="Country"/>
    <x v="0"/>
    <s v="CN20"/>
    <x v="2"/>
    <s v="Non-significant benchmark"/>
    <n v="0"/>
    <n v="0"/>
    <n v="0"/>
    <n v="0"/>
    <n v="0"/>
    <n v="0"/>
    <x v="0"/>
    <x v="1"/>
    <n v="0"/>
    <s v=""/>
    <s v="CN20"/>
  </r>
  <r>
    <x v="104"/>
    <x v="2"/>
    <s v="QS0011224233"/>
    <x v="0"/>
    <s v="Country"/>
    <x v="0"/>
    <s v="CN20G"/>
    <x v="2"/>
    <s v="Non-significant benchmark"/>
    <n v="0"/>
    <n v="0"/>
    <n v="0"/>
    <n v="0"/>
    <n v="0"/>
    <n v="0"/>
    <x v="0"/>
    <x v="1"/>
    <n v="0"/>
    <s v=""/>
    <s v="CN20"/>
  </r>
  <r>
    <x v="105"/>
    <x v="2"/>
    <s v="QS0011224092"/>
    <x v="0"/>
    <s v="Country"/>
    <x v="0"/>
    <s v="CN20N"/>
    <x v="2"/>
    <s v="Non-significant benchmark"/>
    <n v="0"/>
    <n v="0"/>
    <n v="0"/>
    <n v="0"/>
    <n v="2431500"/>
    <n v="0"/>
    <x v="21"/>
    <x v="1"/>
    <n v="2311500"/>
    <n v="5.1914341336794179E-2"/>
    <s v="CN20"/>
  </r>
  <r>
    <x v="106"/>
    <x v="2"/>
    <s v="QS0010989125"/>
    <x v="0"/>
    <s v="Country"/>
    <x v="0"/>
    <s v="CACS"/>
    <x v="2"/>
    <s v="Non-significant benchmark"/>
    <n v="0"/>
    <n v="0"/>
    <n v="0"/>
    <n v="0"/>
    <n v="26985000"/>
    <n v="0"/>
    <x v="22"/>
    <x v="1"/>
    <n v="90361282.650000006"/>
    <n v="-0.70136546086312113"/>
    <s v="CACS"/>
  </r>
  <r>
    <x v="107"/>
    <x v="2"/>
    <s v="QS0011213723"/>
    <x v="0"/>
    <s v="Country"/>
    <x v="0"/>
    <s v="CACSR"/>
    <x v="2"/>
    <s v="Non-significant benchmark"/>
    <n v="0"/>
    <n v="0"/>
    <n v="0"/>
    <n v="0"/>
    <n v="0"/>
    <n v="0"/>
    <x v="0"/>
    <x v="1"/>
    <n v="0"/>
    <s v=""/>
    <s v="CACS"/>
  </r>
  <r>
    <x v="108"/>
    <x v="2"/>
    <s v="QS0011213707"/>
    <x v="0"/>
    <s v="Country"/>
    <x v="0"/>
    <s v="CACSN"/>
    <x v="2"/>
    <s v="Non-significant benchmark"/>
    <n v="0"/>
    <n v="0"/>
    <n v="0"/>
    <n v="1861205632.79"/>
    <n v="0"/>
    <n v="0"/>
    <x v="23"/>
    <x v="1"/>
    <n v="882423661.17949653"/>
    <n v="1.1091973330613198"/>
    <s v="CACS"/>
  </r>
  <r>
    <x v="109"/>
    <x v="2"/>
    <s v="FR0003999481"/>
    <x v="0"/>
    <s v="Country"/>
    <x v="0"/>
    <s v="PX4"/>
    <x v="2"/>
    <s v="Non-significant benchmark"/>
    <n v="0"/>
    <n v="0"/>
    <n v="0"/>
    <n v="47489040.660000011"/>
    <n v="0"/>
    <n v="0"/>
    <x v="24"/>
    <x v="1"/>
    <n v="3098680328.5900002"/>
    <n v="-0.98467443052390979"/>
    <s v="PX4"/>
  </r>
  <r>
    <x v="110"/>
    <x v="2"/>
    <s v="QS0011131859"/>
    <x v="0"/>
    <s v="Country"/>
    <x v="0"/>
    <s v="PX4GR"/>
    <x v="2"/>
    <s v="Non-significant benchmark"/>
    <n v="0"/>
    <n v="0"/>
    <n v="0"/>
    <n v="0"/>
    <n v="0"/>
    <n v="0"/>
    <x v="0"/>
    <x v="1"/>
    <n v="7529173.2400000002"/>
    <n v="-1"/>
    <s v="PX4"/>
  </r>
  <r>
    <x v="111"/>
    <x v="2"/>
    <s v="QS0011131842"/>
    <x v="0"/>
    <s v="Country"/>
    <x v="0"/>
    <s v="PX4NR"/>
    <x v="2"/>
    <s v="Non-significant benchmark"/>
    <n v="0"/>
    <n v="0"/>
    <n v="0"/>
    <n v="5948578738.5150023"/>
    <n v="0"/>
    <n v="0"/>
    <x v="25"/>
    <x v="1"/>
    <n v="2378958255.432817"/>
    <n v="1.5004973184923518"/>
    <s v="PX4"/>
  </r>
  <r>
    <x v="112"/>
    <x v="11"/>
    <s v="FR0014002B31"/>
    <x v="1"/>
    <s v="Broad ESG"/>
    <x v="1"/>
    <s v="CESGP"/>
    <x v="2"/>
    <s v="Non-significant benchmark"/>
    <n v="137099606"/>
    <n v="216540000"/>
    <n v="46272163.366400003"/>
    <n v="0"/>
    <n v="0"/>
    <n v="0"/>
    <x v="26"/>
    <x v="0"/>
    <n v="891532503.75082576"/>
    <n v="-0.84622029435472168"/>
    <s v="CESGP"/>
  </r>
  <r>
    <x v="113"/>
    <x v="11"/>
    <s v="FR0014002G69"/>
    <x v="1"/>
    <s v="Broad ESG"/>
    <x v="1"/>
    <s v="CED3"/>
    <x v="2"/>
    <s v="Non-significant benchmark"/>
    <n v="0"/>
    <n v="0"/>
    <n v="0"/>
    <n v="0"/>
    <n v="0"/>
    <n v="0"/>
    <x v="0"/>
    <x v="0"/>
    <n v="0"/>
    <s v=""/>
    <s v="CESGP"/>
  </r>
  <r>
    <x v="114"/>
    <x v="11"/>
    <s v="FR0014002G51"/>
    <x v="1"/>
    <s v="Broad ESG"/>
    <x v="1"/>
    <s v="CED35"/>
    <x v="2"/>
    <s v="Non-significant benchmark"/>
    <n v="0"/>
    <n v="0"/>
    <n v="0"/>
    <n v="0"/>
    <n v="0"/>
    <n v="0"/>
    <x v="0"/>
    <x v="0"/>
    <n v="0"/>
    <s v=""/>
    <s v="CESGP"/>
  </r>
  <r>
    <x v="115"/>
    <x v="11"/>
    <s v="FR0014002G77"/>
    <x v="1"/>
    <s v="Broad ESG"/>
    <x v="1"/>
    <s v="CED4"/>
    <x v="2"/>
    <s v="Non-significant benchmark"/>
    <n v="0"/>
    <n v="0"/>
    <n v="0"/>
    <n v="0"/>
    <n v="0"/>
    <n v="0"/>
    <x v="0"/>
    <x v="0"/>
    <n v="0"/>
    <s v=""/>
    <s v="CESGP"/>
  </r>
  <r>
    <x v="116"/>
    <x v="11"/>
    <s v="FR0014002G85"/>
    <x v="1"/>
    <s v="Broad ESG"/>
    <x v="1"/>
    <s v="CED45"/>
    <x v="2"/>
    <s v="Non-significant benchmark"/>
    <n v="0"/>
    <n v="0"/>
    <n v="0"/>
    <n v="0"/>
    <n v="0"/>
    <n v="0"/>
    <x v="0"/>
    <x v="0"/>
    <n v="0"/>
    <s v=""/>
    <s v="CESGP"/>
  </r>
  <r>
    <x v="117"/>
    <x v="11"/>
    <s v="FR0014002G93"/>
    <x v="1"/>
    <s v="Broad ESG"/>
    <x v="1"/>
    <s v="CED5"/>
    <x v="2"/>
    <s v="Non-significant benchmark"/>
    <n v="0"/>
    <n v="200000000"/>
    <n v="27713562.812400002"/>
    <n v="0"/>
    <n v="0"/>
    <n v="0"/>
    <x v="27"/>
    <x v="0"/>
    <n v="200000000"/>
    <n v="0"/>
    <s v="CESGP"/>
  </r>
  <r>
    <x v="118"/>
    <x v="11"/>
    <s v="FR0014002B49"/>
    <x v="1"/>
    <s v="Broad ESG"/>
    <x v="1"/>
    <s v="CESGG"/>
    <x v="2"/>
    <s v="Non-significant benchmark"/>
    <n v="0"/>
    <n v="0"/>
    <n v="0"/>
    <n v="329732605"/>
    <n v="0"/>
    <n v="0"/>
    <x v="28"/>
    <x v="0"/>
    <n v="498688093.01062465"/>
    <n v="-0.33879992399783454"/>
    <s v="CESGP"/>
  </r>
  <r>
    <x v="119"/>
    <x v="11"/>
    <s v="FR0014002B56"/>
    <x v="1"/>
    <s v="Broad ESG"/>
    <x v="1"/>
    <s v="CESGN"/>
    <x v="2"/>
    <s v="Non-significant benchmark"/>
    <n v="0"/>
    <n v="0"/>
    <n v="0"/>
    <n v="1114756668"/>
    <n v="0"/>
    <n v="0"/>
    <x v="29"/>
    <x v="0"/>
    <n v="764621182.25999999"/>
    <n v="0.45792020135395717"/>
    <s v="CESGP"/>
  </r>
  <r>
    <x v="120"/>
    <x v="12"/>
    <s v="FRIX00000953"/>
    <x v="0"/>
    <s v="Strategy"/>
    <x v="0"/>
    <s v="CACIN"/>
    <x v="2"/>
    <s v="Non-significant benchmark"/>
    <n v="0"/>
    <n v="0"/>
    <n v="0"/>
    <n v="0"/>
    <n v="0"/>
    <n v="0"/>
    <x v="0"/>
    <x v="1"/>
    <n v="0"/>
    <s v=""/>
    <n v="0"/>
  </r>
  <r>
    <x v="121"/>
    <x v="12"/>
    <s v="FRIX00000961"/>
    <x v="0"/>
    <s v="Strategy"/>
    <x v="0"/>
    <s v="NCACI"/>
    <x v="2"/>
    <s v="Non-significant benchmark"/>
    <n v="0"/>
    <n v="0"/>
    <n v="2919640.8812000002"/>
    <n v="0"/>
    <n v="0"/>
    <n v="0"/>
    <x v="30"/>
    <x v="1"/>
    <n v="2930978.6081000003"/>
    <n v="-3.8682393889424294E-3"/>
    <n v="0"/>
  </r>
  <r>
    <x v="122"/>
    <x v="13"/>
    <s v="QS0010989141"/>
    <x v="0"/>
    <s v="Country"/>
    <x v="0"/>
    <s v="PAX"/>
    <x v="2"/>
    <s v="Non-significant benchmark"/>
    <n v="0"/>
    <n v="0"/>
    <n v="0"/>
    <n v="0"/>
    <n v="0"/>
    <n v="0"/>
    <x v="0"/>
    <x v="1"/>
    <n v="0"/>
    <s v=""/>
    <s v="PAX"/>
  </r>
  <r>
    <x v="123"/>
    <x v="13"/>
    <s v="QS0011224217"/>
    <x v="0"/>
    <s v="Country"/>
    <x v="0"/>
    <s v="PAXNR"/>
    <x v="2"/>
    <s v="Non-significant benchmark"/>
    <n v="0"/>
    <n v="0"/>
    <n v="0"/>
    <n v="0"/>
    <n v="0"/>
    <n v="0"/>
    <x v="0"/>
    <x v="1"/>
    <n v="0"/>
    <s v=""/>
    <s v="PAX"/>
  </r>
  <r>
    <x v="124"/>
    <x v="2"/>
    <s v="FRIX00003072"/>
    <x v="0"/>
    <s v="Country"/>
    <x v="0"/>
    <s v="PX1G5"/>
    <x v="2"/>
    <s v="Significant Benchmark"/>
    <m/>
    <m/>
    <m/>
    <m/>
    <m/>
    <m/>
    <x v="31"/>
    <x v="3"/>
    <m/>
    <m/>
    <m/>
  </r>
  <r>
    <x v="125"/>
    <x v="13"/>
    <s v="QS0011017637"/>
    <x v="0"/>
    <s v="Industry"/>
    <x v="0"/>
    <s v="FRBM"/>
    <x v="2"/>
    <s v="Non-significant benchmark"/>
    <n v="0"/>
    <n v="0"/>
    <n v="0"/>
    <n v="0"/>
    <n v="0"/>
    <n v="0"/>
    <x v="0"/>
    <x v="1"/>
    <n v="0"/>
    <s v=""/>
    <s v="FRBM"/>
  </r>
  <r>
    <x v="126"/>
    <x v="13"/>
    <s v="QS0011223979"/>
    <x v="0"/>
    <s v="Industry"/>
    <x v="0"/>
    <s v="FRBMN"/>
    <x v="2"/>
    <s v="Non-significant benchmark"/>
    <n v="0"/>
    <n v="0"/>
    <n v="0"/>
    <n v="0"/>
    <n v="0"/>
    <n v="0"/>
    <x v="0"/>
    <x v="1"/>
    <n v="0"/>
    <s v=""/>
    <s v="FRBM"/>
  </r>
  <r>
    <x v="127"/>
    <x v="13"/>
    <s v="QS0011017686"/>
    <x v="0"/>
    <s v="Industry"/>
    <x v="0"/>
    <s v="FRCG"/>
    <x v="2"/>
    <s v="Non-significant benchmark"/>
    <n v="0"/>
    <n v="0"/>
    <n v="0"/>
    <n v="0"/>
    <n v="0"/>
    <n v="0"/>
    <x v="0"/>
    <x v="1"/>
    <n v="0"/>
    <s v=""/>
    <s v="FRCG"/>
  </r>
  <r>
    <x v="128"/>
    <x v="13"/>
    <s v="QS0011223995"/>
    <x v="0"/>
    <s v="Industry"/>
    <x v="0"/>
    <s v="FRCGN"/>
    <x v="2"/>
    <s v="Non-significant benchmark"/>
    <n v="0"/>
    <n v="0"/>
    <n v="0"/>
    <n v="0"/>
    <n v="0"/>
    <n v="0"/>
    <x v="0"/>
    <x v="1"/>
    <n v="0"/>
    <s v=""/>
    <s v="FRCG"/>
  </r>
  <r>
    <x v="129"/>
    <x v="13"/>
    <s v="QS0011017736"/>
    <x v="0"/>
    <s v="Industry"/>
    <x v="0"/>
    <s v="FRCS"/>
    <x v="2"/>
    <s v="Non-significant benchmark"/>
    <n v="0"/>
    <n v="0"/>
    <n v="0"/>
    <n v="0"/>
    <n v="0"/>
    <n v="0"/>
    <x v="0"/>
    <x v="1"/>
    <n v="0"/>
    <s v=""/>
    <s v="FRCS"/>
  </r>
  <r>
    <x v="130"/>
    <x v="13"/>
    <s v="QS0011224290"/>
    <x v="0"/>
    <s v="Industry"/>
    <x v="0"/>
    <s v="FRCSN"/>
    <x v="2"/>
    <s v="Non-significant benchmark"/>
    <n v="0"/>
    <n v="0"/>
    <n v="0"/>
    <n v="0"/>
    <n v="0"/>
    <n v="0"/>
    <x v="0"/>
    <x v="1"/>
    <n v="0"/>
    <s v=""/>
    <s v="FRCS"/>
  </r>
  <r>
    <x v="131"/>
    <x v="13"/>
    <s v="QS0011017603"/>
    <x v="0"/>
    <s v="Industry"/>
    <x v="0"/>
    <s v="FROG"/>
    <x v="2"/>
    <s v="Non-significant benchmark"/>
    <n v="0"/>
    <n v="0"/>
    <n v="0"/>
    <n v="0"/>
    <n v="0"/>
    <n v="0"/>
    <x v="0"/>
    <x v="1"/>
    <n v="0"/>
    <s v=""/>
    <s v="FROG"/>
  </r>
  <r>
    <x v="132"/>
    <x v="13"/>
    <s v="QS0011223698"/>
    <x v="0"/>
    <s v="Industry"/>
    <x v="0"/>
    <s v="FROGN"/>
    <x v="2"/>
    <s v="Non-significant benchmark"/>
    <n v="0"/>
    <n v="0"/>
    <n v="0"/>
    <n v="0"/>
    <n v="0"/>
    <n v="0"/>
    <x v="0"/>
    <x v="1"/>
    <n v="0"/>
    <s v=""/>
    <s v="FROG"/>
  </r>
  <r>
    <x v="133"/>
    <x v="13"/>
    <s v="QS0011017801"/>
    <x v="0"/>
    <s v="Industry"/>
    <x v="0"/>
    <s v="FRFIN"/>
    <x v="2"/>
    <s v="Non-significant benchmark"/>
    <n v="0"/>
    <n v="0"/>
    <n v="0"/>
    <n v="0"/>
    <n v="0"/>
    <n v="0"/>
    <x v="0"/>
    <x v="1"/>
    <n v="0"/>
    <s v=""/>
    <s v="FRFIN"/>
  </r>
  <r>
    <x v="134"/>
    <x v="13"/>
    <s v="QS0011224373"/>
    <x v="0"/>
    <s v="Industry"/>
    <x v="0"/>
    <s v="FRFNN"/>
    <x v="2"/>
    <s v="Non-significant benchmark"/>
    <n v="0"/>
    <n v="0"/>
    <n v="0"/>
    <n v="0"/>
    <n v="0"/>
    <n v="0"/>
    <x v="0"/>
    <x v="1"/>
    <n v="0"/>
    <s v=""/>
    <s v="FRFIN"/>
  </r>
  <r>
    <x v="135"/>
    <x v="13"/>
    <s v="QS0011017702"/>
    <x v="0"/>
    <s v="Industry"/>
    <x v="0"/>
    <s v="FRHC"/>
    <x v="2"/>
    <s v="Non-significant benchmark"/>
    <n v="0"/>
    <n v="0"/>
    <n v="0"/>
    <n v="0"/>
    <n v="0"/>
    <n v="0"/>
    <x v="0"/>
    <x v="1"/>
    <n v="0"/>
    <s v=""/>
    <s v="FRHC"/>
  </r>
  <r>
    <x v="136"/>
    <x v="13"/>
    <s v="QS0011224498"/>
    <x v="0"/>
    <s v="Industry"/>
    <x v="0"/>
    <s v="FRHCN"/>
    <x v="2"/>
    <s v="Non-significant benchmark"/>
    <n v="0"/>
    <n v="0"/>
    <n v="0"/>
    <n v="0"/>
    <n v="0"/>
    <n v="0"/>
    <x v="0"/>
    <x v="1"/>
    <n v="0"/>
    <s v=""/>
    <s v="FRHC"/>
  </r>
  <r>
    <x v="137"/>
    <x v="13"/>
    <s v="QS0011017652"/>
    <x v="0"/>
    <s v="Industry"/>
    <x v="0"/>
    <s v="FRIN"/>
    <x v="2"/>
    <s v="Non-significant benchmark"/>
    <n v="0"/>
    <n v="0"/>
    <n v="0"/>
    <n v="0"/>
    <n v="0"/>
    <n v="0"/>
    <x v="0"/>
    <x v="1"/>
    <n v="0"/>
    <s v=""/>
    <s v="FRIN"/>
  </r>
  <r>
    <x v="138"/>
    <x v="13"/>
    <s v="QS0011224571"/>
    <x v="0"/>
    <s v="Industry"/>
    <x v="0"/>
    <s v="FRINN"/>
    <x v="2"/>
    <s v="Non-significant benchmark"/>
    <n v="0"/>
    <n v="0"/>
    <n v="0"/>
    <n v="0"/>
    <n v="0"/>
    <n v="0"/>
    <x v="0"/>
    <x v="1"/>
    <n v="0"/>
    <s v=""/>
    <s v="FRIN"/>
  </r>
  <r>
    <x v="139"/>
    <x v="13"/>
    <s v="FR0013506771"/>
    <x v="0"/>
    <s v="Industry"/>
    <x v="0"/>
    <s v="FRRE"/>
    <x v="2"/>
    <s v="Non-significant benchmark"/>
    <n v="0"/>
    <n v="0"/>
    <n v="0"/>
    <n v="0"/>
    <n v="0"/>
    <n v="0"/>
    <x v="0"/>
    <x v="1"/>
    <n v="0"/>
    <s v=""/>
    <s v="FRRE"/>
  </r>
  <r>
    <x v="140"/>
    <x v="13"/>
    <s v="FR0013506789"/>
    <x v="0"/>
    <s v="Industry"/>
    <x v="0"/>
    <s v="FRREN"/>
    <x v="2"/>
    <s v="Non-significant benchmark"/>
    <n v="0"/>
    <n v="0"/>
    <n v="0"/>
    <n v="0"/>
    <n v="0"/>
    <n v="0"/>
    <x v="0"/>
    <x v="1"/>
    <n v="0"/>
    <s v=""/>
    <s v="FRRE"/>
  </r>
  <r>
    <x v="141"/>
    <x v="13"/>
    <s v="QS0011017827"/>
    <x v="0"/>
    <s v="Industry"/>
    <x v="0"/>
    <s v="FRTEC"/>
    <x v="2"/>
    <s v="Non-significant benchmark"/>
    <n v="0"/>
    <n v="0"/>
    <n v="0"/>
    <n v="0"/>
    <n v="0"/>
    <n v="0"/>
    <x v="0"/>
    <x v="1"/>
    <n v="0"/>
    <s v=""/>
    <s v="FRTEC"/>
  </r>
  <r>
    <x v="142"/>
    <x v="13"/>
    <s v="QS0011223896"/>
    <x v="0"/>
    <s v="Industry"/>
    <x v="0"/>
    <s v="FRTCN"/>
    <x v="2"/>
    <s v="Non-significant benchmark"/>
    <n v="0"/>
    <n v="0"/>
    <n v="0"/>
    <n v="0"/>
    <n v="0"/>
    <n v="0"/>
    <x v="0"/>
    <x v="1"/>
    <n v="0"/>
    <s v=""/>
    <s v="FRTEC"/>
  </r>
  <r>
    <x v="143"/>
    <x v="13"/>
    <s v="QS0011017769"/>
    <x v="0"/>
    <s v="Industry"/>
    <x v="0"/>
    <s v="FRTEL"/>
    <x v="2"/>
    <s v="Non-significant benchmark"/>
    <n v="0"/>
    <n v="0"/>
    <n v="0"/>
    <n v="0"/>
    <n v="0"/>
    <n v="0"/>
    <x v="0"/>
    <x v="1"/>
    <n v="0"/>
    <s v=""/>
    <s v="FRTEL"/>
  </r>
  <r>
    <x v="144"/>
    <x v="13"/>
    <s v="QS0011223920"/>
    <x v="0"/>
    <s v="Industry"/>
    <x v="0"/>
    <s v="FRTEN"/>
    <x v="2"/>
    <s v="Non-significant benchmark"/>
    <n v="0"/>
    <n v="0"/>
    <n v="0"/>
    <n v="0"/>
    <n v="0"/>
    <n v="0"/>
    <x v="0"/>
    <x v="1"/>
    <n v="0"/>
    <s v=""/>
    <s v="FRTEL"/>
  </r>
  <r>
    <x v="145"/>
    <x v="13"/>
    <s v="QS0011017785"/>
    <x v="0"/>
    <s v="Industry"/>
    <x v="0"/>
    <s v="FRUT"/>
    <x v="2"/>
    <s v="Non-significant benchmark"/>
    <n v="0"/>
    <n v="0"/>
    <n v="0"/>
    <n v="0"/>
    <n v="0"/>
    <n v="0"/>
    <x v="0"/>
    <x v="1"/>
    <n v="0"/>
    <s v=""/>
    <s v="FRUT"/>
  </r>
  <r>
    <x v="146"/>
    <x v="13"/>
    <s v="QS0011224084"/>
    <x v="0"/>
    <s v="Industry"/>
    <x v="0"/>
    <s v="FRUTN"/>
    <x v="2"/>
    <s v="Non-significant benchmark"/>
    <n v="0"/>
    <n v="0"/>
    <n v="0"/>
    <n v="0"/>
    <n v="0"/>
    <n v="0"/>
    <x v="0"/>
    <x v="1"/>
    <n v="0"/>
    <s v=""/>
    <s v="FRUT"/>
  </r>
  <r>
    <x v="147"/>
    <x v="14"/>
    <s v="FR0012246023"/>
    <x v="0"/>
    <s v="Country"/>
    <x v="0"/>
    <s v="ENPME"/>
    <x v="2"/>
    <s v="Non-significant benchmark"/>
    <n v="0"/>
    <n v="0"/>
    <n v="0"/>
    <n v="15832800"/>
    <n v="0"/>
    <n v="0"/>
    <x v="32"/>
    <x v="1"/>
    <n v="76211228.406393528"/>
    <n v="-0.79225108516067755"/>
    <s v="ENPME"/>
  </r>
  <r>
    <x v="148"/>
    <x v="14"/>
    <s v="FR0012246049"/>
    <x v="0"/>
    <s v="Country"/>
    <x v="0"/>
    <s v="EPMEG"/>
    <x v="2"/>
    <s v="Non-significant benchmark"/>
    <n v="0"/>
    <n v="0"/>
    <n v="0"/>
    <n v="175100475"/>
    <n v="0"/>
    <n v="0"/>
    <x v="33"/>
    <x v="1"/>
    <n v="5920000"/>
    <n v="28.577782939189188"/>
    <s v="ENPME"/>
  </r>
  <r>
    <x v="149"/>
    <x v="15"/>
    <s v="FR0013376258"/>
    <x v="1"/>
    <s v="Broad ESG"/>
    <x v="1"/>
    <s v="C6RIP"/>
    <x v="2"/>
    <s v="Non-significant benchmark"/>
    <n v="0"/>
    <n v="0"/>
    <n v="0"/>
    <n v="0"/>
    <n v="0"/>
    <n v="0"/>
    <x v="0"/>
    <x v="1"/>
    <n v="0"/>
    <s v=""/>
    <s v="C6RIP"/>
  </r>
  <r>
    <x v="150"/>
    <x v="15"/>
    <s v="FR0013376282"/>
    <x v="1"/>
    <s v="Broad ESG"/>
    <x v="1"/>
    <s v="C6RI"/>
    <x v="2"/>
    <s v="Non-significant benchmark"/>
    <n v="0"/>
    <n v="285650359.02450001"/>
    <n v="59829612.505599998"/>
    <n v="0"/>
    <n v="0"/>
    <n v="0"/>
    <x v="34"/>
    <x v="1"/>
    <n v="262300359.02450001"/>
    <n v="8.9020084024433288E-2"/>
    <s v="C6RIP"/>
  </r>
  <r>
    <x v="151"/>
    <x v="15"/>
    <s v="FR0013376274"/>
    <x v="1"/>
    <s v="Broad ESG"/>
    <x v="1"/>
    <s v="C6RIG"/>
    <x v="2"/>
    <s v="Non-significant benchmark"/>
    <n v="0"/>
    <n v="0"/>
    <n v="0"/>
    <n v="0"/>
    <n v="0"/>
    <n v="0"/>
    <x v="0"/>
    <x v="1"/>
    <n v="0"/>
    <s v=""/>
    <s v="C6RIP"/>
  </r>
  <r>
    <x v="152"/>
    <x v="15"/>
    <s v="FR0013376266"/>
    <x v="1"/>
    <s v="Broad ESG"/>
    <x v="1"/>
    <s v="C6RIN"/>
    <x v="2"/>
    <s v="Non-significant benchmark"/>
    <n v="0"/>
    <n v="0"/>
    <n v="0"/>
    <n v="0"/>
    <n v="0"/>
    <n v="0"/>
    <x v="0"/>
    <x v="1"/>
    <n v="0"/>
    <s v=""/>
    <s v="C6RIP"/>
  </r>
  <r>
    <x v="153"/>
    <x v="16"/>
    <s v="FRESG0001031"/>
    <x v="1"/>
    <s v="Climate;Environmental"/>
    <x v="1"/>
    <s v="CSBTP"/>
    <x v="2"/>
    <s v="Non-significant benchmark"/>
    <n v="0"/>
    <n v="0"/>
    <n v="0"/>
    <n v="0"/>
    <n v="0"/>
    <n v="0"/>
    <x v="0"/>
    <x v="0"/>
    <n v="0"/>
    <s v=""/>
    <s v="CSBTP"/>
  </r>
  <r>
    <x v="154"/>
    <x v="16"/>
    <s v="FRESG0001056"/>
    <x v="1"/>
    <s v="Climate;Environmental"/>
    <x v="1"/>
    <s v="CSBTG"/>
    <x v="2"/>
    <s v="Non-significant benchmark"/>
    <n v="0"/>
    <n v="0"/>
    <n v="0"/>
    <n v="0"/>
    <n v="0"/>
    <n v="0"/>
    <x v="0"/>
    <x v="0"/>
    <n v="0"/>
    <s v=""/>
    <s v="CSBTP"/>
  </r>
  <r>
    <x v="155"/>
    <x v="16"/>
    <s v="FRESG0001122"/>
    <x v="1"/>
    <s v="Climate;Environmental"/>
    <x v="1"/>
    <s v="CSG3D"/>
    <x v="2"/>
    <s v="Non-significant benchmark"/>
    <n v="0"/>
    <n v="0"/>
    <n v="0"/>
    <n v="0"/>
    <n v="0"/>
    <n v="0"/>
    <x v="0"/>
    <x v="0"/>
    <n v="0"/>
    <s v=""/>
    <s v="CSBTP"/>
  </r>
  <r>
    <x v="156"/>
    <x v="16"/>
    <s v="FRESG0001130"/>
    <x v="1"/>
    <s v="Climate;Environmental"/>
    <x v="1"/>
    <s v="CSG4D"/>
    <x v="2"/>
    <s v="Non-significant benchmark"/>
    <n v="0"/>
    <n v="0"/>
    <n v="0"/>
    <n v="0"/>
    <n v="0"/>
    <n v="0"/>
    <x v="0"/>
    <x v="0"/>
    <n v="0"/>
    <s v=""/>
    <s v="CSBTP"/>
  </r>
  <r>
    <x v="157"/>
    <x v="16"/>
    <s v="FRESG0001148"/>
    <x v="1"/>
    <s v="Climate;Environmental"/>
    <x v="1"/>
    <s v="CSG5D"/>
    <x v="2"/>
    <s v="Non-significant benchmark"/>
    <n v="0"/>
    <n v="0"/>
    <n v="0"/>
    <n v="0"/>
    <n v="0"/>
    <n v="0"/>
    <x v="0"/>
    <x v="0"/>
    <n v="0"/>
    <s v=""/>
    <s v="CSBTP"/>
  </r>
  <r>
    <x v="158"/>
    <x v="16"/>
    <s v="FRESG0001049"/>
    <x v="1"/>
    <s v="Climate;Environmental"/>
    <x v="1"/>
    <s v="CSBTN"/>
    <x v="2"/>
    <s v="Non-significant benchmark"/>
    <n v="0"/>
    <n v="0"/>
    <n v="0"/>
    <n v="0"/>
    <n v="0"/>
    <n v="0"/>
    <x v="0"/>
    <x v="0"/>
    <n v="0"/>
    <s v=""/>
    <s v="CSBTP"/>
  </r>
  <r>
    <x v="159"/>
    <x v="16"/>
    <s v="FRESG0001098"/>
    <x v="1"/>
    <s v="Climate;Environmental"/>
    <x v="1"/>
    <s v="CSN3D"/>
    <x v="2"/>
    <s v="Non-significant benchmark"/>
    <n v="0"/>
    <n v="0"/>
    <n v="0"/>
    <n v="0"/>
    <n v="0"/>
    <n v="0"/>
    <x v="0"/>
    <x v="0"/>
    <n v="0"/>
    <s v=""/>
    <s v="CSBTP"/>
  </r>
  <r>
    <x v="160"/>
    <x v="16"/>
    <s v="FRESG0001106"/>
    <x v="1"/>
    <s v="Climate;Environmental"/>
    <x v="1"/>
    <s v="CSN4D"/>
    <x v="2"/>
    <s v="Non-significant benchmark"/>
    <n v="0"/>
    <n v="0"/>
    <n v="0"/>
    <n v="0"/>
    <n v="0"/>
    <n v="0"/>
    <x v="0"/>
    <x v="0"/>
    <n v="0"/>
    <s v=""/>
    <s v="CSBTP"/>
  </r>
  <r>
    <x v="161"/>
    <x v="16"/>
    <s v="FRESG0001114"/>
    <x v="1"/>
    <s v="Climate;Environmental"/>
    <x v="1"/>
    <s v="CSN5D"/>
    <x v="2"/>
    <s v="Non-significant benchmark"/>
    <n v="0"/>
    <n v="0"/>
    <n v="0"/>
    <n v="0"/>
    <n v="0"/>
    <n v="0"/>
    <x v="0"/>
    <x v="0"/>
    <n v="0"/>
    <s v=""/>
    <s v="CSBTP"/>
  </r>
  <r>
    <x v="162"/>
    <x v="17"/>
    <s v="QS0011158118"/>
    <x v="0"/>
    <s v="Strategy"/>
    <x v="0"/>
    <s v="CACDI"/>
    <x v="2"/>
    <s v="Non-significant benchmark"/>
    <n v="0"/>
    <n v="0"/>
    <n v="0"/>
    <n v="0"/>
    <n v="0"/>
    <n v="105621370"/>
    <x v="35"/>
    <x v="1"/>
    <n v="130328437"/>
    <n v="-0.18957541092892871"/>
    <s v="CACDI"/>
  </r>
  <r>
    <x v="163"/>
    <x v="18"/>
    <s v="QS0011159777"/>
    <x v="0"/>
    <s v="Country"/>
    <x v="0"/>
    <s v="CACEW"/>
    <x v="2"/>
    <s v="Non-significant benchmark"/>
    <n v="0"/>
    <n v="0"/>
    <n v="0"/>
    <n v="0"/>
    <n v="0"/>
    <n v="0"/>
    <x v="0"/>
    <x v="1"/>
    <n v="0"/>
    <s v=""/>
    <s v="CACEW"/>
  </r>
  <r>
    <x v="164"/>
    <x v="18"/>
    <s v="QS0011211214"/>
    <x v="0"/>
    <s v="Country"/>
    <x v="0"/>
    <s v="CACEG"/>
    <x v="2"/>
    <s v="Non-significant benchmark"/>
    <n v="0"/>
    <n v="0"/>
    <n v="0"/>
    <n v="0"/>
    <n v="0"/>
    <n v="0"/>
    <x v="0"/>
    <x v="1"/>
    <n v="0"/>
    <s v=""/>
    <s v="CACEW"/>
  </r>
  <r>
    <x v="165"/>
    <x v="18"/>
    <s v="QS0011211198"/>
    <x v="0"/>
    <s v="Country"/>
    <x v="0"/>
    <s v="CACEN"/>
    <x v="2"/>
    <s v="Non-significant benchmark"/>
    <n v="0"/>
    <n v="0"/>
    <n v="0"/>
    <n v="0"/>
    <n v="0"/>
    <n v="0"/>
    <x v="0"/>
    <x v="1"/>
    <n v="0"/>
    <s v=""/>
    <s v="CACEW"/>
  </r>
  <r>
    <x v="166"/>
    <x v="18"/>
    <s v="FR0013236254"/>
    <x v="0"/>
    <s v="Country"/>
    <x v="0"/>
    <s v="C4EWD"/>
    <x v="2"/>
    <s v="Non-significant benchmark"/>
    <n v="9944000"/>
    <n v="63000000"/>
    <n v="4384066.4336000001"/>
    <n v="0"/>
    <n v="0"/>
    <n v="0"/>
    <x v="36"/>
    <x v="1"/>
    <n v="92107000"/>
    <n v="-0.89203860727197715"/>
    <s v="CACEW"/>
  </r>
  <r>
    <x v="167"/>
    <x v="19"/>
    <s v="FR0012712081"/>
    <x v="0"/>
    <s v="Country"/>
    <x v="0"/>
    <s v="CAEWC"/>
    <x v="2"/>
    <s v="Non-significant benchmark"/>
    <n v="0"/>
    <n v="0"/>
    <n v="0"/>
    <n v="0"/>
    <n v="0"/>
    <n v="0"/>
    <x v="0"/>
    <x v="1"/>
    <n v="0"/>
    <s v=""/>
    <e v="#N/A"/>
  </r>
  <r>
    <x v="168"/>
    <x v="20"/>
    <s v="FR0012663292"/>
    <x v="0"/>
    <s v="Country"/>
    <x v="0"/>
    <s v="CLEW"/>
    <x v="2"/>
    <s v="Non-significant benchmark"/>
    <n v="0"/>
    <n v="0"/>
    <n v="0"/>
    <n v="0"/>
    <n v="0"/>
    <n v="0"/>
    <x v="0"/>
    <x v="1"/>
    <n v="0"/>
    <s v=""/>
    <s v="CLEW"/>
  </r>
  <r>
    <x v="169"/>
    <x v="20"/>
    <s v="FR0013517802"/>
    <x v="0"/>
    <s v="Country"/>
    <x v="0"/>
    <s v="CLEW4"/>
    <x v="2"/>
    <s v="Non-significant benchmark"/>
    <n v="0"/>
    <n v="0"/>
    <n v="0"/>
    <n v="0"/>
    <n v="0"/>
    <n v="0"/>
    <x v="0"/>
    <x v="1"/>
    <n v="0"/>
    <s v=""/>
    <s v="CLEW"/>
  </r>
  <r>
    <x v="170"/>
    <x v="20"/>
    <s v="FR0012663318"/>
    <x v="0"/>
    <s v="Country"/>
    <x v="0"/>
    <s v="CLEWG"/>
    <x v="2"/>
    <s v="Non-significant benchmark"/>
    <n v="0"/>
    <n v="1284044000"/>
    <n v="0"/>
    <n v="0"/>
    <n v="0"/>
    <n v="0"/>
    <x v="37"/>
    <x v="1"/>
    <n v="1256282000"/>
    <n v="2.2098541569488317E-2"/>
    <s v="CLEW"/>
  </r>
  <r>
    <x v="171"/>
    <x v="20"/>
    <s v="FR0012663300"/>
    <x v="0"/>
    <s v="Country"/>
    <x v="0"/>
    <s v="CLEWN"/>
    <x v="2"/>
    <s v="Non-significant benchmark"/>
    <n v="0"/>
    <n v="0"/>
    <n v="0"/>
    <n v="0"/>
    <n v="0"/>
    <n v="0"/>
    <x v="0"/>
    <x v="1"/>
    <n v="0"/>
    <s v=""/>
    <s v="CLEW"/>
  </r>
  <r>
    <x v="172"/>
    <x v="20"/>
    <s v="FR0012663334"/>
    <x v="0"/>
    <s v="Country"/>
    <x v="0"/>
    <s v="CLEWE"/>
    <x v="2"/>
    <s v="Non-significant benchmark"/>
    <n v="0"/>
    <n v="2914671477.6789999"/>
    <n v="2145530797.8436"/>
    <n v="0"/>
    <n v="0"/>
    <n v="0"/>
    <x v="38"/>
    <x v="1"/>
    <n v="3581080677.6789999"/>
    <n v="-0.18609164662325306"/>
    <s v="CLEW"/>
  </r>
  <r>
    <x v="173"/>
    <x v="21"/>
    <s v="FR0013134855"/>
    <x v="0"/>
    <s v="Country"/>
    <x v="0"/>
    <s v="CLEJP"/>
    <x v="2"/>
    <s v="Non-significant benchmark"/>
    <n v="0"/>
    <n v="0"/>
    <n v="0"/>
    <n v="0"/>
    <n v="0"/>
    <n v="0"/>
    <x v="0"/>
    <x v="1"/>
    <n v="0"/>
    <s v=""/>
    <s v="CLEJP"/>
  </r>
  <r>
    <x v="174"/>
    <x v="21"/>
    <s v="FR0013134848"/>
    <x v="0"/>
    <s v="Country"/>
    <x v="0"/>
    <s v="CLEWJ"/>
    <x v="2"/>
    <s v="Non-significant benchmark"/>
    <n v="0"/>
    <n v="0"/>
    <n v="0"/>
    <n v="0"/>
    <n v="0"/>
    <n v="0"/>
    <x v="0"/>
    <x v="1"/>
    <n v="0"/>
    <s v=""/>
    <s v="CLEJP"/>
  </r>
  <r>
    <x v="175"/>
    <x v="22"/>
    <s v="QS0011252754"/>
    <x v="0"/>
    <e v="#N/A"/>
    <x v="0"/>
    <s v="CAEXT"/>
    <x v="2"/>
    <s v="Non-significant benchmark"/>
    <n v="0"/>
    <n v="0"/>
    <n v="0"/>
    <n v="0"/>
    <n v="0"/>
    <n v="0"/>
    <x v="0"/>
    <x v="2"/>
    <n v="0"/>
    <s v=""/>
    <e v="#N/A"/>
  </r>
  <r>
    <x v="176"/>
    <x v="23"/>
    <s v="FR0013232188"/>
    <x v="1"/>
    <s v="Governance"/>
    <x v="1"/>
    <s v="CAGOV"/>
    <x v="2"/>
    <s v="Non-significant benchmark"/>
    <n v="0"/>
    <n v="0"/>
    <n v="0"/>
    <n v="0"/>
    <n v="0"/>
    <n v="0"/>
    <x v="0"/>
    <x v="1"/>
    <n v="0"/>
    <s v=""/>
    <s v="CAGOV"/>
  </r>
  <r>
    <x v="177"/>
    <x v="23"/>
    <s v="FR0013254323"/>
    <x v="1"/>
    <s v="Governance"/>
    <x v="1"/>
    <s v="CAGOD"/>
    <x v="2"/>
    <s v="Non-significant benchmark"/>
    <n v="0"/>
    <n v="0"/>
    <n v="0"/>
    <n v="0"/>
    <n v="0"/>
    <n v="0"/>
    <x v="0"/>
    <x v="1"/>
    <n v="0"/>
    <s v=""/>
    <s v="CAGOV"/>
  </r>
  <r>
    <x v="178"/>
    <x v="23"/>
    <s v="FR0013232204"/>
    <x v="1"/>
    <s v="Governance"/>
    <x v="1"/>
    <s v="CAGOG"/>
    <x v="2"/>
    <s v="Non-significant benchmark"/>
    <n v="0"/>
    <n v="0"/>
    <n v="0"/>
    <n v="0"/>
    <n v="0"/>
    <n v="0"/>
    <x v="0"/>
    <x v="1"/>
    <n v="0"/>
    <s v=""/>
    <s v="CAGOV"/>
  </r>
  <r>
    <x v="179"/>
    <x v="23"/>
    <s v="FR0013232196"/>
    <x v="1"/>
    <s v="Governance"/>
    <x v="1"/>
    <s v="CAGON"/>
    <x v="2"/>
    <s v="Non-significant benchmark"/>
    <n v="0"/>
    <n v="0"/>
    <n v="0"/>
    <n v="0"/>
    <n v="0"/>
    <n v="0"/>
    <x v="0"/>
    <x v="1"/>
    <n v="0"/>
    <s v=""/>
    <s v="CAGOV"/>
  </r>
  <r>
    <x v="180"/>
    <x v="24"/>
    <s v="FR0013252392"/>
    <x v="0"/>
    <s v="Strategy"/>
    <x v="0"/>
    <s v="C4CD"/>
    <x v="2"/>
    <s v="Non-significant benchmark"/>
    <n v="0"/>
    <n v="0"/>
    <n v="0"/>
    <n v="0"/>
    <n v="0"/>
    <n v="0"/>
    <x v="0"/>
    <x v="1"/>
    <n v="0"/>
    <s v=""/>
    <s v="C4CD"/>
  </r>
  <r>
    <x v="181"/>
    <x v="24"/>
    <s v="FR0013252418"/>
    <x v="0"/>
    <s v="Strategy"/>
    <x v="0"/>
    <s v="C4SD"/>
    <x v="2"/>
    <s v="Non-significant benchmark"/>
    <n v="0"/>
    <n v="0"/>
    <n v="0"/>
    <n v="0"/>
    <n v="0"/>
    <n v="0"/>
    <x v="0"/>
    <x v="1"/>
    <n v="0"/>
    <s v=""/>
    <s v="C4SD"/>
  </r>
  <r>
    <x v="182"/>
    <x v="25"/>
    <s v="FR0003502079"/>
    <x v="0"/>
    <s v="International"/>
    <x v="0"/>
    <s v="N100"/>
    <x v="1"/>
    <s v="Non-significant benchmark"/>
    <n v="0"/>
    <n v="0"/>
    <n v="0"/>
    <n v="3246341.7600000002"/>
    <n v="0"/>
    <n v="0"/>
    <x v="39"/>
    <x v="1"/>
    <n v="3062815.3224324826"/>
    <n v="5.9920830427921956E-2"/>
    <s v="N100"/>
  </r>
  <r>
    <x v="183"/>
    <x v="25"/>
    <s v="QS0011224258"/>
    <x v="0"/>
    <s v="International"/>
    <x v="0"/>
    <s v="N100G"/>
    <x v="1"/>
    <s v="Non-significant benchmark"/>
    <n v="0"/>
    <n v="0"/>
    <n v="0"/>
    <n v="0"/>
    <n v="0"/>
    <n v="0"/>
    <x v="0"/>
    <x v="1"/>
    <n v="0"/>
    <s v=""/>
    <s v="N100"/>
  </r>
  <r>
    <x v="184"/>
    <x v="25"/>
    <s v="FR0003502087"/>
    <x v="0"/>
    <s v="International"/>
    <x v="0"/>
    <s v="N150"/>
    <x v="1"/>
    <s v="Non-significant benchmark"/>
    <n v="0"/>
    <n v="0"/>
    <n v="0"/>
    <n v="0"/>
    <n v="0"/>
    <n v="0"/>
    <x v="0"/>
    <x v="1"/>
    <n v="0"/>
    <s v=""/>
    <s v="N150"/>
  </r>
  <r>
    <x v="185"/>
    <x v="25"/>
    <s v="QS0011224274"/>
    <x v="0"/>
    <s v="International"/>
    <x v="0"/>
    <s v="N150G"/>
    <x v="1"/>
    <s v="Non-significant benchmark"/>
    <n v="0"/>
    <n v="0"/>
    <n v="0"/>
    <n v="0"/>
    <n v="0"/>
    <n v="0"/>
    <x v="0"/>
    <x v="1"/>
    <n v="0"/>
    <s v=""/>
    <s v="N150"/>
  </r>
  <r>
    <x v="186"/>
    <x v="26"/>
    <s v="NL0015436148"/>
    <x v="0"/>
    <s v="International"/>
    <x v="0"/>
    <s v="AS500"/>
    <x v="0"/>
    <s v="Non-significant benchmark"/>
    <n v="0"/>
    <n v="0"/>
    <n v="0"/>
    <n v="0"/>
    <n v="0"/>
    <n v="0"/>
    <x v="0"/>
    <x v="1"/>
    <n v="0"/>
    <s v=""/>
    <s v="AS500"/>
  </r>
  <r>
    <x v="187"/>
    <x v="26"/>
    <s v="NL0015436163"/>
    <x v="0"/>
    <s v="International"/>
    <x v="0"/>
    <s v="AS5GR"/>
    <x v="0"/>
    <s v="Non-significant benchmark"/>
    <n v="0"/>
    <n v="0"/>
    <n v="0"/>
    <n v="0"/>
    <n v="0"/>
    <n v="0"/>
    <x v="0"/>
    <x v="1"/>
    <n v="0"/>
    <s v=""/>
    <s v="AS500"/>
  </r>
  <r>
    <x v="188"/>
    <x v="26"/>
    <s v="NL0015436155"/>
    <x v="0"/>
    <s v="International"/>
    <x v="0"/>
    <s v="AS5NR"/>
    <x v="0"/>
    <s v="Non-significant benchmark"/>
    <n v="0"/>
    <n v="0"/>
    <n v="0"/>
    <n v="0"/>
    <n v="0"/>
    <n v="0"/>
    <x v="0"/>
    <x v="1"/>
    <n v="0"/>
    <s v=""/>
    <s v="AS500"/>
  </r>
  <r>
    <x v="189"/>
    <x v="27"/>
    <s v="NL0011376116"/>
    <x v="0"/>
    <s v="International"/>
    <x v="0"/>
    <s v="BNEW"/>
    <x v="0"/>
    <s v="Non-significant benchmark"/>
    <n v="0"/>
    <n v="0"/>
    <n v="0"/>
    <n v="0"/>
    <n v="0"/>
    <n v="0"/>
    <x v="0"/>
    <x v="1"/>
    <n v="0"/>
    <s v=""/>
    <s v="BNEW"/>
  </r>
  <r>
    <x v="190"/>
    <x v="27"/>
    <s v="NL0011376132"/>
    <x v="0"/>
    <s v="International"/>
    <x v="0"/>
    <s v="BNEWG"/>
    <x v="0"/>
    <s v="Non-significant benchmark"/>
    <n v="0"/>
    <n v="0"/>
    <n v="0"/>
    <n v="0"/>
    <n v="0"/>
    <n v="0"/>
    <x v="0"/>
    <x v="1"/>
    <n v="0"/>
    <s v=""/>
    <s v="BNEW"/>
  </r>
  <r>
    <x v="191"/>
    <x v="27"/>
    <s v="NL0011376124"/>
    <x v="0"/>
    <s v="International"/>
    <x v="0"/>
    <s v="BNEWN"/>
    <x v="0"/>
    <s v="Non-significant benchmark"/>
    <n v="0"/>
    <n v="0"/>
    <n v="0"/>
    <n v="0"/>
    <n v="0"/>
    <n v="0"/>
    <x v="0"/>
    <x v="1"/>
    <n v="0"/>
    <s v=""/>
    <s v="BNEW"/>
  </r>
  <r>
    <x v="192"/>
    <x v="27"/>
    <s v="NL0011376140"/>
    <x v="0"/>
    <s v="International"/>
    <x v="0"/>
    <s v="BNEWE"/>
    <x v="0"/>
    <s v="Non-significant benchmark"/>
    <n v="0"/>
    <n v="36305000"/>
    <n v="0"/>
    <n v="0"/>
    <n v="0"/>
    <n v="0"/>
    <x v="40"/>
    <x v="1"/>
    <n v="36305000"/>
    <n v="0"/>
    <s v="BNEW"/>
  </r>
  <r>
    <x v="193"/>
    <x v="28"/>
    <s v="NL0012081418"/>
    <x v="0"/>
    <s v="International"/>
    <x v="0"/>
    <s v="BNEWV"/>
    <x v="0"/>
    <s v="Non-significant benchmark"/>
    <n v="0"/>
    <n v="0"/>
    <n v="0"/>
    <n v="0"/>
    <n v="0"/>
    <n v="0"/>
    <x v="0"/>
    <x v="1"/>
    <n v="0"/>
    <s v=""/>
    <s v="BNEW"/>
  </r>
  <r>
    <x v="194"/>
    <x v="29"/>
    <s v="NL0013025695"/>
    <x v="1"/>
    <s v="Broad ESG"/>
    <x v="1"/>
    <s v="BESGP"/>
    <x v="2"/>
    <s v="Non-significant benchmark"/>
    <n v="9090000"/>
    <n v="0"/>
    <n v="0"/>
    <n v="0"/>
    <n v="0"/>
    <n v="0"/>
    <x v="41"/>
    <x v="1"/>
    <n v="18307800"/>
    <n v="-0.50349031560318558"/>
    <s v="BESGP"/>
  </r>
  <r>
    <x v="195"/>
    <x v="29"/>
    <s v="NL0013025729"/>
    <x v="1"/>
    <s v="Broad ESG"/>
    <x v="1"/>
    <s v="BESGD"/>
    <x v="2"/>
    <s v="Non-significant benchmark"/>
    <n v="1161500"/>
    <n v="0"/>
    <n v="0"/>
    <n v="0"/>
    <n v="0"/>
    <n v="0"/>
    <x v="42"/>
    <x v="1"/>
    <n v="4221200"/>
    <n v="-0.72484127736188764"/>
    <s v="BESGP"/>
  </r>
  <r>
    <x v="196"/>
    <x v="29"/>
    <s v="NL0013025711"/>
    <x v="1"/>
    <s v="Broad ESG"/>
    <x v="1"/>
    <s v="BESGG"/>
    <x v="2"/>
    <s v="Non-significant benchmark"/>
    <n v="0"/>
    <n v="0"/>
    <n v="0"/>
    <n v="0"/>
    <n v="0"/>
    <n v="0"/>
    <x v="0"/>
    <x v="1"/>
    <n v="0"/>
    <s v=""/>
    <s v="BESGP"/>
  </r>
  <r>
    <x v="197"/>
    <x v="29"/>
    <s v="NL0013025703"/>
    <x v="1"/>
    <s v="Broad ESG"/>
    <x v="1"/>
    <s v="BESGN"/>
    <x v="2"/>
    <s v="Non-significant benchmark"/>
    <n v="0"/>
    <n v="0"/>
    <n v="0"/>
    <n v="0"/>
    <n v="0"/>
    <n v="0"/>
    <x v="0"/>
    <x v="1"/>
    <n v="0"/>
    <s v=""/>
    <s v="BESGP"/>
  </r>
  <r>
    <x v="198"/>
    <x v="30"/>
    <s v="NL0012294235"/>
    <x v="0"/>
    <s v="International"/>
    <x v="0"/>
    <s v="EBLRE"/>
    <x v="0"/>
    <s v="Non-significant benchmark"/>
    <n v="0"/>
    <n v="0"/>
    <n v="0"/>
    <n v="0"/>
    <n v="0"/>
    <n v="0"/>
    <x v="0"/>
    <x v="1"/>
    <n v="0"/>
    <s v=""/>
    <s v="EBLRE"/>
  </r>
  <r>
    <x v="199"/>
    <x v="30"/>
    <s v="NL0012294268"/>
    <x v="0"/>
    <s v="International"/>
    <x v="0"/>
    <s v="EBLRD"/>
    <x v="0"/>
    <s v="Non-significant benchmark"/>
    <n v="0"/>
    <n v="12546000"/>
    <n v="0"/>
    <n v="0"/>
    <n v="0"/>
    <n v="0"/>
    <x v="43"/>
    <x v="1"/>
    <n v="12546000"/>
    <n v="0"/>
    <s v="EBLRE"/>
  </r>
  <r>
    <x v="200"/>
    <x v="30"/>
    <s v="NL0012294250"/>
    <x v="0"/>
    <s v="International"/>
    <x v="0"/>
    <s v="EBLRG"/>
    <x v="0"/>
    <s v="Non-significant benchmark"/>
    <n v="0"/>
    <n v="0"/>
    <n v="0"/>
    <n v="0"/>
    <n v="0"/>
    <n v="0"/>
    <x v="0"/>
    <x v="1"/>
    <n v="0"/>
    <s v=""/>
    <s v="EBLRE"/>
  </r>
  <r>
    <x v="201"/>
    <x v="30"/>
    <s v="NL0012294243"/>
    <x v="0"/>
    <s v="International"/>
    <x v="0"/>
    <s v="EBLRN"/>
    <x v="0"/>
    <s v="Non-significant benchmark"/>
    <n v="0"/>
    <n v="0"/>
    <n v="0"/>
    <n v="0"/>
    <n v="0"/>
    <n v="0"/>
    <x v="0"/>
    <x v="1"/>
    <n v="0"/>
    <s v=""/>
    <s v="EBLRE"/>
  </r>
  <r>
    <x v="202"/>
    <x v="31"/>
    <s v="NL0013941024"/>
    <x v="1"/>
    <s v="Environmental"/>
    <x v="1"/>
    <s v="EESGP"/>
    <x v="2"/>
    <s v="Non-significant benchmark"/>
    <n v="0"/>
    <n v="0"/>
    <n v="0"/>
    <n v="0"/>
    <n v="0"/>
    <n v="0"/>
    <x v="0"/>
    <x v="1"/>
    <n v="0"/>
    <s v=""/>
    <s v="EESGP"/>
  </r>
  <r>
    <x v="203"/>
    <x v="31"/>
    <s v="NL0013941057"/>
    <x v="1"/>
    <s v="Environmental"/>
    <x v="1"/>
    <s v="EZESG"/>
    <x v="2"/>
    <s v="Non-significant benchmark"/>
    <n v="43019736.852972999"/>
    <n v="40000000"/>
    <n v="35127792.810400002"/>
    <n v="0"/>
    <n v="0"/>
    <n v="0"/>
    <x v="44"/>
    <x v="1"/>
    <n v="43372935.806299999"/>
    <n v="-8.1433028860291579E-3"/>
    <s v="EESGP"/>
  </r>
  <r>
    <x v="204"/>
    <x v="31"/>
    <s v="NL0013941040"/>
    <x v="1"/>
    <s v="Environmental"/>
    <x v="1"/>
    <s v="EESGG"/>
    <x v="2"/>
    <s v="Non-significant benchmark"/>
    <n v="0"/>
    <n v="0"/>
    <n v="0"/>
    <n v="0"/>
    <n v="0"/>
    <n v="0"/>
    <x v="0"/>
    <x v="1"/>
    <n v="0"/>
    <s v=""/>
    <s v="EESGP"/>
  </r>
  <r>
    <x v="205"/>
    <x v="31"/>
    <s v="NL0013941032"/>
    <x v="1"/>
    <s v="Environmental"/>
    <x v="1"/>
    <s v="EESGN"/>
    <x v="2"/>
    <s v="Non-significant benchmark"/>
    <n v="0"/>
    <n v="0"/>
    <n v="0"/>
    <n v="0"/>
    <n v="0"/>
    <n v="0"/>
    <x v="0"/>
    <x v="1"/>
    <n v="0"/>
    <s v=""/>
    <s v="EESGP"/>
  </r>
  <r>
    <x v="206"/>
    <x v="32"/>
    <s v="FR0013448131"/>
    <x v="1"/>
    <s v="Environmental"/>
    <x v="1"/>
    <s v="FESGP"/>
    <x v="2"/>
    <s v="Non-significant benchmark"/>
    <n v="0"/>
    <n v="0"/>
    <n v="0"/>
    <n v="0"/>
    <n v="0"/>
    <n v="0"/>
    <x v="0"/>
    <x v="1"/>
    <n v="0"/>
    <s v=""/>
    <s v="FESGP"/>
  </r>
  <r>
    <x v="207"/>
    <x v="32"/>
    <s v="FR0013448164"/>
    <x v="1"/>
    <s v="Environmental"/>
    <x v="1"/>
    <s v="FRESG"/>
    <x v="2"/>
    <s v="Non-significant benchmark"/>
    <n v="0"/>
    <n v="0"/>
    <n v="0"/>
    <n v="0"/>
    <n v="0"/>
    <n v="0"/>
    <x v="0"/>
    <x v="1"/>
    <n v="0"/>
    <s v=""/>
    <s v="FESGP"/>
  </r>
  <r>
    <x v="208"/>
    <x v="32"/>
    <s v="FR0013448156"/>
    <x v="1"/>
    <s v="Environmental"/>
    <x v="1"/>
    <s v="FESGG"/>
    <x v="2"/>
    <s v="Non-significant benchmark"/>
    <n v="0"/>
    <n v="0"/>
    <n v="0"/>
    <n v="0"/>
    <n v="0"/>
    <n v="0"/>
    <x v="0"/>
    <x v="1"/>
    <n v="0"/>
    <s v=""/>
    <s v="FESGP"/>
  </r>
  <r>
    <x v="209"/>
    <x v="32"/>
    <s v="FR0013448149"/>
    <x v="1"/>
    <s v="Environmental"/>
    <x v="1"/>
    <s v="FESGN"/>
    <x v="2"/>
    <s v="Non-significant benchmark"/>
    <n v="0"/>
    <n v="0"/>
    <n v="0"/>
    <n v="0"/>
    <n v="0"/>
    <n v="0"/>
    <x v="0"/>
    <x v="1"/>
    <n v="0"/>
    <s v=""/>
    <s v="FESGP"/>
  </r>
  <r>
    <x v="210"/>
    <x v="33"/>
    <s v="NL0013940984"/>
    <x v="1"/>
    <s v="Environmental"/>
    <x v="1"/>
    <s v="WESGP"/>
    <x v="2"/>
    <s v="Non-significant benchmark"/>
    <n v="0"/>
    <n v="25000000"/>
    <n v="0"/>
    <n v="0"/>
    <n v="0"/>
    <n v="0"/>
    <x v="45"/>
    <x v="1"/>
    <n v="25000000"/>
    <n v="0"/>
    <s v="WESGP"/>
  </r>
  <r>
    <x v="211"/>
    <x v="33"/>
    <s v="NL0013941016"/>
    <x v="1"/>
    <s v="Environmental"/>
    <x v="1"/>
    <s v="WLESG"/>
    <x v="2"/>
    <s v="Non-significant benchmark"/>
    <n v="37778500"/>
    <n v="100000000"/>
    <n v="62555838.691200003"/>
    <n v="0"/>
    <n v="0"/>
    <n v="0"/>
    <x v="46"/>
    <x v="1"/>
    <n v="170432379.40000001"/>
    <n v="-0.63295801589213752"/>
    <s v="WESGP"/>
  </r>
  <r>
    <x v="212"/>
    <x v="33"/>
    <s v="NL0013941008"/>
    <x v="1"/>
    <s v="Environmental"/>
    <x v="1"/>
    <s v="WESGG"/>
    <x v="2"/>
    <s v="Non-significant benchmark"/>
    <n v="0"/>
    <n v="0"/>
    <n v="0"/>
    <n v="0"/>
    <n v="0"/>
    <n v="0"/>
    <x v="0"/>
    <x v="1"/>
    <n v="0"/>
    <s v=""/>
    <s v="WESGP"/>
  </r>
  <r>
    <x v="213"/>
    <x v="33"/>
    <s v="NL0013940992"/>
    <x v="1"/>
    <s v="Environmental"/>
    <x v="1"/>
    <s v="WESGN"/>
    <x v="2"/>
    <s v="Non-significant benchmark"/>
    <n v="0"/>
    <n v="0"/>
    <n v="0"/>
    <n v="0"/>
    <n v="0"/>
    <n v="0"/>
    <x v="0"/>
    <x v="1"/>
    <n v="0"/>
    <s v=""/>
    <s v="WESGP"/>
  </r>
  <r>
    <x v="214"/>
    <x v="34"/>
    <s v="NL0013352560"/>
    <x v="1"/>
    <s v="Environmental"/>
    <x v="1"/>
    <s v="EZENP"/>
    <x v="2"/>
    <s v="Non-significant benchmark"/>
    <n v="0"/>
    <n v="0"/>
    <n v="0"/>
    <n v="0"/>
    <n v="0"/>
    <n v="0"/>
    <x v="0"/>
    <x v="1"/>
    <n v="0"/>
    <s v=""/>
    <s v="EZENP"/>
  </r>
  <r>
    <x v="215"/>
    <x v="34"/>
    <s v="NL0013352594"/>
    <x v="1"/>
    <s v="Environmental"/>
    <x v="1"/>
    <s v="EZENV"/>
    <x v="2"/>
    <s v="Non-significant benchmark"/>
    <n v="44782638.009543002"/>
    <n v="80000000"/>
    <n v="202026254.66600001"/>
    <n v="246265618"/>
    <n v="0"/>
    <n v="0"/>
    <x v="47"/>
    <x v="1"/>
    <n v="420954832.98401618"/>
    <n v="6.4940553094972708E-2"/>
    <s v="EZENP"/>
  </r>
  <r>
    <x v="216"/>
    <x v="34"/>
    <s v="NL0015000MS6"/>
    <x v="1"/>
    <s v="Environmental"/>
    <x v="1"/>
    <s v="EZEN3"/>
    <x v="2"/>
    <s v="Non-significant benchmark"/>
    <n v="0"/>
    <n v="0"/>
    <n v="94542945.254000008"/>
    <n v="0"/>
    <n v="0"/>
    <n v="0"/>
    <x v="48"/>
    <x v="1"/>
    <n v="216929400.95660001"/>
    <n v="-0.56417643326773059"/>
    <s v="EZENP"/>
  </r>
  <r>
    <x v="217"/>
    <x v="34"/>
    <s v="NL00150000I8"/>
    <x v="1"/>
    <s v="Environmental"/>
    <x v="1"/>
    <s v="EZEN4"/>
    <x v="2"/>
    <s v="Non-significant benchmark"/>
    <n v="23865973.266879"/>
    <n v="100000000"/>
    <n v="78001383.668400005"/>
    <n v="0"/>
    <n v="0"/>
    <n v="0"/>
    <x v="49"/>
    <x v="1"/>
    <n v="105000000"/>
    <n v="-0.25712967934857134"/>
    <s v="EZENP"/>
  </r>
  <r>
    <x v="218"/>
    <x v="34"/>
    <s v="NL0013352586"/>
    <x v="1"/>
    <s v="Environmental"/>
    <x v="1"/>
    <s v="EZENG"/>
    <x v="2"/>
    <s v="Non-significant benchmark"/>
    <n v="0"/>
    <n v="0"/>
    <n v="0"/>
    <n v="0"/>
    <n v="0"/>
    <n v="0"/>
    <x v="0"/>
    <x v="1"/>
    <n v="0"/>
    <s v=""/>
    <s v="EZENP"/>
  </r>
  <r>
    <x v="219"/>
    <x v="34"/>
    <s v="NL0013352578"/>
    <x v="1"/>
    <s v="Environmental"/>
    <x v="1"/>
    <s v="EZENN"/>
    <x v="2"/>
    <s v="Non-significant benchmark"/>
    <n v="0"/>
    <n v="0"/>
    <n v="0"/>
    <n v="0"/>
    <n v="0"/>
    <n v="0"/>
    <x v="0"/>
    <x v="1"/>
    <n v="0"/>
    <s v=""/>
    <s v="EZENP"/>
  </r>
  <r>
    <x v="220"/>
    <x v="35"/>
    <s v="NL0013039258"/>
    <x v="1"/>
    <s v="Environmental"/>
    <x v="1"/>
    <s v="FREEP"/>
    <x v="2"/>
    <s v="Non-significant benchmark"/>
    <n v="0"/>
    <n v="0"/>
    <n v="0"/>
    <n v="0"/>
    <n v="0"/>
    <n v="0"/>
    <x v="0"/>
    <x v="1"/>
    <n v="0"/>
    <s v=""/>
    <s v="FREEP"/>
  </r>
  <r>
    <x v="221"/>
    <x v="35"/>
    <s v="NL0013039274"/>
    <x v="1"/>
    <s v="Environmental"/>
    <x v="1"/>
    <s v="FREEG"/>
    <x v="2"/>
    <s v="Non-significant benchmark"/>
    <n v="0"/>
    <n v="0"/>
    <n v="0"/>
    <n v="0"/>
    <n v="0"/>
    <n v="0"/>
    <x v="0"/>
    <x v="1"/>
    <n v="0"/>
    <s v=""/>
    <s v="FREEP"/>
  </r>
  <r>
    <x v="222"/>
    <x v="35"/>
    <s v="NL0013039266"/>
    <x v="1"/>
    <s v="Environmental"/>
    <x v="1"/>
    <s v="FREEN"/>
    <x v="2"/>
    <s v="Non-significant benchmark"/>
    <n v="0"/>
    <n v="0"/>
    <n v="0"/>
    <n v="0"/>
    <n v="0"/>
    <n v="0"/>
    <x v="0"/>
    <x v="1"/>
    <n v="0"/>
    <s v=""/>
    <s v="FREEP"/>
  </r>
  <r>
    <x v="223"/>
    <x v="35"/>
    <s v="NL0013039282"/>
    <x v="1"/>
    <s v="Environmental"/>
    <x v="1"/>
    <s v="FRENE"/>
    <x v="2"/>
    <s v="Non-significant benchmark"/>
    <n v="0"/>
    <n v="0"/>
    <n v="0"/>
    <n v="0"/>
    <n v="0"/>
    <n v="0"/>
    <x v="0"/>
    <x v="1"/>
    <n v="0"/>
    <s v=""/>
    <s v="FREEP"/>
  </r>
  <r>
    <x v="224"/>
    <x v="36"/>
    <s v="FR0014004PQ0"/>
    <x v="1"/>
    <s v="Environmental"/>
    <x v="1"/>
    <s v="TESGP"/>
    <x v="2"/>
    <s v="Non-significant benchmark"/>
    <n v="0"/>
    <n v="0"/>
    <n v="0"/>
    <n v="0"/>
    <n v="0"/>
    <n v="0"/>
    <x v="0"/>
    <x v="1"/>
    <n v="0"/>
    <s v=""/>
    <s v="TESGP"/>
  </r>
  <r>
    <x v="225"/>
    <x v="36"/>
    <s v="FR0014004PS6"/>
    <x v="1"/>
    <s v="Environmental"/>
    <x v="1"/>
    <s v="TLESG"/>
    <x v="2"/>
    <s v="Non-significant benchmark"/>
    <n v="121902399.88875"/>
    <n v="0"/>
    <n v="131549623.6788"/>
    <n v="0"/>
    <n v="0"/>
    <n v="0"/>
    <x v="50"/>
    <x v="1"/>
    <n v="150000000"/>
    <n v="-0.12300250880800001"/>
    <s v="TESGP"/>
  </r>
  <r>
    <x v="226"/>
    <x v="36"/>
    <s v="FR0014004PR8"/>
    <x v="1"/>
    <s v="Environmental"/>
    <x v="1"/>
    <s v="TESGG"/>
    <x v="2"/>
    <s v="Non-significant benchmark"/>
    <n v="0"/>
    <n v="0"/>
    <n v="0"/>
    <n v="0"/>
    <n v="0"/>
    <n v="0"/>
    <x v="0"/>
    <x v="1"/>
    <n v="0"/>
    <s v=""/>
    <s v="TESGP"/>
  </r>
  <r>
    <x v="227"/>
    <x v="36"/>
    <s v="FR0014004PU2"/>
    <x v="1"/>
    <s v="Environmental"/>
    <x v="1"/>
    <s v="TESGN"/>
    <x v="2"/>
    <s v="Non-significant benchmark"/>
    <n v="0"/>
    <n v="0"/>
    <n v="0"/>
    <n v="0"/>
    <n v="0"/>
    <n v="0"/>
    <x v="0"/>
    <x v="1"/>
    <n v="0"/>
    <s v=""/>
    <s v="TESGP"/>
  </r>
  <r>
    <x v="228"/>
    <x v="37"/>
    <s v="NL0013352602"/>
    <x v="1"/>
    <s v="Environmental"/>
    <x v="1"/>
    <s v="WLENP"/>
    <x v="2"/>
    <s v="Non-significant benchmark"/>
    <n v="0"/>
    <n v="0"/>
    <n v="0"/>
    <n v="0"/>
    <n v="0"/>
    <n v="0"/>
    <x v="0"/>
    <x v="1"/>
    <n v="0"/>
    <s v=""/>
    <s v="WLENP"/>
  </r>
  <r>
    <x v="229"/>
    <x v="37"/>
    <s v="NL0013352636"/>
    <x v="1"/>
    <s v="Environmental"/>
    <x v="1"/>
    <s v="WLENV"/>
    <x v="2"/>
    <s v="Non-significant benchmark"/>
    <n v="39420744.939999998"/>
    <n v="116831242.817"/>
    <n v="6364264.5076000001"/>
    <n v="0"/>
    <n v="0"/>
    <n v="0"/>
    <x v="51"/>
    <x v="1"/>
    <n v="176831242.817"/>
    <n v="-0.77707137996651454"/>
    <s v="WLENP"/>
  </r>
  <r>
    <x v="230"/>
    <x v="37"/>
    <s v="NL0013352628"/>
    <x v="1"/>
    <s v="Environmental"/>
    <x v="1"/>
    <s v="WLENG"/>
    <x v="2"/>
    <s v="Non-significant benchmark"/>
    <n v="0"/>
    <n v="0"/>
    <n v="0"/>
    <n v="0"/>
    <n v="0"/>
    <n v="0"/>
    <x v="0"/>
    <x v="1"/>
    <n v="0"/>
    <s v=""/>
    <s v="WLENP"/>
  </r>
  <r>
    <x v="231"/>
    <x v="37"/>
    <s v="NL0013352610"/>
    <x v="1"/>
    <s v="Environmental"/>
    <x v="1"/>
    <s v="WLENN"/>
    <x v="2"/>
    <s v="Non-significant benchmark"/>
    <n v="0"/>
    <n v="0"/>
    <n v="0"/>
    <n v="0"/>
    <n v="0"/>
    <n v="0"/>
    <x v="0"/>
    <x v="1"/>
    <n v="0"/>
    <s v=""/>
    <s v="WLENP"/>
  </r>
  <r>
    <x v="232"/>
    <x v="38"/>
    <s v="NL0013025471"/>
    <x v="1"/>
    <s v="Environmental"/>
    <x v="1"/>
    <s v="FRENP"/>
    <x v="2"/>
    <s v="Non-significant benchmark"/>
    <n v="0"/>
    <n v="0"/>
    <n v="0"/>
    <n v="0"/>
    <n v="0"/>
    <n v="0"/>
    <x v="0"/>
    <x v="1"/>
    <n v="0"/>
    <s v=""/>
    <s v="FRENP"/>
  </r>
  <r>
    <x v="233"/>
    <x v="38"/>
    <s v="NL0014913311"/>
    <x v="1"/>
    <s v="Environmental"/>
    <x v="1"/>
    <s v="FREN4"/>
    <x v="2"/>
    <s v="Non-significant benchmark"/>
    <n v="0"/>
    <n v="0"/>
    <n v="0"/>
    <n v="0"/>
    <n v="0"/>
    <n v="0"/>
    <x v="0"/>
    <x v="1"/>
    <n v="0"/>
    <s v=""/>
    <s v="FRENP"/>
  </r>
  <r>
    <x v="234"/>
    <x v="38"/>
    <s v="NL00150000K4"/>
    <x v="1"/>
    <s v="Environmental"/>
    <x v="1"/>
    <s v="FRE4N"/>
    <x v="2"/>
    <s v="Non-significant benchmark"/>
    <n v="0"/>
    <n v="0"/>
    <n v="0"/>
    <n v="0"/>
    <n v="0"/>
    <n v="0"/>
    <x v="0"/>
    <x v="1"/>
    <n v="0"/>
    <s v=""/>
    <s v="FRENP"/>
  </r>
  <r>
    <x v="235"/>
    <x v="38"/>
    <s v="NL0013025505"/>
    <x v="1"/>
    <s v="Environmental"/>
    <x v="1"/>
    <s v="FRENV"/>
    <x v="2"/>
    <s v="Non-significant benchmark"/>
    <n v="218496936.90000001"/>
    <n v="380000000"/>
    <n v="387483317.07560003"/>
    <n v="7316140"/>
    <n v="0"/>
    <n v="0"/>
    <x v="52"/>
    <x v="1"/>
    <n v="911506609.15120006"/>
    <n v="-0.5668715365177226"/>
    <s v="FRENP"/>
  </r>
  <r>
    <x v="236"/>
    <x v="38"/>
    <s v="NL0013025497"/>
    <x v="1"/>
    <s v="Environmental"/>
    <x v="1"/>
    <s v="FRENG"/>
    <x v="2"/>
    <s v="Non-significant benchmark"/>
    <n v="0"/>
    <n v="0"/>
    <n v="0"/>
    <n v="0"/>
    <n v="0"/>
    <n v="0"/>
    <x v="0"/>
    <x v="1"/>
    <n v="0"/>
    <s v=""/>
    <s v="FRENP"/>
  </r>
  <r>
    <x v="237"/>
    <x v="38"/>
    <s v="NL0013025489"/>
    <x v="1"/>
    <s v="Environmental"/>
    <x v="1"/>
    <s v="FRENN"/>
    <x v="2"/>
    <s v="Non-significant benchmark"/>
    <n v="0"/>
    <n v="0"/>
    <n v="0"/>
    <n v="0"/>
    <n v="0"/>
    <n v="0"/>
    <x v="0"/>
    <x v="1"/>
    <n v="0"/>
    <s v=""/>
    <s v="FRENP"/>
  </r>
  <r>
    <x v="238"/>
    <x v="39"/>
    <s v="FRESG0000835"/>
    <x v="1"/>
    <s v="Environmental"/>
    <x v="1"/>
    <s v="ENFRP"/>
    <x v="2"/>
    <s v="Non-significant benchmark"/>
    <n v="0"/>
    <n v="0"/>
    <n v="0"/>
    <n v="0"/>
    <n v="0"/>
    <n v="0"/>
    <x v="0"/>
    <x v="1"/>
    <n v="0"/>
    <s v=""/>
    <s v="ENFRP"/>
  </r>
  <r>
    <x v="239"/>
    <x v="39"/>
    <s v="FRESG0000868"/>
    <x v="1"/>
    <s v="Environmental"/>
    <x v="1"/>
    <s v="ENVFR"/>
    <x v="2"/>
    <s v="Non-significant benchmark"/>
    <n v="0"/>
    <n v="0"/>
    <n v="191305554.39560002"/>
    <n v="145902870"/>
    <n v="0"/>
    <n v="0"/>
    <x v="53"/>
    <x v="1"/>
    <n v="60357818.150400005"/>
    <n v="4.5868226309198565"/>
    <s v="ENFRP"/>
  </r>
  <r>
    <x v="240"/>
    <x v="39"/>
    <s v="FRESG0000850"/>
    <x v="1"/>
    <s v="Environmental"/>
    <x v="1"/>
    <s v="ENFRG"/>
    <x v="2"/>
    <s v="Non-significant benchmark"/>
    <n v="0"/>
    <n v="0"/>
    <n v="0"/>
    <n v="0"/>
    <n v="0"/>
    <n v="0"/>
    <x v="0"/>
    <x v="1"/>
    <n v="0"/>
    <s v=""/>
    <s v="ENFRP"/>
  </r>
  <r>
    <x v="241"/>
    <x v="39"/>
    <s v="FRESG0000843"/>
    <x v="1"/>
    <s v="Environmental"/>
    <x v="1"/>
    <s v="ENFRN"/>
    <x v="2"/>
    <s v="Non-significant benchmark"/>
    <n v="0"/>
    <n v="0"/>
    <n v="0"/>
    <n v="0"/>
    <n v="0"/>
    <n v="0"/>
    <x v="0"/>
    <x v="1"/>
    <n v="0"/>
    <s v=""/>
    <s v="ENFRP"/>
  </r>
  <r>
    <x v="242"/>
    <x v="40"/>
    <s v="NL00150005G1"/>
    <x v="1"/>
    <s v="Water;Climate"/>
    <x v="1"/>
    <s v="EZWTP"/>
    <x v="2"/>
    <s v="Non-significant benchmark"/>
    <n v="0"/>
    <n v="0"/>
    <n v="0"/>
    <n v="0"/>
    <n v="0"/>
    <n v="0"/>
    <x v="0"/>
    <x v="1"/>
    <n v="0"/>
    <s v=""/>
    <s v="EZWTP"/>
  </r>
  <r>
    <x v="243"/>
    <x v="40"/>
    <s v="NL00150005D8"/>
    <x v="1"/>
    <s v="Water;Climate"/>
    <x v="1"/>
    <s v="EZWTR"/>
    <x v="2"/>
    <s v="Non-significant benchmark"/>
    <n v="4374823.9130419996"/>
    <n v="30000000"/>
    <n v="4862998.0608000001"/>
    <n v="0"/>
    <n v="0"/>
    <n v="0"/>
    <x v="54"/>
    <x v="1"/>
    <n v="0"/>
    <s v=""/>
    <s v="EZWTP"/>
  </r>
  <r>
    <x v="244"/>
    <x v="40"/>
    <s v="NL00150005E6"/>
    <x v="1"/>
    <s v="Water;Climate"/>
    <x v="1"/>
    <s v="EZWTG"/>
    <x v="2"/>
    <s v="Non-significant benchmark"/>
    <n v="0"/>
    <n v="0"/>
    <n v="0"/>
    <n v="0"/>
    <n v="0"/>
    <n v="0"/>
    <x v="0"/>
    <x v="1"/>
    <n v="0"/>
    <s v=""/>
    <s v="EZWTP"/>
  </r>
  <r>
    <x v="245"/>
    <x v="40"/>
    <s v="NL00150005F3"/>
    <x v="1"/>
    <s v="Water;Climate"/>
    <x v="1"/>
    <s v="EZWTN"/>
    <x v="2"/>
    <s v="Non-significant benchmark"/>
    <n v="0"/>
    <n v="0"/>
    <n v="0"/>
    <n v="0"/>
    <n v="0"/>
    <n v="0"/>
    <x v="0"/>
    <x v="1"/>
    <n v="0"/>
    <s v=""/>
    <s v="EZWTP"/>
  </r>
  <r>
    <x v="246"/>
    <x v="41"/>
    <s v="NL0011923024"/>
    <x v="1"/>
    <s v="Climate"/>
    <x v="1"/>
    <s v="ENCLE"/>
    <x v="2"/>
    <s v="Non-significant benchmark"/>
    <n v="0"/>
    <n v="0"/>
    <n v="0"/>
    <n v="0"/>
    <n v="0"/>
    <n v="0"/>
    <x v="0"/>
    <x v="1"/>
    <n v="0"/>
    <s v=""/>
    <s v="ENCLE"/>
  </r>
  <r>
    <x v="247"/>
    <x v="41"/>
    <s v="NL0011923040"/>
    <x v="1"/>
    <s v="Climate"/>
    <x v="1"/>
    <s v="ENCEG"/>
    <x v="2"/>
    <s v="Non-significant benchmark"/>
    <n v="0"/>
    <n v="0"/>
    <n v="0"/>
    <n v="0"/>
    <n v="0"/>
    <n v="0"/>
    <x v="0"/>
    <x v="1"/>
    <n v="0"/>
    <s v=""/>
    <s v="ENCLE"/>
  </r>
  <r>
    <x v="248"/>
    <x v="41"/>
    <s v="NL0011923032"/>
    <x v="1"/>
    <s v="Climate"/>
    <x v="1"/>
    <s v="ENCEN"/>
    <x v="2"/>
    <s v="Non-significant benchmark"/>
    <n v="0"/>
    <n v="0"/>
    <n v="0"/>
    <n v="0"/>
    <n v="0"/>
    <n v="0"/>
    <x v="0"/>
    <x v="1"/>
    <n v="0"/>
    <s v=""/>
    <s v="ENCLE"/>
  </r>
  <r>
    <x v="249"/>
    <x v="42"/>
    <s v="NL0013025554"/>
    <x v="1"/>
    <s v="Climate"/>
    <x v="1"/>
    <s v="ECO5P"/>
    <x v="2"/>
    <s v="Non-significant benchmark"/>
    <n v="0"/>
    <n v="0"/>
    <n v="0"/>
    <n v="0"/>
    <n v="0"/>
    <n v="0"/>
    <x v="0"/>
    <x v="1"/>
    <n v="0"/>
    <s v=""/>
    <s v="ECO5P"/>
  </r>
  <r>
    <x v="250"/>
    <x v="42"/>
    <s v="NL0013025588"/>
    <x v="1"/>
    <s v="Climate"/>
    <x v="1"/>
    <s v="ECO5E"/>
    <x v="2"/>
    <s v="Non-significant benchmark"/>
    <n v="0"/>
    <n v="288143000"/>
    <n v="1795054159.1928"/>
    <n v="0"/>
    <n v="0"/>
    <n v="0"/>
    <x v="55"/>
    <x v="1"/>
    <n v="2585555938.5163002"/>
    <n v="-0.30573764332367259"/>
    <s v="ECO5P"/>
  </r>
  <r>
    <x v="251"/>
    <x v="42"/>
    <s v="NL0013025570"/>
    <x v="1"/>
    <s v="Climate"/>
    <x v="1"/>
    <s v="ECO5G"/>
    <x v="2"/>
    <s v="Non-significant benchmark"/>
    <n v="0"/>
    <n v="0"/>
    <n v="0"/>
    <n v="0"/>
    <n v="0"/>
    <n v="0"/>
    <x v="0"/>
    <x v="1"/>
    <n v="0"/>
    <s v=""/>
    <s v="ECO5P"/>
  </r>
  <r>
    <x v="252"/>
    <x v="42"/>
    <s v="NL0013025562"/>
    <x v="1"/>
    <s v="Climate"/>
    <x v="1"/>
    <s v="ECO5N"/>
    <x v="2"/>
    <s v="Non-significant benchmark"/>
    <n v="0"/>
    <n v="0"/>
    <n v="0"/>
    <n v="0"/>
    <n v="0"/>
    <n v="0"/>
    <x v="0"/>
    <x v="1"/>
    <n v="0"/>
    <s v=""/>
    <s v="ECO5P"/>
  </r>
  <r>
    <x v="253"/>
    <x v="42"/>
    <s v="FR0013493608"/>
    <x v="1"/>
    <s v="Climate"/>
    <x v="1"/>
    <s v="ECO4D"/>
    <x v="2"/>
    <s v="Non-significant benchmark"/>
    <n v="0"/>
    <n v="0"/>
    <n v="0"/>
    <n v="0"/>
    <n v="0"/>
    <n v="0"/>
    <x v="0"/>
    <x v="1"/>
    <n v="0"/>
    <s v=""/>
    <s v="ECO5P"/>
  </r>
  <r>
    <x v="254"/>
    <x v="43"/>
    <s v="NL0012328843"/>
    <x v="1"/>
    <s v="Climate"/>
    <x v="1"/>
    <s v="ECO50"/>
    <x v="2"/>
    <s v="Non-significant benchmark"/>
    <n v="0"/>
    <n v="0"/>
    <n v="0"/>
    <n v="0"/>
    <n v="0"/>
    <n v="0"/>
    <x v="0"/>
    <x v="1"/>
    <n v="0"/>
    <s v=""/>
    <s v="ECOEW"/>
  </r>
  <r>
    <x v="255"/>
    <x v="43"/>
    <s v="NL0012328819"/>
    <x v="1"/>
    <s v="Climate"/>
    <x v="1"/>
    <s v="ECOEW"/>
    <x v="2"/>
    <s v="Non-significant benchmark"/>
    <n v="0"/>
    <n v="0"/>
    <n v="29030624.7872"/>
    <n v="0"/>
    <n v="0"/>
    <n v="0"/>
    <x v="56"/>
    <x v="1"/>
    <n v="46035780.724700004"/>
    <n v="-0.36938997601003143"/>
    <s v="ECOEW"/>
  </r>
  <r>
    <x v="256"/>
    <x v="43"/>
    <s v="NL0012328835"/>
    <x v="1"/>
    <s v="Climate"/>
    <x v="1"/>
    <s v="ECOEG"/>
    <x v="2"/>
    <s v="Non-significant benchmark"/>
    <n v="0"/>
    <n v="0"/>
    <n v="0"/>
    <n v="0"/>
    <n v="0"/>
    <n v="0"/>
    <x v="0"/>
    <x v="1"/>
    <n v="0"/>
    <s v=""/>
    <s v="ECOEW"/>
  </r>
  <r>
    <x v="257"/>
    <x v="43"/>
    <s v="NL0012328827"/>
    <x v="1"/>
    <s v="Climate"/>
    <x v="1"/>
    <s v="ECOEN"/>
    <x v="2"/>
    <s v="Non-significant benchmark"/>
    <n v="0"/>
    <n v="0"/>
    <n v="0"/>
    <n v="0"/>
    <n v="0"/>
    <n v="0"/>
    <x v="0"/>
    <x v="1"/>
    <n v="0"/>
    <s v=""/>
    <s v="ECOEW"/>
  </r>
  <r>
    <x v="258"/>
    <x v="44"/>
    <s v="NL0013474224"/>
    <x v="1"/>
    <s v="Climate"/>
    <x v="1"/>
    <s v="COP5D"/>
    <x v="2"/>
    <s v="Non-significant benchmark"/>
    <n v="0"/>
    <n v="16359475.57"/>
    <n v="0"/>
    <n v="0"/>
    <n v="0"/>
    <n v="0"/>
    <x v="57"/>
    <x v="1"/>
    <n v="17090475.57"/>
    <n v="-4.2772361541721593E-2"/>
    <s v="ECOP"/>
  </r>
  <r>
    <x v="259"/>
    <x v="44"/>
    <s v="NL0011923057"/>
    <x v="1"/>
    <s v="Climate"/>
    <x v="1"/>
    <s v="ECOP"/>
    <x v="2"/>
    <s v="Non-significant benchmark"/>
    <n v="0"/>
    <n v="11389000"/>
    <n v="421883502.2216"/>
    <n v="0"/>
    <n v="0"/>
    <n v="0"/>
    <x v="58"/>
    <x v="1"/>
    <n v="11389000"/>
    <n v="36.043068067573977"/>
    <s v="ECOP"/>
  </r>
  <r>
    <x v="260"/>
    <x v="44"/>
    <s v="NL0011923081"/>
    <x v="1"/>
    <s v="Climate"/>
    <x v="1"/>
    <s v="COP5E"/>
    <x v="2"/>
    <s v="Non-significant benchmark"/>
    <n v="0"/>
    <n v="0"/>
    <n v="0"/>
    <n v="0"/>
    <n v="0"/>
    <n v="0"/>
    <x v="0"/>
    <x v="1"/>
    <n v="404680000"/>
    <n v="-1"/>
    <s v="ECOP"/>
  </r>
  <r>
    <x v="261"/>
    <x v="44"/>
    <s v="NL0011923073"/>
    <x v="1"/>
    <s v="Climate"/>
    <x v="1"/>
    <s v="ECOPG"/>
    <x v="2"/>
    <s v="Non-significant benchmark"/>
    <n v="0"/>
    <n v="0"/>
    <n v="0"/>
    <n v="0"/>
    <n v="0"/>
    <n v="0"/>
    <x v="0"/>
    <x v="1"/>
    <n v="0"/>
    <s v=""/>
    <s v="ECOP"/>
  </r>
  <r>
    <x v="262"/>
    <x v="44"/>
    <s v="NL0011923065"/>
    <x v="1"/>
    <s v="Climate"/>
    <x v="1"/>
    <s v="ECOPN"/>
    <x v="2"/>
    <s v="Non-significant benchmark"/>
    <n v="0"/>
    <n v="0"/>
    <n v="0"/>
    <n v="0"/>
    <n v="0"/>
    <n v="0"/>
    <x v="0"/>
    <x v="1"/>
    <n v="0"/>
    <s v=""/>
    <s v="ECOP"/>
  </r>
  <r>
    <x v="263"/>
    <x v="45"/>
    <s v="FR0013533551"/>
    <x v="1"/>
    <s v="Climate"/>
    <x v="1"/>
    <s v="ECC5P"/>
    <x v="2"/>
    <s v="Non-significant benchmark"/>
    <n v="0"/>
    <n v="0"/>
    <n v="0"/>
    <n v="0"/>
    <n v="0"/>
    <n v="0"/>
    <x v="0"/>
    <x v="1"/>
    <n v="0"/>
    <s v=""/>
    <s v="ECC5P"/>
  </r>
  <r>
    <x v="264"/>
    <x v="45"/>
    <s v="FR0014001178"/>
    <x v="1"/>
    <s v="Climate"/>
    <x v="1"/>
    <s v="ECC3D"/>
    <x v="2"/>
    <s v="Non-significant benchmark"/>
    <n v="0"/>
    <n v="0"/>
    <n v="0"/>
    <n v="0"/>
    <n v="0"/>
    <n v="0"/>
    <x v="0"/>
    <x v="1"/>
    <n v="0"/>
    <s v=""/>
    <s v="ECC5P"/>
  </r>
  <r>
    <x v="265"/>
    <x v="45"/>
    <s v="FR0013533593"/>
    <x v="1"/>
    <s v="Climate"/>
    <x v="1"/>
    <s v="ECC5D"/>
    <x v="2"/>
    <s v="Non-significant benchmark"/>
    <n v="183449940"/>
    <n v="200000000"/>
    <n v="469196420.85480005"/>
    <n v="0"/>
    <n v="0"/>
    <n v="0"/>
    <x v="59"/>
    <x v="1"/>
    <n v="519534441.03920001"/>
    <n v="-9.6890631704245056E-2"/>
    <s v="ECC5P"/>
  </r>
  <r>
    <x v="266"/>
    <x v="45"/>
    <s v="FR0013533577"/>
    <x v="1"/>
    <s v="Climate"/>
    <x v="1"/>
    <s v="ECC5G"/>
    <x v="2"/>
    <s v="Non-significant benchmark"/>
    <n v="0"/>
    <n v="0"/>
    <n v="0"/>
    <n v="0"/>
    <n v="0"/>
    <n v="0"/>
    <x v="0"/>
    <x v="1"/>
    <n v="0"/>
    <s v=""/>
    <s v="ECC5P"/>
  </r>
  <r>
    <x v="267"/>
    <x v="45"/>
    <s v="FR0013533569"/>
    <x v="1"/>
    <s v="Climate"/>
    <x v="1"/>
    <s v="ECC5N"/>
    <x v="2"/>
    <s v="Non-significant benchmark"/>
    <n v="0"/>
    <n v="0"/>
    <n v="0"/>
    <n v="0"/>
    <n v="0"/>
    <n v="0"/>
    <x v="0"/>
    <x v="1"/>
    <n v="0"/>
    <s v=""/>
    <s v="ECC5P"/>
  </r>
  <r>
    <x v="268"/>
    <x v="46"/>
    <s v="NL0013110257"/>
    <x v="1"/>
    <s v="Broad ESG"/>
    <x v="1"/>
    <s v="CESG1"/>
    <x v="2"/>
    <s v="Non-significant benchmark"/>
    <n v="0"/>
    <n v="0"/>
    <n v="0"/>
    <n v="0"/>
    <n v="0"/>
    <n v="0"/>
    <x v="0"/>
    <x v="1"/>
    <n v="0"/>
    <s v=""/>
    <s v="CEE1P"/>
  </r>
  <r>
    <x v="269"/>
    <x v="46"/>
    <s v="NL0013110224"/>
    <x v="1"/>
    <s v="Broad ESG"/>
    <x v="1"/>
    <s v="CEE1P"/>
    <x v="2"/>
    <s v="Non-significant benchmark"/>
    <n v="0"/>
    <n v="0"/>
    <n v="0"/>
    <n v="0"/>
    <n v="0"/>
    <n v="0"/>
    <x v="0"/>
    <x v="1"/>
    <n v="0"/>
    <s v=""/>
    <s v="CEE1P"/>
  </r>
  <r>
    <x v="270"/>
    <x v="46"/>
    <s v="NL0013110240"/>
    <x v="1"/>
    <s v="Broad ESG"/>
    <x v="1"/>
    <s v="CEE1G"/>
    <x v="2"/>
    <s v="Non-significant benchmark"/>
    <n v="0"/>
    <n v="0"/>
    <n v="0"/>
    <n v="0"/>
    <n v="0"/>
    <n v="0"/>
    <x v="0"/>
    <x v="1"/>
    <n v="0"/>
    <s v=""/>
    <s v="CEE1P"/>
  </r>
  <r>
    <x v="271"/>
    <x v="46"/>
    <s v="NL0013110232"/>
    <x v="1"/>
    <s v="Broad ESG"/>
    <x v="1"/>
    <s v="CEE1N"/>
    <x v="2"/>
    <s v="Non-significant benchmark"/>
    <n v="0"/>
    <n v="0"/>
    <n v="0"/>
    <n v="0"/>
    <n v="0"/>
    <n v="0"/>
    <x v="0"/>
    <x v="1"/>
    <n v="0"/>
    <s v=""/>
    <s v="CEE1P"/>
  </r>
  <r>
    <x v="272"/>
    <x v="47"/>
    <s v="NL0013026917"/>
    <x v="1"/>
    <s v="Broad ESG"/>
    <x v="1"/>
    <s v="CEE3P"/>
    <x v="2"/>
    <s v="Non-significant benchmark"/>
    <n v="0"/>
    <n v="0"/>
    <n v="0"/>
    <n v="0"/>
    <n v="0"/>
    <n v="0"/>
    <x v="0"/>
    <x v="1"/>
    <n v="0"/>
    <s v=""/>
    <s v="CEE3P"/>
  </r>
  <r>
    <x v="273"/>
    <x v="47"/>
    <s v="NL0013026941"/>
    <x v="1"/>
    <s v="Broad ESG"/>
    <x v="1"/>
    <s v="CESG3"/>
    <x v="2"/>
    <s v="Non-significant benchmark"/>
    <n v="0"/>
    <n v="0"/>
    <n v="0"/>
    <n v="0"/>
    <n v="0"/>
    <n v="0"/>
    <x v="0"/>
    <x v="1"/>
    <n v="0"/>
    <s v=""/>
    <s v="CEE3P"/>
  </r>
  <r>
    <x v="274"/>
    <x v="47"/>
    <s v="NL0013026933"/>
    <x v="1"/>
    <s v="Broad ESG"/>
    <x v="1"/>
    <s v="CEE3G"/>
    <x v="2"/>
    <s v="Non-significant benchmark"/>
    <n v="0"/>
    <n v="0"/>
    <n v="0"/>
    <n v="0"/>
    <n v="0"/>
    <n v="0"/>
    <x v="0"/>
    <x v="1"/>
    <n v="0"/>
    <s v=""/>
    <s v="CEE3P"/>
  </r>
  <r>
    <x v="275"/>
    <x v="47"/>
    <s v="NL0013026925"/>
    <x v="1"/>
    <s v="Broad ESG"/>
    <x v="1"/>
    <s v="CEE3N"/>
    <x v="2"/>
    <s v="Non-significant benchmark"/>
    <n v="0"/>
    <n v="0"/>
    <n v="0"/>
    <n v="0"/>
    <n v="0"/>
    <n v="0"/>
    <x v="0"/>
    <x v="1"/>
    <n v="0"/>
    <s v=""/>
    <s v="CEE3P"/>
  </r>
  <r>
    <x v="276"/>
    <x v="48"/>
    <s v="NL0012254635"/>
    <x v="0"/>
    <s v="International"/>
    <x v="0"/>
    <s v="EC1EW"/>
    <x v="0"/>
    <s v="Non-significant benchmark"/>
    <n v="1100000"/>
    <n v="0"/>
    <n v="0"/>
    <n v="0"/>
    <n v="0"/>
    <n v="0"/>
    <x v="60"/>
    <x v="1"/>
    <n v="1100000"/>
    <n v="0"/>
    <s v="EC1EW"/>
  </r>
  <r>
    <x v="277"/>
    <x v="48"/>
    <s v="NL0012254650"/>
    <x v="0"/>
    <s v="International"/>
    <x v="0"/>
    <s v="EC1ED"/>
    <x v="0"/>
    <s v="Non-significant benchmark"/>
    <n v="0"/>
    <n v="0"/>
    <n v="0"/>
    <n v="0"/>
    <n v="0"/>
    <n v="0"/>
    <x v="0"/>
    <x v="1"/>
    <n v="0"/>
    <s v=""/>
    <s v="EC1EW"/>
  </r>
  <r>
    <x v="278"/>
    <x v="48"/>
    <s v="NL0012375356"/>
    <x v="0"/>
    <s v="International"/>
    <x v="0"/>
    <s v="COREU"/>
    <x v="0"/>
    <s v="Non-significant benchmark"/>
    <n v="0"/>
    <n v="0"/>
    <n v="0"/>
    <n v="0"/>
    <n v="0"/>
    <n v="0"/>
    <x v="0"/>
    <x v="1"/>
    <n v="21654106.9406"/>
    <n v="-1"/>
    <s v="EC1EW"/>
  </r>
  <r>
    <x v="279"/>
    <x v="48"/>
    <s v="NL0012254643"/>
    <x v="0"/>
    <s v="International"/>
    <x v="0"/>
    <s v="EC1EG"/>
    <x v="0"/>
    <s v="Non-significant benchmark"/>
    <n v="0"/>
    <n v="0"/>
    <n v="0"/>
    <n v="0"/>
    <n v="0"/>
    <n v="0"/>
    <x v="0"/>
    <x v="1"/>
    <n v="0"/>
    <s v=""/>
    <s v="EC1EW"/>
  </r>
  <r>
    <x v="280"/>
    <x v="48"/>
    <s v="NL0012375349"/>
    <x v="0"/>
    <s v="International"/>
    <x v="0"/>
    <s v="COREN"/>
    <x v="0"/>
    <s v="Non-significant benchmark"/>
    <n v="0"/>
    <n v="0"/>
    <n v="0"/>
    <n v="0"/>
    <n v="0"/>
    <n v="0"/>
    <x v="0"/>
    <x v="1"/>
    <n v="0"/>
    <s v=""/>
    <s v="EC1EW"/>
  </r>
  <r>
    <x v="281"/>
    <x v="48"/>
    <s v="NL0012483903"/>
    <x v="0"/>
    <s v="International"/>
    <x v="0"/>
    <s v="COR3P"/>
    <x v="0"/>
    <s v="Non-significant benchmark"/>
    <n v="0"/>
    <n v="0"/>
    <n v="0"/>
    <n v="0"/>
    <n v="0"/>
    <n v="0"/>
    <x v="0"/>
    <x v="1"/>
    <n v="149150989"/>
    <n v="-1"/>
    <s v="COR3P"/>
  </r>
  <r>
    <x v="282"/>
    <x v="48"/>
    <s v="NL0012483945"/>
    <x v="0"/>
    <s v="International"/>
    <x v="0"/>
    <s v="COR3D"/>
    <x v="0"/>
    <s v="Non-significant benchmark"/>
    <n v="0"/>
    <n v="0"/>
    <n v="0"/>
    <n v="0"/>
    <n v="0"/>
    <n v="0"/>
    <x v="0"/>
    <x v="1"/>
    <n v="0"/>
    <s v=""/>
    <s v="COR3P"/>
  </r>
  <r>
    <x v="283"/>
    <x v="48"/>
    <s v="NL0012483929"/>
    <x v="0"/>
    <s v="International"/>
    <x v="0"/>
    <s v="COR30"/>
    <x v="0"/>
    <s v="Non-significant benchmark"/>
    <n v="0"/>
    <n v="0"/>
    <n v="388321447.42320001"/>
    <n v="0"/>
    <n v="0"/>
    <n v="0"/>
    <x v="61"/>
    <x v="1"/>
    <n v="336443058.64840001"/>
    <n v="0.15419663875133049"/>
    <s v="COR3P"/>
  </r>
  <r>
    <x v="284"/>
    <x v="48"/>
    <s v="NL0012483937"/>
    <x v="0"/>
    <s v="International"/>
    <x v="0"/>
    <s v="COR3G"/>
    <x v="0"/>
    <s v="Non-significant benchmark"/>
    <n v="0"/>
    <n v="0"/>
    <n v="0"/>
    <n v="0"/>
    <n v="0"/>
    <n v="0"/>
    <x v="0"/>
    <x v="1"/>
    <n v="0"/>
    <s v=""/>
    <s v="COR3P"/>
  </r>
  <r>
    <x v="285"/>
    <x v="48"/>
    <s v="NL0012483911"/>
    <x v="0"/>
    <s v="International"/>
    <x v="0"/>
    <s v="COR3N"/>
    <x v="0"/>
    <s v="Non-significant benchmark"/>
    <n v="0"/>
    <n v="0"/>
    <n v="0"/>
    <n v="0"/>
    <n v="0"/>
    <n v="0"/>
    <x v="0"/>
    <x v="1"/>
    <n v="0"/>
    <s v=""/>
    <s v="COR3P"/>
  </r>
  <r>
    <x v="286"/>
    <x v="49"/>
    <s v="FR0014003PU4"/>
    <x v="1"/>
    <s v="Climate;PAB"/>
    <x v="2"/>
    <s v="CPABP"/>
    <x v="2"/>
    <s v="Non-significant benchmark"/>
    <n v="0"/>
    <n v="0"/>
    <n v="0"/>
    <n v="0"/>
    <n v="0"/>
    <n v="0"/>
    <x v="0"/>
    <x v="1"/>
    <n v="0"/>
    <s v=""/>
    <s v="CPABP"/>
  </r>
  <r>
    <x v="287"/>
    <x v="49"/>
    <s v="FRCLIM000015"/>
    <x v="1"/>
    <s v="Climate;PAB"/>
    <x v="2"/>
    <s v="CPAB4"/>
    <x v="2"/>
    <s v="Non-significant benchmark"/>
    <n v="0"/>
    <n v="0"/>
    <n v="0"/>
    <n v="0"/>
    <n v="0"/>
    <n v="0"/>
    <x v="0"/>
    <x v="1"/>
    <n v="0"/>
    <s v=""/>
    <s v="CPABP"/>
  </r>
  <r>
    <x v="288"/>
    <x v="49"/>
    <s v="FR0014003PV2"/>
    <x v="1"/>
    <s v="Climate;PAB"/>
    <x v="2"/>
    <s v="CPAB5"/>
    <x v="2"/>
    <s v="Non-significant benchmark"/>
    <n v="0"/>
    <n v="100000000"/>
    <n v="60059868.095599994"/>
    <n v="0"/>
    <n v="0"/>
    <n v="0"/>
    <x v="62"/>
    <x v="1"/>
    <n v="0"/>
    <s v=""/>
    <s v="CPABP"/>
  </r>
  <r>
    <x v="289"/>
    <x v="49"/>
    <s v="FR0014003PN9"/>
    <x v="1"/>
    <s v="Climate;PAB"/>
    <x v="2"/>
    <s v="CPABG"/>
    <x v="2"/>
    <s v="Non-significant benchmark"/>
    <n v="0"/>
    <n v="0"/>
    <n v="0"/>
    <n v="0"/>
    <n v="0"/>
    <n v="0"/>
    <x v="0"/>
    <x v="1"/>
    <n v="0"/>
    <s v=""/>
    <s v="CPABP"/>
  </r>
  <r>
    <x v="290"/>
    <x v="49"/>
    <s v="FR0014003PP4"/>
    <x v="1"/>
    <s v="Climate;PAB"/>
    <x v="2"/>
    <s v="CPABN"/>
    <x v="2"/>
    <s v="Non-significant benchmark"/>
    <n v="0"/>
    <n v="0"/>
    <n v="0"/>
    <n v="0"/>
    <n v="0"/>
    <n v="0"/>
    <x v="0"/>
    <x v="1"/>
    <n v="0"/>
    <s v=""/>
    <s v="CPABP"/>
  </r>
  <r>
    <x v="291"/>
    <x v="50"/>
    <s v="NL0015000I89"/>
    <x v="0"/>
    <s v="International"/>
    <x v="0"/>
    <s v="ENDMP"/>
    <x v="0"/>
    <s v="Non-significant benchmark"/>
    <n v="0"/>
    <n v="0"/>
    <n v="0"/>
    <n v="0"/>
    <n v="0"/>
    <n v="0"/>
    <x v="0"/>
    <x v="1"/>
    <n v="0"/>
    <s v=""/>
    <s v="ENDMP"/>
  </r>
  <r>
    <x v="292"/>
    <x v="50"/>
    <s v="NL0015000I63"/>
    <x v="0"/>
    <s v="International"/>
    <x v="0"/>
    <s v="ENDMG"/>
    <x v="0"/>
    <s v="Non-significant benchmark"/>
    <n v="0"/>
    <n v="0"/>
    <n v="0"/>
    <n v="0"/>
    <n v="0"/>
    <n v="0"/>
    <x v="0"/>
    <x v="1"/>
    <n v="0"/>
    <s v=""/>
    <s v="ENDMP"/>
  </r>
  <r>
    <x v="293"/>
    <x v="50"/>
    <s v="NLIX00000025"/>
    <x v="0"/>
    <s v="International"/>
    <x v="0"/>
    <s v="EDMGU"/>
    <x v="0"/>
    <s v="Non-significant benchmark"/>
    <n v="0"/>
    <n v="0"/>
    <n v="0"/>
    <n v="0"/>
    <n v="0"/>
    <n v="0"/>
    <x v="0"/>
    <x v="1"/>
    <n v="0"/>
    <s v=""/>
    <s v="EDMPU"/>
  </r>
  <r>
    <x v="294"/>
    <x v="50"/>
    <s v="NL0015000I71"/>
    <x v="0"/>
    <s v="International"/>
    <x v="0"/>
    <s v="ENDMN"/>
    <x v="0"/>
    <s v="Non-significant benchmark"/>
    <n v="0"/>
    <n v="0"/>
    <n v="0"/>
    <n v="0"/>
    <n v="0"/>
    <n v="0"/>
    <x v="0"/>
    <x v="1"/>
    <n v="0"/>
    <s v=""/>
    <s v="ENDMP"/>
  </r>
  <r>
    <x v="295"/>
    <x v="50"/>
    <s v="NLIX00000017"/>
    <x v="0"/>
    <s v="International"/>
    <x v="0"/>
    <s v="EDMNU"/>
    <x v="0"/>
    <s v="Non-significant benchmark"/>
    <n v="0"/>
    <n v="0"/>
    <n v="0"/>
    <n v="0"/>
    <n v="0"/>
    <n v="0"/>
    <x v="0"/>
    <x v="1"/>
    <n v="0"/>
    <s v=""/>
    <s v="EDMPU"/>
  </r>
  <r>
    <x v="296"/>
    <x v="50"/>
    <s v="NLIX00000009"/>
    <x v="0"/>
    <s v="International"/>
    <x v="0"/>
    <s v="EDMPU"/>
    <x v="0"/>
    <s v="Non-significant benchmark"/>
    <n v="0"/>
    <n v="0"/>
    <n v="0"/>
    <n v="0"/>
    <n v="0"/>
    <n v="0"/>
    <x v="0"/>
    <x v="1"/>
    <n v="0"/>
    <s v=""/>
    <s v="EDMPU"/>
  </r>
  <r>
    <x v="297"/>
    <x v="51"/>
    <s v="FRESG0000686"/>
    <x v="1"/>
    <s v="Environmental"/>
    <x v="1"/>
    <s v="EGSEP"/>
    <x v="2"/>
    <s v="Non-significant benchmark"/>
    <n v="0"/>
    <n v="0"/>
    <n v="0"/>
    <n v="0"/>
    <n v="0"/>
    <n v="0"/>
    <x v="0"/>
    <x v="1"/>
    <n v="0"/>
    <s v=""/>
    <s v="EGSEP"/>
  </r>
  <r>
    <x v="298"/>
    <x v="51"/>
    <s v="FRESG0000694"/>
    <x v="1"/>
    <s v="Environmental"/>
    <x v="1"/>
    <s v="EGSEG"/>
    <x v="2"/>
    <s v="Non-significant benchmark"/>
    <n v="0"/>
    <n v="0"/>
    <n v="0"/>
    <n v="0"/>
    <n v="0"/>
    <n v="0"/>
    <x v="0"/>
    <x v="1"/>
    <n v="0"/>
    <s v=""/>
    <s v="EGSEP"/>
  </r>
  <r>
    <x v="299"/>
    <x v="51"/>
    <s v="FRESG0000702"/>
    <x v="1"/>
    <s v="Environmental"/>
    <x v="1"/>
    <s v="EGSEN"/>
    <x v="2"/>
    <s v="Non-significant benchmark"/>
    <n v="0"/>
    <n v="0"/>
    <n v="0"/>
    <n v="0"/>
    <n v="0"/>
    <n v="0"/>
    <x v="0"/>
    <x v="1"/>
    <n v="0"/>
    <s v=""/>
    <s v="EGSEP"/>
  </r>
  <r>
    <x v="300"/>
    <x v="52"/>
    <s v="FRESG0000652"/>
    <x v="1"/>
    <s v="Environmental"/>
    <x v="1"/>
    <s v="EGSW"/>
    <x v="2"/>
    <s v="Non-significant benchmark"/>
    <n v="0"/>
    <n v="0"/>
    <n v="0"/>
    <n v="0"/>
    <n v="0"/>
    <n v="0"/>
    <x v="0"/>
    <x v="1"/>
    <n v="0"/>
    <s v=""/>
    <s v="EGSW"/>
  </r>
  <r>
    <x v="301"/>
    <x v="52"/>
    <s v="FRESG0000660"/>
    <x v="1"/>
    <s v="Environmental"/>
    <x v="1"/>
    <s v="EGSWG"/>
    <x v="2"/>
    <s v="Non-significant benchmark"/>
    <n v="0"/>
    <n v="0"/>
    <n v="0"/>
    <n v="0"/>
    <n v="0"/>
    <n v="0"/>
    <x v="0"/>
    <x v="1"/>
    <n v="0"/>
    <s v=""/>
    <s v="EGSW"/>
  </r>
  <r>
    <x v="302"/>
    <x v="52"/>
    <s v="FRESG0000678"/>
    <x v="1"/>
    <s v="Environmental"/>
    <x v="1"/>
    <s v="EGSWN"/>
    <x v="2"/>
    <s v="Non-significant benchmark"/>
    <n v="0"/>
    <n v="0"/>
    <n v="0"/>
    <n v="0"/>
    <n v="0"/>
    <n v="0"/>
    <x v="0"/>
    <x v="1"/>
    <n v="0"/>
    <s v=""/>
    <s v="EGSW"/>
  </r>
  <r>
    <x v="303"/>
    <x v="53"/>
    <s v="FRESG0000991"/>
    <x v="1"/>
    <s v="Social"/>
    <x v="1"/>
    <s v="EQGEP"/>
    <x v="2"/>
    <s v="Non-significant benchmark"/>
    <n v="0"/>
    <n v="0"/>
    <n v="0"/>
    <n v="0"/>
    <n v="0"/>
    <n v="0"/>
    <x v="0"/>
    <x v="1"/>
    <n v="0"/>
    <s v=""/>
    <s v="EQGEP"/>
  </r>
  <r>
    <x v="304"/>
    <x v="53"/>
    <s v="FRESG0001015"/>
    <x v="1"/>
    <s v="Social"/>
    <x v="1"/>
    <s v="EQGEG"/>
    <x v="2"/>
    <s v="Non-significant benchmark"/>
    <n v="0"/>
    <n v="0"/>
    <n v="0"/>
    <n v="0"/>
    <n v="0"/>
    <n v="0"/>
    <x v="0"/>
    <x v="1"/>
    <n v="0"/>
    <s v=""/>
    <s v="EQGEP"/>
  </r>
  <r>
    <x v="305"/>
    <x v="53"/>
    <s v="FRESG0001007"/>
    <x v="1"/>
    <s v="Social"/>
    <x v="1"/>
    <s v="EQGEN"/>
    <x v="2"/>
    <s v="Non-significant benchmark"/>
    <n v="0"/>
    <n v="0"/>
    <n v="0"/>
    <n v="0"/>
    <n v="0"/>
    <n v="0"/>
    <x v="0"/>
    <x v="1"/>
    <n v="0"/>
    <s v=""/>
    <s v="EQGEP"/>
  </r>
  <r>
    <x v="306"/>
    <x v="54"/>
    <s v="FRESG0000900"/>
    <x v="1"/>
    <s v="Social"/>
    <x v="1"/>
    <s v="EQGFP"/>
    <x v="2"/>
    <s v="Non-significant benchmark"/>
    <n v="0"/>
    <n v="0"/>
    <n v="0"/>
    <n v="0"/>
    <n v="0"/>
    <n v="0"/>
    <x v="0"/>
    <x v="1"/>
    <n v="0"/>
    <s v=""/>
    <s v="EQGFP"/>
  </r>
  <r>
    <x v="307"/>
    <x v="54"/>
    <s v="FRESG0000926"/>
    <x v="1"/>
    <s v="Social"/>
    <x v="1"/>
    <s v="EQGFG"/>
    <x v="2"/>
    <s v="Non-significant benchmark"/>
    <n v="0"/>
    <n v="0"/>
    <n v="0"/>
    <n v="0"/>
    <n v="0"/>
    <n v="0"/>
    <x v="0"/>
    <x v="1"/>
    <n v="0"/>
    <s v=""/>
    <s v="EQGFP"/>
  </r>
  <r>
    <x v="308"/>
    <x v="54"/>
    <s v="FRESG0000918"/>
    <x v="1"/>
    <s v="Social"/>
    <x v="1"/>
    <s v="EQGFN"/>
    <x v="2"/>
    <s v="Non-significant benchmark"/>
    <n v="0"/>
    <n v="0"/>
    <n v="0"/>
    <n v="0"/>
    <n v="0"/>
    <n v="0"/>
    <x v="0"/>
    <x v="1"/>
    <n v="0"/>
    <s v=""/>
    <s v="EQGFP"/>
  </r>
  <r>
    <x v="309"/>
    <x v="55"/>
    <s v="FRESG0000090"/>
    <x v="1"/>
    <s v="Biodiversity"/>
    <x v="1"/>
    <s v="EBSEP"/>
    <x v="2"/>
    <s v="Non-significant benchmark"/>
    <n v="0"/>
    <n v="0"/>
    <n v="0"/>
    <n v="0"/>
    <n v="0"/>
    <n v="0"/>
    <x v="0"/>
    <x v="1"/>
    <n v="0"/>
    <s v=""/>
    <s v="EBSEP"/>
  </r>
  <r>
    <x v="310"/>
    <x v="55"/>
    <s v="FRESG0000124"/>
    <x v="1"/>
    <s v="Biodiversity"/>
    <x v="1"/>
    <s v="EBSE4"/>
    <x v="2"/>
    <s v="Non-significant benchmark"/>
    <n v="0"/>
    <n v="0"/>
    <n v="0"/>
    <n v="0"/>
    <n v="0"/>
    <n v="0"/>
    <x v="0"/>
    <x v="1"/>
    <n v="0"/>
    <s v=""/>
    <s v="EBSEP"/>
  </r>
  <r>
    <x v="311"/>
    <x v="55"/>
    <s v="FRESG0000132"/>
    <x v="1"/>
    <s v="Biodiversity"/>
    <x v="1"/>
    <s v="EBSE5"/>
    <x v="2"/>
    <s v="Non-significant benchmark"/>
    <n v="0"/>
    <n v="0"/>
    <n v="0"/>
    <n v="0"/>
    <n v="0"/>
    <n v="0"/>
    <x v="0"/>
    <x v="1"/>
    <n v="0"/>
    <s v=""/>
    <s v="EBSEP"/>
  </r>
  <r>
    <x v="312"/>
    <x v="55"/>
    <s v="FRESG0000116"/>
    <x v="1"/>
    <s v="Biodiversity"/>
    <x v="1"/>
    <s v="EBSEG"/>
    <x v="2"/>
    <s v="Non-significant benchmark"/>
    <n v="0"/>
    <n v="0"/>
    <n v="0"/>
    <n v="0"/>
    <n v="0"/>
    <n v="0"/>
    <x v="0"/>
    <x v="1"/>
    <n v="0"/>
    <s v=""/>
    <s v="EBSEP"/>
  </r>
  <r>
    <x v="313"/>
    <x v="55"/>
    <s v="FRESG0000108"/>
    <x v="1"/>
    <s v="Biodiversity"/>
    <x v="1"/>
    <s v="EBSEN"/>
    <x v="2"/>
    <s v="Non-significant benchmark"/>
    <n v="0"/>
    <n v="0"/>
    <n v="0"/>
    <n v="0"/>
    <n v="0"/>
    <n v="0"/>
    <x v="0"/>
    <x v="1"/>
    <n v="0"/>
    <s v=""/>
    <s v="EBSEP"/>
  </r>
  <r>
    <x v="314"/>
    <x v="56"/>
    <s v="FRESG0000405"/>
    <x v="1"/>
    <s v="Biodiversity"/>
    <x v="1"/>
    <s v="EBSTP"/>
    <x v="2"/>
    <s v="Non-significant benchmark"/>
    <n v="0"/>
    <n v="0"/>
    <n v="0"/>
    <n v="0"/>
    <n v="0"/>
    <n v="0"/>
    <x v="0"/>
    <x v="1"/>
    <n v="0"/>
    <s v=""/>
    <s v="EBSTP"/>
  </r>
  <r>
    <x v="315"/>
    <x v="56"/>
    <s v="FRESG0000439"/>
    <x v="1"/>
    <s v="Biodiversity"/>
    <x v="1"/>
    <s v="EBST4"/>
    <x v="2"/>
    <s v="Non-significant benchmark"/>
    <n v="0"/>
    <n v="0"/>
    <n v="0"/>
    <n v="0"/>
    <n v="0"/>
    <n v="0"/>
    <x v="0"/>
    <x v="1"/>
    <n v="0"/>
    <s v=""/>
    <s v="EBSTP"/>
  </r>
  <r>
    <x v="316"/>
    <x v="56"/>
    <s v="FRESG0000447"/>
    <x v="1"/>
    <s v="Biodiversity"/>
    <x v="1"/>
    <s v="EBST5"/>
    <x v="2"/>
    <s v="Non-significant benchmark"/>
    <n v="0"/>
    <n v="0"/>
    <n v="0"/>
    <n v="0"/>
    <n v="0"/>
    <n v="0"/>
    <x v="0"/>
    <x v="1"/>
    <n v="0"/>
    <s v=""/>
    <s v="EBSTP"/>
  </r>
  <r>
    <x v="317"/>
    <x v="56"/>
    <s v="FRESG0000421"/>
    <x v="1"/>
    <s v="Biodiversity"/>
    <x v="1"/>
    <s v="EBSTG"/>
    <x v="2"/>
    <s v="Non-significant benchmark"/>
    <n v="0"/>
    <n v="0"/>
    <n v="0"/>
    <n v="0"/>
    <n v="0"/>
    <n v="0"/>
    <x v="0"/>
    <x v="1"/>
    <n v="0"/>
    <s v=""/>
    <s v="EBSTP"/>
  </r>
  <r>
    <x v="318"/>
    <x v="56"/>
    <s v="FRESG0000413"/>
    <x v="1"/>
    <s v="Biodiversity"/>
    <x v="1"/>
    <s v="EBSTN"/>
    <x v="2"/>
    <s v="Non-significant benchmark"/>
    <n v="0"/>
    <n v="0"/>
    <n v="0"/>
    <n v="0"/>
    <n v="0"/>
    <n v="0"/>
    <x v="0"/>
    <x v="1"/>
    <n v="0"/>
    <s v=""/>
    <s v="EBSTP"/>
  </r>
  <r>
    <x v="319"/>
    <x v="57"/>
    <s v="FRESG0000066"/>
    <x v="1"/>
    <s v="Biodiversity"/>
    <x v="1"/>
    <s v="EBSWP"/>
    <x v="2"/>
    <s v="Non-significant benchmark"/>
    <n v="0"/>
    <n v="0"/>
    <n v="0"/>
    <n v="0"/>
    <n v="0"/>
    <n v="0"/>
    <x v="0"/>
    <x v="1"/>
    <n v="0"/>
    <s v=""/>
    <s v="EBSWP"/>
  </r>
  <r>
    <x v="320"/>
    <x v="57"/>
    <s v="FRESG0000082"/>
    <x v="1"/>
    <s v="Biodiversity"/>
    <x v="1"/>
    <s v="EBSWG"/>
    <x v="2"/>
    <s v="Non-significant benchmark"/>
    <n v="0"/>
    <n v="0"/>
    <n v="0"/>
    <n v="0"/>
    <n v="0"/>
    <n v="0"/>
    <x v="0"/>
    <x v="1"/>
    <n v="0"/>
    <s v=""/>
    <s v="EBSWP"/>
  </r>
  <r>
    <x v="321"/>
    <x v="57"/>
    <s v="FRESG0000157"/>
    <x v="1"/>
    <s v="Biodiversity"/>
    <x v="1"/>
    <s v="EBSGW"/>
    <x v="2"/>
    <s v="Non-significant benchmark"/>
    <n v="0"/>
    <n v="0"/>
    <n v="0"/>
    <n v="0"/>
    <n v="0"/>
    <n v="0"/>
    <x v="0"/>
    <x v="1"/>
    <n v="0"/>
    <s v=""/>
    <s v="EBSPW"/>
  </r>
  <r>
    <x v="322"/>
    <x v="57"/>
    <s v="FRESG0000074"/>
    <x v="1"/>
    <s v="Biodiversity"/>
    <x v="1"/>
    <s v="EBSWN"/>
    <x v="2"/>
    <s v="Non-significant benchmark"/>
    <n v="0"/>
    <n v="0"/>
    <n v="0"/>
    <n v="0"/>
    <n v="0"/>
    <n v="0"/>
    <x v="0"/>
    <x v="1"/>
    <n v="0"/>
    <s v=""/>
    <s v="EBSWP"/>
  </r>
  <r>
    <x v="323"/>
    <x v="57"/>
    <s v="FRESG0000165"/>
    <x v="1"/>
    <s v="Biodiversity"/>
    <x v="1"/>
    <s v="EBSNW"/>
    <x v="2"/>
    <s v="Non-significant benchmark"/>
    <n v="0"/>
    <n v="0"/>
    <n v="0"/>
    <n v="4803903.0320111997"/>
    <n v="0"/>
    <n v="0"/>
    <x v="63"/>
    <x v="1"/>
    <n v="8365613.7614216004"/>
    <n v="-0.42575605699552943"/>
    <s v="EBSPW"/>
  </r>
  <r>
    <x v="324"/>
    <x v="57"/>
    <s v="FRESG0000140"/>
    <x v="1"/>
    <s v="Biodiversity"/>
    <x v="1"/>
    <s v="EBSPW"/>
    <x v="2"/>
    <s v="Non-significant benchmark"/>
    <n v="0"/>
    <n v="0"/>
    <n v="0"/>
    <n v="0"/>
    <n v="0"/>
    <n v="0"/>
    <x v="0"/>
    <x v="1"/>
    <n v="0"/>
    <s v=""/>
    <s v="EBSPW"/>
  </r>
  <r>
    <x v="325"/>
    <x v="58"/>
    <s v="FRESG0000371"/>
    <x v="1"/>
    <s v="Biodiversity;Climate;PAB"/>
    <x v="2"/>
    <s v="EBLPP"/>
    <x v="2"/>
    <s v="Non-significant benchmark"/>
    <n v="0"/>
    <n v="0"/>
    <n v="0"/>
    <n v="0"/>
    <n v="0"/>
    <n v="0"/>
    <x v="0"/>
    <x v="1"/>
    <n v="0"/>
    <s v=""/>
    <s v="EBLPP"/>
  </r>
  <r>
    <x v="326"/>
    <x v="58"/>
    <s v="FRESG0000389"/>
    <x v="1"/>
    <s v="Biodiversity;Climate;PAB"/>
    <x v="2"/>
    <s v="EBLPG"/>
    <x v="2"/>
    <s v="Non-significant benchmark"/>
    <n v="0"/>
    <n v="0"/>
    <n v="0"/>
    <n v="0"/>
    <n v="0"/>
    <n v="0"/>
    <x v="0"/>
    <x v="1"/>
    <n v="0"/>
    <s v=""/>
    <s v="EBLPP"/>
  </r>
  <r>
    <x v="327"/>
    <x v="58"/>
    <s v="FRESG0000397"/>
    <x v="1"/>
    <s v="Biodiversity;Climate;PAB"/>
    <x v="2"/>
    <s v="EBLPN"/>
    <x v="2"/>
    <s v="Non-significant benchmark"/>
    <n v="0"/>
    <n v="0"/>
    <n v="0"/>
    <n v="46350802"/>
    <n v="0"/>
    <n v="0"/>
    <x v="64"/>
    <x v="1"/>
    <n v="62758242.979999997"/>
    <n v="-0.2614388198412243"/>
    <s v="EBLPP"/>
  </r>
  <r>
    <x v="328"/>
    <x v="59"/>
    <s v="FR0013477007"/>
    <x v="1"/>
    <s v="Broad ESG"/>
    <x v="1"/>
    <s v="ESGEP"/>
    <x v="2"/>
    <s v="Non-significant benchmark"/>
    <n v="0"/>
    <n v="0"/>
    <n v="0"/>
    <n v="0"/>
    <n v="0"/>
    <n v="0"/>
    <x v="0"/>
    <x v="1"/>
    <n v="0"/>
    <s v=""/>
    <s v="ESGEP"/>
  </r>
  <r>
    <x v="329"/>
    <x v="59"/>
    <s v="FR0013477056"/>
    <x v="1"/>
    <s v="Broad ESG"/>
    <x v="1"/>
    <s v="ESGZD"/>
    <x v="2"/>
    <s v="Non-significant benchmark"/>
    <n v="0"/>
    <n v="0"/>
    <n v="0"/>
    <n v="0"/>
    <n v="0"/>
    <n v="0"/>
    <x v="0"/>
    <x v="1"/>
    <n v="0"/>
    <s v=""/>
    <s v="ESGEP"/>
  </r>
  <r>
    <x v="330"/>
    <x v="59"/>
    <s v="FR0013477049"/>
    <x v="1"/>
    <s v="Broad ESG"/>
    <x v="1"/>
    <s v="ESGEZ"/>
    <x v="2"/>
    <s v="Non-significant benchmark"/>
    <n v="227950381"/>
    <n v="342351000"/>
    <n v="203794617.59720001"/>
    <n v="0"/>
    <n v="0"/>
    <n v="0"/>
    <x v="65"/>
    <x v="1"/>
    <n v="205686277.96780002"/>
    <n v="0.10824301578195406"/>
    <s v="ESGEP"/>
  </r>
  <r>
    <x v="331"/>
    <x v="59"/>
    <s v="FR0013477031"/>
    <x v="1"/>
    <s v="Broad ESG"/>
    <x v="1"/>
    <s v="ESGEG"/>
    <x v="2"/>
    <s v="Non-significant benchmark"/>
    <n v="0"/>
    <n v="0"/>
    <n v="0"/>
    <n v="0"/>
    <n v="0"/>
    <n v="0"/>
    <x v="0"/>
    <x v="1"/>
    <n v="0"/>
    <s v=""/>
    <s v="ESGEP"/>
  </r>
  <r>
    <x v="332"/>
    <x v="59"/>
    <s v="FR0013477023"/>
    <x v="1"/>
    <s v="Broad ESG"/>
    <x v="1"/>
    <s v="ESGEN"/>
    <x v="2"/>
    <s v="Non-significant benchmark"/>
    <n v="0"/>
    <n v="0"/>
    <n v="0"/>
    <n v="0"/>
    <n v="0"/>
    <n v="0"/>
    <x v="0"/>
    <x v="1"/>
    <n v="0"/>
    <s v=""/>
    <s v="ESGEP"/>
  </r>
  <r>
    <x v="333"/>
    <x v="60"/>
    <s v="NL0012481741"/>
    <x v="1"/>
    <s v="Broad ESG"/>
    <x v="1"/>
    <s v="ESG50"/>
    <x v="2"/>
    <s v="Non-significant benchmark"/>
    <n v="0"/>
    <n v="240000000"/>
    <n v="0"/>
    <n v="0"/>
    <n v="0"/>
    <n v="0"/>
    <x v="66"/>
    <x v="1"/>
    <n v="240000000"/>
    <n v="0"/>
    <s v="ESG50"/>
  </r>
  <r>
    <x v="334"/>
    <x v="60"/>
    <s v="NL0012481774"/>
    <x v="1"/>
    <s v="Broad ESG"/>
    <x v="1"/>
    <s v="ESG5D"/>
    <x v="2"/>
    <s v="Non-significant benchmark"/>
    <n v="530971463.14279771"/>
    <n v="2636851700"/>
    <n v="725931403.70480001"/>
    <n v="0"/>
    <n v="0"/>
    <n v="0"/>
    <x v="67"/>
    <x v="1"/>
    <n v="2039351700"/>
    <n v="-0.64403815011172427"/>
    <s v="ESG50"/>
  </r>
  <r>
    <x v="335"/>
    <x v="60"/>
    <s v="NL0012481766"/>
    <x v="1"/>
    <s v="Broad ESG"/>
    <x v="1"/>
    <s v="ESG5G"/>
    <x v="2"/>
    <s v="Non-significant benchmark"/>
    <n v="0"/>
    <n v="0"/>
    <n v="0"/>
    <n v="0"/>
    <n v="0"/>
    <n v="0"/>
    <x v="0"/>
    <x v="1"/>
    <n v="0"/>
    <s v=""/>
    <s v="ESG50"/>
  </r>
  <r>
    <x v="336"/>
    <x v="60"/>
    <s v="NL0012481758"/>
    <x v="1"/>
    <s v="Broad ESG"/>
    <x v="1"/>
    <s v="ESG5N"/>
    <x v="2"/>
    <s v="Non-significant benchmark"/>
    <n v="0"/>
    <n v="0"/>
    <n v="0"/>
    <n v="0"/>
    <n v="0"/>
    <n v="0"/>
    <x v="0"/>
    <x v="1"/>
    <n v="0"/>
    <s v=""/>
    <s v="ESG50"/>
  </r>
  <r>
    <x v="337"/>
    <x v="61"/>
    <s v="NL0013400302"/>
    <x v="1"/>
    <s v="Social;Governance"/>
    <x v="1"/>
    <s v="SG50P"/>
    <x v="2"/>
    <s v="Non-significant benchmark"/>
    <n v="0"/>
    <n v="0"/>
    <n v="0"/>
    <n v="0"/>
    <n v="0"/>
    <n v="0"/>
    <x v="0"/>
    <x v="1"/>
    <n v="0"/>
    <s v=""/>
    <s v="SG50P"/>
  </r>
  <r>
    <x v="338"/>
    <x v="61"/>
    <s v="NL0013400336"/>
    <x v="1"/>
    <s v="Social;Governance"/>
    <x v="1"/>
    <s v="SG50D"/>
    <x v="2"/>
    <s v="Non-significant benchmark"/>
    <n v="0"/>
    <n v="0"/>
    <n v="0"/>
    <n v="0"/>
    <n v="0"/>
    <n v="0"/>
    <x v="0"/>
    <x v="1"/>
    <n v="0"/>
    <s v=""/>
    <s v="SG50P"/>
  </r>
  <r>
    <x v="339"/>
    <x v="61"/>
    <s v="NL0013400328"/>
    <x v="1"/>
    <s v="Social;Governance"/>
    <x v="1"/>
    <s v="SG50G"/>
    <x v="2"/>
    <s v="Non-significant benchmark"/>
    <n v="0"/>
    <n v="0"/>
    <n v="0"/>
    <n v="0"/>
    <n v="0"/>
    <n v="0"/>
    <x v="0"/>
    <x v="1"/>
    <n v="0"/>
    <s v=""/>
    <s v="SG50P"/>
  </r>
  <r>
    <x v="340"/>
    <x v="61"/>
    <s v="NL0013400310"/>
    <x v="1"/>
    <s v="Social;Governance"/>
    <x v="1"/>
    <s v="SG50N"/>
    <x v="2"/>
    <s v="Non-significant benchmark"/>
    <n v="0"/>
    <n v="0"/>
    <n v="0"/>
    <n v="0"/>
    <n v="0"/>
    <n v="0"/>
    <x v="0"/>
    <x v="1"/>
    <n v="0"/>
    <s v=""/>
    <s v="SG50P"/>
  </r>
  <r>
    <x v="341"/>
    <x v="62"/>
    <s v="FRESG0000306"/>
    <x v="1"/>
    <s v="Biodiversity"/>
    <x v="1"/>
    <s v="BIOEP"/>
    <x v="2"/>
    <s v="Non-significant benchmark"/>
    <n v="0"/>
    <n v="0"/>
    <n v="0"/>
    <n v="0"/>
    <n v="0"/>
    <n v="0"/>
    <x v="0"/>
    <x v="1"/>
    <n v="0"/>
    <s v=""/>
    <s v="BIOEP"/>
  </r>
  <r>
    <x v="342"/>
    <x v="62"/>
    <s v="FRESG0000488"/>
    <x v="1"/>
    <s v="Biodiversity"/>
    <x v="1"/>
    <s v="BIOE4"/>
    <x v="2"/>
    <s v="Non-significant benchmark"/>
    <n v="0"/>
    <n v="0"/>
    <n v="0"/>
    <n v="0"/>
    <n v="0"/>
    <n v="0"/>
    <x v="0"/>
    <x v="1"/>
    <n v="0"/>
    <s v=""/>
    <s v="BIOEP"/>
  </r>
  <r>
    <x v="343"/>
    <x v="62"/>
    <s v="FRESG0000330"/>
    <x v="1"/>
    <s v="Biodiversity"/>
    <x v="1"/>
    <s v="BIOEZ"/>
    <x v="2"/>
    <s v="Non-significant benchmark"/>
    <n v="29087000"/>
    <n v="0"/>
    <n v="1160488.1736000001"/>
    <n v="0"/>
    <n v="0"/>
    <n v="0"/>
    <x v="68"/>
    <x v="1"/>
    <n v="48583994.651799999"/>
    <n v="-0.40130489045897444"/>
    <s v="BIOEP"/>
  </r>
  <r>
    <x v="344"/>
    <x v="62"/>
    <s v="FRESG0000314"/>
    <x v="1"/>
    <s v="Biodiversity"/>
    <x v="1"/>
    <s v="BIOEG"/>
    <x v="2"/>
    <s v="Non-significant benchmark"/>
    <n v="0"/>
    <n v="0"/>
    <n v="0"/>
    <n v="0"/>
    <n v="0"/>
    <n v="0"/>
    <x v="0"/>
    <x v="1"/>
    <n v="0"/>
    <s v=""/>
    <s v="BIOEP"/>
  </r>
  <r>
    <x v="345"/>
    <x v="62"/>
    <s v="FRESG0000322"/>
    <x v="1"/>
    <s v="Biodiversity"/>
    <x v="1"/>
    <s v="BIOEN"/>
    <x v="2"/>
    <s v="Non-significant benchmark"/>
    <n v="0"/>
    <n v="0"/>
    <n v="0"/>
    <n v="0"/>
    <n v="0"/>
    <n v="0"/>
    <x v="0"/>
    <x v="1"/>
    <n v="0"/>
    <s v=""/>
    <s v="BIOEP"/>
  </r>
  <r>
    <x v="346"/>
    <x v="63"/>
    <s v="NL0013273014"/>
    <x v="0"/>
    <s v="International"/>
    <x v="0"/>
    <s v="EU500"/>
    <x v="0"/>
    <s v="Non-significant benchmark"/>
    <n v="0"/>
    <n v="0"/>
    <n v="0"/>
    <n v="0"/>
    <n v="0"/>
    <n v="0"/>
    <x v="0"/>
    <x v="1"/>
    <n v="0"/>
    <s v=""/>
    <s v="EU500"/>
  </r>
  <r>
    <x v="347"/>
    <x v="63"/>
    <s v="NL0013273030"/>
    <x v="0"/>
    <s v="International"/>
    <x v="0"/>
    <s v="EU5GR"/>
    <x v="0"/>
    <s v="Non-significant benchmark"/>
    <n v="0"/>
    <n v="0"/>
    <n v="0"/>
    <n v="0"/>
    <n v="0"/>
    <n v="0"/>
    <x v="0"/>
    <x v="1"/>
    <n v="0"/>
    <s v=""/>
    <s v="EU500"/>
  </r>
  <r>
    <x v="348"/>
    <x v="63"/>
    <s v="NL0013273022"/>
    <x v="0"/>
    <s v="International"/>
    <x v="0"/>
    <s v="EU5NR"/>
    <x v="0"/>
    <s v="Non-significant benchmark"/>
    <n v="0"/>
    <n v="0"/>
    <n v="0"/>
    <n v="0"/>
    <n v="0"/>
    <n v="0"/>
    <x v="0"/>
    <x v="1"/>
    <n v="0"/>
    <s v=""/>
    <s v="EU500"/>
  </r>
  <r>
    <x v="349"/>
    <x v="64"/>
    <s v="FR0013483278"/>
    <x v="1"/>
    <s v="Broad ESG"/>
    <x v="1"/>
    <s v="EPEGP"/>
    <x v="2"/>
    <s v="Non-significant benchmark"/>
    <n v="0"/>
    <n v="0"/>
    <n v="0"/>
    <n v="0"/>
    <n v="0"/>
    <n v="0"/>
    <x v="0"/>
    <x v="1"/>
    <n v="0"/>
    <s v=""/>
    <s v="EPEGP"/>
  </r>
  <r>
    <x v="350"/>
    <x v="64"/>
    <s v="FR0013483302"/>
    <x v="1"/>
    <s v="Broad ESG"/>
    <x v="1"/>
    <s v="EUPE5"/>
    <x v="2"/>
    <s v="Non-significant benchmark"/>
    <n v="0"/>
    <n v="0"/>
    <n v="0"/>
    <n v="0"/>
    <n v="0"/>
    <n v="0"/>
    <x v="0"/>
    <x v="1"/>
    <n v="0"/>
    <s v=""/>
    <s v="EPEGP"/>
  </r>
  <r>
    <x v="351"/>
    <x v="64"/>
    <s v="FR0013483294"/>
    <x v="1"/>
    <s v="Broad ESG"/>
    <x v="1"/>
    <s v="EPEGG"/>
    <x v="2"/>
    <s v="Non-significant benchmark"/>
    <n v="0"/>
    <n v="0"/>
    <n v="0"/>
    <n v="0"/>
    <n v="0"/>
    <n v="0"/>
    <x v="0"/>
    <x v="1"/>
    <n v="0"/>
    <s v=""/>
    <s v="EPEGP"/>
  </r>
  <r>
    <x v="352"/>
    <x v="64"/>
    <s v="FR0013483286"/>
    <x v="1"/>
    <s v="Broad ESG"/>
    <x v="1"/>
    <s v="EPEGN"/>
    <x v="2"/>
    <s v="Non-significant benchmark"/>
    <n v="0"/>
    <n v="0"/>
    <n v="0"/>
    <n v="0"/>
    <n v="0"/>
    <n v="0"/>
    <x v="0"/>
    <x v="1"/>
    <n v="0"/>
    <s v=""/>
    <s v="EPEGP"/>
  </r>
  <r>
    <x v="353"/>
    <x v="65"/>
    <s v="NL0012758627"/>
    <x v="1"/>
    <s v="Broad ESG"/>
    <x v="1"/>
    <s v="ES1EP"/>
    <x v="2"/>
    <s v="Non-significant benchmark"/>
    <n v="0"/>
    <n v="0"/>
    <n v="0"/>
    <n v="0"/>
    <n v="0"/>
    <n v="0"/>
    <x v="0"/>
    <x v="1"/>
    <n v="0"/>
    <s v=""/>
    <s v="ES1EP"/>
  </r>
  <r>
    <x v="354"/>
    <x v="65"/>
    <s v="NL0012758650"/>
    <x v="1"/>
    <s v="Broad ESG"/>
    <x v="1"/>
    <s v="ES1ED"/>
    <x v="2"/>
    <s v="Non-significant benchmark"/>
    <n v="0"/>
    <n v="0"/>
    <n v="268643801.9648"/>
    <n v="0"/>
    <n v="0"/>
    <n v="0"/>
    <x v="69"/>
    <x v="1"/>
    <n v="300000000"/>
    <n v="-0.1045206601173333"/>
    <s v="ES1EP"/>
  </r>
  <r>
    <x v="355"/>
    <x v="65"/>
    <s v="NL0012758643"/>
    <x v="1"/>
    <s v="Broad ESG"/>
    <x v="1"/>
    <s v="ES1EG"/>
    <x v="2"/>
    <s v="Non-significant benchmark"/>
    <n v="0"/>
    <n v="0"/>
    <n v="0"/>
    <n v="0"/>
    <n v="0"/>
    <n v="0"/>
    <x v="0"/>
    <x v="1"/>
    <n v="0"/>
    <s v=""/>
    <s v="ES1EP"/>
  </r>
  <r>
    <x v="356"/>
    <x v="65"/>
    <s v="NL0012758635"/>
    <x v="1"/>
    <s v="Broad ESG"/>
    <x v="1"/>
    <s v="ES1EN"/>
    <x v="2"/>
    <s v="Non-significant benchmark"/>
    <n v="0"/>
    <n v="0"/>
    <n v="0"/>
    <n v="0"/>
    <n v="0"/>
    <n v="0"/>
    <x v="0"/>
    <x v="1"/>
    <n v="0"/>
    <s v=""/>
    <s v="ES1EP"/>
  </r>
  <r>
    <x v="357"/>
    <x v="66"/>
    <s v="NL0013025596"/>
    <x v="1"/>
    <s v="Broad ESG"/>
    <x v="1"/>
    <s v="ESG1P"/>
    <x v="2"/>
    <s v="Non-significant benchmark"/>
    <n v="0"/>
    <n v="0"/>
    <n v="0"/>
    <n v="0"/>
    <n v="0"/>
    <n v="0"/>
    <x v="0"/>
    <x v="1"/>
    <n v="0"/>
    <s v=""/>
    <s v="ESG1P"/>
  </r>
  <r>
    <x v="358"/>
    <x v="66"/>
    <s v="NL0014130411"/>
    <x v="1"/>
    <s v="Broad ESG"/>
    <x v="1"/>
    <s v="ESGDE"/>
    <x v="2"/>
    <s v="Non-significant benchmark"/>
    <n v="0"/>
    <n v="0"/>
    <n v="0"/>
    <n v="0"/>
    <n v="0"/>
    <n v="0"/>
    <x v="0"/>
    <x v="1"/>
    <n v="0"/>
    <s v=""/>
    <s v="ESG1P"/>
  </r>
  <r>
    <x v="359"/>
    <x v="66"/>
    <s v="NL0013995343"/>
    <x v="1"/>
    <s v="Broad ESG"/>
    <x v="1"/>
    <s v="ESGED"/>
    <x v="2"/>
    <s v="Non-significant benchmark"/>
    <n v="0"/>
    <n v="0"/>
    <n v="0"/>
    <n v="0"/>
    <n v="0"/>
    <n v="0"/>
    <x v="0"/>
    <x v="1"/>
    <n v="0"/>
    <s v=""/>
    <s v="ESG1P"/>
  </r>
  <r>
    <x v="360"/>
    <x v="66"/>
    <s v="NL0013025620"/>
    <x v="1"/>
    <s v="Broad ESG"/>
    <x v="1"/>
    <s v="ESG1D"/>
    <x v="2"/>
    <s v="Non-significant benchmark"/>
    <n v="0"/>
    <n v="0"/>
    <n v="0"/>
    <n v="0"/>
    <n v="0"/>
    <n v="0"/>
    <x v="0"/>
    <x v="1"/>
    <n v="12206600"/>
    <n v="-1"/>
    <s v="ESG1P"/>
  </r>
  <r>
    <x v="361"/>
    <x v="66"/>
    <s v="NL0013025612"/>
    <x v="1"/>
    <s v="Broad ESG"/>
    <x v="1"/>
    <s v="ESG1G"/>
    <x v="2"/>
    <s v="Non-significant benchmark"/>
    <n v="0"/>
    <n v="0"/>
    <n v="0"/>
    <n v="0"/>
    <n v="0"/>
    <n v="0"/>
    <x v="0"/>
    <x v="1"/>
    <n v="0"/>
    <s v=""/>
    <s v="ESG1P"/>
  </r>
  <r>
    <x v="362"/>
    <x v="66"/>
    <s v="NL0013025604"/>
    <x v="1"/>
    <s v="Broad ESG"/>
    <x v="1"/>
    <s v="ESG1N"/>
    <x v="2"/>
    <s v="Non-significant benchmark"/>
    <n v="0"/>
    <n v="0"/>
    <n v="0"/>
    <n v="0"/>
    <n v="0"/>
    <n v="0"/>
    <x v="0"/>
    <x v="1"/>
    <n v="0"/>
    <s v=""/>
    <s v="ESG1P"/>
  </r>
  <r>
    <x v="363"/>
    <x v="67"/>
    <s v="NL0012949101"/>
    <x v="0"/>
    <s v="International"/>
    <x v="0"/>
    <s v="EZ15P"/>
    <x v="0"/>
    <s v="Non-significant benchmark"/>
    <n v="0"/>
    <n v="0"/>
    <n v="0"/>
    <n v="0"/>
    <n v="0"/>
    <n v="0"/>
    <x v="0"/>
    <x v="1"/>
    <n v="0"/>
    <s v=""/>
    <s v="EZ15P"/>
  </r>
  <r>
    <x v="364"/>
    <x v="67"/>
    <s v="NL0012949135"/>
    <x v="0"/>
    <s v="International"/>
    <x v="0"/>
    <s v="EZ150"/>
    <x v="0"/>
    <s v="Non-significant benchmark"/>
    <n v="10384500"/>
    <n v="0"/>
    <n v="0"/>
    <n v="0"/>
    <n v="0"/>
    <n v="0"/>
    <x v="70"/>
    <x v="1"/>
    <n v="16114100"/>
    <n v="-0.35556438150439673"/>
    <s v="EZ15P"/>
  </r>
  <r>
    <x v="365"/>
    <x v="67"/>
    <s v="NL0012949127"/>
    <x v="0"/>
    <s v="International"/>
    <x v="0"/>
    <s v="EZ15G"/>
    <x v="0"/>
    <s v="Non-significant benchmark"/>
    <n v="0"/>
    <n v="0"/>
    <n v="0"/>
    <n v="0"/>
    <n v="0"/>
    <n v="0"/>
    <x v="0"/>
    <x v="1"/>
    <n v="0"/>
    <s v=""/>
    <s v="EZ15P"/>
  </r>
  <r>
    <x v="366"/>
    <x v="67"/>
    <s v="NL0012949119"/>
    <x v="0"/>
    <s v="International"/>
    <x v="0"/>
    <s v="EZ15N"/>
    <x v="0"/>
    <s v="Non-significant benchmark"/>
    <n v="0"/>
    <n v="0"/>
    <n v="0"/>
    <n v="0"/>
    <n v="0"/>
    <n v="0"/>
    <x v="0"/>
    <x v="1"/>
    <n v="0"/>
    <s v=""/>
    <s v="EZ15P"/>
  </r>
  <r>
    <x v="367"/>
    <x v="68"/>
    <s v="NL0013273048"/>
    <x v="0"/>
    <s v="International"/>
    <x v="0"/>
    <s v="EZ300"/>
    <x v="0"/>
    <s v="Non-significant benchmark"/>
    <n v="0"/>
    <n v="0"/>
    <n v="0"/>
    <n v="0"/>
    <n v="0"/>
    <n v="0"/>
    <x v="0"/>
    <x v="1"/>
    <n v="0"/>
    <s v=""/>
    <s v="EZ300"/>
  </r>
  <r>
    <x v="368"/>
    <x v="68"/>
    <s v="NL0013273063"/>
    <x v="0"/>
    <s v="International"/>
    <x v="0"/>
    <s v="EZ3GR"/>
    <x v="0"/>
    <s v="Non-significant benchmark"/>
    <n v="0"/>
    <n v="0"/>
    <n v="0"/>
    <n v="0"/>
    <n v="0"/>
    <n v="0"/>
    <x v="0"/>
    <x v="1"/>
    <n v="0"/>
    <s v=""/>
    <s v="EZ300"/>
  </r>
  <r>
    <x v="369"/>
    <x v="68"/>
    <s v="NL0013273055"/>
    <x v="0"/>
    <s v="International"/>
    <x v="0"/>
    <s v="EZ3NR"/>
    <x v="0"/>
    <s v="Non-significant benchmark"/>
    <n v="0"/>
    <n v="0"/>
    <n v="0"/>
    <n v="0"/>
    <n v="0"/>
    <n v="0"/>
    <x v="0"/>
    <x v="1"/>
    <n v="0"/>
    <s v=""/>
    <s v="EZ300"/>
  </r>
  <r>
    <x v="370"/>
    <x v="69"/>
    <s v="NL0012731871"/>
    <x v="0"/>
    <s v="International"/>
    <x v="0"/>
    <s v="EZ40P"/>
    <x v="0"/>
    <s v="Non-significant benchmark"/>
    <n v="0"/>
    <n v="0"/>
    <n v="0"/>
    <n v="0"/>
    <n v="0"/>
    <n v="0"/>
    <x v="0"/>
    <x v="1"/>
    <n v="0"/>
    <s v=""/>
    <s v="EZ40P"/>
  </r>
  <r>
    <x v="371"/>
    <x v="69"/>
    <s v="NL0012731905"/>
    <x v="0"/>
    <s v="International"/>
    <x v="0"/>
    <s v="EZ40"/>
    <x v="0"/>
    <s v="Non-significant benchmark"/>
    <n v="0"/>
    <n v="30000000"/>
    <n v="4872208.2844000002"/>
    <n v="0"/>
    <n v="0"/>
    <n v="0"/>
    <x v="71"/>
    <x v="1"/>
    <n v="0"/>
    <s v=""/>
    <s v="EZ40P"/>
  </r>
  <r>
    <x v="372"/>
    <x v="69"/>
    <s v="NL0012731897"/>
    <x v="0"/>
    <s v="International"/>
    <x v="0"/>
    <s v="EZ40G"/>
    <x v="0"/>
    <s v="Non-significant benchmark"/>
    <n v="0"/>
    <n v="0"/>
    <n v="0"/>
    <n v="0"/>
    <n v="0"/>
    <n v="0"/>
    <x v="0"/>
    <x v="1"/>
    <n v="0"/>
    <s v=""/>
    <s v="EZ40P"/>
  </r>
  <r>
    <x v="373"/>
    <x v="69"/>
    <s v="NL0012731889"/>
    <x v="0"/>
    <s v="International"/>
    <x v="0"/>
    <s v="EZ40N"/>
    <x v="0"/>
    <s v="Non-significant benchmark"/>
    <n v="0"/>
    <n v="0"/>
    <n v="0"/>
    <n v="0"/>
    <n v="0"/>
    <n v="0"/>
    <x v="0"/>
    <x v="1"/>
    <n v="0"/>
    <s v=""/>
    <s v="EZ40P"/>
  </r>
  <r>
    <x v="374"/>
    <x v="70"/>
    <s v="NL0012846265"/>
    <x v="0"/>
    <s v="International"/>
    <x v="0"/>
    <s v="EZ60P"/>
    <x v="0"/>
    <s v="Non-significant benchmark"/>
    <n v="0"/>
    <n v="0"/>
    <n v="0"/>
    <n v="0"/>
    <n v="0"/>
    <n v="0"/>
    <x v="0"/>
    <x v="1"/>
    <n v="0"/>
    <s v=""/>
    <s v="EZ60P"/>
  </r>
  <r>
    <x v="375"/>
    <x v="70"/>
    <s v="NL0012846299"/>
    <x v="0"/>
    <s v="International"/>
    <x v="0"/>
    <s v="EZ60"/>
    <x v="0"/>
    <s v="Non-significant benchmark"/>
    <n v="0"/>
    <n v="0"/>
    <n v="0"/>
    <n v="0"/>
    <n v="0"/>
    <n v="0"/>
    <x v="0"/>
    <x v="1"/>
    <n v="0"/>
    <s v=""/>
    <s v="EZ60P"/>
  </r>
  <r>
    <x v="376"/>
    <x v="70"/>
    <s v="NL0012846281"/>
    <x v="0"/>
    <s v="International"/>
    <x v="0"/>
    <s v="EZ60G"/>
    <x v="0"/>
    <s v="Non-significant benchmark"/>
    <n v="0"/>
    <n v="0"/>
    <n v="0"/>
    <n v="0"/>
    <n v="0"/>
    <n v="0"/>
    <x v="0"/>
    <x v="1"/>
    <n v="0"/>
    <s v=""/>
    <s v="EZ60P"/>
  </r>
  <r>
    <x v="377"/>
    <x v="70"/>
    <s v="NL0012846273"/>
    <x v="0"/>
    <s v="International"/>
    <x v="0"/>
    <s v="EZ60N"/>
    <x v="0"/>
    <s v="Non-significant benchmark"/>
    <n v="0"/>
    <n v="0"/>
    <n v="0"/>
    <n v="0"/>
    <n v="0"/>
    <n v="0"/>
    <x v="0"/>
    <x v="1"/>
    <n v="0"/>
    <s v=""/>
    <s v="EZ60P"/>
  </r>
  <r>
    <x v="378"/>
    <x v="71"/>
    <s v="FRESG0000496"/>
    <x v="1"/>
    <s v="Climate;PAB"/>
    <x v="2"/>
    <s v="EZ6PP"/>
    <x v="2"/>
    <s v="Non-significant benchmark"/>
    <n v="0"/>
    <n v="0"/>
    <n v="0"/>
    <n v="0"/>
    <n v="0"/>
    <n v="0"/>
    <x v="0"/>
    <x v="1"/>
    <n v="0"/>
    <s v=""/>
    <s v="EZ6PP"/>
  </r>
  <r>
    <x v="379"/>
    <x v="71"/>
    <s v="FRESG0000520"/>
    <x v="1"/>
    <s v="Climate;PAB"/>
    <x v="2"/>
    <s v="EZ6P4"/>
    <x v="2"/>
    <s v="Non-significant benchmark"/>
    <n v="0"/>
    <n v="5000000"/>
    <n v="2956481.7756000003"/>
    <n v="0"/>
    <n v="0"/>
    <n v="0"/>
    <x v="72"/>
    <x v="1"/>
    <n v="15736673.788600001"/>
    <n v="-0.6822708491535161"/>
    <s v="EZ6PP"/>
  </r>
  <r>
    <x v="380"/>
    <x v="71"/>
    <s v="FRESG0000538"/>
    <x v="1"/>
    <s v="Climate;PAB"/>
    <x v="2"/>
    <s v="EZ6P5"/>
    <x v="2"/>
    <s v="Non-significant benchmark"/>
    <n v="0"/>
    <n v="0"/>
    <n v="0"/>
    <n v="0"/>
    <n v="0"/>
    <n v="0"/>
    <x v="0"/>
    <x v="1"/>
    <n v="0"/>
    <s v=""/>
    <s v="EZ6PP"/>
  </r>
  <r>
    <x v="381"/>
    <x v="71"/>
    <s v="FRESG0000512"/>
    <x v="1"/>
    <s v="Climate;PAB"/>
    <x v="2"/>
    <s v="EZ6PG"/>
    <x v="2"/>
    <s v="Non-significant benchmark"/>
    <n v="0"/>
    <n v="0"/>
    <n v="0"/>
    <n v="0"/>
    <n v="0"/>
    <n v="0"/>
    <x v="0"/>
    <x v="1"/>
    <n v="0"/>
    <s v=""/>
    <s v="EZ6PP"/>
  </r>
  <r>
    <x v="382"/>
    <x v="71"/>
    <s v="FRESG0000504"/>
    <x v="1"/>
    <s v="Climate;PAB"/>
    <x v="2"/>
    <s v="EZ6PN"/>
    <x v="2"/>
    <s v="Non-significant benchmark"/>
    <n v="0"/>
    <n v="0"/>
    <n v="0"/>
    <n v="0"/>
    <n v="0"/>
    <n v="0"/>
    <x v="0"/>
    <x v="1"/>
    <n v="0"/>
    <s v=""/>
    <s v="EZ6PP"/>
  </r>
  <r>
    <x v="383"/>
    <x v="72"/>
    <s v="NL0012846174"/>
    <x v="0"/>
    <s v="International"/>
    <x v="0"/>
    <s v="EZ70P"/>
    <x v="0"/>
    <s v="Non-significant benchmark"/>
    <n v="0"/>
    <n v="0"/>
    <n v="0"/>
    <n v="0"/>
    <n v="0"/>
    <n v="0"/>
    <x v="0"/>
    <x v="1"/>
    <n v="0"/>
    <s v=""/>
    <e v="#N/A"/>
  </r>
  <r>
    <x v="384"/>
    <x v="72"/>
    <s v="NL0012846208"/>
    <x v="0"/>
    <s v="International"/>
    <x v="0"/>
    <s v="EZ70"/>
    <x v="0"/>
    <s v="Non-significant benchmark"/>
    <n v="0"/>
    <n v="0"/>
    <n v="164273548.12960002"/>
    <n v="0"/>
    <n v="0"/>
    <n v="0"/>
    <x v="73"/>
    <x v="1"/>
    <n v="514613272.4594"/>
    <n v="-0.68078252753856006"/>
    <e v="#N/A"/>
  </r>
  <r>
    <x v="385"/>
    <x v="72"/>
    <s v="NL0012846190"/>
    <x v="0"/>
    <s v="International"/>
    <x v="0"/>
    <s v="EZ70G"/>
    <x v="0"/>
    <s v="Non-significant benchmark"/>
    <n v="0"/>
    <n v="0"/>
    <n v="0"/>
    <n v="0"/>
    <n v="0"/>
    <n v="0"/>
    <x v="0"/>
    <x v="1"/>
    <n v="0"/>
    <s v=""/>
    <e v="#N/A"/>
  </r>
  <r>
    <x v="386"/>
    <x v="72"/>
    <s v="NL0012846182"/>
    <x v="0"/>
    <s v="International"/>
    <x v="0"/>
    <s v="EZ70N"/>
    <x v="0"/>
    <s v="Non-significant benchmark"/>
    <n v="0"/>
    <n v="0"/>
    <n v="0"/>
    <n v="0"/>
    <n v="0"/>
    <n v="0"/>
    <x v="0"/>
    <x v="1"/>
    <n v="0"/>
    <s v=""/>
    <e v="#N/A"/>
  </r>
  <r>
    <x v="387"/>
    <x v="73"/>
    <s v="NL0013025653"/>
    <x v="0"/>
    <s v="International"/>
    <x v="0"/>
    <s v="EZ80P"/>
    <x v="0"/>
    <s v="Non-significant benchmark"/>
    <n v="0"/>
    <n v="0"/>
    <n v="0"/>
    <n v="0"/>
    <n v="0"/>
    <n v="0"/>
    <x v="0"/>
    <x v="1"/>
    <n v="0"/>
    <s v=""/>
    <e v="#N/A"/>
  </r>
  <r>
    <x v="388"/>
    <x v="73"/>
    <s v="NL0013025687"/>
    <x v="0"/>
    <s v="International"/>
    <x v="0"/>
    <s v="EZ80D"/>
    <x v="0"/>
    <s v="Non-significant benchmark"/>
    <n v="0"/>
    <n v="0"/>
    <n v="0"/>
    <n v="0"/>
    <n v="0"/>
    <n v="0"/>
    <x v="0"/>
    <x v="1"/>
    <n v="0"/>
    <s v=""/>
    <e v="#N/A"/>
  </r>
  <r>
    <x v="389"/>
    <x v="73"/>
    <s v="NL0013025679"/>
    <x v="0"/>
    <s v="International"/>
    <x v="0"/>
    <s v="EZ80G"/>
    <x v="0"/>
    <s v="Non-significant benchmark"/>
    <n v="0"/>
    <n v="0"/>
    <n v="0"/>
    <n v="0"/>
    <n v="0"/>
    <n v="0"/>
    <x v="0"/>
    <x v="1"/>
    <n v="0"/>
    <s v=""/>
    <e v="#N/A"/>
  </r>
  <r>
    <x v="390"/>
    <x v="73"/>
    <s v="NL0013025661"/>
    <x v="0"/>
    <s v="International"/>
    <x v="0"/>
    <s v="EZ80N"/>
    <x v="0"/>
    <s v="Non-significant benchmark"/>
    <n v="0"/>
    <n v="0"/>
    <n v="0"/>
    <n v="0"/>
    <n v="0"/>
    <n v="0"/>
    <x v="0"/>
    <x v="1"/>
    <n v="0"/>
    <s v=""/>
    <e v="#N/A"/>
  </r>
  <r>
    <x v="391"/>
    <x v="74"/>
    <s v="NL0015000AR3"/>
    <x v="0"/>
    <s v="Industry"/>
    <x v="0"/>
    <s v="BANK"/>
    <x v="0"/>
    <s v="Non-significant benchmark"/>
    <n v="0"/>
    <n v="0"/>
    <n v="0"/>
    <n v="0"/>
    <n v="0"/>
    <n v="0"/>
    <x v="0"/>
    <x v="1"/>
    <n v="0"/>
    <s v=""/>
    <s v="BANK"/>
  </r>
  <r>
    <x v="392"/>
    <x v="74"/>
    <s v="NL0015000AW3"/>
    <x v="0"/>
    <s v="Industry"/>
    <x v="0"/>
    <s v="BANKD"/>
    <x v="0"/>
    <s v="Non-significant benchmark"/>
    <n v="0"/>
    <n v="0"/>
    <n v="0"/>
    <n v="0"/>
    <n v="0"/>
    <n v="0"/>
    <x v="0"/>
    <x v="1"/>
    <n v="0"/>
    <s v=""/>
    <s v="BANK"/>
  </r>
  <r>
    <x v="393"/>
    <x v="74"/>
    <s v="NL0015000AV5"/>
    <x v="0"/>
    <s v="Industry"/>
    <x v="0"/>
    <s v="BANKG"/>
    <x v="0"/>
    <s v="Non-significant benchmark"/>
    <n v="0"/>
    <n v="0"/>
    <n v="0"/>
    <n v="0"/>
    <n v="0"/>
    <n v="0"/>
    <x v="0"/>
    <x v="1"/>
    <n v="0"/>
    <s v=""/>
    <s v="BANK"/>
  </r>
  <r>
    <x v="394"/>
    <x v="74"/>
    <s v="NL0015000AT9"/>
    <x v="0"/>
    <s v="Industry"/>
    <x v="0"/>
    <s v="BANKN"/>
    <x v="0"/>
    <s v="Non-significant benchmark"/>
    <n v="0"/>
    <n v="0"/>
    <n v="0"/>
    <n v="0"/>
    <n v="0"/>
    <n v="0"/>
    <x v="0"/>
    <x v="1"/>
    <n v="0"/>
    <s v=""/>
    <s v="BANK"/>
  </r>
  <r>
    <x v="395"/>
    <x v="75"/>
    <s v="FRIX00000193"/>
    <x v="0"/>
    <s v="Strategy"/>
    <x v="0"/>
    <s v="EZBDI"/>
    <x v="0"/>
    <s v="Non-significant benchmark"/>
    <n v="0"/>
    <n v="0"/>
    <n v="0"/>
    <n v="0"/>
    <n v="0"/>
    <n v="0"/>
    <x v="0"/>
    <x v="1"/>
    <n v="0"/>
    <s v=""/>
    <s v="EZBDI"/>
  </r>
  <r>
    <x v="396"/>
    <x v="76"/>
    <s v="FR0014003PO7"/>
    <x v="1"/>
    <s v="Governance;Diversity"/>
    <x v="1"/>
    <s v="GOVEP"/>
    <x v="2"/>
    <s v="Non-significant benchmark"/>
    <n v="0"/>
    <n v="0"/>
    <n v="0"/>
    <n v="0"/>
    <n v="0"/>
    <n v="0"/>
    <x v="0"/>
    <x v="1"/>
    <n v="0"/>
    <s v=""/>
    <s v="GOVEP"/>
  </r>
  <r>
    <x v="397"/>
    <x v="76"/>
    <s v="FR0014003PX8"/>
    <x v="1"/>
    <s v="Governance;Diversity"/>
    <x v="1"/>
    <s v="GOVEZ"/>
    <x v="2"/>
    <s v="Non-significant benchmark"/>
    <n v="58249641"/>
    <n v="74890362.311199993"/>
    <n v="65429428.454400003"/>
    <n v="0"/>
    <n v="68289100"/>
    <n v="0"/>
    <x v="74"/>
    <x v="1"/>
    <n v="122683907.98719999"/>
    <n v="8.9943503171999506E-2"/>
    <s v="GOVEP"/>
  </r>
  <r>
    <x v="398"/>
    <x v="76"/>
    <s v="FR0014003PS8"/>
    <x v="1"/>
    <s v="Governance;Diversity"/>
    <x v="1"/>
    <s v="GOVEG"/>
    <x v="2"/>
    <s v="Non-significant benchmark"/>
    <n v="0"/>
    <n v="0"/>
    <n v="0"/>
    <n v="0"/>
    <n v="0"/>
    <n v="0"/>
    <x v="0"/>
    <x v="1"/>
    <n v="0"/>
    <s v=""/>
    <s v="GOVEP"/>
  </r>
  <r>
    <x v="399"/>
    <x v="76"/>
    <s v="FR0014003PT6"/>
    <x v="1"/>
    <s v="Governance;Diversity"/>
    <x v="1"/>
    <s v="GOVEN"/>
    <x v="2"/>
    <s v="Non-significant benchmark"/>
    <n v="0"/>
    <n v="0"/>
    <n v="0"/>
    <n v="0"/>
    <n v="0"/>
    <n v="0"/>
    <x v="0"/>
    <x v="1"/>
    <n v="0"/>
    <s v=""/>
    <s v="GOVEP"/>
  </r>
  <r>
    <x v="400"/>
    <x v="77"/>
    <s v="NL0012758585"/>
    <x v="1"/>
    <s v="Energy transition"/>
    <x v="1"/>
    <s v="CLE5P"/>
    <x v="2"/>
    <s v="Non-significant benchmark"/>
    <n v="0"/>
    <n v="0"/>
    <n v="0"/>
    <n v="0"/>
    <n v="0"/>
    <n v="0"/>
    <x v="0"/>
    <x v="1"/>
    <n v="0"/>
    <s v=""/>
    <s v="CLE5P"/>
  </r>
  <r>
    <x v="401"/>
    <x v="77"/>
    <s v="NL0012758619"/>
    <x v="1"/>
    <s v="Energy transition"/>
    <x v="1"/>
    <s v="CLIE5"/>
    <x v="2"/>
    <s v="Non-significant benchmark"/>
    <n v="35533662"/>
    <n v="165137678.09999999"/>
    <n v="64803133.249600001"/>
    <n v="0"/>
    <n v="0"/>
    <n v="0"/>
    <x v="75"/>
    <x v="1"/>
    <n v="178822494.32539201"/>
    <n v="-0.63761195987076524"/>
    <s v="CLE5P"/>
  </r>
  <r>
    <x v="402"/>
    <x v="77"/>
    <s v="NL0012758601"/>
    <x v="1"/>
    <s v="Energy transition"/>
    <x v="1"/>
    <s v="CLE5G"/>
    <x v="2"/>
    <s v="Non-significant benchmark"/>
    <n v="0"/>
    <n v="0"/>
    <n v="0"/>
    <n v="0"/>
    <n v="0"/>
    <n v="0"/>
    <x v="0"/>
    <x v="1"/>
    <n v="0"/>
    <s v=""/>
    <s v="CLE5P"/>
  </r>
  <r>
    <x v="403"/>
    <x v="77"/>
    <s v="NL0012758593"/>
    <x v="1"/>
    <s v="Energy transition"/>
    <x v="1"/>
    <s v="CLE5N"/>
    <x v="2"/>
    <s v="Non-significant benchmark"/>
    <n v="0"/>
    <n v="0"/>
    <n v="0"/>
    <n v="0"/>
    <n v="0"/>
    <n v="0"/>
    <x v="0"/>
    <x v="1"/>
    <n v="0"/>
    <s v=""/>
    <s v="CLE5P"/>
  </r>
  <r>
    <x v="404"/>
    <x v="78"/>
    <s v="FR0013468832"/>
    <x v="1"/>
    <s v="Broad ESG"/>
    <x v="1"/>
    <s v="ENESG"/>
    <x v="2"/>
    <s v="Non-significant benchmark"/>
    <n v="0"/>
    <n v="0"/>
    <n v="0"/>
    <n v="0"/>
    <n v="0"/>
    <n v="0"/>
    <x v="0"/>
    <x v="0"/>
    <n v="0"/>
    <s v=""/>
    <s v="ENESG"/>
  </r>
  <r>
    <x v="405"/>
    <x v="78"/>
    <s v="FR0013468881"/>
    <x v="1"/>
    <s v="Broad ESG"/>
    <x v="1"/>
    <s v="ESG8D"/>
    <x v="2"/>
    <s v="Non-significant benchmark"/>
    <n v="0"/>
    <n v="0"/>
    <n v="0"/>
    <n v="0"/>
    <n v="0"/>
    <n v="0"/>
    <x v="0"/>
    <x v="0"/>
    <n v="0"/>
    <s v=""/>
    <s v="ENESG"/>
  </r>
  <r>
    <x v="406"/>
    <x v="78"/>
    <s v="FR0013498755"/>
    <x v="1"/>
    <s v="Broad ESG"/>
    <x v="1"/>
    <s v="ESGD4"/>
    <x v="2"/>
    <s v="Non-significant benchmark"/>
    <n v="0"/>
    <n v="0"/>
    <n v="0"/>
    <n v="0"/>
    <n v="0"/>
    <n v="0"/>
    <x v="0"/>
    <x v="0"/>
    <n v="0"/>
    <s v=""/>
    <s v="ENESG"/>
  </r>
  <r>
    <x v="407"/>
    <x v="78"/>
    <s v="FR0013498763"/>
    <x v="1"/>
    <s v="Broad ESG"/>
    <x v="1"/>
    <s v="ESG8E"/>
    <x v="2"/>
    <s v="Non-significant benchmark"/>
    <n v="0"/>
    <n v="0"/>
    <n v="0"/>
    <n v="0"/>
    <n v="0"/>
    <n v="0"/>
    <x v="0"/>
    <x v="0"/>
    <n v="0"/>
    <s v=""/>
    <s v="ENESG"/>
  </r>
  <r>
    <x v="408"/>
    <x v="78"/>
    <s v="FR0013468907"/>
    <x v="1"/>
    <s v="Broad ESG"/>
    <x v="1"/>
    <s v="ESGD5"/>
    <x v="2"/>
    <s v="Non-significant benchmark"/>
    <n v="0"/>
    <n v="0"/>
    <n v="0"/>
    <n v="0"/>
    <n v="0"/>
    <n v="0"/>
    <x v="0"/>
    <x v="0"/>
    <n v="0"/>
    <s v=""/>
    <s v="ENESG"/>
  </r>
  <r>
    <x v="409"/>
    <x v="78"/>
    <s v="FR0013468873"/>
    <x v="1"/>
    <s v="Broad ESG"/>
    <x v="1"/>
    <s v="ESGGR"/>
    <x v="2"/>
    <s v="Non-significant benchmark"/>
    <n v="0"/>
    <n v="0"/>
    <n v="0"/>
    <n v="0"/>
    <n v="0"/>
    <n v="0"/>
    <x v="0"/>
    <x v="0"/>
    <n v="0"/>
    <s v=""/>
    <s v="ENESG"/>
  </r>
  <r>
    <x v="410"/>
    <x v="78"/>
    <s v="FR0013468865"/>
    <x v="1"/>
    <s v="Broad ESG"/>
    <x v="1"/>
    <s v="ESGNR"/>
    <x v="2"/>
    <s v="Non-significant benchmark"/>
    <n v="0"/>
    <n v="0"/>
    <n v="0"/>
    <n v="0"/>
    <n v="0"/>
    <n v="0"/>
    <x v="0"/>
    <x v="0"/>
    <n v="0"/>
    <s v=""/>
    <s v="ENESG"/>
  </r>
  <r>
    <x v="411"/>
    <x v="79"/>
    <s v="NL0012758544"/>
    <x v="1"/>
    <s v="Broad ESG"/>
    <x v="1"/>
    <s v="ESE4P"/>
    <x v="2"/>
    <s v="Non-significant benchmark"/>
    <n v="0"/>
    <n v="0"/>
    <n v="0"/>
    <n v="0"/>
    <n v="0"/>
    <n v="0"/>
    <x v="0"/>
    <x v="1"/>
    <n v="0"/>
    <s v=""/>
    <s v="ESE4P"/>
  </r>
  <r>
    <x v="412"/>
    <x v="79"/>
    <s v="NL0013639420"/>
    <x v="1"/>
    <s v="Broad ESG"/>
    <x v="1"/>
    <s v="ESGEL"/>
    <x v="2"/>
    <s v="Non-significant benchmark"/>
    <n v="0"/>
    <n v="0"/>
    <n v="0"/>
    <n v="0"/>
    <n v="0"/>
    <n v="0"/>
    <x v="0"/>
    <x v="1"/>
    <n v="0"/>
    <s v=""/>
    <s v="ESE4P"/>
  </r>
  <r>
    <x v="413"/>
    <x v="79"/>
    <s v="FR0013478708"/>
    <x v="1"/>
    <s v="Broad ESG"/>
    <x v="1"/>
    <s v="ESG4E"/>
    <x v="2"/>
    <s v="Non-significant benchmark"/>
    <n v="73029800"/>
    <n v="90000000"/>
    <n v="44024868.807999998"/>
    <n v="0"/>
    <n v="0"/>
    <n v="0"/>
    <x v="76"/>
    <x v="1"/>
    <n v="49558502.648000002"/>
    <n v="0.47360787953401196"/>
    <s v="ESE4P"/>
  </r>
  <r>
    <x v="414"/>
    <x v="79"/>
    <s v="NL0012758577"/>
    <x v="1"/>
    <s v="Broad ESG"/>
    <x v="1"/>
    <s v="ESGE4"/>
    <x v="2"/>
    <s v="Non-significant benchmark"/>
    <n v="0"/>
    <n v="304200000"/>
    <n v="177112599.82800001"/>
    <n v="0"/>
    <n v="54529200"/>
    <n v="0"/>
    <x v="77"/>
    <x v="1"/>
    <n v="491713800.48000002"/>
    <n v="-0.27045122660820875"/>
    <s v="ESE4P"/>
  </r>
  <r>
    <x v="415"/>
    <x v="79"/>
    <s v="NL0012758569"/>
    <x v="1"/>
    <s v="Broad ESG"/>
    <x v="1"/>
    <s v="ESE4G"/>
    <x v="2"/>
    <s v="Non-significant benchmark"/>
    <n v="0"/>
    <n v="0"/>
    <n v="0"/>
    <n v="0"/>
    <n v="0"/>
    <n v="0"/>
    <x v="0"/>
    <x v="1"/>
    <n v="0"/>
    <s v=""/>
    <s v="ESE4P"/>
  </r>
  <r>
    <x v="416"/>
    <x v="79"/>
    <s v="NL0012758551"/>
    <x v="1"/>
    <s v="Broad ESG"/>
    <x v="1"/>
    <s v="ESE4N"/>
    <x v="2"/>
    <s v="Non-significant benchmark"/>
    <n v="0"/>
    <n v="0"/>
    <n v="0"/>
    <n v="0"/>
    <n v="0"/>
    <n v="0"/>
    <x v="0"/>
    <x v="1"/>
    <n v="0"/>
    <s v=""/>
    <s v="ESE4P"/>
  </r>
  <r>
    <x v="417"/>
    <x v="80"/>
    <s v="FR0014004HI4"/>
    <x v="1"/>
    <s v="Broad ESG"/>
    <x v="1"/>
    <s v="ESGCP"/>
    <x v="2"/>
    <s v="Non-significant benchmark"/>
    <n v="0"/>
    <n v="0"/>
    <n v="0"/>
    <n v="0"/>
    <n v="0"/>
    <n v="0"/>
    <x v="0"/>
    <x v="1"/>
    <n v="0"/>
    <s v=""/>
    <s v="ESGCP"/>
  </r>
  <r>
    <x v="418"/>
    <x v="80"/>
    <s v="FR0014004HH6"/>
    <x v="1"/>
    <s v="Broad ESG"/>
    <x v="1"/>
    <s v="ESGEC"/>
    <x v="2"/>
    <s v="Non-significant benchmark"/>
    <n v="0"/>
    <n v="0"/>
    <n v="0"/>
    <n v="0"/>
    <n v="0"/>
    <n v="0"/>
    <x v="0"/>
    <x v="1"/>
    <n v="0"/>
    <s v=""/>
    <s v="ESGCP"/>
  </r>
  <r>
    <x v="419"/>
    <x v="80"/>
    <s v="FR0014004HJ2"/>
    <x v="1"/>
    <s v="Broad ESG"/>
    <x v="1"/>
    <s v="ESGCG"/>
    <x v="2"/>
    <s v="Non-significant benchmark"/>
    <n v="0"/>
    <n v="0"/>
    <n v="0"/>
    <n v="0"/>
    <n v="0"/>
    <n v="0"/>
    <x v="0"/>
    <x v="1"/>
    <n v="0"/>
    <s v=""/>
    <s v="ESGCP"/>
  </r>
  <r>
    <x v="420"/>
    <x v="80"/>
    <s v="FR0014004HG8"/>
    <x v="1"/>
    <s v="Broad ESG"/>
    <x v="1"/>
    <s v="ESGCN"/>
    <x v="2"/>
    <s v="Non-significant benchmark"/>
    <n v="0"/>
    <n v="0"/>
    <n v="0"/>
    <n v="0"/>
    <n v="0"/>
    <n v="0"/>
    <x v="0"/>
    <x v="1"/>
    <n v="0"/>
    <s v=""/>
    <s v="ESGCP"/>
  </r>
  <r>
    <x v="421"/>
    <x v="81"/>
    <s v="FRESG0000546"/>
    <x v="1"/>
    <s v="Climate;PAB"/>
    <x v="2"/>
    <s v="ES4PP"/>
    <x v="2"/>
    <s v="Non-significant benchmark"/>
    <n v="0"/>
    <n v="0"/>
    <n v="0"/>
    <n v="0"/>
    <n v="0"/>
    <n v="0"/>
    <x v="0"/>
    <x v="1"/>
    <n v="0"/>
    <s v=""/>
    <s v="ES4PP"/>
  </r>
  <r>
    <x v="422"/>
    <x v="81"/>
    <s v="FRESG0000579"/>
    <x v="1"/>
    <s v="Climate;PAB"/>
    <x v="2"/>
    <s v="ES4P4"/>
    <x v="2"/>
    <s v="Non-significant benchmark"/>
    <n v="0"/>
    <n v="0"/>
    <n v="0"/>
    <n v="0"/>
    <n v="0"/>
    <n v="0"/>
    <x v="0"/>
    <x v="1"/>
    <n v="0"/>
    <s v=""/>
    <s v="ES4PP"/>
  </r>
  <r>
    <x v="423"/>
    <x v="81"/>
    <s v="FRESG0000587"/>
    <x v="1"/>
    <s v="Climate;PAB"/>
    <x v="2"/>
    <s v="ES4P5"/>
    <x v="2"/>
    <s v="Non-significant benchmark"/>
    <n v="0"/>
    <n v="0"/>
    <n v="5074833.2036000006"/>
    <n v="0"/>
    <n v="0"/>
    <n v="0"/>
    <x v="78"/>
    <x v="1"/>
    <n v="5094540.1042999998"/>
    <n v="-3.8682393889422073E-3"/>
    <s v="ES4PP"/>
  </r>
  <r>
    <x v="424"/>
    <x v="81"/>
    <s v="FRESG0000561"/>
    <x v="1"/>
    <s v="Climate;PAB"/>
    <x v="2"/>
    <s v="ES4PG"/>
    <x v="2"/>
    <s v="Non-significant benchmark"/>
    <n v="0"/>
    <n v="0"/>
    <n v="0"/>
    <n v="0"/>
    <n v="0"/>
    <n v="0"/>
    <x v="0"/>
    <x v="1"/>
    <n v="0"/>
    <s v=""/>
    <s v="ES4PP"/>
  </r>
  <r>
    <x v="425"/>
    <x v="81"/>
    <s v="FRESG0000553"/>
    <x v="1"/>
    <s v="Climate;PAB"/>
    <x v="2"/>
    <s v="ES4PN"/>
    <x v="2"/>
    <s v="Non-significant benchmark"/>
    <n v="0"/>
    <n v="0"/>
    <n v="0"/>
    <n v="0"/>
    <n v="0"/>
    <n v="0"/>
    <x v="0"/>
    <x v="1"/>
    <n v="0"/>
    <s v=""/>
    <s v="ES4PP"/>
  </r>
  <r>
    <x v="426"/>
    <x v="82"/>
    <s v="NL0013025810"/>
    <x v="0"/>
    <s v="International"/>
    <x v="0"/>
    <s v="EZMLP"/>
    <x v="0"/>
    <s v="Non-significant benchmark"/>
    <n v="0"/>
    <n v="0"/>
    <n v="0"/>
    <n v="0"/>
    <n v="0"/>
    <n v="0"/>
    <x v="0"/>
    <x v="1"/>
    <n v="0"/>
    <s v=""/>
    <s v="EZMLP"/>
  </r>
  <r>
    <x v="427"/>
    <x v="82"/>
    <s v="NL0013025844"/>
    <x v="0"/>
    <s v="International"/>
    <x v="0"/>
    <s v="EZML6"/>
    <x v="0"/>
    <s v="Non-significant benchmark"/>
    <n v="0"/>
    <n v="0"/>
    <n v="0"/>
    <n v="0"/>
    <n v="0"/>
    <n v="0"/>
    <x v="0"/>
    <x v="1"/>
    <n v="0"/>
    <s v=""/>
    <s v="EZMLP"/>
  </r>
  <r>
    <x v="428"/>
    <x v="82"/>
    <s v="NL0013025836"/>
    <x v="0"/>
    <s v="International"/>
    <x v="0"/>
    <s v="EZMLG"/>
    <x v="0"/>
    <s v="Non-significant benchmark"/>
    <n v="0"/>
    <n v="0"/>
    <n v="0"/>
    <n v="0"/>
    <n v="0"/>
    <n v="0"/>
    <x v="0"/>
    <x v="1"/>
    <n v="0"/>
    <s v=""/>
    <s v="EZMLP"/>
  </r>
  <r>
    <x v="429"/>
    <x v="82"/>
    <s v="NL0013025828"/>
    <x v="0"/>
    <s v="International"/>
    <x v="0"/>
    <s v="EZMLN"/>
    <x v="0"/>
    <s v="Non-significant benchmark"/>
    <n v="0"/>
    <n v="0"/>
    <n v="0"/>
    <n v="0"/>
    <n v="0"/>
    <n v="0"/>
    <x v="0"/>
    <x v="1"/>
    <n v="0"/>
    <s v=""/>
    <s v="EZMLP"/>
  </r>
  <r>
    <x v="430"/>
    <x v="83"/>
    <s v="NL0012949143"/>
    <x v="0"/>
    <s v="International"/>
    <x v="0"/>
    <s v="EZN1P"/>
    <x v="0"/>
    <s v="Non-significant benchmark"/>
    <n v="0"/>
    <n v="0"/>
    <n v="0"/>
    <n v="0"/>
    <n v="0"/>
    <n v="0"/>
    <x v="0"/>
    <x v="1"/>
    <n v="0"/>
    <s v=""/>
    <s v="EZN1P"/>
  </r>
  <r>
    <x v="431"/>
    <x v="83"/>
    <s v="NL0012949176"/>
    <x v="0"/>
    <s v="International"/>
    <x v="0"/>
    <s v="EZNE1"/>
    <x v="0"/>
    <s v="Non-significant benchmark"/>
    <n v="1703256.8214201599"/>
    <n v="0"/>
    <n v="0"/>
    <n v="0"/>
    <n v="0"/>
    <n v="0"/>
    <x v="79"/>
    <x v="1"/>
    <n v="1911690.18506411"/>
    <n v="-0.1090309325603197"/>
    <s v="EZN1P"/>
  </r>
  <r>
    <x v="432"/>
    <x v="83"/>
    <s v="NL0012949168"/>
    <x v="0"/>
    <s v="International"/>
    <x v="0"/>
    <s v="EZN1G"/>
    <x v="0"/>
    <s v="Non-significant benchmark"/>
    <n v="0"/>
    <n v="0"/>
    <n v="0"/>
    <n v="0"/>
    <n v="0"/>
    <n v="0"/>
    <x v="0"/>
    <x v="1"/>
    <n v="0"/>
    <s v=""/>
    <s v="EZN1P"/>
  </r>
  <r>
    <x v="433"/>
    <x v="83"/>
    <s v="NL0012949150"/>
    <x v="0"/>
    <s v="International"/>
    <x v="0"/>
    <s v="EZN1N"/>
    <x v="0"/>
    <s v="Non-significant benchmark"/>
    <n v="0"/>
    <n v="0"/>
    <n v="0"/>
    <n v="0"/>
    <n v="0"/>
    <n v="0"/>
    <x v="0"/>
    <x v="1"/>
    <n v="0"/>
    <s v=""/>
    <s v="EZN1P"/>
  </r>
  <r>
    <x v="434"/>
    <x v="84"/>
    <s v="FR0014003PR0"/>
    <x v="1"/>
    <s v="Climate;PAB"/>
    <x v="2"/>
    <s v="EPABP"/>
    <x v="2"/>
    <s v="Non-significant benchmark"/>
    <n v="0"/>
    <n v="0"/>
    <n v="0"/>
    <n v="0"/>
    <n v="0"/>
    <n v="0"/>
    <x v="0"/>
    <x v="1"/>
    <n v="0"/>
    <s v=""/>
    <s v="EPABP"/>
  </r>
  <r>
    <x v="435"/>
    <x v="84"/>
    <s v="FRCLIM000007"/>
    <x v="1"/>
    <s v="Climate;PAB"/>
    <x v="2"/>
    <s v="EPAB4"/>
    <x v="2"/>
    <s v="Non-significant benchmark"/>
    <n v="0"/>
    <n v="0"/>
    <n v="0"/>
    <n v="0"/>
    <n v="0"/>
    <n v="0"/>
    <x v="0"/>
    <x v="1"/>
    <n v="0"/>
    <s v=""/>
    <s v="EPABP"/>
  </r>
  <r>
    <x v="436"/>
    <x v="84"/>
    <s v="FR0014003PK5"/>
    <x v="1"/>
    <s v="Climate;PAB"/>
    <x v="2"/>
    <s v="EPAB5"/>
    <x v="2"/>
    <s v="Non-significant benchmark"/>
    <n v="0"/>
    <n v="0"/>
    <n v="0"/>
    <n v="0"/>
    <n v="0"/>
    <n v="0"/>
    <x v="0"/>
    <x v="1"/>
    <n v="0"/>
    <s v=""/>
    <s v="EPABP"/>
  </r>
  <r>
    <x v="437"/>
    <x v="84"/>
    <s v="FR0014003PL3"/>
    <x v="1"/>
    <s v="Climate;PAB"/>
    <x v="2"/>
    <s v="EPABG"/>
    <x v="2"/>
    <s v="Non-significant benchmark"/>
    <n v="0"/>
    <n v="0"/>
    <n v="0"/>
    <n v="0"/>
    <n v="0"/>
    <n v="0"/>
    <x v="0"/>
    <x v="1"/>
    <n v="0"/>
    <s v=""/>
    <s v="EPABP"/>
  </r>
  <r>
    <x v="438"/>
    <x v="84"/>
    <s v="FR0014003PM1"/>
    <x v="1"/>
    <s v="Climate;PAB"/>
    <x v="2"/>
    <s v="EPABN"/>
    <x v="2"/>
    <s v="Non-significant benchmark"/>
    <n v="0"/>
    <n v="0"/>
    <n v="0"/>
    <n v="0"/>
    <n v="0"/>
    <n v="0"/>
    <x v="0"/>
    <x v="1"/>
    <n v="0"/>
    <s v=""/>
    <s v="EPABP"/>
  </r>
  <r>
    <x v="439"/>
    <x v="85"/>
    <s v="FR0014005IK5"/>
    <x v="1"/>
    <s v="Climate;Environmental"/>
    <x v="1"/>
    <s v="EZCLA"/>
    <x v="2"/>
    <s v="Non-significant benchmark"/>
    <n v="0"/>
    <n v="0"/>
    <n v="0"/>
    <n v="0"/>
    <n v="0"/>
    <n v="0"/>
    <x v="0"/>
    <x v="1"/>
    <n v="0"/>
    <s v=""/>
    <s v="EZCLA"/>
  </r>
  <r>
    <x v="440"/>
    <x v="85"/>
    <s v="FR0014005IL3"/>
    <x v="1"/>
    <s v="Climate;Environmental"/>
    <x v="1"/>
    <s v="EZCLG"/>
    <x v="2"/>
    <s v="Non-significant benchmark"/>
    <n v="0"/>
    <n v="0"/>
    <n v="0"/>
    <n v="0"/>
    <n v="0"/>
    <n v="0"/>
    <x v="0"/>
    <x v="1"/>
    <n v="0"/>
    <s v=""/>
    <s v="EZCLA"/>
  </r>
  <r>
    <x v="441"/>
    <x v="85"/>
    <s v="FR0014005IN9"/>
    <x v="1"/>
    <s v="Climate;Environmental"/>
    <x v="1"/>
    <s v="EZCLN"/>
    <x v="2"/>
    <s v="Non-significant benchmark"/>
    <n v="0"/>
    <n v="0"/>
    <n v="0"/>
    <n v="0"/>
    <n v="0"/>
    <n v="0"/>
    <x v="0"/>
    <x v="1"/>
    <n v="0"/>
    <s v=""/>
    <s v="EZCLA"/>
  </r>
  <r>
    <x v="442"/>
    <x v="86"/>
    <s v="FR0014004XR2"/>
    <x v="1"/>
    <s v="Climate"/>
    <x v="1"/>
    <s v="CLAMP"/>
    <x v="2"/>
    <s v="Non-significant benchmark"/>
    <n v="0"/>
    <n v="0"/>
    <n v="0"/>
    <n v="0"/>
    <n v="0"/>
    <n v="0"/>
    <x v="0"/>
    <x v="1"/>
    <n v="0"/>
    <s v=""/>
    <s v="CLAMP"/>
  </r>
  <r>
    <x v="443"/>
    <x v="86"/>
    <s v="FR0014004XQ4"/>
    <x v="1"/>
    <s v="Climate"/>
    <x v="1"/>
    <s v="CLAMB"/>
    <x v="2"/>
    <s v="Non-significant benchmark"/>
    <n v="0"/>
    <n v="0"/>
    <n v="0"/>
    <n v="0"/>
    <n v="0"/>
    <n v="0"/>
    <x v="0"/>
    <x v="1"/>
    <n v="0"/>
    <s v=""/>
    <s v="CLAMP"/>
  </r>
  <r>
    <x v="444"/>
    <x v="86"/>
    <s v="FR0014004XP6"/>
    <x v="1"/>
    <s v="Climate"/>
    <x v="1"/>
    <s v="CLAMG"/>
    <x v="2"/>
    <s v="Non-significant benchmark"/>
    <n v="0"/>
    <n v="0"/>
    <n v="0"/>
    <n v="0"/>
    <n v="0"/>
    <n v="0"/>
    <x v="0"/>
    <x v="1"/>
    <n v="0"/>
    <s v=""/>
    <s v="CLAMP"/>
  </r>
  <r>
    <x v="445"/>
    <x v="86"/>
    <s v="FR0014004XO9"/>
    <x v="1"/>
    <s v="Climate"/>
    <x v="1"/>
    <s v="CLAMN"/>
    <x v="2"/>
    <s v="Non-significant benchmark"/>
    <n v="0"/>
    <n v="0"/>
    <n v="0"/>
    <n v="0"/>
    <n v="0"/>
    <n v="0"/>
    <x v="0"/>
    <x v="1"/>
    <n v="0"/>
    <s v=""/>
    <s v="CLAMP"/>
  </r>
  <r>
    <x v="446"/>
    <x v="87"/>
    <s v="NO0010865330"/>
    <x v="0"/>
    <s v="Country"/>
    <x v="0"/>
    <s v="OAAXP"/>
    <x v="5"/>
    <s v="Non-significant benchmark"/>
    <n v="0"/>
    <n v="0"/>
    <n v="0"/>
    <n v="0"/>
    <n v="0"/>
    <n v="0"/>
    <x v="0"/>
    <x v="1"/>
    <n v="0"/>
    <s v=""/>
    <s v="OAAXP"/>
  </r>
  <r>
    <x v="447"/>
    <x v="87"/>
    <s v="NO0007035384"/>
    <x v="0"/>
    <s v="Country"/>
    <x v="0"/>
    <s v="OAAX"/>
    <x v="5"/>
    <s v="Non-significant benchmark"/>
    <n v="0"/>
    <n v="0"/>
    <n v="0"/>
    <n v="0"/>
    <n v="0"/>
    <n v="0"/>
    <x v="0"/>
    <x v="1"/>
    <n v="0"/>
    <s v=""/>
    <s v="OAAXP"/>
  </r>
  <r>
    <x v="448"/>
    <x v="87"/>
    <s v="NO0010865322"/>
    <x v="0"/>
    <s v="Country"/>
    <x v="0"/>
    <s v="OAAXN"/>
    <x v="5"/>
    <s v="Non-significant benchmark"/>
    <n v="0"/>
    <n v="0"/>
    <n v="0"/>
    <n v="0"/>
    <n v="0"/>
    <n v="0"/>
    <x v="0"/>
    <x v="1"/>
    <n v="0"/>
    <s v=""/>
    <s v="OAAXP"/>
  </r>
  <r>
    <x v="449"/>
    <x v="88"/>
    <s v="NL0015000AA9"/>
    <x v="1"/>
    <s v="Broad ESG"/>
    <x v="1"/>
    <s v="EEEPR"/>
    <x v="2"/>
    <s v="Non-significant benchmark"/>
    <n v="0"/>
    <n v="0"/>
    <n v="0"/>
    <n v="0"/>
    <n v="0"/>
    <n v="0"/>
    <x v="0"/>
    <x v="1"/>
    <n v="0"/>
    <s v=""/>
    <s v="EEEPR"/>
  </r>
  <r>
    <x v="450"/>
    <x v="88"/>
    <s v="NL0015000AD3"/>
    <x v="1"/>
    <s v="Broad ESG"/>
    <x v="1"/>
    <s v="EEED5"/>
    <x v="2"/>
    <s v="Non-significant benchmark"/>
    <n v="0"/>
    <n v="0"/>
    <n v="0"/>
    <n v="0"/>
    <n v="0"/>
    <n v="0"/>
    <x v="0"/>
    <x v="1"/>
    <n v="0"/>
    <s v=""/>
    <s v="EEEPR"/>
  </r>
  <r>
    <x v="451"/>
    <x v="88"/>
    <s v="NL0015000AC5"/>
    <x v="1"/>
    <s v="Broad ESG"/>
    <x v="1"/>
    <s v="EEEGR"/>
    <x v="2"/>
    <s v="Non-significant benchmark"/>
    <n v="0"/>
    <n v="0"/>
    <n v="0"/>
    <n v="0"/>
    <n v="0"/>
    <n v="0"/>
    <x v="0"/>
    <x v="1"/>
    <n v="0"/>
    <s v=""/>
    <s v="EEEPR"/>
  </r>
  <r>
    <x v="452"/>
    <x v="88"/>
    <s v="NL0015000AB7"/>
    <x v="1"/>
    <s v="Broad ESG"/>
    <x v="1"/>
    <s v="EEENR"/>
    <x v="2"/>
    <s v="Non-significant benchmark"/>
    <n v="0"/>
    <n v="0"/>
    <n v="0"/>
    <n v="0"/>
    <n v="0"/>
    <n v="0"/>
    <x v="0"/>
    <x v="1"/>
    <n v="0"/>
    <s v=""/>
    <s v="EEEPR"/>
  </r>
  <r>
    <x v="453"/>
    <x v="89"/>
    <s v="NL0012730451"/>
    <x v="0"/>
    <s v="International"/>
    <x v="0"/>
    <s v="EFMEP"/>
    <x v="0"/>
    <s v="Non-significant benchmark"/>
    <n v="0"/>
    <n v="0"/>
    <n v="0"/>
    <n v="0"/>
    <n v="0"/>
    <n v="0"/>
    <x v="0"/>
    <x v="1"/>
    <n v="0"/>
    <s v=""/>
    <s v="EFMEP"/>
  </r>
  <r>
    <x v="454"/>
    <x v="89"/>
    <s v="NL0012730485"/>
    <x v="0"/>
    <s v="International"/>
    <x v="0"/>
    <s v="EFMED"/>
    <x v="0"/>
    <s v="Non-significant benchmark"/>
    <n v="0"/>
    <n v="0"/>
    <n v="26239927.036400001"/>
    <n v="0"/>
    <n v="0"/>
    <n v="0"/>
    <x v="80"/>
    <x v="1"/>
    <n v="26341823.515700001"/>
    <n v="-3.8682393889424294E-3"/>
    <s v="EFMEP"/>
  </r>
  <r>
    <x v="455"/>
    <x v="89"/>
    <s v="NL0012730477"/>
    <x v="0"/>
    <s v="International"/>
    <x v="0"/>
    <s v="EFMEG"/>
    <x v="0"/>
    <s v="Non-significant benchmark"/>
    <n v="0"/>
    <n v="0"/>
    <n v="0"/>
    <n v="0"/>
    <n v="0"/>
    <n v="0"/>
    <x v="0"/>
    <x v="1"/>
    <n v="0"/>
    <s v=""/>
    <s v="EFMEP"/>
  </r>
  <r>
    <x v="456"/>
    <x v="89"/>
    <s v="NL0012730469"/>
    <x v="0"/>
    <s v="International"/>
    <x v="0"/>
    <s v="EFMEN"/>
    <x v="0"/>
    <s v="Non-significant benchmark"/>
    <n v="0"/>
    <n v="0"/>
    <n v="0"/>
    <n v="0"/>
    <n v="0"/>
    <n v="0"/>
    <x v="0"/>
    <x v="1"/>
    <n v="0"/>
    <s v=""/>
    <s v="EFMEP"/>
  </r>
  <r>
    <x v="457"/>
    <x v="90"/>
    <s v="FR0013355948"/>
    <x v="0"/>
    <s v="Country"/>
    <x v="0"/>
    <s v="FR20P"/>
    <x v="2"/>
    <s v="Non-significant benchmark"/>
    <n v="0"/>
    <n v="0"/>
    <n v="0"/>
    <n v="0"/>
    <n v="0"/>
    <n v="0"/>
    <x v="0"/>
    <x v="1"/>
    <n v="0"/>
    <s v=""/>
    <s v="FR20P"/>
  </r>
  <r>
    <x v="458"/>
    <x v="90"/>
    <s v="FR0013355971"/>
    <x v="0"/>
    <s v="Country"/>
    <x v="0"/>
    <s v="FRA20"/>
    <x v="2"/>
    <s v="Non-significant benchmark"/>
    <n v="0"/>
    <n v="0"/>
    <n v="0"/>
    <n v="0"/>
    <n v="0"/>
    <n v="0"/>
    <x v="0"/>
    <x v="1"/>
    <n v="0"/>
    <s v=""/>
    <s v="FR20P"/>
  </r>
  <r>
    <x v="459"/>
    <x v="90"/>
    <s v="FR0013355963"/>
    <x v="0"/>
    <s v="Country"/>
    <x v="0"/>
    <s v="FR20G"/>
    <x v="2"/>
    <s v="Non-significant benchmark"/>
    <n v="0"/>
    <n v="0"/>
    <n v="0"/>
    <n v="0"/>
    <n v="0"/>
    <n v="0"/>
    <x v="0"/>
    <x v="1"/>
    <n v="0"/>
    <s v=""/>
    <s v="FR20P"/>
  </r>
  <r>
    <x v="460"/>
    <x v="90"/>
    <s v="FR0013355955"/>
    <x v="0"/>
    <s v="Country"/>
    <x v="0"/>
    <s v="FR20N"/>
    <x v="2"/>
    <s v="Non-significant benchmark"/>
    <n v="0"/>
    <n v="0"/>
    <n v="0"/>
    <n v="0"/>
    <n v="0"/>
    <n v="0"/>
    <x v="0"/>
    <x v="1"/>
    <n v="0"/>
    <s v=""/>
    <s v="FR20P"/>
  </r>
  <r>
    <x v="461"/>
    <x v="91"/>
    <s v="FR0013349057"/>
    <x v="0"/>
    <s v="Country"/>
    <x v="0"/>
    <s v="FRECP"/>
    <x v="2"/>
    <s v="Non-significant benchmark"/>
    <n v="0"/>
    <n v="0"/>
    <n v="0"/>
    <n v="0"/>
    <n v="0"/>
    <n v="0"/>
    <x v="0"/>
    <x v="1"/>
    <n v="0"/>
    <s v=""/>
    <s v="FRECP"/>
  </r>
  <r>
    <x v="462"/>
    <x v="91"/>
    <s v="FR0013349081"/>
    <x v="0"/>
    <s v="Country"/>
    <x v="0"/>
    <s v="FRECH"/>
    <x v="2"/>
    <s v="Non-significant benchmark"/>
    <n v="0"/>
    <n v="0"/>
    <n v="0"/>
    <n v="0"/>
    <n v="0"/>
    <n v="0"/>
    <x v="0"/>
    <x v="1"/>
    <n v="0"/>
    <s v=""/>
    <s v="FRECP"/>
  </r>
  <r>
    <x v="463"/>
    <x v="91"/>
    <s v="FR0013349073"/>
    <x v="0"/>
    <s v="Country"/>
    <x v="0"/>
    <s v="FRECG"/>
    <x v="2"/>
    <s v="Non-significant benchmark"/>
    <n v="0"/>
    <n v="0"/>
    <n v="0"/>
    <n v="0"/>
    <n v="0"/>
    <n v="0"/>
    <x v="0"/>
    <x v="1"/>
    <n v="0"/>
    <s v=""/>
    <s v="FRECP"/>
  </r>
  <r>
    <x v="464"/>
    <x v="91"/>
    <s v="FR0013349065"/>
    <x v="0"/>
    <s v="Country"/>
    <x v="0"/>
    <s v="FRECN"/>
    <x v="2"/>
    <s v="Non-significant benchmark"/>
    <n v="0"/>
    <n v="0"/>
    <n v="0"/>
    <n v="0"/>
    <n v="0"/>
    <n v="0"/>
    <x v="0"/>
    <x v="1"/>
    <n v="0"/>
    <s v=""/>
    <s v="FRECP"/>
  </r>
  <r>
    <x v="465"/>
    <x v="92"/>
    <s v="FR0013376209"/>
    <x v="1"/>
    <s v="Broad ESG"/>
    <x v="1"/>
    <s v="F4RIP"/>
    <x v="2"/>
    <s v="Non-significant benchmark"/>
    <n v="0"/>
    <n v="0"/>
    <n v="0"/>
    <n v="0"/>
    <n v="0"/>
    <n v="0"/>
    <x v="0"/>
    <x v="1"/>
    <n v="0"/>
    <s v=""/>
    <s v="F4RIP"/>
  </r>
  <r>
    <x v="466"/>
    <x v="92"/>
    <s v="FR0013376241"/>
    <x v="1"/>
    <s v="Broad ESG"/>
    <x v="1"/>
    <s v="F4RI"/>
    <x v="2"/>
    <s v="Non-significant benchmark"/>
    <n v="0"/>
    <n v="0"/>
    <n v="0"/>
    <n v="0"/>
    <n v="0"/>
    <n v="0"/>
    <x v="0"/>
    <x v="1"/>
    <n v="0"/>
    <s v=""/>
    <s v="F4RIP"/>
  </r>
  <r>
    <x v="467"/>
    <x v="92"/>
    <s v="FR0013376233"/>
    <x v="1"/>
    <s v="Broad ESG"/>
    <x v="1"/>
    <s v="F4RIG"/>
    <x v="2"/>
    <s v="Non-significant benchmark"/>
    <n v="0"/>
    <n v="0"/>
    <n v="0"/>
    <n v="0"/>
    <n v="0"/>
    <n v="0"/>
    <x v="0"/>
    <x v="1"/>
    <n v="0"/>
    <s v=""/>
    <s v="F4RIP"/>
  </r>
  <r>
    <x v="468"/>
    <x v="92"/>
    <s v="FR0013376225"/>
    <x v="1"/>
    <s v="Broad ESG"/>
    <x v="1"/>
    <s v="F4RIN"/>
    <x v="2"/>
    <s v="Non-significant benchmark"/>
    <n v="0"/>
    <n v="0"/>
    <n v="0"/>
    <n v="0"/>
    <n v="0"/>
    <n v="0"/>
    <x v="0"/>
    <x v="1"/>
    <n v="0"/>
    <s v=""/>
    <s v="F4RIP"/>
  </r>
  <r>
    <x v="469"/>
    <x v="93"/>
    <s v="FR0013422326"/>
    <x v="1"/>
    <s v="Energy transition"/>
    <x v="1"/>
    <s v="CLIFL"/>
    <x v="2"/>
    <s v="Non-significant benchmark"/>
    <n v="0"/>
    <n v="30000000"/>
    <n v="3122265.8004000001"/>
    <n v="0"/>
    <n v="0"/>
    <n v="0"/>
    <x v="71"/>
    <x v="1"/>
    <n v="30000000"/>
    <n v="0"/>
    <s v="CLF4P"/>
  </r>
  <r>
    <x v="470"/>
    <x v="93"/>
    <s v="FR0013317773"/>
    <x v="1"/>
    <s v="Energy transition"/>
    <x v="1"/>
    <s v="CLF4P"/>
    <x v="2"/>
    <s v="Non-significant benchmark"/>
    <n v="0"/>
    <n v="0"/>
    <n v="0"/>
    <n v="0"/>
    <n v="0"/>
    <n v="0"/>
    <x v="0"/>
    <x v="1"/>
    <n v="0"/>
    <s v=""/>
    <s v="CLF4P"/>
  </r>
  <r>
    <x v="471"/>
    <x v="93"/>
    <s v="FR0013317807"/>
    <x v="1"/>
    <s v="Energy transition"/>
    <x v="1"/>
    <s v="CLIF4"/>
    <x v="2"/>
    <s v="Non-significant benchmark"/>
    <n v="102549003"/>
    <n v="512500000"/>
    <n v="173124573.00920001"/>
    <n v="0"/>
    <n v="0"/>
    <n v="0"/>
    <x v="81"/>
    <x v="1"/>
    <n v="173796860.8721"/>
    <n v="-3.8682393889423183E-3"/>
    <s v="CLF4P"/>
  </r>
  <r>
    <x v="472"/>
    <x v="93"/>
    <s v="FR0013317799"/>
    <x v="1"/>
    <s v="Energy transition"/>
    <x v="1"/>
    <s v="CLF4G"/>
    <x v="2"/>
    <s v="Non-significant benchmark"/>
    <n v="0"/>
    <n v="0"/>
    <n v="0"/>
    <n v="0"/>
    <n v="0"/>
    <n v="0"/>
    <x v="0"/>
    <x v="1"/>
    <n v="0"/>
    <s v=""/>
    <s v="CLF4P"/>
  </r>
  <r>
    <x v="473"/>
    <x v="93"/>
    <s v="FR0013317781"/>
    <x v="1"/>
    <s v="Energy transition"/>
    <x v="1"/>
    <s v="CLF4N"/>
    <x v="2"/>
    <s v="Non-significant benchmark"/>
    <n v="0"/>
    <n v="0"/>
    <n v="0"/>
    <n v="0"/>
    <n v="0"/>
    <n v="0"/>
    <x v="0"/>
    <x v="1"/>
    <n v="0"/>
    <s v=""/>
    <s v="CLF4P"/>
  </r>
  <r>
    <x v="474"/>
    <x v="94"/>
    <s v="FR0013317732"/>
    <x v="1"/>
    <s v="Broad ESG"/>
    <x v="1"/>
    <s v="ESF4P"/>
    <x v="2"/>
    <s v="Non-significant benchmark"/>
    <n v="0"/>
    <n v="80000000"/>
    <n v="0"/>
    <n v="0"/>
    <n v="0"/>
    <n v="0"/>
    <x v="82"/>
    <x v="1"/>
    <n v="0"/>
    <s v=""/>
    <s v="ESF4P"/>
  </r>
  <r>
    <x v="475"/>
    <x v="94"/>
    <s v="FR0013431731"/>
    <x v="1"/>
    <s v="Broad ESG"/>
    <x v="1"/>
    <s v="ESGFL"/>
    <x v="2"/>
    <s v="Non-significant benchmark"/>
    <n v="0"/>
    <n v="0"/>
    <n v="13621920.704400001"/>
    <n v="0"/>
    <n v="0"/>
    <n v="0"/>
    <x v="83"/>
    <x v="1"/>
    <n v="40312000"/>
    <n v="-0.66208769834292514"/>
    <s v="ESF4P"/>
  </r>
  <r>
    <x v="476"/>
    <x v="94"/>
    <s v="FR0013317765"/>
    <x v="1"/>
    <s v="Broad ESG"/>
    <x v="1"/>
    <s v="ESGF4"/>
    <x v="2"/>
    <s v="Non-significant benchmark"/>
    <n v="0"/>
    <n v="0"/>
    <n v="0"/>
    <n v="0"/>
    <n v="0"/>
    <n v="0"/>
    <x v="0"/>
    <x v="1"/>
    <n v="0"/>
    <s v=""/>
    <s v="ESF4P"/>
  </r>
  <r>
    <x v="477"/>
    <x v="94"/>
    <s v="FR0013317757"/>
    <x v="1"/>
    <s v="Broad ESG"/>
    <x v="1"/>
    <s v="ESF4G"/>
    <x v="2"/>
    <s v="Non-significant benchmark"/>
    <n v="0"/>
    <n v="0"/>
    <n v="0"/>
    <n v="0"/>
    <n v="0"/>
    <n v="0"/>
    <x v="0"/>
    <x v="1"/>
    <n v="0"/>
    <s v=""/>
    <s v="ESF4P"/>
  </r>
  <r>
    <x v="478"/>
    <x v="94"/>
    <s v="FR0013317740"/>
    <x v="1"/>
    <s v="Broad ESG"/>
    <x v="1"/>
    <s v="ESF4N"/>
    <x v="2"/>
    <s v="Non-significant benchmark"/>
    <n v="0"/>
    <n v="0"/>
    <n v="0"/>
    <n v="0"/>
    <n v="0"/>
    <n v="0"/>
    <x v="0"/>
    <x v="1"/>
    <n v="0"/>
    <s v=""/>
    <s v="ESF4P"/>
  </r>
  <r>
    <x v="479"/>
    <x v="95"/>
    <s v="FR0013476959"/>
    <x v="1"/>
    <s v="Broad ESG"/>
    <x v="1"/>
    <s v="ESGFP"/>
    <x v="2"/>
    <s v="Non-significant benchmark"/>
    <n v="0"/>
    <n v="0"/>
    <n v="0"/>
    <n v="0"/>
    <n v="0"/>
    <n v="0"/>
    <x v="0"/>
    <x v="1"/>
    <n v="0"/>
    <s v=""/>
    <s v="ESGFP"/>
  </r>
  <r>
    <x v="480"/>
    <x v="95"/>
    <s v="FR0013476983"/>
    <x v="1"/>
    <s v="Broad ESG"/>
    <x v="1"/>
    <s v="ESGFR"/>
    <x v="2"/>
    <s v="Non-significant benchmark"/>
    <n v="0"/>
    <n v="0"/>
    <n v="0"/>
    <n v="0"/>
    <n v="0"/>
    <n v="0"/>
    <x v="0"/>
    <x v="1"/>
    <n v="0"/>
    <s v=""/>
    <s v="ESGFP"/>
  </r>
  <r>
    <x v="481"/>
    <x v="95"/>
    <s v="FR0013476975"/>
    <x v="1"/>
    <s v="Broad ESG"/>
    <x v="1"/>
    <s v="ESGFG"/>
    <x v="2"/>
    <s v="Non-significant benchmark"/>
    <n v="0"/>
    <n v="0"/>
    <n v="0"/>
    <n v="0"/>
    <n v="0"/>
    <n v="0"/>
    <x v="0"/>
    <x v="1"/>
    <n v="0"/>
    <s v=""/>
    <s v="ESGFP"/>
  </r>
  <r>
    <x v="482"/>
    <x v="95"/>
    <s v="FR0013476967"/>
    <x v="1"/>
    <s v="Broad ESG"/>
    <x v="1"/>
    <s v="ESGFN"/>
    <x v="2"/>
    <s v="Non-significant benchmark"/>
    <n v="0"/>
    <n v="0"/>
    <n v="0"/>
    <n v="0"/>
    <n v="0"/>
    <n v="0"/>
    <x v="0"/>
    <x v="1"/>
    <n v="0"/>
    <s v=""/>
    <s v="ESGFP"/>
  </r>
  <r>
    <x v="483"/>
    <x v="96"/>
    <s v="NL0012846307"/>
    <x v="0"/>
    <s v="International"/>
    <x v="0"/>
    <s v="FEZ6P"/>
    <x v="2"/>
    <s v="Non-significant benchmark"/>
    <n v="0"/>
    <n v="0"/>
    <n v="0"/>
    <n v="0"/>
    <n v="0"/>
    <n v="0"/>
    <x v="0"/>
    <x v="1"/>
    <n v="0"/>
    <s v=""/>
    <s v="FEZ6P"/>
  </r>
  <r>
    <x v="484"/>
    <x v="96"/>
    <s v="NL0012846331"/>
    <x v="0"/>
    <s v="International"/>
    <x v="0"/>
    <s v="FEZ60"/>
    <x v="2"/>
    <s v="Non-significant benchmark"/>
    <n v="0"/>
    <n v="0"/>
    <n v="0"/>
    <n v="0"/>
    <n v="0"/>
    <n v="0"/>
    <x v="0"/>
    <x v="1"/>
    <n v="0"/>
    <s v=""/>
    <s v="FEZ6P"/>
  </r>
  <r>
    <x v="485"/>
    <x v="96"/>
    <s v="NL0012846323"/>
    <x v="0"/>
    <s v="International"/>
    <x v="0"/>
    <s v="FEZ6G"/>
    <x v="2"/>
    <s v="Non-significant benchmark"/>
    <n v="0"/>
    <n v="0"/>
    <n v="0"/>
    <n v="0"/>
    <n v="0"/>
    <n v="0"/>
    <x v="0"/>
    <x v="1"/>
    <n v="0"/>
    <s v=""/>
    <s v="FEZ6P"/>
  </r>
  <r>
    <x v="486"/>
    <x v="96"/>
    <s v="NL0012846315"/>
    <x v="0"/>
    <s v="International"/>
    <x v="0"/>
    <s v="FEZ6N"/>
    <x v="2"/>
    <s v="Non-significant benchmark"/>
    <n v="0"/>
    <n v="0"/>
    <n v="0"/>
    <n v="0"/>
    <n v="0"/>
    <n v="0"/>
    <x v="0"/>
    <x v="1"/>
    <n v="0"/>
    <s v=""/>
    <s v="FEZ6P"/>
  </r>
  <r>
    <x v="487"/>
    <x v="97"/>
    <s v="NL0012658769"/>
    <x v="0"/>
    <s v="International"/>
    <x v="0"/>
    <s v="EFGP"/>
    <x v="2"/>
    <s v="Non-significant benchmark"/>
    <n v="0"/>
    <n v="0"/>
    <n v="0"/>
    <n v="0"/>
    <n v="0"/>
    <n v="0"/>
    <x v="0"/>
    <x v="1"/>
    <n v="0"/>
    <s v=""/>
    <s v="EFGP"/>
  </r>
  <r>
    <x v="488"/>
    <x v="97"/>
    <s v="NL0012365035"/>
    <x v="0"/>
    <s v="International"/>
    <x v="0"/>
    <s v="EFGEW"/>
    <x v="2"/>
    <s v="Non-significant benchmark"/>
    <n v="0"/>
    <n v="0"/>
    <n v="0"/>
    <n v="0"/>
    <n v="0"/>
    <n v="0"/>
    <x v="0"/>
    <x v="1"/>
    <n v="0"/>
    <s v=""/>
    <s v="EFGEW"/>
  </r>
  <r>
    <x v="489"/>
    <x v="97"/>
    <s v="NL0012365068"/>
    <x v="0"/>
    <s v="International"/>
    <x v="0"/>
    <s v="EFGED"/>
    <x v="2"/>
    <s v="Non-significant benchmark"/>
    <n v="13343483"/>
    <n v="409000000"/>
    <n v="138788859.42840001"/>
    <n v="0"/>
    <n v="0"/>
    <n v="0"/>
    <x v="84"/>
    <x v="1"/>
    <n v="284711748.51490003"/>
    <n v="-0.5125285129526832"/>
    <s v="EFGEW"/>
  </r>
  <r>
    <x v="490"/>
    <x v="97"/>
    <s v="NL0012365050"/>
    <x v="0"/>
    <s v="International"/>
    <x v="0"/>
    <s v="EFGEG"/>
    <x v="2"/>
    <s v="Non-significant benchmark"/>
    <n v="0"/>
    <n v="0"/>
    <n v="0"/>
    <n v="0"/>
    <n v="0"/>
    <n v="0"/>
    <x v="0"/>
    <x v="1"/>
    <n v="0"/>
    <s v=""/>
    <s v="EFGEW"/>
  </r>
  <r>
    <x v="491"/>
    <x v="97"/>
    <s v="NL0012365043"/>
    <x v="0"/>
    <s v="International"/>
    <x v="0"/>
    <s v="EFGEN"/>
    <x v="2"/>
    <s v="Non-significant benchmark"/>
    <n v="0"/>
    <n v="0"/>
    <n v="0"/>
    <n v="0"/>
    <n v="0"/>
    <n v="0"/>
    <x v="0"/>
    <x v="1"/>
    <n v="0"/>
    <s v=""/>
    <s v="EFGEW"/>
  </r>
  <r>
    <x v="492"/>
    <x v="97"/>
    <s v="NL0012658785"/>
    <x v="0"/>
    <s v="International"/>
    <x v="0"/>
    <s v="EFGG"/>
    <x v="2"/>
    <s v="Non-significant benchmark"/>
    <n v="0"/>
    <n v="0"/>
    <n v="0"/>
    <n v="0"/>
    <n v="0"/>
    <n v="0"/>
    <x v="0"/>
    <x v="1"/>
    <n v="0"/>
    <s v=""/>
    <s v="EFGP"/>
  </r>
  <r>
    <x v="493"/>
    <x v="97"/>
    <s v="NL0012658777"/>
    <x v="0"/>
    <s v="International"/>
    <x v="0"/>
    <s v="EFGN"/>
    <x v="2"/>
    <s v="Non-significant benchmark"/>
    <n v="0"/>
    <n v="0"/>
    <n v="0"/>
    <n v="0"/>
    <n v="0"/>
    <n v="0"/>
    <x v="0"/>
    <x v="1"/>
    <n v="0"/>
    <s v=""/>
    <s v="EFGP"/>
  </r>
  <r>
    <x v="494"/>
    <x v="98"/>
    <s v="FR0013354156"/>
    <x v="0"/>
    <s v="Country"/>
    <x v="0"/>
    <s v="FRN4P"/>
    <x v="2"/>
    <s v="Non-significant benchmark"/>
    <n v="0"/>
    <n v="0"/>
    <n v="0"/>
    <n v="0"/>
    <n v="0"/>
    <n v="0"/>
    <x v="0"/>
    <x v="1"/>
    <n v="0"/>
    <s v=""/>
    <s v="FRN4P"/>
  </r>
  <r>
    <x v="495"/>
    <x v="98"/>
    <s v="FR0013354180"/>
    <x v="0"/>
    <s v="Country"/>
    <x v="0"/>
    <s v="FRN40"/>
    <x v="2"/>
    <s v="Non-significant benchmark"/>
    <n v="0"/>
    <n v="0"/>
    <n v="0"/>
    <n v="0"/>
    <n v="0"/>
    <n v="0"/>
    <x v="0"/>
    <x v="1"/>
    <n v="0"/>
    <s v=""/>
    <s v="FRN4P"/>
  </r>
  <r>
    <x v="496"/>
    <x v="98"/>
    <s v="FR0013354172"/>
    <x v="0"/>
    <s v="Country"/>
    <x v="0"/>
    <s v="FRN4G"/>
    <x v="2"/>
    <s v="Non-significant benchmark"/>
    <n v="0"/>
    <n v="0"/>
    <n v="0"/>
    <n v="0"/>
    <n v="0"/>
    <n v="0"/>
    <x v="0"/>
    <x v="1"/>
    <n v="0"/>
    <s v=""/>
    <s v="FRN4P"/>
  </r>
  <r>
    <x v="497"/>
    <x v="98"/>
    <s v="FR0013354164"/>
    <x v="0"/>
    <s v="Country"/>
    <x v="0"/>
    <s v="FRN4N"/>
    <x v="2"/>
    <s v="Non-significant benchmark"/>
    <n v="0"/>
    <n v="0"/>
    <n v="0"/>
    <n v="0"/>
    <n v="0"/>
    <n v="0"/>
    <x v="0"/>
    <x v="1"/>
    <n v="0"/>
    <s v=""/>
    <s v="FRN4P"/>
  </r>
  <r>
    <x v="498"/>
    <x v="99"/>
    <s v="FR0014003927"/>
    <x v="1"/>
    <s v="Climate;PAB"/>
    <x v="2"/>
    <s v="FPABP"/>
    <x v="2"/>
    <s v="Non-significant benchmark"/>
    <n v="0"/>
    <n v="0"/>
    <n v="0"/>
    <n v="0"/>
    <n v="0"/>
    <n v="0"/>
    <x v="0"/>
    <x v="1"/>
    <n v="0"/>
    <s v=""/>
    <s v="FPABP"/>
  </r>
  <r>
    <x v="499"/>
    <x v="99"/>
    <s v="FR0014003935"/>
    <x v="1"/>
    <s v="Climate;PAB"/>
    <x v="2"/>
    <s v="FPAB5"/>
    <x v="2"/>
    <s v="Non-significant benchmark"/>
    <n v="0"/>
    <n v="0"/>
    <n v="0"/>
    <n v="0"/>
    <n v="0"/>
    <n v="0"/>
    <x v="0"/>
    <x v="1"/>
    <n v="0"/>
    <s v=""/>
    <s v="FPABP"/>
  </r>
  <r>
    <x v="500"/>
    <x v="99"/>
    <s v="FR0014003950"/>
    <x v="1"/>
    <s v="Climate;PAB"/>
    <x v="2"/>
    <s v="FPABG"/>
    <x v="2"/>
    <s v="Non-significant benchmark"/>
    <n v="0"/>
    <n v="0"/>
    <n v="0"/>
    <n v="0"/>
    <n v="0"/>
    <n v="0"/>
    <x v="0"/>
    <x v="1"/>
    <n v="0"/>
    <s v=""/>
    <s v="FPABP"/>
  </r>
  <r>
    <x v="501"/>
    <x v="99"/>
    <s v="FR0014003943"/>
    <x v="1"/>
    <s v="Climate;PAB"/>
    <x v="2"/>
    <s v="FPABN"/>
    <x v="2"/>
    <s v="Non-significant benchmark"/>
    <n v="0"/>
    <n v="0"/>
    <n v="0"/>
    <n v="0"/>
    <n v="0"/>
    <n v="0"/>
    <x v="0"/>
    <x v="1"/>
    <n v="0"/>
    <s v=""/>
    <s v="FPABP"/>
  </r>
  <r>
    <x v="502"/>
    <x v="100"/>
    <s v="FR0014005D77"/>
    <x v="1"/>
    <s v="Social"/>
    <x v="1"/>
    <s v="FRSOP"/>
    <x v="2"/>
    <s v="Non-significant benchmark"/>
    <n v="0"/>
    <n v="0"/>
    <n v="0"/>
    <n v="0"/>
    <n v="0"/>
    <n v="0"/>
    <x v="0"/>
    <x v="1"/>
    <n v="0"/>
    <s v=""/>
    <s v="FRSOP"/>
  </r>
  <r>
    <x v="503"/>
    <x v="100"/>
    <s v="FR0014005D69"/>
    <x v="1"/>
    <s v="Social"/>
    <x v="1"/>
    <s v="FRSOC"/>
    <x v="2"/>
    <s v="Non-significant benchmark"/>
    <n v="36505000"/>
    <n v="0"/>
    <n v="224149211.75320002"/>
    <n v="79100953"/>
    <n v="0"/>
    <n v="0"/>
    <x v="85"/>
    <x v="1"/>
    <n v="280985614.82700002"/>
    <n v="7.9237330138441697E-2"/>
    <s v="FRSOP"/>
  </r>
  <r>
    <x v="504"/>
    <x v="100"/>
    <s v="FRESG0000645"/>
    <x v="1"/>
    <s v="Social"/>
    <x v="1"/>
    <s v="FRSO5"/>
    <x v="2"/>
    <s v="Non-significant benchmark"/>
    <n v="0"/>
    <n v="0"/>
    <n v="45618237.490800001"/>
    <n v="0"/>
    <n v="0"/>
    <n v="0"/>
    <x v="86"/>
    <x v="1"/>
    <n v="19083721.915200002"/>
    <n v="1.3904266522803139"/>
    <s v="FRSOP"/>
  </r>
  <r>
    <x v="505"/>
    <x v="100"/>
    <s v="FR0014005D93"/>
    <x v="1"/>
    <s v="Social"/>
    <x v="1"/>
    <s v="FRSOG"/>
    <x v="2"/>
    <s v="Non-significant benchmark"/>
    <n v="0"/>
    <n v="0"/>
    <n v="0"/>
    <n v="0"/>
    <n v="0"/>
    <n v="0"/>
    <x v="0"/>
    <x v="1"/>
    <n v="0"/>
    <s v=""/>
    <s v="FRSOP"/>
  </r>
  <r>
    <x v="506"/>
    <x v="100"/>
    <s v="FR0014005D85"/>
    <x v="1"/>
    <s v="Social"/>
    <x v="1"/>
    <s v="FRSON"/>
    <x v="2"/>
    <s v="Non-significant benchmark"/>
    <n v="0"/>
    <n v="0"/>
    <n v="0"/>
    <n v="0"/>
    <n v="0"/>
    <n v="0"/>
    <x v="0"/>
    <x v="1"/>
    <n v="0"/>
    <s v=""/>
    <s v="FRSOP"/>
  </r>
  <r>
    <x v="507"/>
    <x v="101"/>
    <s v="FRESG0000454"/>
    <x v="1"/>
    <s v="Social"/>
    <x v="1"/>
    <s v="FREMP"/>
    <x v="2"/>
    <s v="Non-significant benchmark"/>
    <n v="0"/>
    <n v="0"/>
    <n v="0"/>
    <n v="0"/>
    <n v="0"/>
    <n v="0"/>
    <x v="0"/>
    <x v="1"/>
    <n v="0"/>
    <s v=""/>
    <s v="FREMP"/>
  </r>
  <r>
    <x v="508"/>
    <x v="101"/>
    <s v="FRESG0000470"/>
    <x v="1"/>
    <s v="Social"/>
    <x v="1"/>
    <s v="FREMG"/>
    <x v="2"/>
    <s v="Non-significant benchmark"/>
    <n v="0"/>
    <n v="0"/>
    <n v="0"/>
    <n v="0"/>
    <n v="0"/>
    <n v="0"/>
    <x v="0"/>
    <x v="1"/>
    <n v="0"/>
    <s v=""/>
    <s v="FREMP"/>
  </r>
  <r>
    <x v="509"/>
    <x v="101"/>
    <s v="FRESG0000462"/>
    <x v="1"/>
    <s v="Social"/>
    <x v="1"/>
    <s v="FREMN"/>
    <x v="2"/>
    <s v="Non-significant benchmark"/>
    <n v="0"/>
    <n v="0"/>
    <n v="0"/>
    <n v="0"/>
    <n v="0"/>
    <n v="0"/>
    <x v="0"/>
    <x v="1"/>
    <n v="0"/>
    <s v=""/>
    <s v="FREMP"/>
  </r>
  <r>
    <x v="510"/>
    <x v="102"/>
    <s v="FRESG0000009"/>
    <x v="1"/>
    <s v="Broad ESG"/>
    <x v="1"/>
    <s v="GHCPR"/>
    <x v="2"/>
    <s v="Non-significant benchmark"/>
    <n v="0"/>
    <n v="0"/>
    <n v="0"/>
    <n v="0"/>
    <n v="0"/>
    <n v="0"/>
    <x v="0"/>
    <x v="1"/>
    <n v="0"/>
    <s v=""/>
    <s v="GHCPR"/>
  </r>
  <r>
    <x v="511"/>
    <x v="102"/>
    <s v="FRESG0000033"/>
    <x v="1"/>
    <s v="Broad ESG"/>
    <x v="1"/>
    <s v="GHCD5"/>
    <x v="2"/>
    <s v="Non-significant benchmark"/>
    <n v="10420000"/>
    <n v="2676000"/>
    <n v="0"/>
    <n v="0"/>
    <n v="0"/>
    <n v="0"/>
    <x v="87"/>
    <x v="1"/>
    <n v="0"/>
    <s v=""/>
    <s v="GHCPR"/>
  </r>
  <r>
    <x v="512"/>
    <x v="102"/>
    <s v="FRESG0000025"/>
    <x v="1"/>
    <s v="Broad ESG"/>
    <x v="1"/>
    <s v="GHCGR"/>
    <x v="2"/>
    <s v="Non-significant benchmark"/>
    <n v="0"/>
    <n v="0"/>
    <n v="0"/>
    <n v="0"/>
    <n v="0"/>
    <n v="0"/>
    <x v="0"/>
    <x v="1"/>
    <n v="0"/>
    <s v=""/>
    <s v="GHCPR"/>
  </r>
  <r>
    <x v="513"/>
    <x v="102"/>
    <s v="FRESG0000017"/>
    <x v="1"/>
    <s v="Broad ESG"/>
    <x v="1"/>
    <s v="GHCNR"/>
    <x v="2"/>
    <s v="Non-significant benchmark"/>
    <n v="0"/>
    <n v="0"/>
    <n v="0"/>
    <n v="0"/>
    <n v="0"/>
    <n v="0"/>
    <x v="0"/>
    <x v="1"/>
    <n v="0"/>
    <s v=""/>
    <s v="GHCPR"/>
  </r>
  <r>
    <x v="514"/>
    <x v="103"/>
    <s v="FRESG0000876"/>
    <x v="1"/>
    <s v="Climate;Environmental"/>
    <x v="1"/>
    <s v="GSCSP"/>
    <x v="2"/>
    <s v="Non-significant benchmark"/>
    <n v="0"/>
    <n v="0"/>
    <n v="0"/>
    <n v="0"/>
    <n v="0"/>
    <n v="0"/>
    <x v="0"/>
    <x v="1"/>
    <n v="0"/>
    <s v=""/>
    <s v="GSCSP"/>
  </r>
  <r>
    <x v="515"/>
    <x v="103"/>
    <s v="FRESG0000892"/>
    <x v="1"/>
    <s v="Climate;Environmental"/>
    <x v="1"/>
    <s v="GSCSD"/>
    <x v="2"/>
    <s v="Non-significant benchmark"/>
    <n v="0"/>
    <n v="60000000"/>
    <n v="4991941.1912000002"/>
    <n v="0"/>
    <n v="0"/>
    <n v="0"/>
    <x v="88"/>
    <x v="1"/>
    <n v="60000000"/>
    <n v="0"/>
    <s v="GSCDP"/>
  </r>
  <r>
    <x v="516"/>
    <x v="103"/>
    <s v="FRESG0000884"/>
    <x v="1"/>
    <s v="Climate;Environmental"/>
    <x v="1"/>
    <s v="GSCSG"/>
    <x v="2"/>
    <s v="Non-significant benchmark"/>
    <n v="0"/>
    <n v="0"/>
    <n v="0"/>
    <n v="0"/>
    <n v="0"/>
    <n v="0"/>
    <x v="0"/>
    <x v="1"/>
    <n v="0"/>
    <s v=""/>
    <s v="GSCSP"/>
  </r>
  <r>
    <x v="517"/>
    <x v="104"/>
    <s v="FR0013457892"/>
    <x v="1"/>
    <s v="Environmental"/>
    <x v="1"/>
    <s v="GRE50"/>
    <x v="2"/>
    <s v="Non-significant benchmark"/>
    <n v="18393129"/>
    <n v="5000000"/>
    <n v="0"/>
    <n v="0"/>
    <n v="0"/>
    <n v="0"/>
    <x v="89"/>
    <x v="1"/>
    <n v="17960487.140000001"/>
    <n v="2.4088537055125814E-2"/>
    <s v="GRE5P"/>
  </r>
  <r>
    <x v="518"/>
    <x v="104"/>
    <s v="FR0013460060"/>
    <x v="1"/>
    <s v="Environmental"/>
    <x v="1"/>
    <s v="GREG5"/>
    <x v="2"/>
    <s v="Non-significant benchmark"/>
    <n v="0"/>
    <n v="0"/>
    <n v="0"/>
    <n v="0"/>
    <n v="0"/>
    <n v="0"/>
    <x v="0"/>
    <x v="1"/>
    <n v="0"/>
    <s v=""/>
    <s v="GRE5P"/>
  </r>
  <r>
    <x v="519"/>
    <x v="104"/>
    <s v="FR0013457876"/>
    <x v="1"/>
    <s v="Environmental"/>
    <x v="1"/>
    <s v="GRE5G"/>
    <x v="2"/>
    <s v="Non-significant benchmark"/>
    <n v="0"/>
    <n v="0"/>
    <n v="0"/>
    <n v="0"/>
    <n v="0"/>
    <n v="0"/>
    <x v="0"/>
    <x v="1"/>
    <n v="0"/>
    <s v=""/>
    <s v="GRE5P"/>
  </r>
  <r>
    <x v="520"/>
    <x v="104"/>
    <s v="FR0013457868"/>
    <x v="1"/>
    <s v="Environmental"/>
    <x v="1"/>
    <s v="GRE5N"/>
    <x v="2"/>
    <s v="Non-significant benchmark"/>
    <n v="0"/>
    <n v="0"/>
    <n v="0"/>
    <n v="0"/>
    <n v="0"/>
    <n v="0"/>
    <x v="0"/>
    <x v="1"/>
    <n v="0"/>
    <s v=""/>
    <s v="GRE5P"/>
  </r>
  <r>
    <x v="521"/>
    <x v="104"/>
    <s v="FR0013457850"/>
    <x v="1"/>
    <s v="Environmental"/>
    <x v="1"/>
    <s v="GRE5P"/>
    <x v="2"/>
    <s v="Non-significant benchmark"/>
    <n v="0"/>
    <n v="0"/>
    <n v="0"/>
    <n v="0"/>
    <n v="0"/>
    <n v="0"/>
    <x v="0"/>
    <x v="1"/>
    <n v="0"/>
    <s v=""/>
    <s v="GRE5P"/>
  </r>
  <r>
    <x v="522"/>
    <x v="105"/>
    <s v="FR0013479763"/>
    <x v="1"/>
    <s v="Environmental"/>
    <x v="1"/>
    <s v="GRF5P"/>
    <x v="2"/>
    <s v="Non-significant benchmark"/>
    <n v="0"/>
    <n v="0"/>
    <n v="0"/>
    <n v="0"/>
    <n v="0"/>
    <n v="0"/>
    <x v="0"/>
    <x v="1"/>
    <n v="5000000"/>
    <n v="-1"/>
    <s v="GRF5P"/>
  </r>
  <r>
    <x v="523"/>
    <x v="105"/>
    <s v="FR0013479821"/>
    <x v="1"/>
    <s v="Environmental"/>
    <x v="1"/>
    <s v="GRF50"/>
    <x v="2"/>
    <s v="Non-significant benchmark"/>
    <n v="500000"/>
    <n v="0"/>
    <n v="0"/>
    <n v="0"/>
    <n v="0"/>
    <n v="0"/>
    <x v="90"/>
    <x v="1"/>
    <n v="20977000"/>
    <n v="-0.97616437050102489"/>
    <s v="GRF5P"/>
  </r>
  <r>
    <x v="524"/>
    <x v="105"/>
    <s v="FR0013479797"/>
    <x v="1"/>
    <s v="Environmental"/>
    <x v="1"/>
    <s v="GRF5G"/>
    <x v="2"/>
    <s v="Non-significant benchmark"/>
    <n v="0"/>
    <n v="0"/>
    <n v="0"/>
    <n v="0"/>
    <n v="0"/>
    <n v="0"/>
    <x v="0"/>
    <x v="1"/>
    <n v="0"/>
    <s v=""/>
    <s v="GRF5P"/>
  </r>
  <r>
    <x v="525"/>
    <x v="105"/>
    <s v="FR0013479789"/>
    <x v="1"/>
    <s v="Environmental"/>
    <x v="1"/>
    <s v="GRF5N"/>
    <x v="2"/>
    <s v="Non-significant benchmark"/>
    <n v="0"/>
    <n v="0"/>
    <n v="0"/>
    <n v="0"/>
    <n v="0"/>
    <n v="0"/>
    <x v="0"/>
    <x v="1"/>
    <n v="0"/>
    <s v=""/>
    <s v="GRF5P"/>
  </r>
  <r>
    <x v="526"/>
    <x v="106"/>
    <s v="QS0011040902"/>
    <x v="0"/>
    <s v="International"/>
    <x v="0"/>
    <s v="ALASI"/>
    <x v="2"/>
    <s v="Non-significant benchmark"/>
    <n v="0"/>
    <n v="0"/>
    <n v="0"/>
    <n v="132291604"/>
    <n v="0"/>
    <n v="0"/>
    <x v="91"/>
    <x v="1"/>
    <n v="135569182.43615654"/>
    <n v="-2.4176426952342567E-2"/>
    <s v="ALASI"/>
  </r>
  <r>
    <x v="527"/>
    <x v="106"/>
    <s v="QS0011227186"/>
    <x v="0"/>
    <s v="International"/>
    <x v="0"/>
    <s v="ALASG"/>
    <x v="2"/>
    <s v="Non-significant benchmark"/>
    <n v="0"/>
    <n v="0"/>
    <n v="0"/>
    <n v="0"/>
    <n v="0"/>
    <n v="0"/>
    <x v="0"/>
    <x v="1"/>
    <n v="0"/>
    <s v=""/>
    <s v="ALASI"/>
  </r>
  <r>
    <x v="528"/>
    <x v="106"/>
    <s v="QS0011227178"/>
    <x v="0"/>
    <s v="International"/>
    <x v="0"/>
    <s v="ALASN"/>
    <x v="2"/>
    <s v="Non-significant benchmark"/>
    <n v="0"/>
    <n v="0"/>
    <n v="0"/>
    <n v="0"/>
    <n v="0"/>
    <n v="0"/>
    <x v="0"/>
    <x v="1"/>
    <n v="0"/>
    <s v=""/>
    <s v="ALASI"/>
  </r>
  <r>
    <x v="529"/>
    <x v="106"/>
    <s v="QS0011194212"/>
    <x v="0"/>
    <s v="Industry"/>
    <x v="0"/>
    <s v="NAOII"/>
    <x v="2"/>
    <s v="Non-significant benchmark"/>
    <n v="0"/>
    <n v="0"/>
    <n v="0"/>
    <n v="0"/>
    <n v="0"/>
    <n v="0"/>
    <x v="0"/>
    <x v="1"/>
    <n v="0"/>
    <s v=""/>
    <s v="NAOII"/>
  </r>
  <r>
    <x v="530"/>
    <x v="106"/>
    <s v="QS0011194238"/>
    <x v="0"/>
    <s v="Industry"/>
    <x v="0"/>
    <s v="NAOIG"/>
    <x v="2"/>
    <s v="Non-significant benchmark"/>
    <n v="0"/>
    <n v="0"/>
    <n v="0"/>
    <n v="0"/>
    <n v="0"/>
    <n v="0"/>
    <x v="0"/>
    <x v="1"/>
    <n v="0"/>
    <s v=""/>
    <s v="NAOII"/>
  </r>
  <r>
    <x v="531"/>
    <x v="106"/>
    <s v="QS0011194220"/>
    <x v="0"/>
    <s v="Industry"/>
    <x v="0"/>
    <s v="NAOIN"/>
    <x v="2"/>
    <s v="Non-significant benchmark"/>
    <n v="0"/>
    <n v="0"/>
    <n v="0"/>
    <n v="0"/>
    <n v="0"/>
    <n v="0"/>
    <x v="0"/>
    <x v="1"/>
    <n v="0"/>
    <s v=""/>
    <s v="NAOII"/>
  </r>
  <r>
    <x v="532"/>
    <x v="107"/>
    <s v="NLIX00000983"/>
    <x v="0"/>
    <s v="Thematic"/>
    <x v="0"/>
    <s v="HSPCP"/>
    <x v="2"/>
    <s v="Non-significant benchmark"/>
    <n v="0"/>
    <n v="0"/>
    <n v="0"/>
    <n v="0"/>
    <n v="0"/>
    <n v="0"/>
    <x v="0"/>
    <x v="1"/>
    <n v="0"/>
    <s v=""/>
    <s v="HSPCP"/>
  </r>
  <r>
    <x v="533"/>
    <x v="107"/>
    <s v="NLIX00001007"/>
    <x v="0"/>
    <s v="Thematic"/>
    <x v="0"/>
    <s v="HSPCG"/>
    <x v="2"/>
    <s v="Non-significant benchmark"/>
    <n v="0"/>
    <n v="0"/>
    <n v="0"/>
    <n v="0"/>
    <n v="0"/>
    <n v="0"/>
    <x v="0"/>
    <x v="1"/>
    <n v="0"/>
    <s v=""/>
    <s v="HSPCP"/>
  </r>
  <r>
    <x v="534"/>
    <x v="107"/>
    <s v="NLIX00000991"/>
    <x v="0"/>
    <s v="Thematic"/>
    <x v="0"/>
    <s v="HSPCN"/>
    <x v="2"/>
    <s v="Non-significant benchmark"/>
    <n v="0"/>
    <n v="0"/>
    <n v="0"/>
    <n v="0"/>
    <n v="0"/>
    <n v="0"/>
    <x v="0"/>
    <x v="1"/>
    <n v="0"/>
    <s v=""/>
    <s v="HSPCP"/>
  </r>
  <r>
    <x v="535"/>
    <x v="108"/>
    <s v="NLIX00000959"/>
    <x v="0"/>
    <s v="Thematic"/>
    <x v="0"/>
    <s v="HSPAP"/>
    <x v="2"/>
    <s v="Non-significant benchmark"/>
    <n v="0"/>
    <n v="0"/>
    <n v="0"/>
    <n v="0"/>
    <n v="0"/>
    <n v="0"/>
    <x v="0"/>
    <x v="1"/>
    <n v="0"/>
    <s v=""/>
    <s v="HSPAP"/>
  </r>
  <r>
    <x v="536"/>
    <x v="108"/>
    <s v="NLIX00000975"/>
    <x v="0"/>
    <s v="Thematic"/>
    <x v="0"/>
    <s v="HSPAG"/>
    <x v="2"/>
    <s v="Non-significant benchmark"/>
    <n v="0"/>
    <n v="0"/>
    <n v="0"/>
    <n v="0"/>
    <n v="0"/>
    <n v="0"/>
    <x v="0"/>
    <x v="1"/>
    <n v="0"/>
    <s v=""/>
    <s v="HSPAP"/>
  </r>
  <r>
    <x v="537"/>
    <x v="108"/>
    <s v="NLIX00000967"/>
    <x v="0"/>
    <s v="Thematic"/>
    <x v="0"/>
    <s v="HSPAN"/>
    <x v="2"/>
    <s v="Non-significant benchmark"/>
    <n v="0"/>
    <n v="0"/>
    <n v="0"/>
    <n v="0"/>
    <n v="0"/>
    <n v="0"/>
    <x v="0"/>
    <x v="1"/>
    <n v="0"/>
    <s v=""/>
    <s v="HSPAP"/>
  </r>
  <r>
    <x v="538"/>
    <x v="109"/>
    <s v="FRESG0000181"/>
    <x v="1"/>
    <s v="Climate;Environmental"/>
    <x v="1"/>
    <s v="JPCLA"/>
    <x v="2"/>
    <s v="Non-significant benchmark"/>
    <n v="0"/>
    <n v="0"/>
    <n v="0"/>
    <n v="0"/>
    <n v="0"/>
    <n v="0"/>
    <x v="0"/>
    <x v="1"/>
    <n v="0"/>
    <s v=""/>
    <s v="JPCLA"/>
  </r>
  <r>
    <x v="539"/>
    <x v="109"/>
    <s v="FRESG0000215"/>
    <x v="1"/>
    <s v="Climate;Environmental"/>
    <x v="1"/>
    <s v="JPCLE"/>
    <x v="2"/>
    <s v="Non-significant benchmark"/>
    <n v="0"/>
    <n v="0"/>
    <n v="0"/>
    <n v="0"/>
    <n v="0"/>
    <n v="0"/>
    <x v="0"/>
    <x v="1"/>
    <n v="0"/>
    <s v=""/>
    <s v="JPCLE"/>
  </r>
  <r>
    <x v="540"/>
    <x v="109"/>
    <s v="FRESG0000199"/>
    <x v="1"/>
    <s v="Climate;Environmental"/>
    <x v="1"/>
    <s v="JPCLG"/>
    <x v="2"/>
    <s v="Non-significant benchmark"/>
    <n v="0"/>
    <n v="0"/>
    <n v="0"/>
    <n v="0"/>
    <n v="0"/>
    <n v="0"/>
    <x v="0"/>
    <x v="1"/>
    <n v="0"/>
    <s v=""/>
    <s v="JPCLA"/>
  </r>
  <r>
    <x v="541"/>
    <x v="109"/>
    <s v="FRESG0000223"/>
    <x v="1"/>
    <s v="Climate;Environmental"/>
    <x v="1"/>
    <s v="JPCEG"/>
    <x v="2"/>
    <s v="Non-significant benchmark"/>
    <n v="0"/>
    <n v="0"/>
    <n v="0"/>
    <n v="0"/>
    <n v="0"/>
    <n v="0"/>
    <x v="0"/>
    <x v="1"/>
    <n v="0"/>
    <s v=""/>
    <s v="JPCLE"/>
  </r>
  <r>
    <x v="542"/>
    <x v="109"/>
    <s v="FRESG0000207"/>
    <x v="1"/>
    <s v="Climate;Environmental"/>
    <x v="1"/>
    <s v="JPCLN"/>
    <x v="2"/>
    <s v="Non-significant benchmark"/>
    <n v="0"/>
    <n v="0"/>
    <n v="0"/>
    <n v="0"/>
    <n v="0"/>
    <n v="0"/>
    <x v="0"/>
    <x v="1"/>
    <n v="0"/>
    <s v=""/>
    <s v="JPCLA"/>
  </r>
  <r>
    <x v="543"/>
    <x v="109"/>
    <s v="FRESG0000231"/>
    <x v="1"/>
    <s v="Climate;Environmental"/>
    <x v="1"/>
    <s v="JPCEN"/>
    <x v="2"/>
    <s v="Non-significant benchmark"/>
    <n v="0"/>
    <n v="0"/>
    <n v="0"/>
    <n v="0"/>
    <n v="0"/>
    <n v="0"/>
    <x v="0"/>
    <x v="1"/>
    <n v="0"/>
    <s v=""/>
    <s v="JPCLE"/>
  </r>
  <r>
    <x v="544"/>
    <x v="110"/>
    <s v="FR0013522554"/>
    <x v="1"/>
    <s v="Climate;PAB"/>
    <x v="2"/>
    <s v="LC1EP"/>
    <x v="2"/>
    <s v="Non-significant benchmark"/>
    <n v="0"/>
    <n v="0"/>
    <n v="0"/>
    <n v="0"/>
    <n v="0"/>
    <n v="0"/>
    <x v="0"/>
    <x v="1"/>
    <n v="0"/>
    <s v=""/>
    <s v="LC1EP"/>
  </r>
  <r>
    <x v="545"/>
    <x v="110"/>
    <s v="FR0013522570"/>
    <x v="1"/>
    <s v="Climate;PAB"/>
    <x v="2"/>
    <s v="LC1EG"/>
    <x v="2"/>
    <s v="Non-significant benchmark"/>
    <n v="0"/>
    <n v="0"/>
    <n v="0"/>
    <n v="0"/>
    <n v="0"/>
    <n v="0"/>
    <x v="0"/>
    <x v="1"/>
    <n v="0"/>
    <s v=""/>
    <s v="LC1EP"/>
  </r>
  <r>
    <x v="546"/>
    <x v="110"/>
    <s v="FR0013522562"/>
    <x v="1"/>
    <s v="Climate;PAB"/>
    <x v="2"/>
    <s v="LC1EZ"/>
    <x v="2"/>
    <s v="Non-significant benchmark"/>
    <n v="0"/>
    <n v="0"/>
    <n v="0"/>
    <n v="15660477"/>
    <n v="0"/>
    <n v="0"/>
    <x v="92"/>
    <x v="1"/>
    <n v="11391289.68"/>
    <n v="0.37477646868163927"/>
    <s v="LC1EP"/>
  </r>
  <r>
    <x v="547"/>
    <x v="111"/>
    <s v="FRESG0000173"/>
    <x v="1"/>
    <s v="Climate;PAB"/>
    <x v="2"/>
    <s v="LC3WD"/>
    <x v="2"/>
    <s v="Non-significant benchmark"/>
    <n v="0"/>
    <n v="0"/>
    <n v="68524063.584000006"/>
    <n v="0"/>
    <n v="0"/>
    <n v="0"/>
    <x v="93"/>
    <x v="1"/>
    <n v="68790160.392000005"/>
    <n v="-3.8682393889424294E-3"/>
    <s v="LC3WP"/>
  </r>
  <r>
    <x v="548"/>
    <x v="111"/>
    <s v="FR0013522588"/>
    <x v="1"/>
    <s v="Climate;PAB"/>
    <x v="2"/>
    <s v="LC3WP"/>
    <x v="2"/>
    <s v="Non-significant benchmark"/>
    <n v="0"/>
    <n v="0"/>
    <n v="0"/>
    <n v="67032997"/>
    <n v="0"/>
    <n v="0"/>
    <x v="94"/>
    <x v="1"/>
    <n v="20545320.780000001"/>
    <n v="2.2626892379920287"/>
    <s v="LC3WP"/>
  </r>
  <r>
    <x v="549"/>
    <x v="111"/>
    <s v="FR0013522604"/>
    <x v="1"/>
    <s v="Climate;PAB"/>
    <x v="2"/>
    <s v="LC3WG"/>
    <x v="2"/>
    <s v="Non-significant benchmark"/>
    <n v="0"/>
    <n v="0"/>
    <n v="0"/>
    <n v="0"/>
    <n v="0"/>
    <n v="0"/>
    <x v="0"/>
    <x v="1"/>
    <n v="0"/>
    <s v=""/>
    <s v="LC3WP"/>
  </r>
  <r>
    <x v="550"/>
    <x v="111"/>
    <s v="FR0013522596"/>
    <x v="1"/>
    <s v="Climate;PAB"/>
    <x v="2"/>
    <s v="LC3W"/>
    <x v="2"/>
    <s v="Non-significant benchmark"/>
    <n v="0"/>
    <n v="0"/>
    <n v="0"/>
    <n v="0"/>
    <n v="0"/>
    <n v="0"/>
    <x v="0"/>
    <x v="1"/>
    <n v="0"/>
    <s v=""/>
    <s v="LC3WP"/>
  </r>
  <r>
    <x v="551"/>
    <x v="112"/>
    <s v="FRESG0000934"/>
    <x v="0"/>
    <s v="Thematic"/>
    <x v="0"/>
    <s v="NHWPR"/>
    <x v="2"/>
    <s v="Non-significant benchmark"/>
    <n v="0"/>
    <n v="0"/>
    <n v="0"/>
    <n v="0"/>
    <n v="0"/>
    <n v="0"/>
    <x v="0"/>
    <x v="1"/>
    <n v="0"/>
    <s v=""/>
    <e v="#N/A"/>
  </r>
  <r>
    <x v="552"/>
    <x v="112"/>
    <s v="FRESG0000959"/>
    <x v="0"/>
    <s v="Thematic"/>
    <x v="0"/>
    <s v="NHWGR"/>
    <x v="2"/>
    <s v="Non-significant benchmark"/>
    <n v="0"/>
    <n v="0"/>
    <n v="0"/>
    <n v="0"/>
    <n v="0"/>
    <n v="0"/>
    <x v="0"/>
    <x v="1"/>
    <n v="0"/>
    <s v=""/>
    <e v="#N/A"/>
  </r>
  <r>
    <x v="553"/>
    <x v="112"/>
    <s v="FRESG0000942"/>
    <x v="0"/>
    <s v="Thematic"/>
    <x v="0"/>
    <s v="NHWNR"/>
    <x v="2"/>
    <s v="Non-significant benchmark"/>
    <n v="0"/>
    <n v="0"/>
    <n v="0"/>
    <n v="0"/>
    <n v="0"/>
    <n v="0"/>
    <x v="0"/>
    <x v="1"/>
    <n v="0"/>
    <s v=""/>
    <e v="#N/A"/>
  </r>
  <r>
    <x v="554"/>
    <x v="113"/>
    <s v="FRESG0000967"/>
    <x v="0"/>
    <s v="Thematic"/>
    <x v="0"/>
    <s v="NW3WP"/>
    <x v="2"/>
    <s v="Non-significant benchmark"/>
    <n v="0"/>
    <n v="0"/>
    <n v="0"/>
    <n v="0"/>
    <n v="0"/>
    <n v="0"/>
    <x v="0"/>
    <x v="1"/>
    <n v="0"/>
    <s v=""/>
    <e v="#N/A"/>
  </r>
  <r>
    <x v="555"/>
    <x v="113"/>
    <s v="FRESG0000983"/>
    <x v="0"/>
    <s v="Thematic"/>
    <x v="0"/>
    <s v="NW3WG"/>
    <x v="2"/>
    <s v="Non-significant benchmark"/>
    <n v="0"/>
    <n v="0"/>
    <n v="0"/>
    <n v="0"/>
    <n v="0"/>
    <n v="0"/>
    <x v="0"/>
    <x v="1"/>
    <n v="0"/>
    <s v=""/>
    <e v="#N/A"/>
  </r>
  <r>
    <x v="556"/>
    <x v="113"/>
    <s v="FRESG0000975"/>
    <x v="0"/>
    <s v="Thematic"/>
    <x v="0"/>
    <s v="NW3WN"/>
    <x v="2"/>
    <s v="Non-significant benchmark"/>
    <n v="0"/>
    <n v="0"/>
    <n v="0"/>
    <n v="0"/>
    <n v="0"/>
    <n v="0"/>
    <x v="0"/>
    <x v="1"/>
    <n v="0"/>
    <s v=""/>
    <e v="#N/A"/>
  </r>
  <r>
    <x v="557"/>
    <x v="114"/>
    <s v="NL0015436114"/>
    <x v="0"/>
    <s v="International"/>
    <x v="0"/>
    <s v="NA500"/>
    <x v="0"/>
    <s v="Non-significant benchmark"/>
    <n v="0"/>
    <n v="0"/>
    <n v="0"/>
    <n v="0"/>
    <n v="0"/>
    <n v="0"/>
    <x v="0"/>
    <x v="1"/>
    <n v="0"/>
    <s v=""/>
    <s v="NA500"/>
  </r>
  <r>
    <x v="558"/>
    <x v="114"/>
    <s v="NL0015436130"/>
    <x v="0"/>
    <s v="International"/>
    <x v="0"/>
    <s v="NA5GR"/>
    <x v="0"/>
    <s v="Non-significant benchmark"/>
    <n v="0"/>
    <n v="0"/>
    <n v="0"/>
    <n v="0"/>
    <n v="0"/>
    <n v="0"/>
    <x v="0"/>
    <x v="1"/>
    <n v="0"/>
    <s v=""/>
    <s v="NA500"/>
  </r>
  <r>
    <x v="559"/>
    <x v="114"/>
    <s v="NL0015436122"/>
    <x v="0"/>
    <s v="International"/>
    <x v="0"/>
    <s v="NA5NR"/>
    <x v="0"/>
    <s v="Non-significant benchmark"/>
    <n v="0"/>
    <n v="0"/>
    <n v="0"/>
    <n v="0"/>
    <n v="0"/>
    <n v="0"/>
    <x v="0"/>
    <x v="1"/>
    <n v="0"/>
    <s v=""/>
    <s v="NA500"/>
  </r>
  <r>
    <x v="560"/>
    <x v="115"/>
    <s v="FRESG0000777"/>
    <x v="1"/>
    <s v="Water"/>
    <x v="1"/>
    <s v="PIWEP"/>
    <x v="2"/>
    <s v="Non-significant benchmark"/>
    <n v="0"/>
    <n v="0"/>
    <n v="0"/>
    <n v="0"/>
    <n v="0"/>
    <n v="0"/>
    <x v="0"/>
    <x v="1"/>
    <n v="0"/>
    <s v=""/>
    <s v="PIWEP"/>
  </r>
  <r>
    <x v="561"/>
    <x v="115"/>
    <s v="FRESG0000793"/>
    <x v="1"/>
    <s v="Water"/>
    <x v="1"/>
    <s v="PIWEG"/>
    <x v="2"/>
    <s v="Non-significant benchmark"/>
    <n v="0"/>
    <n v="0"/>
    <n v="0"/>
    <n v="0"/>
    <n v="0"/>
    <n v="0"/>
    <x v="0"/>
    <x v="1"/>
    <n v="0"/>
    <s v=""/>
    <s v="PIWEP"/>
  </r>
  <r>
    <x v="562"/>
    <x v="115"/>
    <s v="FRESG0000785"/>
    <x v="1"/>
    <s v="Water"/>
    <x v="1"/>
    <s v="PIWEN"/>
    <x v="2"/>
    <s v="Non-significant benchmark"/>
    <n v="0"/>
    <n v="0"/>
    <n v="0"/>
    <n v="0"/>
    <n v="0"/>
    <n v="0"/>
    <x v="0"/>
    <x v="1"/>
    <n v="0"/>
    <s v=""/>
    <s v="PIWEP"/>
  </r>
  <r>
    <x v="563"/>
    <x v="116"/>
    <s v="FRESG0000801"/>
    <x v="1"/>
    <s v="Water"/>
    <x v="1"/>
    <s v="PIWWP"/>
    <x v="2"/>
    <s v="Non-significant benchmark"/>
    <n v="0"/>
    <n v="0"/>
    <n v="0"/>
    <n v="0"/>
    <n v="0"/>
    <n v="0"/>
    <x v="0"/>
    <x v="1"/>
    <n v="0"/>
    <s v=""/>
    <s v="PIWWP"/>
  </r>
  <r>
    <x v="564"/>
    <x v="116"/>
    <s v="FRESG0000827"/>
    <x v="1"/>
    <s v="Water"/>
    <x v="1"/>
    <s v="PIWWG"/>
    <x v="2"/>
    <s v="Non-significant benchmark"/>
    <n v="0"/>
    <n v="0"/>
    <n v="0"/>
    <n v="0"/>
    <n v="0"/>
    <n v="0"/>
    <x v="0"/>
    <x v="1"/>
    <n v="0"/>
    <s v=""/>
    <s v="PIWWP"/>
  </r>
  <r>
    <x v="565"/>
    <x v="116"/>
    <s v="FRESG0000819"/>
    <x v="1"/>
    <s v="Water"/>
    <x v="1"/>
    <s v="PIWWN"/>
    <x v="2"/>
    <s v="Non-significant benchmark"/>
    <n v="0"/>
    <n v="0"/>
    <n v="0"/>
    <n v="0"/>
    <n v="0"/>
    <n v="0"/>
    <x v="0"/>
    <x v="1"/>
    <n v="0"/>
    <s v=""/>
    <s v="PIWWP"/>
  </r>
  <r>
    <x v="566"/>
    <x v="117"/>
    <s v="NL0012645253"/>
    <x v="0"/>
    <s v="International"/>
    <x v="0"/>
    <s v="ERGBD"/>
    <x v="2"/>
    <s v="Non-significant benchmark"/>
    <n v="0"/>
    <n v="0"/>
    <n v="0"/>
    <n v="0"/>
    <n v="0"/>
    <n v="0"/>
    <x v="0"/>
    <x v="1"/>
    <n v="0"/>
    <s v=""/>
    <s v="ERGBP"/>
  </r>
  <r>
    <x v="567"/>
    <x v="117"/>
    <s v="NL0012645220"/>
    <x v="0"/>
    <s v="International"/>
    <x v="0"/>
    <s v="ERGCD"/>
    <x v="2"/>
    <s v="Non-significant benchmark"/>
    <n v="88.801788999999999"/>
    <n v="0"/>
    <n v="0"/>
    <n v="0"/>
    <n v="0"/>
    <n v="0"/>
    <x v="95"/>
    <x v="1"/>
    <n v="0"/>
    <s v=""/>
    <s v="ERGCP"/>
  </r>
  <r>
    <x v="568"/>
    <x v="117"/>
    <s v="NL0012645238"/>
    <x v="0"/>
    <s v="International"/>
    <x v="0"/>
    <s v="ERGBP"/>
    <x v="2"/>
    <s v="Non-significant benchmark"/>
    <n v="17974689.25"/>
    <n v="38188000"/>
    <n v="0"/>
    <n v="0"/>
    <n v="0"/>
    <n v="0"/>
    <x v="96"/>
    <x v="1"/>
    <n v="38188000"/>
    <n v="-0.52931053603226141"/>
    <s v="ERGBP"/>
  </r>
  <r>
    <x v="569"/>
    <x v="117"/>
    <s v="NL0012645246"/>
    <x v="0"/>
    <s v="International"/>
    <x v="0"/>
    <s v="ERGBN"/>
    <x v="2"/>
    <s v="Non-significant benchmark"/>
    <n v="0"/>
    <n v="0"/>
    <n v="0"/>
    <n v="0"/>
    <n v="0"/>
    <n v="0"/>
    <x v="0"/>
    <x v="1"/>
    <n v="0"/>
    <s v=""/>
    <s v="ERGBP"/>
  </r>
  <r>
    <x v="570"/>
    <x v="117"/>
    <s v="NL0012747018"/>
    <x v="0"/>
    <s v="International"/>
    <x v="0"/>
    <s v="GB10C"/>
    <x v="2"/>
    <s v="Non-significant benchmark"/>
    <n v="0"/>
    <n v="0"/>
    <n v="0"/>
    <n v="0"/>
    <n v="0"/>
    <n v="0"/>
    <x v="0"/>
    <x v="1"/>
    <n v="0"/>
    <s v=""/>
    <e v="#N/A"/>
  </r>
  <r>
    <x v="571"/>
    <x v="117"/>
    <s v="NL0012747026"/>
    <x v="0"/>
    <s v="International"/>
    <x v="0"/>
    <s v="GB10D"/>
    <x v="2"/>
    <s v="Non-significant benchmark"/>
    <n v="0"/>
    <n v="0"/>
    <n v="0"/>
    <n v="0"/>
    <n v="0"/>
    <n v="0"/>
    <x v="0"/>
    <x v="1"/>
    <n v="0"/>
    <s v=""/>
    <e v="#N/A"/>
  </r>
  <r>
    <x v="572"/>
    <x v="117"/>
    <s v="NL0012747034"/>
    <x v="0"/>
    <s v="International"/>
    <x v="0"/>
    <s v="GB12C"/>
    <x v="2"/>
    <s v="Non-significant benchmark"/>
    <n v="0"/>
    <n v="0"/>
    <n v="0"/>
    <n v="0"/>
    <n v="0"/>
    <n v="0"/>
    <x v="0"/>
    <x v="1"/>
    <n v="0"/>
    <s v=""/>
    <e v="#N/A"/>
  </r>
  <r>
    <x v="573"/>
    <x v="117"/>
    <s v="NL0012747042"/>
    <x v="0"/>
    <s v="International"/>
    <x v="0"/>
    <s v="GB12D"/>
    <x v="2"/>
    <s v="Non-significant benchmark"/>
    <n v="0"/>
    <n v="0"/>
    <n v="0"/>
    <n v="0"/>
    <n v="0"/>
    <n v="0"/>
    <x v="0"/>
    <x v="1"/>
    <n v="0"/>
    <s v=""/>
    <e v="#N/A"/>
  </r>
  <r>
    <x v="574"/>
    <x v="117"/>
    <s v="NL0012645204"/>
    <x v="0"/>
    <s v="International"/>
    <x v="0"/>
    <s v="ERGCP"/>
    <x v="2"/>
    <s v="Non-significant benchmark"/>
    <n v="0"/>
    <n v="0"/>
    <n v="0"/>
    <n v="0"/>
    <n v="0"/>
    <n v="0"/>
    <x v="0"/>
    <x v="1"/>
    <n v="0"/>
    <s v=""/>
    <s v="ERGCP"/>
  </r>
  <r>
    <x v="575"/>
    <x v="117"/>
    <s v="NL0012645212"/>
    <x v="0"/>
    <s v="International"/>
    <x v="0"/>
    <s v="ERGCN"/>
    <x v="2"/>
    <s v="Non-significant benchmark"/>
    <n v="0"/>
    <n v="0"/>
    <n v="0"/>
    <n v="0"/>
    <n v="0"/>
    <n v="0"/>
    <x v="0"/>
    <x v="1"/>
    <n v="0"/>
    <s v=""/>
    <s v="ERGCP"/>
  </r>
  <r>
    <x v="576"/>
    <x v="118"/>
    <s v="NL0012838809"/>
    <x v="1"/>
    <s v="Broad ESG"/>
    <x v="1"/>
    <s v="ERGSP"/>
    <x v="2"/>
    <s v="Non-significant benchmark"/>
    <n v="23295721"/>
    <n v="355813953.48799998"/>
    <n v="0"/>
    <n v="0"/>
    <n v="0"/>
    <n v="0"/>
    <x v="97"/>
    <x v="1"/>
    <n v="355813953.48799998"/>
    <n v="-0.934528365816925"/>
    <s v="ERGSP"/>
  </r>
  <r>
    <x v="577"/>
    <x v="118"/>
    <s v="NL0012939078"/>
    <x v="1"/>
    <s v="Broad ESG"/>
    <x v="1"/>
    <s v="ERGSD"/>
    <x v="2"/>
    <s v="Non-significant benchmark"/>
    <n v="25877930.300000001"/>
    <n v="0"/>
    <n v="2017038.9684000001"/>
    <n v="0"/>
    <n v="0"/>
    <n v="0"/>
    <x v="98"/>
    <x v="1"/>
    <n v="0"/>
    <s v=""/>
    <s v="ERGSP"/>
  </r>
  <r>
    <x v="578"/>
    <x v="118"/>
    <s v="NL0012939060"/>
    <x v="1"/>
    <s v="Broad ESG"/>
    <x v="1"/>
    <s v="ERGSN"/>
    <x v="2"/>
    <s v="Non-significant benchmark"/>
    <n v="0"/>
    <n v="0"/>
    <n v="0"/>
    <n v="0"/>
    <n v="0"/>
    <n v="0"/>
    <x v="0"/>
    <x v="1"/>
    <n v="0"/>
    <s v=""/>
    <s v="ERGSP"/>
  </r>
  <r>
    <x v="579"/>
    <x v="119"/>
    <s v="NL0013217730"/>
    <x v="1"/>
    <s v="Broad ESG"/>
    <x v="1"/>
    <s v="ERI5P"/>
    <x v="2"/>
    <s v="Non-significant benchmark"/>
    <n v="0"/>
    <n v="0"/>
    <n v="0"/>
    <n v="0"/>
    <n v="0"/>
    <n v="0"/>
    <x v="0"/>
    <x v="1"/>
    <n v="0"/>
    <s v=""/>
    <s v="ERI5P"/>
  </r>
  <r>
    <x v="580"/>
    <x v="119"/>
    <s v="NL0013217763"/>
    <x v="1"/>
    <s v="Broad ESG"/>
    <x v="1"/>
    <s v="ERI5E"/>
    <x v="2"/>
    <s v="Non-significant benchmark"/>
    <n v="0"/>
    <n v="0"/>
    <n v="0"/>
    <n v="0"/>
    <n v="0"/>
    <n v="0"/>
    <x v="0"/>
    <x v="1"/>
    <n v="0"/>
    <s v=""/>
    <s v="ERI5P"/>
  </r>
  <r>
    <x v="581"/>
    <x v="119"/>
    <s v="NL0013217755"/>
    <x v="1"/>
    <s v="Broad ESG"/>
    <x v="1"/>
    <s v="ERI5G"/>
    <x v="2"/>
    <s v="Non-significant benchmark"/>
    <n v="0"/>
    <n v="0"/>
    <n v="0"/>
    <n v="0"/>
    <n v="0"/>
    <n v="0"/>
    <x v="0"/>
    <x v="1"/>
    <n v="0"/>
    <s v=""/>
    <s v="ERI5P"/>
  </r>
  <r>
    <x v="582"/>
    <x v="119"/>
    <s v="NL0013217748"/>
    <x v="1"/>
    <s v="Broad ESG"/>
    <x v="1"/>
    <s v="ERI5N"/>
    <x v="2"/>
    <s v="Non-significant benchmark"/>
    <n v="0"/>
    <n v="0"/>
    <n v="0"/>
    <n v="0"/>
    <n v="0"/>
    <n v="0"/>
    <x v="0"/>
    <x v="1"/>
    <n v="0"/>
    <s v=""/>
    <s v="ERI5P"/>
  </r>
  <r>
    <x v="583"/>
    <x v="120"/>
    <s v="FRIX00000516"/>
    <x v="0"/>
    <s v="Single Stock"/>
    <x v="0"/>
    <s v="SBBG"/>
    <x v="2"/>
    <s v="Non-significant benchmark"/>
    <n v="0"/>
    <n v="0"/>
    <n v="0"/>
    <n v="0"/>
    <n v="0"/>
    <n v="0"/>
    <x v="0"/>
    <x v="1"/>
    <n v="0"/>
    <s v=""/>
    <n v="0"/>
  </r>
  <r>
    <x v="584"/>
    <x v="120"/>
    <s v="FRIX00000524"/>
    <x v="0"/>
    <s v="Single Stock"/>
    <x v="0"/>
    <s v="SBBD"/>
    <x v="2"/>
    <s v="Non-significant benchmark"/>
    <n v="0"/>
    <n v="0"/>
    <n v="0"/>
    <n v="0"/>
    <n v="0"/>
    <n v="0"/>
    <x v="0"/>
    <x v="1"/>
    <n v="0"/>
    <s v=""/>
    <n v="0"/>
  </r>
  <r>
    <x v="585"/>
    <x v="120"/>
    <s v="FRIX00000508"/>
    <x v="0"/>
    <s v="Single Stock"/>
    <x v="0"/>
    <s v="SBBP"/>
    <x v="2"/>
    <s v="Non-significant benchmark"/>
    <n v="0"/>
    <n v="0"/>
    <n v="0"/>
    <n v="0"/>
    <n v="0"/>
    <n v="0"/>
    <x v="0"/>
    <x v="1"/>
    <n v="0"/>
    <s v=""/>
    <n v="0"/>
  </r>
  <r>
    <x v="586"/>
    <x v="120"/>
    <s v="FRIX00000458"/>
    <x v="0"/>
    <s v="Single Stock"/>
    <x v="0"/>
    <s v="SBENG"/>
    <x v="2"/>
    <s v="Non-significant benchmark"/>
    <n v="0"/>
    <n v="0"/>
    <n v="0"/>
    <n v="0"/>
    <n v="0"/>
    <n v="0"/>
    <x v="0"/>
    <x v="1"/>
    <n v="0"/>
    <s v=""/>
    <n v="0"/>
  </r>
  <r>
    <x v="587"/>
    <x v="120"/>
    <s v="FRIX00000466"/>
    <x v="0"/>
    <s v="Single Stock"/>
    <x v="0"/>
    <s v="SBEND"/>
    <x v="2"/>
    <s v="Non-significant benchmark"/>
    <n v="0"/>
    <n v="0"/>
    <n v="0"/>
    <n v="0"/>
    <n v="0"/>
    <n v="0"/>
    <x v="0"/>
    <x v="1"/>
    <n v="0"/>
    <s v=""/>
    <n v="0"/>
  </r>
  <r>
    <x v="588"/>
    <x v="120"/>
    <s v="FRIX00000441"/>
    <x v="0"/>
    <s v="Single Stock"/>
    <x v="0"/>
    <s v="SBENP"/>
    <x v="2"/>
    <s v="Non-significant benchmark"/>
    <n v="0"/>
    <n v="0"/>
    <n v="0"/>
    <n v="0"/>
    <n v="0"/>
    <n v="0"/>
    <x v="0"/>
    <x v="1"/>
    <n v="0"/>
    <s v=""/>
    <n v="0"/>
  </r>
  <r>
    <x v="589"/>
    <x v="120"/>
    <s v="FRIX00000482"/>
    <x v="0"/>
    <s v="Single Stock"/>
    <x v="0"/>
    <s v="SBO1G"/>
    <x v="2"/>
    <s v="Non-significant benchmark"/>
    <n v="0"/>
    <n v="0"/>
    <n v="0"/>
    <n v="0"/>
    <n v="0"/>
    <n v="0"/>
    <x v="0"/>
    <x v="1"/>
    <n v="0"/>
    <s v=""/>
    <n v="0"/>
  </r>
  <r>
    <x v="590"/>
    <x v="120"/>
    <s v="FRIX00000490"/>
    <x v="0"/>
    <s v="Single Stock"/>
    <x v="0"/>
    <s v="SBO1D"/>
    <x v="2"/>
    <s v="Non-significant benchmark"/>
    <n v="0"/>
    <n v="0"/>
    <n v="0"/>
    <n v="0"/>
    <n v="0"/>
    <n v="0"/>
    <x v="0"/>
    <x v="1"/>
    <n v="0"/>
    <s v=""/>
    <n v="0"/>
  </r>
  <r>
    <x v="591"/>
    <x v="120"/>
    <s v="FRIX00000474"/>
    <x v="0"/>
    <s v="Single Stock"/>
    <x v="0"/>
    <s v="SBO1P"/>
    <x v="2"/>
    <s v="Non-significant benchmark"/>
    <n v="0"/>
    <n v="0"/>
    <n v="0"/>
    <n v="0"/>
    <n v="0"/>
    <n v="0"/>
    <x v="0"/>
    <x v="1"/>
    <n v="0"/>
    <s v=""/>
    <n v="0"/>
  </r>
  <r>
    <x v="592"/>
    <x v="120"/>
    <s v="FRIX00000367"/>
    <x v="0"/>
    <s v="Single Stock"/>
    <x v="0"/>
    <s v="SCS1G"/>
    <x v="2"/>
    <s v="Non-significant benchmark"/>
    <n v="0"/>
    <n v="0"/>
    <n v="0"/>
    <n v="0"/>
    <n v="0"/>
    <n v="0"/>
    <x v="0"/>
    <x v="1"/>
    <n v="0"/>
    <s v=""/>
    <n v="0"/>
  </r>
  <r>
    <x v="593"/>
    <x v="120"/>
    <s v="FRIX00000375"/>
    <x v="0"/>
    <s v="Single Stock"/>
    <x v="0"/>
    <s v="SCS1D"/>
    <x v="2"/>
    <s v="Non-significant benchmark"/>
    <n v="0"/>
    <n v="0"/>
    <n v="0"/>
    <n v="0"/>
    <n v="0"/>
    <n v="0"/>
    <x v="0"/>
    <x v="1"/>
    <n v="0"/>
    <s v=""/>
    <n v="0"/>
  </r>
  <r>
    <x v="594"/>
    <x v="120"/>
    <s v="FRIX00000359"/>
    <x v="0"/>
    <s v="Single Stock"/>
    <x v="0"/>
    <s v="SCS1P"/>
    <x v="2"/>
    <s v="Non-significant benchmark"/>
    <n v="0"/>
    <n v="0"/>
    <n v="0"/>
    <n v="0"/>
    <n v="0"/>
    <n v="0"/>
    <x v="0"/>
    <x v="1"/>
    <n v="0"/>
    <s v=""/>
    <n v="0"/>
  </r>
  <r>
    <x v="595"/>
    <x v="120"/>
    <s v="FRIX00000219"/>
    <x v="0"/>
    <s v="Single Stock"/>
    <x v="0"/>
    <s v="SGA1G"/>
    <x v="2"/>
    <s v="Non-significant benchmark"/>
    <n v="0"/>
    <n v="0"/>
    <n v="0"/>
    <n v="0"/>
    <n v="0"/>
    <n v="0"/>
    <x v="0"/>
    <x v="1"/>
    <n v="0"/>
    <s v=""/>
    <n v="0"/>
  </r>
  <r>
    <x v="596"/>
    <x v="120"/>
    <s v="FRIX00000227"/>
    <x v="0"/>
    <s v="Single Stock"/>
    <x v="0"/>
    <s v="SGA1D"/>
    <x v="2"/>
    <s v="Non-significant benchmark"/>
    <n v="559137.69999999995"/>
    <n v="0"/>
    <n v="4973520.7439999999"/>
    <n v="0"/>
    <n v="0"/>
    <n v="0"/>
    <x v="99"/>
    <x v="1"/>
    <n v="3060422.4583000001"/>
    <n v="0.62510921670686126"/>
    <n v="0"/>
  </r>
  <r>
    <x v="597"/>
    <x v="120"/>
    <s v="FRIX00000201"/>
    <x v="0"/>
    <s v="Single Stock"/>
    <x v="0"/>
    <s v="SGA1P"/>
    <x v="2"/>
    <s v="Non-significant benchmark"/>
    <n v="0"/>
    <n v="0"/>
    <n v="0"/>
    <n v="0"/>
    <n v="0"/>
    <n v="0"/>
    <x v="0"/>
    <x v="1"/>
    <n v="0"/>
    <s v=""/>
    <n v="0"/>
  </r>
  <r>
    <x v="598"/>
    <x v="120"/>
    <s v="FRIX00000276"/>
    <x v="0"/>
    <s v="Single Stock"/>
    <x v="0"/>
    <s v="SGB2G"/>
    <x v="2"/>
    <s v="Non-significant benchmark"/>
    <n v="0"/>
    <n v="0"/>
    <n v="0"/>
    <n v="0"/>
    <n v="0"/>
    <n v="0"/>
    <x v="0"/>
    <x v="1"/>
    <n v="0"/>
    <s v=""/>
    <n v="0"/>
  </r>
  <r>
    <x v="599"/>
    <x v="120"/>
    <s v="FRIX00000243"/>
    <x v="0"/>
    <s v="Single Stock"/>
    <x v="0"/>
    <s v="SGB1G"/>
    <x v="2"/>
    <s v="Non-significant benchmark"/>
    <n v="0"/>
    <n v="0"/>
    <n v="0"/>
    <n v="0"/>
    <n v="0"/>
    <n v="0"/>
    <x v="0"/>
    <x v="1"/>
    <n v="0"/>
    <s v=""/>
    <n v="0"/>
  </r>
  <r>
    <x v="600"/>
    <x v="120"/>
    <s v="FRIX00000284"/>
    <x v="0"/>
    <s v="Single Stock"/>
    <x v="0"/>
    <s v="SGB2D"/>
    <x v="2"/>
    <s v="Non-significant benchmark"/>
    <n v="3525015.3997670002"/>
    <n v="90000000"/>
    <n v="22390053.571600001"/>
    <n v="0"/>
    <n v="0"/>
    <n v="0"/>
    <x v="100"/>
    <x v="1"/>
    <n v="125000000"/>
    <n v="-0.82087957142720003"/>
    <n v="0"/>
  </r>
  <r>
    <x v="601"/>
    <x v="120"/>
    <s v="FRIX00000250"/>
    <x v="0"/>
    <s v="Single Stock"/>
    <x v="0"/>
    <s v="SGB1D"/>
    <x v="2"/>
    <s v="Non-significant benchmark"/>
    <n v="1963827.5"/>
    <n v="35000000"/>
    <n v="25153120.6516"/>
    <n v="0"/>
    <n v="0"/>
    <n v="0"/>
    <x v="101"/>
    <x v="1"/>
    <n v="155000000"/>
    <n v="-0.83772180224774195"/>
    <n v="0"/>
  </r>
  <r>
    <x v="602"/>
    <x v="120"/>
    <s v="FRIX00000268"/>
    <x v="0"/>
    <s v="Single Stock"/>
    <x v="0"/>
    <s v="SGB2P"/>
    <x v="2"/>
    <s v="Non-significant benchmark"/>
    <n v="0"/>
    <n v="0"/>
    <n v="0"/>
    <n v="0"/>
    <n v="0"/>
    <n v="0"/>
    <x v="0"/>
    <x v="1"/>
    <n v="0"/>
    <s v=""/>
    <n v="0"/>
  </r>
  <r>
    <x v="603"/>
    <x v="120"/>
    <s v="FRIX00000235"/>
    <x v="0"/>
    <s v="Single Stock"/>
    <x v="0"/>
    <s v="SGB1P"/>
    <x v="2"/>
    <s v="Non-significant benchmark"/>
    <n v="0"/>
    <n v="0"/>
    <n v="0"/>
    <n v="0"/>
    <n v="0"/>
    <n v="0"/>
    <x v="0"/>
    <x v="1"/>
    <n v="0"/>
    <s v=""/>
    <n v="0"/>
  </r>
  <r>
    <x v="604"/>
    <x v="120"/>
    <s v="FRIX00002421"/>
    <x v="0"/>
    <s v="Single Stock"/>
    <x v="0"/>
    <s v="SGB4D"/>
    <x v="2"/>
    <s v="Non-significant benchmark"/>
    <n v="29863515.700463999"/>
    <n v="360000000"/>
    <n v="59930924.965199992"/>
    <n v="0"/>
    <n v="0"/>
    <n v="0"/>
    <x v="102"/>
    <x v="1"/>
    <m/>
    <m/>
    <m/>
  </r>
  <r>
    <x v="605"/>
    <x v="120"/>
    <s v="FRIX00002488"/>
    <x v="0"/>
    <s v="Single Stock"/>
    <x v="0"/>
    <s v="SGB5D"/>
    <x v="2"/>
    <s v="Non-significant benchmark"/>
    <n v="7440312.5"/>
    <n v="155000000"/>
    <n v="38213217.716400005"/>
    <m/>
    <m/>
    <m/>
    <x v="31"/>
    <x v="3"/>
    <m/>
    <m/>
    <m/>
  </r>
  <r>
    <x v="606"/>
    <x v="120"/>
    <s v="FRIX00000177"/>
    <x v="0"/>
    <s v="Single Stock"/>
    <x v="0"/>
    <s v="SGBG"/>
    <x v="2"/>
    <s v="Non-significant benchmark"/>
    <n v="0"/>
    <n v="0"/>
    <n v="0"/>
    <n v="0"/>
    <n v="0"/>
    <n v="0"/>
    <x v="0"/>
    <x v="1"/>
    <n v="0"/>
    <s v=""/>
    <n v="0"/>
  </r>
  <r>
    <x v="607"/>
    <x v="120"/>
    <s v="FRIX00000185"/>
    <x v="0"/>
    <s v="Single Stock"/>
    <x v="0"/>
    <s v="SGBD"/>
    <x v="2"/>
    <s v="Non-significant benchmark"/>
    <n v="187700"/>
    <n v="30000000"/>
    <n v="3030163.5644"/>
    <n v="0"/>
    <n v="0"/>
    <n v="0"/>
    <x v="103"/>
    <x v="1"/>
    <n v="30000000"/>
    <n v="-0.89899454785333333"/>
    <n v="0"/>
  </r>
  <r>
    <x v="608"/>
    <x v="120"/>
    <s v="FRIX00000169"/>
    <x v="0"/>
    <s v="Single Stock"/>
    <x v="0"/>
    <s v="SGBP"/>
    <x v="2"/>
    <s v="Non-significant benchmark"/>
    <n v="0"/>
    <n v="0"/>
    <n v="0"/>
    <n v="0"/>
    <n v="0"/>
    <n v="0"/>
    <x v="0"/>
    <x v="1"/>
    <n v="0"/>
    <s v=""/>
    <n v="0"/>
  </r>
  <r>
    <x v="609"/>
    <x v="120"/>
    <s v="FRIX00000573"/>
    <x v="0"/>
    <s v="Single Stock"/>
    <x v="0"/>
    <s v="SGCAG"/>
    <x v="2"/>
    <s v="Non-significant benchmark"/>
    <n v="0"/>
    <n v="0"/>
    <n v="0"/>
    <n v="0"/>
    <n v="0"/>
    <n v="0"/>
    <x v="0"/>
    <x v="1"/>
    <n v="0"/>
    <s v=""/>
    <n v="0"/>
  </r>
  <r>
    <x v="610"/>
    <x v="120"/>
    <s v="FRIX00000581"/>
    <x v="0"/>
    <s v="Single Stock"/>
    <x v="0"/>
    <s v="SGCAD"/>
    <x v="2"/>
    <s v="Non-significant benchmark"/>
    <n v="40044619.100000001"/>
    <n v="15000000"/>
    <n v="102215061.51280001"/>
    <n v="0"/>
    <n v="0"/>
    <n v="0"/>
    <x v="104"/>
    <x v="1"/>
    <n v="54800978.581100002"/>
    <n v="0.86520504121166142"/>
    <n v="0"/>
  </r>
  <r>
    <x v="611"/>
    <x v="120"/>
    <s v="FRIX00000565"/>
    <x v="0"/>
    <s v="Single Stock"/>
    <x v="0"/>
    <s v="SGCAP"/>
    <x v="2"/>
    <s v="Non-significant benchmark"/>
    <n v="0"/>
    <n v="600000000"/>
    <n v="0"/>
    <n v="0"/>
    <n v="0"/>
    <n v="0"/>
    <x v="105"/>
    <x v="1"/>
    <n v="460000000"/>
    <n v="0.30434782608695654"/>
    <n v="0"/>
  </r>
  <r>
    <x v="612"/>
    <x v="120"/>
    <s v="FRIX00001019"/>
    <x v="0"/>
    <s v="Single Stock"/>
    <x v="0"/>
    <s v="SGC1G"/>
    <x v="2"/>
    <s v="Non-significant benchmark"/>
    <n v="0"/>
    <n v="0"/>
    <n v="0"/>
    <n v="0"/>
    <n v="0"/>
    <n v="0"/>
    <x v="0"/>
    <x v="1"/>
    <n v="0"/>
    <s v=""/>
    <n v="0"/>
  </r>
  <r>
    <x v="613"/>
    <x v="120"/>
    <s v="FRIX00001027"/>
    <x v="0"/>
    <s v="Single Stock"/>
    <x v="0"/>
    <s v="SGC1D"/>
    <x v="2"/>
    <s v="Non-significant benchmark"/>
    <n v="32313528.788723998"/>
    <n v="85000000"/>
    <n v="76444855.88000001"/>
    <n v="0"/>
    <n v="0"/>
    <n v="0"/>
    <x v="106"/>
    <x v="1"/>
    <n v="250000000"/>
    <n v="-0.69422057648000002"/>
    <n v="0"/>
  </r>
  <r>
    <x v="614"/>
    <x v="120"/>
    <s v="FRIX00001001"/>
    <x v="0"/>
    <s v="Single Stock"/>
    <x v="0"/>
    <s v="SGC1P"/>
    <x v="2"/>
    <s v="Non-significant benchmark"/>
    <n v="0"/>
    <n v="0"/>
    <n v="0"/>
    <n v="0"/>
    <n v="0"/>
    <n v="0"/>
    <x v="0"/>
    <x v="1"/>
    <n v="0"/>
    <s v=""/>
    <n v="0"/>
  </r>
  <r>
    <x v="615"/>
    <x v="120"/>
    <s v="FRIX00002546"/>
    <x v="0"/>
    <s v="Single Stock"/>
    <x v="0"/>
    <s v="SGA4D"/>
    <x v="2"/>
    <s v="Non-significant benchmark"/>
    <n v="187884319.36952901"/>
    <n v="1205000000"/>
    <n v="283656466.43279999"/>
    <n v="0"/>
    <n v="0"/>
    <n v="0"/>
    <x v="107"/>
    <x v="1"/>
    <n v="1"/>
    <n v="283656465.43279999"/>
    <m/>
  </r>
  <r>
    <x v="616"/>
    <x v="120"/>
    <s v="FRIX00000433"/>
    <x v="0"/>
    <e v="#N/A"/>
    <x v="0"/>
    <s v="SGE2D"/>
    <x v="2"/>
    <s v="Non-significant benchmark"/>
    <n v="0"/>
    <n v="0"/>
    <n v="0"/>
    <n v="0"/>
    <n v="0"/>
    <n v="0"/>
    <x v="0"/>
    <x v="2"/>
    <n v="0"/>
    <s v=""/>
    <n v="0"/>
  </r>
  <r>
    <x v="617"/>
    <x v="120"/>
    <s v="FRIX00000425"/>
    <x v="0"/>
    <e v="#N/A"/>
    <x v="0"/>
    <s v="SGE2G"/>
    <x v="2"/>
    <s v="Non-significant benchmark"/>
    <n v="0"/>
    <n v="0"/>
    <n v="0"/>
    <n v="0"/>
    <n v="0"/>
    <n v="0"/>
    <x v="0"/>
    <x v="2"/>
    <n v="0"/>
    <s v=""/>
    <n v="0"/>
  </r>
  <r>
    <x v="618"/>
    <x v="120"/>
    <s v="FRIX00000417"/>
    <x v="0"/>
    <e v="#N/A"/>
    <x v="0"/>
    <s v="SGE2P"/>
    <x v="2"/>
    <s v="Non-significant benchmark"/>
    <n v="0"/>
    <n v="0"/>
    <n v="0"/>
    <n v="0"/>
    <n v="0"/>
    <n v="0"/>
    <x v="0"/>
    <x v="2"/>
    <n v="0"/>
    <s v=""/>
    <n v="0"/>
  </r>
  <r>
    <x v="619"/>
    <x v="120"/>
    <s v="FRIX00000300"/>
    <x v="0"/>
    <e v="#N/A"/>
    <x v="0"/>
    <s v="SGE1G"/>
    <x v="2"/>
    <s v="Non-significant benchmark"/>
    <n v="0"/>
    <n v="0"/>
    <n v="0"/>
    <n v="0"/>
    <n v="0"/>
    <n v="0"/>
    <x v="0"/>
    <x v="2"/>
    <n v="0"/>
    <s v=""/>
    <n v="0"/>
  </r>
  <r>
    <x v="620"/>
    <x v="120"/>
    <s v="FRIX00000318"/>
    <x v="0"/>
    <e v="#N/A"/>
    <x v="0"/>
    <s v="SGE1D"/>
    <x v="2"/>
    <s v="Non-significant benchmark"/>
    <n v="0"/>
    <n v="0"/>
    <n v="0"/>
    <n v="0"/>
    <n v="0"/>
    <n v="0"/>
    <x v="0"/>
    <x v="2"/>
    <n v="0"/>
    <s v=""/>
    <n v="0"/>
  </r>
  <r>
    <x v="621"/>
    <x v="120"/>
    <s v="FRIX00000292"/>
    <x v="0"/>
    <e v="#N/A"/>
    <x v="0"/>
    <s v="SGE1P"/>
    <x v="2"/>
    <s v="Non-significant benchmark"/>
    <n v="0"/>
    <n v="0"/>
    <n v="0"/>
    <n v="0"/>
    <n v="0"/>
    <n v="0"/>
    <x v="0"/>
    <x v="2"/>
    <n v="0"/>
    <s v=""/>
    <n v="0"/>
  </r>
  <r>
    <x v="622"/>
    <x v="120"/>
    <s v="FRIX00000086"/>
    <x v="0"/>
    <s v="Single Stock"/>
    <x v="0"/>
    <s v="SGENG"/>
    <x v="2"/>
    <s v="Non-significant benchmark"/>
    <n v="0"/>
    <n v="0"/>
    <n v="0"/>
    <n v="0"/>
    <n v="0"/>
    <n v="0"/>
    <x v="0"/>
    <x v="1"/>
    <n v="0"/>
    <s v=""/>
    <n v="0"/>
  </r>
  <r>
    <x v="623"/>
    <x v="120"/>
    <s v="FRIX00000094"/>
    <x v="0"/>
    <s v="Single Stock"/>
    <x v="0"/>
    <s v="SGEND"/>
    <x v="2"/>
    <s v="Non-significant benchmark"/>
    <n v="0"/>
    <n v="30000000"/>
    <n v="10195717.5252"/>
    <n v="0"/>
    <n v="0"/>
    <n v="0"/>
    <x v="71"/>
    <x v="1"/>
    <n v="60000000"/>
    <n v="-0.5"/>
    <n v="0"/>
  </r>
  <r>
    <x v="624"/>
    <x v="120"/>
    <s v="FRIX00000078"/>
    <x v="0"/>
    <s v="Single Stock"/>
    <x v="0"/>
    <s v="SGENP"/>
    <x v="2"/>
    <s v="Non-significant benchmark"/>
    <n v="0"/>
    <n v="0"/>
    <n v="0"/>
    <n v="0"/>
    <n v="0"/>
    <n v="0"/>
    <x v="0"/>
    <x v="1"/>
    <n v="0"/>
    <s v=""/>
    <n v="0"/>
  </r>
  <r>
    <x v="625"/>
    <x v="120"/>
    <s v="FRIX00002579"/>
    <x v="0"/>
    <s v="Single Stock"/>
    <x v="0"/>
    <s v="SGEED"/>
    <x v="2"/>
    <s v="Non-significant benchmark"/>
    <n v="27013476.900000002"/>
    <n v="115000000"/>
    <n v="5019571.8620000007"/>
    <n v="0"/>
    <n v="0"/>
    <n v="0"/>
    <x v="108"/>
    <x v="1"/>
    <m/>
    <m/>
    <m/>
  </r>
  <r>
    <x v="626"/>
    <x v="120"/>
    <s v="FRIX00000409"/>
    <x v="0"/>
    <s v="Single Stock"/>
    <x v="0"/>
    <s v="SG01D"/>
    <x v="2"/>
    <s v="Non-significant benchmark"/>
    <n v="52079929.199999996"/>
    <n v="415000000"/>
    <n v="110467421.8584"/>
    <n v="0"/>
    <n v="0"/>
    <n v="0"/>
    <x v="109"/>
    <x v="1"/>
    <n v="120000000"/>
    <n v="-7.9438151179999972E-2"/>
    <n v="0"/>
  </r>
  <r>
    <x v="627"/>
    <x v="120"/>
    <s v="FRIX00000540"/>
    <x v="0"/>
    <s v="Single Stock"/>
    <x v="0"/>
    <s v="SG02G"/>
    <x v="2"/>
    <s v="Non-significant benchmark"/>
    <n v="0"/>
    <n v="0"/>
    <n v="0"/>
    <n v="0"/>
    <n v="0"/>
    <n v="0"/>
    <x v="0"/>
    <x v="1"/>
    <n v="0"/>
    <s v=""/>
    <n v="0"/>
  </r>
  <r>
    <x v="628"/>
    <x v="120"/>
    <s v="FRIX00000391"/>
    <x v="0"/>
    <s v="Single Stock"/>
    <x v="0"/>
    <s v="SG01G"/>
    <x v="2"/>
    <s v="Non-significant benchmark"/>
    <n v="0"/>
    <n v="0"/>
    <n v="0"/>
    <n v="0"/>
    <n v="0"/>
    <n v="0"/>
    <x v="0"/>
    <x v="1"/>
    <n v="0"/>
    <s v=""/>
    <n v="0"/>
  </r>
  <r>
    <x v="629"/>
    <x v="120"/>
    <s v="FRIX00000557"/>
    <x v="0"/>
    <s v="Single Stock"/>
    <x v="0"/>
    <s v="SG02D"/>
    <x v="2"/>
    <s v="Non-significant benchmark"/>
    <n v="0"/>
    <n v="0"/>
    <n v="0"/>
    <n v="0"/>
    <n v="0"/>
    <n v="0"/>
    <x v="0"/>
    <x v="1"/>
    <n v="0"/>
    <s v=""/>
    <n v="0"/>
  </r>
  <r>
    <x v="630"/>
    <x v="120"/>
    <s v="FRIX00000532"/>
    <x v="0"/>
    <s v="Single Stock"/>
    <x v="0"/>
    <s v="SG02P"/>
    <x v="2"/>
    <s v="Non-significant benchmark"/>
    <n v="0"/>
    <n v="0"/>
    <n v="0"/>
    <n v="0"/>
    <n v="0"/>
    <n v="0"/>
    <x v="0"/>
    <x v="1"/>
    <n v="0"/>
    <s v=""/>
    <n v="0"/>
  </r>
  <r>
    <x v="631"/>
    <x v="120"/>
    <s v="FRIX00000383"/>
    <x v="0"/>
    <s v="Single Stock"/>
    <x v="0"/>
    <s v="SG01P"/>
    <x v="2"/>
    <s v="Non-significant benchmark"/>
    <n v="0"/>
    <n v="0"/>
    <n v="0"/>
    <n v="0"/>
    <n v="0"/>
    <n v="0"/>
    <x v="0"/>
    <x v="1"/>
    <n v="0"/>
    <s v=""/>
    <n v="0"/>
  </r>
  <r>
    <x v="632"/>
    <x v="120"/>
    <s v="FRIX00000110"/>
    <x v="0"/>
    <s v="Single Stock"/>
    <x v="0"/>
    <s v="SGORG"/>
    <x v="2"/>
    <s v="Non-significant benchmark"/>
    <n v="0"/>
    <n v="0"/>
    <n v="0"/>
    <n v="0"/>
    <n v="0"/>
    <n v="0"/>
    <x v="0"/>
    <x v="1"/>
    <n v="0"/>
    <s v=""/>
    <n v="0"/>
  </r>
  <r>
    <x v="633"/>
    <x v="120"/>
    <s v="FRIX00000128"/>
    <x v="0"/>
    <s v="Single Stock"/>
    <x v="0"/>
    <s v="SGORD"/>
    <x v="2"/>
    <s v="Non-significant benchmark"/>
    <n v="7059793.8669409994"/>
    <n v="115000000"/>
    <n v="32742344.898000002"/>
    <n v="0"/>
    <n v="0"/>
    <n v="0"/>
    <x v="110"/>
    <x v="1"/>
    <n v="85000000"/>
    <n v="-0.61479594237647062"/>
    <n v="0"/>
  </r>
  <r>
    <x v="634"/>
    <x v="120"/>
    <s v="FRIX00000102"/>
    <x v="0"/>
    <s v="Single Stock"/>
    <x v="0"/>
    <s v="SGORP"/>
    <x v="2"/>
    <s v="Non-significant benchmark"/>
    <n v="0"/>
    <n v="0"/>
    <n v="0"/>
    <n v="0"/>
    <n v="0"/>
    <n v="0"/>
    <x v="0"/>
    <x v="1"/>
    <n v="0"/>
    <s v=""/>
    <n v="0"/>
  </r>
  <r>
    <x v="635"/>
    <x v="120"/>
    <s v="FRIX00002991"/>
    <x v="0"/>
    <s v="Single Stock"/>
    <x v="0"/>
    <s v="SGSCR"/>
    <x v="2"/>
    <s v="Non-significant benchmark"/>
    <n v="5736564"/>
    <n v="30000000"/>
    <n v="5019571.8620000007"/>
    <n v="0"/>
    <n v="0"/>
    <n v="0"/>
    <x v="31"/>
    <x v="3"/>
    <m/>
    <m/>
    <m/>
  </r>
  <r>
    <x v="636"/>
    <x v="120"/>
    <s v="FRIX00000334"/>
    <x v="0"/>
    <s v="Single Stock"/>
    <x v="0"/>
    <s v="SGSGG"/>
    <x v="2"/>
    <s v="Non-significant benchmark"/>
    <n v="0"/>
    <n v="0"/>
    <n v="0"/>
    <n v="0"/>
    <n v="0"/>
    <n v="0"/>
    <x v="0"/>
    <x v="1"/>
    <n v="0"/>
    <s v=""/>
    <n v="0"/>
  </r>
  <r>
    <x v="637"/>
    <x v="120"/>
    <s v="FRIX00000342"/>
    <x v="0"/>
    <s v="Single Stock"/>
    <x v="0"/>
    <s v="SGSGD"/>
    <x v="2"/>
    <s v="Non-significant benchmark"/>
    <n v="6094223"/>
    <n v="0"/>
    <n v="42090721.852000006"/>
    <n v="0"/>
    <n v="0"/>
    <n v="0"/>
    <x v="111"/>
    <x v="1"/>
    <n v="27053764.691800002"/>
    <n v="0.55581754818610163"/>
    <n v="0"/>
  </r>
  <r>
    <x v="638"/>
    <x v="120"/>
    <s v="FRIX00000326"/>
    <x v="0"/>
    <s v="Single Stock"/>
    <x v="0"/>
    <s v="SGSGP"/>
    <x v="2"/>
    <s v="Non-significant benchmark"/>
    <n v="0"/>
    <n v="30000000"/>
    <n v="0"/>
    <n v="0"/>
    <n v="0"/>
    <n v="0"/>
    <x v="71"/>
    <x v="1"/>
    <n v="210000000"/>
    <n v="-0.85714285714285721"/>
    <n v="0"/>
  </r>
  <r>
    <x v="639"/>
    <x v="120"/>
    <s v="FRIX00003155"/>
    <x v="0"/>
    <s v="Single Stock"/>
    <x v="0"/>
    <s v="SGG5D"/>
    <x v="2"/>
    <s v="Non-significant benchmark"/>
    <n v="0"/>
    <n v="0"/>
    <n v="5102463.8744000001"/>
    <n v="0"/>
    <n v="0"/>
    <n v="0"/>
    <x v="112"/>
    <x v="1"/>
    <m/>
    <m/>
    <m/>
  </r>
  <r>
    <x v="640"/>
    <x v="120"/>
    <s v="FRIX00002512"/>
    <x v="0"/>
    <s v="Single Stock"/>
    <x v="0"/>
    <s v="SGG3D"/>
    <x v="2"/>
    <s v="Non-significant benchmark"/>
    <n v="19821405.599999998"/>
    <n v="180000000"/>
    <n v="54616625.947999999"/>
    <n v="0"/>
    <n v="0"/>
    <n v="0"/>
    <x v="113"/>
    <x v="1"/>
    <m/>
    <m/>
    <m/>
  </r>
  <r>
    <x v="641"/>
    <x v="120"/>
    <s v="FRIX00001084"/>
    <x v="0"/>
    <s v="Single Stock"/>
    <x v="0"/>
    <s v="SGSTD"/>
    <x v="2"/>
    <s v="Non-significant benchmark"/>
    <n v="8543791.5999999996"/>
    <n v="165000000"/>
    <n v="47193185.726400003"/>
    <n v="0"/>
    <n v="0"/>
    <n v="0"/>
    <x v="114"/>
    <x v="1"/>
    <n v="240000000"/>
    <n v="-0.80336172614000001"/>
    <n v="0"/>
  </r>
  <r>
    <x v="642"/>
    <x v="120"/>
    <s v="FRIX00001076"/>
    <x v="0"/>
    <s v="Single Stock"/>
    <x v="0"/>
    <s v="SGSTG"/>
    <x v="2"/>
    <s v="Non-significant benchmark"/>
    <n v="0"/>
    <n v="0"/>
    <n v="0"/>
    <n v="0"/>
    <n v="0"/>
    <n v="0"/>
    <x v="0"/>
    <x v="1"/>
    <n v="0"/>
    <s v=""/>
    <n v="0"/>
  </r>
  <r>
    <x v="643"/>
    <x v="120"/>
    <s v="FRIX00001068"/>
    <x v="0"/>
    <s v="Single Stock"/>
    <x v="0"/>
    <s v="SGSTP"/>
    <x v="2"/>
    <s v="Non-significant benchmark"/>
    <n v="0"/>
    <n v="0"/>
    <n v="0"/>
    <n v="0"/>
    <n v="0"/>
    <n v="0"/>
    <x v="0"/>
    <x v="1"/>
    <n v="0"/>
    <s v=""/>
    <n v="0"/>
  </r>
  <r>
    <x v="644"/>
    <x v="120"/>
    <s v="FRIX00003015"/>
    <x v="0"/>
    <s v="Single Stock"/>
    <x v="0"/>
    <s v="SGS4G"/>
    <x v="2"/>
    <s v="Non-significant benchmark"/>
    <n v="0"/>
    <n v="0"/>
    <n v="9993092.6060000006"/>
    <n v="0"/>
    <n v="0"/>
    <n v="0"/>
    <x v="115"/>
    <x v="1"/>
    <m/>
    <m/>
    <m/>
  </r>
  <r>
    <x v="645"/>
    <x v="120"/>
    <s v="FRIX00002868"/>
    <x v="0"/>
    <s v="Single Stock"/>
    <x v="0"/>
    <s v="SGS3D"/>
    <x v="2"/>
    <s v="Non-significant benchmark"/>
    <n v="81003529.5"/>
    <n v="380000000"/>
    <n v="111084506.83960001"/>
    <n v="0"/>
    <n v="0"/>
    <n v="0"/>
    <x v="116"/>
    <x v="1"/>
    <m/>
    <m/>
    <m/>
  </r>
  <r>
    <x v="646"/>
    <x v="120"/>
    <s v="FRIX00000144"/>
    <x v="0"/>
    <s v="Single Stock"/>
    <x v="0"/>
    <s v="SGT1G"/>
    <x v="2"/>
    <s v="Non-significant benchmark"/>
    <n v="0"/>
    <n v="0"/>
    <n v="0"/>
    <n v="0"/>
    <n v="0"/>
    <n v="0"/>
    <x v="0"/>
    <x v="1"/>
    <n v="0"/>
    <s v=""/>
    <n v="0"/>
  </r>
  <r>
    <x v="647"/>
    <x v="120"/>
    <s v="FRIX00000052"/>
    <x v="0"/>
    <s v="Single Stock"/>
    <x v="0"/>
    <s v="SGTEG"/>
    <x v="2"/>
    <s v="Non-significant benchmark"/>
    <n v="0"/>
    <n v="0"/>
    <n v="0"/>
    <n v="0"/>
    <n v="0"/>
    <n v="0"/>
    <x v="0"/>
    <x v="1"/>
    <n v="0"/>
    <s v=""/>
    <n v="0"/>
  </r>
  <r>
    <x v="648"/>
    <x v="120"/>
    <s v="FRIX00000151"/>
    <x v="0"/>
    <s v="Single Stock"/>
    <x v="0"/>
    <s v="SGT1D"/>
    <x v="2"/>
    <s v="Non-significant benchmark"/>
    <n v="590663.19999999995"/>
    <n v="5000000"/>
    <n v="5010361.6384000005"/>
    <n v="0"/>
    <n v="0"/>
    <n v="0"/>
    <x v="117"/>
    <x v="1"/>
    <n v="25000000"/>
    <n v="-0.79958553446399994"/>
    <n v="0"/>
  </r>
  <r>
    <x v="649"/>
    <x v="120"/>
    <s v="FRIX00000060"/>
    <x v="0"/>
    <s v="Single Stock"/>
    <x v="0"/>
    <s v="SGTED"/>
    <x v="2"/>
    <s v="Non-significant benchmark"/>
    <n v="0"/>
    <n v="0"/>
    <n v="22997928.3292"/>
    <n v="0"/>
    <n v="0"/>
    <n v="0"/>
    <x v="118"/>
    <x v="1"/>
    <n v="30000000"/>
    <n v="-0.23340238902666666"/>
    <n v="0"/>
  </r>
  <r>
    <x v="650"/>
    <x v="120"/>
    <s v="FRIX00000136"/>
    <x v="0"/>
    <s v="Single Stock"/>
    <x v="0"/>
    <s v="SGT1P"/>
    <x v="2"/>
    <s v="Non-significant benchmark"/>
    <n v="0"/>
    <n v="0"/>
    <n v="0"/>
    <n v="0"/>
    <n v="0"/>
    <n v="0"/>
    <x v="0"/>
    <x v="1"/>
    <n v="0"/>
    <s v=""/>
    <n v="0"/>
  </r>
  <r>
    <x v="651"/>
    <x v="120"/>
    <s v="FRIX00000045"/>
    <x v="0"/>
    <s v="Single Stock"/>
    <x v="0"/>
    <s v="SGTEP"/>
    <x v="2"/>
    <s v="Non-significant benchmark"/>
    <n v="0"/>
    <n v="0"/>
    <n v="0"/>
    <n v="0"/>
    <n v="0"/>
    <n v="0"/>
    <x v="0"/>
    <x v="1"/>
    <n v="0"/>
    <s v=""/>
    <n v="0"/>
  </r>
  <r>
    <x v="652"/>
    <x v="120"/>
    <s v="FRIX00002710"/>
    <x v="0"/>
    <s v="Single Stock"/>
    <x v="0"/>
    <s v="SGU2D"/>
    <x v="2"/>
    <s v="Non-significant benchmark"/>
    <n v="4248750"/>
    <n v="30000000"/>
    <n v="4890628.7316000005"/>
    <n v="0"/>
    <n v="0"/>
    <n v="0"/>
    <x v="119"/>
    <x v="1"/>
    <m/>
    <m/>
    <m/>
  </r>
  <r>
    <x v="653"/>
    <x v="120"/>
    <s v="FRIX00000789"/>
    <x v="0"/>
    <s v="Single Stock"/>
    <x v="0"/>
    <s v="SSMTG"/>
    <x v="2"/>
    <s v="Non-significant benchmark"/>
    <n v="0"/>
    <n v="0"/>
    <n v="0"/>
    <n v="0"/>
    <n v="0"/>
    <n v="0"/>
    <x v="0"/>
    <x v="1"/>
    <n v="0"/>
    <s v=""/>
    <n v="0"/>
  </r>
  <r>
    <x v="654"/>
    <x v="120"/>
    <s v="FRIX00000797"/>
    <x v="0"/>
    <s v="Single Stock"/>
    <x v="0"/>
    <s v="SSMTD"/>
    <x v="2"/>
    <s v="Non-significant benchmark"/>
    <n v="0"/>
    <n v="0"/>
    <n v="0"/>
    <n v="0"/>
    <n v="0"/>
    <n v="0"/>
    <x v="0"/>
    <x v="1"/>
    <n v="0"/>
    <s v=""/>
    <n v="0"/>
  </r>
  <r>
    <x v="655"/>
    <x v="120"/>
    <s v="FRIX00000771"/>
    <x v="0"/>
    <s v="Single Stock"/>
    <x v="0"/>
    <s v="SSMTP"/>
    <x v="2"/>
    <s v="Non-significant benchmark"/>
    <n v="0"/>
    <n v="0"/>
    <n v="0"/>
    <n v="0"/>
    <n v="0"/>
    <n v="0"/>
    <x v="0"/>
    <x v="1"/>
    <n v="0"/>
    <s v=""/>
    <n v="0"/>
  </r>
  <r>
    <x v="656"/>
    <x v="120"/>
    <s v="FRIX00000631"/>
    <x v="0"/>
    <s v="Single Stock"/>
    <x v="0"/>
    <s v="SSAXG"/>
    <x v="2"/>
    <s v="Non-significant benchmark"/>
    <n v="0"/>
    <n v="0"/>
    <n v="0"/>
    <n v="0"/>
    <n v="0"/>
    <n v="0"/>
    <x v="0"/>
    <x v="1"/>
    <n v="0"/>
    <s v=""/>
    <n v="0"/>
  </r>
  <r>
    <x v="657"/>
    <x v="120"/>
    <s v="FRIX00000649"/>
    <x v="0"/>
    <s v="Single Stock"/>
    <x v="0"/>
    <s v="SSAXD"/>
    <x v="2"/>
    <s v="Non-significant benchmark"/>
    <n v="0"/>
    <n v="0"/>
    <n v="0"/>
    <n v="0"/>
    <n v="0"/>
    <n v="0"/>
    <x v="0"/>
    <x v="1"/>
    <n v="0"/>
    <s v=""/>
    <n v="0"/>
  </r>
  <r>
    <x v="658"/>
    <x v="120"/>
    <s v="FRIX00000623"/>
    <x v="0"/>
    <s v="Single Stock"/>
    <x v="0"/>
    <s v="SSAXP"/>
    <x v="2"/>
    <s v="Non-significant benchmark"/>
    <n v="0"/>
    <n v="0"/>
    <n v="0"/>
    <n v="0"/>
    <n v="0"/>
    <n v="0"/>
    <x v="0"/>
    <x v="1"/>
    <n v="0"/>
    <s v=""/>
    <n v="0"/>
  </r>
  <r>
    <x v="659"/>
    <x v="120"/>
    <s v="FRIX00000987"/>
    <x v="0"/>
    <s v="Single Stock"/>
    <x v="0"/>
    <s v="SSBNG"/>
    <x v="2"/>
    <s v="Non-significant benchmark"/>
    <n v="0"/>
    <n v="0"/>
    <n v="0"/>
    <n v="0"/>
    <n v="0"/>
    <n v="0"/>
    <x v="0"/>
    <x v="1"/>
    <n v="0"/>
    <s v=""/>
    <n v="0"/>
  </r>
  <r>
    <x v="660"/>
    <x v="120"/>
    <s v="FRIX00000995"/>
    <x v="0"/>
    <s v="Single Stock"/>
    <x v="0"/>
    <s v="SSBND"/>
    <x v="2"/>
    <s v="Non-significant benchmark"/>
    <n v="0"/>
    <n v="0"/>
    <n v="0"/>
    <n v="0"/>
    <n v="0"/>
    <n v="0"/>
    <x v="0"/>
    <x v="1"/>
    <n v="0"/>
    <s v=""/>
    <n v="0"/>
  </r>
  <r>
    <x v="661"/>
    <x v="120"/>
    <s v="FRIX00000979"/>
    <x v="0"/>
    <s v="Single Stock"/>
    <x v="0"/>
    <s v="SSBNP"/>
    <x v="2"/>
    <s v="Non-significant benchmark"/>
    <n v="0"/>
    <n v="0"/>
    <n v="0"/>
    <n v="0"/>
    <n v="0"/>
    <n v="0"/>
    <x v="0"/>
    <x v="1"/>
    <n v="0"/>
    <s v=""/>
    <n v="0"/>
  </r>
  <r>
    <x v="662"/>
    <x v="120"/>
    <s v="FRIX00000870"/>
    <x v="0"/>
    <s v="Single Stock"/>
    <x v="0"/>
    <s v="SSCAG"/>
    <x v="2"/>
    <s v="Non-significant benchmark"/>
    <n v="0"/>
    <n v="0"/>
    <n v="0"/>
    <n v="0"/>
    <n v="0"/>
    <n v="0"/>
    <x v="0"/>
    <x v="1"/>
    <n v="0"/>
    <s v=""/>
    <n v="0"/>
  </r>
  <r>
    <x v="663"/>
    <x v="120"/>
    <s v="FRIX00000888"/>
    <x v="0"/>
    <s v="Single Stock"/>
    <x v="0"/>
    <s v="SSCAD"/>
    <x v="2"/>
    <s v="Non-significant benchmark"/>
    <n v="0"/>
    <n v="0"/>
    <n v="0"/>
    <n v="0"/>
    <n v="0"/>
    <n v="0"/>
    <x v="0"/>
    <x v="1"/>
    <n v="0"/>
    <s v=""/>
    <n v="0"/>
  </r>
  <r>
    <x v="664"/>
    <x v="120"/>
    <s v="FRIX00000862"/>
    <x v="0"/>
    <s v="Single Stock"/>
    <x v="0"/>
    <s v="SSCAP"/>
    <x v="2"/>
    <s v="Non-significant benchmark"/>
    <n v="0"/>
    <n v="0"/>
    <n v="0"/>
    <n v="0"/>
    <n v="0"/>
    <n v="0"/>
    <x v="0"/>
    <x v="1"/>
    <n v="0"/>
    <s v=""/>
    <n v="0"/>
  </r>
  <r>
    <x v="665"/>
    <x v="120"/>
    <s v="FRIX00000607"/>
    <x v="0"/>
    <s v="Single Stock"/>
    <x v="0"/>
    <s v="SSACG"/>
    <x v="2"/>
    <s v="Non-significant benchmark"/>
    <n v="0"/>
    <n v="0"/>
    <n v="0"/>
    <n v="0"/>
    <n v="0"/>
    <n v="0"/>
    <x v="0"/>
    <x v="1"/>
    <n v="0"/>
    <s v=""/>
    <n v="0"/>
  </r>
  <r>
    <x v="666"/>
    <x v="120"/>
    <s v="FRIX00000615"/>
    <x v="0"/>
    <s v="Single Stock"/>
    <x v="0"/>
    <s v="SSACD"/>
    <x v="2"/>
    <s v="Non-significant benchmark"/>
    <n v="0"/>
    <n v="63500000"/>
    <n v="36656689.928000003"/>
    <n v="0"/>
    <n v="0"/>
    <n v="0"/>
    <x v="120"/>
    <x v="1"/>
    <n v="363500000"/>
    <n v="-0.82530949105914719"/>
    <n v="0"/>
  </r>
  <r>
    <x v="667"/>
    <x v="120"/>
    <s v="FRIX00000599"/>
    <x v="0"/>
    <s v="Single Stock"/>
    <x v="0"/>
    <s v="SSACP"/>
    <x v="2"/>
    <s v="Non-significant benchmark"/>
    <n v="0"/>
    <n v="0"/>
    <n v="0"/>
    <n v="0"/>
    <n v="0"/>
    <n v="0"/>
    <x v="0"/>
    <x v="1"/>
    <n v="0"/>
    <s v=""/>
    <n v="0"/>
  </r>
  <r>
    <x v="668"/>
    <x v="120"/>
    <s v="FRIX00000755"/>
    <x v="0"/>
    <s v="Single Stock"/>
    <x v="0"/>
    <s v="SSENG"/>
    <x v="2"/>
    <s v="Non-significant benchmark"/>
    <n v="0"/>
    <n v="0"/>
    <n v="0"/>
    <n v="0"/>
    <n v="0"/>
    <n v="0"/>
    <x v="0"/>
    <x v="1"/>
    <n v="0"/>
    <s v=""/>
    <n v="0"/>
  </r>
  <r>
    <x v="669"/>
    <x v="120"/>
    <s v="FRIX00000763"/>
    <x v="0"/>
    <s v="Single Stock"/>
    <x v="0"/>
    <s v="SSEND"/>
    <x v="2"/>
    <s v="Non-significant benchmark"/>
    <n v="0"/>
    <n v="0"/>
    <n v="0"/>
    <n v="0"/>
    <n v="0"/>
    <n v="0"/>
    <x v="0"/>
    <x v="1"/>
    <n v="0"/>
    <s v=""/>
    <n v="0"/>
  </r>
  <r>
    <x v="670"/>
    <x v="120"/>
    <s v="FRIX00000748"/>
    <x v="0"/>
    <s v="Single Stock"/>
    <x v="0"/>
    <s v="SSENI"/>
    <x v="2"/>
    <s v="Non-significant benchmark"/>
    <n v="0"/>
    <n v="0"/>
    <n v="0"/>
    <n v="0"/>
    <n v="0"/>
    <n v="0"/>
    <x v="0"/>
    <x v="1"/>
    <n v="0"/>
    <s v=""/>
    <n v="0"/>
  </r>
  <r>
    <x v="671"/>
    <x v="120"/>
    <s v="FRIX00000938"/>
    <x v="0"/>
    <s v="Single Stock"/>
    <x v="0"/>
    <s v="SSING"/>
    <x v="2"/>
    <s v="Non-significant benchmark"/>
    <n v="0"/>
    <n v="0"/>
    <n v="0"/>
    <n v="0"/>
    <n v="0"/>
    <n v="0"/>
    <x v="0"/>
    <x v="1"/>
    <n v="0"/>
    <s v=""/>
    <n v="0"/>
  </r>
  <r>
    <x v="672"/>
    <x v="120"/>
    <s v="FRIX00000946"/>
    <x v="0"/>
    <s v="Single Stock"/>
    <x v="0"/>
    <s v="SSIND"/>
    <x v="2"/>
    <s v="Non-significant benchmark"/>
    <n v="0"/>
    <n v="0"/>
    <n v="0"/>
    <n v="0"/>
    <n v="0"/>
    <n v="0"/>
    <x v="0"/>
    <x v="1"/>
    <n v="0"/>
    <s v=""/>
    <n v="0"/>
  </r>
  <r>
    <x v="673"/>
    <x v="120"/>
    <s v="FRIX00000920"/>
    <x v="0"/>
    <s v="Single Stock"/>
    <x v="0"/>
    <s v="SSINP"/>
    <x v="2"/>
    <s v="Non-significant benchmark"/>
    <n v="0"/>
    <n v="0"/>
    <n v="0"/>
    <n v="0"/>
    <n v="0"/>
    <n v="0"/>
    <x v="0"/>
    <x v="1"/>
    <n v="0"/>
    <s v=""/>
    <n v="0"/>
  </r>
  <r>
    <x v="674"/>
    <x v="120"/>
    <s v="FRIX00000904"/>
    <x v="0"/>
    <s v="Single Stock"/>
    <x v="0"/>
    <s v="SSKEG"/>
    <x v="2"/>
    <s v="Non-significant benchmark"/>
    <n v="0"/>
    <n v="0"/>
    <n v="0"/>
    <n v="0"/>
    <n v="0"/>
    <n v="0"/>
    <x v="0"/>
    <x v="1"/>
    <n v="0"/>
    <s v=""/>
    <n v="0"/>
  </r>
  <r>
    <x v="675"/>
    <x v="120"/>
    <s v="FRIX00000912"/>
    <x v="0"/>
    <s v="Single Stock"/>
    <x v="0"/>
    <s v="SSKED"/>
    <x v="2"/>
    <s v="Non-significant benchmark"/>
    <n v="0"/>
    <n v="0"/>
    <n v="1427584.6580000001"/>
    <n v="0"/>
    <n v="0"/>
    <n v="0"/>
    <x v="121"/>
    <x v="1"/>
    <n v="1433128.3415000001"/>
    <n v="-3.8682393889424294E-3"/>
    <n v="0"/>
  </r>
  <r>
    <x v="676"/>
    <x v="120"/>
    <s v="FRIX00000896"/>
    <x v="0"/>
    <s v="Single Stock"/>
    <x v="0"/>
    <s v="SSKEP"/>
    <x v="2"/>
    <s v="Non-significant benchmark"/>
    <n v="0"/>
    <n v="0"/>
    <n v="0"/>
    <n v="0"/>
    <n v="0"/>
    <n v="0"/>
    <x v="0"/>
    <x v="1"/>
    <n v="0"/>
    <s v=""/>
    <n v="0"/>
  </r>
  <r>
    <x v="677"/>
    <x v="120"/>
    <s v="FRIX00000698"/>
    <x v="0"/>
    <s v="Single Stock"/>
    <x v="0"/>
    <s v="SSSAG"/>
    <x v="2"/>
    <s v="Non-significant benchmark"/>
    <n v="0"/>
    <n v="0"/>
    <n v="0"/>
    <n v="0"/>
    <n v="0"/>
    <n v="0"/>
    <x v="0"/>
    <x v="1"/>
    <n v="0"/>
    <s v=""/>
    <n v="0"/>
  </r>
  <r>
    <x v="678"/>
    <x v="120"/>
    <s v="FRIX00000706"/>
    <x v="0"/>
    <s v="Single Stock"/>
    <x v="0"/>
    <s v="SSSAD"/>
    <x v="2"/>
    <s v="Non-significant benchmark"/>
    <n v="0"/>
    <n v="0"/>
    <n v="0"/>
    <n v="0"/>
    <n v="0"/>
    <n v="0"/>
    <x v="0"/>
    <x v="1"/>
    <n v="0"/>
    <s v=""/>
    <n v="0"/>
  </r>
  <r>
    <x v="679"/>
    <x v="120"/>
    <s v="FRIX00000680"/>
    <x v="0"/>
    <s v="Single Stock"/>
    <x v="0"/>
    <s v="SSSAP"/>
    <x v="2"/>
    <s v="Non-significant benchmark"/>
    <n v="0"/>
    <n v="0"/>
    <n v="0"/>
    <n v="0"/>
    <n v="0"/>
    <n v="0"/>
    <x v="0"/>
    <x v="1"/>
    <n v="0"/>
    <s v=""/>
    <n v="0"/>
  </r>
  <r>
    <x v="680"/>
    <x v="120"/>
    <s v="FRIX00000722"/>
    <x v="0"/>
    <s v="Single Stock"/>
    <x v="0"/>
    <s v="SSSNG"/>
    <x v="2"/>
    <s v="Non-significant benchmark"/>
    <n v="0"/>
    <n v="0"/>
    <n v="0"/>
    <n v="0"/>
    <n v="0"/>
    <n v="0"/>
    <x v="0"/>
    <x v="1"/>
    <n v="0"/>
    <s v=""/>
    <n v="0"/>
  </r>
  <r>
    <x v="681"/>
    <x v="120"/>
    <s v="FRIX00000730"/>
    <x v="0"/>
    <s v="Single Stock"/>
    <x v="0"/>
    <s v="SSSND"/>
    <x v="2"/>
    <s v="Non-significant benchmark"/>
    <n v="0"/>
    <n v="0"/>
    <n v="0"/>
    <n v="0"/>
    <n v="0"/>
    <n v="0"/>
    <x v="0"/>
    <x v="1"/>
    <n v="0"/>
    <s v=""/>
    <n v="0"/>
  </r>
  <r>
    <x v="682"/>
    <x v="120"/>
    <s v="FRIX00000714"/>
    <x v="0"/>
    <s v="Single Stock"/>
    <x v="0"/>
    <s v="SSSNP"/>
    <x v="2"/>
    <s v="Non-significant benchmark"/>
    <n v="0"/>
    <n v="0"/>
    <n v="0"/>
    <n v="0"/>
    <n v="0"/>
    <n v="0"/>
    <x v="0"/>
    <x v="1"/>
    <n v="0"/>
    <s v=""/>
    <n v="0"/>
  </r>
  <r>
    <x v="683"/>
    <x v="120"/>
    <s v="FRIX00000664"/>
    <x v="0"/>
    <s v="Single Stock"/>
    <x v="0"/>
    <s v="SSSHG"/>
    <x v="2"/>
    <s v="Non-significant benchmark"/>
    <n v="0"/>
    <n v="0"/>
    <n v="0"/>
    <n v="0"/>
    <n v="0"/>
    <n v="0"/>
    <x v="0"/>
    <x v="1"/>
    <n v="0"/>
    <s v=""/>
    <n v="0"/>
  </r>
  <r>
    <x v="684"/>
    <x v="120"/>
    <s v="FRIX00000672"/>
    <x v="0"/>
    <s v="Single Stock"/>
    <x v="0"/>
    <s v="SSSHD"/>
    <x v="2"/>
    <s v="Non-significant benchmark"/>
    <n v="0"/>
    <n v="0"/>
    <n v="0"/>
    <n v="0"/>
    <n v="0"/>
    <n v="0"/>
    <x v="0"/>
    <x v="1"/>
    <n v="0"/>
    <s v=""/>
    <n v="0"/>
  </r>
  <r>
    <x v="685"/>
    <x v="120"/>
    <s v="FRIX00000656"/>
    <x v="0"/>
    <s v="Single Stock"/>
    <x v="0"/>
    <s v="SSS1P"/>
    <x v="2"/>
    <s v="Non-significant benchmark"/>
    <n v="0"/>
    <n v="0"/>
    <n v="0"/>
    <n v="0"/>
    <n v="0"/>
    <n v="0"/>
    <x v="0"/>
    <x v="1"/>
    <n v="0"/>
    <s v=""/>
    <n v="0"/>
  </r>
  <r>
    <x v="686"/>
    <x v="120"/>
    <s v="FRIX00000813"/>
    <x v="0"/>
    <s v="Single Stock"/>
    <x v="0"/>
    <s v="SSSTG"/>
    <x v="2"/>
    <s v="Non-significant benchmark"/>
    <n v="0"/>
    <n v="0"/>
    <n v="0"/>
    <n v="0"/>
    <n v="0"/>
    <n v="0"/>
    <x v="0"/>
    <x v="1"/>
    <n v="0"/>
    <s v=""/>
    <n v="0"/>
  </r>
  <r>
    <x v="687"/>
    <x v="120"/>
    <s v="FRIX00000821"/>
    <x v="0"/>
    <s v="Single Stock"/>
    <x v="0"/>
    <s v="SSSTD"/>
    <x v="2"/>
    <s v="Non-significant benchmark"/>
    <n v="0"/>
    <n v="0"/>
    <n v="6557679.2032000003"/>
    <n v="0"/>
    <n v="0"/>
    <n v="0"/>
    <x v="122"/>
    <x v="1"/>
    <n v="90000000"/>
    <n v="-0.92713689774222219"/>
    <n v="0"/>
  </r>
  <r>
    <x v="688"/>
    <x v="120"/>
    <s v="FRIX00000805"/>
    <x v="0"/>
    <s v="Single Stock"/>
    <x v="0"/>
    <s v="SSSTP"/>
    <x v="2"/>
    <s v="Non-significant benchmark"/>
    <n v="0"/>
    <n v="0"/>
    <n v="0"/>
    <n v="0"/>
    <n v="0"/>
    <n v="0"/>
    <x v="0"/>
    <x v="1"/>
    <n v="0"/>
    <s v=""/>
    <n v="0"/>
  </r>
  <r>
    <x v="689"/>
    <x v="121"/>
    <s v="FRESG0000744"/>
    <x v="1"/>
    <s v="Social"/>
    <x v="1"/>
    <s v="SGSPE"/>
    <x v="2"/>
    <s v="Non-significant benchmark"/>
    <n v="0"/>
    <n v="0"/>
    <n v="0"/>
    <n v="0"/>
    <n v="0"/>
    <n v="0"/>
    <x v="0"/>
    <x v="1"/>
    <n v="0"/>
    <s v=""/>
    <s v="SGSPE"/>
  </r>
  <r>
    <x v="690"/>
    <x v="121"/>
    <s v="FRESG0000751"/>
    <x v="1"/>
    <s v="Social"/>
    <x v="1"/>
    <s v="SGSGE"/>
    <x v="2"/>
    <s v="Non-significant benchmark"/>
    <n v="0"/>
    <n v="0"/>
    <n v="0"/>
    <n v="0"/>
    <n v="0"/>
    <n v="0"/>
    <x v="0"/>
    <x v="1"/>
    <n v="0"/>
    <s v=""/>
    <s v="SGSPE"/>
  </r>
  <r>
    <x v="691"/>
    <x v="121"/>
    <s v="FRESG0000769"/>
    <x v="1"/>
    <s v="Social"/>
    <x v="1"/>
    <s v="SGSNE"/>
    <x v="2"/>
    <s v="Non-significant benchmark"/>
    <n v="0"/>
    <n v="0"/>
    <n v="0"/>
    <n v="0"/>
    <n v="0"/>
    <n v="0"/>
    <x v="0"/>
    <x v="1"/>
    <n v="0"/>
    <s v=""/>
    <s v="SGSPE"/>
  </r>
  <r>
    <x v="692"/>
    <x v="122"/>
    <s v="FRESG0000710"/>
    <x v="1"/>
    <s v="Social"/>
    <x v="1"/>
    <s v="SGSWP"/>
    <x v="2"/>
    <s v="Non-significant benchmark"/>
    <n v="0"/>
    <n v="0"/>
    <n v="0"/>
    <n v="0"/>
    <n v="0"/>
    <n v="0"/>
    <x v="0"/>
    <x v="1"/>
    <n v="0"/>
    <s v=""/>
    <s v="SGSWP"/>
  </r>
  <r>
    <x v="693"/>
    <x v="122"/>
    <s v="FRESG0000728"/>
    <x v="1"/>
    <s v="Social"/>
    <x v="1"/>
    <s v="SGSWG"/>
    <x v="2"/>
    <s v="Non-significant benchmark"/>
    <n v="0"/>
    <n v="0"/>
    <n v="0"/>
    <n v="0"/>
    <n v="0"/>
    <n v="0"/>
    <x v="0"/>
    <x v="1"/>
    <n v="0"/>
    <s v=""/>
    <s v="SGSWP"/>
  </r>
  <r>
    <x v="694"/>
    <x v="122"/>
    <s v="FRESG0000736"/>
    <x v="1"/>
    <s v="Social"/>
    <x v="1"/>
    <s v="SGSWN"/>
    <x v="2"/>
    <s v="Non-significant benchmark"/>
    <n v="0"/>
    <n v="0"/>
    <n v="0"/>
    <n v="0"/>
    <n v="0"/>
    <n v="0"/>
    <x v="0"/>
    <x v="1"/>
    <n v="0"/>
    <s v=""/>
    <s v="SGSWP"/>
  </r>
  <r>
    <x v="695"/>
    <x v="123"/>
    <s v="NL0015000EC7"/>
    <x v="0"/>
    <s v="International"/>
    <x v="0"/>
    <s v="SES5G"/>
    <x v="0"/>
    <s v="Non-significant benchmark"/>
    <n v="0"/>
    <n v="0"/>
    <n v="0"/>
    <n v="0"/>
    <n v="0"/>
    <n v="0"/>
    <x v="0"/>
    <x v="1"/>
    <n v="0"/>
    <s v=""/>
    <s v="SES5P"/>
  </r>
  <r>
    <x v="696"/>
    <x v="123"/>
    <s v="NL0015000EE3"/>
    <x v="0"/>
    <s v="International"/>
    <x v="0"/>
    <s v="SES5N"/>
    <x v="0"/>
    <s v="Non-significant benchmark"/>
    <n v="0"/>
    <n v="0"/>
    <n v="0"/>
    <n v="0"/>
    <n v="0"/>
    <n v="0"/>
    <x v="0"/>
    <x v="1"/>
    <n v="0"/>
    <s v=""/>
    <s v="SES5P"/>
  </r>
  <r>
    <x v="697"/>
    <x v="123"/>
    <s v="NL0015000EF0"/>
    <x v="0"/>
    <s v="International"/>
    <x v="0"/>
    <s v="SES5P"/>
    <x v="0"/>
    <s v="Non-significant benchmark"/>
    <n v="0"/>
    <n v="0"/>
    <n v="0"/>
    <n v="0"/>
    <n v="0"/>
    <n v="0"/>
    <x v="0"/>
    <x v="1"/>
    <n v="0"/>
    <s v=""/>
    <s v="SES5P"/>
  </r>
  <r>
    <x v="698"/>
    <x v="123"/>
    <s v="NL0015000E83"/>
    <x v="0"/>
    <s v="International"/>
    <x v="0"/>
    <s v="SES50"/>
    <x v="0"/>
    <s v="Non-significant benchmark"/>
    <n v="0"/>
    <n v="40000000"/>
    <n v="6714253.0044"/>
    <n v="0"/>
    <n v="0"/>
    <n v="0"/>
    <x v="123"/>
    <x v="1"/>
    <n v="100000000"/>
    <n v="-0.6"/>
    <s v="SES5P"/>
  </r>
  <r>
    <x v="699"/>
    <x v="124"/>
    <s v="FRESG0000595"/>
    <x v="1"/>
    <s v="Climate;PAB"/>
    <x v="2"/>
    <s v="S2PPR"/>
    <x v="2"/>
    <s v="Non-significant benchmark"/>
    <n v="0"/>
    <n v="0"/>
    <n v="0"/>
    <n v="0"/>
    <n v="0"/>
    <n v="0"/>
    <x v="0"/>
    <x v="1"/>
    <n v="0"/>
    <s v=""/>
    <s v="S2PPR"/>
  </r>
  <r>
    <x v="700"/>
    <x v="124"/>
    <s v="FRESG0000629"/>
    <x v="1"/>
    <s v="Climate;PAB"/>
    <x v="2"/>
    <s v="S2PD3"/>
    <x v="2"/>
    <s v="Non-significant benchmark"/>
    <n v="0"/>
    <n v="0"/>
    <n v="0"/>
    <n v="0"/>
    <n v="0"/>
    <n v="0"/>
    <x v="0"/>
    <x v="1"/>
    <n v="0"/>
    <s v=""/>
    <s v="S2PPR"/>
  </r>
  <r>
    <x v="701"/>
    <x v="124"/>
    <s v="FRESG0000637"/>
    <x v="1"/>
    <s v="Climate;PAB"/>
    <x v="2"/>
    <s v="S2PD4"/>
    <x v="2"/>
    <s v="Non-significant benchmark"/>
    <n v="0"/>
    <n v="0"/>
    <n v="0"/>
    <n v="0"/>
    <n v="0"/>
    <n v="0"/>
    <x v="0"/>
    <x v="1"/>
    <n v="0"/>
    <s v=""/>
    <s v="S2PPR"/>
  </r>
  <r>
    <x v="702"/>
    <x v="124"/>
    <s v="FRESG0000611"/>
    <x v="1"/>
    <s v="Climate;PAB"/>
    <x v="2"/>
    <s v="S2PGR"/>
    <x v="2"/>
    <s v="Non-significant benchmark"/>
    <n v="0"/>
    <n v="0"/>
    <n v="0"/>
    <n v="0"/>
    <n v="0"/>
    <n v="0"/>
    <x v="0"/>
    <x v="1"/>
    <n v="0"/>
    <s v=""/>
    <s v="S2PPR"/>
  </r>
  <r>
    <x v="703"/>
    <x v="124"/>
    <s v="FRESG0000603"/>
    <x v="1"/>
    <s v="Climate;PAB"/>
    <x v="2"/>
    <s v="S2PNR"/>
    <x v="2"/>
    <s v="Non-significant benchmark"/>
    <n v="0"/>
    <n v="0"/>
    <n v="0"/>
    <n v="0"/>
    <n v="0"/>
    <n v="0"/>
    <x v="0"/>
    <x v="1"/>
    <n v="0"/>
    <s v=""/>
    <s v="S2PPR"/>
  </r>
  <r>
    <x v="704"/>
    <x v="125"/>
    <s v="FR0013425352"/>
    <x v="0"/>
    <s v="Country"/>
    <x v="0"/>
    <s v="FRTPR"/>
    <x v="2"/>
    <s v="Non-significant benchmark"/>
    <n v="199938017.53999999"/>
    <n v="0"/>
    <n v="0"/>
    <n v="0"/>
    <n v="0"/>
    <n v="0"/>
    <x v="124"/>
    <x v="1"/>
    <n v="0"/>
    <s v=""/>
    <s v="FRTPR"/>
  </r>
  <r>
    <x v="705"/>
    <x v="125"/>
    <s v="FR0013425386"/>
    <x v="0"/>
    <s v="Country"/>
    <x v="0"/>
    <s v="FRTGR"/>
    <x v="2"/>
    <s v="Non-significant benchmark"/>
    <n v="0"/>
    <n v="0"/>
    <n v="0"/>
    <n v="0"/>
    <n v="0"/>
    <n v="0"/>
    <x v="0"/>
    <x v="1"/>
    <n v="0"/>
    <s v=""/>
    <s v="FRTPR"/>
  </r>
  <r>
    <x v="706"/>
    <x v="125"/>
    <s v="FR0013425360"/>
    <x v="0"/>
    <s v="Country"/>
    <x v="0"/>
    <s v="FRTEK"/>
    <x v="2"/>
    <s v="Non-significant benchmark"/>
    <n v="0"/>
    <n v="0"/>
    <n v="0"/>
    <n v="0"/>
    <n v="0"/>
    <n v="0"/>
    <x v="0"/>
    <x v="1"/>
    <n v="0"/>
    <s v=""/>
    <s v="FRTPR"/>
  </r>
  <r>
    <x v="707"/>
    <x v="126"/>
    <s v="NLIX00000256"/>
    <x v="0"/>
    <s v="Thematic"/>
    <x v="0"/>
    <s v="TECLP"/>
    <x v="0"/>
    <s v="Non-significant benchmark"/>
    <n v="0"/>
    <n v="0"/>
    <n v="0"/>
    <n v="0"/>
    <n v="0"/>
    <n v="0"/>
    <x v="0"/>
    <x v="0"/>
    <n v="0"/>
    <s v=""/>
    <s v="TECLP"/>
  </r>
  <r>
    <x v="708"/>
    <x v="126"/>
    <s v="NLIX00000272"/>
    <x v="0"/>
    <s v="Thematic"/>
    <x v="0"/>
    <s v="TECLG"/>
    <x v="0"/>
    <s v="Non-significant benchmark"/>
    <n v="0"/>
    <n v="0"/>
    <n v="0"/>
    <n v="0"/>
    <n v="0"/>
    <n v="0"/>
    <x v="0"/>
    <x v="0"/>
    <n v="0"/>
    <s v=""/>
    <s v="TECLP"/>
  </r>
  <r>
    <x v="709"/>
    <x v="126"/>
    <s v="NLIX00000264"/>
    <x v="0"/>
    <s v="Thematic"/>
    <x v="0"/>
    <s v="TECLN"/>
    <x v="0"/>
    <s v="Non-significant benchmark"/>
    <n v="0"/>
    <n v="0"/>
    <n v="0"/>
    <n v="0"/>
    <n v="0"/>
    <n v="0"/>
    <x v="0"/>
    <x v="0"/>
    <n v="0"/>
    <s v=""/>
    <s v="TECLP"/>
  </r>
  <r>
    <x v="710"/>
    <x v="127"/>
    <s v="NL0012730634"/>
    <x v="0"/>
    <s v="International"/>
    <x v="0"/>
    <s v="FGINP"/>
    <x v="2"/>
    <s v="Non-significant benchmark"/>
    <n v="0"/>
    <n v="0"/>
    <n v="0"/>
    <n v="0"/>
    <n v="0"/>
    <n v="0"/>
    <x v="0"/>
    <x v="1"/>
    <n v="0"/>
    <s v=""/>
    <s v="FGINP"/>
  </r>
  <r>
    <x v="711"/>
    <x v="127"/>
    <s v="NL0012730667"/>
    <x v="0"/>
    <s v="International"/>
    <x v="0"/>
    <s v="FGIND"/>
    <x v="2"/>
    <s v="Non-significant benchmark"/>
    <n v="0"/>
    <n v="0"/>
    <n v="0"/>
    <n v="0"/>
    <n v="0"/>
    <n v="0"/>
    <x v="0"/>
    <x v="1"/>
    <n v="517775.4008"/>
    <n v="-1"/>
    <s v="FGINP"/>
  </r>
  <r>
    <x v="712"/>
    <x v="127"/>
    <s v="NL0012730659"/>
    <x v="0"/>
    <s v="International"/>
    <x v="0"/>
    <s v="FGING"/>
    <x v="2"/>
    <s v="Non-significant benchmark"/>
    <n v="0"/>
    <n v="0"/>
    <n v="0"/>
    <n v="0"/>
    <n v="0"/>
    <n v="0"/>
    <x v="0"/>
    <x v="1"/>
    <n v="0"/>
    <s v=""/>
    <s v="FGINP"/>
  </r>
  <r>
    <x v="713"/>
    <x v="127"/>
    <s v="NL0012730642"/>
    <x v="0"/>
    <s v="International"/>
    <x v="0"/>
    <s v="FGINN"/>
    <x v="2"/>
    <s v="Non-significant benchmark"/>
    <n v="0"/>
    <n v="0"/>
    <n v="0"/>
    <n v="0"/>
    <n v="0"/>
    <n v="0"/>
    <x v="0"/>
    <x v="1"/>
    <n v="0"/>
    <s v=""/>
    <s v="FGINP"/>
  </r>
  <r>
    <x v="714"/>
    <x v="128"/>
    <s v="NLIX00000926"/>
    <x v="0"/>
    <s v="International"/>
    <x v="0"/>
    <s v="ENTP"/>
    <x v="0"/>
    <s v="Non-significant benchmark"/>
    <n v="0"/>
    <n v="0"/>
    <n v="0"/>
    <n v="0"/>
    <n v="0"/>
    <n v="0"/>
    <x v="0"/>
    <x v="1"/>
    <n v="0"/>
    <s v=""/>
    <s v="ENTP"/>
  </r>
  <r>
    <x v="715"/>
    <x v="128"/>
    <s v="NLIX00000942"/>
    <x v="0"/>
    <s v="International"/>
    <x v="0"/>
    <s v="ENTG"/>
    <x v="0"/>
    <s v="Non-significant benchmark"/>
    <n v="0"/>
    <n v="0"/>
    <n v="0"/>
    <n v="0"/>
    <n v="0"/>
    <n v="0"/>
    <x v="0"/>
    <x v="1"/>
    <n v="0"/>
    <s v=""/>
    <s v="ENTP"/>
  </r>
  <r>
    <x v="716"/>
    <x v="128"/>
    <s v="NLIX00000934"/>
    <x v="0"/>
    <s v="International"/>
    <x v="0"/>
    <s v="ENTN"/>
    <x v="0"/>
    <s v="Non-significant benchmark"/>
    <n v="0"/>
    <n v="0"/>
    <n v="0"/>
    <n v="0"/>
    <n v="0"/>
    <n v="0"/>
    <x v="0"/>
    <x v="1"/>
    <n v="0"/>
    <s v=""/>
    <s v="ENTP"/>
  </r>
  <r>
    <x v="717"/>
    <x v="129"/>
    <s v="NL0013216468"/>
    <x v="0"/>
    <s v="International"/>
    <x v="0"/>
    <s v="EUS5P"/>
    <x v="0"/>
    <s v="Non-significant benchmark"/>
    <n v="0"/>
    <n v="0"/>
    <n v="0"/>
    <n v="0"/>
    <n v="0"/>
    <n v="0"/>
    <x v="0"/>
    <x v="1"/>
    <n v="0"/>
    <s v=""/>
    <s v="EUS5P"/>
  </r>
  <r>
    <x v="718"/>
    <x v="129"/>
    <s v="NL0013216492"/>
    <x v="0"/>
    <s v="International"/>
    <x v="0"/>
    <s v="EUS5D"/>
    <x v="0"/>
    <s v="Non-significant benchmark"/>
    <n v="0"/>
    <n v="0"/>
    <n v="0"/>
    <n v="0"/>
    <n v="0"/>
    <n v="0"/>
    <x v="0"/>
    <x v="1"/>
    <n v="0"/>
    <s v=""/>
    <s v="EUS5P"/>
  </r>
  <r>
    <x v="719"/>
    <x v="129"/>
    <s v="NL0013216484"/>
    <x v="0"/>
    <s v="International"/>
    <x v="0"/>
    <s v="EUS5G"/>
    <x v="0"/>
    <s v="Non-significant benchmark"/>
    <n v="0"/>
    <n v="0"/>
    <n v="0"/>
    <n v="0"/>
    <n v="0"/>
    <n v="0"/>
    <x v="0"/>
    <x v="1"/>
    <n v="0"/>
    <s v=""/>
    <s v="EUS5P"/>
  </r>
  <r>
    <x v="720"/>
    <x v="129"/>
    <s v="NL0013216476"/>
    <x v="0"/>
    <s v="International"/>
    <x v="0"/>
    <s v="EUS5N"/>
    <x v="0"/>
    <s v="Non-significant benchmark"/>
    <n v="0"/>
    <n v="0"/>
    <n v="0"/>
    <n v="0"/>
    <n v="0"/>
    <n v="0"/>
    <x v="0"/>
    <x v="1"/>
    <n v="0"/>
    <s v=""/>
    <s v="EUS5P"/>
  </r>
  <r>
    <x v="721"/>
    <x v="130"/>
    <s v="FR0014003BU4"/>
    <x v="1"/>
    <s v="Circular Economy"/>
    <x v="1"/>
    <s v="TCEPR"/>
    <x v="2"/>
    <s v="Non-significant benchmark"/>
    <n v="0"/>
    <n v="0"/>
    <n v="0"/>
    <n v="0"/>
    <n v="0"/>
    <n v="0"/>
    <x v="0"/>
    <x v="1"/>
    <n v="0"/>
    <s v=""/>
    <s v="TCEPR"/>
  </r>
  <r>
    <x v="722"/>
    <x v="130"/>
    <s v="FR0014003BY6"/>
    <x v="1"/>
    <s v="Circular Economy"/>
    <x v="1"/>
    <s v="TCED5"/>
    <x v="2"/>
    <s v="Non-significant benchmark"/>
    <n v="0"/>
    <n v="0"/>
    <n v="0"/>
    <n v="0"/>
    <n v="0"/>
    <n v="0"/>
    <x v="0"/>
    <x v="1"/>
    <n v="0"/>
    <s v=""/>
    <s v="TCEPR"/>
  </r>
  <r>
    <x v="723"/>
    <x v="130"/>
    <s v="FR0014003BX8"/>
    <x v="1"/>
    <s v="Circular Economy"/>
    <x v="1"/>
    <s v="TCEGR"/>
    <x v="2"/>
    <s v="Non-significant benchmark"/>
    <n v="0"/>
    <n v="0"/>
    <n v="0"/>
    <n v="0"/>
    <n v="0"/>
    <n v="0"/>
    <x v="0"/>
    <x v="1"/>
    <n v="0"/>
    <s v=""/>
    <s v="TCEPR"/>
  </r>
  <r>
    <x v="724"/>
    <x v="130"/>
    <s v="FR0014003BV2"/>
    <x v="1"/>
    <s v="Circular Economy"/>
    <x v="1"/>
    <s v="TCENR"/>
    <x v="2"/>
    <s v="Non-significant benchmark"/>
    <n v="0"/>
    <n v="0"/>
    <n v="0"/>
    <n v="0"/>
    <n v="0"/>
    <n v="0"/>
    <x v="0"/>
    <x v="1"/>
    <n v="0"/>
    <s v=""/>
    <s v="TCEPR"/>
  </r>
  <r>
    <x v="725"/>
    <x v="131"/>
    <s v="NL0015000BX9"/>
    <x v="1"/>
    <s v="Environmental"/>
    <x v="1"/>
    <s v="ETE5P"/>
    <x v="2"/>
    <s v="Non-significant benchmark"/>
    <n v="0"/>
    <n v="0"/>
    <n v="0"/>
    <n v="0"/>
    <n v="0"/>
    <n v="0"/>
    <x v="0"/>
    <x v="1"/>
    <n v="0"/>
    <s v=""/>
    <s v="ETE5P"/>
  </r>
  <r>
    <x v="726"/>
    <x v="131"/>
    <s v="NL0015000BW1"/>
    <x v="1"/>
    <s v="Environmental"/>
    <x v="1"/>
    <s v="ETE5D"/>
    <x v="2"/>
    <s v="Non-significant benchmark"/>
    <n v="0"/>
    <n v="260000000"/>
    <n v="83822244.983600006"/>
    <n v="0"/>
    <n v="0"/>
    <n v="0"/>
    <x v="125"/>
    <x v="1"/>
    <n v="260000000"/>
    <n v="0"/>
    <s v="ETE5P"/>
  </r>
  <r>
    <x v="727"/>
    <x v="131"/>
    <s v="NL0015000BV3"/>
    <x v="1"/>
    <s v="Environmental"/>
    <x v="1"/>
    <s v="ETE5G"/>
    <x v="2"/>
    <s v="Non-significant benchmark"/>
    <n v="0"/>
    <n v="0"/>
    <n v="0"/>
    <n v="0"/>
    <n v="0"/>
    <n v="0"/>
    <x v="0"/>
    <x v="1"/>
    <n v="0"/>
    <s v=""/>
    <s v="ETE5P"/>
  </r>
  <r>
    <x v="728"/>
    <x v="131"/>
    <s v="NL0015000BQ3"/>
    <x v="1"/>
    <s v="Environmental"/>
    <x v="1"/>
    <s v="ETEGN"/>
    <x v="2"/>
    <s v="Non-significant benchmark"/>
    <n v="0"/>
    <n v="0"/>
    <n v="0"/>
    <n v="0"/>
    <n v="0"/>
    <n v="0"/>
    <x v="0"/>
    <x v="1"/>
    <n v="0"/>
    <s v=""/>
    <s v="ETE5P"/>
  </r>
  <r>
    <x v="729"/>
    <x v="132"/>
    <s v="NL0013908775"/>
    <x v="1"/>
    <s v="Broad ESG"/>
    <x v="1"/>
    <s v="ESGTP"/>
    <x v="2"/>
    <s v="Non-significant benchmark"/>
    <n v="0"/>
    <n v="0"/>
    <n v="0"/>
    <n v="0"/>
    <n v="0"/>
    <n v="0"/>
    <x v="0"/>
    <x v="1"/>
    <n v="0"/>
    <s v=""/>
    <s v="ESGTP"/>
  </r>
  <r>
    <x v="730"/>
    <x v="132"/>
    <s v="NL0013908809"/>
    <x v="1"/>
    <s v="Broad ESG"/>
    <x v="1"/>
    <s v="ESGTL"/>
    <x v="2"/>
    <s v="Non-significant benchmark"/>
    <n v="205112150"/>
    <n v="547415771.56799996"/>
    <n v="461054583.19240004"/>
    <n v="0"/>
    <n v="0"/>
    <n v="0"/>
    <x v="126"/>
    <x v="1"/>
    <n v="640420721.61549997"/>
    <n v="-0.28007547596311066"/>
    <s v="ESGTP"/>
  </r>
  <r>
    <x v="731"/>
    <x v="132"/>
    <s v="NL0013908791"/>
    <x v="1"/>
    <s v="Broad ESG"/>
    <x v="1"/>
    <s v="ESGTG"/>
    <x v="2"/>
    <s v="Non-significant benchmark"/>
    <n v="0"/>
    <n v="0"/>
    <n v="0"/>
    <n v="0"/>
    <n v="0"/>
    <n v="0"/>
    <x v="0"/>
    <x v="1"/>
    <n v="0"/>
    <s v=""/>
    <s v="ESGTP"/>
  </r>
  <r>
    <x v="732"/>
    <x v="132"/>
    <s v="NL0013908783"/>
    <x v="1"/>
    <s v="Broad ESG"/>
    <x v="1"/>
    <s v="ESGTN"/>
    <x v="2"/>
    <s v="Non-significant benchmark"/>
    <n v="0"/>
    <n v="0"/>
    <n v="0"/>
    <n v="0"/>
    <n v="0"/>
    <n v="0"/>
    <x v="0"/>
    <x v="1"/>
    <n v="0"/>
    <s v=""/>
    <s v="ESGTP"/>
  </r>
  <r>
    <x v="733"/>
    <x v="133"/>
    <s v="FR0014005GI3"/>
    <x v="1"/>
    <s v="Climate;Environmental"/>
    <x v="1"/>
    <s v="TCAMP"/>
    <x v="2"/>
    <s v="Non-significant benchmark"/>
    <n v="0"/>
    <n v="0"/>
    <n v="0"/>
    <n v="0"/>
    <n v="0"/>
    <n v="0"/>
    <x v="0"/>
    <x v="1"/>
    <n v="0"/>
    <s v=""/>
    <s v="TCAMP"/>
  </r>
  <r>
    <x v="734"/>
    <x v="133"/>
    <s v="FR0014005GF9"/>
    <x v="1"/>
    <s v="Climate;Environmental"/>
    <x v="1"/>
    <s v="TCAMB"/>
    <x v="2"/>
    <s v="Non-significant benchmark"/>
    <n v="0"/>
    <n v="240000000"/>
    <n v="113516005.87"/>
    <n v="0"/>
    <n v="0"/>
    <n v="0"/>
    <x v="66"/>
    <x v="1"/>
    <n v="460000000"/>
    <n v="-0.47826086956521741"/>
    <s v="TCAMP"/>
  </r>
  <r>
    <x v="735"/>
    <x v="133"/>
    <s v="FR0014005GG7"/>
    <x v="1"/>
    <s v="Climate;Environmental"/>
    <x v="1"/>
    <s v="TCAMG"/>
    <x v="2"/>
    <s v="Non-significant benchmark"/>
    <n v="0"/>
    <n v="0"/>
    <n v="0"/>
    <n v="0"/>
    <n v="0"/>
    <n v="0"/>
    <x v="0"/>
    <x v="1"/>
    <n v="0"/>
    <s v=""/>
    <s v="TCAMP"/>
  </r>
  <r>
    <x v="736"/>
    <x v="134"/>
    <s v="NL0015000A61"/>
    <x v="1"/>
    <s v="Broad ESG"/>
    <x v="1"/>
    <s v="EUEPR"/>
    <x v="2"/>
    <s v="Non-significant benchmark"/>
    <n v="0"/>
    <n v="0"/>
    <n v="0"/>
    <n v="0"/>
    <n v="0"/>
    <n v="0"/>
    <x v="0"/>
    <x v="1"/>
    <n v="0"/>
    <s v=""/>
    <s v="EUEPR"/>
  </r>
  <r>
    <x v="737"/>
    <x v="134"/>
    <s v="NL0015000A95"/>
    <x v="1"/>
    <s v="Broad ESG"/>
    <x v="1"/>
    <s v="EUED5"/>
    <x v="2"/>
    <s v="Non-significant benchmark"/>
    <n v="0"/>
    <n v="0"/>
    <n v="0"/>
    <n v="0"/>
    <n v="0"/>
    <n v="0"/>
    <x v="0"/>
    <x v="1"/>
    <n v="0"/>
    <s v=""/>
    <s v="EUEPR"/>
  </r>
  <r>
    <x v="738"/>
    <x v="134"/>
    <s v="NL0015000A87"/>
    <x v="1"/>
    <s v="Broad ESG"/>
    <x v="1"/>
    <s v="EUEGR"/>
    <x v="2"/>
    <s v="Non-significant benchmark"/>
    <n v="0"/>
    <n v="0"/>
    <n v="0"/>
    <n v="0"/>
    <n v="0"/>
    <n v="0"/>
    <x v="0"/>
    <x v="1"/>
    <n v="0"/>
    <s v=""/>
    <s v="EUEPR"/>
  </r>
  <r>
    <x v="739"/>
    <x v="134"/>
    <s v="NL0015000A79"/>
    <x v="1"/>
    <s v="Broad ESG"/>
    <x v="1"/>
    <s v="EUENR"/>
    <x v="2"/>
    <s v="Non-significant benchmark"/>
    <n v="0"/>
    <n v="0"/>
    <n v="0"/>
    <n v="0"/>
    <n v="0"/>
    <n v="0"/>
    <x v="0"/>
    <x v="1"/>
    <n v="0"/>
    <s v=""/>
    <s v="EUEPR"/>
  </r>
  <r>
    <x v="740"/>
    <x v="135"/>
    <s v="FR0014005GE2"/>
    <x v="1"/>
    <s v="Climate;Environmental"/>
    <x v="1"/>
    <s v="USCLA"/>
    <x v="2"/>
    <s v="Non-significant benchmark"/>
    <n v="0"/>
    <n v="0"/>
    <n v="0"/>
    <n v="0"/>
    <n v="0"/>
    <n v="0"/>
    <x v="0"/>
    <x v="1"/>
    <n v="0"/>
    <s v=""/>
    <s v="USCLA"/>
  </r>
  <r>
    <x v="741"/>
    <x v="135"/>
    <s v="FR0014005IJ7"/>
    <x v="1"/>
    <s v="Climate;Environmental"/>
    <x v="1"/>
    <s v="USCLE"/>
    <x v="2"/>
    <s v="Non-significant benchmark"/>
    <n v="0"/>
    <n v="0"/>
    <n v="0"/>
    <n v="0"/>
    <n v="0"/>
    <n v="0"/>
    <x v="0"/>
    <x v="1"/>
    <n v="0"/>
    <s v=""/>
    <s v="USCLE"/>
  </r>
  <r>
    <x v="742"/>
    <x v="135"/>
    <s v="FR0014005GK9"/>
    <x v="1"/>
    <s v="Climate;Environmental"/>
    <x v="1"/>
    <s v="USCLG"/>
    <x v="2"/>
    <s v="Non-significant benchmark"/>
    <n v="0"/>
    <n v="0"/>
    <n v="0"/>
    <n v="0"/>
    <n v="0"/>
    <n v="0"/>
    <x v="0"/>
    <x v="1"/>
    <n v="0"/>
    <s v=""/>
    <s v="USCLA"/>
  </r>
  <r>
    <x v="743"/>
    <x v="135"/>
    <s v="FR0014005II9"/>
    <x v="1"/>
    <s v="Climate;Environmental"/>
    <x v="1"/>
    <s v="USCEG"/>
    <x v="2"/>
    <s v="Non-significant benchmark"/>
    <n v="0"/>
    <n v="0"/>
    <n v="0"/>
    <n v="0"/>
    <n v="0"/>
    <n v="0"/>
    <x v="0"/>
    <x v="1"/>
    <n v="0"/>
    <s v=""/>
    <s v="USCLE"/>
  </r>
  <r>
    <x v="744"/>
    <x v="135"/>
    <s v="FR0014005GH5"/>
    <x v="1"/>
    <s v="Climate;Environmental"/>
    <x v="1"/>
    <s v="USCLN"/>
    <x v="2"/>
    <s v="Non-significant benchmark"/>
    <n v="0"/>
    <n v="0"/>
    <n v="0"/>
    <n v="0"/>
    <n v="0"/>
    <n v="0"/>
    <x v="0"/>
    <x v="1"/>
    <n v="0"/>
    <s v=""/>
    <s v="USCLA"/>
  </r>
  <r>
    <x v="745"/>
    <x v="135"/>
    <s v="FR0014005IM1"/>
    <x v="1"/>
    <s v="Climate;Environmental"/>
    <x v="1"/>
    <s v="USCEN"/>
    <x v="2"/>
    <s v="Non-significant benchmark"/>
    <n v="0"/>
    <n v="0"/>
    <n v="0"/>
    <n v="0"/>
    <n v="0"/>
    <n v="0"/>
    <x v="0"/>
    <x v="1"/>
    <n v="0"/>
    <s v=""/>
    <s v="USCLE"/>
  </r>
  <r>
    <x v="746"/>
    <x v="136"/>
    <s v="FRESG0000249"/>
    <x v="1"/>
    <s v="Climate;Environmental"/>
    <x v="1"/>
    <s v="USC3P"/>
    <x v="2"/>
    <s v="Non-significant benchmark"/>
    <n v="0"/>
    <n v="0"/>
    <n v="0"/>
    <n v="0"/>
    <n v="0"/>
    <n v="0"/>
    <x v="0"/>
    <x v="1"/>
    <n v="0"/>
    <s v=""/>
    <s v="USC3P"/>
  </r>
  <r>
    <x v="747"/>
    <x v="136"/>
    <s v="FRESG0000272"/>
    <x v="1"/>
    <s v="Climate;Environmental"/>
    <x v="1"/>
    <s v="UC3PE"/>
    <x v="2"/>
    <s v="Non-significant benchmark"/>
    <n v="0"/>
    <n v="0"/>
    <n v="0"/>
    <n v="0"/>
    <n v="0"/>
    <n v="0"/>
    <x v="0"/>
    <x v="1"/>
    <n v="0"/>
    <s v=""/>
    <s v="UC3PE"/>
  </r>
  <r>
    <x v="748"/>
    <x v="136"/>
    <s v="FRESG0000256"/>
    <x v="1"/>
    <s v="Climate;Environmental"/>
    <x v="1"/>
    <s v="USC3G"/>
    <x v="2"/>
    <s v="Non-significant benchmark"/>
    <n v="0"/>
    <n v="0"/>
    <n v="0"/>
    <n v="0"/>
    <n v="0"/>
    <n v="0"/>
    <x v="0"/>
    <x v="1"/>
    <n v="0"/>
    <s v=""/>
    <s v="USC3P"/>
  </r>
  <r>
    <x v="749"/>
    <x v="136"/>
    <s v="FRESG0000280"/>
    <x v="1"/>
    <s v="Climate;Environmental"/>
    <x v="1"/>
    <s v="UC3EG"/>
    <x v="2"/>
    <s v="Non-significant benchmark"/>
    <n v="0"/>
    <n v="0"/>
    <n v="0"/>
    <n v="0"/>
    <n v="0"/>
    <n v="0"/>
    <x v="0"/>
    <x v="1"/>
    <n v="0"/>
    <s v=""/>
    <s v="UC3PE"/>
  </r>
  <r>
    <x v="750"/>
    <x v="136"/>
    <s v="FRESG0000264"/>
    <x v="1"/>
    <s v="Climate;Environmental"/>
    <x v="1"/>
    <s v="USC3N"/>
    <x v="2"/>
    <s v="Non-significant benchmark"/>
    <n v="0"/>
    <n v="0"/>
    <n v="0"/>
    <n v="0"/>
    <n v="0"/>
    <n v="0"/>
    <x v="0"/>
    <x v="1"/>
    <n v="0"/>
    <s v=""/>
    <s v="USC3P"/>
  </r>
  <r>
    <x v="751"/>
    <x v="136"/>
    <s v="FRESG0000298"/>
    <x v="1"/>
    <s v="Climate;Environmental"/>
    <x v="1"/>
    <s v="UC3EN"/>
    <x v="2"/>
    <s v="Non-significant benchmark"/>
    <n v="0"/>
    <n v="0"/>
    <n v="0"/>
    <n v="0"/>
    <n v="0"/>
    <n v="0"/>
    <x v="0"/>
    <x v="1"/>
    <n v="0"/>
    <s v=""/>
    <s v="UC3PE"/>
  </r>
  <r>
    <x v="752"/>
    <x v="137"/>
    <s v="NL0015000ED5"/>
    <x v="1"/>
    <s v="Climate;CTB"/>
    <x v="3"/>
    <s v="EVEWP"/>
    <x v="2"/>
    <s v="Non-significant benchmark"/>
    <n v="5262516339"/>
    <n v="0"/>
    <n v="0"/>
    <n v="0"/>
    <n v="0"/>
    <n v="0"/>
    <x v="127"/>
    <x v="1"/>
    <n v="3970000000"/>
    <n v="0.32557086624685128"/>
    <s v="EVEWP"/>
  </r>
  <r>
    <x v="753"/>
    <x v="137"/>
    <s v="NL0015000EA1"/>
    <x v="1"/>
    <s v="Climate;CTB"/>
    <x v="3"/>
    <s v="EVEWG"/>
    <x v="2"/>
    <s v="Non-significant benchmark"/>
    <n v="0"/>
    <n v="0"/>
    <n v="0"/>
    <n v="0"/>
    <n v="0"/>
    <n v="0"/>
    <x v="0"/>
    <x v="1"/>
    <n v="0"/>
    <s v=""/>
    <s v="EVEWP"/>
  </r>
  <r>
    <x v="754"/>
    <x v="137"/>
    <s v="NL0015000EG8"/>
    <x v="1"/>
    <s v="Climate;CTB"/>
    <x v="3"/>
    <s v="EVEWN"/>
    <x v="2"/>
    <s v="Non-significant benchmark"/>
    <n v="0"/>
    <n v="0"/>
    <n v="0"/>
    <n v="0"/>
    <n v="0"/>
    <n v="0"/>
    <x v="0"/>
    <x v="1"/>
    <n v="0"/>
    <s v=""/>
    <s v="EVEWP"/>
  </r>
  <r>
    <x v="755"/>
    <x v="138"/>
    <s v="FR0014004FP3"/>
    <x v="1"/>
    <s v="Social"/>
    <x v="1"/>
    <s v="EZSFP"/>
    <x v="2"/>
    <s v="Non-significant benchmark"/>
    <n v="0"/>
    <n v="0"/>
    <n v="0"/>
    <n v="0"/>
    <n v="0"/>
    <n v="0"/>
    <x v="0"/>
    <x v="1"/>
    <n v="0"/>
    <s v=""/>
    <s v="EZSFP"/>
  </r>
  <r>
    <x v="756"/>
    <x v="138"/>
    <s v="FR0014004FM0"/>
    <x v="1"/>
    <s v="Social"/>
    <x v="1"/>
    <s v="EZSFD"/>
    <x v="2"/>
    <s v="Non-significant benchmark"/>
    <n v="0"/>
    <n v="30000000"/>
    <n v="100759846.184"/>
    <n v="0"/>
    <n v="0"/>
    <n v="0"/>
    <x v="128"/>
    <x v="1"/>
    <n v="112939759.2995"/>
    <n v="-0.10784433392673187"/>
    <s v="EZSFP"/>
  </r>
  <r>
    <x v="757"/>
    <x v="138"/>
    <s v="FR0014004FN8"/>
    <x v="1"/>
    <s v="Social"/>
    <x v="1"/>
    <s v="EZSFG"/>
    <x v="2"/>
    <s v="Non-significant benchmark"/>
    <n v="0"/>
    <n v="0"/>
    <n v="0"/>
    <n v="0"/>
    <n v="0"/>
    <n v="0"/>
    <x v="0"/>
    <x v="1"/>
    <n v="0"/>
    <s v=""/>
    <s v="EZSFP"/>
  </r>
  <r>
    <x v="758"/>
    <x v="138"/>
    <s v="FR0014004FO6"/>
    <x v="1"/>
    <s v="Social"/>
    <x v="1"/>
    <s v="EZSFN"/>
    <x v="2"/>
    <s v="Non-significant benchmark"/>
    <n v="0"/>
    <n v="0"/>
    <n v="0"/>
    <n v="0"/>
    <n v="0"/>
    <n v="0"/>
    <x v="0"/>
    <x v="1"/>
    <n v="0"/>
    <s v=""/>
    <s v="EZSFP"/>
  </r>
  <r>
    <x v="759"/>
    <x v="139"/>
    <s v="QS0011256250"/>
    <x v="1"/>
    <s v="Broad ESG"/>
    <x v="1"/>
    <s v="ENVBG"/>
    <x v="2"/>
    <s v="Non-significant benchmark"/>
    <n v="0"/>
    <n v="0"/>
    <n v="0"/>
    <n v="0"/>
    <n v="0"/>
    <n v="0"/>
    <x v="0"/>
    <x v="1"/>
    <n v="0"/>
    <s v=""/>
    <s v="ENVB"/>
  </r>
  <r>
    <x v="760"/>
    <x v="139"/>
    <s v="QS0011256235"/>
    <x v="1"/>
    <s v="Broad ESG"/>
    <x v="1"/>
    <s v="ENVB"/>
    <x v="2"/>
    <s v="Non-significant benchmark"/>
    <n v="0"/>
    <n v="0"/>
    <n v="0"/>
    <n v="0"/>
    <n v="0"/>
    <n v="0"/>
    <x v="0"/>
    <x v="1"/>
    <n v="0"/>
    <s v=""/>
    <s v="ENVB"/>
  </r>
  <r>
    <x v="761"/>
    <x v="139"/>
    <s v="QS0011256243"/>
    <x v="1"/>
    <s v="Broad ESG"/>
    <x v="1"/>
    <s v="ENVBN"/>
    <x v="2"/>
    <s v="Non-significant benchmark"/>
    <n v="0"/>
    <n v="0"/>
    <n v="0"/>
    <n v="0"/>
    <n v="0"/>
    <n v="0"/>
    <x v="0"/>
    <x v="1"/>
    <n v="0"/>
    <s v=""/>
    <s v="ENVB"/>
  </r>
  <r>
    <x v="762"/>
    <x v="140"/>
    <s v="QS0011256227"/>
    <x v="1"/>
    <s v="Broad ESG"/>
    <x v="1"/>
    <s v="ENVOG"/>
    <x v="2"/>
    <s v="Non-significant benchmark"/>
    <n v="0"/>
    <n v="0"/>
    <n v="0"/>
    <n v="0"/>
    <n v="0"/>
    <n v="0"/>
    <x v="0"/>
    <x v="1"/>
    <n v="0"/>
    <s v=""/>
    <s v="ENVEO"/>
  </r>
  <r>
    <x v="763"/>
    <x v="140"/>
    <s v="QS0011256201"/>
    <x v="1"/>
    <s v="Broad ESG"/>
    <x v="1"/>
    <s v="ENVEO"/>
    <x v="2"/>
    <s v="Non-significant benchmark"/>
    <n v="0"/>
    <n v="0"/>
    <n v="0"/>
    <n v="0"/>
    <n v="0"/>
    <n v="0"/>
    <x v="0"/>
    <x v="1"/>
    <n v="0"/>
    <s v=""/>
    <s v="ENVEO"/>
  </r>
  <r>
    <x v="764"/>
    <x v="140"/>
    <s v="QS0011256219"/>
    <x v="1"/>
    <s v="Broad ESG"/>
    <x v="1"/>
    <s v="ENVON"/>
    <x v="2"/>
    <s v="Non-significant benchmark"/>
    <n v="0"/>
    <n v="0"/>
    <n v="0"/>
    <n v="0"/>
    <n v="0"/>
    <n v="0"/>
    <x v="0"/>
    <x v="1"/>
    <n v="0"/>
    <s v=""/>
    <s v="ENVEO"/>
  </r>
  <r>
    <x v="765"/>
    <x v="141"/>
    <s v="QS0011250899"/>
    <x v="1"/>
    <s v="Broad ESG"/>
    <x v="1"/>
    <s v="ENVEG"/>
    <x v="2"/>
    <s v="Non-significant benchmark"/>
    <n v="0"/>
    <n v="0"/>
    <n v="0"/>
    <n v="0"/>
    <n v="0"/>
    <n v="0"/>
    <x v="0"/>
    <x v="1"/>
    <n v="0"/>
    <s v=""/>
    <s v="ENVEU"/>
  </r>
  <r>
    <x v="766"/>
    <x v="141"/>
    <s v="QS0011250873"/>
    <x v="1"/>
    <s v="Broad ESG"/>
    <x v="1"/>
    <s v="ENVEU"/>
    <x v="2"/>
    <s v="Non-significant benchmark"/>
    <n v="0"/>
    <n v="0"/>
    <n v="0"/>
    <n v="0"/>
    <n v="0"/>
    <n v="0"/>
    <x v="0"/>
    <x v="1"/>
    <n v="0"/>
    <s v=""/>
    <s v="ENVEU"/>
  </r>
  <r>
    <x v="767"/>
    <x v="141"/>
    <s v="QS0011250881"/>
    <x v="1"/>
    <s v="Broad ESG"/>
    <x v="1"/>
    <s v="ENVEN"/>
    <x v="2"/>
    <s v="Non-significant benchmark"/>
    <n v="0"/>
    <n v="0"/>
    <n v="0"/>
    <n v="0"/>
    <n v="0"/>
    <n v="0"/>
    <x v="0"/>
    <x v="1"/>
    <n v="0"/>
    <s v=""/>
    <s v="ENVEU"/>
  </r>
  <r>
    <x v="768"/>
    <x v="142"/>
    <s v="QS0011250923"/>
    <x v="1"/>
    <s v="Broad ESG"/>
    <x v="1"/>
    <s v="ENVFG"/>
    <x v="2"/>
    <s v="Non-significant benchmark"/>
    <n v="0"/>
    <n v="0"/>
    <n v="0"/>
    <n v="0"/>
    <n v="0"/>
    <n v="0"/>
    <x v="0"/>
    <x v="1"/>
    <n v="0"/>
    <s v=""/>
    <s v="ENVF"/>
  </r>
  <r>
    <x v="769"/>
    <x v="142"/>
    <s v="QS0011250907"/>
    <x v="1"/>
    <s v="Broad ESG"/>
    <x v="1"/>
    <s v="ENVF"/>
    <x v="2"/>
    <s v="Non-significant benchmark"/>
    <n v="0"/>
    <n v="0"/>
    <n v="0"/>
    <n v="0"/>
    <n v="0"/>
    <n v="0"/>
    <x v="0"/>
    <x v="1"/>
    <n v="0"/>
    <s v=""/>
    <s v="ENVF"/>
  </r>
  <r>
    <x v="770"/>
    <x v="142"/>
    <s v="QS0011250915"/>
    <x v="1"/>
    <s v="Broad ESG"/>
    <x v="1"/>
    <s v="ENVFN"/>
    <x v="2"/>
    <s v="Non-significant benchmark"/>
    <n v="0"/>
    <n v="0"/>
    <n v="0"/>
    <n v="0"/>
    <n v="0"/>
    <n v="0"/>
    <x v="0"/>
    <x v="1"/>
    <n v="0"/>
    <s v=""/>
    <s v="ENVF"/>
  </r>
  <r>
    <x v="771"/>
    <x v="143"/>
    <s v="QS0011250956"/>
    <x v="1"/>
    <s v="Broad ESG"/>
    <x v="1"/>
    <s v="ENVUG"/>
    <x v="2"/>
    <s v="Non-significant benchmark"/>
    <n v="0"/>
    <n v="0"/>
    <n v="0"/>
    <n v="0"/>
    <n v="0"/>
    <n v="0"/>
    <x v="0"/>
    <x v="1"/>
    <n v="0"/>
    <s v=""/>
    <s v="ENVUK"/>
  </r>
  <r>
    <x v="772"/>
    <x v="143"/>
    <s v="QS0011250931"/>
    <x v="1"/>
    <s v="Broad ESG"/>
    <x v="1"/>
    <s v="ENVUK"/>
    <x v="2"/>
    <s v="Non-significant benchmark"/>
    <n v="0"/>
    <n v="0"/>
    <n v="0"/>
    <n v="0"/>
    <n v="0"/>
    <n v="0"/>
    <x v="0"/>
    <x v="1"/>
    <n v="0"/>
    <s v=""/>
    <s v="ENVUK"/>
  </r>
  <r>
    <x v="773"/>
    <x v="143"/>
    <s v="QS0011250949"/>
    <x v="1"/>
    <s v="Broad ESG"/>
    <x v="1"/>
    <s v="ENVUN"/>
    <x v="2"/>
    <s v="Non-significant benchmark"/>
    <n v="0"/>
    <n v="0"/>
    <n v="0"/>
    <n v="0"/>
    <n v="0"/>
    <n v="0"/>
    <x v="0"/>
    <x v="1"/>
    <n v="0"/>
    <s v=""/>
    <s v="ENVUK"/>
  </r>
  <r>
    <x v="774"/>
    <x v="144"/>
    <s v="QS0011256169"/>
    <x v="1"/>
    <s v="Broad ESG"/>
    <x v="1"/>
    <s v="ENVU"/>
    <x v="2"/>
    <s v="Non-significant benchmark"/>
    <n v="0"/>
    <n v="0"/>
    <n v="0"/>
    <n v="0"/>
    <n v="0"/>
    <n v="0"/>
    <x v="0"/>
    <x v="1"/>
    <n v="0"/>
    <s v=""/>
    <s v="ENVU"/>
  </r>
  <r>
    <x v="775"/>
    <x v="144"/>
    <s v="QS0011256193"/>
    <x v="1"/>
    <s v="Broad ESG"/>
    <x v="1"/>
    <s v="ENVG"/>
    <x v="2"/>
    <s v="Non-significant benchmark"/>
    <n v="0"/>
    <n v="0"/>
    <n v="0"/>
    <n v="0"/>
    <n v="0"/>
    <n v="0"/>
    <x v="0"/>
    <x v="1"/>
    <n v="0"/>
    <s v=""/>
    <s v="ENVU"/>
  </r>
  <r>
    <x v="776"/>
    <x v="144"/>
    <s v="QS0011256185"/>
    <x v="1"/>
    <s v="Broad ESG"/>
    <x v="1"/>
    <s v="ENVN"/>
    <x v="2"/>
    <s v="Non-significant benchmark"/>
    <n v="0"/>
    <n v="0"/>
    <n v="0"/>
    <n v="0"/>
    <n v="0"/>
    <n v="0"/>
    <x v="0"/>
    <x v="1"/>
    <n v="0"/>
    <s v=""/>
    <s v="ENVU"/>
  </r>
  <r>
    <x v="777"/>
    <x v="145"/>
    <s v="QS0011250865"/>
    <x v="1"/>
    <s v="Broad ESG"/>
    <x v="1"/>
    <s v="ENVWG"/>
    <x v="2"/>
    <s v="Non-significant benchmark"/>
    <n v="0"/>
    <n v="0"/>
    <n v="0"/>
    <n v="0"/>
    <n v="0"/>
    <n v="0"/>
    <x v="0"/>
    <x v="1"/>
    <n v="0"/>
    <s v=""/>
    <s v="ENVW"/>
  </r>
  <r>
    <x v="778"/>
    <x v="145"/>
    <s v="QS0011250857"/>
    <x v="1"/>
    <s v="Broad ESG"/>
    <x v="1"/>
    <s v="ENVWN"/>
    <x v="2"/>
    <s v="Non-significant benchmark"/>
    <n v="0"/>
    <n v="0"/>
    <n v="0"/>
    <n v="0"/>
    <n v="0"/>
    <n v="0"/>
    <x v="0"/>
    <x v="1"/>
    <n v="0"/>
    <s v=""/>
    <s v="ENVW"/>
  </r>
  <r>
    <x v="779"/>
    <x v="145"/>
    <s v="QS0011250840"/>
    <x v="1"/>
    <s v="Broad ESG"/>
    <x v="1"/>
    <s v="ENVW"/>
    <x v="2"/>
    <s v="Non-significant benchmark"/>
    <n v="0"/>
    <n v="0"/>
    <n v="0"/>
    <n v="0"/>
    <n v="0"/>
    <n v="0"/>
    <x v="0"/>
    <x v="1"/>
    <n v="0"/>
    <s v=""/>
    <s v="ENVW"/>
  </r>
  <r>
    <x v="780"/>
    <x v="146"/>
    <s v="NL0013908866"/>
    <x v="1"/>
    <s v="Water;Ocean"/>
    <x v="1"/>
    <s v="WAT4D"/>
    <x v="2"/>
    <s v="Non-significant benchmark"/>
    <n v="0"/>
    <n v="31500000"/>
    <n v="524982.7452"/>
    <n v="0"/>
    <n v="0"/>
    <n v="0"/>
    <x v="129"/>
    <x v="1"/>
    <n v="30000000"/>
    <n v="5.0000000000000044E-2"/>
    <s v="WATPR"/>
  </r>
  <r>
    <x v="781"/>
    <x v="146"/>
    <s v="NL0013908858"/>
    <x v="1"/>
    <s v="Water;Ocean"/>
    <x v="1"/>
    <s v="WAT5D"/>
    <x v="2"/>
    <s v="Non-significant benchmark"/>
    <n v="0"/>
    <n v="90500000"/>
    <n v="457831004.93240005"/>
    <n v="0"/>
    <n v="0"/>
    <n v="0"/>
    <x v="130"/>
    <x v="1"/>
    <n v="462567598.68970001"/>
    <n v="-1.0239787159146418E-2"/>
    <s v="WATPR"/>
  </r>
  <r>
    <x v="782"/>
    <x v="146"/>
    <s v="NL0013908841"/>
    <x v="1"/>
    <s v="Water;Ocean"/>
    <x v="1"/>
    <s v="WATGR"/>
    <x v="2"/>
    <s v="Non-significant benchmark"/>
    <n v="0"/>
    <n v="0"/>
    <n v="0"/>
    <n v="0"/>
    <n v="0"/>
    <n v="0"/>
    <x v="0"/>
    <x v="1"/>
    <n v="0"/>
    <s v=""/>
    <s v="WATPR"/>
  </r>
  <r>
    <x v="783"/>
    <x v="146"/>
    <s v="NL0013908833"/>
    <x v="1"/>
    <s v="Water;Ocean"/>
    <x v="1"/>
    <s v="WATNR"/>
    <x v="2"/>
    <s v="Non-significant benchmark"/>
    <n v="0"/>
    <n v="0"/>
    <n v="0"/>
    <n v="0"/>
    <n v="0"/>
    <n v="0"/>
    <x v="0"/>
    <x v="1"/>
    <n v="0"/>
    <s v=""/>
    <s v="WATPR"/>
  </r>
  <r>
    <x v="784"/>
    <x v="146"/>
    <s v="NL0013908825"/>
    <x v="1"/>
    <s v="Water;Ocean"/>
    <x v="1"/>
    <s v="WATPR"/>
    <x v="2"/>
    <s v="Non-significant benchmark"/>
    <n v="0"/>
    <n v="0"/>
    <n v="0"/>
    <n v="0"/>
    <n v="0"/>
    <n v="0"/>
    <x v="0"/>
    <x v="1"/>
    <n v="0"/>
    <s v=""/>
    <s v="WATPR"/>
  </r>
  <r>
    <x v="785"/>
    <x v="147"/>
    <s v="NL0015000IB0"/>
    <x v="0"/>
    <s v="International"/>
    <x v="0"/>
    <s v="ENWP"/>
    <x v="0"/>
    <s v="Non-significant benchmark"/>
    <n v="0"/>
    <n v="0"/>
    <n v="0"/>
    <n v="0"/>
    <n v="0"/>
    <n v="0"/>
    <x v="0"/>
    <x v="1"/>
    <n v="0"/>
    <s v=""/>
    <s v="ENWP"/>
  </r>
  <r>
    <x v="786"/>
    <x v="147"/>
    <s v="NL0015000I97"/>
    <x v="0"/>
    <s v="International"/>
    <x v="0"/>
    <s v="ENWG"/>
    <x v="0"/>
    <s v="Non-significant benchmark"/>
    <n v="0"/>
    <n v="0"/>
    <n v="0"/>
    <n v="0"/>
    <n v="0"/>
    <n v="0"/>
    <x v="0"/>
    <x v="1"/>
    <n v="0"/>
    <s v=""/>
    <s v="ENWP"/>
  </r>
  <r>
    <x v="787"/>
    <x v="147"/>
    <s v="NL0015000IA2"/>
    <x v="0"/>
    <s v="International"/>
    <x v="0"/>
    <s v="ENWN"/>
    <x v="0"/>
    <s v="Non-significant benchmark"/>
    <n v="0"/>
    <n v="0"/>
    <n v="0"/>
    <n v="0"/>
    <n v="0"/>
    <n v="0"/>
    <x v="0"/>
    <x v="1"/>
    <n v="0"/>
    <s v=""/>
    <s v="ENWP"/>
  </r>
  <r>
    <x v="788"/>
    <x v="148"/>
    <s v="NL0015000E91"/>
    <x v="0"/>
    <s v="International"/>
    <x v="0"/>
    <s v="EWCSP"/>
    <x v="0"/>
    <s v="Non-significant benchmark"/>
    <n v="0"/>
    <n v="0"/>
    <n v="0"/>
    <n v="0"/>
    <n v="0"/>
    <n v="0"/>
    <x v="0"/>
    <x v="1"/>
    <n v="0"/>
    <s v=""/>
    <s v="EWCSP"/>
  </r>
  <r>
    <x v="789"/>
    <x v="148"/>
    <s v="NL0015000E75"/>
    <x v="0"/>
    <s v="International"/>
    <x v="0"/>
    <s v="EWCSG"/>
    <x v="0"/>
    <s v="Non-significant benchmark"/>
    <n v="0"/>
    <n v="0"/>
    <n v="0"/>
    <n v="0"/>
    <n v="0"/>
    <n v="0"/>
    <x v="0"/>
    <x v="1"/>
    <n v="0"/>
    <s v=""/>
    <s v="EWCSP"/>
  </r>
  <r>
    <x v="790"/>
    <x v="148"/>
    <s v="NL0015000EB9"/>
    <x v="0"/>
    <s v="International"/>
    <x v="0"/>
    <s v="EWCSN"/>
    <x v="0"/>
    <s v="Non-significant benchmark"/>
    <n v="0"/>
    <n v="0"/>
    <n v="0"/>
    <n v="0"/>
    <n v="0"/>
    <n v="0"/>
    <x v="0"/>
    <x v="1"/>
    <n v="0"/>
    <s v=""/>
    <s v="EWCSP"/>
  </r>
  <r>
    <x v="791"/>
    <x v="149"/>
    <s v="FRESG0000348"/>
    <x v="1"/>
    <s v="Climate;Environmental"/>
    <x v="1"/>
    <s v="WCAMP"/>
    <x v="2"/>
    <s v="Non-significant benchmark"/>
    <n v="0"/>
    <n v="0"/>
    <n v="0"/>
    <n v="0"/>
    <n v="0"/>
    <n v="0"/>
    <x v="0"/>
    <x v="1"/>
    <n v="0"/>
    <s v=""/>
    <s v="WCAMP"/>
  </r>
  <r>
    <x v="792"/>
    <x v="149"/>
    <s v="FRESG0000363"/>
    <x v="1"/>
    <s v="Climate;Environmental"/>
    <x v="1"/>
    <s v="WCAMB"/>
    <x v="2"/>
    <s v="Non-significant benchmark"/>
    <n v="304810000"/>
    <n v="0"/>
    <n v="205203781.808"/>
    <n v="0"/>
    <n v="0"/>
    <n v="0"/>
    <x v="131"/>
    <x v="1"/>
    <n v="206000641.604"/>
    <n v="0.47965558566532818"/>
    <s v="WCAMP"/>
  </r>
  <r>
    <x v="793"/>
    <x v="149"/>
    <s v="FRESG0000355"/>
    <x v="1"/>
    <s v="Climate;Environmental"/>
    <x v="1"/>
    <s v="WCAMG"/>
    <x v="2"/>
    <s v="Non-significant benchmark"/>
    <n v="0"/>
    <n v="0"/>
    <n v="0"/>
    <n v="0"/>
    <n v="0"/>
    <n v="0"/>
    <x v="0"/>
    <x v="1"/>
    <n v="0"/>
    <s v=""/>
    <s v="WCAMP"/>
  </r>
  <r>
    <x v="794"/>
    <x v="3"/>
    <s v="IE00B2QF4Z54"/>
    <x v="0"/>
    <s v="Country"/>
    <x v="0"/>
    <s v="ISECA"/>
    <x v="3"/>
    <s v="Non-significant benchmark"/>
    <n v="0"/>
    <n v="0"/>
    <n v="0"/>
    <n v="0"/>
    <n v="0"/>
    <n v="0"/>
    <x v="0"/>
    <x v="1"/>
    <n v="0"/>
    <s v=""/>
    <s v="ISE20"/>
  </r>
  <r>
    <x v="795"/>
    <x v="3"/>
    <s v="IE00B2QF5075"/>
    <x v="0"/>
    <s v="Country"/>
    <x v="0"/>
    <s v="ISECG"/>
    <x v="3"/>
    <s v="Non-significant benchmark"/>
    <n v="0"/>
    <n v="0"/>
    <n v="0"/>
    <n v="0"/>
    <n v="0"/>
    <n v="0"/>
    <x v="0"/>
    <x v="1"/>
    <n v="0"/>
    <s v=""/>
    <s v="ISE20"/>
  </r>
  <r>
    <x v="796"/>
    <x v="3"/>
    <s v="IE0000506299"/>
    <x v="0"/>
    <s v="Country"/>
    <x v="0"/>
    <s v="ISESM"/>
    <x v="3"/>
    <s v="Non-significant benchmark"/>
    <n v="0"/>
    <n v="0"/>
    <n v="0"/>
    <n v="0"/>
    <n v="0"/>
    <n v="0"/>
    <x v="0"/>
    <x v="1"/>
    <n v="0"/>
    <s v=""/>
    <s v="ISESM"/>
  </r>
  <r>
    <x v="797"/>
    <x v="3"/>
    <s v="IE0000506745"/>
    <x v="0"/>
    <s v="Country"/>
    <x v="0"/>
    <s v="ISESG"/>
    <x v="3"/>
    <s v="Non-significant benchmark"/>
    <n v="0"/>
    <n v="0"/>
    <n v="0"/>
    <n v="0"/>
    <n v="0"/>
    <n v="0"/>
    <x v="0"/>
    <x v="1"/>
    <n v="0"/>
    <s v=""/>
    <s v="ISESM"/>
  </r>
  <r>
    <x v="798"/>
    <x v="150"/>
    <s v="IE0001477250"/>
    <x v="0"/>
    <s v="Country"/>
    <x v="0"/>
    <s v="ISEQ"/>
    <x v="3"/>
    <s v="Non-significant benchmark"/>
    <n v="0"/>
    <n v="0"/>
    <n v="0"/>
    <n v="0"/>
    <n v="0"/>
    <n v="0"/>
    <x v="0"/>
    <x v="1"/>
    <n v="336215409.92613161"/>
    <n v="-1"/>
    <s v="ISEQ"/>
  </r>
  <r>
    <x v="799"/>
    <x v="150"/>
    <s v="IE0000506851"/>
    <x v="0"/>
    <s v="Country"/>
    <x v="0"/>
    <s v="ISEQG"/>
    <x v="3"/>
    <s v="Non-significant benchmark"/>
    <n v="0"/>
    <n v="0"/>
    <n v="0"/>
    <n v="0"/>
    <n v="0"/>
    <n v="0"/>
    <x v="0"/>
    <x v="1"/>
    <n v="0"/>
    <s v=""/>
    <s v="ISEQ"/>
  </r>
  <r>
    <x v="800"/>
    <x v="150"/>
    <s v="IE00BL6TX318"/>
    <x v="0"/>
    <s v="Industry"/>
    <x v="0"/>
    <s v="ISEBM"/>
    <x v="3"/>
    <s v="Non-significant benchmark"/>
    <n v="0"/>
    <n v="0"/>
    <n v="0"/>
    <n v="0"/>
    <n v="0"/>
    <n v="0"/>
    <x v="0"/>
    <x v="1"/>
    <n v="0"/>
    <s v=""/>
    <s v="ISEBM"/>
  </r>
  <r>
    <x v="801"/>
    <x v="150"/>
    <s v="IE00BL6TX425"/>
    <x v="0"/>
    <s v="Industry"/>
    <x v="0"/>
    <s v="ISEBG"/>
    <x v="3"/>
    <s v="Non-significant benchmark"/>
    <n v="0"/>
    <n v="0"/>
    <n v="0"/>
    <n v="0"/>
    <n v="0"/>
    <n v="0"/>
    <x v="0"/>
    <x v="1"/>
    <n v="0"/>
    <s v=""/>
    <s v="ISEBM"/>
  </r>
  <r>
    <x v="802"/>
    <x v="150"/>
    <s v="IE00BL6TX532"/>
    <x v="0"/>
    <s v="Industry"/>
    <x v="0"/>
    <s v="ISCG"/>
    <x v="3"/>
    <s v="Non-significant benchmark"/>
    <n v="0"/>
    <n v="0"/>
    <n v="0"/>
    <n v="0"/>
    <n v="0"/>
    <n v="0"/>
    <x v="0"/>
    <x v="1"/>
    <n v="0"/>
    <s v=""/>
    <s v="ISCG"/>
  </r>
  <r>
    <x v="803"/>
    <x v="150"/>
    <s v="IE00BL6TX649"/>
    <x v="0"/>
    <s v="Industry"/>
    <x v="0"/>
    <s v="ISCGG"/>
    <x v="3"/>
    <s v="Non-significant benchmark"/>
    <n v="0"/>
    <n v="0"/>
    <n v="0"/>
    <n v="0"/>
    <n v="0"/>
    <n v="0"/>
    <x v="0"/>
    <x v="1"/>
    <n v="0"/>
    <s v=""/>
    <s v="ISCG"/>
  </r>
  <r>
    <x v="804"/>
    <x v="150"/>
    <s v="IE00BL6TX755"/>
    <x v="0"/>
    <s v="Industry"/>
    <x v="0"/>
    <s v="ISECS"/>
    <x v="3"/>
    <s v="Non-significant benchmark"/>
    <n v="0"/>
    <n v="0"/>
    <n v="0"/>
    <n v="0"/>
    <n v="0"/>
    <n v="0"/>
    <x v="0"/>
    <x v="1"/>
    <n v="0"/>
    <s v=""/>
    <s v="ISECS"/>
  </r>
  <r>
    <x v="805"/>
    <x v="150"/>
    <s v="IE00BL6TX862"/>
    <x v="0"/>
    <s v="Industry"/>
    <x v="0"/>
    <s v="ISCSG"/>
    <x v="3"/>
    <s v="Non-significant benchmark"/>
    <n v="0"/>
    <n v="0"/>
    <n v="0"/>
    <n v="0"/>
    <n v="0"/>
    <n v="0"/>
    <x v="0"/>
    <x v="1"/>
    <n v="0"/>
    <s v=""/>
    <s v="ISECS"/>
  </r>
  <r>
    <x v="806"/>
    <x v="150"/>
    <s v="IE00BL6TXF35"/>
    <x v="0"/>
    <s v="Industry"/>
    <x v="0"/>
    <s v="ISEOG"/>
    <x v="3"/>
    <s v="Non-significant benchmark"/>
    <n v="0"/>
    <n v="0"/>
    <n v="0"/>
    <n v="0"/>
    <n v="0"/>
    <n v="0"/>
    <x v="0"/>
    <x v="1"/>
    <n v="0"/>
    <s v=""/>
    <s v="ISEOG"/>
  </r>
  <r>
    <x v="807"/>
    <x v="150"/>
    <s v="IE00BL6TXG42"/>
    <x v="0"/>
    <s v="Industry"/>
    <x v="0"/>
    <s v="ISOGG"/>
    <x v="3"/>
    <s v="Non-significant benchmark"/>
    <n v="0"/>
    <n v="0"/>
    <n v="0"/>
    <n v="0"/>
    <n v="0"/>
    <n v="0"/>
    <x v="0"/>
    <x v="1"/>
    <n v="0"/>
    <s v=""/>
    <s v="ISEOG"/>
  </r>
  <r>
    <x v="808"/>
    <x v="150"/>
    <s v="IE0000516009"/>
    <x v="0"/>
    <s v="Industry"/>
    <x v="0"/>
    <s v="ISEFI"/>
    <x v="3"/>
    <s v="Non-significant benchmark"/>
    <n v="0"/>
    <n v="0"/>
    <n v="0"/>
    <n v="0"/>
    <n v="0"/>
    <n v="0"/>
    <x v="0"/>
    <x v="1"/>
    <n v="0"/>
    <s v=""/>
    <s v="ISEFI"/>
  </r>
  <r>
    <x v="809"/>
    <x v="150"/>
    <s v="IE0000511505"/>
    <x v="0"/>
    <s v="Industry"/>
    <x v="0"/>
    <s v="ISEFG"/>
    <x v="3"/>
    <s v="Non-significant benchmark"/>
    <n v="0"/>
    <n v="0"/>
    <n v="0"/>
    <n v="0"/>
    <n v="0"/>
    <n v="0"/>
    <x v="0"/>
    <x v="1"/>
    <n v="0"/>
    <s v=""/>
    <s v="ISEFI"/>
  </r>
  <r>
    <x v="810"/>
    <x v="150"/>
    <s v="IE00BL6TX979"/>
    <x v="0"/>
    <s v="Industry"/>
    <x v="0"/>
    <s v="ISEHC"/>
    <x v="3"/>
    <s v="Non-significant benchmark"/>
    <n v="0"/>
    <n v="0"/>
    <n v="0"/>
    <n v="0"/>
    <n v="0"/>
    <n v="0"/>
    <x v="0"/>
    <x v="1"/>
    <n v="0"/>
    <s v=""/>
    <s v="ISEHC"/>
  </r>
  <r>
    <x v="811"/>
    <x v="150"/>
    <s v="IE00BL6TXB96"/>
    <x v="0"/>
    <s v="Industry"/>
    <x v="0"/>
    <s v="ISHCG"/>
    <x v="3"/>
    <s v="Non-significant benchmark"/>
    <n v="0"/>
    <n v="0"/>
    <n v="0"/>
    <n v="0"/>
    <n v="0"/>
    <n v="0"/>
    <x v="0"/>
    <x v="1"/>
    <n v="0"/>
    <s v=""/>
    <s v="ISEHC"/>
  </r>
  <r>
    <x v="812"/>
    <x v="150"/>
    <s v="IE00BL6TXC04"/>
    <x v="0"/>
    <s v="Industry"/>
    <x v="0"/>
    <s v="ISEIN"/>
    <x v="3"/>
    <s v="Non-significant benchmark"/>
    <n v="0"/>
    <n v="0"/>
    <n v="0"/>
    <n v="0"/>
    <n v="0"/>
    <n v="0"/>
    <x v="0"/>
    <x v="1"/>
    <n v="0"/>
    <s v=""/>
    <s v="ISEIN"/>
  </r>
  <r>
    <x v="813"/>
    <x v="150"/>
    <s v="IE00BL6TXD11"/>
    <x v="0"/>
    <s v="Industry"/>
    <x v="0"/>
    <s v="ISING"/>
    <x v="3"/>
    <s v="Non-significant benchmark"/>
    <n v="0"/>
    <n v="0"/>
    <n v="0"/>
    <n v="0"/>
    <n v="0"/>
    <n v="0"/>
    <x v="0"/>
    <x v="1"/>
    <n v="0"/>
    <s v=""/>
    <s v="ISEIN"/>
  </r>
  <r>
    <x v="814"/>
    <x v="150"/>
    <s v="IE00BM7VR644"/>
    <x v="0"/>
    <s v="Industry"/>
    <x v="0"/>
    <s v="ISRE"/>
    <x v="3"/>
    <s v="Non-significant benchmark"/>
    <n v="0"/>
    <n v="0"/>
    <n v="0"/>
    <n v="0"/>
    <n v="0"/>
    <n v="0"/>
    <x v="0"/>
    <x v="1"/>
    <n v="0"/>
    <s v=""/>
    <s v="ISRE"/>
  </r>
  <r>
    <x v="815"/>
    <x v="150"/>
    <s v="IE00BM7VR750"/>
    <x v="0"/>
    <s v="Industry"/>
    <x v="0"/>
    <s v="ISREG"/>
    <x v="3"/>
    <s v="Non-significant benchmark"/>
    <n v="0"/>
    <n v="0"/>
    <n v="0"/>
    <n v="0"/>
    <n v="0"/>
    <n v="0"/>
    <x v="0"/>
    <x v="1"/>
    <n v="0"/>
    <s v=""/>
    <s v="ISRE"/>
  </r>
  <r>
    <x v="816"/>
    <x v="150"/>
    <s v="IE00BL6TXH58"/>
    <x v="0"/>
    <s v="Industry"/>
    <x v="0"/>
    <s v="ISETE"/>
    <x v="3"/>
    <s v="Non-significant benchmark"/>
    <n v="0"/>
    <n v="0"/>
    <n v="0"/>
    <n v="0"/>
    <n v="0"/>
    <n v="0"/>
    <x v="0"/>
    <x v="1"/>
    <n v="0"/>
    <s v=""/>
    <s v="ISETE"/>
  </r>
  <r>
    <x v="817"/>
    <x v="150"/>
    <s v="IE00BL6TXJ72"/>
    <x v="0"/>
    <s v="Industry"/>
    <x v="0"/>
    <s v="ISETG"/>
    <x v="3"/>
    <s v="Non-significant benchmark"/>
    <n v="0"/>
    <n v="0"/>
    <n v="0"/>
    <n v="0"/>
    <n v="0"/>
    <n v="0"/>
    <x v="0"/>
    <x v="1"/>
    <n v="0"/>
    <s v=""/>
    <s v="ISETE"/>
  </r>
  <r>
    <x v="818"/>
    <x v="150"/>
    <s v="IE00BMT9LK88"/>
    <x v="0"/>
    <s v="Industry"/>
    <x v="0"/>
    <s v="ISUT"/>
    <x v="3"/>
    <s v="Non-significant benchmark"/>
    <n v="0"/>
    <n v="0"/>
    <n v="0"/>
    <n v="0"/>
    <n v="0"/>
    <n v="0"/>
    <x v="0"/>
    <x v="1"/>
    <n v="0"/>
    <s v=""/>
    <s v="ISUT"/>
  </r>
  <r>
    <x v="819"/>
    <x v="150"/>
    <s v="IE00BMT9LL95"/>
    <x v="0"/>
    <s v="Industry"/>
    <x v="0"/>
    <s v="ISUTG"/>
    <x v="3"/>
    <s v="Non-significant benchmark"/>
    <n v="0"/>
    <n v="0"/>
    <n v="0"/>
    <n v="0"/>
    <n v="0"/>
    <n v="0"/>
    <x v="0"/>
    <x v="1"/>
    <n v="0"/>
    <s v=""/>
    <s v="ISUT"/>
  </r>
  <r>
    <x v="820"/>
    <x v="151"/>
    <s v="NL0010661898"/>
    <x v="0"/>
    <s v="Strategy"/>
    <x v="0"/>
    <s v="ITX7L"/>
    <x v="2"/>
    <s v="Non-significant benchmark"/>
    <n v="0"/>
    <n v="0"/>
    <n v="0"/>
    <n v="0"/>
    <n v="0"/>
    <n v="0"/>
    <x v="0"/>
    <x v="1"/>
    <n v="120200000"/>
    <n v="-1"/>
    <n v="0"/>
  </r>
  <r>
    <x v="821"/>
    <x v="151"/>
    <s v="NL0010661906"/>
    <x v="0"/>
    <s v="Strategy"/>
    <x v="0"/>
    <s v="ITX7S"/>
    <x v="2"/>
    <s v="Non-significant benchmark"/>
    <n v="0"/>
    <n v="0"/>
    <n v="0"/>
    <n v="0"/>
    <n v="0"/>
    <n v="0"/>
    <x v="0"/>
    <x v="1"/>
    <n v="48030000"/>
    <n v="-1"/>
    <n v="0"/>
  </r>
  <r>
    <x v="822"/>
    <x v="152"/>
    <s v="QS0011095898"/>
    <x v="0"/>
    <s v="Strategy"/>
    <x v="0"/>
    <s v="AEXLV"/>
    <x v="2"/>
    <s v="Non-significant benchmark"/>
    <n v="0"/>
    <n v="0"/>
    <n v="0"/>
    <n v="0"/>
    <n v="0"/>
    <n v="0"/>
    <x v="0"/>
    <x v="1"/>
    <n v="0"/>
    <s v=""/>
    <n v="0"/>
  </r>
  <r>
    <x v="823"/>
    <x v="152"/>
    <s v="QS0011179239"/>
    <x v="0"/>
    <s v="Strategy"/>
    <x v="0"/>
    <s v="AEXTL"/>
    <x v="2"/>
    <s v="Non-significant benchmark"/>
    <n v="0"/>
    <n v="0"/>
    <n v="0"/>
    <n v="0"/>
    <n v="0"/>
    <n v="0"/>
    <x v="0"/>
    <x v="1"/>
    <n v="0"/>
    <s v=""/>
    <n v="0"/>
  </r>
  <r>
    <x v="824"/>
    <x v="152"/>
    <s v="QS0011216205"/>
    <x v="0"/>
    <s v="Strategy"/>
    <x v="0"/>
    <s v="AEXNL"/>
    <x v="2"/>
    <s v="Non-significant benchmark"/>
    <n v="0"/>
    <n v="0"/>
    <n v="0"/>
    <n v="0"/>
    <n v="0"/>
    <n v="0"/>
    <x v="0"/>
    <x v="1"/>
    <n v="0"/>
    <s v=""/>
    <n v="0"/>
  </r>
  <r>
    <x v="825"/>
    <x v="152"/>
    <s v="QS0011095914"/>
    <x v="0"/>
    <s v="Strategy"/>
    <x v="0"/>
    <s v="AEXSH"/>
    <x v="2"/>
    <s v="Non-significant benchmark"/>
    <n v="0"/>
    <n v="0"/>
    <n v="0"/>
    <n v="0"/>
    <n v="0"/>
    <n v="0"/>
    <x v="0"/>
    <x v="1"/>
    <n v="0"/>
    <s v=""/>
    <n v="0"/>
  </r>
  <r>
    <x v="826"/>
    <x v="152"/>
    <s v="FR0013504768"/>
    <x v="0"/>
    <s v="Strategy"/>
    <x v="0"/>
    <s v="ALE10"/>
    <x v="2"/>
    <s v="Non-significant benchmark"/>
    <n v="0"/>
    <n v="0"/>
    <n v="0"/>
    <n v="0"/>
    <n v="0"/>
    <n v="0"/>
    <x v="0"/>
    <x v="1"/>
    <n v="0"/>
    <s v=""/>
    <n v="0"/>
  </r>
  <r>
    <x v="827"/>
    <x v="152"/>
    <s v="NL0011515390"/>
    <x v="0"/>
    <s v="Strategy"/>
    <x v="0"/>
    <s v="AE10S"/>
    <x v="2"/>
    <s v="Non-significant benchmark"/>
    <n v="0"/>
    <n v="0"/>
    <n v="0"/>
    <n v="0"/>
    <n v="0"/>
    <n v="0"/>
    <x v="0"/>
    <x v="1"/>
    <n v="0"/>
    <s v=""/>
    <n v="0"/>
  </r>
  <r>
    <x v="828"/>
    <x v="152"/>
    <s v="NL0011936141"/>
    <x v="0"/>
    <s v="Strategy"/>
    <x v="0"/>
    <s v="A12LE"/>
    <x v="2"/>
    <s v="Non-significant benchmark"/>
    <n v="0"/>
    <n v="0"/>
    <n v="0"/>
    <n v="0"/>
    <n v="0"/>
    <n v="0"/>
    <x v="0"/>
    <x v="1"/>
    <n v="0"/>
    <s v=""/>
    <n v="0"/>
  </r>
  <r>
    <x v="829"/>
    <x v="152"/>
    <s v="NL0011515408"/>
    <x v="0"/>
    <s v="Strategy"/>
    <x v="0"/>
    <s v="AE12S"/>
    <x v="2"/>
    <s v="Non-significant benchmark"/>
    <n v="0"/>
    <n v="0"/>
    <n v="0"/>
    <n v="0"/>
    <n v="0"/>
    <n v="0"/>
    <x v="0"/>
    <x v="1"/>
    <n v="0"/>
    <s v=""/>
    <n v="0"/>
  </r>
  <r>
    <x v="830"/>
    <x v="152"/>
    <s v="FR0013504743"/>
    <x v="0"/>
    <s v="Strategy"/>
    <x v="0"/>
    <s v="ALE15"/>
    <x v="2"/>
    <s v="Non-significant benchmark"/>
    <n v="0"/>
    <n v="0"/>
    <n v="0"/>
    <n v="0"/>
    <n v="0"/>
    <n v="0"/>
    <x v="0"/>
    <x v="1"/>
    <n v="0"/>
    <s v=""/>
    <n v="0"/>
  </r>
  <r>
    <x v="831"/>
    <x v="152"/>
    <s v="NL0011515416"/>
    <x v="0"/>
    <s v="Strategy"/>
    <x v="0"/>
    <s v="AE15S"/>
    <x v="2"/>
    <s v="Non-significant benchmark"/>
    <n v="0"/>
    <n v="0"/>
    <n v="0"/>
    <n v="0"/>
    <n v="0"/>
    <n v="0"/>
    <x v="0"/>
    <x v="1"/>
    <n v="0"/>
    <s v=""/>
    <n v="0"/>
  </r>
  <r>
    <x v="832"/>
    <x v="152"/>
    <s v="QS0011146899"/>
    <x v="0"/>
    <s v="Strategy"/>
    <x v="0"/>
    <s v="AEX2S"/>
    <x v="2"/>
    <s v="Non-significant benchmark"/>
    <n v="0"/>
    <n v="0"/>
    <n v="0"/>
    <n v="0"/>
    <n v="0"/>
    <n v="0"/>
    <x v="0"/>
    <x v="1"/>
    <n v="0"/>
    <s v=""/>
    <n v="0"/>
  </r>
  <r>
    <x v="833"/>
    <x v="152"/>
    <s v="QS0011230115"/>
    <x v="0"/>
    <s v="Strategy"/>
    <x v="0"/>
    <s v="AEX3L"/>
    <x v="2"/>
    <s v="Non-significant benchmark"/>
    <n v="0"/>
    <n v="0"/>
    <n v="0"/>
    <n v="0"/>
    <n v="0"/>
    <n v="0"/>
    <x v="0"/>
    <x v="1"/>
    <n v="0"/>
    <s v=""/>
    <n v="0"/>
  </r>
  <r>
    <x v="834"/>
    <x v="152"/>
    <s v="QS0011230198"/>
    <x v="0"/>
    <e v="#N/A"/>
    <x v="0"/>
    <s v="AEX3S"/>
    <x v="2"/>
    <s v="Non-significant benchmark"/>
    <n v="0"/>
    <n v="0"/>
    <n v="0"/>
    <n v="0"/>
    <n v="0"/>
    <n v="0"/>
    <x v="0"/>
    <x v="2"/>
    <n v="0"/>
    <s v=""/>
    <n v="0"/>
  </r>
  <r>
    <x v="835"/>
    <x v="152"/>
    <s v="QS0011230156"/>
    <x v="0"/>
    <s v="Strategy"/>
    <x v="0"/>
    <s v="AEX4L"/>
    <x v="2"/>
    <s v="Non-significant benchmark"/>
    <n v="0"/>
    <n v="0"/>
    <n v="0"/>
    <n v="0"/>
    <n v="0"/>
    <n v="0"/>
    <x v="0"/>
    <x v="1"/>
    <n v="0"/>
    <s v=""/>
    <n v="0"/>
  </r>
  <r>
    <x v="836"/>
    <x v="152"/>
    <s v="QS0011230206"/>
    <x v="0"/>
    <s v="Strategy"/>
    <x v="0"/>
    <s v="AEX4S"/>
    <x v="2"/>
    <s v="Non-significant benchmark"/>
    <n v="0"/>
    <n v="0"/>
    <n v="0"/>
    <n v="0"/>
    <n v="0"/>
    <n v="0"/>
    <x v="0"/>
    <x v="1"/>
    <n v="0"/>
    <s v=""/>
    <n v="0"/>
  </r>
  <r>
    <x v="837"/>
    <x v="152"/>
    <s v="QS0011230164"/>
    <x v="0"/>
    <s v="Strategy"/>
    <x v="0"/>
    <s v="AEX5L"/>
    <x v="2"/>
    <s v="Non-significant benchmark"/>
    <n v="0"/>
    <n v="0"/>
    <n v="0"/>
    <n v="0"/>
    <n v="0"/>
    <n v="0"/>
    <x v="0"/>
    <x v="1"/>
    <n v="0"/>
    <s v=""/>
    <n v="0"/>
  </r>
  <r>
    <x v="838"/>
    <x v="152"/>
    <s v="QS0011230214"/>
    <x v="0"/>
    <s v="Strategy"/>
    <x v="0"/>
    <s v="AEX5S"/>
    <x v="2"/>
    <s v="Non-significant benchmark"/>
    <n v="0"/>
    <n v="0"/>
    <n v="0"/>
    <n v="0"/>
    <n v="0"/>
    <n v="0"/>
    <x v="0"/>
    <x v="1"/>
    <n v="0"/>
    <s v=""/>
    <n v="0"/>
  </r>
  <r>
    <x v="839"/>
    <x v="152"/>
    <s v="QS0011230172"/>
    <x v="0"/>
    <s v="Strategy"/>
    <x v="0"/>
    <s v="AEX6L"/>
    <x v="2"/>
    <s v="Non-significant benchmark"/>
    <n v="0"/>
    <n v="0"/>
    <n v="0"/>
    <n v="0"/>
    <n v="0"/>
    <n v="0"/>
    <x v="0"/>
    <x v="1"/>
    <n v="0"/>
    <s v=""/>
    <n v="0"/>
  </r>
  <r>
    <x v="840"/>
    <x v="152"/>
    <s v="QS0011230222"/>
    <x v="0"/>
    <s v="Strategy"/>
    <x v="0"/>
    <s v="AEX6S"/>
    <x v="2"/>
    <s v="Non-significant benchmark"/>
    <n v="0"/>
    <n v="0"/>
    <n v="0"/>
    <n v="0"/>
    <n v="0"/>
    <n v="0"/>
    <x v="0"/>
    <x v="1"/>
    <n v="0"/>
    <s v=""/>
    <n v="0"/>
  </r>
  <r>
    <x v="841"/>
    <x v="152"/>
    <s v="QS0011230180"/>
    <x v="0"/>
    <e v="#N/A"/>
    <x v="0"/>
    <s v="AEX7L"/>
    <x v="2"/>
    <s v="Non-significant benchmark"/>
    <n v="0"/>
    <n v="0"/>
    <n v="0"/>
    <n v="0"/>
    <n v="0"/>
    <n v="0"/>
    <x v="0"/>
    <x v="2"/>
    <n v="0"/>
    <s v=""/>
    <n v="0"/>
  </r>
  <r>
    <x v="842"/>
    <x v="152"/>
    <s v="FR0013362985"/>
    <x v="0"/>
    <s v="Strategy"/>
    <x v="0"/>
    <s v="AEX7S"/>
    <x v="2"/>
    <s v="Non-significant benchmark"/>
    <n v="0"/>
    <n v="0"/>
    <n v="0"/>
    <n v="0"/>
    <n v="0"/>
    <n v="0"/>
    <x v="0"/>
    <x v="1"/>
    <n v="0"/>
    <s v=""/>
    <n v="0"/>
  </r>
  <r>
    <x v="843"/>
    <x v="152"/>
    <s v="QS0011100854"/>
    <x v="0"/>
    <s v="Strategy"/>
    <x v="0"/>
    <s v="AEXXB"/>
    <x v="2"/>
    <s v="Non-significant benchmark"/>
    <n v="0"/>
    <n v="0"/>
    <n v="0"/>
    <n v="0"/>
    <n v="0"/>
    <n v="0"/>
    <x v="0"/>
    <x v="1"/>
    <n v="0"/>
    <s v=""/>
    <n v="0"/>
  </r>
  <r>
    <x v="844"/>
    <x v="152"/>
    <s v="QS0011095864"/>
    <x v="0"/>
    <s v="Strategy"/>
    <x v="0"/>
    <s v="BELLV"/>
    <x v="2"/>
    <s v="Non-significant benchmark"/>
    <n v="0"/>
    <n v="0"/>
    <n v="0"/>
    <n v="0"/>
    <n v="0"/>
    <n v="0"/>
    <x v="0"/>
    <x v="1"/>
    <n v="0"/>
    <s v=""/>
    <n v="0"/>
  </r>
  <r>
    <x v="845"/>
    <x v="152"/>
    <s v="QS0011179247"/>
    <x v="0"/>
    <s v="Strategy"/>
    <x v="0"/>
    <s v="BELTL"/>
    <x v="2"/>
    <s v="Non-significant benchmark"/>
    <n v="0"/>
    <n v="0"/>
    <n v="0"/>
    <n v="0"/>
    <n v="0"/>
    <n v="0"/>
    <x v="0"/>
    <x v="1"/>
    <n v="0"/>
    <s v=""/>
    <n v="0"/>
  </r>
  <r>
    <x v="846"/>
    <x v="152"/>
    <s v="QS0011095880"/>
    <x v="0"/>
    <s v="Strategy"/>
    <x v="0"/>
    <s v="BELSH"/>
    <x v="2"/>
    <s v="Non-significant benchmark"/>
    <n v="0"/>
    <n v="0"/>
    <n v="0"/>
    <n v="0"/>
    <n v="0"/>
    <n v="0"/>
    <x v="0"/>
    <x v="1"/>
    <n v="0"/>
    <s v=""/>
    <n v="0"/>
  </r>
  <r>
    <x v="847"/>
    <x v="152"/>
    <s v="QS0011146915"/>
    <x v="0"/>
    <s v="Strategy"/>
    <x v="0"/>
    <s v="BEL3L"/>
    <x v="2"/>
    <s v="Non-significant benchmark"/>
    <n v="0"/>
    <n v="0"/>
    <n v="0"/>
    <n v="0"/>
    <n v="0"/>
    <n v="0"/>
    <x v="0"/>
    <x v="1"/>
    <n v="0"/>
    <s v=""/>
    <n v="0"/>
  </r>
  <r>
    <x v="848"/>
    <x v="152"/>
    <s v="QS0011146923"/>
    <x v="0"/>
    <s v="Strategy"/>
    <x v="0"/>
    <s v="BEL2S"/>
    <x v="2"/>
    <s v="Non-significant benchmark"/>
    <n v="0"/>
    <n v="0"/>
    <n v="0"/>
    <n v="0"/>
    <n v="0"/>
    <n v="0"/>
    <x v="0"/>
    <x v="1"/>
    <n v="0"/>
    <s v=""/>
    <n v="0"/>
  </r>
  <r>
    <x v="849"/>
    <x v="152"/>
    <s v="BE0389916736"/>
    <x v="0"/>
    <s v="Strategy"/>
    <x v="0"/>
    <s v="BE3LN"/>
    <x v="2"/>
    <s v="Non-significant benchmark"/>
    <n v="0"/>
    <n v="0"/>
    <n v="0"/>
    <n v="0"/>
    <n v="0"/>
    <n v="0"/>
    <x v="0"/>
    <x v="1"/>
    <n v="0"/>
    <s v=""/>
    <n v="0"/>
  </r>
  <r>
    <x v="850"/>
    <x v="152"/>
    <s v="QS0011146931"/>
    <x v="0"/>
    <s v="Strategy"/>
    <x v="0"/>
    <s v="BEL3S"/>
    <x v="2"/>
    <s v="Non-significant benchmark"/>
    <n v="0"/>
    <n v="0"/>
    <n v="0"/>
    <n v="0"/>
    <n v="0"/>
    <n v="0"/>
    <x v="0"/>
    <x v="1"/>
    <n v="0"/>
    <s v=""/>
    <n v="0"/>
  </r>
  <r>
    <x v="851"/>
    <x v="152"/>
    <s v="BE0389914715"/>
    <x v="0"/>
    <s v="Strategy"/>
    <x v="0"/>
    <s v="BEL5L"/>
    <x v="2"/>
    <s v="Non-significant benchmark"/>
    <n v="0"/>
    <n v="0"/>
    <n v="0"/>
    <n v="0"/>
    <n v="0"/>
    <n v="0"/>
    <x v="0"/>
    <x v="1"/>
    <n v="0"/>
    <s v=""/>
    <n v="0"/>
  </r>
  <r>
    <x v="852"/>
    <x v="152"/>
    <s v="BE0389915720"/>
    <x v="0"/>
    <s v="Strategy"/>
    <x v="0"/>
    <s v="BEL5S"/>
    <x v="2"/>
    <s v="Non-significant benchmark"/>
    <n v="0"/>
    <n v="0"/>
    <n v="0"/>
    <n v="0"/>
    <n v="0"/>
    <n v="0"/>
    <x v="0"/>
    <x v="1"/>
    <n v="0"/>
    <s v=""/>
    <n v="0"/>
  </r>
  <r>
    <x v="853"/>
    <x v="152"/>
    <s v="QS0011100847"/>
    <x v="0"/>
    <s v="Strategy"/>
    <x v="0"/>
    <s v="BELXB"/>
    <x v="2"/>
    <s v="Non-significant benchmark"/>
    <n v="0"/>
    <n v="0"/>
    <n v="0"/>
    <n v="0"/>
    <n v="0"/>
    <n v="0"/>
    <x v="0"/>
    <x v="1"/>
    <n v="0"/>
    <s v=""/>
    <n v="0"/>
  </r>
  <r>
    <x v="854"/>
    <x v="152"/>
    <s v="QS0011095815"/>
    <x v="0"/>
    <s v="Strategy"/>
    <x v="0"/>
    <s v="CACLV"/>
    <x v="2"/>
    <s v="Non-significant benchmark"/>
    <n v="0"/>
    <n v="0"/>
    <n v="0"/>
    <n v="0"/>
    <n v="0"/>
    <n v="0"/>
    <x v="0"/>
    <x v="1"/>
    <n v="0"/>
    <s v=""/>
    <n v="0"/>
  </r>
  <r>
    <x v="855"/>
    <x v="152"/>
    <s v="QS0011216213"/>
    <x v="0"/>
    <s v="Strategy"/>
    <x v="0"/>
    <s v="CACGL"/>
    <x v="2"/>
    <s v="Non-significant benchmark"/>
    <n v="0"/>
    <n v="0"/>
    <n v="0"/>
    <n v="251531094"/>
    <n v="0"/>
    <n v="0"/>
    <x v="132"/>
    <x v="1"/>
    <n v="251381012.43399999"/>
    <n v="5.9702825025187423E-4"/>
    <n v="0"/>
  </r>
  <r>
    <x v="856"/>
    <x v="152"/>
    <s v="QS0011179221"/>
    <x v="0"/>
    <s v="Strategy"/>
    <x v="0"/>
    <s v="CACTL"/>
    <x v="2"/>
    <s v="Non-significant benchmark"/>
    <n v="0"/>
    <n v="0"/>
    <n v="0"/>
    <n v="0"/>
    <n v="0"/>
    <n v="0"/>
    <x v="0"/>
    <x v="1"/>
    <n v="4158750"/>
    <n v="-1"/>
    <n v="0"/>
  </r>
  <r>
    <x v="857"/>
    <x v="152"/>
    <s v="QS0011095831"/>
    <x v="0"/>
    <s v="Strategy"/>
    <x v="0"/>
    <s v="CACSH"/>
    <x v="2"/>
    <s v="Non-significant benchmark"/>
    <n v="0"/>
    <n v="0"/>
    <n v="0"/>
    <n v="175119088"/>
    <n v="0"/>
    <n v="0"/>
    <x v="133"/>
    <x v="1"/>
    <n v="272573595.903"/>
    <n v="-0.35753465987835764"/>
    <n v="0"/>
  </r>
  <r>
    <x v="858"/>
    <x v="152"/>
    <s v="FR0013362993"/>
    <x v="0"/>
    <s v="Strategy"/>
    <x v="0"/>
    <s v="CA10L"/>
    <x v="2"/>
    <s v="Non-significant benchmark"/>
    <n v="0"/>
    <n v="0"/>
    <n v="0"/>
    <n v="0"/>
    <n v="0"/>
    <n v="0"/>
    <x v="0"/>
    <x v="1"/>
    <n v="203819500"/>
    <n v="-1"/>
    <n v="0"/>
  </r>
  <r>
    <x v="859"/>
    <x v="152"/>
    <s v="FR0013361573"/>
    <x v="0"/>
    <s v="Strategy"/>
    <x v="0"/>
    <s v="CA10S"/>
    <x v="2"/>
    <s v="Non-significant benchmark"/>
    <n v="0"/>
    <n v="0"/>
    <n v="0"/>
    <n v="0"/>
    <n v="108000"/>
    <n v="0"/>
    <x v="134"/>
    <x v="1"/>
    <n v="76220000"/>
    <n v="-0.99858304906848594"/>
    <n v="0"/>
  </r>
  <r>
    <x v="860"/>
    <x v="152"/>
    <s v="FR0013186939"/>
    <x v="0"/>
    <s v="Strategy"/>
    <x v="0"/>
    <s v="C12LE"/>
    <x v="2"/>
    <s v="Non-significant benchmark"/>
    <n v="0"/>
    <n v="0"/>
    <n v="0"/>
    <n v="0"/>
    <n v="0"/>
    <n v="0"/>
    <x v="0"/>
    <x v="1"/>
    <n v="89264000"/>
    <n v="-1"/>
    <n v="0"/>
  </r>
  <r>
    <x v="861"/>
    <x v="152"/>
    <s v="FR0013361649"/>
    <x v="0"/>
    <s v="Strategy"/>
    <x v="0"/>
    <s v="CA12S"/>
    <x v="2"/>
    <s v="Non-significant benchmark"/>
    <n v="0"/>
    <n v="0"/>
    <n v="0"/>
    <n v="0"/>
    <n v="0"/>
    <n v="0"/>
    <x v="0"/>
    <x v="1"/>
    <n v="59307800"/>
    <n v="-1"/>
    <n v="0"/>
  </r>
  <r>
    <x v="862"/>
    <x v="152"/>
    <s v="FR0013504735"/>
    <x v="0"/>
    <s v="Strategy"/>
    <x v="0"/>
    <s v="CLE15"/>
    <x v="2"/>
    <s v="Non-significant benchmark"/>
    <n v="0"/>
    <n v="0"/>
    <n v="0"/>
    <n v="0"/>
    <n v="68400"/>
    <n v="0"/>
    <x v="135"/>
    <x v="1"/>
    <n v="151683260"/>
    <n v="-0.99954906032478463"/>
    <n v="0"/>
  </r>
  <r>
    <x v="863"/>
    <x v="152"/>
    <s v="FR0013504776"/>
    <x v="0"/>
    <s v="Strategy"/>
    <x v="0"/>
    <s v="CSH15"/>
    <x v="2"/>
    <s v="Non-significant benchmark"/>
    <n v="0"/>
    <n v="0"/>
    <n v="0"/>
    <n v="0"/>
    <n v="16050"/>
    <n v="0"/>
    <x v="136"/>
    <x v="1"/>
    <n v="31749600"/>
    <n v="-0.99949448182024336"/>
    <n v="0"/>
  </r>
  <r>
    <x v="864"/>
    <x v="152"/>
    <s v="QS0011146865"/>
    <x v="0"/>
    <s v="Strategy"/>
    <x v="0"/>
    <s v="CAC2S"/>
    <x v="2"/>
    <s v="Non-significant benchmark"/>
    <n v="0"/>
    <n v="0"/>
    <n v="0"/>
    <n v="228116963"/>
    <n v="4130000"/>
    <n v="0"/>
    <x v="137"/>
    <x v="1"/>
    <n v="271990811.21599996"/>
    <n v="-0.14612202536664964"/>
    <n v="0"/>
  </r>
  <r>
    <x v="865"/>
    <x v="152"/>
    <s v="FR0013362662"/>
    <x v="0"/>
    <s v="Strategy"/>
    <x v="0"/>
    <s v="CAC3L"/>
    <x v="2"/>
    <s v="Non-significant benchmark"/>
    <n v="0"/>
    <n v="0"/>
    <n v="0"/>
    <n v="984767"/>
    <n v="38880000"/>
    <n v="0"/>
    <x v="138"/>
    <x v="1"/>
    <n v="343795550"/>
    <n v="-0.88404513380117922"/>
    <n v="0"/>
  </r>
  <r>
    <x v="866"/>
    <x v="152"/>
    <s v="FR0013362688"/>
    <x v="0"/>
    <s v="Strategy"/>
    <x v="0"/>
    <s v="CAC3S"/>
    <x v="2"/>
    <s v="Non-significant benchmark"/>
    <n v="0"/>
    <n v="0"/>
    <n v="0"/>
    <n v="976967"/>
    <n v="0"/>
    <n v="0"/>
    <x v="139"/>
    <x v="1"/>
    <n v="19892400"/>
    <n v="-0.95088742434296514"/>
    <n v="0"/>
  </r>
  <r>
    <x v="867"/>
    <x v="152"/>
    <s v="FR0013362811"/>
    <x v="0"/>
    <s v="Strategy"/>
    <x v="0"/>
    <s v="CAC4L"/>
    <x v="2"/>
    <s v="Non-significant benchmark"/>
    <n v="0"/>
    <n v="0"/>
    <n v="0"/>
    <n v="0"/>
    <n v="27640000"/>
    <n v="0"/>
    <x v="140"/>
    <x v="1"/>
    <n v="442015800"/>
    <n v="-0.93746829864452808"/>
    <n v="0"/>
  </r>
  <r>
    <x v="868"/>
    <x v="152"/>
    <s v="FR0013362837"/>
    <x v="0"/>
    <s v="Strategy"/>
    <x v="0"/>
    <s v="CAC4S"/>
    <x v="2"/>
    <s v="Non-significant benchmark"/>
    <n v="0"/>
    <n v="0"/>
    <n v="0"/>
    <n v="0"/>
    <n v="288110"/>
    <n v="0"/>
    <x v="141"/>
    <x v="1"/>
    <n v="89269070"/>
    <n v="-0.99677256635472955"/>
    <n v="0"/>
  </r>
  <r>
    <x v="869"/>
    <x v="152"/>
    <s v="FR0013361359"/>
    <x v="0"/>
    <s v="Strategy"/>
    <x v="0"/>
    <s v="CAC5L"/>
    <x v="2"/>
    <s v="Non-significant benchmark"/>
    <n v="0"/>
    <n v="0"/>
    <n v="0"/>
    <n v="0"/>
    <n v="127145000"/>
    <n v="0"/>
    <x v="142"/>
    <x v="1"/>
    <n v="537216500"/>
    <n v="-0.76332633119049764"/>
    <n v="0"/>
  </r>
  <r>
    <x v="870"/>
    <x v="152"/>
    <s v="FR0013360666"/>
    <x v="0"/>
    <s v="Strategy"/>
    <x v="0"/>
    <s v="CAC5S"/>
    <x v="2"/>
    <s v="Non-significant benchmark"/>
    <n v="0"/>
    <n v="0"/>
    <n v="0"/>
    <n v="0"/>
    <n v="2160"/>
    <n v="0"/>
    <x v="143"/>
    <x v="1"/>
    <n v="119105820"/>
    <n v="-0.99998186486604934"/>
    <n v="0"/>
  </r>
  <r>
    <x v="871"/>
    <x v="152"/>
    <s v="FR0013362852"/>
    <x v="0"/>
    <s v="Strategy"/>
    <x v="0"/>
    <s v="CAC6L"/>
    <x v="2"/>
    <s v="Non-significant benchmark"/>
    <n v="0"/>
    <n v="0"/>
    <n v="0"/>
    <n v="0"/>
    <n v="0"/>
    <n v="0"/>
    <x v="0"/>
    <x v="1"/>
    <n v="279444000"/>
    <n v="-1"/>
    <n v="0"/>
  </r>
  <r>
    <x v="872"/>
    <x v="152"/>
    <s v="FR0013362878"/>
    <x v="0"/>
    <s v="Strategy"/>
    <x v="0"/>
    <s v="CAC6S"/>
    <x v="2"/>
    <s v="Non-significant benchmark"/>
    <n v="0"/>
    <n v="0"/>
    <n v="0"/>
    <n v="0"/>
    <n v="0"/>
    <n v="0"/>
    <x v="0"/>
    <x v="1"/>
    <n v="95837800"/>
    <n v="-1"/>
    <n v="0"/>
  </r>
  <r>
    <x v="873"/>
    <x v="152"/>
    <s v="FR0013362860"/>
    <x v="0"/>
    <s v="Strategy"/>
    <x v="0"/>
    <s v="CAC7L"/>
    <x v="2"/>
    <s v="Non-significant benchmark"/>
    <n v="0"/>
    <n v="0"/>
    <n v="0"/>
    <n v="0"/>
    <n v="2349100"/>
    <n v="0"/>
    <x v="144"/>
    <x v="1"/>
    <n v="167295050"/>
    <n v="-0.98595834126592508"/>
    <n v="0"/>
  </r>
  <r>
    <x v="874"/>
    <x v="152"/>
    <s v="FR0013364395"/>
    <x v="0"/>
    <s v="Strategy"/>
    <x v="0"/>
    <s v="CAC7S"/>
    <x v="2"/>
    <s v="Non-significant benchmark"/>
    <n v="0"/>
    <n v="0"/>
    <n v="0"/>
    <n v="0"/>
    <n v="1050"/>
    <n v="0"/>
    <x v="145"/>
    <x v="1"/>
    <n v="90159000"/>
    <n v="-0.99998835390809571"/>
    <n v="0"/>
  </r>
  <r>
    <x v="875"/>
    <x v="152"/>
    <s v="QS0011095856"/>
    <x v="0"/>
    <s v="Strategy"/>
    <x v="0"/>
    <s v="CACXB"/>
    <x v="2"/>
    <s v="Non-significant benchmark"/>
    <n v="0"/>
    <n v="0"/>
    <n v="0"/>
    <n v="0"/>
    <n v="0"/>
    <n v="0"/>
    <x v="0"/>
    <x v="1"/>
    <n v="0"/>
    <s v=""/>
    <n v="0"/>
  </r>
  <r>
    <x v="876"/>
    <x v="152"/>
    <s v="IE00B2QF4Y48"/>
    <x v="0"/>
    <s v="Strategy"/>
    <x v="0"/>
    <s v="ISELV"/>
    <x v="2"/>
    <s v="Non-significant benchmark"/>
    <n v="0"/>
    <n v="0"/>
    <n v="0"/>
    <n v="0"/>
    <n v="0"/>
    <n v="0"/>
    <x v="0"/>
    <x v="1"/>
    <n v="0"/>
    <s v=""/>
    <n v="0"/>
  </r>
  <r>
    <x v="877"/>
    <x v="152"/>
    <s v="QS0011095922"/>
    <x v="0"/>
    <s v="Strategy"/>
    <x v="0"/>
    <s v="PSILV"/>
    <x v="2"/>
    <s v="Non-significant benchmark"/>
    <n v="0"/>
    <n v="0"/>
    <n v="0"/>
    <n v="0"/>
    <n v="0"/>
    <n v="0"/>
    <x v="0"/>
    <x v="1"/>
    <n v="0"/>
    <s v=""/>
    <n v="0"/>
  </r>
  <r>
    <x v="878"/>
    <x v="152"/>
    <s v="QS0011179254"/>
    <x v="0"/>
    <s v="Strategy"/>
    <x v="0"/>
    <s v="PSITL"/>
    <x v="2"/>
    <s v="Non-significant benchmark"/>
    <n v="0"/>
    <n v="0"/>
    <n v="0"/>
    <n v="0"/>
    <n v="0"/>
    <n v="0"/>
    <x v="0"/>
    <x v="1"/>
    <n v="0"/>
    <s v=""/>
    <n v="0"/>
  </r>
  <r>
    <x v="879"/>
    <x v="152"/>
    <s v="QS0011095948"/>
    <x v="0"/>
    <s v="Strategy"/>
    <x v="0"/>
    <s v="PSISH"/>
    <x v="2"/>
    <s v="Non-significant benchmark"/>
    <n v="0"/>
    <n v="0"/>
    <n v="0"/>
    <n v="0"/>
    <n v="0"/>
    <n v="0"/>
    <x v="0"/>
    <x v="1"/>
    <n v="0"/>
    <s v=""/>
    <n v="0"/>
  </r>
  <r>
    <x v="880"/>
    <x v="152"/>
    <s v="QS0011146949"/>
    <x v="0"/>
    <s v="Strategy"/>
    <x v="0"/>
    <s v="PSI3L"/>
    <x v="2"/>
    <s v="Non-significant benchmark"/>
    <n v="0"/>
    <n v="0"/>
    <n v="0"/>
    <n v="0"/>
    <n v="0"/>
    <n v="0"/>
    <x v="0"/>
    <x v="1"/>
    <n v="0"/>
    <s v=""/>
    <n v="0"/>
  </r>
  <r>
    <x v="881"/>
    <x v="152"/>
    <s v="QS0011146956"/>
    <x v="0"/>
    <s v="Strategy"/>
    <x v="0"/>
    <s v="PSI2S"/>
    <x v="2"/>
    <s v="Non-significant benchmark"/>
    <n v="0"/>
    <n v="0"/>
    <n v="0"/>
    <n v="0"/>
    <n v="0"/>
    <n v="0"/>
    <x v="0"/>
    <x v="1"/>
    <n v="0"/>
    <s v=""/>
    <n v="0"/>
  </r>
  <r>
    <x v="882"/>
    <x v="152"/>
    <s v="PTINO0220004"/>
    <x v="0"/>
    <s v="Strategy"/>
    <x v="0"/>
    <s v="PS3LN"/>
    <x v="2"/>
    <s v="Non-significant benchmark"/>
    <n v="0"/>
    <n v="0"/>
    <n v="0"/>
    <n v="0"/>
    <n v="0"/>
    <n v="0"/>
    <x v="0"/>
    <x v="1"/>
    <n v="0"/>
    <s v=""/>
    <n v="0"/>
  </r>
  <r>
    <x v="883"/>
    <x v="152"/>
    <s v="QS0011146964"/>
    <x v="0"/>
    <s v="Strategy"/>
    <x v="0"/>
    <s v="PSI3S"/>
    <x v="2"/>
    <s v="Non-significant benchmark"/>
    <n v="0"/>
    <n v="0"/>
    <n v="0"/>
    <n v="0"/>
    <n v="0"/>
    <n v="0"/>
    <x v="0"/>
    <x v="1"/>
    <n v="0"/>
    <s v=""/>
    <n v="0"/>
  </r>
  <r>
    <x v="884"/>
    <x v="152"/>
    <s v="QS0011100862"/>
    <x v="0"/>
    <s v="Strategy"/>
    <x v="0"/>
    <s v="PSIXB"/>
    <x v="2"/>
    <s v="Non-significant benchmark"/>
    <n v="0"/>
    <n v="0"/>
    <n v="0"/>
    <n v="0"/>
    <n v="0"/>
    <n v="0"/>
    <x v="0"/>
    <x v="1"/>
    <n v="0"/>
    <s v=""/>
    <n v="0"/>
  </r>
  <r>
    <x v="885"/>
    <x v="153"/>
    <s v="FR0013519691"/>
    <x v="0"/>
    <e v="#N/A"/>
    <x v="0"/>
    <s v="CAC3V"/>
    <x v="2"/>
    <s v="Non-significant benchmark"/>
    <n v="0"/>
    <n v="0"/>
    <n v="0"/>
    <n v="0"/>
    <n v="0"/>
    <n v="0"/>
    <x v="0"/>
    <x v="2"/>
    <n v="0"/>
    <s v=""/>
    <n v="0"/>
  </r>
  <r>
    <x v="886"/>
    <x v="154"/>
    <s v="QS0011131735"/>
    <x v="1"/>
    <s v="Climate;PAB"/>
    <x v="2"/>
    <s v="LC100"/>
    <x v="2"/>
    <s v="Non-significant benchmark"/>
    <n v="0"/>
    <n v="0"/>
    <n v="0"/>
    <n v="0"/>
    <n v="0"/>
    <n v="0"/>
    <x v="0"/>
    <x v="1"/>
    <n v="0"/>
    <s v=""/>
    <s v="LC100"/>
  </r>
  <r>
    <x v="887"/>
    <x v="154"/>
    <s v="QS0011131750"/>
    <x v="1"/>
    <s v="Climate;PAB"/>
    <x v="2"/>
    <s v="LC1GR"/>
    <x v="2"/>
    <s v="Non-significant benchmark"/>
    <n v="0"/>
    <n v="0"/>
    <n v="0"/>
    <n v="0"/>
    <n v="0"/>
    <n v="0"/>
    <x v="0"/>
    <x v="1"/>
    <n v="0"/>
    <s v=""/>
    <s v="LC100"/>
  </r>
  <r>
    <x v="888"/>
    <x v="154"/>
    <s v="QS0011131743"/>
    <x v="1"/>
    <s v="Climate;PAB"/>
    <x v="2"/>
    <s v="LC1NR"/>
    <x v="2"/>
    <s v="Non-significant benchmark"/>
    <n v="0"/>
    <n v="0"/>
    <n v="0"/>
    <n v="1386268710"/>
    <n v="0"/>
    <n v="0"/>
    <x v="146"/>
    <x v="1"/>
    <n v="1118030284.4300001"/>
    <n v="0.23992053641619782"/>
    <s v="LC100"/>
  </r>
  <r>
    <x v="889"/>
    <x v="155"/>
    <s v="FR0014005WN0"/>
    <x v="1"/>
    <s v="Broad ESG"/>
    <x v="1"/>
    <s v="MESGP"/>
    <x v="2"/>
    <s v="Non-significant benchmark"/>
    <n v="0"/>
    <n v="0"/>
    <n v="0"/>
    <n v="0"/>
    <n v="0"/>
    <n v="0"/>
    <x v="0"/>
    <x v="0"/>
    <n v="64188661.547522418"/>
    <n v="-1"/>
    <s v="MESGP"/>
  </r>
  <r>
    <x v="890"/>
    <x v="155"/>
    <s v="FRESG0000041"/>
    <x v="1"/>
    <s v="Broad ESG"/>
    <x v="1"/>
    <s v="MED37"/>
    <x v="2"/>
    <s v="Non-significant benchmark"/>
    <n v="0"/>
    <n v="0"/>
    <n v="0"/>
    <n v="0"/>
    <n v="0"/>
    <n v="0"/>
    <x v="0"/>
    <x v="0"/>
    <n v="0"/>
    <s v=""/>
    <s v="MESGP"/>
  </r>
  <r>
    <x v="891"/>
    <x v="155"/>
    <s v="FRESG0000058"/>
    <x v="1"/>
    <s v="Broad ESG"/>
    <x v="1"/>
    <s v="MED5"/>
    <x v="2"/>
    <s v="Non-significant benchmark"/>
    <n v="0"/>
    <n v="0"/>
    <n v="0"/>
    <n v="0"/>
    <n v="0"/>
    <n v="0"/>
    <x v="0"/>
    <x v="0"/>
    <n v="381745909.9795"/>
    <n v="-1"/>
    <s v="MESGP"/>
  </r>
  <r>
    <x v="892"/>
    <x v="155"/>
    <s v="FR0014005WM2"/>
    <x v="1"/>
    <s v="Broad ESG"/>
    <x v="1"/>
    <s v="MESGG"/>
    <x v="2"/>
    <s v="Non-significant benchmark"/>
    <n v="0"/>
    <n v="0"/>
    <n v="0"/>
    <n v="0"/>
    <n v="0"/>
    <n v="0"/>
    <x v="0"/>
    <x v="0"/>
    <n v="332500"/>
    <n v="-1"/>
    <s v="MESGP"/>
  </r>
  <r>
    <x v="893"/>
    <x v="155"/>
    <s v="FR0014005WL4"/>
    <x v="1"/>
    <s v="Broad ESG"/>
    <x v="1"/>
    <s v="MESGN"/>
    <x v="2"/>
    <s v="Non-significant benchmark"/>
    <n v="0"/>
    <n v="0"/>
    <n v="0"/>
    <n v="72633454"/>
    <n v="0"/>
    <n v="0"/>
    <x v="147"/>
    <x v="0"/>
    <n v="71050451.670000002"/>
    <n v="2.2279975605959512E-2"/>
    <s v="MESGP"/>
  </r>
  <r>
    <x v="894"/>
    <x v="156"/>
    <s v="QS0011095955"/>
    <x v="0"/>
    <s v="Industry"/>
    <x v="0"/>
    <s v="BIOTK"/>
    <x v="2"/>
    <s v="Non-significant benchmark"/>
    <n v="0"/>
    <n v="0"/>
    <n v="0"/>
    <n v="351869"/>
    <n v="0"/>
    <n v="0"/>
    <x v="148"/>
    <x v="1"/>
    <n v="5282000"/>
    <n v="-0.93338337750851952"/>
    <s v="BIOTK"/>
  </r>
  <r>
    <x v="895"/>
    <x v="157"/>
    <s v="NO0007035376"/>
    <x v="0"/>
    <s v="Country"/>
    <x v="0"/>
    <s v="OBXP"/>
    <x v="5"/>
    <s v="Non-significant benchmark"/>
    <n v="0"/>
    <n v="0"/>
    <n v="0"/>
    <n v="0"/>
    <n v="0"/>
    <n v="0"/>
    <x v="0"/>
    <x v="0"/>
    <n v="0"/>
    <s v=""/>
    <s v="OBX"/>
  </r>
  <r>
    <x v="896"/>
    <x v="157"/>
    <s v="NO0000000021"/>
    <x v="0"/>
    <s v="Country"/>
    <x v="0"/>
    <s v="OBX"/>
    <x v="5"/>
    <s v="Non-significant benchmark"/>
    <n v="0"/>
    <n v="0"/>
    <n v="0"/>
    <n v="486277954.87880766"/>
    <n v="0"/>
    <n v="111689425.44778201"/>
    <x v="149"/>
    <x v="0"/>
    <n v="5546543158.5742979"/>
    <n v="-0.89219098035824296"/>
    <s v="OBX"/>
  </r>
  <r>
    <x v="897"/>
    <x v="157"/>
    <s v="NO0010892151"/>
    <x v="0"/>
    <s v="Country"/>
    <x v="0"/>
    <s v="OBXUP"/>
    <x v="5"/>
    <s v="Non-significant benchmark"/>
    <n v="0"/>
    <n v="0"/>
    <n v="0"/>
    <n v="0"/>
    <n v="0"/>
    <n v="0"/>
    <x v="0"/>
    <x v="1"/>
    <n v="0"/>
    <s v=""/>
    <s v="OBXUP"/>
  </r>
  <r>
    <x v="898"/>
    <x v="157"/>
    <s v="NO0010865173"/>
    <x v="0"/>
    <s v="Country"/>
    <x v="0"/>
    <s v="OBXU"/>
    <x v="5"/>
    <s v="Non-significant benchmark"/>
    <n v="0"/>
    <n v="0"/>
    <n v="0"/>
    <n v="0"/>
    <n v="0"/>
    <n v="0"/>
    <x v="0"/>
    <x v="1"/>
    <n v="0"/>
    <s v=""/>
    <s v="OBXUP"/>
  </r>
  <r>
    <x v="899"/>
    <x v="157"/>
    <s v="NO0010865280"/>
    <x v="0"/>
    <s v="Country"/>
    <x v="0"/>
    <s v="OSEMN"/>
    <x v="5"/>
    <s v="Non-significant benchmark"/>
    <n v="0"/>
    <n v="0"/>
    <n v="0"/>
    <n v="0"/>
    <n v="0"/>
    <n v="0"/>
    <x v="0"/>
    <x v="1"/>
    <n v="0"/>
    <s v=""/>
    <s v="OSEMP"/>
  </r>
  <r>
    <x v="900"/>
    <x v="157"/>
    <s v="NO0010865298"/>
    <x v="0"/>
    <s v="Country"/>
    <x v="0"/>
    <s v="OSEMP"/>
    <x v="5"/>
    <s v="Non-significant benchmark"/>
    <n v="0"/>
    <n v="0"/>
    <n v="0"/>
    <n v="0"/>
    <n v="0"/>
    <n v="0"/>
    <x v="0"/>
    <x v="1"/>
    <n v="0"/>
    <s v=""/>
    <s v="OSEMP"/>
  </r>
  <r>
    <x v="901"/>
    <x v="157"/>
    <s v="NO0010865306"/>
    <x v="0"/>
    <s v="Country"/>
    <x v="0"/>
    <s v="OSESN"/>
    <x v="5"/>
    <s v="Non-significant benchmark"/>
    <n v="0"/>
    <n v="0"/>
    <n v="0"/>
    <n v="0"/>
    <n v="0"/>
    <n v="0"/>
    <x v="0"/>
    <x v="1"/>
    <n v="0"/>
    <s v=""/>
    <s v="OSESP"/>
  </r>
  <r>
    <x v="902"/>
    <x v="157"/>
    <s v="NO0010865314"/>
    <x v="0"/>
    <s v="Country"/>
    <x v="0"/>
    <s v="OSESP"/>
    <x v="5"/>
    <s v="Non-significant benchmark"/>
    <n v="0"/>
    <n v="0"/>
    <n v="0"/>
    <n v="0"/>
    <n v="0"/>
    <n v="0"/>
    <x v="0"/>
    <x v="1"/>
    <n v="0"/>
    <s v=""/>
    <s v="OSESP"/>
  </r>
  <r>
    <x v="903"/>
    <x v="157"/>
    <s v="NO0010735640"/>
    <x v="0"/>
    <s v="Country"/>
    <x v="0"/>
    <s v="OSEMX"/>
    <x v="5"/>
    <s v="Non-significant benchmark"/>
    <n v="0"/>
    <n v="0"/>
    <n v="0"/>
    <n v="0"/>
    <n v="0"/>
    <n v="0"/>
    <x v="0"/>
    <x v="1"/>
    <n v="0"/>
    <s v=""/>
    <s v="OSEMP"/>
  </r>
  <r>
    <x v="904"/>
    <x v="157"/>
    <s v="NO0007035343"/>
    <x v="0"/>
    <s v="Country"/>
    <x v="0"/>
    <s v="OSESX"/>
    <x v="5"/>
    <s v="Non-significant benchmark"/>
    <n v="0"/>
    <n v="0"/>
    <n v="0"/>
    <n v="340523656.12192625"/>
    <n v="0"/>
    <n v="0"/>
    <x v="150"/>
    <x v="1"/>
    <n v="278288519.73626995"/>
    <n v="0.22363529923776815"/>
    <s v="OSESP"/>
  </r>
  <r>
    <x v="905"/>
    <x v="158"/>
    <s v="NO0012513474"/>
    <x v="1"/>
    <s v="Broad ESG"/>
    <x v="1"/>
    <s v="OBXES"/>
    <x v="5"/>
    <s v="Non-significant benchmark"/>
    <n v="0"/>
    <n v="0"/>
    <n v="0"/>
    <n v="0"/>
    <n v="0"/>
    <n v="0"/>
    <x v="0"/>
    <x v="0"/>
    <n v="0"/>
    <s v=""/>
    <s v="OBXEP"/>
  </r>
  <r>
    <x v="906"/>
    <x v="158"/>
    <s v="NO0012513490"/>
    <x v="1"/>
    <s v="Broad ESG"/>
    <x v="1"/>
    <s v="OBXEN"/>
    <x v="5"/>
    <s v="Non-significant benchmark"/>
    <n v="0"/>
    <n v="0"/>
    <n v="0"/>
    <n v="0"/>
    <n v="0"/>
    <n v="0"/>
    <x v="0"/>
    <x v="0"/>
    <n v="0"/>
    <s v=""/>
    <s v="OBXEP"/>
  </r>
  <r>
    <x v="907"/>
    <x v="158"/>
    <s v="NO0012513482"/>
    <x v="1"/>
    <s v="Broad ESG"/>
    <x v="1"/>
    <s v="OBXEP"/>
    <x v="5"/>
    <s v="Non-significant benchmark"/>
    <n v="0"/>
    <n v="0"/>
    <n v="0"/>
    <n v="0"/>
    <n v="0"/>
    <n v="0"/>
    <x v="0"/>
    <x v="0"/>
    <n v="0"/>
    <s v=""/>
    <s v="OBXEP"/>
  </r>
  <r>
    <x v="908"/>
    <x v="159"/>
    <s v="NO0012513508"/>
    <x v="1"/>
    <s v="Broad ESG"/>
    <x v="1"/>
    <s v="OEXOG"/>
    <x v="5"/>
    <s v="Non-significant benchmark"/>
    <n v="0"/>
    <n v="0"/>
    <n v="0"/>
    <n v="0"/>
    <n v="0"/>
    <n v="0"/>
    <x v="0"/>
    <x v="1"/>
    <n v="0"/>
    <s v=""/>
    <s v="OEXOP"/>
  </r>
  <r>
    <x v="909"/>
    <x v="159"/>
    <s v="NO0012513524"/>
    <x v="1"/>
    <s v="Broad ESG"/>
    <x v="1"/>
    <s v="OEXON"/>
    <x v="5"/>
    <s v="Non-significant benchmark"/>
    <n v="0"/>
    <n v="0"/>
    <n v="0"/>
    <n v="0"/>
    <n v="0"/>
    <n v="0"/>
    <x v="0"/>
    <x v="1"/>
    <n v="0"/>
    <s v=""/>
    <s v="OEXOP"/>
  </r>
  <r>
    <x v="910"/>
    <x v="159"/>
    <s v="NO0012513516"/>
    <x v="1"/>
    <s v="Broad ESG"/>
    <x v="1"/>
    <s v="OEXOP"/>
    <x v="5"/>
    <s v="Non-significant benchmark"/>
    <n v="0"/>
    <n v="0"/>
    <n v="0"/>
    <n v="0"/>
    <n v="0"/>
    <n v="0"/>
    <x v="0"/>
    <x v="1"/>
    <n v="0"/>
    <s v=""/>
    <s v="OEXOP"/>
  </r>
  <r>
    <x v="911"/>
    <x v="160"/>
    <s v="NO0010865249"/>
    <x v="0"/>
    <s v="Country"/>
    <x v="0"/>
    <s v="OSEBN"/>
    <x v="5"/>
    <s v="Non-significant benchmark"/>
    <n v="0"/>
    <n v="0"/>
    <n v="0"/>
    <n v="0"/>
    <n v="0"/>
    <n v="0"/>
    <x v="0"/>
    <x v="1"/>
    <n v="0"/>
    <s v=""/>
    <s v="OSEBX"/>
  </r>
  <r>
    <x v="912"/>
    <x v="160"/>
    <s v="NO0010865256"/>
    <x v="0"/>
    <s v="Country"/>
    <x v="0"/>
    <s v="OSEBP"/>
    <x v="5"/>
    <s v="Non-significant benchmark"/>
    <n v="0"/>
    <n v="0"/>
    <n v="0"/>
    <n v="0"/>
    <n v="0"/>
    <n v="0"/>
    <x v="0"/>
    <x v="1"/>
    <n v="0"/>
    <s v=""/>
    <s v="OSEBX"/>
  </r>
  <r>
    <x v="913"/>
    <x v="160"/>
    <s v="NO0010865264"/>
    <x v="0"/>
    <s v="Country"/>
    <x v="0"/>
    <s v="OSEFN"/>
    <x v="5"/>
    <s v="Non-significant benchmark"/>
    <n v="0"/>
    <n v="0"/>
    <n v="0"/>
    <n v="0"/>
    <n v="0"/>
    <n v="0"/>
    <x v="0"/>
    <x v="1"/>
    <n v="0"/>
    <s v=""/>
    <s v="OSEFP"/>
  </r>
  <r>
    <x v="914"/>
    <x v="160"/>
    <s v="NO0010865272"/>
    <x v="0"/>
    <s v="Country"/>
    <x v="0"/>
    <s v="OSEFP"/>
    <x v="5"/>
    <s v="Non-significant benchmark"/>
    <n v="0"/>
    <n v="0"/>
    <n v="0"/>
    <n v="0"/>
    <n v="0"/>
    <n v="0"/>
    <x v="0"/>
    <x v="1"/>
    <n v="0"/>
    <s v=""/>
    <s v="OSEFP"/>
  </r>
  <r>
    <x v="915"/>
    <x v="160"/>
    <s v="NO0007035327"/>
    <x v="0"/>
    <s v="Country"/>
    <x v="0"/>
    <s v="OSEBX"/>
    <x v="5"/>
    <s v="Non-significant benchmark"/>
    <n v="0"/>
    <n v="0"/>
    <n v="0"/>
    <n v="8790557471.6180553"/>
    <n v="0"/>
    <n v="0"/>
    <x v="151"/>
    <x v="1"/>
    <n v="4531274122.7206583"/>
    <n v="0.93997476946727887"/>
    <s v="OSEBX"/>
  </r>
  <r>
    <x v="916"/>
    <x v="160"/>
    <s v="NO0007035335"/>
    <x v="0"/>
    <s v="Country"/>
    <x v="0"/>
    <s v="OSEFX"/>
    <x v="5"/>
    <s v="Non-significant benchmark"/>
    <n v="0"/>
    <n v="0"/>
    <n v="0"/>
    <n v="12522008119.518494"/>
    <n v="0"/>
    <n v="0"/>
    <x v="152"/>
    <x v="1"/>
    <n v="5840131010.1697826"/>
    <n v="1.1441313726889248"/>
    <s v="OSEFP"/>
  </r>
  <r>
    <x v="917"/>
    <x v="161"/>
    <s v="NO0010865355"/>
    <x v="0"/>
    <s v="Country"/>
    <x v="0"/>
    <s v="OSEBS"/>
    <x v="5"/>
    <s v="Non-significant benchmark"/>
    <n v="0"/>
    <n v="0"/>
    <n v="0"/>
    <n v="0"/>
    <n v="0"/>
    <n v="0"/>
    <x v="0"/>
    <x v="1"/>
    <n v="0"/>
    <s v=""/>
    <s v="OSEPB"/>
  </r>
  <r>
    <x v="918"/>
    <x v="161"/>
    <s v="NO0010892227"/>
    <x v="0"/>
    <s v="Country"/>
    <x v="0"/>
    <s v="OSEPB"/>
    <x v="5"/>
    <s v="Non-significant benchmark"/>
    <n v="0"/>
    <n v="0"/>
    <n v="0"/>
    <n v="0"/>
    <n v="0"/>
    <n v="0"/>
    <x v="0"/>
    <x v="1"/>
    <n v="0"/>
    <s v=""/>
    <s v="OSEPB"/>
  </r>
  <r>
    <x v="919"/>
    <x v="161"/>
    <s v="NO0010865363"/>
    <x v="0"/>
    <s v="Country"/>
    <x v="0"/>
    <s v="OSEBG"/>
    <x v="5"/>
    <s v="Non-significant benchmark"/>
    <n v="0"/>
    <n v="0"/>
    <n v="0"/>
    <n v="0"/>
    <n v="0"/>
    <n v="0"/>
    <x v="0"/>
    <x v="1"/>
    <n v="0"/>
    <s v=""/>
    <s v="OSEPX"/>
  </r>
  <r>
    <x v="920"/>
    <x v="161"/>
    <s v="NO0010892193"/>
    <x v="0"/>
    <s v="Country"/>
    <x v="0"/>
    <s v="OSEPX"/>
    <x v="5"/>
    <s v="Non-significant benchmark"/>
    <n v="0"/>
    <n v="0"/>
    <n v="0"/>
    <n v="0"/>
    <n v="0"/>
    <n v="0"/>
    <x v="0"/>
    <x v="1"/>
    <n v="0"/>
    <s v=""/>
    <s v="OSEPX"/>
  </r>
  <r>
    <x v="921"/>
    <x v="162"/>
    <s v="NO0010865371"/>
    <x v="0"/>
    <s v="Country"/>
    <x v="0"/>
    <s v="OSEER"/>
    <x v="5"/>
    <s v="Non-significant benchmark"/>
    <n v="0"/>
    <n v="0"/>
    <n v="0"/>
    <n v="0"/>
    <n v="0"/>
    <n v="0"/>
    <x v="0"/>
    <x v="1"/>
    <n v="0"/>
    <s v=""/>
    <s v="OSEXP"/>
  </r>
  <r>
    <x v="922"/>
    <x v="162"/>
    <s v="NO0010892201"/>
    <x v="0"/>
    <s v="Country"/>
    <x v="0"/>
    <s v="OSEXP"/>
    <x v="5"/>
    <s v="Non-significant benchmark"/>
    <n v="0"/>
    <n v="0"/>
    <n v="0"/>
    <n v="0"/>
    <n v="0"/>
    <n v="0"/>
    <x v="0"/>
    <x v="1"/>
    <n v="0"/>
    <s v=""/>
    <s v="OSEXP"/>
  </r>
  <r>
    <x v="923"/>
    <x v="162"/>
    <s v="NO0000000062"/>
    <x v="0"/>
    <s v="Country"/>
    <x v="0"/>
    <s v="OSEEX"/>
    <x v="5"/>
    <s v="Non-significant benchmark"/>
    <n v="0"/>
    <n v="0"/>
    <n v="0"/>
    <n v="617967374.32240248"/>
    <n v="0"/>
    <n v="0"/>
    <x v="153"/>
    <x v="1"/>
    <n v="0"/>
    <s v=""/>
    <s v="OSEEP"/>
  </r>
  <r>
    <x v="924"/>
    <x v="162"/>
    <s v="NO0010890668"/>
    <x v="0"/>
    <s v="Country"/>
    <x v="0"/>
    <s v="OSEEP"/>
    <x v="5"/>
    <s v="Non-significant benchmark"/>
    <n v="0"/>
    <n v="0"/>
    <n v="0"/>
    <n v="0"/>
    <n v="0"/>
    <n v="0"/>
    <x v="0"/>
    <x v="1"/>
    <n v="0"/>
    <s v=""/>
    <s v="OSEEP"/>
  </r>
  <r>
    <x v="925"/>
    <x v="163"/>
    <s v="NO0010890650"/>
    <x v="0"/>
    <s v="Industry"/>
    <x v="0"/>
    <s v="OBOSP"/>
    <x v="5"/>
    <s v="Non-significant benchmark"/>
    <n v="0"/>
    <n v="0"/>
    <n v="0"/>
    <n v="0"/>
    <n v="0"/>
    <n v="0"/>
    <x v="0"/>
    <x v="1"/>
    <n v="0"/>
    <s v=""/>
    <s v="OBOSP"/>
  </r>
  <r>
    <x v="926"/>
    <x v="163"/>
    <s v="NO0010865181"/>
    <x v="0"/>
    <s v="Industry"/>
    <x v="0"/>
    <s v="OBSFN"/>
    <x v="5"/>
    <s v="Non-significant benchmark"/>
    <n v="0"/>
    <n v="0"/>
    <n v="0"/>
    <n v="0"/>
    <n v="0"/>
    <n v="0"/>
    <x v="0"/>
    <x v="1"/>
    <n v="0"/>
    <s v=""/>
    <s v="OBSFP"/>
  </r>
  <r>
    <x v="927"/>
    <x v="163"/>
    <s v="NO0010865199"/>
    <x v="0"/>
    <s v="Industry"/>
    <x v="0"/>
    <s v="OBSFP"/>
    <x v="5"/>
    <s v="Non-significant benchmark"/>
    <n v="0"/>
    <n v="0"/>
    <n v="0"/>
    <n v="0"/>
    <n v="0"/>
    <n v="0"/>
    <x v="0"/>
    <x v="1"/>
    <n v="0"/>
    <s v=""/>
    <s v="OBSFP"/>
  </r>
  <r>
    <x v="928"/>
    <x v="163"/>
    <s v="NO0010865207"/>
    <x v="0"/>
    <s v="Industry"/>
    <x v="0"/>
    <s v="OBSHN"/>
    <x v="5"/>
    <s v="Non-significant benchmark"/>
    <n v="0"/>
    <n v="0"/>
    <n v="0"/>
    <n v="0"/>
    <n v="0"/>
    <n v="0"/>
    <x v="0"/>
    <x v="1"/>
    <n v="0"/>
    <s v=""/>
    <s v="OBSHP"/>
  </r>
  <r>
    <x v="929"/>
    <x v="163"/>
    <s v="NO0010865215"/>
    <x v="0"/>
    <s v="Industry"/>
    <x v="0"/>
    <s v="OBSHP"/>
    <x v="5"/>
    <s v="Non-significant benchmark"/>
    <n v="0"/>
    <n v="0"/>
    <n v="0"/>
    <n v="0"/>
    <n v="0"/>
    <n v="0"/>
    <x v="0"/>
    <x v="1"/>
    <n v="0"/>
    <s v=""/>
    <s v="OBSHP"/>
  </r>
  <r>
    <x v="930"/>
    <x v="163"/>
    <s v="NO0010590086"/>
    <x v="0"/>
    <s v="Industry"/>
    <x v="0"/>
    <s v="OBOSX"/>
    <x v="5"/>
    <s v="Non-significant benchmark"/>
    <n v="0"/>
    <n v="0"/>
    <n v="0"/>
    <n v="0"/>
    <n v="0"/>
    <n v="0"/>
    <x v="0"/>
    <x v="1"/>
    <n v="0"/>
    <s v=""/>
    <s v="OBOSP"/>
  </r>
  <r>
    <x v="931"/>
    <x v="163"/>
    <s v="NO0010760663"/>
    <x v="0"/>
    <s v="Industry"/>
    <x v="0"/>
    <s v="OBSFX"/>
    <x v="5"/>
    <s v="Non-significant benchmark"/>
    <n v="0"/>
    <n v="0"/>
    <n v="0"/>
    <n v="0"/>
    <n v="0"/>
    <n v="0"/>
    <x v="0"/>
    <x v="1"/>
    <n v="0"/>
    <s v=""/>
    <s v="OBSFP"/>
  </r>
  <r>
    <x v="932"/>
    <x v="163"/>
    <s v="NO0010771934"/>
    <x v="0"/>
    <s v="Industry"/>
    <x v="0"/>
    <s v="OBSHX"/>
    <x v="5"/>
    <s v="Non-significant benchmark"/>
    <n v="0"/>
    <n v="0"/>
    <n v="0"/>
    <n v="0"/>
    <n v="0"/>
    <n v="0"/>
    <x v="0"/>
    <x v="1"/>
    <n v="0"/>
    <s v=""/>
    <s v="OBSHP"/>
  </r>
  <r>
    <x v="933"/>
    <x v="164"/>
    <s v="NO0010890569"/>
    <x v="0"/>
    <s v="Industry"/>
    <x v="0"/>
    <s v="OBMG"/>
    <x v="5"/>
    <s v="Non-significant benchmark"/>
    <n v="0"/>
    <n v="0"/>
    <n v="0"/>
    <n v="0"/>
    <n v="0"/>
    <n v="0"/>
    <x v="0"/>
    <x v="1"/>
    <n v="0"/>
    <s v=""/>
    <s v="OBMP"/>
  </r>
  <r>
    <x v="934"/>
    <x v="164"/>
    <s v="NO0010890577"/>
    <x v="0"/>
    <s v="Industry"/>
    <x v="0"/>
    <s v="OBMN"/>
    <x v="5"/>
    <s v="Non-significant benchmark"/>
    <n v="0"/>
    <n v="0"/>
    <n v="0"/>
    <n v="0"/>
    <n v="0"/>
    <n v="0"/>
    <x v="0"/>
    <x v="1"/>
    <n v="0"/>
    <s v=""/>
    <s v="OBMP"/>
  </r>
  <r>
    <x v="935"/>
    <x v="164"/>
    <s v="NO0010890585"/>
    <x v="0"/>
    <s v="Industry"/>
    <x v="0"/>
    <s v="OBMP"/>
    <x v="5"/>
    <s v="Non-significant benchmark"/>
    <n v="0"/>
    <n v="0"/>
    <n v="0"/>
    <n v="0"/>
    <n v="0"/>
    <n v="0"/>
    <x v="0"/>
    <x v="1"/>
    <n v="0"/>
    <s v=""/>
    <s v="OBMP"/>
  </r>
  <r>
    <x v="936"/>
    <x v="164"/>
    <s v="NO0010890478"/>
    <x v="0"/>
    <s v="Industry"/>
    <x v="0"/>
    <s v="OCDG"/>
    <x v="5"/>
    <s v="Non-significant benchmark"/>
    <n v="0"/>
    <n v="0"/>
    <n v="0"/>
    <n v="0"/>
    <n v="0"/>
    <n v="0"/>
    <x v="0"/>
    <x v="1"/>
    <n v="0"/>
    <s v=""/>
    <s v="OCDP"/>
  </r>
  <r>
    <x v="937"/>
    <x v="164"/>
    <s v="NO0010890486"/>
    <x v="0"/>
    <s v="Industry"/>
    <x v="0"/>
    <s v="OCDN"/>
    <x v="5"/>
    <s v="Non-significant benchmark"/>
    <n v="0"/>
    <n v="0"/>
    <n v="0"/>
    <n v="0"/>
    <n v="0"/>
    <n v="0"/>
    <x v="0"/>
    <x v="1"/>
    <n v="0"/>
    <s v=""/>
    <s v="OCDP"/>
  </r>
  <r>
    <x v="938"/>
    <x v="164"/>
    <s v="NO0010890494"/>
    <x v="0"/>
    <s v="Industry"/>
    <x v="0"/>
    <s v="OCDP"/>
    <x v="5"/>
    <s v="Non-significant benchmark"/>
    <n v="0"/>
    <n v="0"/>
    <n v="0"/>
    <n v="0"/>
    <n v="0"/>
    <n v="0"/>
    <x v="0"/>
    <x v="1"/>
    <n v="0"/>
    <s v=""/>
    <s v="OCDP"/>
  </r>
  <r>
    <x v="939"/>
    <x v="164"/>
    <s v="NO0010890502"/>
    <x v="0"/>
    <s v="Industry"/>
    <x v="0"/>
    <s v="OCSG"/>
    <x v="5"/>
    <s v="Non-significant benchmark"/>
    <n v="0"/>
    <n v="0"/>
    <n v="0"/>
    <n v="0"/>
    <n v="0"/>
    <n v="0"/>
    <x v="0"/>
    <x v="1"/>
    <n v="0"/>
    <s v=""/>
    <s v="OCSP"/>
  </r>
  <r>
    <x v="940"/>
    <x v="164"/>
    <s v="NO0010890510"/>
    <x v="0"/>
    <s v="Industry"/>
    <x v="0"/>
    <s v="OCSN"/>
    <x v="5"/>
    <s v="Non-significant benchmark"/>
    <n v="0"/>
    <n v="0"/>
    <n v="0"/>
    <n v="0"/>
    <n v="0"/>
    <n v="0"/>
    <x v="0"/>
    <x v="1"/>
    <n v="0"/>
    <s v=""/>
    <s v="OCSP"/>
  </r>
  <r>
    <x v="941"/>
    <x v="164"/>
    <s v="NO0010890528"/>
    <x v="0"/>
    <s v="Industry"/>
    <x v="0"/>
    <s v="OCSP"/>
    <x v="5"/>
    <s v="Non-significant benchmark"/>
    <n v="0"/>
    <n v="0"/>
    <n v="0"/>
    <n v="0"/>
    <n v="0"/>
    <n v="0"/>
    <x v="0"/>
    <x v="1"/>
    <n v="0"/>
    <s v=""/>
    <s v="OCSP"/>
  </r>
  <r>
    <x v="942"/>
    <x v="164"/>
    <s v="NO0010890593"/>
    <x v="0"/>
    <s v="Industry"/>
    <x v="0"/>
    <s v="OENG"/>
    <x v="5"/>
    <s v="Non-significant benchmark"/>
    <n v="0"/>
    <n v="0"/>
    <n v="0"/>
    <n v="0"/>
    <n v="0"/>
    <n v="0"/>
    <x v="0"/>
    <x v="1"/>
    <n v="0"/>
    <s v=""/>
    <s v="OENP"/>
  </r>
  <r>
    <x v="943"/>
    <x v="164"/>
    <s v="NO0010890601"/>
    <x v="0"/>
    <s v="Industry"/>
    <x v="0"/>
    <s v="OENN"/>
    <x v="5"/>
    <s v="Non-significant benchmark"/>
    <n v="0"/>
    <n v="0"/>
    <n v="0"/>
    <n v="0"/>
    <n v="0"/>
    <n v="0"/>
    <x v="0"/>
    <x v="1"/>
    <n v="0"/>
    <s v=""/>
    <s v="OENP"/>
  </r>
  <r>
    <x v="944"/>
    <x v="164"/>
    <s v="NO0010890619"/>
    <x v="0"/>
    <s v="Industry"/>
    <x v="0"/>
    <s v="OENP"/>
    <x v="5"/>
    <s v="Non-significant benchmark"/>
    <n v="0"/>
    <n v="0"/>
    <n v="0"/>
    <n v="0"/>
    <n v="0"/>
    <n v="0"/>
    <x v="0"/>
    <x v="1"/>
    <n v="0"/>
    <s v=""/>
    <s v="OENP"/>
  </r>
  <r>
    <x v="945"/>
    <x v="164"/>
    <s v="NO0010890411"/>
    <x v="0"/>
    <s v="Industry"/>
    <x v="0"/>
    <s v="OFING"/>
    <x v="5"/>
    <s v="Non-significant benchmark"/>
    <n v="0"/>
    <n v="0"/>
    <n v="0"/>
    <n v="0"/>
    <n v="0"/>
    <n v="0"/>
    <x v="0"/>
    <x v="1"/>
    <n v="0"/>
    <s v=""/>
    <s v="OFINP"/>
  </r>
  <r>
    <x v="946"/>
    <x v="164"/>
    <s v="NO0010890429"/>
    <x v="0"/>
    <s v="Industry"/>
    <x v="0"/>
    <s v="OFINN"/>
    <x v="5"/>
    <s v="Non-significant benchmark"/>
    <n v="0"/>
    <n v="0"/>
    <n v="0"/>
    <n v="0"/>
    <n v="0"/>
    <n v="0"/>
    <x v="0"/>
    <x v="1"/>
    <n v="0"/>
    <s v=""/>
    <s v="OFINP"/>
  </r>
  <r>
    <x v="947"/>
    <x v="164"/>
    <s v="NO0010890437"/>
    <x v="0"/>
    <s v="Industry"/>
    <x v="0"/>
    <s v="OFINP"/>
    <x v="5"/>
    <s v="Non-significant benchmark"/>
    <n v="0"/>
    <n v="0"/>
    <n v="0"/>
    <n v="0"/>
    <n v="0"/>
    <n v="0"/>
    <x v="0"/>
    <x v="1"/>
    <n v="0"/>
    <s v=""/>
    <s v="OFINP"/>
  </r>
  <r>
    <x v="948"/>
    <x v="164"/>
    <s v="NO0010890387"/>
    <x v="0"/>
    <s v="Industry"/>
    <x v="0"/>
    <s v="OHCG"/>
    <x v="5"/>
    <s v="Non-significant benchmark"/>
    <n v="0"/>
    <n v="0"/>
    <n v="0"/>
    <n v="0"/>
    <n v="0"/>
    <n v="0"/>
    <x v="0"/>
    <x v="1"/>
    <n v="0"/>
    <s v=""/>
    <s v="OHCP"/>
  </r>
  <r>
    <x v="949"/>
    <x v="164"/>
    <s v="NO0010890395"/>
    <x v="0"/>
    <s v="Industry"/>
    <x v="0"/>
    <s v="OHCN"/>
    <x v="5"/>
    <s v="Non-significant benchmark"/>
    <n v="0"/>
    <n v="0"/>
    <n v="0"/>
    <n v="0"/>
    <n v="0"/>
    <n v="0"/>
    <x v="0"/>
    <x v="1"/>
    <n v="0"/>
    <s v=""/>
    <s v="OHCP"/>
  </r>
  <r>
    <x v="950"/>
    <x v="164"/>
    <s v="NO0010890403"/>
    <x v="0"/>
    <s v="Industry"/>
    <x v="0"/>
    <s v="OHCP"/>
    <x v="5"/>
    <s v="Non-significant benchmark"/>
    <n v="0"/>
    <n v="0"/>
    <n v="0"/>
    <n v="0"/>
    <n v="0"/>
    <n v="0"/>
    <x v="0"/>
    <x v="1"/>
    <n v="0"/>
    <s v=""/>
    <s v="OHCP"/>
  </r>
  <r>
    <x v="951"/>
    <x v="164"/>
    <s v="NO0010890536"/>
    <x v="0"/>
    <s v="Industry"/>
    <x v="0"/>
    <s v="OING"/>
    <x v="5"/>
    <s v="Non-significant benchmark"/>
    <n v="0"/>
    <n v="0"/>
    <n v="0"/>
    <n v="0"/>
    <n v="0"/>
    <n v="0"/>
    <x v="0"/>
    <x v="1"/>
    <n v="0"/>
    <s v=""/>
    <s v="OINP"/>
  </r>
  <r>
    <x v="952"/>
    <x v="164"/>
    <s v="NO0010890544"/>
    <x v="0"/>
    <s v="Industry"/>
    <x v="0"/>
    <s v="OINN"/>
    <x v="5"/>
    <s v="Non-significant benchmark"/>
    <n v="0"/>
    <n v="0"/>
    <n v="0"/>
    <n v="0"/>
    <n v="0"/>
    <n v="0"/>
    <x v="0"/>
    <x v="1"/>
    <n v="0"/>
    <s v=""/>
    <s v="OINP"/>
  </r>
  <r>
    <x v="953"/>
    <x v="164"/>
    <s v="NO0010890551"/>
    <x v="0"/>
    <s v="Industry"/>
    <x v="0"/>
    <s v="OINP"/>
    <x v="5"/>
    <s v="Non-significant benchmark"/>
    <n v="0"/>
    <n v="0"/>
    <n v="0"/>
    <n v="0"/>
    <n v="0"/>
    <n v="0"/>
    <x v="0"/>
    <x v="1"/>
    <n v="0"/>
    <s v=""/>
    <s v="OINP"/>
  </r>
  <r>
    <x v="954"/>
    <x v="164"/>
    <s v="NO0010890445"/>
    <x v="0"/>
    <s v="Industry"/>
    <x v="0"/>
    <s v="OREG"/>
    <x v="5"/>
    <s v="Non-significant benchmark"/>
    <n v="0"/>
    <n v="0"/>
    <n v="0"/>
    <n v="0"/>
    <n v="0"/>
    <n v="0"/>
    <x v="0"/>
    <x v="1"/>
    <n v="0"/>
    <s v=""/>
    <s v="OREP"/>
  </r>
  <r>
    <x v="955"/>
    <x v="164"/>
    <s v="NO0010890452"/>
    <x v="0"/>
    <s v="Industry"/>
    <x v="0"/>
    <s v="OREN"/>
    <x v="5"/>
    <s v="Non-significant benchmark"/>
    <n v="0"/>
    <n v="0"/>
    <n v="0"/>
    <n v="0"/>
    <n v="0"/>
    <n v="0"/>
    <x v="0"/>
    <x v="1"/>
    <n v="0"/>
    <s v=""/>
    <s v="OREP"/>
  </r>
  <r>
    <x v="956"/>
    <x v="164"/>
    <s v="NO0010890460"/>
    <x v="0"/>
    <s v="Industry"/>
    <x v="0"/>
    <s v="OREP"/>
    <x v="5"/>
    <s v="Non-significant benchmark"/>
    <n v="0"/>
    <n v="0"/>
    <n v="0"/>
    <n v="0"/>
    <n v="0"/>
    <n v="0"/>
    <x v="0"/>
    <x v="1"/>
    <n v="0"/>
    <s v=""/>
    <s v="OREP"/>
  </r>
  <r>
    <x v="957"/>
    <x v="164"/>
    <s v="NO0010890320"/>
    <x v="0"/>
    <s v="Industry"/>
    <x v="0"/>
    <s v="OTECG"/>
    <x v="5"/>
    <s v="Non-significant benchmark"/>
    <n v="0"/>
    <n v="0"/>
    <n v="0"/>
    <n v="0"/>
    <n v="0"/>
    <n v="0"/>
    <x v="0"/>
    <x v="1"/>
    <n v="0"/>
    <s v=""/>
    <s v="OTECP"/>
  </r>
  <r>
    <x v="958"/>
    <x v="164"/>
    <s v="NO0010890338"/>
    <x v="0"/>
    <s v="Industry"/>
    <x v="0"/>
    <s v="OTECN"/>
    <x v="5"/>
    <s v="Non-significant benchmark"/>
    <n v="0"/>
    <n v="0"/>
    <n v="0"/>
    <n v="0"/>
    <n v="0"/>
    <n v="0"/>
    <x v="0"/>
    <x v="1"/>
    <n v="0"/>
    <s v=""/>
    <s v="OTECP"/>
  </r>
  <r>
    <x v="959"/>
    <x v="164"/>
    <s v="NO0010890346"/>
    <x v="0"/>
    <s v="Industry"/>
    <x v="0"/>
    <s v="OTECP"/>
    <x v="5"/>
    <s v="Non-significant benchmark"/>
    <n v="0"/>
    <n v="0"/>
    <n v="0"/>
    <n v="0"/>
    <n v="0"/>
    <n v="0"/>
    <x v="0"/>
    <x v="1"/>
    <n v="0"/>
    <s v=""/>
    <s v="OTECP"/>
  </r>
  <r>
    <x v="960"/>
    <x v="164"/>
    <s v="NO0010890353"/>
    <x v="0"/>
    <s v="Industry"/>
    <x v="0"/>
    <s v="OTELG"/>
    <x v="5"/>
    <s v="Non-significant benchmark"/>
    <n v="0"/>
    <n v="0"/>
    <n v="0"/>
    <n v="0"/>
    <n v="0"/>
    <n v="0"/>
    <x v="0"/>
    <x v="1"/>
    <n v="0"/>
    <s v=""/>
    <s v="OTELP"/>
  </r>
  <r>
    <x v="961"/>
    <x v="164"/>
    <s v="NO0010890361"/>
    <x v="0"/>
    <s v="Industry"/>
    <x v="0"/>
    <s v="OTELN"/>
    <x v="5"/>
    <s v="Non-significant benchmark"/>
    <n v="0"/>
    <n v="0"/>
    <n v="0"/>
    <n v="0"/>
    <n v="0"/>
    <n v="0"/>
    <x v="0"/>
    <x v="1"/>
    <n v="0"/>
    <s v=""/>
    <s v="OTELP"/>
  </r>
  <r>
    <x v="962"/>
    <x v="164"/>
    <s v="NO0010890379"/>
    <x v="0"/>
    <s v="Industry"/>
    <x v="0"/>
    <s v="OTELP"/>
    <x v="5"/>
    <s v="Non-significant benchmark"/>
    <n v="0"/>
    <n v="0"/>
    <n v="0"/>
    <n v="0"/>
    <n v="0"/>
    <n v="0"/>
    <x v="0"/>
    <x v="1"/>
    <n v="0"/>
    <s v=""/>
    <s v="OTELP"/>
  </r>
  <r>
    <x v="963"/>
    <x v="164"/>
    <s v="NO0010890627"/>
    <x v="0"/>
    <s v="Industry"/>
    <x v="0"/>
    <s v="OUTG"/>
    <x v="5"/>
    <s v="Non-significant benchmark"/>
    <n v="0"/>
    <n v="0"/>
    <n v="0"/>
    <n v="0"/>
    <n v="0"/>
    <n v="0"/>
    <x v="0"/>
    <x v="1"/>
    <n v="0"/>
    <s v=""/>
    <s v="OUTP"/>
  </r>
  <r>
    <x v="964"/>
    <x v="164"/>
    <s v="NO0010890635"/>
    <x v="0"/>
    <s v="Industry"/>
    <x v="0"/>
    <s v="OUTN"/>
    <x v="5"/>
    <s v="Non-significant benchmark"/>
    <n v="0"/>
    <n v="0"/>
    <n v="0"/>
    <n v="0"/>
    <n v="0"/>
    <n v="0"/>
    <x v="0"/>
    <x v="1"/>
    <n v="0"/>
    <s v=""/>
    <s v="OUTP"/>
  </r>
  <r>
    <x v="965"/>
    <x v="164"/>
    <s v="NO0010890643"/>
    <x v="0"/>
    <s v="Industry"/>
    <x v="0"/>
    <s v="OUTP"/>
    <x v="5"/>
    <s v="Non-significant benchmark"/>
    <n v="0"/>
    <n v="0"/>
    <n v="0"/>
    <n v="0"/>
    <n v="0"/>
    <n v="0"/>
    <x v="0"/>
    <x v="1"/>
    <n v="0"/>
    <s v=""/>
    <s v="OUTP"/>
  </r>
  <r>
    <x v="966"/>
    <x v="164"/>
    <s v="NO0010865223"/>
    <x v="0"/>
    <s v="Country"/>
    <x v="0"/>
    <s v="OSEAN"/>
    <x v="5"/>
    <s v="Non-significant benchmark"/>
    <n v="0"/>
    <n v="0"/>
    <n v="0"/>
    <n v="0"/>
    <n v="0"/>
    <n v="0"/>
    <x v="0"/>
    <x v="1"/>
    <n v="0"/>
    <s v=""/>
    <s v="OSEAP"/>
  </r>
  <r>
    <x v="967"/>
    <x v="164"/>
    <s v="NO0010865231"/>
    <x v="0"/>
    <s v="Country"/>
    <x v="0"/>
    <s v="OSEAP"/>
    <x v="5"/>
    <s v="Non-significant benchmark"/>
    <n v="0"/>
    <n v="0"/>
    <n v="0"/>
    <n v="0"/>
    <n v="0"/>
    <n v="0"/>
    <x v="0"/>
    <x v="1"/>
    <n v="0"/>
    <s v=""/>
    <s v="OSEAP"/>
  </r>
  <r>
    <x v="968"/>
    <x v="164"/>
    <s v="NO0007033900"/>
    <x v="0"/>
    <s v="Country"/>
    <x v="0"/>
    <s v="OSEAX"/>
    <x v="5"/>
    <s v="Non-significant benchmark"/>
    <n v="0"/>
    <n v="0"/>
    <n v="0"/>
    <n v="0"/>
    <n v="0"/>
    <n v="0"/>
    <x v="0"/>
    <x v="1"/>
    <n v="0"/>
    <s v=""/>
    <s v="OSEAP"/>
  </r>
  <r>
    <x v="969"/>
    <x v="165"/>
    <s v="NO0010580590"/>
    <x v="0"/>
    <s v="Industry"/>
    <x v="0"/>
    <s v="SSENX"/>
    <x v="5"/>
    <s v="Non-significant benchmark"/>
    <n v="0"/>
    <n v="0"/>
    <n v="0"/>
    <n v="0"/>
    <n v="0"/>
    <n v="0"/>
    <x v="0"/>
    <x v="1"/>
    <n v="0"/>
    <s v=""/>
    <s v="SSENP"/>
  </r>
  <r>
    <x v="970"/>
    <x v="165"/>
    <s v="NO0010892169"/>
    <x v="0"/>
    <s v="Industry"/>
    <x v="0"/>
    <s v="SSENP"/>
    <x v="5"/>
    <s v="Non-significant benchmark"/>
    <n v="0"/>
    <n v="0"/>
    <n v="0"/>
    <n v="0"/>
    <n v="0"/>
    <n v="0"/>
    <x v="0"/>
    <x v="1"/>
    <n v="0"/>
    <s v=""/>
    <s v="SSENP"/>
  </r>
  <r>
    <x v="971"/>
    <x v="165"/>
    <s v="NO0010580624"/>
    <x v="0"/>
    <s v="Industry"/>
    <x v="0"/>
    <s v="SSSFX"/>
    <x v="5"/>
    <s v="Non-significant benchmark"/>
    <n v="0"/>
    <n v="0"/>
    <n v="0"/>
    <n v="0"/>
    <n v="0"/>
    <n v="0"/>
    <x v="0"/>
    <x v="1"/>
    <n v="0"/>
    <s v=""/>
    <s v="SSSFP"/>
  </r>
  <r>
    <x v="972"/>
    <x v="165"/>
    <s v="NO0010892177"/>
    <x v="0"/>
    <s v="Industry"/>
    <x v="0"/>
    <s v="SSSFP"/>
    <x v="5"/>
    <s v="Non-significant benchmark"/>
    <n v="0"/>
    <n v="0"/>
    <n v="0"/>
    <n v="0"/>
    <n v="0"/>
    <n v="0"/>
    <x v="0"/>
    <x v="1"/>
    <n v="0"/>
    <s v=""/>
    <s v="SSSFP"/>
  </r>
  <r>
    <x v="973"/>
    <x v="165"/>
    <s v="NO0010580640"/>
    <x v="0"/>
    <s v="Industry"/>
    <x v="0"/>
    <s v="SSSHX"/>
    <x v="5"/>
    <s v="Non-significant benchmark"/>
    <n v="0"/>
    <n v="0"/>
    <n v="0"/>
    <n v="0"/>
    <n v="0"/>
    <n v="0"/>
    <x v="0"/>
    <x v="1"/>
    <n v="0"/>
    <s v=""/>
    <s v="SSSHP"/>
  </r>
  <r>
    <x v="974"/>
    <x v="165"/>
    <s v="NO0010892185"/>
    <x v="0"/>
    <s v="Industry"/>
    <x v="0"/>
    <s v="SSSHP"/>
    <x v="5"/>
    <s v="Non-significant benchmark"/>
    <n v="0"/>
    <n v="0"/>
    <n v="0"/>
    <n v="0"/>
    <n v="0"/>
    <n v="0"/>
    <x v="0"/>
    <x v="1"/>
    <n v="0"/>
    <s v=""/>
    <s v="SSSHP"/>
  </r>
  <r>
    <x v="975"/>
    <x v="4"/>
    <s v="PTINO0390005"/>
    <x v="0"/>
    <s v="Country"/>
    <x v="0"/>
    <s v="PTEB"/>
    <x v="4"/>
    <s v="Non-significant benchmark"/>
    <n v="0"/>
    <n v="0"/>
    <n v="0"/>
    <n v="0"/>
    <n v="0"/>
    <n v="0"/>
    <x v="0"/>
    <x v="1"/>
    <n v="0"/>
    <s v=""/>
    <s v="PTEB"/>
  </r>
  <r>
    <x v="976"/>
    <x v="4"/>
    <s v="PTINO0410001"/>
    <x v="0"/>
    <s v="Country"/>
    <x v="0"/>
    <s v="PTEBG"/>
    <x v="4"/>
    <s v="Non-significant benchmark"/>
    <n v="0"/>
    <n v="0"/>
    <n v="0"/>
    <n v="0"/>
    <n v="0"/>
    <n v="0"/>
    <x v="0"/>
    <x v="1"/>
    <n v="0"/>
    <s v=""/>
    <s v="PTEB"/>
  </r>
  <r>
    <x v="977"/>
    <x v="4"/>
    <s v="PTINO0400002"/>
    <x v="0"/>
    <s v="Country"/>
    <x v="0"/>
    <s v="PTEBN"/>
    <x v="4"/>
    <s v="Non-significant benchmark"/>
    <n v="0"/>
    <n v="0"/>
    <n v="0"/>
    <n v="0"/>
    <n v="0"/>
    <n v="0"/>
    <x v="0"/>
    <x v="1"/>
    <n v="0"/>
    <s v=""/>
    <s v="PTEB"/>
  </r>
  <r>
    <x v="978"/>
    <x v="166"/>
    <s v="QS0011224308"/>
    <x v="0"/>
    <s v="Country"/>
    <x v="0"/>
    <s v="BVL"/>
    <x v="4"/>
    <s v="Non-significant benchmark"/>
    <n v="0"/>
    <n v="0"/>
    <n v="0"/>
    <n v="0"/>
    <n v="0"/>
    <n v="0"/>
    <x v="0"/>
    <x v="1"/>
    <n v="0"/>
    <s v=""/>
    <s v="BVL"/>
  </r>
  <r>
    <x v="979"/>
    <x v="166"/>
    <s v="PTING1000005"/>
    <x v="0"/>
    <s v="Country"/>
    <x v="0"/>
    <s v="BVLGR"/>
    <x v="4"/>
    <s v="Non-significant benchmark"/>
    <n v="0"/>
    <n v="0"/>
    <n v="0"/>
    <n v="0"/>
    <n v="0"/>
    <n v="0"/>
    <x v="0"/>
    <x v="1"/>
    <n v="353054277.49000001"/>
    <n v="-1"/>
    <s v="BVL"/>
  </r>
  <r>
    <x v="980"/>
    <x v="166"/>
    <s v="QS0011224993"/>
    <x v="0"/>
    <s v="Industry"/>
    <x v="0"/>
    <s v="PTBMP"/>
    <x v="4"/>
    <s v="Non-significant benchmark"/>
    <n v="0"/>
    <n v="0"/>
    <n v="0"/>
    <n v="0"/>
    <n v="0"/>
    <n v="0"/>
    <x v="0"/>
    <x v="1"/>
    <n v="0"/>
    <s v=""/>
    <s v="PTBMP"/>
  </r>
  <r>
    <x v="981"/>
    <x v="166"/>
    <s v="QS0011016514"/>
    <x v="0"/>
    <s v="Industry"/>
    <x v="0"/>
    <s v="PTBM"/>
    <x v="4"/>
    <s v="Non-significant benchmark"/>
    <n v="0"/>
    <n v="0"/>
    <n v="0"/>
    <n v="0"/>
    <n v="0"/>
    <n v="0"/>
    <x v="0"/>
    <x v="1"/>
    <n v="0"/>
    <s v=""/>
    <s v="PTBMP"/>
  </r>
  <r>
    <x v="982"/>
    <x v="166"/>
    <s v="QS0011225016"/>
    <x v="0"/>
    <s v="Industry"/>
    <x v="0"/>
    <s v="PTCGP"/>
    <x v="4"/>
    <s v="Non-significant benchmark"/>
    <n v="0"/>
    <n v="0"/>
    <n v="0"/>
    <n v="0"/>
    <n v="0"/>
    <n v="0"/>
    <x v="0"/>
    <x v="1"/>
    <n v="0"/>
    <s v=""/>
    <s v="PTCGP"/>
  </r>
  <r>
    <x v="983"/>
    <x v="166"/>
    <s v="QS0011016571"/>
    <x v="0"/>
    <s v="Industry"/>
    <x v="0"/>
    <s v="PTCG"/>
    <x v="4"/>
    <s v="Non-significant benchmark"/>
    <n v="0"/>
    <n v="0"/>
    <n v="0"/>
    <n v="0"/>
    <n v="0"/>
    <n v="0"/>
    <x v="0"/>
    <x v="1"/>
    <n v="0"/>
    <s v=""/>
    <s v="PTCGP"/>
  </r>
  <r>
    <x v="984"/>
    <x v="166"/>
    <s v="QS0011225024"/>
    <x v="0"/>
    <s v="Industry"/>
    <x v="0"/>
    <s v="PTCSP"/>
    <x v="4"/>
    <s v="Non-significant benchmark"/>
    <n v="0"/>
    <n v="0"/>
    <n v="0"/>
    <n v="0"/>
    <n v="0"/>
    <n v="0"/>
    <x v="0"/>
    <x v="1"/>
    <n v="0"/>
    <s v=""/>
    <s v="PTCSP"/>
  </r>
  <r>
    <x v="985"/>
    <x v="166"/>
    <s v="QS0011016597"/>
    <x v="0"/>
    <s v="Industry"/>
    <x v="0"/>
    <s v="PTCS"/>
    <x v="4"/>
    <s v="Non-significant benchmark"/>
    <n v="0"/>
    <n v="0"/>
    <n v="0"/>
    <n v="0"/>
    <n v="0"/>
    <n v="0"/>
    <x v="0"/>
    <x v="1"/>
    <n v="0"/>
    <s v=""/>
    <s v="PTCSP"/>
  </r>
  <r>
    <x v="986"/>
    <x v="166"/>
    <s v="QS0011249503"/>
    <x v="0"/>
    <s v="Industry"/>
    <x v="0"/>
    <s v="PTOGP"/>
    <x v="4"/>
    <s v="Non-significant benchmark"/>
    <n v="0"/>
    <n v="0"/>
    <n v="0"/>
    <n v="0"/>
    <n v="0"/>
    <n v="0"/>
    <x v="0"/>
    <x v="1"/>
    <n v="0"/>
    <s v=""/>
    <s v="PTOGP"/>
  </r>
  <r>
    <x v="987"/>
    <x v="166"/>
    <s v="QS0011249495"/>
    <x v="0"/>
    <s v="Industry"/>
    <x v="0"/>
    <s v="PTOG"/>
    <x v="4"/>
    <s v="Non-significant benchmark"/>
    <n v="0"/>
    <n v="0"/>
    <n v="0"/>
    <n v="0"/>
    <n v="0"/>
    <n v="0"/>
    <x v="0"/>
    <x v="1"/>
    <n v="0"/>
    <s v=""/>
    <s v="PTOGP"/>
  </r>
  <r>
    <x v="988"/>
    <x v="166"/>
    <s v="QS0011225057"/>
    <x v="0"/>
    <s v="Industry"/>
    <x v="0"/>
    <s v="PTFIP"/>
    <x v="4"/>
    <s v="Non-significant benchmark"/>
    <n v="0"/>
    <n v="0"/>
    <n v="0"/>
    <n v="0"/>
    <n v="0"/>
    <n v="0"/>
    <x v="0"/>
    <x v="1"/>
    <n v="0"/>
    <s v=""/>
    <s v="PTFIP"/>
  </r>
  <r>
    <x v="989"/>
    <x v="166"/>
    <s v="QS0011016662"/>
    <x v="0"/>
    <s v="Industry"/>
    <x v="0"/>
    <s v="PTFIN"/>
    <x v="4"/>
    <s v="Non-significant benchmark"/>
    <n v="0"/>
    <n v="0"/>
    <n v="0"/>
    <n v="0"/>
    <n v="0"/>
    <n v="0"/>
    <x v="0"/>
    <x v="1"/>
    <n v="0"/>
    <s v=""/>
    <s v="PTFIP"/>
  </r>
  <r>
    <x v="990"/>
    <x v="166"/>
    <s v="QS0011225008"/>
    <x v="0"/>
    <s v="Industry"/>
    <x v="0"/>
    <s v="PTINP"/>
    <x v="4"/>
    <s v="Non-significant benchmark"/>
    <n v="0"/>
    <n v="0"/>
    <n v="0"/>
    <n v="0"/>
    <n v="0"/>
    <n v="0"/>
    <x v="0"/>
    <x v="1"/>
    <n v="0"/>
    <s v=""/>
    <s v="PTINP"/>
  </r>
  <r>
    <x v="991"/>
    <x v="166"/>
    <s v="QS0011016522"/>
    <x v="0"/>
    <s v="Industry"/>
    <x v="0"/>
    <s v="PTIN"/>
    <x v="4"/>
    <s v="Non-significant benchmark"/>
    <n v="0"/>
    <n v="0"/>
    <n v="0"/>
    <n v="0"/>
    <n v="0"/>
    <n v="0"/>
    <x v="0"/>
    <x v="1"/>
    <n v="0"/>
    <s v=""/>
    <s v="PTINP"/>
  </r>
  <r>
    <x v="992"/>
    <x v="166"/>
    <s v="QS0011225065"/>
    <x v="0"/>
    <s v="Industry"/>
    <x v="0"/>
    <s v="PTTEP"/>
    <x v="4"/>
    <s v="Non-significant benchmark"/>
    <n v="0"/>
    <n v="0"/>
    <n v="0"/>
    <n v="0"/>
    <n v="0"/>
    <n v="0"/>
    <x v="0"/>
    <x v="1"/>
    <n v="0"/>
    <s v=""/>
    <s v="PTTEP"/>
  </r>
  <r>
    <x v="993"/>
    <x v="166"/>
    <s v="QS0011016688"/>
    <x v="0"/>
    <s v="Industry"/>
    <x v="0"/>
    <s v="PTTEC"/>
    <x v="4"/>
    <s v="Non-significant benchmark"/>
    <n v="0"/>
    <n v="0"/>
    <n v="0"/>
    <n v="0"/>
    <n v="0"/>
    <n v="0"/>
    <x v="0"/>
    <x v="1"/>
    <n v="0"/>
    <s v=""/>
    <s v="PTTEP"/>
  </r>
  <r>
    <x v="994"/>
    <x v="166"/>
    <s v="QS0011225032"/>
    <x v="0"/>
    <s v="Industry"/>
    <x v="0"/>
    <s v="PTTLP"/>
    <x v="4"/>
    <s v="Non-significant benchmark"/>
    <n v="0"/>
    <n v="0"/>
    <n v="0"/>
    <n v="0"/>
    <n v="0"/>
    <n v="0"/>
    <x v="0"/>
    <x v="1"/>
    <n v="0"/>
    <s v=""/>
    <s v="PTTLP"/>
  </r>
  <r>
    <x v="995"/>
    <x v="166"/>
    <s v="QS0011016621"/>
    <x v="0"/>
    <s v="Industry"/>
    <x v="0"/>
    <s v="PTTEL"/>
    <x v="4"/>
    <s v="Non-significant benchmark"/>
    <n v="0"/>
    <n v="0"/>
    <n v="0"/>
    <n v="0"/>
    <n v="0"/>
    <n v="0"/>
    <x v="0"/>
    <x v="1"/>
    <n v="0"/>
    <s v=""/>
    <s v="PTTLP"/>
  </r>
  <r>
    <x v="996"/>
    <x v="166"/>
    <s v="QS0011225040"/>
    <x v="0"/>
    <s v="Industry"/>
    <x v="0"/>
    <s v="PTUTP"/>
    <x v="4"/>
    <s v="Non-significant benchmark"/>
    <n v="0"/>
    <n v="0"/>
    <n v="0"/>
    <n v="0"/>
    <n v="0"/>
    <n v="0"/>
    <x v="0"/>
    <x v="1"/>
    <n v="0"/>
    <s v=""/>
    <s v="PTUTP"/>
  </r>
  <r>
    <x v="997"/>
    <x v="166"/>
    <s v="QS0011016647"/>
    <x v="0"/>
    <s v="Industry"/>
    <x v="0"/>
    <s v="PTUT"/>
    <x v="4"/>
    <s v="Non-significant benchmark"/>
    <n v="0"/>
    <n v="0"/>
    <n v="0"/>
    <n v="0"/>
    <n v="0"/>
    <n v="0"/>
    <x v="0"/>
    <x v="1"/>
    <n v="0"/>
    <s v=""/>
    <s v="PTUTP"/>
  </r>
  <r>
    <x v="998"/>
    <x v="167"/>
    <s v="QS0011070230"/>
    <x v="0"/>
    <s v="International"/>
    <x v="0"/>
    <s v="REITE"/>
    <x v="2"/>
    <s v="Non-significant benchmark"/>
    <n v="0"/>
    <n v="0"/>
    <n v="0"/>
    <n v="2146044.5"/>
    <n v="0"/>
    <n v="0"/>
    <x v="154"/>
    <x v="1"/>
    <n v="2154281.9217343377"/>
    <n v="-3.8237436109133105E-3"/>
    <s v="REITE"/>
  </r>
  <r>
    <x v="999"/>
    <x v="167"/>
    <s v="QS0011176854"/>
    <x v="0"/>
    <s v="International"/>
    <x v="0"/>
    <s v="REITG"/>
    <x v="2"/>
    <s v="Non-significant benchmark"/>
    <n v="0"/>
    <n v="0"/>
    <n v="0"/>
    <n v="0"/>
    <n v="0"/>
    <n v="0"/>
    <x v="0"/>
    <x v="1"/>
    <n v="0"/>
    <s v=""/>
    <s v="REITE"/>
  </r>
  <r>
    <x v="1000"/>
    <x v="167"/>
    <s v="QS0011176847"/>
    <x v="0"/>
    <s v="International"/>
    <x v="0"/>
    <s v="REITN"/>
    <x v="2"/>
    <s v="Non-significant benchmark"/>
    <n v="0"/>
    <n v="0"/>
    <n v="0"/>
    <n v="0"/>
    <n v="0"/>
    <n v="0"/>
    <x v="0"/>
    <x v="1"/>
    <n v="0"/>
    <s v=""/>
    <s v="REITE"/>
  </r>
  <r>
    <x v="1001"/>
    <x v="168"/>
    <s v="FR0013371416"/>
    <x v="1"/>
    <s v="Broad ESG"/>
    <x v="1"/>
    <s v="ESF5P"/>
    <x v="2"/>
    <s v="Non-significant benchmark"/>
    <n v="0"/>
    <n v="516600000"/>
    <n v="0"/>
    <n v="0"/>
    <n v="0"/>
    <n v="0"/>
    <x v="155"/>
    <x v="1"/>
    <n v="578600000"/>
    <n v="-0.1071552022122364"/>
    <s v="ESF5P"/>
  </r>
  <r>
    <x v="1002"/>
    <x v="168"/>
    <s v="FR0013371440"/>
    <x v="1"/>
    <s v="Broad ESG"/>
    <x v="1"/>
    <s v="ESF5D"/>
    <x v="2"/>
    <s v="Non-significant benchmark"/>
    <n v="609502131.51199996"/>
    <n v="2877023933.1199999"/>
    <n v="915072555.55440009"/>
    <n v="0"/>
    <n v="0"/>
    <n v="0"/>
    <x v="156"/>
    <x v="1"/>
    <n v="3534882638.7199998"/>
    <n v="-0.74113071095176364"/>
    <s v="ESF5P"/>
  </r>
  <r>
    <x v="1003"/>
    <x v="168"/>
    <s v="FR0013371432"/>
    <x v="1"/>
    <s v="Broad ESG"/>
    <x v="1"/>
    <s v="ESF5G"/>
    <x v="2"/>
    <s v="Non-significant benchmark"/>
    <n v="0"/>
    <n v="0"/>
    <n v="0"/>
    <n v="0"/>
    <n v="0"/>
    <n v="0"/>
    <x v="0"/>
    <x v="1"/>
    <n v="0"/>
    <s v=""/>
    <s v="ESF5P"/>
  </r>
  <r>
    <x v="1004"/>
    <x v="168"/>
    <s v="FR0013371424"/>
    <x v="1"/>
    <s v="Broad ESG"/>
    <x v="1"/>
    <s v="ESF5N"/>
    <x v="2"/>
    <s v="Non-significant benchmark"/>
    <n v="0"/>
    <n v="0"/>
    <n v="0"/>
    <n v="0"/>
    <n v="0"/>
    <n v="0"/>
    <x v="0"/>
    <x v="1"/>
    <n v="0"/>
    <s v=""/>
    <s v="ESF5P"/>
  </r>
  <r>
    <x v="1005"/>
    <x v="169"/>
    <s v="FR0013017936"/>
    <x v="0"/>
    <s v="Country"/>
    <x v="0"/>
    <s v="SBF80"/>
    <x v="2"/>
    <s v="Non-significant benchmark"/>
    <n v="0"/>
    <n v="0"/>
    <n v="0"/>
    <n v="0"/>
    <n v="0"/>
    <n v="0"/>
    <x v="0"/>
    <x v="1"/>
    <n v="94261027.010000005"/>
    <n v="-1"/>
    <s v="SBF80"/>
  </r>
  <r>
    <x v="1006"/>
    <x v="169"/>
    <s v="FR0013017969"/>
    <x v="0"/>
    <s v="Country"/>
    <x v="0"/>
    <s v="SBF8D"/>
    <x v="2"/>
    <s v="Non-significant benchmark"/>
    <n v="0"/>
    <n v="2738000000"/>
    <n v="440018432.49000001"/>
    <n v="0"/>
    <n v="0"/>
    <n v="0"/>
    <x v="157"/>
    <x v="1"/>
    <n v="2772000000"/>
    <n v="-1.2265512265512313E-2"/>
    <s v="SBF80"/>
  </r>
  <r>
    <x v="1007"/>
    <x v="169"/>
    <s v="FR0013017951"/>
    <x v="0"/>
    <s v="Country"/>
    <x v="0"/>
    <s v="SBF8G"/>
    <x v="2"/>
    <s v="Non-significant benchmark"/>
    <n v="0"/>
    <n v="0"/>
    <n v="0"/>
    <n v="0"/>
    <n v="0"/>
    <n v="0"/>
    <x v="0"/>
    <x v="1"/>
    <n v="0"/>
    <s v=""/>
    <s v="SBF80"/>
  </r>
  <r>
    <x v="1008"/>
    <x v="169"/>
    <s v="FR0013017944"/>
    <x v="0"/>
    <s v="Country"/>
    <x v="0"/>
    <s v="SBF8N"/>
    <x v="2"/>
    <s v="Non-significant benchmark"/>
    <n v="0"/>
    <n v="0"/>
    <n v="0"/>
    <n v="0"/>
    <n v="0"/>
    <n v="0"/>
    <x v="0"/>
    <x v="1"/>
    <n v="0"/>
    <s v=""/>
    <s v="SBF80"/>
  </r>
  <r>
    <x v="1009"/>
    <x v="170"/>
    <s v="BE0004645868"/>
    <x v="1"/>
    <s v="Broad ESG"/>
    <x v="1"/>
    <s v="ESGBP"/>
    <x v="1"/>
    <s v="Non-significant benchmark"/>
    <n v="0"/>
    <n v="0"/>
    <n v="0"/>
    <n v="0"/>
    <n v="0"/>
    <n v="0"/>
    <x v="0"/>
    <x v="0"/>
    <n v="0"/>
    <s v=""/>
    <s v="ESGBP"/>
  </r>
  <r>
    <x v="1010"/>
    <x v="170"/>
    <s v="BE0004647880"/>
    <x v="1"/>
    <s v="Broad ESG"/>
    <x v="1"/>
    <s v="ESGBG"/>
    <x v="1"/>
    <s v="Non-significant benchmark"/>
    <n v="0"/>
    <n v="0"/>
    <n v="0"/>
    <n v="0"/>
    <n v="0"/>
    <n v="0"/>
    <x v="0"/>
    <x v="0"/>
    <n v="0"/>
    <s v=""/>
    <s v="ESGBP"/>
  </r>
  <r>
    <x v="1011"/>
    <x v="170"/>
    <s v="BE0004646874"/>
    <x v="1"/>
    <s v="Broad ESG"/>
    <x v="1"/>
    <s v="ESGBN"/>
    <x v="1"/>
    <s v="Non-significant benchmark"/>
    <n v="0"/>
    <n v="0"/>
    <n v="0"/>
    <n v="0"/>
    <n v="0"/>
    <n v="0"/>
    <x v="0"/>
    <x v="0"/>
    <n v="0"/>
    <s v=""/>
    <s v="ESGBP"/>
  </r>
  <r>
    <x v="1012"/>
    <x v="171"/>
    <s v="FRESG0001163"/>
    <x v="1"/>
    <s v="International"/>
    <x v="1"/>
    <s v="EETPR"/>
    <x v="2"/>
    <s v="Non-significant benchmark"/>
    <n v="0"/>
    <n v="0"/>
    <n v="0"/>
    <n v="0"/>
    <n v="0"/>
    <n v="0"/>
    <x v="0"/>
    <x v="1"/>
    <n v="0"/>
    <s v=""/>
    <s v="EETPR"/>
  </r>
  <r>
    <x v="1013"/>
    <x v="171"/>
    <s v="FRESG0001197"/>
    <x v="1"/>
    <s v="International"/>
    <x v="1"/>
    <s v="EET4D"/>
    <x v="2"/>
    <s v="Non-significant benchmark"/>
    <n v="0"/>
    <n v="0"/>
    <n v="0"/>
    <n v="0"/>
    <n v="0"/>
    <n v="0"/>
    <x v="0"/>
    <x v="1"/>
    <n v="0"/>
    <s v=""/>
    <s v="EETPR"/>
  </r>
  <r>
    <x v="1014"/>
    <x v="171"/>
    <s v="FRESG0001205"/>
    <x v="1"/>
    <s v="International"/>
    <x v="1"/>
    <s v="EET5D"/>
    <x v="2"/>
    <s v="Non-significant benchmark"/>
    <n v="0"/>
    <n v="0"/>
    <n v="0"/>
    <n v="0"/>
    <n v="0"/>
    <n v="0"/>
    <x v="0"/>
    <x v="1"/>
    <n v="0"/>
    <s v=""/>
    <s v="EETPR"/>
  </r>
  <r>
    <x v="1015"/>
    <x v="171"/>
    <s v="FRESG0001189"/>
    <x v="1"/>
    <s v="International"/>
    <x v="1"/>
    <s v="EETGR"/>
    <x v="2"/>
    <s v="Non-significant benchmark"/>
    <n v="0"/>
    <n v="0"/>
    <n v="0"/>
    <n v="0"/>
    <n v="0"/>
    <n v="0"/>
    <x v="0"/>
    <x v="1"/>
    <n v="0"/>
    <s v=""/>
    <s v="EETPR"/>
  </r>
  <r>
    <x v="1016"/>
    <x v="171"/>
    <s v="FRESG0001171"/>
    <x v="1"/>
    <s v="International"/>
    <x v="1"/>
    <s v="EETNR"/>
    <x v="2"/>
    <s v="Non-significant benchmark"/>
    <n v="0"/>
    <n v="0"/>
    <n v="0"/>
    <n v="0"/>
    <n v="0"/>
    <n v="0"/>
    <x v="0"/>
    <x v="1"/>
    <n v="0"/>
    <s v=""/>
    <s v="EETPR"/>
  </r>
  <r>
    <x v="1017"/>
    <x v="172"/>
    <s v="NLIX00001015"/>
    <x v="0"/>
    <s v="International"/>
    <x v="0"/>
    <s v="ENZTP"/>
    <x v="0"/>
    <s v="Non-significant benchmark"/>
    <n v="0"/>
    <n v="0"/>
    <n v="0"/>
    <n v="0"/>
    <n v="0"/>
    <n v="0"/>
    <x v="0"/>
    <x v="1"/>
    <n v="0"/>
    <s v=""/>
    <s v="ENZTP"/>
  </r>
  <r>
    <x v="1018"/>
    <x v="172"/>
    <s v="NLIX00001031"/>
    <x v="0"/>
    <s v="International"/>
    <x v="0"/>
    <s v="ENZTG"/>
    <x v="0"/>
    <s v="Non-significant benchmark"/>
    <n v="0"/>
    <n v="0"/>
    <n v="0"/>
    <n v="0"/>
    <n v="0"/>
    <n v="0"/>
    <x v="0"/>
    <x v="1"/>
    <n v="0"/>
    <s v=""/>
    <s v="ENZTP"/>
  </r>
  <r>
    <x v="1019"/>
    <x v="172"/>
    <s v="NLIX00001023"/>
    <x v="0"/>
    <s v="International"/>
    <x v="0"/>
    <s v="ENZTN"/>
    <x v="0"/>
    <s v="Non-significant benchmark"/>
    <n v="0"/>
    <n v="0"/>
    <n v="0"/>
    <n v="0"/>
    <n v="0"/>
    <n v="0"/>
    <x v="0"/>
    <x v="1"/>
    <n v="0"/>
    <s v=""/>
    <s v="ENZTP"/>
  </r>
  <r>
    <x v="1020"/>
    <x v="120"/>
    <s v="FRIX00001191"/>
    <x v="0"/>
    <s v="Single Stock"/>
    <x v="0"/>
    <s v="SBCAG"/>
    <x v="2"/>
    <s v="Non-significant benchmark"/>
    <n v="0"/>
    <n v="0"/>
    <n v="0"/>
    <n v="0"/>
    <n v="0"/>
    <n v="0"/>
    <x v="0"/>
    <x v="1"/>
    <n v="0"/>
    <s v=""/>
    <n v="0"/>
  </r>
  <r>
    <x v="1021"/>
    <x v="120"/>
    <s v="FRIX00001209"/>
    <x v="0"/>
    <s v="Single Stock"/>
    <x v="0"/>
    <s v="SBCAD"/>
    <x v="2"/>
    <s v="Non-significant benchmark"/>
    <n v="0"/>
    <n v="0"/>
    <n v="21155883.609200001"/>
    <n v="0"/>
    <n v="0"/>
    <n v="0"/>
    <x v="158"/>
    <x v="1"/>
    <n v="16254449.1894"/>
    <n v="0.30154417185642735"/>
    <n v="0"/>
  </r>
  <r>
    <x v="1022"/>
    <x v="120"/>
    <s v="FRIX00001183"/>
    <x v="0"/>
    <s v="Single Stock"/>
    <x v="0"/>
    <s v="SBCAP"/>
    <x v="2"/>
    <s v="Non-significant benchmark"/>
    <n v="0"/>
    <n v="0"/>
    <n v="0"/>
    <n v="0"/>
    <n v="0"/>
    <n v="0"/>
    <x v="0"/>
    <x v="1"/>
    <n v="0"/>
    <s v=""/>
    <n v="0"/>
  </r>
  <r>
    <x v="1023"/>
    <x v="120"/>
    <s v="FRIX00001175"/>
    <x v="0"/>
    <s v="Single Stock"/>
    <x v="0"/>
    <s v="SBSTD"/>
    <x v="2"/>
    <s v="Non-significant benchmark"/>
    <n v="0"/>
    <n v="0"/>
    <n v="15178448.492800001"/>
    <n v="0"/>
    <n v="0"/>
    <n v="0"/>
    <x v="159"/>
    <x v="1"/>
    <n v="15200406.409200002"/>
    <n v="-1.4445611392804869E-3"/>
    <n v="0"/>
  </r>
  <r>
    <x v="1024"/>
    <x v="120"/>
    <s v="FRIX00001167"/>
    <x v="0"/>
    <s v="Single Stock"/>
    <x v="0"/>
    <s v="SBSTG"/>
    <x v="2"/>
    <s v="Non-significant benchmark"/>
    <n v="0"/>
    <n v="0"/>
    <n v="0"/>
    <n v="0"/>
    <n v="0"/>
    <n v="0"/>
    <x v="0"/>
    <x v="1"/>
    <n v="0"/>
    <s v=""/>
    <n v="0"/>
  </r>
  <r>
    <x v="1025"/>
    <x v="120"/>
    <s v="FRIX00001159"/>
    <x v="0"/>
    <s v="Single Stock"/>
    <x v="0"/>
    <s v="SBSTP"/>
    <x v="2"/>
    <s v="Non-significant benchmark"/>
    <n v="0"/>
    <n v="0"/>
    <n v="0"/>
    <n v="0"/>
    <n v="0"/>
    <n v="0"/>
    <x v="0"/>
    <x v="1"/>
    <n v="0"/>
    <s v=""/>
    <n v="0"/>
  </r>
  <r>
    <x v="1026"/>
    <x v="120"/>
    <s v="FRIX00001357"/>
    <x v="0"/>
    <s v="Single Stock"/>
    <x v="0"/>
    <s v="SGED1"/>
    <x v="2"/>
    <s v="Non-significant benchmark"/>
    <n v="26019534.483048998"/>
    <n v="272500000"/>
    <n v="52967995.923600003"/>
    <n v="0"/>
    <n v="0"/>
    <n v="0"/>
    <x v="160"/>
    <x v="1"/>
    <n v="60000000"/>
    <n v="-0.11720006793999993"/>
    <n v="0"/>
  </r>
  <r>
    <x v="1027"/>
    <x v="120"/>
    <s v="FRIX00001340"/>
    <x v="0"/>
    <s v="Single Stock"/>
    <x v="0"/>
    <s v="SGEG1"/>
    <x v="2"/>
    <s v="Non-significant benchmark"/>
    <n v="0"/>
    <n v="0"/>
    <n v="0"/>
    <n v="0"/>
    <n v="0"/>
    <n v="0"/>
    <x v="0"/>
    <x v="1"/>
    <n v="0"/>
    <s v=""/>
    <n v="0"/>
  </r>
  <r>
    <x v="1028"/>
    <x v="120"/>
    <s v="FRIX00001332"/>
    <x v="0"/>
    <s v="Single Stock"/>
    <x v="0"/>
    <s v="SGEP1"/>
    <x v="2"/>
    <s v="Non-significant benchmark"/>
    <n v="0"/>
    <n v="0"/>
    <n v="0"/>
    <n v="0"/>
    <n v="0"/>
    <n v="0"/>
    <x v="0"/>
    <x v="1"/>
    <n v="0"/>
    <s v=""/>
    <n v="0"/>
  </r>
  <r>
    <x v="1029"/>
    <x v="120"/>
    <s v="FRIX00001324"/>
    <x v="0"/>
    <s v="Single Stock"/>
    <x v="0"/>
    <s v="SGEID"/>
    <x v="2"/>
    <s v="Non-significant benchmark"/>
    <n v="47525655.899999999"/>
    <n v="298000000"/>
    <n v="87303709.5044"/>
    <n v="0"/>
    <n v="0"/>
    <n v="0"/>
    <x v="161"/>
    <x v="1"/>
    <n v="110000000"/>
    <n v="-0.20632991359636366"/>
    <n v="0"/>
  </r>
  <r>
    <x v="1030"/>
    <x v="120"/>
    <s v="FRIX00001316"/>
    <x v="0"/>
    <s v="Single Stock"/>
    <x v="0"/>
    <s v="SGEIG"/>
    <x v="2"/>
    <s v="Non-significant benchmark"/>
    <n v="0"/>
    <n v="0"/>
    <n v="0"/>
    <n v="0"/>
    <n v="0"/>
    <n v="0"/>
    <x v="0"/>
    <x v="1"/>
    <n v="0"/>
    <s v=""/>
    <n v="0"/>
  </r>
  <r>
    <x v="1031"/>
    <x v="120"/>
    <s v="FRIX00001308"/>
    <x v="0"/>
    <s v="Single Stock"/>
    <x v="0"/>
    <s v="SGEIP"/>
    <x v="2"/>
    <s v="Non-significant benchmark"/>
    <n v="0"/>
    <n v="0"/>
    <n v="0"/>
    <n v="0"/>
    <n v="0"/>
    <n v="0"/>
    <x v="0"/>
    <x v="1"/>
    <n v="0"/>
    <s v=""/>
    <n v="0"/>
  </r>
  <r>
    <x v="1032"/>
    <x v="120"/>
    <s v="FRIX00001290"/>
    <x v="0"/>
    <s v="Single Stock"/>
    <x v="0"/>
    <s v="SGIGD"/>
    <x v="2"/>
    <s v="Non-significant benchmark"/>
    <n v="0"/>
    <n v="0"/>
    <n v="0"/>
    <n v="0"/>
    <n v="0"/>
    <n v="0"/>
    <x v="0"/>
    <x v="1"/>
    <n v="0"/>
    <s v=""/>
    <n v="0"/>
  </r>
  <r>
    <x v="1033"/>
    <x v="120"/>
    <s v="FRIX00001282"/>
    <x v="0"/>
    <s v="Single Stock"/>
    <x v="0"/>
    <s v="SGIGG"/>
    <x v="2"/>
    <s v="Non-significant benchmark"/>
    <n v="0"/>
    <n v="0"/>
    <n v="0"/>
    <n v="0"/>
    <n v="0"/>
    <n v="0"/>
    <x v="0"/>
    <x v="1"/>
    <n v="0"/>
    <s v=""/>
    <n v="0"/>
  </r>
  <r>
    <x v="1034"/>
    <x v="120"/>
    <s v="FRIX00001274"/>
    <x v="0"/>
    <s v="Single Stock"/>
    <x v="0"/>
    <s v="SGIGP"/>
    <x v="2"/>
    <s v="Non-significant benchmark"/>
    <n v="0"/>
    <n v="0"/>
    <n v="0"/>
    <n v="0"/>
    <n v="0"/>
    <n v="0"/>
    <x v="0"/>
    <x v="1"/>
    <n v="0"/>
    <s v=""/>
    <n v="0"/>
  </r>
  <r>
    <x v="1035"/>
    <x v="120"/>
    <s v="FRIX00001118"/>
    <x v="0"/>
    <s v="Single Stock"/>
    <x v="0"/>
    <s v="SGLID"/>
    <x v="2"/>
    <s v="Non-significant benchmark"/>
    <n v="18975665.399999999"/>
    <n v="155000000"/>
    <n v="40193415.790399998"/>
    <n v="0"/>
    <n v="0"/>
    <n v="0"/>
    <x v="162"/>
    <x v="1"/>
    <n v="0"/>
    <s v=""/>
    <n v="0"/>
  </r>
  <r>
    <x v="1036"/>
    <x v="120"/>
    <s v="FRIX00001100"/>
    <x v="0"/>
    <s v="Single Stock"/>
    <x v="0"/>
    <s v="SGLIG"/>
    <x v="2"/>
    <s v="Non-significant benchmark"/>
    <n v="0"/>
    <n v="0"/>
    <n v="0"/>
    <n v="0"/>
    <n v="0"/>
    <n v="0"/>
    <x v="0"/>
    <x v="1"/>
    <n v="0"/>
    <s v=""/>
    <n v="0"/>
  </r>
  <r>
    <x v="1037"/>
    <x v="120"/>
    <s v="FRIX00001092"/>
    <x v="0"/>
    <s v="Single Stock"/>
    <x v="0"/>
    <s v="SGLIP"/>
    <x v="2"/>
    <s v="Non-significant benchmark"/>
    <n v="0"/>
    <n v="0"/>
    <n v="0"/>
    <n v="0"/>
    <n v="0"/>
    <n v="0"/>
    <x v="0"/>
    <x v="1"/>
    <n v="0"/>
    <s v=""/>
    <n v="0"/>
  </r>
  <r>
    <x v="1038"/>
    <x v="120"/>
    <s v="FRIX00001530"/>
    <x v="0"/>
    <s v="Single Stock"/>
    <x v="0"/>
    <s v="SGGD1"/>
    <x v="2"/>
    <s v="Non-significant benchmark"/>
    <n v="172073769.579759"/>
    <n v="275000000"/>
    <n v="375961327.35200006"/>
    <n v="0"/>
    <n v="0"/>
    <n v="0"/>
    <x v="163"/>
    <x v="1"/>
    <n v="150000000"/>
    <n v="1.5064088490133338"/>
    <n v="0"/>
  </r>
  <r>
    <x v="1039"/>
    <x v="120"/>
    <s v="FRIX00001233"/>
    <x v="0"/>
    <s v="Single Stock"/>
    <x v="0"/>
    <s v="SGG1D"/>
    <x v="2"/>
    <s v="Non-significant benchmark"/>
    <n v="0"/>
    <n v="0"/>
    <n v="0"/>
    <n v="0"/>
    <n v="0"/>
    <n v="0"/>
    <x v="0"/>
    <x v="1"/>
    <n v="0"/>
    <s v=""/>
    <n v="0"/>
  </r>
  <r>
    <x v="1040"/>
    <x v="120"/>
    <s v="FRIX00001522"/>
    <x v="0"/>
    <s v="Single Stock"/>
    <x v="0"/>
    <s v="SGGG1"/>
    <x v="2"/>
    <s v="Non-significant benchmark"/>
    <n v="0"/>
    <n v="0"/>
    <n v="0"/>
    <n v="0"/>
    <n v="0"/>
    <n v="0"/>
    <x v="0"/>
    <x v="1"/>
    <n v="0"/>
    <s v=""/>
    <n v="0"/>
  </r>
  <r>
    <x v="1041"/>
    <x v="120"/>
    <s v="FRIX00001225"/>
    <x v="0"/>
    <s v="Single Stock"/>
    <x v="0"/>
    <s v="SGG1G"/>
    <x v="2"/>
    <s v="Non-significant benchmark"/>
    <n v="0"/>
    <n v="0"/>
    <n v="0"/>
    <n v="0"/>
    <n v="0"/>
    <n v="0"/>
    <x v="0"/>
    <x v="1"/>
    <n v="0"/>
    <s v=""/>
    <n v="0"/>
  </r>
  <r>
    <x v="1042"/>
    <x v="120"/>
    <s v="FRIX00001514"/>
    <x v="0"/>
    <s v="Single Stock"/>
    <x v="0"/>
    <s v="SGGP1"/>
    <x v="2"/>
    <s v="Non-significant benchmark"/>
    <n v="0"/>
    <n v="0"/>
    <n v="0"/>
    <n v="0"/>
    <n v="0"/>
    <n v="0"/>
    <x v="0"/>
    <x v="1"/>
    <n v="0"/>
    <s v=""/>
    <n v="0"/>
  </r>
  <r>
    <x v="1043"/>
    <x v="120"/>
    <s v="FRIX00001217"/>
    <x v="0"/>
    <s v="Single Stock"/>
    <x v="0"/>
    <s v="SGG1P"/>
    <x v="2"/>
    <s v="Non-significant benchmark"/>
    <n v="0"/>
    <n v="0"/>
    <n v="0"/>
    <n v="0"/>
    <n v="0"/>
    <n v="0"/>
    <x v="0"/>
    <x v="1"/>
    <n v="0"/>
    <s v=""/>
    <n v="0"/>
  </r>
  <r>
    <x v="1044"/>
    <x v="120"/>
    <s v="FRIX00001142"/>
    <x v="0"/>
    <s v="Single Stock"/>
    <x v="0"/>
    <s v="SGS2D"/>
    <x v="2"/>
    <s v="Non-significant benchmark"/>
    <n v="103660122.5"/>
    <n v="1045000000"/>
    <n v="213667977.29640001"/>
    <n v="0"/>
    <n v="0"/>
    <n v="0"/>
    <x v="164"/>
    <x v="1"/>
    <n v="320000000"/>
    <n v="-0.33228757094874994"/>
    <n v="0"/>
  </r>
  <r>
    <x v="1045"/>
    <x v="120"/>
    <s v="FRIX00001134"/>
    <x v="0"/>
    <s v="Single Stock"/>
    <x v="0"/>
    <s v="SGS2G"/>
    <x v="2"/>
    <s v="Non-significant benchmark"/>
    <n v="0"/>
    <n v="0"/>
    <n v="0"/>
    <n v="0"/>
    <n v="0"/>
    <n v="0"/>
    <x v="0"/>
    <x v="1"/>
    <n v="0"/>
    <s v=""/>
    <n v="0"/>
  </r>
  <r>
    <x v="1046"/>
    <x v="120"/>
    <s v="FRIX00001126"/>
    <x v="0"/>
    <s v="Single Stock"/>
    <x v="0"/>
    <s v="SGS2P"/>
    <x v="2"/>
    <s v="Non-significant benchmark"/>
    <n v="0"/>
    <n v="0"/>
    <n v="0"/>
    <n v="0"/>
    <n v="0"/>
    <n v="0"/>
    <x v="0"/>
    <x v="1"/>
    <n v="0"/>
    <s v=""/>
    <n v="0"/>
  </r>
  <r>
    <x v="1047"/>
    <x v="120"/>
    <s v="FRIX00001266"/>
    <x v="0"/>
    <s v="Single Stock"/>
    <x v="0"/>
    <s v="SGURD"/>
    <x v="2"/>
    <s v="Non-significant benchmark"/>
    <n v="15786278.700000001"/>
    <n v="40000000"/>
    <n v="25411006.9124"/>
    <n v="0"/>
    <n v="0"/>
    <n v="0"/>
    <x v="165"/>
    <x v="1"/>
    <n v="90000000"/>
    <n v="-0.71765547875111113"/>
    <n v="0"/>
  </r>
  <r>
    <x v="1048"/>
    <x v="120"/>
    <s v="FRIX00001258"/>
    <x v="0"/>
    <s v="Single Stock"/>
    <x v="0"/>
    <s v="SGURG"/>
    <x v="2"/>
    <s v="Non-significant benchmark"/>
    <n v="0"/>
    <n v="0"/>
    <n v="0"/>
    <n v="0"/>
    <n v="0"/>
    <n v="0"/>
    <x v="0"/>
    <x v="1"/>
    <n v="0"/>
    <s v=""/>
    <n v="0"/>
  </r>
  <r>
    <x v="1049"/>
    <x v="120"/>
    <s v="FRIX00001241"/>
    <x v="0"/>
    <s v="Single Stock"/>
    <x v="0"/>
    <s v="SGURP"/>
    <x v="2"/>
    <s v="Non-significant benchmark"/>
    <n v="0"/>
    <n v="0"/>
    <n v="0"/>
    <n v="0"/>
    <n v="0"/>
    <n v="0"/>
    <x v="0"/>
    <x v="1"/>
    <n v="0"/>
    <s v=""/>
    <n v="0"/>
  </r>
  <r>
    <x v="1050"/>
    <x v="120"/>
    <s v="FRIX00001498"/>
    <x v="0"/>
    <s v="Single Stock"/>
    <x v="0"/>
    <s v="SSA1G"/>
    <x v="2"/>
    <s v="Non-significant benchmark"/>
    <n v="0"/>
    <n v="0"/>
    <n v="0"/>
    <n v="0"/>
    <n v="0"/>
    <n v="0"/>
    <x v="0"/>
    <x v="1"/>
    <n v="0"/>
    <s v=""/>
    <n v="0"/>
  </r>
  <r>
    <x v="1051"/>
    <x v="120"/>
    <s v="FRIX00001506"/>
    <x v="0"/>
    <s v="Single Stock"/>
    <x v="0"/>
    <s v="SSA1D"/>
    <x v="2"/>
    <s v="Non-significant benchmark"/>
    <n v="0"/>
    <n v="0"/>
    <n v="0"/>
    <n v="0"/>
    <n v="0"/>
    <n v="0"/>
    <x v="0"/>
    <x v="1"/>
    <n v="0"/>
    <s v=""/>
    <n v="0"/>
  </r>
  <r>
    <x v="1052"/>
    <x v="120"/>
    <s v="FRIX00001480"/>
    <x v="0"/>
    <s v="Single Stock"/>
    <x v="0"/>
    <s v="SSA1P"/>
    <x v="2"/>
    <s v="Non-significant benchmark"/>
    <n v="0"/>
    <n v="0"/>
    <n v="0"/>
    <n v="0"/>
    <n v="0"/>
    <n v="0"/>
    <x v="0"/>
    <x v="1"/>
    <n v="0"/>
    <s v=""/>
    <n v="0"/>
  </r>
  <r>
    <x v="1053"/>
    <x v="120"/>
    <s v="FRIX00001373"/>
    <x v="0"/>
    <s v="Single Stock"/>
    <x v="0"/>
    <s v="SSB3G"/>
    <x v="2"/>
    <s v="Non-significant benchmark"/>
    <n v="0"/>
    <n v="0"/>
    <n v="0"/>
    <n v="0"/>
    <n v="0"/>
    <n v="0"/>
    <x v="0"/>
    <x v="1"/>
    <n v="0"/>
    <s v=""/>
    <n v="0"/>
  </r>
  <r>
    <x v="1054"/>
    <x v="120"/>
    <s v="FRIX00001381"/>
    <x v="0"/>
    <s v="Single Stock"/>
    <x v="0"/>
    <s v="SSB3D"/>
    <x v="2"/>
    <s v="Non-significant benchmark"/>
    <n v="0"/>
    <n v="0"/>
    <n v="0"/>
    <n v="0"/>
    <n v="0"/>
    <n v="0"/>
    <x v="0"/>
    <x v="1"/>
    <n v="0"/>
    <s v=""/>
    <n v="0"/>
  </r>
  <r>
    <x v="1055"/>
    <x v="120"/>
    <s v="FRIX00001365"/>
    <x v="0"/>
    <s v="Single Stock"/>
    <x v="0"/>
    <s v="SSB3P"/>
    <x v="2"/>
    <s v="Non-significant benchmark"/>
    <n v="0"/>
    <n v="0"/>
    <n v="0"/>
    <n v="0"/>
    <n v="0"/>
    <n v="0"/>
    <x v="0"/>
    <x v="1"/>
    <n v="0"/>
    <s v=""/>
    <n v="0"/>
  </r>
  <r>
    <x v="1056"/>
    <x v="120"/>
    <s v="FRIX00001464"/>
    <x v="0"/>
    <s v="Single Stock"/>
    <x v="0"/>
    <s v="SSBOG"/>
    <x v="2"/>
    <s v="Non-significant benchmark"/>
    <n v="0"/>
    <n v="0"/>
    <n v="0"/>
    <n v="0"/>
    <n v="0"/>
    <n v="0"/>
    <x v="0"/>
    <x v="1"/>
    <n v="0"/>
    <s v=""/>
    <n v="0"/>
  </r>
  <r>
    <x v="1057"/>
    <x v="120"/>
    <s v="FRIX00001472"/>
    <x v="0"/>
    <s v="Single Stock"/>
    <x v="0"/>
    <s v="SSBOD"/>
    <x v="2"/>
    <s v="Non-significant benchmark"/>
    <n v="0"/>
    <n v="0"/>
    <n v="0"/>
    <n v="0"/>
    <n v="0"/>
    <n v="0"/>
    <x v="0"/>
    <x v="1"/>
    <n v="0"/>
    <s v=""/>
    <n v="0"/>
  </r>
  <r>
    <x v="1058"/>
    <x v="120"/>
    <s v="FRIX00001456"/>
    <x v="0"/>
    <s v="Single Stock"/>
    <x v="0"/>
    <s v="SSBOP"/>
    <x v="2"/>
    <s v="Non-significant benchmark"/>
    <n v="0"/>
    <n v="0"/>
    <n v="0"/>
    <n v="0"/>
    <n v="0"/>
    <n v="0"/>
    <x v="0"/>
    <x v="1"/>
    <n v="0"/>
    <s v=""/>
    <n v="0"/>
  </r>
  <r>
    <x v="1059"/>
    <x v="120"/>
    <s v="FRIX00001407"/>
    <x v="0"/>
    <s v="Single Stock"/>
    <x v="0"/>
    <s v="SSS2G"/>
    <x v="2"/>
    <s v="Non-significant benchmark"/>
    <n v="0"/>
    <n v="0"/>
    <n v="0"/>
    <n v="0"/>
    <n v="0"/>
    <n v="0"/>
    <x v="0"/>
    <x v="1"/>
    <n v="0"/>
    <s v=""/>
    <n v="0"/>
  </r>
  <r>
    <x v="1060"/>
    <x v="120"/>
    <s v="FRIX00001415"/>
    <x v="0"/>
    <s v="Single Stock"/>
    <x v="0"/>
    <s v="SSS2D"/>
    <x v="2"/>
    <s v="Non-significant benchmark"/>
    <n v="0"/>
    <n v="63500000"/>
    <n v="9145752.0348000005"/>
    <n v="0"/>
    <n v="0"/>
    <n v="0"/>
    <x v="120"/>
    <x v="1"/>
    <n v="3500000"/>
    <n v="17.142857142857142"/>
    <n v="0"/>
  </r>
  <r>
    <x v="1061"/>
    <x v="120"/>
    <s v="FRIX00001399"/>
    <x v="0"/>
    <s v="Single Stock"/>
    <x v="0"/>
    <s v="SSS2P"/>
    <x v="2"/>
    <s v="Non-significant benchmark"/>
    <n v="0"/>
    <n v="0"/>
    <n v="0"/>
    <n v="0"/>
    <n v="0"/>
    <n v="0"/>
    <x v="0"/>
    <x v="1"/>
    <n v="0"/>
    <s v=""/>
    <n v="0"/>
  </r>
  <r>
    <x v="1062"/>
    <x v="120"/>
    <s v="FRIX00001431"/>
    <x v="0"/>
    <s v="Single Stock"/>
    <x v="0"/>
    <s v="SSTEG"/>
    <x v="2"/>
    <s v="Non-significant benchmark"/>
    <n v="0"/>
    <n v="0"/>
    <n v="0"/>
    <n v="0"/>
    <n v="0"/>
    <n v="0"/>
    <x v="0"/>
    <x v="1"/>
    <n v="0"/>
    <s v=""/>
    <n v="0"/>
  </r>
  <r>
    <x v="1063"/>
    <x v="120"/>
    <s v="FRIX00001449"/>
    <x v="0"/>
    <s v="Single Stock"/>
    <x v="0"/>
    <s v="SSTED"/>
    <x v="2"/>
    <s v="Non-significant benchmark"/>
    <n v="0"/>
    <n v="0"/>
    <n v="0"/>
    <n v="0"/>
    <n v="0"/>
    <n v="0"/>
    <x v="0"/>
    <x v="1"/>
    <n v="0"/>
    <s v=""/>
    <n v="0"/>
  </r>
  <r>
    <x v="1064"/>
    <x v="120"/>
    <s v="FRIX00001423"/>
    <x v="0"/>
    <s v="Single Stock"/>
    <x v="0"/>
    <s v="SSTEP"/>
    <x v="2"/>
    <s v="Non-significant benchmark"/>
    <n v="0"/>
    <n v="0"/>
    <n v="0"/>
    <n v="0"/>
    <n v="0"/>
    <n v="0"/>
    <x v="0"/>
    <x v="1"/>
    <n v="0"/>
    <s v=""/>
    <n v="0"/>
  </r>
  <r>
    <x v="1065"/>
    <x v="173"/>
    <s v="FRESG0001064"/>
    <x v="0"/>
    <s v="Thematic"/>
    <x v="0"/>
    <s v="NWSWP"/>
    <x v="2"/>
    <s v="Non-significant benchmark"/>
    <n v="0"/>
    <n v="0"/>
    <n v="0"/>
    <n v="0"/>
    <n v="0"/>
    <n v="0"/>
    <x v="0"/>
    <x v="1"/>
    <n v="0"/>
    <s v=""/>
    <e v="#N/A"/>
  </r>
  <r>
    <x v="1066"/>
    <x v="173"/>
    <s v="FRESG0001080"/>
    <x v="0"/>
    <s v="Thematic"/>
    <x v="0"/>
    <s v="NWSWG"/>
    <x v="2"/>
    <s v="Non-significant benchmark"/>
    <n v="0"/>
    <n v="0"/>
    <n v="0"/>
    <n v="0"/>
    <n v="0"/>
    <n v="0"/>
    <x v="0"/>
    <x v="1"/>
    <n v="0"/>
    <s v=""/>
    <e v="#N/A"/>
  </r>
  <r>
    <x v="1067"/>
    <x v="173"/>
    <s v="FRESG0001072"/>
    <x v="0"/>
    <s v="Thematic"/>
    <x v="0"/>
    <s v="NWSWN"/>
    <x v="2"/>
    <s v="Non-significant benchmark"/>
    <n v="0"/>
    <n v="0"/>
    <n v="0"/>
    <n v="0"/>
    <n v="0"/>
    <n v="0"/>
    <x v="0"/>
    <x v="1"/>
    <n v="0"/>
    <s v=""/>
    <e v="#N/A"/>
  </r>
  <r>
    <x v="1068"/>
    <x v="174"/>
    <s v="FRIX00001845"/>
    <x v="1"/>
    <s v="Thematic"/>
    <x v="1"/>
    <s v="EAIWP"/>
    <x v="2"/>
    <s v="Non-significant benchmark"/>
    <n v="0"/>
    <n v="0"/>
    <n v="0"/>
    <n v="0"/>
    <n v="0"/>
    <n v="0"/>
    <x v="0"/>
    <x v="1"/>
    <n v="0"/>
    <s v=""/>
    <s v="EAIWP"/>
  </r>
  <r>
    <x v="1069"/>
    <x v="174"/>
    <s v="FRIX00001860"/>
    <x v="1"/>
    <s v="Thematic"/>
    <x v="1"/>
    <s v="EAIWG"/>
    <x v="2"/>
    <s v="Non-significant benchmark"/>
    <n v="0"/>
    <n v="0"/>
    <n v="0"/>
    <n v="0"/>
    <n v="0"/>
    <n v="0"/>
    <x v="0"/>
    <x v="1"/>
    <n v="0"/>
    <s v=""/>
    <s v="EAIWP"/>
  </r>
  <r>
    <x v="1070"/>
    <x v="174"/>
    <s v="FRIX00001852"/>
    <x v="1"/>
    <s v="Thematic"/>
    <x v="1"/>
    <s v="EAIWN"/>
    <x v="2"/>
    <s v="Non-significant benchmark"/>
    <n v="0"/>
    <n v="0"/>
    <n v="0"/>
    <n v="0"/>
    <n v="0"/>
    <n v="0"/>
    <x v="0"/>
    <x v="1"/>
    <n v="0"/>
    <s v=""/>
    <s v="EAIWP"/>
  </r>
  <r>
    <x v="1071"/>
    <x v="175"/>
    <s v="FRESG0001304"/>
    <x v="1"/>
    <s v="Climate;Environmental"/>
    <x v="1"/>
    <s v="ESBTP"/>
    <x v="2"/>
    <s v="Non-significant benchmark"/>
    <n v="0"/>
    <n v="0"/>
    <n v="0"/>
    <n v="0"/>
    <n v="0"/>
    <n v="0"/>
    <x v="0"/>
    <x v="0"/>
    <n v="0"/>
    <s v=""/>
    <s v="ESBTP"/>
  </r>
  <r>
    <x v="1072"/>
    <x v="175"/>
    <s v="FRESG0001320"/>
    <x v="1"/>
    <s v="Climate;Environmental"/>
    <x v="1"/>
    <s v="ESBTG"/>
    <x v="2"/>
    <s v="Non-significant benchmark"/>
    <n v="0"/>
    <n v="0"/>
    <n v="0"/>
    <n v="0"/>
    <n v="0"/>
    <n v="0"/>
    <x v="0"/>
    <x v="0"/>
    <n v="0"/>
    <s v=""/>
    <s v="ESBTP"/>
  </r>
  <r>
    <x v="1073"/>
    <x v="175"/>
    <s v="FRESG0001361"/>
    <x v="1"/>
    <s v="Climate;Environmental"/>
    <x v="1"/>
    <s v="ESDG3"/>
    <x v="2"/>
    <s v="Non-significant benchmark"/>
    <n v="0"/>
    <n v="0"/>
    <n v="0"/>
    <n v="0"/>
    <n v="0"/>
    <n v="0"/>
    <x v="0"/>
    <x v="0"/>
    <n v="0"/>
    <s v=""/>
    <s v="ESBTP"/>
  </r>
  <r>
    <x v="1074"/>
    <x v="175"/>
    <s v="FRESG0001379"/>
    <x v="1"/>
    <s v="Climate;Environmental"/>
    <x v="1"/>
    <s v="ESDG4"/>
    <x v="2"/>
    <s v="Non-significant benchmark"/>
    <n v="0"/>
    <n v="0"/>
    <n v="0"/>
    <n v="0"/>
    <n v="0"/>
    <n v="0"/>
    <x v="0"/>
    <x v="0"/>
    <n v="0"/>
    <s v=""/>
    <s v="ESBTP"/>
  </r>
  <r>
    <x v="1075"/>
    <x v="175"/>
    <s v="FRESG0001387"/>
    <x v="1"/>
    <s v="Climate;Environmental"/>
    <x v="1"/>
    <s v="ESDG5"/>
    <x v="2"/>
    <s v="Non-significant benchmark"/>
    <n v="0"/>
    <n v="0"/>
    <n v="0"/>
    <n v="0"/>
    <n v="0"/>
    <n v="0"/>
    <x v="0"/>
    <x v="0"/>
    <n v="0"/>
    <s v=""/>
    <s v="ESBTP"/>
  </r>
  <r>
    <x v="1076"/>
    <x v="175"/>
    <s v="FRESG0001312"/>
    <x v="1"/>
    <s v="Climate;Environmental"/>
    <x v="1"/>
    <s v="ESBTN"/>
    <x v="2"/>
    <s v="Non-significant benchmark"/>
    <n v="0"/>
    <n v="0"/>
    <n v="0"/>
    <n v="0"/>
    <n v="0"/>
    <n v="0"/>
    <x v="0"/>
    <x v="0"/>
    <n v="0"/>
    <s v=""/>
    <s v="ESBTP"/>
  </r>
  <r>
    <x v="1077"/>
    <x v="175"/>
    <s v="FRESG0001338"/>
    <x v="1"/>
    <s v="Climate;Environmental"/>
    <x v="1"/>
    <s v="ESN3D"/>
    <x v="2"/>
    <s v="Non-significant benchmark"/>
    <n v="0"/>
    <n v="0"/>
    <n v="0"/>
    <n v="0"/>
    <n v="0"/>
    <n v="0"/>
    <x v="0"/>
    <x v="0"/>
    <n v="0"/>
    <s v=""/>
    <s v="ESBTP"/>
  </r>
  <r>
    <x v="1078"/>
    <x v="175"/>
    <s v="FRESG0001346"/>
    <x v="1"/>
    <s v="Climate;Environmental"/>
    <x v="1"/>
    <s v="ESN4D"/>
    <x v="2"/>
    <s v="Non-significant benchmark"/>
    <n v="0"/>
    <n v="0"/>
    <n v="0"/>
    <n v="0"/>
    <n v="0"/>
    <n v="0"/>
    <x v="0"/>
    <x v="0"/>
    <n v="0"/>
    <s v=""/>
    <s v="ESBTP"/>
  </r>
  <r>
    <x v="1079"/>
    <x v="175"/>
    <s v="FRESG0001353"/>
    <x v="1"/>
    <s v="Climate;Environmental"/>
    <x v="1"/>
    <s v="ESN5D"/>
    <x v="2"/>
    <s v="Non-significant benchmark"/>
    <n v="0"/>
    <n v="0"/>
    <n v="0"/>
    <n v="0"/>
    <n v="0"/>
    <n v="0"/>
    <x v="0"/>
    <x v="0"/>
    <n v="0"/>
    <s v=""/>
    <s v="ESBTP"/>
  </r>
  <r>
    <x v="1080"/>
    <x v="176"/>
    <s v="FRESG0001213"/>
    <x v="1"/>
    <s v="Climate;Environmental"/>
    <x v="1"/>
    <s v="ZSBTP"/>
    <x v="2"/>
    <s v="Non-significant benchmark"/>
    <n v="0"/>
    <n v="0"/>
    <n v="0"/>
    <n v="0"/>
    <n v="0"/>
    <n v="0"/>
    <x v="0"/>
    <x v="0"/>
    <n v="0"/>
    <s v=""/>
    <s v="ZSBTP"/>
  </r>
  <r>
    <x v="1081"/>
    <x v="176"/>
    <s v="FRESG0001239"/>
    <x v="1"/>
    <s v="Climate;Environmental"/>
    <x v="1"/>
    <s v="ZSBTG"/>
    <x v="2"/>
    <s v="Non-significant benchmark"/>
    <n v="0"/>
    <n v="0"/>
    <n v="0"/>
    <n v="0"/>
    <n v="0"/>
    <n v="0"/>
    <x v="0"/>
    <x v="0"/>
    <n v="0"/>
    <s v=""/>
    <s v="ZSBTP"/>
  </r>
  <r>
    <x v="1082"/>
    <x v="176"/>
    <s v="FRESG0001270"/>
    <x v="1"/>
    <s v="Climate;Environmental"/>
    <x v="1"/>
    <s v="ZSG3D"/>
    <x v="2"/>
    <s v="Non-significant benchmark"/>
    <n v="0"/>
    <n v="0"/>
    <n v="0"/>
    <n v="0"/>
    <n v="0"/>
    <n v="0"/>
    <x v="0"/>
    <x v="0"/>
    <n v="0"/>
    <s v=""/>
    <s v="ZSBTP"/>
  </r>
  <r>
    <x v="1083"/>
    <x v="176"/>
    <s v="FRESG0001288"/>
    <x v="1"/>
    <s v="Climate;Environmental"/>
    <x v="1"/>
    <s v="ZSG4D"/>
    <x v="2"/>
    <s v="Non-significant benchmark"/>
    <n v="0"/>
    <n v="0"/>
    <n v="0"/>
    <n v="0"/>
    <n v="0"/>
    <n v="0"/>
    <x v="0"/>
    <x v="0"/>
    <n v="0"/>
    <s v=""/>
    <s v="ZSBTP"/>
  </r>
  <r>
    <x v="1084"/>
    <x v="176"/>
    <s v="FRESG0001296"/>
    <x v="1"/>
    <s v="Climate;Environmental"/>
    <x v="1"/>
    <s v="ZSG5D"/>
    <x v="2"/>
    <s v="Non-significant benchmark"/>
    <n v="0"/>
    <n v="0"/>
    <n v="0"/>
    <n v="0"/>
    <n v="0"/>
    <n v="0"/>
    <x v="0"/>
    <x v="0"/>
    <n v="0"/>
    <s v=""/>
    <s v="ZSBTP"/>
  </r>
  <r>
    <x v="1085"/>
    <x v="176"/>
    <s v="FRESG0001221"/>
    <x v="1"/>
    <s v="Climate;Environmental"/>
    <x v="1"/>
    <s v="ZSBTN"/>
    <x v="2"/>
    <s v="Non-significant benchmark"/>
    <n v="0"/>
    <n v="0"/>
    <n v="0"/>
    <n v="0"/>
    <n v="0"/>
    <n v="0"/>
    <x v="0"/>
    <x v="0"/>
    <n v="0"/>
    <s v=""/>
    <s v="ZSBTP"/>
  </r>
  <r>
    <x v="1086"/>
    <x v="176"/>
    <s v="FRESG0001247"/>
    <x v="1"/>
    <s v="Climate;Environmental"/>
    <x v="1"/>
    <s v="ZSN3D"/>
    <x v="2"/>
    <s v="Non-significant benchmark"/>
    <n v="0"/>
    <n v="0"/>
    <n v="0"/>
    <n v="0"/>
    <n v="0"/>
    <n v="0"/>
    <x v="0"/>
    <x v="0"/>
    <n v="0"/>
    <s v=""/>
    <s v="ZSBTP"/>
  </r>
  <r>
    <x v="1087"/>
    <x v="176"/>
    <s v="FRESG0001254"/>
    <x v="1"/>
    <s v="Climate;Environmental"/>
    <x v="1"/>
    <s v="ZSN4D"/>
    <x v="2"/>
    <s v="Non-significant benchmark"/>
    <n v="0"/>
    <n v="0"/>
    <n v="0"/>
    <n v="0"/>
    <n v="0"/>
    <n v="0"/>
    <x v="0"/>
    <x v="0"/>
    <n v="0"/>
    <s v=""/>
    <s v="ZSBTP"/>
  </r>
  <r>
    <x v="1088"/>
    <x v="176"/>
    <s v="FRESG0001262"/>
    <x v="1"/>
    <s v="Climate;Environmental"/>
    <x v="1"/>
    <s v="ZSN5D"/>
    <x v="2"/>
    <s v="Non-significant benchmark"/>
    <n v="0"/>
    <n v="0"/>
    <n v="0"/>
    <n v="0"/>
    <n v="0"/>
    <n v="0"/>
    <x v="0"/>
    <x v="0"/>
    <n v="0"/>
    <s v=""/>
    <s v="ZSBTP"/>
  </r>
  <r>
    <x v="1089"/>
    <x v="103"/>
    <s v="FRESG0001395"/>
    <x v="1"/>
    <s v="Climate;Environmental"/>
    <x v="1"/>
    <s v="GCSSD"/>
    <x v="2"/>
    <s v="Non-significant benchmark"/>
    <n v="0"/>
    <n v="0"/>
    <n v="0"/>
    <n v="0"/>
    <n v="0"/>
    <n v="0"/>
    <x v="0"/>
    <x v="1"/>
    <n v="0"/>
    <s v=""/>
    <s v="GSCSP"/>
  </r>
  <r>
    <x v="1090"/>
    <x v="177"/>
    <s v="FRIX00001811"/>
    <x v="1"/>
    <s v="Thematic"/>
    <x v="1"/>
    <s v="EMWPR"/>
    <x v="2"/>
    <s v="Non-significant benchmark"/>
    <n v="0"/>
    <n v="0"/>
    <n v="0"/>
    <n v="0"/>
    <n v="0"/>
    <n v="0"/>
    <x v="0"/>
    <x v="1"/>
    <n v="0"/>
    <s v=""/>
    <e v="#N/A"/>
  </r>
  <r>
    <x v="1091"/>
    <x v="177"/>
    <s v="FRIX00001837"/>
    <x v="1"/>
    <s v="Thematic"/>
    <x v="1"/>
    <s v="EMWGR"/>
    <x v="2"/>
    <s v="Non-significant benchmark"/>
    <n v="0"/>
    <n v="0"/>
    <n v="0"/>
    <n v="0"/>
    <n v="0"/>
    <n v="0"/>
    <x v="0"/>
    <x v="1"/>
    <n v="0"/>
    <s v=""/>
    <e v="#N/A"/>
  </r>
  <r>
    <x v="1092"/>
    <x v="177"/>
    <s v="FRIX00001829"/>
    <x v="1"/>
    <s v="Thematic"/>
    <x v="1"/>
    <s v="EMWNR"/>
    <x v="2"/>
    <s v="Non-significant benchmark"/>
    <n v="0"/>
    <n v="0"/>
    <n v="0"/>
    <n v="0"/>
    <n v="0"/>
    <n v="0"/>
    <x v="0"/>
    <x v="1"/>
    <n v="0"/>
    <s v=""/>
    <e v="#N/A"/>
  </r>
  <r>
    <x v="1093"/>
    <x v="120"/>
    <s v="FRIX00001597"/>
    <x v="0"/>
    <s v="Single Stock"/>
    <x v="0"/>
    <s v="SGAD1"/>
    <x v="2"/>
    <s v="Non-significant benchmark"/>
    <n v="0"/>
    <n v="0"/>
    <n v="0"/>
    <n v="0"/>
    <n v="0"/>
    <n v="0"/>
    <x v="0"/>
    <x v="1"/>
    <n v="0"/>
    <s v=""/>
    <n v="0"/>
  </r>
  <r>
    <x v="1094"/>
    <x v="120"/>
    <s v="FRIX00001589"/>
    <x v="0"/>
    <s v="Single Stock"/>
    <x v="0"/>
    <s v="SGAG1"/>
    <x v="2"/>
    <s v="Non-significant benchmark"/>
    <n v="0"/>
    <n v="0"/>
    <n v="0"/>
    <n v="0"/>
    <n v="0"/>
    <n v="0"/>
    <x v="0"/>
    <x v="1"/>
    <n v="0"/>
    <s v=""/>
    <n v="0"/>
  </r>
  <r>
    <x v="1095"/>
    <x v="120"/>
    <s v="FRIX00001571"/>
    <x v="0"/>
    <s v="Single Stock"/>
    <x v="0"/>
    <s v="SGAP1"/>
    <x v="2"/>
    <s v="Non-significant benchmark"/>
    <n v="0"/>
    <n v="0"/>
    <n v="0"/>
    <n v="0"/>
    <n v="0"/>
    <n v="0"/>
    <x v="0"/>
    <x v="1"/>
    <n v="0"/>
    <s v=""/>
    <n v="0"/>
  </r>
  <r>
    <x v="1096"/>
    <x v="120"/>
    <s v="FRIX00001563"/>
    <x v="0"/>
    <s v="Single Stock"/>
    <x v="0"/>
    <s v="SGBD3"/>
    <x v="2"/>
    <s v="Non-significant benchmark"/>
    <n v="0"/>
    <n v="1392500000"/>
    <n v="322173621.52800006"/>
    <n v="0"/>
    <n v="0"/>
    <n v="0"/>
    <x v="166"/>
    <x v="1"/>
    <n v="270000000"/>
    <n v="4.1574074074074074"/>
    <n v="0"/>
  </r>
  <r>
    <x v="1097"/>
    <x v="120"/>
    <s v="FRIX00001555"/>
    <x v="0"/>
    <s v="Single Stock"/>
    <x v="0"/>
    <s v="SGBG3"/>
    <x v="2"/>
    <s v="Non-significant benchmark"/>
    <n v="0"/>
    <n v="5000000"/>
    <n v="0"/>
    <n v="0"/>
    <n v="0"/>
    <n v="0"/>
    <x v="72"/>
    <x v="1"/>
    <n v="0"/>
    <s v=""/>
    <n v="0"/>
  </r>
  <r>
    <x v="1098"/>
    <x v="120"/>
    <s v="FRIX00001548"/>
    <x v="0"/>
    <s v="Single Stock"/>
    <x v="0"/>
    <s v="SGBP3"/>
    <x v="2"/>
    <s v="Non-significant benchmark"/>
    <n v="0"/>
    <n v="0"/>
    <n v="0"/>
    <n v="0"/>
    <n v="0"/>
    <n v="0"/>
    <x v="0"/>
    <x v="1"/>
    <n v="0"/>
    <s v=""/>
    <n v="0"/>
  </r>
  <r>
    <x v="1099"/>
    <x v="120"/>
    <s v="FRIX00021959"/>
    <x v="0"/>
    <s v="Single Stock"/>
    <x v="0"/>
    <s v="SGACG"/>
    <x v="2"/>
    <s v="Non-significant benchmark"/>
    <n v="0"/>
    <n v="0"/>
    <n v="0"/>
    <n v="0"/>
    <n v="0"/>
    <n v="0"/>
    <x v="0"/>
    <x v="1"/>
    <n v="0"/>
    <s v=""/>
    <n v="0"/>
  </r>
  <r>
    <x v="1100"/>
    <x v="120"/>
    <s v="FRIX00031966"/>
    <x v="0"/>
    <s v="Single Stock"/>
    <x v="0"/>
    <s v="SGACD"/>
    <x v="2"/>
    <s v="Non-significant benchmark"/>
    <n v="77210560.133622006"/>
    <n v="0"/>
    <n v="100769056.4076"/>
    <n v="0"/>
    <n v="0"/>
    <n v="0"/>
    <x v="167"/>
    <x v="1"/>
    <n v="73422401.031300008"/>
    <n v="0.37245656628202739"/>
    <n v="0"/>
  </r>
  <r>
    <x v="1101"/>
    <x v="120"/>
    <s v="FRIX00011943"/>
    <x v="0"/>
    <s v="Single Stock"/>
    <x v="0"/>
    <s v="SGACP"/>
    <x v="2"/>
    <s v="Non-significant benchmark"/>
    <n v="0"/>
    <n v="0"/>
    <n v="0"/>
    <n v="0"/>
    <n v="0"/>
    <n v="0"/>
    <x v="0"/>
    <x v="1"/>
    <n v="0"/>
    <s v=""/>
    <n v="0"/>
  </r>
  <r>
    <x v="1102"/>
    <x v="120"/>
    <s v="FRIX00001985"/>
    <x v="0"/>
    <s v="Single Stock"/>
    <x v="0"/>
    <s v="SGED2"/>
    <x v="2"/>
    <s v="Non-significant benchmark"/>
    <n v="229622789.42052099"/>
    <n v="790000000"/>
    <n v="0"/>
    <n v="0"/>
    <n v="0"/>
    <n v="0"/>
    <x v="168"/>
    <x v="1"/>
    <n v="230000000"/>
    <n v="-1.6400459977348181E-3"/>
    <n v="0"/>
  </r>
  <r>
    <x v="1103"/>
    <x v="120"/>
    <s v="FRIX00001977"/>
    <x v="0"/>
    <s v="Single Stock"/>
    <x v="0"/>
    <s v="SGEG2"/>
    <x v="2"/>
    <s v="Non-significant benchmark"/>
    <n v="0"/>
    <n v="370000000"/>
    <n v="304241316.17879999"/>
    <n v="0"/>
    <n v="0"/>
    <n v="0"/>
    <x v="169"/>
    <x v="1"/>
    <n v="69446625.632300004"/>
    <n v="4.3278326575439969"/>
    <n v="0"/>
  </r>
  <r>
    <x v="1104"/>
    <x v="120"/>
    <s v="FRIX00001969"/>
    <x v="0"/>
    <s v="Single Stock"/>
    <x v="0"/>
    <s v="SGEP2"/>
    <x v="2"/>
    <s v="Non-significant benchmark"/>
    <n v="0"/>
    <n v="0"/>
    <n v="0"/>
    <n v="0"/>
    <n v="0"/>
    <n v="0"/>
    <x v="0"/>
    <x v="1"/>
    <n v="0"/>
    <s v=""/>
    <n v="0"/>
  </r>
  <r>
    <x v="1105"/>
    <x v="120"/>
    <s v="FRIX00001894"/>
    <x v="0"/>
    <s v="Single Stock"/>
    <x v="0"/>
    <s v="SGKED"/>
    <x v="2"/>
    <s v="Non-significant benchmark"/>
    <n v="0"/>
    <n v="30000000"/>
    <n v="7976053.6376"/>
    <n v="0"/>
    <n v="0"/>
    <n v="0"/>
    <x v="71"/>
    <x v="1"/>
    <n v="0"/>
    <s v=""/>
    <n v="0"/>
  </r>
  <r>
    <x v="1106"/>
    <x v="120"/>
    <s v="FRIX00001886"/>
    <x v="0"/>
    <s v="Single Stock"/>
    <x v="0"/>
    <s v="SGKEG"/>
    <x v="2"/>
    <s v="Non-significant benchmark"/>
    <n v="0"/>
    <n v="0"/>
    <n v="0"/>
    <n v="0"/>
    <n v="0"/>
    <n v="0"/>
    <x v="0"/>
    <x v="1"/>
    <n v="0"/>
    <s v=""/>
    <n v="0"/>
  </r>
  <r>
    <x v="1107"/>
    <x v="120"/>
    <s v="FRIX00001878"/>
    <x v="0"/>
    <s v="Single Stock"/>
    <x v="0"/>
    <s v="SGKEP"/>
    <x v="2"/>
    <s v="Non-significant benchmark"/>
    <n v="0"/>
    <n v="0"/>
    <n v="0"/>
    <n v="0"/>
    <n v="0"/>
    <n v="0"/>
    <x v="0"/>
    <x v="1"/>
    <n v="0"/>
    <s v=""/>
    <n v="0"/>
  </r>
  <r>
    <x v="1108"/>
    <x v="120"/>
    <s v="FRIX00001712"/>
    <x v="0"/>
    <s v="Single Stock"/>
    <x v="0"/>
    <s v="SGSD1"/>
    <x v="2"/>
    <s v="Non-significant benchmark"/>
    <n v="0"/>
    <n v="0"/>
    <n v="5176145.6632000003"/>
    <n v="0"/>
    <n v="0"/>
    <n v="0"/>
    <x v="170"/>
    <x v="1"/>
    <n v="30000000"/>
    <n v="-0.82746181122666662"/>
    <n v="0"/>
  </r>
  <r>
    <x v="1109"/>
    <x v="120"/>
    <s v="FRIX00001704"/>
    <x v="0"/>
    <s v="Single Stock"/>
    <x v="0"/>
    <s v="SGSG1"/>
    <x v="2"/>
    <s v="Non-significant benchmark"/>
    <n v="0"/>
    <n v="0"/>
    <n v="0"/>
    <n v="0"/>
    <n v="0"/>
    <n v="0"/>
    <x v="0"/>
    <x v="1"/>
    <n v="0"/>
    <s v=""/>
    <n v="0"/>
  </r>
  <r>
    <x v="1110"/>
    <x v="120"/>
    <s v="FRIX00001696"/>
    <x v="0"/>
    <s v="Single Stock"/>
    <x v="0"/>
    <s v="SGSP1"/>
    <x v="2"/>
    <s v="Non-significant benchmark"/>
    <n v="0"/>
    <n v="0"/>
    <n v="0"/>
    <n v="0"/>
    <n v="0"/>
    <n v="0"/>
    <x v="0"/>
    <x v="1"/>
    <n v="0"/>
    <s v=""/>
    <n v="0"/>
  </r>
  <r>
    <x v="1111"/>
    <x v="120"/>
    <s v="FRIX00001621"/>
    <x v="0"/>
    <s v="Single Stock"/>
    <x v="0"/>
    <s v="SGTD2"/>
    <x v="2"/>
    <s v="Non-significant benchmark"/>
    <n v="0"/>
    <n v="0"/>
    <n v="0"/>
    <n v="0"/>
    <n v="0"/>
    <n v="0"/>
    <x v="0"/>
    <x v="1"/>
    <n v="0"/>
    <s v=""/>
    <n v="0"/>
  </r>
  <r>
    <x v="1112"/>
    <x v="120"/>
    <s v="FRIX00001613"/>
    <x v="0"/>
    <s v="Single Stock"/>
    <x v="0"/>
    <s v="SGTG2"/>
    <x v="2"/>
    <s v="Non-significant benchmark"/>
    <n v="0"/>
    <n v="0"/>
    <n v="0"/>
    <n v="0"/>
    <n v="0"/>
    <n v="0"/>
    <x v="0"/>
    <x v="1"/>
    <n v="0"/>
    <s v=""/>
    <n v="0"/>
  </r>
  <r>
    <x v="1113"/>
    <x v="120"/>
    <s v="FRIX00001605"/>
    <x v="0"/>
    <s v="Single Stock"/>
    <x v="0"/>
    <s v="SGTP2"/>
    <x v="2"/>
    <s v="Non-significant benchmark"/>
    <n v="0"/>
    <n v="0"/>
    <n v="0"/>
    <n v="0"/>
    <n v="0"/>
    <n v="0"/>
    <x v="0"/>
    <x v="1"/>
    <n v="0"/>
    <s v=""/>
    <n v="0"/>
  </r>
  <r>
    <x v="1114"/>
    <x v="120"/>
    <s v="FRIX00001803"/>
    <x v="0"/>
    <s v="Single Stock"/>
    <x v="0"/>
    <s v="SGURW"/>
    <x v="2"/>
    <s v="Non-significant benchmark"/>
    <n v="0"/>
    <n v="0"/>
    <n v="0"/>
    <n v="0"/>
    <n v="0"/>
    <n v="0"/>
    <x v="0"/>
    <x v="1"/>
    <n v="30000000"/>
    <n v="-1"/>
    <n v="0"/>
  </r>
  <r>
    <x v="1115"/>
    <x v="120"/>
    <s v="FRIX00001795"/>
    <x v="0"/>
    <s v="Single Stock"/>
    <x v="0"/>
    <s v="SGU1G"/>
    <x v="2"/>
    <s v="Non-significant benchmark"/>
    <n v="0"/>
    <n v="0"/>
    <n v="0"/>
    <n v="0"/>
    <n v="0"/>
    <n v="0"/>
    <x v="0"/>
    <x v="1"/>
    <n v="0"/>
    <s v=""/>
    <n v="0"/>
  </r>
  <r>
    <x v="1116"/>
    <x v="120"/>
    <s v="FRIX00001787"/>
    <x v="0"/>
    <s v="Single Stock"/>
    <x v="0"/>
    <s v="SGU1P"/>
    <x v="2"/>
    <s v="Non-significant benchmark"/>
    <n v="0"/>
    <n v="0"/>
    <n v="0"/>
    <n v="0"/>
    <n v="0"/>
    <n v="0"/>
    <x v="0"/>
    <x v="1"/>
    <n v="0"/>
    <s v=""/>
    <n v="0"/>
  </r>
  <r>
    <x v="1117"/>
    <x v="120"/>
    <s v="FRIX00001928"/>
    <x v="0"/>
    <s v="Single Stock"/>
    <x v="0"/>
    <s v="SGVID"/>
    <x v="2"/>
    <s v="Non-significant benchmark"/>
    <n v="0"/>
    <n v="0"/>
    <n v="2993322.67"/>
    <n v="0"/>
    <n v="0"/>
    <n v="0"/>
    <x v="171"/>
    <x v="1"/>
    <n v="0"/>
    <s v=""/>
    <n v="0"/>
  </r>
  <r>
    <x v="1118"/>
    <x v="120"/>
    <s v="FRIX00001910"/>
    <x v="0"/>
    <s v="Single Stock"/>
    <x v="0"/>
    <s v="SGVIG"/>
    <x v="2"/>
    <s v="Non-significant benchmark"/>
    <n v="0"/>
    <n v="0"/>
    <n v="0"/>
    <n v="0"/>
    <n v="0"/>
    <n v="0"/>
    <x v="0"/>
    <x v="1"/>
    <n v="0"/>
    <s v=""/>
    <n v="0"/>
  </r>
  <r>
    <x v="1119"/>
    <x v="120"/>
    <s v="FRIX00001902"/>
    <x v="0"/>
    <s v="Single Stock"/>
    <x v="0"/>
    <s v="SGVIP"/>
    <x v="2"/>
    <s v="Non-significant benchmark"/>
    <n v="0"/>
    <n v="0"/>
    <n v="0"/>
    <n v="0"/>
    <n v="0"/>
    <n v="0"/>
    <x v="0"/>
    <x v="1"/>
    <n v="0"/>
    <s v=""/>
    <n v="0"/>
  </r>
  <r>
    <x v="1120"/>
    <x v="120"/>
    <s v="FRIX00001670"/>
    <x v="0"/>
    <s v="Single Stock"/>
    <x v="0"/>
    <s v="SMEG1"/>
    <x v="2"/>
    <s v="Non-significant benchmark"/>
    <n v="0"/>
    <n v="0"/>
    <n v="0"/>
    <n v="0"/>
    <n v="0"/>
    <n v="0"/>
    <x v="0"/>
    <x v="1"/>
    <n v="0"/>
    <s v=""/>
    <n v="0"/>
  </r>
  <r>
    <x v="1121"/>
    <x v="120"/>
    <s v="FRIX00001688"/>
    <x v="0"/>
    <s v="Single Stock"/>
    <x v="0"/>
    <s v="SMED1"/>
    <x v="2"/>
    <s v="Non-significant benchmark"/>
    <n v="0"/>
    <n v="0"/>
    <n v="0"/>
    <n v="0"/>
    <n v="0"/>
    <n v="0"/>
    <x v="0"/>
    <x v="1"/>
    <n v="30000000"/>
    <n v="-1"/>
    <n v="0"/>
  </r>
  <r>
    <x v="1122"/>
    <x v="120"/>
    <s v="FRIX00001662"/>
    <x v="0"/>
    <s v="Single Stock"/>
    <x v="0"/>
    <s v="SMEP1"/>
    <x v="2"/>
    <s v="Non-significant benchmark"/>
    <n v="0"/>
    <n v="0"/>
    <n v="0"/>
    <n v="0"/>
    <n v="0"/>
    <n v="0"/>
    <x v="0"/>
    <x v="1"/>
    <n v="0"/>
    <s v=""/>
    <n v="0"/>
  </r>
  <r>
    <x v="1123"/>
    <x v="120"/>
    <s v="FRIX00001761"/>
    <x v="0"/>
    <s v="Single Stock"/>
    <x v="0"/>
    <s v="SMMLG"/>
    <x v="2"/>
    <s v="Non-significant benchmark"/>
    <n v="0"/>
    <n v="0"/>
    <n v="0"/>
    <n v="0"/>
    <n v="0"/>
    <n v="0"/>
    <x v="0"/>
    <x v="1"/>
    <n v="0"/>
    <s v=""/>
    <n v="0"/>
  </r>
  <r>
    <x v="1124"/>
    <x v="120"/>
    <s v="FRIX00001779"/>
    <x v="0"/>
    <s v="Single Stock"/>
    <x v="0"/>
    <s v="SMMLD"/>
    <x v="2"/>
    <s v="Non-significant benchmark"/>
    <n v="0"/>
    <n v="0"/>
    <n v="0"/>
    <n v="0"/>
    <n v="0"/>
    <n v="0"/>
    <x v="0"/>
    <x v="1"/>
    <n v="700000"/>
    <n v="-1"/>
    <n v="0"/>
  </r>
  <r>
    <x v="1125"/>
    <x v="120"/>
    <s v="FRIX00001753"/>
    <x v="0"/>
    <s v="Single Stock"/>
    <x v="0"/>
    <s v="SMMLP"/>
    <x v="2"/>
    <s v="Non-significant benchmark"/>
    <n v="0"/>
    <n v="0"/>
    <n v="0"/>
    <n v="0"/>
    <n v="0"/>
    <n v="0"/>
    <x v="0"/>
    <x v="1"/>
    <n v="0"/>
    <s v=""/>
    <n v="0"/>
  </r>
  <r>
    <x v="1126"/>
    <x v="120"/>
    <s v="FRIX00001738"/>
    <x v="0"/>
    <s v="Single Stock"/>
    <x v="0"/>
    <s v="SMSGG"/>
    <x v="2"/>
    <s v="Non-significant benchmark"/>
    <n v="0"/>
    <n v="0"/>
    <n v="0"/>
    <n v="0"/>
    <n v="0"/>
    <n v="0"/>
    <x v="0"/>
    <x v="1"/>
    <n v="0"/>
    <s v=""/>
    <n v="0"/>
  </r>
  <r>
    <x v="1127"/>
    <x v="120"/>
    <s v="FRIX00001746"/>
    <x v="0"/>
    <s v="Single Stock"/>
    <x v="0"/>
    <s v="SMSGD"/>
    <x v="2"/>
    <s v="Non-significant benchmark"/>
    <n v="0"/>
    <n v="0"/>
    <n v="0"/>
    <n v="0"/>
    <n v="0"/>
    <n v="0"/>
    <x v="0"/>
    <x v="1"/>
    <n v="0"/>
    <s v=""/>
    <n v="0"/>
  </r>
  <r>
    <x v="1128"/>
    <x v="120"/>
    <s v="FRIX00001720"/>
    <x v="0"/>
    <s v="Single Stock"/>
    <x v="0"/>
    <s v="SMSGP"/>
    <x v="2"/>
    <s v="Non-significant benchmark"/>
    <n v="0"/>
    <n v="0"/>
    <n v="0"/>
    <n v="0"/>
    <n v="0"/>
    <n v="0"/>
    <x v="0"/>
    <x v="1"/>
    <n v="0"/>
    <s v=""/>
    <n v="0"/>
  </r>
  <r>
    <x v="1129"/>
    <x v="120"/>
    <s v="FRIX00001647"/>
    <x v="0"/>
    <s v="Single Stock"/>
    <x v="0"/>
    <s v="SSEG1"/>
    <x v="2"/>
    <s v="Non-significant benchmark"/>
    <n v="0"/>
    <n v="0"/>
    <n v="0"/>
    <n v="0"/>
    <n v="0"/>
    <n v="0"/>
    <x v="0"/>
    <x v="1"/>
    <n v="0"/>
    <s v=""/>
    <n v="0"/>
  </r>
  <r>
    <x v="1130"/>
    <x v="120"/>
    <s v="FRIX00001654"/>
    <x v="0"/>
    <s v="Single Stock"/>
    <x v="0"/>
    <s v="SSED1"/>
    <x v="2"/>
    <s v="Non-significant benchmark"/>
    <n v="0"/>
    <n v="0"/>
    <n v="0"/>
    <n v="0"/>
    <n v="0"/>
    <n v="0"/>
    <x v="0"/>
    <x v="1"/>
    <n v="0"/>
    <s v=""/>
    <n v="0"/>
  </r>
  <r>
    <x v="1131"/>
    <x v="120"/>
    <s v="FRIX00001639"/>
    <x v="0"/>
    <s v="Single Stock"/>
    <x v="0"/>
    <s v="SSEP1"/>
    <x v="2"/>
    <s v="Non-significant benchmark"/>
    <n v="0"/>
    <n v="0"/>
    <n v="0"/>
    <n v="0"/>
    <n v="0"/>
    <n v="0"/>
    <x v="0"/>
    <x v="1"/>
    <n v="0"/>
    <s v=""/>
    <n v="0"/>
  </r>
  <r>
    <x v="1132"/>
    <x v="178"/>
    <s v="FRIX00001936"/>
    <x v="0"/>
    <s v="Strategy"/>
    <x v="0"/>
    <s v="CAFME"/>
    <x v="2"/>
    <s v="Non-significant benchmark"/>
    <n v="0"/>
    <n v="0"/>
    <n v="0"/>
    <n v="0"/>
    <n v="0"/>
    <n v="0"/>
    <x v="0"/>
    <x v="1"/>
    <n v="0"/>
    <s v=""/>
    <n v="0"/>
  </r>
  <r>
    <x v="1133"/>
    <x v="179"/>
    <s v="FRIX00001993"/>
    <x v="0"/>
    <s v="Strategy"/>
    <x v="0"/>
    <s v="CTRFD"/>
    <x v="2"/>
    <s v="Non-significant benchmark"/>
    <n v="0"/>
    <n v="0"/>
    <n v="0"/>
    <n v="0"/>
    <n v="0"/>
    <n v="0"/>
    <x v="0"/>
    <x v="1"/>
    <n v="0"/>
    <s v=""/>
    <n v="0"/>
  </r>
  <r>
    <x v="1134"/>
    <x v="180"/>
    <s v="FRESG0001411"/>
    <x v="1"/>
    <s v="Biodiversity;Environmental"/>
    <x v="1"/>
    <s v="EBEWP"/>
    <x v="2"/>
    <s v="Non-significant benchmark"/>
    <n v="0"/>
    <n v="0"/>
    <n v="0"/>
    <n v="0"/>
    <n v="0"/>
    <n v="0"/>
    <x v="0"/>
    <x v="1"/>
    <n v="0"/>
    <s v=""/>
    <s v="EBEWP"/>
  </r>
  <r>
    <x v="1135"/>
    <x v="180"/>
    <s v="FRESG0001437"/>
    <x v="1"/>
    <s v="Biodiversity;Environmental"/>
    <x v="1"/>
    <s v="EBEWG"/>
    <x v="2"/>
    <s v="Non-significant benchmark"/>
    <n v="0"/>
    <n v="0"/>
    <n v="0"/>
    <n v="0"/>
    <n v="0"/>
    <n v="0"/>
    <x v="0"/>
    <x v="1"/>
    <n v="0"/>
    <s v=""/>
    <s v="EBEWP"/>
  </r>
  <r>
    <x v="1136"/>
    <x v="180"/>
    <s v="FRESG0001429"/>
    <x v="1"/>
    <s v="Biodiversity;Environmental"/>
    <x v="1"/>
    <s v="EBEWN"/>
    <x v="2"/>
    <s v="Non-significant benchmark"/>
    <n v="0"/>
    <n v="0"/>
    <n v="0"/>
    <n v="0"/>
    <n v="0"/>
    <n v="0"/>
    <x v="0"/>
    <x v="1"/>
    <n v="0"/>
    <s v=""/>
    <s v="EBEWP"/>
  </r>
  <r>
    <x v="1137"/>
    <x v="181"/>
    <s v="FRESG0001445"/>
    <x v="1"/>
    <s v="Biodiversity;Environmental"/>
    <x v="1"/>
    <s v="BISWP"/>
    <x v="2"/>
    <s v="Non-significant benchmark"/>
    <n v="0"/>
    <n v="0"/>
    <n v="0"/>
    <n v="0"/>
    <n v="0"/>
    <n v="0"/>
    <x v="0"/>
    <x v="1"/>
    <n v="0"/>
    <s v=""/>
    <s v="BISWP"/>
  </r>
  <r>
    <x v="1138"/>
    <x v="181"/>
    <s v="FRESG0001460"/>
    <x v="1"/>
    <s v="Biodiversity;Environmental"/>
    <x v="1"/>
    <s v="BISWG"/>
    <x v="2"/>
    <s v="Non-significant benchmark"/>
    <n v="0"/>
    <n v="0"/>
    <n v="0"/>
    <n v="0"/>
    <n v="0"/>
    <n v="0"/>
    <x v="0"/>
    <x v="1"/>
    <n v="0"/>
    <s v=""/>
    <s v="BISWP"/>
  </r>
  <r>
    <x v="1139"/>
    <x v="181"/>
    <s v="FRESG0001452"/>
    <x v="1"/>
    <s v="Biodiversity;Environmental"/>
    <x v="1"/>
    <s v="BISWN"/>
    <x v="2"/>
    <s v="Non-significant benchmark"/>
    <n v="0"/>
    <n v="0"/>
    <n v="0"/>
    <n v="0"/>
    <n v="0"/>
    <n v="0"/>
    <x v="0"/>
    <x v="1"/>
    <n v="0"/>
    <s v=""/>
    <s v="BISWP"/>
  </r>
  <r>
    <x v="1140"/>
    <x v="182"/>
    <s v="FRIX00002017"/>
    <x v="1"/>
    <s v="Thematic"/>
    <x v="1"/>
    <s v="ECWPR"/>
    <x v="2"/>
    <s v="Non-significant benchmark"/>
    <n v="0"/>
    <n v="0"/>
    <n v="0"/>
    <n v="0"/>
    <n v="0"/>
    <n v="0"/>
    <x v="0"/>
    <x v="1"/>
    <n v="0"/>
    <s v=""/>
    <s v="ECWPR"/>
  </r>
  <r>
    <x v="1141"/>
    <x v="182"/>
    <s v="FRIX00002033"/>
    <x v="1"/>
    <s v="Thematic"/>
    <x v="1"/>
    <s v="ECWGR"/>
    <x v="2"/>
    <s v="Non-significant benchmark"/>
    <n v="0"/>
    <n v="0"/>
    <n v="0"/>
    <n v="0"/>
    <n v="0"/>
    <n v="0"/>
    <x v="0"/>
    <x v="1"/>
    <n v="0"/>
    <s v=""/>
    <s v="ECWPR"/>
  </r>
  <r>
    <x v="1142"/>
    <x v="182"/>
    <s v="FRIX00002025"/>
    <x v="1"/>
    <s v="Thematic"/>
    <x v="1"/>
    <s v="ECWNR"/>
    <x v="2"/>
    <s v="Non-significant benchmark"/>
    <n v="0"/>
    <n v="0"/>
    <n v="0"/>
    <n v="0"/>
    <n v="0"/>
    <n v="0"/>
    <x v="0"/>
    <x v="1"/>
    <n v="0"/>
    <s v=""/>
    <s v="ECWPR"/>
  </r>
  <r>
    <x v="1143"/>
    <x v="58"/>
    <s v="FRESG0001403"/>
    <x v="1"/>
    <s v="Biodiversity;Climate;PAB"/>
    <x v="2"/>
    <s v="EBLPD"/>
    <x v="2"/>
    <s v="Non-significant benchmark"/>
    <n v="0"/>
    <n v="0"/>
    <n v="67731984.354400009"/>
    <n v="0"/>
    <n v="0"/>
    <n v="0"/>
    <x v="172"/>
    <x v="1"/>
    <n v="67995005.31220001"/>
    <n v="-3.8682393889424294E-3"/>
    <s v="EBLPP"/>
  </r>
  <r>
    <x v="1144"/>
    <x v="183"/>
    <s v="FRESG0001478"/>
    <x v="1"/>
    <s v="Climate;Environmental"/>
    <x v="1"/>
    <s v="FCLSP"/>
    <x v="2"/>
    <s v="Non-significant benchmark"/>
    <n v="0"/>
    <n v="0"/>
    <n v="0"/>
    <n v="0"/>
    <n v="0"/>
    <n v="0"/>
    <x v="0"/>
    <x v="1"/>
    <n v="0"/>
    <s v=""/>
    <s v="FCLSP"/>
  </r>
  <r>
    <x v="1145"/>
    <x v="183"/>
    <s v="FRESG0001502"/>
    <x v="1"/>
    <s v="Climate;Environmental"/>
    <x v="1"/>
    <s v="FCLSD"/>
    <x v="2"/>
    <s v="Non-significant benchmark"/>
    <n v="0"/>
    <n v="60500000"/>
    <n v="35302787.058800004"/>
    <n v="0"/>
    <n v="0"/>
    <n v="0"/>
    <x v="173"/>
    <x v="1"/>
    <n v="0"/>
    <s v=""/>
    <s v="FCLSP"/>
  </r>
  <r>
    <x v="1146"/>
    <x v="183"/>
    <s v="FRESG0001486"/>
    <x v="1"/>
    <s v="Climate;Environmental"/>
    <x v="1"/>
    <s v="FCLSG"/>
    <x v="2"/>
    <s v="Non-significant benchmark"/>
    <n v="0"/>
    <n v="0"/>
    <n v="0"/>
    <n v="0"/>
    <n v="0"/>
    <n v="0"/>
    <x v="0"/>
    <x v="1"/>
    <n v="0"/>
    <s v=""/>
    <s v="FCLSP"/>
  </r>
  <r>
    <x v="1147"/>
    <x v="183"/>
    <s v="FRESG0001494"/>
    <x v="1"/>
    <s v="Climate;Environmental"/>
    <x v="1"/>
    <s v="FCLSN"/>
    <x v="2"/>
    <s v="Non-significant benchmark"/>
    <n v="0"/>
    <n v="0"/>
    <n v="0"/>
    <n v="0"/>
    <n v="0"/>
    <n v="0"/>
    <x v="0"/>
    <x v="1"/>
    <n v="0"/>
    <s v=""/>
    <s v="FCLSP"/>
  </r>
  <r>
    <x v="1148"/>
    <x v="184"/>
    <s v="FRCLIM000148"/>
    <x v="1"/>
    <s v="Climate;PAB"/>
    <x v="2"/>
    <s v="PABUP"/>
    <x v="2"/>
    <s v="Non-significant benchmark"/>
    <n v="0"/>
    <n v="0"/>
    <n v="0"/>
    <n v="0"/>
    <n v="0"/>
    <n v="0"/>
    <x v="0"/>
    <x v="1"/>
    <n v="0"/>
    <s v=""/>
    <s v="PABUP"/>
  </r>
  <r>
    <x v="1149"/>
    <x v="184"/>
    <s v="FRCLIM000171"/>
    <x v="1"/>
    <s v="Climate;PAB"/>
    <x v="2"/>
    <s v="PABU5"/>
    <x v="2"/>
    <s v="Non-significant benchmark"/>
    <n v="0"/>
    <n v="0"/>
    <n v="0"/>
    <n v="0"/>
    <n v="0"/>
    <n v="0"/>
    <x v="0"/>
    <x v="1"/>
    <n v="0"/>
    <s v=""/>
    <s v="PABUP"/>
  </r>
  <r>
    <x v="1150"/>
    <x v="184"/>
    <s v="FRCLIM000163"/>
    <x v="1"/>
    <s v="Climate;PAB"/>
    <x v="2"/>
    <s v="PABUG"/>
    <x v="2"/>
    <s v="Non-significant benchmark"/>
    <n v="0"/>
    <n v="0"/>
    <n v="0"/>
    <n v="0"/>
    <n v="0"/>
    <n v="0"/>
    <x v="0"/>
    <x v="1"/>
    <n v="0"/>
    <s v=""/>
    <s v="PABUP"/>
  </r>
  <r>
    <x v="1151"/>
    <x v="184"/>
    <s v="FRCLIM000155"/>
    <x v="1"/>
    <s v="Climate;PAB"/>
    <x v="2"/>
    <s v="PABUN"/>
    <x v="2"/>
    <s v="Non-significant benchmark"/>
    <n v="0"/>
    <n v="0"/>
    <n v="0"/>
    <n v="0"/>
    <n v="0"/>
    <n v="0"/>
    <x v="0"/>
    <x v="1"/>
    <n v="0"/>
    <s v=""/>
    <s v="PABUP"/>
  </r>
  <r>
    <x v="1152"/>
    <x v="185"/>
    <s v="FRCLIM000205"/>
    <x v="1"/>
    <s v="PAB"/>
    <x v="2"/>
    <s v="PABTP"/>
    <x v="2"/>
    <s v="Non-significant benchmark"/>
    <n v="0"/>
    <n v="0"/>
    <n v="0"/>
    <n v="0"/>
    <n v="0"/>
    <n v="0"/>
    <x v="0"/>
    <x v="1"/>
    <n v="0"/>
    <s v=""/>
    <s v="PABTP"/>
  </r>
  <r>
    <x v="1153"/>
    <x v="185"/>
    <s v="FRCLIM000221"/>
    <x v="1"/>
    <s v="PAB"/>
    <x v="2"/>
    <s v="PABTG"/>
    <x v="2"/>
    <s v="Non-significant benchmark"/>
    <n v="0"/>
    <n v="0"/>
    <n v="0"/>
    <n v="0"/>
    <n v="0"/>
    <n v="0"/>
    <x v="0"/>
    <x v="1"/>
    <n v="0"/>
    <s v=""/>
    <s v="PABTP"/>
  </r>
  <r>
    <x v="1154"/>
    <x v="185"/>
    <s v="FRCLIM000213"/>
    <x v="1"/>
    <s v="PAB"/>
    <x v="2"/>
    <s v="PABTN"/>
    <x v="2"/>
    <s v="Non-significant benchmark"/>
    <n v="0"/>
    <n v="0"/>
    <n v="0"/>
    <n v="0"/>
    <n v="0"/>
    <n v="0"/>
    <x v="0"/>
    <x v="1"/>
    <n v="0"/>
    <s v=""/>
    <s v="PABTP"/>
  </r>
  <r>
    <x v="1155"/>
    <x v="186"/>
    <s v="FRCLIM000106"/>
    <x v="1"/>
    <s v="Climate;PAB"/>
    <x v="2"/>
    <s v="TPABP"/>
    <x v="2"/>
    <s v="Non-significant benchmark"/>
    <n v="0"/>
    <n v="0"/>
    <n v="0"/>
    <n v="0"/>
    <n v="0"/>
    <n v="0"/>
    <x v="0"/>
    <x v="1"/>
    <n v="0"/>
    <s v=""/>
    <s v="TPABP"/>
  </r>
  <r>
    <x v="1156"/>
    <x v="186"/>
    <s v="FRCLIM000130"/>
    <x v="1"/>
    <s v="Climate;PAB"/>
    <x v="2"/>
    <s v="TPAB5"/>
    <x v="2"/>
    <s v="Non-significant benchmark"/>
    <n v="0"/>
    <n v="1502340.875"/>
    <n v="0"/>
    <n v="0"/>
    <n v="0"/>
    <n v="0"/>
    <x v="174"/>
    <x v="1"/>
    <n v="0"/>
    <s v=""/>
    <s v="TPABP"/>
  </r>
  <r>
    <x v="1157"/>
    <x v="186"/>
    <s v="FRCLIM000122"/>
    <x v="1"/>
    <s v="Climate;PAB"/>
    <x v="2"/>
    <s v="TPABG"/>
    <x v="2"/>
    <s v="Non-significant benchmark"/>
    <n v="0"/>
    <n v="0"/>
    <n v="0"/>
    <n v="0"/>
    <n v="0"/>
    <n v="0"/>
    <x v="0"/>
    <x v="1"/>
    <n v="0"/>
    <s v=""/>
    <s v="TPABP"/>
  </r>
  <r>
    <x v="1158"/>
    <x v="186"/>
    <s v="FRCLIM000114"/>
    <x v="1"/>
    <s v="Climate;PAB"/>
    <x v="2"/>
    <s v="TPABN"/>
    <x v="2"/>
    <s v="Non-significant benchmark"/>
    <n v="0"/>
    <n v="0"/>
    <n v="0"/>
    <n v="0"/>
    <n v="0"/>
    <n v="0"/>
    <x v="0"/>
    <x v="1"/>
    <n v="0"/>
    <s v=""/>
    <s v="TPABP"/>
  </r>
  <r>
    <x v="1159"/>
    <x v="187"/>
    <s v="FRIX00002298"/>
    <x v="0"/>
    <s v="Country"/>
    <x v="0"/>
    <s v="CACVB"/>
    <x v="2"/>
    <s v="Non-significant benchmark"/>
    <n v="0"/>
    <n v="0"/>
    <n v="0"/>
    <n v="0"/>
    <n v="0"/>
    <n v="0"/>
    <x v="0"/>
    <x v="1"/>
    <s v=""/>
    <s v=""/>
    <n v="0"/>
  </r>
  <r>
    <x v="1160"/>
    <x v="188"/>
    <s v="NLIX00001874"/>
    <x v="0"/>
    <s v="Country"/>
    <x v="0"/>
    <s v="CANP"/>
    <x v="2"/>
    <s v="Non-significant benchmark"/>
    <n v="0"/>
    <n v="0"/>
    <n v="0"/>
    <n v="0"/>
    <n v="0"/>
    <n v="0"/>
    <x v="0"/>
    <x v="1"/>
    <s v=""/>
    <s v=""/>
    <s v="CANP"/>
  </r>
  <r>
    <x v="1161"/>
    <x v="188"/>
    <s v="NLIX00001890"/>
    <x v="0"/>
    <s v="Country"/>
    <x v="0"/>
    <s v="CANG"/>
    <x v="2"/>
    <s v="Non-significant benchmark"/>
    <n v="0"/>
    <n v="0"/>
    <n v="0"/>
    <n v="0"/>
    <n v="0"/>
    <n v="0"/>
    <x v="0"/>
    <x v="1"/>
    <s v=""/>
    <s v=""/>
    <s v="CANP"/>
  </r>
  <r>
    <x v="1162"/>
    <x v="188"/>
    <s v="NLIX00001882"/>
    <x v="0"/>
    <s v="Country"/>
    <x v="0"/>
    <s v="CANN"/>
    <x v="2"/>
    <s v="Non-significant benchmark"/>
    <n v="0"/>
    <n v="0"/>
    <n v="0"/>
    <n v="0"/>
    <n v="0"/>
    <n v="0"/>
    <x v="0"/>
    <x v="1"/>
    <s v=""/>
    <s v=""/>
    <s v="CANP"/>
  </r>
  <r>
    <x v="1163"/>
    <x v="189"/>
    <s v="NLIX00001726"/>
    <x v="0"/>
    <s v="International"/>
    <x v="0"/>
    <s v="DASP"/>
    <x v="2"/>
    <s v="Non-significant benchmark"/>
    <n v="0"/>
    <n v="0"/>
    <n v="0"/>
    <n v="0"/>
    <n v="0"/>
    <n v="0"/>
    <x v="0"/>
    <x v="1"/>
    <s v=""/>
    <s v=""/>
    <s v="DASP"/>
  </r>
  <r>
    <x v="1164"/>
    <x v="189"/>
    <s v="NLIX00001742"/>
    <x v="0"/>
    <s v="International"/>
    <x v="0"/>
    <s v="DASG"/>
    <x v="2"/>
    <s v="Non-significant benchmark"/>
    <n v="0"/>
    <n v="0"/>
    <n v="0"/>
    <n v="0"/>
    <n v="0"/>
    <n v="0"/>
    <x v="0"/>
    <x v="1"/>
    <s v=""/>
    <s v=""/>
    <s v="DASP"/>
  </r>
  <r>
    <x v="1165"/>
    <x v="189"/>
    <s v="NLIX00001734"/>
    <x v="0"/>
    <s v="International"/>
    <x v="0"/>
    <s v="DASN"/>
    <x v="2"/>
    <s v="Non-significant benchmark"/>
    <n v="0"/>
    <n v="0"/>
    <n v="0"/>
    <n v="0"/>
    <n v="0"/>
    <n v="0"/>
    <x v="0"/>
    <x v="1"/>
    <s v=""/>
    <s v=""/>
    <s v="DASP"/>
  </r>
  <r>
    <x v="1166"/>
    <x v="190"/>
    <s v="NLIX00001692"/>
    <x v="0"/>
    <s v="International"/>
    <x v="0"/>
    <s v="DAPPR"/>
    <x v="2"/>
    <s v="Non-significant benchmark"/>
    <n v="0"/>
    <n v="0"/>
    <n v="0"/>
    <n v="0"/>
    <n v="0"/>
    <n v="0"/>
    <x v="0"/>
    <x v="1"/>
    <s v=""/>
    <s v=""/>
    <s v="DAPPR"/>
  </r>
  <r>
    <x v="1167"/>
    <x v="190"/>
    <s v="NLIX00001718"/>
    <x v="0"/>
    <s v="International"/>
    <x v="0"/>
    <s v="DAPG"/>
    <x v="2"/>
    <s v="Non-significant benchmark"/>
    <n v="0"/>
    <n v="0"/>
    <n v="0"/>
    <n v="0"/>
    <n v="0"/>
    <n v="0"/>
    <x v="0"/>
    <x v="1"/>
    <s v=""/>
    <s v=""/>
    <s v="DAPPR"/>
  </r>
  <r>
    <x v="1168"/>
    <x v="190"/>
    <s v="NLIX00001700"/>
    <x v="0"/>
    <s v="International"/>
    <x v="0"/>
    <s v="DAPN"/>
    <x v="2"/>
    <s v="Non-significant benchmark"/>
    <n v="0"/>
    <n v="0"/>
    <n v="0"/>
    <n v="0"/>
    <n v="0"/>
    <n v="0"/>
    <x v="0"/>
    <x v="1"/>
    <s v=""/>
    <s v=""/>
    <s v="DAPPR"/>
  </r>
  <r>
    <x v="1169"/>
    <x v="191"/>
    <s v="NLIX00001601"/>
    <x v="0"/>
    <s v="International"/>
    <x v="0"/>
    <s v="DEUP"/>
    <x v="2"/>
    <s v="Non-significant benchmark"/>
    <n v="0"/>
    <n v="0"/>
    <n v="0"/>
    <n v="0"/>
    <n v="0"/>
    <n v="0"/>
    <x v="0"/>
    <x v="1"/>
    <s v=""/>
    <s v=""/>
    <s v="DEUP"/>
  </r>
  <r>
    <x v="1170"/>
    <x v="191"/>
    <s v="NLIX00001627"/>
    <x v="0"/>
    <s v="International"/>
    <x v="0"/>
    <s v="DEUG"/>
    <x v="2"/>
    <s v="Non-significant benchmark"/>
    <n v="0"/>
    <n v="0"/>
    <n v="0"/>
    <n v="0"/>
    <n v="0"/>
    <n v="0"/>
    <x v="0"/>
    <x v="1"/>
    <s v=""/>
    <s v=""/>
    <s v="DEUP"/>
  </r>
  <r>
    <x v="1171"/>
    <x v="191"/>
    <s v="NLIX00001619"/>
    <x v="0"/>
    <s v="International"/>
    <x v="0"/>
    <s v="DEUN"/>
    <x v="2"/>
    <s v="Non-significant benchmark"/>
    <n v="0"/>
    <n v="0"/>
    <n v="0"/>
    <n v="0"/>
    <n v="0"/>
    <n v="0"/>
    <x v="0"/>
    <x v="1"/>
    <s v=""/>
    <s v=""/>
    <s v="DEUP"/>
  </r>
  <r>
    <x v="1172"/>
    <x v="192"/>
    <s v="NLIX00001635"/>
    <x v="0"/>
    <s v="International"/>
    <x v="0"/>
    <s v="DEZP"/>
    <x v="2"/>
    <s v="Non-significant benchmark"/>
    <n v="0"/>
    <n v="0"/>
    <n v="0"/>
    <n v="0"/>
    <n v="0"/>
    <n v="0"/>
    <x v="0"/>
    <x v="1"/>
    <s v=""/>
    <s v=""/>
    <s v="DEZP"/>
  </r>
  <r>
    <x v="1173"/>
    <x v="192"/>
    <s v="NLIX00001650"/>
    <x v="0"/>
    <s v="International"/>
    <x v="0"/>
    <s v="DEZG"/>
    <x v="2"/>
    <s v="Non-significant benchmark"/>
    <n v="0"/>
    <n v="0"/>
    <n v="0"/>
    <n v="0"/>
    <n v="0"/>
    <n v="0"/>
    <x v="0"/>
    <x v="1"/>
    <s v=""/>
    <s v=""/>
    <s v="DEZP"/>
  </r>
  <r>
    <x v="1174"/>
    <x v="192"/>
    <s v="NLIX00001643"/>
    <x v="0"/>
    <s v="International"/>
    <x v="0"/>
    <s v="DEZN"/>
    <x v="2"/>
    <s v="Non-significant benchmark"/>
    <n v="0"/>
    <n v="0"/>
    <n v="0"/>
    <n v="0"/>
    <n v="0"/>
    <n v="0"/>
    <x v="0"/>
    <x v="1"/>
    <s v=""/>
    <s v=""/>
    <s v="DEZP"/>
  </r>
  <r>
    <x v="1175"/>
    <x v="193"/>
    <s v="NLIX00001668"/>
    <x v="0"/>
    <s v="International"/>
    <x v="0"/>
    <s v="DNAP"/>
    <x v="2"/>
    <s v="Non-significant benchmark"/>
    <n v="0"/>
    <n v="0"/>
    <n v="0"/>
    <n v="0"/>
    <n v="0"/>
    <n v="0"/>
    <x v="0"/>
    <x v="1"/>
    <s v=""/>
    <s v=""/>
    <s v="DNAP"/>
  </r>
  <r>
    <x v="1176"/>
    <x v="193"/>
    <s v="NLIX00001684"/>
    <x v="0"/>
    <s v="International"/>
    <x v="0"/>
    <s v="DNAG"/>
    <x v="2"/>
    <s v="Non-significant benchmark"/>
    <n v="0"/>
    <n v="0"/>
    <n v="0"/>
    <n v="0"/>
    <n v="0"/>
    <n v="0"/>
    <x v="0"/>
    <x v="1"/>
    <s v=""/>
    <s v=""/>
    <s v="DNAP"/>
  </r>
  <r>
    <x v="1177"/>
    <x v="193"/>
    <s v="NLIX00001676"/>
    <x v="0"/>
    <s v="International"/>
    <x v="0"/>
    <s v="DNAN"/>
    <x v="2"/>
    <s v="Non-significant benchmark"/>
    <n v="0"/>
    <n v="0"/>
    <n v="0"/>
    <n v="0"/>
    <n v="0"/>
    <n v="0"/>
    <x v="0"/>
    <x v="1"/>
    <s v=""/>
    <s v=""/>
    <s v="DNAP"/>
  </r>
  <r>
    <x v="1178"/>
    <x v="194"/>
    <s v="NLIX00001759"/>
    <x v="0"/>
    <s v="International"/>
    <x v="0"/>
    <s v="DPAP"/>
    <x v="2"/>
    <s v="Non-significant benchmark"/>
    <n v="0"/>
    <n v="0"/>
    <n v="0"/>
    <n v="0"/>
    <n v="0"/>
    <n v="0"/>
    <x v="0"/>
    <x v="1"/>
    <s v=""/>
    <s v=""/>
    <s v="DPAP"/>
  </r>
  <r>
    <x v="1179"/>
    <x v="194"/>
    <s v="NLIX00001775"/>
    <x v="0"/>
    <s v="International"/>
    <x v="0"/>
    <s v="DPAG"/>
    <x v="2"/>
    <s v="Non-significant benchmark"/>
    <n v="0"/>
    <n v="0"/>
    <n v="0"/>
    <n v="0"/>
    <n v="0"/>
    <n v="0"/>
    <x v="0"/>
    <x v="1"/>
    <s v=""/>
    <s v=""/>
    <s v="DPAP"/>
  </r>
  <r>
    <x v="1180"/>
    <x v="194"/>
    <s v="NLIX00001767"/>
    <x v="0"/>
    <s v="International"/>
    <x v="0"/>
    <s v="DPAN"/>
    <x v="2"/>
    <s v="Non-significant benchmark"/>
    <n v="0"/>
    <n v="0"/>
    <n v="0"/>
    <n v="0"/>
    <n v="0"/>
    <n v="0"/>
    <x v="0"/>
    <x v="1"/>
    <s v=""/>
    <s v=""/>
    <s v="DPAP"/>
  </r>
  <r>
    <x v="1181"/>
    <x v="195"/>
    <s v="NLIX00001593"/>
    <x v="0"/>
    <s v="International"/>
    <x v="0"/>
    <s v="EDWG"/>
    <x v="2"/>
    <s v="Non-significant benchmark"/>
    <n v="0"/>
    <n v="0"/>
    <n v="0"/>
    <n v="0"/>
    <n v="0"/>
    <n v="0"/>
    <x v="0"/>
    <x v="1"/>
    <s v=""/>
    <s v=""/>
    <s v="EDWP"/>
  </r>
  <r>
    <x v="1182"/>
    <x v="195"/>
    <s v="NLIX00001585"/>
    <x v="0"/>
    <s v="International"/>
    <x v="0"/>
    <s v="EDWN"/>
    <x v="2"/>
    <s v="Non-significant benchmark"/>
    <n v="0"/>
    <n v="0"/>
    <n v="0"/>
    <n v="0"/>
    <n v="0"/>
    <n v="0"/>
    <x v="0"/>
    <x v="1"/>
    <s v=""/>
    <s v=""/>
    <s v="EDWP"/>
  </r>
  <r>
    <x v="1183"/>
    <x v="195"/>
    <s v="NLIX00001577"/>
    <x v="0"/>
    <s v="International"/>
    <x v="0"/>
    <s v="EDWP"/>
    <x v="2"/>
    <s v="Non-significant benchmark"/>
    <n v="0"/>
    <n v="0"/>
    <n v="0"/>
    <n v="0"/>
    <n v="0"/>
    <n v="0"/>
    <x v="0"/>
    <x v="1"/>
    <s v=""/>
    <s v=""/>
    <s v="EDWP"/>
  </r>
  <r>
    <x v="1184"/>
    <x v="196"/>
    <s v="NLESG0000048"/>
    <x v="1"/>
    <s v="Broad ESG"/>
    <x v="1"/>
    <s v="EDWEP"/>
    <x v="2"/>
    <s v="Non-significant benchmark"/>
    <n v="0"/>
    <n v="0"/>
    <n v="0"/>
    <n v="0"/>
    <n v="0"/>
    <n v="0"/>
    <x v="0"/>
    <x v="1"/>
    <s v=""/>
    <s v=""/>
    <s v="EDWEP"/>
  </r>
  <r>
    <x v="1185"/>
    <x v="196"/>
    <s v="NLESG0000063"/>
    <x v="1"/>
    <s v="Broad ESG"/>
    <x v="1"/>
    <s v="EDWEG"/>
    <x v="2"/>
    <s v="Non-significant benchmark"/>
    <n v="0"/>
    <n v="0"/>
    <n v="0"/>
    <n v="0"/>
    <n v="0"/>
    <n v="0"/>
    <x v="0"/>
    <x v="1"/>
    <s v=""/>
    <s v=""/>
    <s v="EDWEP"/>
  </r>
  <r>
    <x v="1186"/>
    <x v="196"/>
    <s v="NLESG0000055"/>
    <x v="1"/>
    <s v="Broad ESG"/>
    <x v="1"/>
    <s v="EDWEN"/>
    <x v="2"/>
    <s v="Non-significant benchmark"/>
    <n v="0"/>
    <n v="0"/>
    <n v="0"/>
    <n v="0"/>
    <n v="0"/>
    <n v="0"/>
    <x v="0"/>
    <x v="1"/>
    <s v=""/>
    <s v=""/>
    <s v="EDWEP"/>
  </r>
  <r>
    <x v="1187"/>
    <x v="197"/>
    <s v="NLIX00002336"/>
    <x v="0"/>
    <s v="International"/>
    <x v="0"/>
    <s v="ENEZ5"/>
    <x v="2"/>
    <s v="Non-significant benchmark"/>
    <n v="0"/>
    <n v="0"/>
    <n v="0"/>
    <n v="0"/>
    <n v="0"/>
    <n v="0"/>
    <x v="0"/>
    <x v="1"/>
    <s v=""/>
    <s v=""/>
    <s v="ENEZ5"/>
  </r>
  <r>
    <x v="1188"/>
    <x v="183"/>
    <s v="FRESG0001510"/>
    <x v="1"/>
    <s v="Climate;Environmental"/>
    <x v="1"/>
    <s v="FCLS5"/>
    <x v="2"/>
    <s v="Non-significant benchmark"/>
    <n v="0"/>
    <n v="0"/>
    <n v="0"/>
    <n v="0"/>
    <n v="0"/>
    <n v="0"/>
    <x v="0"/>
    <x v="1"/>
    <s v=""/>
    <s v=""/>
    <s v="FCLSP"/>
  </r>
  <r>
    <x v="1189"/>
    <x v="102"/>
    <s v="FRESG0001528"/>
    <x v="1"/>
    <s v="Broad ESG"/>
    <x v="1"/>
    <s v="GHCER"/>
    <x v="2"/>
    <s v="Non-significant benchmark"/>
    <n v="0"/>
    <n v="0"/>
    <n v="0"/>
    <n v="0"/>
    <n v="0"/>
    <n v="0"/>
    <x v="0"/>
    <x v="1"/>
    <s v=""/>
    <s v=""/>
    <s v="GHCPR"/>
  </r>
  <r>
    <x v="1190"/>
    <x v="198"/>
    <s v="FRCLIM000189"/>
    <x v="1"/>
    <s v="Climate;Environmental"/>
    <x v="1"/>
    <s v="GSCDP"/>
    <x v="2"/>
    <s v="Non-significant benchmark"/>
    <n v="0"/>
    <n v="0"/>
    <n v="0"/>
    <n v="0"/>
    <n v="0"/>
    <n v="0"/>
    <x v="0"/>
    <x v="1"/>
    <s v=""/>
    <s v=""/>
    <s v="GSCDP"/>
  </r>
  <r>
    <x v="1191"/>
    <x v="198"/>
    <s v="FRCLIM000197"/>
    <x v="2"/>
    <s v="Climate;Environmental"/>
    <x v="1"/>
    <s v="GSCDG"/>
    <x v="2"/>
    <s v="Non-significant benchmark"/>
    <n v="0"/>
    <n v="0"/>
    <n v="0"/>
    <n v="0"/>
    <n v="0"/>
    <n v="0"/>
    <x v="0"/>
    <x v="1"/>
    <s v=""/>
    <s v=""/>
    <s v="GSCDP"/>
  </r>
  <r>
    <x v="1192"/>
    <x v="199"/>
    <s v="NLIX00001817"/>
    <x v="0"/>
    <s v="Country"/>
    <x v="0"/>
    <s v="EJPP"/>
    <x v="2"/>
    <s v="Non-significant benchmark"/>
    <n v="0"/>
    <n v="0"/>
    <n v="0"/>
    <n v="0"/>
    <n v="0"/>
    <n v="0"/>
    <x v="0"/>
    <x v="1"/>
    <s v=""/>
    <s v=""/>
    <s v="EJPP"/>
  </r>
  <r>
    <x v="1193"/>
    <x v="199"/>
    <s v="NLIX00001833"/>
    <x v="0"/>
    <s v="Country"/>
    <x v="0"/>
    <s v="EJPG"/>
    <x v="2"/>
    <s v="Non-significant benchmark"/>
    <n v="0"/>
    <n v="0"/>
    <n v="0"/>
    <n v="0"/>
    <n v="0"/>
    <n v="0"/>
    <x v="0"/>
    <x v="1"/>
    <s v=""/>
    <s v=""/>
    <s v="EJPP"/>
  </r>
  <r>
    <x v="1194"/>
    <x v="199"/>
    <s v="NLIX00001825"/>
    <x v="0"/>
    <s v="Country"/>
    <x v="0"/>
    <s v="EJPN"/>
    <x v="2"/>
    <s v="Non-significant benchmark"/>
    <n v="0"/>
    <n v="0"/>
    <n v="0"/>
    <n v="0"/>
    <n v="0"/>
    <n v="0"/>
    <x v="0"/>
    <x v="1"/>
    <s v=""/>
    <s v=""/>
    <s v="EJPP"/>
  </r>
  <r>
    <x v="1195"/>
    <x v="120"/>
    <s v="FRIX00002322"/>
    <x v="0"/>
    <s v="Single Stock"/>
    <x v="0"/>
    <s v="SGED3"/>
    <x v="2"/>
    <s v="Non-significant benchmark"/>
    <n v="2098447"/>
    <n v="30000000"/>
    <n v="4862998.0608000001"/>
    <n v="0"/>
    <n v="0"/>
    <n v="0"/>
    <x v="54"/>
    <x v="1"/>
    <s v=""/>
    <s v=""/>
    <n v="0"/>
  </r>
  <r>
    <x v="1196"/>
    <x v="120"/>
    <s v="FRIX00002314"/>
    <x v="0"/>
    <s v="Single Stock"/>
    <x v="0"/>
    <s v="SGEG3"/>
    <x v="2"/>
    <s v="Non-significant benchmark"/>
    <n v="0"/>
    <n v="0"/>
    <n v="0"/>
    <n v="0"/>
    <n v="0"/>
    <n v="0"/>
    <x v="0"/>
    <x v="1"/>
    <s v=""/>
    <s v=""/>
    <n v="0"/>
  </r>
  <r>
    <x v="1197"/>
    <x v="120"/>
    <s v="FRIX00002306"/>
    <x v="0"/>
    <s v="Single Stock"/>
    <x v="0"/>
    <s v="SGEP3"/>
    <x v="2"/>
    <s v="Non-significant benchmark"/>
    <n v="0"/>
    <n v="0"/>
    <n v="0"/>
    <n v="0"/>
    <n v="0"/>
    <n v="0"/>
    <x v="0"/>
    <x v="1"/>
    <s v=""/>
    <s v=""/>
    <n v="0"/>
  </r>
  <r>
    <x v="1198"/>
    <x v="120"/>
    <s v="FRIX00002363"/>
    <x v="0"/>
    <s v="Single Stock"/>
    <x v="0"/>
    <s v="SGSAN"/>
    <x v="2"/>
    <s v="Non-significant benchmark"/>
    <n v="0"/>
    <n v="30000000"/>
    <n v="4881418.5080000004"/>
    <n v="0"/>
    <n v="0"/>
    <n v="0"/>
    <x v="71"/>
    <x v="1"/>
    <s v=""/>
    <s v=""/>
    <n v="0"/>
  </r>
  <r>
    <x v="1199"/>
    <x v="120"/>
    <s v="FRIX00002355"/>
    <x v="0"/>
    <s v="Single Stock"/>
    <x v="0"/>
    <s v="SGSAG"/>
    <x v="2"/>
    <s v="Non-significant benchmark"/>
    <n v="0"/>
    <n v="0"/>
    <n v="0"/>
    <n v="0"/>
    <n v="0"/>
    <n v="0"/>
    <x v="0"/>
    <x v="1"/>
    <s v=""/>
    <s v=""/>
    <n v="0"/>
  </r>
  <r>
    <x v="1200"/>
    <x v="120"/>
    <s v="FRIX00002348"/>
    <x v="0"/>
    <s v="Single Stock"/>
    <x v="0"/>
    <s v="SGSAP"/>
    <x v="2"/>
    <s v="Non-significant benchmark"/>
    <n v="0"/>
    <n v="0"/>
    <n v="0"/>
    <n v="0"/>
    <n v="0"/>
    <n v="0"/>
    <x v="0"/>
    <x v="1"/>
    <s v=""/>
    <s v=""/>
    <n v="0"/>
  </r>
  <r>
    <x v="1201"/>
    <x v="120"/>
    <s v="FRIX00002397"/>
    <x v="0"/>
    <s v="Single Stock"/>
    <x v="0"/>
    <s v="SGG2D"/>
    <x v="2"/>
    <s v="Non-significant benchmark"/>
    <n v="10394010.9"/>
    <n v="120000000"/>
    <n v="19884872.7524"/>
    <n v="0"/>
    <n v="0"/>
    <n v="0"/>
    <x v="175"/>
    <x v="1"/>
    <s v=""/>
    <s v=""/>
    <n v="0"/>
  </r>
  <r>
    <x v="1202"/>
    <x v="120"/>
    <s v="FRIX00002389"/>
    <x v="0"/>
    <s v="Single Stock"/>
    <x v="0"/>
    <s v="SGG2G"/>
    <x v="2"/>
    <s v="Non-significant benchmark"/>
    <n v="0"/>
    <n v="0"/>
    <n v="0"/>
    <n v="0"/>
    <n v="0"/>
    <n v="0"/>
    <x v="0"/>
    <x v="1"/>
    <s v=""/>
    <s v=""/>
    <n v="0"/>
  </r>
  <r>
    <x v="1203"/>
    <x v="120"/>
    <s v="FRIX00002371"/>
    <x v="0"/>
    <s v="Single Stock"/>
    <x v="0"/>
    <s v="SGG2P"/>
    <x v="2"/>
    <s v="Non-significant benchmark"/>
    <n v="0"/>
    <n v="0"/>
    <n v="0"/>
    <n v="0"/>
    <n v="0"/>
    <n v="0"/>
    <x v="0"/>
    <x v="1"/>
    <s v=""/>
    <s v=""/>
    <n v="0"/>
  </r>
  <r>
    <x v="1204"/>
    <x v="200"/>
    <s v="NLIX00001841"/>
    <x v="0"/>
    <s v="Country"/>
    <x v="0"/>
    <s v="ECHP"/>
    <x v="2"/>
    <s v="Non-significant benchmark"/>
    <n v="0"/>
    <n v="0"/>
    <n v="0"/>
    <n v="0"/>
    <n v="0"/>
    <n v="0"/>
    <x v="0"/>
    <x v="1"/>
    <s v=""/>
    <s v=""/>
    <s v="ECHP"/>
  </r>
  <r>
    <x v="1205"/>
    <x v="200"/>
    <s v="NLIX00001866"/>
    <x v="0"/>
    <s v="Country"/>
    <x v="0"/>
    <s v="ECHG"/>
    <x v="2"/>
    <s v="Non-significant benchmark"/>
    <n v="0"/>
    <n v="0"/>
    <n v="0"/>
    <n v="0"/>
    <n v="0"/>
    <n v="0"/>
    <x v="0"/>
    <x v="1"/>
    <s v=""/>
    <s v=""/>
    <s v="ECHP"/>
  </r>
  <r>
    <x v="1206"/>
    <x v="200"/>
    <s v="NLIX00001858"/>
    <x v="0"/>
    <s v="Country"/>
    <x v="0"/>
    <s v="ECHN"/>
    <x v="2"/>
    <s v="Non-significant benchmark"/>
    <n v="0"/>
    <n v="0"/>
    <n v="0"/>
    <n v="0"/>
    <n v="0"/>
    <n v="0"/>
    <x v="0"/>
    <x v="1"/>
    <s v=""/>
    <s v=""/>
    <s v="ECHP"/>
  </r>
  <r>
    <x v="1207"/>
    <x v="201"/>
    <s v="NLIX00001908"/>
    <x v="0"/>
    <s v="Country"/>
    <x v="0"/>
    <s v="EUKP"/>
    <x v="2"/>
    <s v="Non-significant benchmark"/>
    <n v="0"/>
    <n v="0"/>
    <n v="0"/>
    <n v="0"/>
    <n v="0"/>
    <n v="0"/>
    <x v="0"/>
    <x v="1"/>
    <s v=""/>
    <s v=""/>
    <s v="EUKP"/>
  </r>
  <r>
    <x v="1208"/>
    <x v="201"/>
    <s v="NLIX00001924"/>
    <x v="0"/>
    <s v="Country"/>
    <x v="0"/>
    <s v="EUKG"/>
    <x v="2"/>
    <s v="Non-significant benchmark"/>
    <n v="0"/>
    <n v="0"/>
    <n v="0"/>
    <n v="0"/>
    <n v="0"/>
    <n v="0"/>
    <x v="0"/>
    <x v="1"/>
    <s v=""/>
    <s v=""/>
    <s v="EUKP"/>
  </r>
  <r>
    <x v="1209"/>
    <x v="201"/>
    <s v="NLIX00001916"/>
    <x v="0"/>
    <s v="Country"/>
    <x v="0"/>
    <s v="EUKN"/>
    <x v="2"/>
    <s v="Non-significant benchmark"/>
    <n v="0"/>
    <n v="0"/>
    <n v="0"/>
    <n v="0"/>
    <n v="0"/>
    <n v="0"/>
    <x v="0"/>
    <x v="1"/>
    <s v=""/>
    <s v=""/>
    <s v="EUKP"/>
  </r>
  <r>
    <x v="1210"/>
    <x v="202"/>
    <s v="NLIX00001783"/>
    <x v="0"/>
    <s v="Country"/>
    <x v="0"/>
    <s v="EUSP"/>
    <x v="2"/>
    <s v="Non-significant benchmark"/>
    <n v="0"/>
    <n v="0"/>
    <n v="0"/>
    <n v="0"/>
    <n v="0"/>
    <n v="0"/>
    <x v="0"/>
    <x v="1"/>
    <s v=""/>
    <s v=""/>
    <s v="EUSP"/>
  </r>
  <r>
    <x v="1211"/>
    <x v="202"/>
    <s v="NLIX00001809"/>
    <x v="0"/>
    <s v="Country"/>
    <x v="0"/>
    <s v="EUSG"/>
    <x v="2"/>
    <s v="Non-significant benchmark"/>
    <n v="0"/>
    <n v="0"/>
    <n v="0"/>
    <n v="0"/>
    <n v="0"/>
    <n v="0"/>
    <x v="0"/>
    <x v="1"/>
    <s v=""/>
    <s v=""/>
    <s v="EUSP"/>
  </r>
  <r>
    <x v="1212"/>
    <x v="202"/>
    <s v="NLIX00001791"/>
    <x v="0"/>
    <s v="Country"/>
    <x v="0"/>
    <s v="EUSN"/>
    <x v="2"/>
    <s v="Non-significant benchmark"/>
    <n v="0"/>
    <n v="0"/>
    <n v="0"/>
    <n v="0"/>
    <n v="0"/>
    <n v="0"/>
    <x v="0"/>
    <x v="1"/>
    <s v=""/>
    <s v=""/>
    <s v="EUSP"/>
  </r>
  <r>
    <x v="1213"/>
    <x v="203"/>
    <s v="NLIX00003086"/>
    <x v="0"/>
    <s v="Industry"/>
    <x v="0"/>
    <s v="AERDP"/>
    <x v="0"/>
    <s v="Non-significant benchmark"/>
    <n v="0"/>
    <n v="0"/>
    <n v="0"/>
    <n v="0"/>
    <n v="0"/>
    <n v="0"/>
    <x v="0"/>
    <x v="1"/>
    <s v=""/>
    <s v=""/>
    <s v="AERDP"/>
  </r>
  <r>
    <x v="1214"/>
    <x v="203"/>
    <s v="NLIX00003110"/>
    <x v="0"/>
    <s v="Industry"/>
    <x v="0"/>
    <s v="ARD35"/>
    <x v="0"/>
    <s v="Non-significant benchmark"/>
    <n v="0"/>
    <n v="0"/>
    <n v="0"/>
    <n v="0"/>
    <n v="0"/>
    <n v="0"/>
    <x v="0"/>
    <x v="1"/>
    <s v=""/>
    <s v=""/>
    <s v="AERDP"/>
  </r>
  <r>
    <x v="1215"/>
    <x v="203"/>
    <s v="NLIX00003128"/>
    <x v="0"/>
    <s v="Industry"/>
    <x v="0"/>
    <s v="AERD5"/>
    <x v="0"/>
    <s v="Non-significant benchmark"/>
    <n v="0"/>
    <n v="0"/>
    <n v="0"/>
    <n v="0"/>
    <n v="0"/>
    <n v="0"/>
    <x v="0"/>
    <x v="1"/>
    <s v=""/>
    <s v=""/>
    <s v="AERDP"/>
  </r>
  <r>
    <x v="1216"/>
    <x v="203"/>
    <s v="NLIX00003094"/>
    <x v="0"/>
    <s v="Industry"/>
    <x v="0"/>
    <s v="AERDG"/>
    <x v="0"/>
    <s v="Non-significant benchmark"/>
    <n v="0"/>
    <n v="0"/>
    <n v="0"/>
    <n v="0"/>
    <n v="0"/>
    <n v="0"/>
    <x v="0"/>
    <x v="1"/>
    <s v=""/>
    <s v=""/>
    <s v="AERDP"/>
  </r>
  <r>
    <x v="1217"/>
    <x v="203"/>
    <s v="NLIX00003102"/>
    <x v="0"/>
    <s v="Industry"/>
    <x v="0"/>
    <s v="AERDN"/>
    <x v="0"/>
    <s v="Non-significant benchmark"/>
    <n v="0"/>
    <n v="0"/>
    <n v="0"/>
    <n v="0"/>
    <n v="0"/>
    <n v="0"/>
    <x v="0"/>
    <x v="1"/>
    <s v=""/>
    <s v=""/>
    <s v="AERDP"/>
  </r>
  <r>
    <x v="1218"/>
    <x v="204"/>
    <s v="FRESG0002583"/>
    <x v="1"/>
    <s v="Biodiversity;Climate;PAB"/>
    <x v="0"/>
    <s v="BIOCP"/>
    <x v="2"/>
    <s v="Non-significant benchmark"/>
    <n v="0"/>
    <n v="0"/>
    <n v="0"/>
    <n v="0"/>
    <n v="0"/>
    <n v="0"/>
    <x v="0"/>
    <x v="1"/>
    <s v=""/>
    <s v=""/>
    <s v="BIOCP"/>
  </r>
  <r>
    <x v="1219"/>
    <x v="204"/>
    <s v="FRESG0002617"/>
    <x v="1"/>
    <s v="Biodiversity;Climate;PAB"/>
    <x v="0"/>
    <s v="BIOC3"/>
    <x v="2"/>
    <s v="Non-significant benchmark"/>
    <n v="0"/>
    <n v="0"/>
    <n v="0"/>
    <n v="0"/>
    <n v="0"/>
    <n v="0"/>
    <x v="0"/>
    <x v="1"/>
    <s v=""/>
    <s v=""/>
    <s v="BIOCP"/>
  </r>
  <r>
    <x v="1220"/>
    <x v="204"/>
    <s v="FRESG0002765"/>
    <x v="1"/>
    <s v="Biodiversity;Climate;PAB"/>
    <x v="0"/>
    <s v="BIOC5"/>
    <x v="2"/>
    <s v="Non-significant benchmark"/>
    <n v="0"/>
    <n v="0"/>
    <n v="0"/>
    <n v="0"/>
    <n v="0"/>
    <n v="0"/>
    <x v="0"/>
    <x v="1"/>
    <s v=""/>
    <s v=""/>
    <s v="BIOCP"/>
  </r>
  <r>
    <x v="1221"/>
    <x v="204"/>
    <s v="FRESG0002609"/>
    <x v="1"/>
    <s v="Biodiversity;Climate;PAB"/>
    <x v="0"/>
    <s v="BIOCG"/>
    <x v="2"/>
    <s v="Non-significant benchmark"/>
    <n v="0"/>
    <n v="0"/>
    <n v="0"/>
    <n v="0"/>
    <n v="0"/>
    <n v="0"/>
    <x v="0"/>
    <x v="1"/>
    <s v=""/>
    <s v=""/>
    <s v="BIOCP"/>
  </r>
  <r>
    <x v="1222"/>
    <x v="204"/>
    <s v="FRESG0002591"/>
    <x v="1"/>
    <s v="Biodiversity;Climate;PAB"/>
    <x v="0"/>
    <s v="BIOCN"/>
    <x v="2"/>
    <s v="Non-significant benchmark"/>
    <n v="0"/>
    <n v="0"/>
    <n v="0"/>
    <n v="0"/>
    <n v="0"/>
    <n v="0"/>
    <x v="0"/>
    <x v="1"/>
    <s v=""/>
    <s v=""/>
    <s v="BIOCP"/>
  </r>
  <r>
    <x v="1223"/>
    <x v="205"/>
    <s v="NLIX00002252"/>
    <x v="0"/>
    <s v="Country"/>
    <x v="0"/>
    <s v="CANGT"/>
    <x v="0"/>
    <s v="Non-significant benchmark"/>
    <n v="0"/>
    <n v="0"/>
    <n v="0"/>
    <n v="0"/>
    <n v="0"/>
    <n v="0"/>
    <x v="0"/>
    <x v="1"/>
    <s v=""/>
    <s v=""/>
    <s v="CANPT"/>
  </r>
  <r>
    <x v="1224"/>
    <x v="205"/>
    <s v="NLIX00002245"/>
    <x v="0"/>
    <s v="Country"/>
    <x v="0"/>
    <s v="CANNT"/>
    <x v="0"/>
    <s v="Non-significant benchmark"/>
    <n v="0"/>
    <n v="0"/>
    <n v="0"/>
    <n v="0"/>
    <n v="0"/>
    <n v="0"/>
    <x v="0"/>
    <x v="1"/>
    <s v=""/>
    <s v=""/>
    <s v="CANPT"/>
  </r>
  <r>
    <x v="1225"/>
    <x v="205"/>
    <s v="NLIX00002237"/>
    <x v="0"/>
    <s v="Country"/>
    <x v="0"/>
    <s v="CANPT"/>
    <x v="0"/>
    <s v="Non-significant benchmark"/>
    <n v="0"/>
    <n v="0"/>
    <n v="0"/>
    <n v="0"/>
    <n v="0"/>
    <n v="0"/>
    <x v="0"/>
    <x v="1"/>
    <s v=""/>
    <s v=""/>
    <s v="CANPT"/>
  </r>
  <r>
    <x v="1226"/>
    <x v="206"/>
    <s v="NLIX00002070"/>
    <x v="0"/>
    <s v="International"/>
    <x v="0"/>
    <s v="DAPGT"/>
    <x v="0"/>
    <s v="Non-significant benchmark"/>
    <n v="0"/>
    <n v="0"/>
    <n v="0"/>
    <n v="0"/>
    <n v="0"/>
    <n v="0"/>
    <x v="0"/>
    <x v="1"/>
    <s v=""/>
    <s v=""/>
    <s v="DAPPT"/>
  </r>
  <r>
    <x v="1227"/>
    <x v="206"/>
    <s v="NLIX00002062"/>
    <x v="0"/>
    <s v="International"/>
    <x v="0"/>
    <s v="DAPNT"/>
    <x v="0"/>
    <s v="Non-significant benchmark"/>
    <n v="0"/>
    <n v="0"/>
    <n v="0"/>
    <n v="0"/>
    <n v="0"/>
    <n v="0"/>
    <x v="0"/>
    <x v="1"/>
    <s v=""/>
    <s v=""/>
    <s v="DAPPT"/>
  </r>
  <r>
    <x v="1228"/>
    <x v="206"/>
    <s v="NLIX00002054"/>
    <x v="0"/>
    <s v="International"/>
    <x v="0"/>
    <s v="DAPPT"/>
    <x v="0"/>
    <s v="Non-significant benchmark"/>
    <n v="0"/>
    <n v="0"/>
    <n v="0"/>
    <n v="0"/>
    <n v="0"/>
    <n v="0"/>
    <x v="0"/>
    <x v="1"/>
    <s v=""/>
    <s v=""/>
    <s v="DAPPT"/>
  </r>
  <r>
    <x v="1229"/>
    <x v="207"/>
    <s v="NLIX00002104"/>
    <x v="0"/>
    <s v="International"/>
    <x v="0"/>
    <s v="DASGT"/>
    <x v="0"/>
    <s v="Non-significant benchmark"/>
    <n v="0"/>
    <n v="0"/>
    <n v="0"/>
    <n v="0"/>
    <n v="0"/>
    <n v="0"/>
    <x v="0"/>
    <x v="1"/>
    <s v=""/>
    <s v=""/>
    <s v="DASPT"/>
  </r>
  <r>
    <x v="1230"/>
    <x v="207"/>
    <s v="NLIX00002096"/>
    <x v="0"/>
    <s v="International"/>
    <x v="0"/>
    <s v="DASNT"/>
    <x v="0"/>
    <s v="Non-significant benchmark"/>
    <n v="0"/>
    <n v="0"/>
    <n v="0"/>
    <n v="0"/>
    <n v="0"/>
    <n v="0"/>
    <x v="0"/>
    <x v="1"/>
    <s v=""/>
    <s v=""/>
    <s v="DASPT"/>
  </r>
  <r>
    <x v="1231"/>
    <x v="207"/>
    <s v="NLIX00002088"/>
    <x v="0"/>
    <s v="International"/>
    <x v="0"/>
    <s v="DASPT"/>
    <x v="0"/>
    <s v="Non-significant benchmark"/>
    <n v="0"/>
    <n v="0"/>
    <n v="0"/>
    <n v="0"/>
    <n v="0"/>
    <n v="0"/>
    <x v="0"/>
    <x v="1"/>
    <s v=""/>
    <s v=""/>
    <s v="DASPT"/>
  </r>
  <r>
    <x v="1232"/>
    <x v="208"/>
    <s v="NLIX00001981"/>
    <x v="0"/>
    <s v="International"/>
    <x v="0"/>
    <s v="DEUGT"/>
    <x v="0"/>
    <s v="Non-significant benchmark"/>
    <n v="0"/>
    <n v="0"/>
    <n v="0"/>
    <n v="0"/>
    <n v="0"/>
    <n v="0"/>
    <x v="0"/>
    <x v="1"/>
    <s v=""/>
    <s v=""/>
    <s v="DEUPT"/>
  </r>
  <r>
    <x v="1233"/>
    <x v="208"/>
    <s v="NLIX00001973"/>
    <x v="0"/>
    <s v="International"/>
    <x v="0"/>
    <s v="DEUNT"/>
    <x v="0"/>
    <s v="Non-significant benchmark"/>
    <n v="0"/>
    <n v="0"/>
    <n v="0"/>
    <n v="0"/>
    <n v="0"/>
    <n v="0"/>
    <x v="0"/>
    <x v="1"/>
    <s v=""/>
    <s v=""/>
    <s v="DEUPT"/>
  </r>
  <r>
    <x v="1234"/>
    <x v="208"/>
    <s v="NLIX00001965"/>
    <x v="0"/>
    <s v="International"/>
    <x v="0"/>
    <s v="DEUPT"/>
    <x v="0"/>
    <s v="Non-significant benchmark"/>
    <n v="0"/>
    <n v="0"/>
    <n v="0"/>
    <n v="0"/>
    <n v="0"/>
    <n v="0"/>
    <x v="0"/>
    <x v="1"/>
    <s v=""/>
    <s v=""/>
    <s v="DEUPT"/>
  </r>
  <r>
    <x v="1235"/>
    <x v="209"/>
    <s v="NLIX00002013"/>
    <x v="0"/>
    <s v="International"/>
    <x v="0"/>
    <s v="DEZGT"/>
    <x v="0"/>
    <s v="Non-significant benchmark"/>
    <n v="0"/>
    <n v="0"/>
    <n v="0"/>
    <n v="0"/>
    <n v="0"/>
    <n v="0"/>
    <x v="0"/>
    <x v="1"/>
    <s v=""/>
    <s v=""/>
    <s v="DEZPT"/>
  </r>
  <r>
    <x v="1236"/>
    <x v="209"/>
    <s v="NLIX00002005"/>
    <x v="0"/>
    <s v="International"/>
    <x v="0"/>
    <s v="DEZNT"/>
    <x v="0"/>
    <s v="Non-significant benchmark"/>
    <n v="0"/>
    <n v="0"/>
    <n v="0"/>
    <n v="0"/>
    <n v="0"/>
    <n v="0"/>
    <x v="0"/>
    <x v="1"/>
    <s v=""/>
    <s v=""/>
    <s v="DEZPT"/>
  </r>
  <r>
    <x v="1237"/>
    <x v="209"/>
    <s v="NLIX00001999"/>
    <x v="0"/>
    <s v="International"/>
    <x v="0"/>
    <s v="DEZPT"/>
    <x v="0"/>
    <s v="Non-significant benchmark"/>
    <n v="0"/>
    <n v="0"/>
    <n v="0"/>
    <n v="0"/>
    <n v="0"/>
    <n v="0"/>
    <x v="0"/>
    <x v="1"/>
    <s v=""/>
    <s v=""/>
    <s v="DEZPT"/>
  </r>
  <r>
    <x v="1238"/>
    <x v="210"/>
    <s v="NLIX00002047"/>
    <x v="0"/>
    <s v="International"/>
    <x v="0"/>
    <s v="DNAGT"/>
    <x v="0"/>
    <s v="Non-significant benchmark"/>
    <n v="0"/>
    <n v="0"/>
    <n v="0"/>
    <n v="0"/>
    <n v="0"/>
    <n v="0"/>
    <x v="0"/>
    <x v="1"/>
    <s v=""/>
    <s v=""/>
    <s v="DNAPT"/>
  </r>
  <r>
    <x v="1239"/>
    <x v="210"/>
    <s v="NLIX00002039"/>
    <x v="0"/>
    <s v="International"/>
    <x v="0"/>
    <s v="DNANT"/>
    <x v="0"/>
    <s v="Non-significant benchmark"/>
    <n v="0"/>
    <n v="0"/>
    <n v="0"/>
    <n v="0"/>
    <n v="0"/>
    <n v="0"/>
    <x v="0"/>
    <x v="1"/>
    <s v=""/>
    <s v=""/>
    <s v="DNAPT"/>
  </r>
  <r>
    <x v="1240"/>
    <x v="210"/>
    <s v="NLIX00002021"/>
    <x v="0"/>
    <s v="International"/>
    <x v="0"/>
    <s v="DNAPT"/>
    <x v="0"/>
    <s v="Non-significant benchmark"/>
    <n v="0"/>
    <n v="0"/>
    <n v="0"/>
    <n v="0"/>
    <n v="0"/>
    <n v="0"/>
    <x v="0"/>
    <x v="1"/>
    <s v=""/>
    <s v=""/>
    <s v="DNAPT"/>
  </r>
  <r>
    <x v="1241"/>
    <x v="211"/>
    <s v="NLIX00002138"/>
    <x v="0"/>
    <s v="International"/>
    <x v="0"/>
    <s v="DPAGT"/>
    <x v="0"/>
    <s v="Non-significant benchmark"/>
    <n v="0"/>
    <n v="0"/>
    <n v="0"/>
    <n v="0"/>
    <n v="0"/>
    <n v="0"/>
    <x v="0"/>
    <x v="1"/>
    <s v=""/>
    <s v=""/>
    <s v="DPAPT"/>
  </r>
  <r>
    <x v="1242"/>
    <x v="211"/>
    <s v="NLIX00002120"/>
    <x v="0"/>
    <s v="International"/>
    <x v="0"/>
    <s v="DPANT"/>
    <x v="0"/>
    <s v="Non-significant benchmark"/>
    <n v="0"/>
    <n v="0"/>
    <n v="0"/>
    <n v="0"/>
    <n v="0"/>
    <n v="0"/>
    <x v="0"/>
    <x v="1"/>
    <s v=""/>
    <s v=""/>
    <s v="DPAPT"/>
  </r>
  <r>
    <x v="1243"/>
    <x v="211"/>
    <s v="NLIX00002112"/>
    <x v="0"/>
    <s v="International"/>
    <x v="0"/>
    <s v="DPAPT"/>
    <x v="0"/>
    <s v="Non-significant benchmark"/>
    <n v="0"/>
    <n v="0"/>
    <n v="0"/>
    <n v="0"/>
    <n v="0"/>
    <n v="0"/>
    <x v="0"/>
    <x v="1"/>
    <s v=""/>
    <s v=""/>
    <s v="DPAPT"/>
  </r>
  <r>
    <x v="1244"/>
    <x v="212"/>
    <s v="FRESG0002690"/>
    <x v="1"/>
    <s v="Biodiversity"/>
    <x v="0"/>
    <s v="TERPR"/>
    <x v="2"/>
    <s v="Non-significant benchmark"/>
    <n v="0"/>
    <n v="0"/>
    <n v="0"/>
    <n v="0"/>
    <n v="0"/>
    <n v="0"/>
    <x v="0"/>
    <x v="1"/>
    <s v=""/>
    <s v=""/>
    <s v="TERPR"/>
  </r>
  <r>
    <x v="1245"/>
    <x v="212"/>
    <s v="FRESG0002732"/>
    <x v="1"/>
    <s v="Biodiversity"/>
    <x v="0"/>
    <s v="TER35"/>
    <x v="2"/>
    <s v="Non-significant benchmark"/>
    <n v="0"/>
    <n v="0"/>
    <n v="0"/>
    <n v="0"/>
    <n v="0"/>
    <n v="0"/>
    <x v="0"/>
    <x v="1"/>
    <s v=""/>
    <s v=""/>
    <s v="TERPR"/>
  </r>
  <r>
    <x v="1246"/>
    <x v="212"/>
    <s v="FRESG0002724"/>
    <x v="1"/>
    <s v="Biodiversity"/>
    <x v="0"/>
    <s v="TER5D"/>
    <x v="2"/>
    <s v="Non-significant benchmark"/>
    <n v="0"/>
    <n v="0"/>
    <n v="0"/>
    <n v="0"/>
    <n v="0"/>
    <n v="0"/>
    <x v="0"/>
    <x v="1"/>
    <s v=""/>
    <s v=""/>
    <s v="TERPR"/>
  </r>
  <r>
    <x v="1247"/>
    <x v="212"/>
    <s v="FRESG0002716"/>
    <x v="1"/>
    <s v="Biodiversity"/>
    <x v="0"/>
    <s v="TERGR"/>
    <x v="2"/>
    <s v="Non-significant benchmark"/>
    <n v="0"/>
    <n v="0"/>
    <n v="0"/>
    <n v="0"/>
    <n v="0"/>
    <n v="0"/>
    <x v="0"/>
    <x v="1"/>
    <s v=""/>
    <s v=""/>
    <s v="TERPR"/>
  </r>
  <r>
    <x v="1248"/>
    <x v="212"/>
    <s v="FRESG0002740"/>
    <x v="1"/>
    <s v="Biodiversity"/>
    <x v="0"/>
    <s v="TER50"/>
    <x v="2"/>
    <s v="Non-significant benchmark"/>
    <n v="0"/>
    <n v="0"/>
    <n v="0"/>
    <n v="0"/>
    <n v="0"/>
    <n v="0"/>
    <x v="0"/>
    <x v="1"/>
    <s v=""/>
    <s v=""/>
    <s v="TERPR"/>
  </r>
  <r>
    <x v="1249"/>
    <x v="212"/>
    <s v="FRESG0002708"/>
    <x v="1"/>
    <s v="Biodiversity"/>
    <x v="0"/>
    <s v="TERNR"/>
    <x v="2"/>
    <s v="Non-significant benchmark"/>
    <n v="0"/>
    <n v="0"/>
    <n v="0"/>
    <n v="0"/>
    <n v="0"/>
    <n v="0"/>
    <x v="0"/>
    <x v="1"/>
    <s v=""/>
    <s v=""/>
    <s v="TERPR"/>
  </r>
  <r>
    <x v="1250"/>
    <x v="212"/>
    <s v="FRESG0002757"/>
    <x v="1"/>
    <s v="Biodiversity"/>
    <x v="0"/>
    <s v="TER5N"/>
    <x v="2"/>
    <s v="Non-significant benchmark"/>
    <n v="0"/>
    <n v="0"/>
    <n v="0"/>
    <n v="0"/>
    <n v="0"/>
    <n v="0"/>
    <x v="0"/>
    <x v="1"/>
    <s v=""/>
    <s v=""/>
    <s v="TERPR"/>
  </r>
  <r>
    <x v="1251"/>
    <x v="58"/>
    <s v="FRESG0003987"/>
    <x v="1"/>
    <s v="Biodiversity"/>
    <x v="0"/>
    <s v="EBLPD"/>
    <x v="2"/>
    <s v="Non-significant benchmark"/>
    <n v="0"/>
    <n v="0"/>
    <n v="0"/>
    <n v="0"/>
    <n v="0"/>
    <n v="0"/>
    <x v="0"/>
    <x v="1"/>
    <s v=""/>
    <s v=""/>
    <s v="EBLPP"/>
  </r>
  <r>
    <x v="1252"/>
    <x v="213"/>
    <s v="NLIX00002930"/>
    <x v="0"/>
    <s v="Thematic"/>
    <x v="0"/>
    <s v="ELUXP"/>
    <x v="0"/>
    <s v="Non-significant benchmark"/>
    <n v="0"/>
    <n v="0"/>
    <n v="0"/>
    <n v="0"/>
    <n v="0"/>
    <n v="0"/>
    <x v="0"/>
    <x v="1"/>
    <s v=""/>
    <s v=""/>
    <s v="ELUXP"/>
  </r>
  <r>
    <x v="1253"/>
    <x v="213"/>
    <s v="NLIX00002963"/>
    <x v="0"/>
    <s v="Thematic"/>
    <x v="0"/>
    <s v="ELUX3"/>
    <x v="0"/>
    <s v="Non-significant benchmark"/>
    <n v="0"/>
    <n v="0"/>
    <n v="0"/>
    <n v="0"/>
    <n v="0"/>
    <n v="0"/>
    <x v="0"/>
    <x v="1"/>
    <s v=""/>
    <s v=""/>
    <s v="ELUXP"/>
  </r>
  <r>
    <x v="1254"/>
    <x v="213"/>
    <s v="NLIX00002971"/>
    <x v="0"/>
    <s v="Thematic"/>
    <x v="0"/>
    <s v="ELUX5"/>
    <x v="0"/>
    <s v="Non-significant benchmark"/>
    <n v="0"/>
    <n v="0"/>
    <n v="0"/>
    <n v="0"/>
    <n v="0"/>
    <n v="0"/>
    <x v="0"/>
    <x v="1"/>
    <s v=""/>
    <s v=""/>
    <s v="ELUXP"/>
  </r>
  <r>
    <x v="1255"/>
    <x v="213"/>
    <s v="NLIX00002989"/>
    <x v="0"/>
    <s v="Thematic"/>
    <x v="0"/>
    <s v="ELD5P"/>
    <x v="0"/>
    <s v="Non-significant benchmark"/>
    <n v="0"/>
    <n v="0"/>
    <n v="0"/>
    <n v="0"/>
    <n v="0"/>
    <n v="0"/>
    <x v="0"/>
    <x v="1"/>
    <s v=""/>
    <s v=""/>
    <s v="ELUXP"/>
  </r>
  <r>
    <x v="1256"/>
    <x v="213"/>
    <s v="NLIX00002955"/>
    <x v="0"/>
    <s v="Thematic"/>
    <x v="0"/>
    <s v="ELUXG"/>
    <x v="0"/>
    <s v="Non-significant benchmark"/>
    <n v="0"/>
    <n v="0"/>
    <n v="0"/>
    <n v="0"/>
    <n v="0"/>
    <n v="0"/>
    <x v="0"/>
    <x v="1"/>
    <s v=""/>
    <s v=""/>
    <s v="ELUXP"/>
  </r>
  <r>
    <x v="1257"/>
    <x v="213"/>
    <s v="NLIX00002948"/>
    <x v="0"/>
    <s v="Thematic"/>
    <x v="0"/>
    <s v="ELUXN"/>
    <x v="0"/>
    <s v="Non-significant benchmark"/>
    <n v="0"/>
    <n v="0"/>
    <n v="0"/>
    <n v="0"/>
    <n v="0"/>
    <n v="0"/>
    <x v="0"/>
    <x v="1"/>
    <s v=""/>
    <s v=""/>
    <s v="ELUXP"/>
  </r>
  <r>
    <x v="1258"/>
    <x v="71"/>
    <s v="FRCLIM000247"/>
    <x v="1"/>
    <s v="Climate;PAB"/>
    <x v="0"/>
    <s v="EZ6PD"/>
    <x v="2"/>
    <s v="Non-significant benchmark"/>
    <n v="0"/>
    <n v="0"/>
    <n v="0"/>
    <n v="0"/>
    <n v="0"/>
    <n v="0"/>
    <x v="0"/>
    <x v="1"/>
    <s v=""/>
    <s v=""/>
    <s v="EZ6PP"/>
  </r>
  <r>
    <x v="1259"/>
    <x v="84"/>
    <s v="FRCLIM000239"/>
    <x v="1"/>
    <s v="PAB"/>
    <x v="0"/>
    <s v="EPABD"/>
    <x v="2"/>
    <s v="Non-significant benchmark"/>
    <n v="0"/>
    <n v="0"/>
    <n v="0"/>
    <n v="0"/>
    <n v="0"/>
    <n v="0"/>
    <x v="0"/>
    <x v="1"/>
    <s v=""/>
    <s v=""/>
    <s v="EPABP"/>
  </r>
  <r>
    <x v="1260"/>
    <x v="214"/>
    <s v="NLIX00003557"/>
    <x v="0"/>
    <s v="Thematic"/>
    <x v="0"/>
    <s v="BASMG"/>
    <x v="0"/>
    <s v="Non-significant benchmark"/>
    <n v="0"/>
    <n v="0"/>
    <n v="0"/>
    <n v="0"/>
    <n v="0"/>
    <n v="0"/>
    <x v="0"/>
    <x v="1"/>
    <s v=""/>
    <s v=""/>
    <n v="0"/>
  </r>
  <r>
    <x v="1261"/>
    <x v="214"/>
    <s v="NLIX00003540"/>
    <x v="0"/>
    <s v="Thematic"/>
    <x v="0"/>
    <s v="BASMN"/>
    <x v="0"/>
    <s v="Non-significant benchmark"/>
    <n v="0"/>
    <n v="0"/>
    <n v="0"/>
    <n v="0"/>
    <n v="0"/>
    <n v="0"/>
    <x v="0"/>
    <x v="1"/>
    <s v=""/>
    <s v=""/>
    <n v="0"/>
  </r>
  <r>
    <x v="1262"/>
    <x v="214"/>
    <s v="NLIX00003284"/>
    <x v="0"/>
    <s v="Thematic"/>
    <x v="0"/>
    <s v="BASM"/>
    <x v="0"/>
    <s v="Non-significant benchmark"/>
    <n v="0"/>
    <n v="0"/>
    <n v="0"/>
    <n v="0"/>
    <n v="0"/>
    <n v="0"/>
    <x v="0"/>
    <x v="1"/>
    <s v=""/>
    <s v=""/>
    <n v="0"/>
  </r>
  <r>
    <x v="1263"/>
    <x v="214"/>
    <s v="NLIX00003458"/>
    <x v="0"/>
    <s v="Thematic"/>
    <x v="0"/>
    <s v="CDISG"/>
    <x v="0"/>
    <s v="Non-significant benchmark"/>
    <n v="0"/>
    <n v="0"/>
    <n v="0"/>
    <n v="0"/>
    <n v="0"/>
    <n v="0"/>
    <x v="0"/>
    <x v="1"/>
    <s v=""/>
    <s v=""/>
    <n v="0"/>
  </r>
  <r>
    <x v="1264"/>
    <x v="214"/>
    <s v="NLIX00003441"/>
    <x v="0"/>
    <s v="Thematic"/>
    <x v="0"/>
    <s v="CDISN"/>
    <x v="0"/>
    <s v="Non-significant benchmark"/>
    <n v="0"/>
    <n v="0"/>
    <n v="0"/>
    <n v="0"/>
    <n v="0"/>
    <n v="0"/>
    <x v="0"/>
    <x v="1"/>
    <s v=""/>
    <s v=""/>
    <n v="0"/>
  </r>
  <r>
    <x v="1265"/>
    <x v="214"/>
    <s v="NLIX00003292"/>
    <x v="0"/>
    <s v="Thematic"/>
    <x v="0"/>
    <s v="CDIS"/>
    <x v="0"/>
    <s v="Non-significant benchmark"/>
    <n v="0"/>
    <n v="0"/>
    <n v="0"/>
    <n v="0"/>
    <n v="0"/>
    <n v="0"/>
    <x v="0"/>
    <x v="1"/>
    <s v=""/>
    <s v=""/>
    <n v="0"/>
  </r>
  <r>
    <x v="1266"/>
    <x v="214"/>
    <s v="NLIX00003433"/>
    <x v="0"/>
    <s v="Thematic"/>
    <x v="0"/>
    <s v="CSTAG"/>
    <x v="0"/>
    <s v="Non-significant benchmark"/>
    <n v="0"/>
    <n v="0"/>
    <n v="0"/>
    <n v="0"/>
    <n v="0"/>
    <n v="0"/>
    <x v="0"/>
    <x v="1"/>
    <s v=""/>
    <s v=""/>
    <n v="0"/>
  </r>
  <r>
    <x v="1267"/>
    <x v="214"/>
    <s v="NLIX00003425"/>
    <x v="0"/>
    <s v="Thematic"/>
    <x v="0"/>
    <s v="CSTAN"/>
    <x v="0"/>
    <s v="Non-significant benchmark"/>
    <n v="0"/>
    <n v="0"/>
    <n v="0"/>
    <n v="0"/>
    <n v="0"/>
    <n v="0"/>
    <x v="0"/>
    <x v="1"/>
    <s v=""/>
    <s v=""/>
    <n v="0"/>
  </r>
  <r>
    <x v="1268"/>
    <x v="214"/>
    <s v="NLIX00003300"/>
    <x v="0"/>
    <s v="Thematic"/>
    <x v="0"/>
    <s v="CSTA"/>
    <x v="0"/>
    <s v="Non-significant benchmark"/>
    <n v="0"/>
    <n v="0"/>
    <n v="0"/>
    <n v="0"/>
    <n v="0"/>
    <n v="0"/>
    <x v="0"/>
    <x v="1"/>
    <s v=""/>
    <s v=""/>
    <n v="0"/>
  </r>
  <r>
    <x v="1269"/>
    <x v="214"/>
    <s v="NLIX00003417"/>
    <x v="0"/>
    <s v="Thematic"/>
    <x v="0"/>
    <s v="ENRGG"/>
    <x v="0"/>
    <s v="Non-significant benchmark"/>
    <n v="0"/>
    <n v="0"/>
    <n v="0"/>
    <n v="0"/>
    <n v="0"/>
    <n v="0"/>
    <x v="0"/>
    <x v="1"/>
    <s v=""/>
    <s v=""/>
    <n v="0"/>
  </r>
  <r>
    <x v="1270"/>
    <x v="214"/>
    <s v="NLIX00003409"/>
    <x v="0"/>
    <s v="Thematic"/>
    <x v="0"/>
    <s v="ENRGN"/>
    <x v="0"/>
    <s v="Non-significant benchmark"/>
    <n v="0"/>
    <n v="0"/>
    <n v="0"/>
    <n v="0"/>
    <n v="0"/>
    <n v="0"/>
    <x v="0"/>
    <x v="1"/>
    <s v=""/>
    <s v=""/>
    <n v="0"/>
  </r>
  <r>
    <x v="1271"/>
    <x v="214"/>
    <s v="NLIX00003318"/>
    <x v="0"/>
    <s v="Thematic"/>
    <x v="0"/>
    <s v="ENRGP"/>
    <x v="0"/>
    <s v="Non-significant benchmark"/>
    <n v="0"/>
    <n v="0"/>
    <n v="0"/>
    <n v="0"/>
    <n v="0"/>
    <n v="0"/>
    <x v="0"/>
    <x v="1"/>
    <s v=""/>
    <s v=""/>
    <n v="0"/>
  </r>
  <r>
    <x v="1272"/>
    <x v="214"/>
    <s v="NLIX00003474"/>
    <x v="0"/>
    <s v="Thematic"/>
    <x v="0"/>
    <s v="FINAG"/>
    <x v="0"/>
    <s v="Non-significant benchmark"/>
    <n v="0"/>
    <n v="0"/>
    <n v="0"/>
    <n v="0"/>
    <n v="0"/>
    <n v="0"/>
    <x v="0"/>
    <x v="1"/>
    <s v=""/>
    <s v=""/>
    <n v="0"/>
  </r>
  <r>
    <x v="1273"/>
    <x v="214"/>
    <s v="NLIX00003466"/>
    <x v="0"/>
    <s v="Thematic"/>
    <x v="0"/>
    <s v="FINAN"/>
    <x v="0"/>
    <s v="Non-significant benchmark"/>
    <n v="0"/>
    <n v="0"/>
    <n v="0"/>
    <n v="0"/>
    <n v="0"/>
    <n v="0"/>
    <x v="0"/>
    <x v="1"/>
    <s v=""/>
    <s v=""/>
    <n v="0"/>
  </r>
  <r>
    <x v="1274"/>
    <x v="214"/>
    <s v="NLIX00003326"/>
    <x v="0"/>
    <s v="Thematic"/>
    <x v="0"/>
    <s v="FINA"/>
    <x v="0"/>
    <s v="Non-significant benchmark"/>
    <n v="0"/>
    <n v="0"/>
    <n v="0"/>
    <n v="0"/>
    <n v="0"/>
    <n v="0"/>
    <x v="0"/>
    <x v="1"/>
    <s v=""/>
    <s v=""/>
    <n v="0"/>
  </r>
  <r>
    <x v="1275"/>
    <x v="214"/>
    <s v="NLIX00003532"/>
    <x v="0"/>
    <s v="Thematic"/>
    <x v="0"/>
    <s v="HEACG"/>
    <x v="0"/>
    <s v="Non-significant benchmark"/>
    <n v="0"/>
    <n v="0"/>
    <n v="0"/>
    <n v="0"/>
    <n v="0"/>
    <n v="0"/>
    <x v="0"/>
    <x v="1"/>
    <s v=""/>
    <s v=""/>
    <n v="0"/>
  </r>
  <r>
    <x v="1276"/>
    <x v="214"/>
    <s v="NLIX00003524"/>
    <x v="0"/>
    <s v="Thematic"/>
    <x v="0"/>
    <s v="HEACN"/>
    <x v="0"/>
    <s v="Non-significant benchmark"/>
    <n v="0"/>
    <n v="0"/>
    <n v="0"/>
    <n v="0"/>
    <n v="0"/>
    <n v="0"/>
    <x v="0"/>
    <x v="1"/>
    <s v=""/>
    <s v=""/>
    <n v="0"/>
  </r>
  <r>
    <x v="1277"/>
    <x v="214"/>
    <s v="NLIX00003334"/>
    <x v="0"/>
    <s v="Thematic"/>
    <x v="0"/>
    <s v="HEAC"/>
    <x v="0"/>
    <s v="Non-significant benchmark"/>
    <n v="0"/>
    <n v="0"/>
    <n v="0"/>
    <n v="0"/>
    <n v="0"/>
    <n v="0"/>
    <x v="0"/>
    <x v="1"/>
    <s v=""/>
    <s v=""/>
    <n v="0"/>
  </r>
  <r>
    <x v="1278"/>
    <x v="214"/>
    <s v="NLIX00003490"/>
    <x v="0"/>
    <s v="Thematic"/>
    <x v="0"/>
    <s v="INDUG"/>
    <x v="0"/>
    <s v="Non-significant benchmark"/>
    <n v="0"/>
    <n v="0"/>
    <n v="0"/>
    <n v="0"/>
    <n v="0"/>
    <n v="0"/>
    <x v="0"/>
    <x v="1"/>
    <s v=""/>
    <s v=""/>
    <n v="0"/>
  </r>
  <r>
    <x v="1279"/>
    <x v="214"/>
    <s v="NLIX00003482"/>
    <x v="0"/>
    <s v="Thematic"/>
    <x v="0"/>
    <s v="INDUN"/>
    <x v="0"/>
    <s v="Non-significant benchmark"/>
    <n v="0"/>
    <n v="0"/>
    <n v="0"/>
    <n v="0"/>
    <n v="0"/>
    <n v="0"/>
    <x v="0"/>
    <x v="1"/>
    <s v=""/>
    <s v=""/>
    <n v="0"/>
  </r>
  <r>
    <x v="1280"/>
    <x v="214"/>
    <s v="NLIX00003342"/>
    <x v="0"/>
    <s v="Thematic"/>
    <x v="0"/>
    <s v="INDU"/>
    <x v="0"/>
    <s v="Non-significant benchmark"/>
    <n v="0"/>
    <n v="0"/>
    <n v="0"/>
    <n v="0"/>
    <n v="0"/>
    <n v="0"/>
    <x v="0"/>
    <x v="1"/>
    <s v=""/>
    <s v=""/>
    <n v="0"/>
  </r>
  <r>
    <x v="1281"/>
    <x v="214"/>
    <s v="NLIX00003391"/>
    <x v="0"/>
    <s v="Thematic"/>
    <x v="0"/>
    <s v="TECHG"/>
    <x v="0"/>
    <s v="Non-significant benchmark"/>
    <n v="0"/>
    <n v="0"/>
    <n v="0"/>
    <n v="0"/>
    <n v="0"/>
    <n v="0"/>
    <x v="0"/>
    <x v="1"/>
    <s v=""/>
    <s v=""/>
    <n v="0"/>
  </r>
  <r>
    <x v="1282"/>
    <x v="214"/>
    <s v="NLIX00003383"/>
    <x v="0"/>
    <s v="Thematic"/>
    <x v="0"/>
    <s v="TECHN"/>
    <x v="0"/>
    <s v="Non-significant benchmark"/>
    <n v="0"/>
    <n v="0"/>
    <n v="0"/>
    <n v="0"/>
    <n v="0"/>
    <n v="0"/>
    <x v="0"/>
    <x v="1"/>
    <s v=""/>
    <s v=""/>
    <n v="0"/>
  </r>
  <r>
    <x v="1283"/>
    <x v="214"/>
    <s v="NLIX00003359"/>
    <x v="0"/>
    <s v="Thematic"/>
    <x v="0"/>
    <s v="TECHP"/>
    <x v="0"/>
    <s v="Non-significant benchmark"/>
    <n v="0"/>
    <n v="0"/>
    <n v="0"/>
    <n v="0"/>
    <n v="0"/>
    <n v="0"/>
    <x v="0"/>
    <x v="1"/>
    <s v=""/>
    <s v=""/>
    <n v="0"/>
  </r>
  <r>
    <x v="1284"/>
    <x v="214"/>
    <s v="NLIX00003516"/>
    <x v="0"/>
    <s v="Thematic"/>
    <x v="0"/>
    <s v="TELEG"/>
    <x v="0"/>
    <s v="Non-significant benchmark"/>
    <n v="0"/>
    <n v="0"/>
    <n v="0"/>
    <n v="0"/>
    <n v="0"/>
    <n v="0"/>
    <x v="0"/>
    <x v="1"/>
    <s v=""/>
    <s v=""/>
    <n v="0"/>
  </r>
  <r>
    <x v="1285"/>
    <x v="214"/>
    <s v="NLIX00003508"/>
    <x v="0"/>
    <s v="Thematic"/>
    <x v="0"/>
    <s v="TELEN"/>
    <x v="0"/>
    <s v="Non-significant benchmark"/>
    <n v="0"/>
    <n v="0"/>
    <n v="0"/>
    <n v="0"/>
    <n v="0"/>
    <n v="0"/>
    <x v="0"/>
    <x v="1"/>
    <s v=""/>
    <s v=""/>
    <n v="0"/>
  </r>
  <r>
    <x v="1286"/>
    <x v="214"/>
    <s v="NLIX00003367"/>
    <x v="0"/>
    <s v="Thematic"/>
    <x v="0"/>
    <s v="TELEP"/>
    <x v="0"/>
    <s v="Non-significant benchmark"/>
    <n v="0"/>
    <n v="0"/>
    <n v="0"/>
    <n v="0"/>
    <n v="0"/>
    <n v="0"/>
    <x v="0"/>
    <x v="1"/>
    <s v=""/>
    <s v=""/>
    <n v="0"/>
  </r>
  <r>
    <x v="1287"/>
    <x v="214"/>
    <s v="NLIX00003573"/>
    <x v="0"/>
    <s v="Thematic"/>
    <x v="0"/>
    <s v="UTILG"/>
    <x v="0"/>
    <s v="Non-significant benchmark"/>
    <n v="0"/>
    <n v="0"/>
    <n v="0"/>
    <n v="0"/>
    <n v="0"/>
    <n v="0"/>
    <x v="0"/>
    <x v="1"/>
    <s v=""/>
    <s v=""/>
    <n v="0"/>
  </r>
  <r>
    <x v="1288"/>
    <x v="214"/>
    <s v="NLIX00003565"/>
    <x v="0"/>
    <s v="Thematic"/>
    <x v="0"/>
    <s v="UTILN"/>
    <x v="0"/>
    <s v="Non-significant benchmark"/>
    <n v="0"/>
    <n v="0"/>
    <n v="0"/>
    <n v="0"/>
    <n v="0"/>
    <n v="0"/>
    <x v="0"/>
    <x v="1"/>
    <s v=""/>
    <s v=""/>
    <n v="0"/>
  </r>
  <r>
    <x v="1289"/>
    <x v="214"/>
    <s v="NLIX00003375"/>
    <x v="0"/>
    <s v="Thematic"/>
    <x v="0"/>
    <s v="UTIL"/>
    <x v="0"/>
    <s v="Non-significant benchmark"/>
    <n v="0"/>
    <n v="0"/>
    <n v="0"/>
    <n v="0"/>
    <n v="0"/>
    <n v="0"/>
    <x v="0"/>
    <x v="1"/>
    <s v=""/>
    <s v=""/>
    <n v="0"/>
  </r>
  <r>
    <x v="1290"/>
    <x v="215"/>
    <s v="NLIX00003615"/>
    <x v="0"/>
    <s v="Thematic"/>
    <x v="0"/>
    <s v="EZSCP"/>
    <x v="0"/>
    <s v="Non-significant benchmark"/>
    <n v="0"/>
    <n v="0"/>
    <n v="0"/>
    <n v="0"/>
    <n v="0"/>
    <n v="0"/>
    <x v="0"/>
    <x v="1"/>
    <s v=""/>
    <s v=""/>
    <n v="0"/>
  </r>
  <r>
    <x v="1291"/>
    <x v="215"/>
    <s v="NLIX00003631"/>
    <x v="0"/>
    <s v="Thematic"/>
    <x v="0"/>
    <s v="EZSCG"/>
    <x v="0"/>
    <s v="Non-significant benchmark"/>
    <n v="0"/>
    <n v="0"/>
    <n v="0"/>
    <n v="0"/>
    <n v="0"/>
    <n v="0"/>
    <x v="0"/>
    <x v="1"/>
    <s v=""/>
    <s v=""/>
    <n v="0"/>
  </r>
  <r>
    <x v="1292"/>
    <x v="215"/>
    <s v="NLIX00003623"/>
    <x v="0"/>
    <s v="Thematic"/>
    <x v="0"/>
    <s v="EZSCN"/>
    <x v="0"/>
    <s v="Non-significant benchmark"/>
    <n v="0"/>
    <n v="0"/>
    <n v="0"/>
    <n v="0"/>
    <n v="0"/>
    <n v="0"/>
    <x v="0"/>
    <x v="1"/>
    <s v=""/>
    <s v=""/>
    <n v="0"/>
  </r>
  <r>
    <x v="1293"/>
    <x v="216"/>
    <s v="FRIX00002439"/>
    <x v="0"/>
    <s v="International"/>
    <x v="0"/>
    <s v="EIASP"/>
    <x v="2"/>
    <s v="Non-significant benchmark"/>
    <n v="0"/>
    <n v="0"/>
    <n v="0"/>
    <n v="0"/>
    <n v="0"/>
    <n v="0"/>
    <x v="0"/>
    <x v="1"/>
    <s v=""/>
    <s v=""/>
    <s v="EIASP"/>
  </r>
  <r>
    <x v="1294"/>
    <x v="216"/>
    <s v="FRIX00002454"/>
    <x v="0"/>
    <s v="International"/>
    <x v="0"/>
    <s v="EIASG"/>
    <x v="2"/>
    <s v="Non-significant benchmark"/>
    <n v="0"/>
    <n v="0"/>
    <n v="0"/>
    <n v="0"/>
    <n v="0"/>
    <n v="0"/>
    <x v="0"/>
    <x v="1"/>
    <s v=""/>
    <s v=""/>
    <s v="EIASP"/>
  </r>
  <r>
    <x v="1295"/>
    <x v="216"/>
    <s v="FRIX00002447"/>
    <x v="0"/>
    <s v="International"/>
    <x v="0"/>
    <s v="EIASN"/>
    <x v="2"/>
    <s v="Non-significant benchmark"/>
    <n v="0"/>
    <n v="0"/>
    <n v="0"/>
    <n v="0"/>
    <n v="0"/>
    <n v="0"/>
    <x v="0"/>
    <x v="1"/>
    <s v=""/>
    <s v=""/>
    <s v="EIASP"/>
  </r>
  <r>
    <x v="1296"/>
    <x v="217"/>
    <s v="FRIX00003031"/>
    <x v="1"/>
    <s v="International"/>
    <x v="0"/>
    <s v="FRD4P"/>
    <x v="2"/>
    <s v="Non-significant benchmark"/>
    <n v="0"/>
    <n v="0"/>
    <n v="0"/>
    <n v="0"/>
    <n v="0"/>
    <n v="0"/>
    <x v="0"/>
    <x v="1"/>
    <s v=""/>
    <s v=""/>
    <s v="FRD4P"/>
  </r>
  <r>
    <x v="1297"/>
    <x v="217"/>
    <s v="FRIX00003064"/>
    <x v="1"/>
    <s v="International"/>
    <x v="0"/>
    <s v="FRD4D"/>
    <x v="2"/>
    <s v="Non-significant benchmark"/>
    <n v="0"/>
    <n v="0"/>
    <n v="0"/>
    <n v="0"/>
    <n v="0"/>
    <n v="0"/>
    <x v="0"/>
    <x v="1"/>
    <s v=""/>
    <s v=""/>
    <s v="FRD4P"/>
  </r>
  <r>
    <x v="1298"/>
    <x v="217"/>
    <s v="FRIX00003056"/>
    <x v="1"/>
    <s v="International"/>
    <x v="0"/>
    <s v="FRD4G"/>
    <x v="2"/>
    <s v="Non-significant benchmark"/>
    <n v="0"/>
    <n v="0"/>
    <n v="0"/>
    <n v="0"/>
    <n v="0"/>
    <n v="0"/>
    <x v="0"/>
    <x v="1"/>
    <s v=""/>
    <s v=""/>
    <s v="FRD4P"/>
  </r>
  <r>
    <x v="1299"/>
    <x v="217"/>
    <s v="FRIX00003049"/>
    <x v="1"/>
    <s v="International"/>
    <x v="0"/>
    <s v="FRD4N"/>
    <x v="2"/>
    <s v="Non-significant benchmark"/>
    <n v="0"/>
    <n v="0"/>
    <n v="0"/>
    <n v="0"/>
    <n v="0"/>
    <n v="0"/>
    <x v="0"/>
    <x v="1"/>
    <s v=""/>
    <s v=""/>
    <s v="FRD4P"/>
  </r>
  <r>
    <x v="1300"/>
    <x v="218"/>
    <s v="FRIX00003643"/>
    <x v="1"/>
    <s v="International"/>
    <x v="0"/>
    <s v="FRI4P"/>
    <x v="2"/>
    <s v="Non-significant benchmark"/>
    <n v="0"/>
    <n v="0"/>
    <n v="0"/>
    <n v="0"/>
    <n v="0"/>
    <n v="0"/>
    <x v="0"/>
    <x v="1"/>
    <s v=""/>
    <s v=""/>
    <n v="0"/>
  </r>
  <r>
    <x v="1301"/>
    <x v="218"/>
    <s v="FRIX00003676"/>
    <x v="1"/>
    <s v="International"/>
    <x v="0"/>
    <s v="FRI4D"/>
    <x v="2"/>
    <s v="Non-significant benchmark"/>
    <n v="0"/>
    <n v="0"/>
    <n v="0"/>
    <n v="0"/>
    <n v="0"/>
    <n v="0"/>
    <x v="0"/>
    <x v="1"/>
    <s v=""/>
    <s v=""/>
    <n v="0"/>
  </r>
  <r>
    <x v="1302"/>
    <x v="218"/>
    <s v="FRIX00003668"/>
    <x v="1"/>
    <s v="International"/>
    <x v="0"/>
    <s v="FRI4G"/>
    <x v="2"/>
    <s v="Non-significant benchmark"/>
    <n v="0"/>
    <n v="0"/>
    <n v="0"/>
    <n v="0"/>
    <n v="0"/>
    <n v="0"/>
    <x v="0"/>
    <x v="1"/>
    <s v=""/>
    <s v=""/>
    <n v="0"/>
  </r>
  <r>
    <x v="1303"/>
    <x v="218"/>
    <s v="FRIX00003650"/>
    <x v="1"/>
    <s v="International"/>
    <x v="0"/>
    <s v="FRI4N"/>
    <x v="2"/>
    <s v="Non-significant benchmark"/>
    <n v="0"/>
    <n v="0"/>
    <n v="0"/>
    <n v="0"/>
    <n v="0"/>
    <n v="0"/>
    <x v="0"/>
    <x v="1"/>
    <s v=""/>
    <s v=""/>
    <n v="0"/>
  </r>
  <r>
    <x v="1304"/>
    <x v="219"/>
    <s v="FRIX00002629"/>
    <x v="0"/>
    <s v="International"/>
    <x v="0"/>
    <s v="EIFRP"/>
    <x v="2"/>
    <s v="Non-significant benchmark"/>
    <n v="0"/>
    <n v="0"/>
    <n v="0"/>
    <n v="0"/>
    <n v="0"/>
    <n v="0"/>
    <x v="0"/>
    <x v="1"/>
    <s v=""/>
    <s v=""/>
    <s v="EIFRP"/>
  </r>
  <r>
    <x v="1305"/>
    <x v="219"/>
    <s v="FRIX00002645"/>
    <x v="0"/>
    <s v="International"/>
    <x v="0"/>
    <s v="EIFRG"/>
    <x v="2"/>
    <s v="Non-significant benchmark"/>
    <n v="0"/>
    <n v="0"/>
    <n v="0"/>
    <n v="0"/>
    <n v="0"/>
    <n v="0"/>
    <x v="0"/>
    <x v="1"/>
    <s v=""/>
    <s v=""/>
    <s v="EIFRP"/>
  </r>
  <r>
    <x v="1306"/>
    <x v="219"/>
    <s v="FRIX00002637"/>
    <x v="0"/>
    <s v="International"/>
    <x v="0"/>
    <s v="EIFRN"/>
    <x v="2"/>
    <s v="Non-significant benchmark"/>
    <n v="0"/>
    <n v="0"/>
    <n v="0"/>
    <n v="0"/>
    <n v="0"/>
    <n v="0"/>
    <x v="0"/>
    <x v="1"/>
    <s v=""/>
    <s v=""/>
    <s v="EIFRP"/>
  </r>
  <r>
    <x v="1307"/>
    <x v="220"/>
    <s v="FRIX00002876"/>
    <x v="1"/>
    <s v="International"/>
    <x v="0"/>
    <s v="INFRP"/>
    <x v="2"/>
    <s v="Non-significant benchmark"/>
    <n v="0"/>
    <n v="0"/>
    <n v="0"/>
    <n v="0"/>
    <n v="0"/>
    <n v="0"/>
    <x v="0"/>
    <x v="1"/>
    <s v=""/>
    <s v=""/>
    <s v="INFRP"/>
  </r>
  <r>
    <x v="1308"/>
    <x v="220"/>
    <s v="FRIX00002900"/>
    <x v="1"/>
    <s v="International"/>
    <x v="0"/>
    <s v="INFRD"/>
    <x v="2"/>
    <s v="Non-significant benchmark"/>
    <n v="0"/>
    <n v="0"/>
    <n v="0"/>
    <n v="0"/>
    <n v="0"/>
    <n v="0"/>
    <x v="0"/>
    <x v="1"/>
    <s v=""/>
    <s v=""/>
    <s v="INFRP"/>
  </r>
  <r>
    <x v="1309"/>
    <x v="220"/>
    <s v="FRIX00002892"/>
    <x v="1"/>
    <s v="International"/>
    <x v="0"/>
    <s v="INFRG"/>
    <x v="2"/>
    <s v="Non-significant benchmark"/>
    <n v="0"/>
    <n v="0"/>
    <n v="0"/>
    <n v="0"/>
    <n v="0"/>
    <n v="0"/>
    <x v="0"/>
    <x v="1"/>
    <s v=""/>
    <s v=""/>
    <s v="INFRP"/>
  </r>
  <r>
    <x v="1310"/>
    <x v="220"/>
    <s v="FRIX00002884"/>
    <x v="1"/>
    <s v="International"/>
    <x v="0"/>
    <s v="INFRN"/>
    <x v="2"/>
    <s v="Non-significant benchmark"/>
    <n v="0"/>
    <n v="0"/>
    <n v="0"/>
    <n v="0"/>
    <n v="0"/>
    <n v="0"/>
    <x v="0"/>
    <x v="1"/>
    <s v=""/>
    <s v=""/>
    <s v="INFRP"/>
  </r>
  <r>
    <x v="1311"/>
    <x v="221"/>
    <s v="FRIX00002728"/>
    <x v="1"/>
    <s v="International"/>
    <x v="0"/>
    <s v="FILVP"/>
    <x v="2"/>
    <s v="Non-significant benchmark"/>
    <n v="0"/>
    <n v="0"/>
    <n v="0"/>
    <n v="0"/>
    <n v="0"/>
    <n v="0"/>
    <x v="0"/>
    <x v="1"/>
    <s v=""/>
    <s v=""/>
    <s v="FILVP"/>
  </r>
  <r>
    <x v="1312"/>
    <x v="221"/>
    <s v="FRIX00002751"/>
    <x v="1"/>
    <s v="International"/>
    <x v="0"/>
    <s v="FILV3"/>
    <x v="2"/>
    <s v="Non-significant benchmark"/>
    <n v="0"/>
    <n v="0"/>
    <n v="0"/>
    <n v="0"/>
    <n v="0"/>
    <n v="0"/>
    <x v="0"/>
    <x v="1"/>
    <s v=""/>
    <s v=""/>
    <s v="FILVP"/>
  </r>
  <r>
    <x v="1313"/>
    <x v="221"/>
    <s v="FRIX00002769"/>
    <x v="1"/>
    <s v="International"/>
    <x v="0"/>
    <s v="FILVD"/>
    <x v="2"/>
    <s v="Non-significant benchmark"/>
    <n v="0"/>
    <n v="0"/>
    <n v="0"/>
    <n v="0"/>
    <n v="0"/>
    <n v="0"/>
    <x v="0"/>
    <x v="1"/>
    <s v=""/>
    <s v=""/>
    <s v="FILVP"/>
  </r>
  <r>
    <x v="1314"/>
    <x v="221"/>
    <s v="FRIX00002744"/>
    <x v="1"/>
    <s v="International"/>
    <x v="0"/>
    <s v="FILVG"/>
    <x v="2"/>
    <s v="Non-significant benchmark"/>
    <n v="0"/>
    <n v="0"/>
    <n v="0"/>
    <n v="0"/>
    <n v="0"/>
    <n v="0"/>
    <x v="0"/>
    <x v="1"/>
    <s v=""/>
    <s v=""/>
    <s v="FILVP"/>
  </r>
  <r>
    <x v="1315"/>
    <x v="221"/>
    <s v="FRIX00002736"/>
    <x v="1"/>
    <s v="International"/>
    <x v="0"/>
    <s v="FILVN"/>
    <x v="2"/>
    <s v="Non-significant benchmark"/>
    <n v="0"/>
    <n v="0"/>
    <n v="0"/>
    <n v="0"/>
    <n v="0"/>
    <n v="0"/>
    <x v="0"/>
    <x v="1"/>
    <s v=""/>
    <s v=""/>
    <s v="FILVP"/>
  </r>
  <r>
    <x v="1316"/>
    <x v="222"/>
    <s v="NLIX00002195"/>
    <x v="0"/>
    <s v="Country"/>
    <x v="0"/>
    <s v="EJPGT"/>
    <x v="0"/>
    <s v="Non-significant benchmark"/>
    <n v="0"/>
    <n v="0"/>
    <n v="0"/>
    <n v="0"/>
    <n v="0"/>
    <n v="0"/>
    <x v="0"/>
    <x v="1"/>
    <s v=""/>
    <s v=""/>
    <s v="EJPPT"/>
  </r>
  <r>
    <x v="1317"/>
    <x v="222"/>
    <s v="NLIX00002187"/>
    <x v="0"/>
    <s v="Country"/>
    <x v="0"/>
    <s v="EJPNT"/>
    <x v="0"/>
    <s v="Non-significant benchmark"/>
    <n v="0"/>
    <n v="0"/>
    <n v="0"/>
    <n v="0"/>
    <n v="0"/>
    <n v="0"/>
    <x v="0"/>
    <x v="1"/>
    <s v=""/>
    <s v=""/>
    <s v="EJPPT"/>
  </r>
  <r>
    <x v="1318"/>
    <x v="222"/>
    <s v="NLIX00002179"/>
    <x v="0"/>
    <s v="Country"/>
    <x v="0"/>
    <s v="EJPPT"/>
    <x v="0"/>
    <s v="Non-significant benchmark"/>
    <n v="0"/>
    <n v="0"/>
    <n v="0"/>
    <n v="0"/>
    <n v="0"/>
    <n v="0"/>
    <x v="0"/>
    <x v="1"/>
    <s v=""/>
    <s v=""/>
    <s v="EJPPT"/>
  </r>
  <r>
    <x v="1319"/>
    <x v="223"/>
    <s v="NLIX00000397"/>
    <x v="0"/>
    <s v="Fixed Income"/>
    <x v="0"/>
    <s v="ME10G"/>
    <x v="0"/>
    <s v="Non-significant benchmark"/>
    <n v="0"/>
    <n v="0"/>
    <n v="0"/>
    <n v="0"/>
    <n v="0"/>
    <n v="0"/>
    <x v="0"/>
    <x v="1"/>
    <s v=""/>
    <s v=""/>
    <n v="0"/>
  </r>
  <r>
    <x v="1320"/>
    <x v="223"/>
    <s v="NLIX00000314"/>
    <x v="0"/>
    <s v="Fixed Income"/>
    <x v="0"/>
    <s v="ME1G"/>
    <x v="0"/>
    <s v="Non-significant benchmark"/>
    <n v="0"/>
    <n v="0"/>
    <n v="0"/>
    <n v="0"/>
    <n v="0"/>
    <n v="0"/>
    <x v="0"/>
    <x v="1"/>
    <s v=""/>
    <s v=""/>
    <n v="0"/>
  </r>
  <r>
    <x v="1321"/>
    <x v="223"/>
    <s v="NLIX00000413"/>
    <x v="0"/>
    <s v="Fixed Income"/>
    <x v="0"/>
    <s v="MEG15"/>
    <x v="0"/>
    <s v="Non-significant benchmark"/>
    <n v="0"/>
    <n v="0"/>
    <n v="0"/>
    <n v="0"/>
    <n v="0"/>
    <n v="0"/>
    <x v="0"/>
    <x v="1"/>
    <s v=""/>
    <s v=""/>
    <n v="0"/>
  </r>
  <r>
    <x v="1322"/>
    <x v="223"/>
    <s v="NLIX00000439"/>
    <x v="0"/>
    <s v="Fixed Income"/>
    <x v="0"/>
    <s v="ME15G"/>
    <x v="0"/>
    <s v="Non-significant benchmark"/>
    <n v="0"/>
    <n v="0"/>
    <n v="0"/>
    <n v="0"/>
    <n v="0"/>
    <n v="0"/>
    <x v="0"/>
    <x v="1"/>
    <s v=""/>
    <s v=""/>
    <n v="0"/>
  </r>
  <r>
    <x v="1323"/>
    <x v="223"/>
    <s v="NLIX00000454"/>
    <x v="0"/>
    <s v="Fixed Income"/>
    <x v="0"/>
    <s v="MEG25"/>
    <x v="0"/>
    <s v="Non-significant benchmark"/>
    <n v="0"/>
    <n v="0"/>
    <n v="0"/>
    <n v="0"/>
    <n v="0"/>
    <n v="0"/>
    <x v="0"/>
    <x v="1"/>
    <s v=""/>
    <s v=""/>
    <n v="0"/>
  </r>
  <r>
    <x v="1324"/>
    <x v="223"/>
    <s v="NLIX00000330"/>
    <x v="0"/>
    <s v="Fixed Income"/>
    <x v="0"/>
    <s v="ME3G"/>
    <x v="0"/>
    <s v="Non-significant benchmark"/>
    <n v="0"/>
    <n v="0"/>
    <n v="0"/>
    <n v="0"/>
    <n v="0"/>
    <n v="0"/>
    <x v="0"/>
    <x v="1"/>
    <s v=""/>
    <s v=""/>
    <n v="0"/>
  </r>
  <r>
    <x v="1325"/>
    <x v="223"/>
    <s v="NLIX00000355"/>
    <x v="0"/>
    <s v="Fixed Income"/>
    <x v="0"/>
    <s v="ME5G"/>
    <x v="0"/>
    <s v="Non-significant benchmark"/>
    <n v="0"/>
    <n v="0"/>
    <n v="0"/>
    <n v="0"/>
    <n v="0"/>
    <n v="0"/>
    <x v="0"/>
    <x v="1"/>
    <s v=""/>
    <s v=""/>
    <n v="0"/>
  </r>
  <r>
    <x v="1326"/>
    <x v="223"/>
    <s v="NLIX00000371"/>
    <x v="0"/>
    <s v="Fixed Income"/>
    <x v="0"/>
    <s v="ME7G"/>
    <x v="0"/>
    <s v="Non-significant benchmark"/>
    <n v="0"/>
    <n v="0"/>
    <n v="0"/>
    <n v="0"/>
    <n v="0"/>
    <n v="0"/>
    <x v="0"/>
    <x v="1"/>
    <s v=""/>
    <s v=""/>
    <n v="0"/>
  </r>
  <r>
    <x v="1327"/>
    <x v="223"/>
    <s v="NLIX00000793"/>
    <x v="0"/>
    <s v="Fixed Income"/>
    <x v="0"/>
    <s v="MEATG"/>
    <x v="0"/>
    <s v="Non-significant benchmark"/>
    <n v="0"/>
    <n v="0"/>
    <n v="0"/>
    <n v="0"/>
    <n v="0"/>
    <n v="0"/>
    <x v="0"/>
    <x v="1"/>
    <s v=""/>
    <s v=""/>
    <n v="0"/>
  </r>
  <r>
    <x v="1328"/>
    <x v="223"/>
    <s v="NLIX00000819"/>
    <x v="0"/>
    <s v="Fixed Income"/>
    <x v="0"/>
    <s v="MEBEG"/>
    <x v="0"/>
    <s v="Non-significant benchmark"/>
    <n v="0"/>
    <n v="0"/>
    <n v="0"/>
    <n v="0"/>
    <n v="0"/>
    <n v="0"/>
    <x v="0"/>
    <x v="1"/>
    <s v=""/>
    <s v=""/>
    <n v="0"/>
  </r>
  <r>
    <x v="1329"/>
    <x v="223"/>
    <s v="NLIX00000298"/>
    <x v="0"/>
    <s v="Fixed Income"/>
    <x v="0"/>
    <s v="MEBG"/>
    <x v="0"/>
    <s v="Non-significant benchmark"/>
    <n v="0"/>
    <n v="0"/>
    <n v="0"/>
    <n v="0"/>
    <n v="0"/>
    <n v="0"/>
    <x v="0"/>
    <x v="1"/>
    <s v=""/>
    <s v=""/>
    <n v="0"/>
  </r>
  <r>
    <x v="1330"/>
    <x v="223"/>
    <s v="NLIX00000835"/>
    <x v="0"/>
    <s v="Fixed Income"/>
    <x v="0"/>
    <s v="MESUG"/>
    <x v="0"/>
    <s v="Non-significant benchmark"/>
    <n v="0"/>
    <n v="0"/>
    <n v="0"/>
    <n v="0"/>
    <n v="0"/>
    <n v="0"/>
    <x v="0"/>
    <x v="1"/>
    <s v=""/>
    <s v=""/>
    <n v="0"/>
  </r>
  <r>
    <x v="1331"/>
    <x v="223"/>
    <s v="NLIX00000496"/>
    <x v="0"/>
    <s v="Fixed Income"/>
    <x v="0"/>
    <s v="MEFRG"/>
    <x v="0"/>
    <s v="Non-significant benchmark"/>
    <n v="0"/>
    <n v="0"/>
    <n v="0"/>
    <n v="0"/>
    <n v="0"/>
    <n v="0"/>
    <x v="0"/>
    <x v="1"/>
    <s v=""/>
    <s v=""/>
    <n v="0"/>
  </r>
  <r>
    <x v="1332"/>
    <x v="223"/>
    <s v="NLIX00000512"/>
    <x v="0"/>
    <s v="Fixed Income"/>
    <x v="0"/>
    <s v="MEGRG"/>
    <x v="0"/>
    <s v="Non-significant benchmark"/>
    <n v="0"/>
    <n v="0"/>
    <n v="0"/>
    <n v="0"/>
    <n v="0"/>
    <n v="0"/>
    <x v="0"/>
    <x v="1"/>
    <s v=""/>
    <s v=""/>
    <n v="0"/>
  </r>
  <r>
    <x v="1333"/>
    <x v="223"/>
    <s v="NLIX00000850"/>
    <x v="0"/>
    <s v="Fixed Income"/>
    <x v="0"/>
    <s v="MEIRG"/>
    <x v="0"/>
    <s v="Non-significant benchmark"/>
    <n v="0"/>
    <n v="0"/>
    <n v="0"/>
    <n v="0"/>
    <n v="0"/>
    <n v="0"/>
    <x v="0"/>
    <x v="1"/>
    <s v=""/>
    <s v=""/>
    <n v="0"/>
  </r>
  <r>
    <x v="1334"/>
    <x v="223"/>
    <s v="NLIX00000637"/>
    <x v="0"/>
    <s v="Fixed Income"/>
    <x v="0"/>
    <s v="MI10G"/>
    <x v="0"/>
    <s v="Non-significant benchmark"/>
    <n v="0"/>
    <n v="0"/>
    <n v="0"/>
    <n v="0"/>
    <n v="0"/>
    <n v="0"/>
    <x v="0"/>
    <x v="1"/>
    <s v=""/>
    <s v=""/>
    <n v="0"/>
  </r>
  <r>
    <x v="1335"/>
    <x v="223"/>
    <s v="NLIX00000553"/>
    <x v="0"/>
    <s v="Fixed Income"/>
    <x v="0"/>
    <s v="MI1G"/>
    <x v="0"/>
    <s v="Non-significant benchmark"/>
    <n v="0"/>
    <n v="0"/>
    <n v="0"/>
    <n v="0"/>
    <n v="0"/>
    <n v="0"/>
    <x v="0"/>
    <x v="1"/>
    <s v=""/>
    <s v=""/>
    <n v="0"/>
  </r>
  <r>
    <x v="1336"/>
    <x v="223"/>
    <s v="NLIX00000652"/>
    <x v="0"/>
    <s v="Fixed Income"/>
    <x v="0"/>
    <s v="MI15G"/>
    <x v="0"/>
    <s v="Non-significant benchmark"/>
    <n v="0"/>
    <n v="0"/>
    <n v="0"/>
    <n v="0"/>
    <n v="0"/>
    <n v="0"/>
    <x v="0"/>
    <x v="1"/>
    <s v=""/>
    <s v=""/>
    <n v="0"/>
  </r>
  <r>
    <x v="1337"/>
    <x v="223"/>
    <s v="NLIX00000678"/>
    <x v="0"/>
    <s v="Fixed Income"/>
    <x v="0"/>
    <s v="MIG25"/>
    <x v="0"/>
    <s v="Non-significant benchmark"/>
    <n v="0"/>
    <n v="0"/>
    <n v="0"/>
    <n v="0"/>
    <n v="0"/>
    <n v="0"/>
    <x v="0"/>
    <x v="1"/>
    <s v=""/>
    <s v=""/>
    <n v="0"/>
  </r>
  <r>
    <x v="1338"/>
    <x v="223"/>
    <s v="NLIX00000579"/>
    <x v="0"/>
    <s v="Fixed Income"/>
    <x v="0"/>
    <s v="MI3G"/>
    <x v="0"/>
    <s v="Non-significant benchmark"/>
    <n v="0"/>
    <n v="0"/>
    <n v="0"/>
    <n v="0"/>
    <n v="0"/>
    <n v="0"/>
    <x v="0"/>
    <x v="1"/>
    <s v=""/>
    <s v=""/>
    <n v="0"/>
  </r>
  <r>
    <x v="1339"/>
    <x v="223"/>
    <s v="NLIX00000595"/>
    <x v="0"/>
    <s v="Fixed Income"/>
    <x v="0"/>
    <s v="MI5G"/>
    <x v="0"/>
    <s v="Non-significant benchmark"/>
    <n v="0"/>
    <n v="0"/>
    <n v="0"/>
    <n v="0"/>
    <n v="0"/>
    <n v="0"/>
    <x v="0"/>
    <x v="1"/>
    <s v=""/>
    <s v=""/>
    <n v="0"/>
  </r>
  <r>
    <x v="1340"/>
    <x v="223"/>
    <s v="NLIX00000611"/>
    <x v="0"/>
    <s v="Fixed Income"/>
    <x v="0"/>
    <s v="MI7G"/>
    <x v="0"/>
    <s v="Non-significant benchmark"/>
    <n v="0"/>
    <n v="0"/>
    <n v="0"/>
    <n v="0"/>
    <n v="0"/>
    <n v="0"/>
    <x v="0"/>
    <x v="1"/>
    <s v=""/>
    <s v=""/>
    <n v="0"/>
  </r>
  <r>
    <x v="1341"/>
    <x v="223"/>
    <s v="NLIX00000538"/>
    <x v="0"/>
    <s v="Fixed Income"/>
    <x v="0"/>
    <s v="MEITG"/>
    <x v="0"/>
    <s v="Non-significant benchmark"/>
    <n v="0"/>
    <n v="0"/>
    <n v="0"/>
    <n v="0"/>
    <n v="0"/>
    <n v="0"/>
    <x v="0"/>
    <x v="1"/>
    <s v=""/>
    <s v=""/>
    <n v="0"/>
  </r>
  <r>
    <x v="1342"/>
    <x v="223"/>
    <s v="NLIX00000892"/>
    <x v="0"/>
    <s v="Fixed Income"/>
    <x v="0"/>
    <s v="MEPTG"/>
    <x v="0"/>
    <s v="Non-significant benchmark"/>
    <n v="0"/>
    <n v="0"/>
    <n v="0"/>
    <n v="0"/>
    <n v="0"/>
    <n v="0"/>
    <x v="0"/>
    <x v="1"/>
    <s v=""/>
    <s v=""/>
    <n v="0"/>
  </r>
  <r>
    <x v="1343"/>
    <x v="223"/>
    <s v="NLIX00000470"/>
    <x v="0"/>
    <s v="Fixed Income"/>
    <x v="0"/>
    <s v="MESPG"/>
    <x v="0"/>
    <s v="Non-significant benchmark"/>
    <n v="0"/>
    <n v="0"/>
    <n v="0"/>
    <n v="0"/>
    <n v="0"/>
    <n v="0"/>
    <x v="0"/>
    <x v="1"/>
    <s v=""/>
    <s v=""/>
    <n v="0"/>
  </r>
  <r>
    <x v="1344"/>
    <x v="223"/>
    <s v="NLIX00000876"/>
    <x v="0"/>
    <s v="Fixed Income"/>
    <x v="0"/>
    <s v="MENLG"/>
    <x v="0"/>
    <s v="Non-significant benchmark"/>
    <n v="0"/>
    <n v="0"/>
    <n v="0"/>
    <n v="0"/>
    <n v="0"/>
    <n v="0"/>
    <x v="0"/>
    <x v="1"/>
    <s v=""/>
    <s v=""/>
    <n v="0"/>
  </r>
  <r>
    <x v="1345"/>
    <x v="224"/>
    <s v="NLIX00002922"/>
    <x v="0"/>
    <s v="Fixed Income"/>
    <x v="0"/>
    <s v="MEEUG"/>
    <x v="0"/>
    <s v="Non-significant benchmark"/>
    <n v="0"/>
    <n v="0"/>
    <n v="0"/>
    <n v="0"/>
    <n v="0"/>
    <n v="0"/>
    <x v="0"/>
    <x v="1"/>
    <s v=""/>
    <s v=""/>
    <n v="0"/>
  </r>
  <r>
    <x v="1346"/>
    <x v="225"/>
    <s v="FRCLIM000304"/>
    <x v="0"/>
    <s v="Fixed Income"/>
    <x v="0"/>
    <s v="PBT4P"/>
    <x v="2"/>
    <s v="Non-significant benchmark"/>
    <n v="0"/>
    <n v="0"/>
    <n v="0"/>
    <n v="0"/>
    <n v="0"/>
    <n v="0"/>
    <x v="0"/>
    <x v="1"/>
    <s v=""/>
    <s v=""/>
    <s v="PBT4P"/>
  </r>
  <r>
    <x v="1347"/>
    <x v="225"/>
    <s v="FRCLIM000338"/>
    <x v="1"/>
    <s v="Thematic"/>
    <x v="0"/>
    <s v="PT4D5"/>
    <x v="2"/>
    <s v="Non-significant benchmark"/>
    <n v="0"/>
    <n v="0"/>
    <n v="0"/>
    <n v="0"/>
    <n v="0"/>
    <n v="0"/>
    <x v="0"/>
    <x v="1"/>
    <s v=""/>
    <s v=""/>
    <s v="PBT4P"/>
  </r>
  <r>
    <x v="1348"/>
    <x v="225"/>
    <s v="FRCLIM000304"/>
    <x v="1"/>
    <s v="Thematic"/>
    <x v="0"/>
    <s v="PT450"/>
    <x v="2"/>
    <s v="Non-significant benchmark"/>
    <n v="0"/>
    <n v="0"/>
    <n v="0"/>
    <n v="0"/>
    <n v="0"/>
    <n v="0"/>
    <x v="0"/>
    <x v="1"/>
    <s v=""/>
    <s v=""/>
    <s v="PBT4P"/>
  </r>
  <r>
    <x v="1349"/>
    <x v="225"/>
    <s v="FRCLIM000320"/>
    <x v="1"/>
    <s v="Thematic"/>
    <x v="0"/>
    <s v="PBT4G"/>
    <x v="2"/>
    <s v="Non-significant benchmark"/>
    <n v="0"/>
    <n v="0"/>
    <n v="0"/>
    <n v="0"/>
    <n v="0"/>
    <n v="0"/>
    <x v="0"/>
    <x v="1"/>
    <s v=""/>
    <s v=""/>
    <s v="PBT4P"/>
  </r>
  <r>
    <x v="1350"/>
    <x v="225"/>
    <s v="FRCLIM000312"/>
    <x v="1"/>
    <s v="Thematic"/>
    <x v="0"/>
    <s v="PBT4N"/>
    <x v="2"/>
    <s v="Non-significant benchmark"/>
    <n v="0"/>
    <n v="0"/>
    <n v="0"/>
    <n v="0"/>
    <n v="0"/>
    <n v="0"/>
    <x v="0"/>
    <x v="1"/>
    <s v=""/>
    <s v=""/>
    <s v="PBT4P"/>
  </r>
  <r>
    <x v="1351"/>
    <x v="226"/>
    <s v="FRCLIM000254"/>
    <x v="1"/>
    <s v="Thematic"/>
    <x v="0"/>
    <s v="PBTAP"/>
    <x v="2"/>
    <s v="Non-significant benchmark"/>
    <n v="0"/>
    <n v="0"/>
    <n v="0"/>
    <n v="0"/>
    <n v="0"/>
    <n v="0"/>
    <x v="0"/>
    <x v="1"/>
    <s v=""/>
    <s v=""/>
    <s v="PBTAP"/>
  </r>
  <r>
    <x v="1352"/>
    <x v="226"/>
    <s v="FRCLIM000288"/>
    <x v="1"/>
    <s v="Thematic"/>
    <x v="0"/>
    <s v="PBT5D"/>
    <x v="2"/>
    <s v="Non-significant benchmark"/>
    <n v="0"/>
    <n v="0"/>
    <n v="0"/>
    <n v="0"/>
    <n v="0"/>
    <n v="0"/>
    <x v="0"/>
    <x v="1"/>
    <s v=""/>
    <s v=""/>
    <s v="PBTAP"/>
  </r>
  <r>
    <x v="1353"/>
    <x v="226"/>
    <s v="FRCLIM000296"/>
    <x v="1"/>
    <s v="Thematic"/>
    <x v="0"/>
    <s v="PBT50"/>
    <x v="2"/>
    <s v="Non-significant benchmark"/>
    <n v="0"/>
    <n v="0"/>
    <n v="0"/>
    <n v="0"/>
    <n v="0"/>
    <n v="0"/>
    <x v="0"/>
    <x v="1"/>
    <s v=""/>
    <s v=""/>
    <s v="PBTAP"/>
  </r>
  <r>
    <x v="1354"/>
    <x v="226"/>
    <s v="FRCLIM000270"/>
    <x v="1"/>
    <s v="Thematic"/>
    <x v="0"/>
    <s v="PBTAG"/>
    <x v="2"/>
    <s v="Non-significant benchmark"/>
    <n v="0"/>
    <n v="0"/>
    <n v="0"/>
    <n v="0"/>
    <n v="0"/>
    <n v="0"/>
    <x v="0"/>
    <x v="1"/>
    <s v=""/>
    <s v=""/>
    <s v="PBTAP"/>
  </r>
  <r>
    <x v="1355"/>
    <x v="226"/>
    <s v="FRCLIM000262"/>
    <x v="1"/>
    <s v="Thematic"/>
    <x v="0"/>
    <s v="PBTAN"/>
    <x v="2"/>
    <s v="Non-significant benchmark"/>
    <n v="0"/>
    <n v="0"/>
    <n v="0"/>
    <n v="0"/>
    <n v="0"/>
    <n v="0"/>
    <x v="0"/>
    <x v="1"/>
    <s v=""/>
    <s v=""/>
    <s v="PBTAP"/>
  </r>
  <r>
    <x v="1356"/>
    <x v="120"/>
    <s v="FRIX00001043"/>
    <x v="0"/>
    <s v="Single Stock"/>
    <x v="0"/>
    <s v="SGB3G"/>
    <x v="2"/>
    <s v="Non-significant benchmark"/>
    <n v="0"/>
    <n v="0"/>
    <n v="0"/>
    <n v="0"/>
    <n v="0"/>
    <n v="0"/>
    <x v="0"/>
    <x v="1"/>
    <s v=""/>
    <s v=""/>
    <n v="0"/>
  </r>
  <r>
    <x v="1357"/>
    <x v="120"/>
    <s v="FRIX00001050"/>
    <x v="0"/>
    <s v="Single Stock"/>
    <x v="0"/>
    <s v="SGB3P"/>
    <x v="2"/>
    <s v="Non-significant benchmark"/>
    <n v="53715493.01106599"/>
    <n v="0"/>
    <n v="0"/>
    <n v="0"/>
    <n v="0"/>
    <n v="0"/>
    <x v="176"/>
    <x v="1"/>
    <s v=""/>
    <s v=""/>
    <n v="0"/>
  </r>
  <r>
    <x v="1358"/>
    <x v="120"/>
    <s v="FRIX00001035"/>
    <x v="0"/>
    <s v="Single Stock"/>
    <x v="0"/>
    <s v="SGB3D"/>
    <x v="2"/>
    <s v="Non-significant benchmark"/>
    <n v="0"/>
    <n v="0"/>
    <n v="0"/>
    <n v="0"/>
    <n v="0"/>
    <n v="0"/>
    <x v="0"/>
    <x v="1"/>
    <s v=""/>
    <s v=""/>
    <n v="0"/>
  </r>
  <r>
    <x v="1359"/>
    <x v="120"/>
    <s v="FRIX00002413"/>
    <x v="0"/>
    <s v="Single Stock"/>
    <x v="0"/>
    <s v="SGB4G"/>
    <x v="2"/>
    <s v="Non-significant benchmark"/>
    <n v="0"/>
    <n v="0"/>
    <n v="0"/>
    <n v="0"/>
    <n v="0"/>
    <n v="0"/>
    <x v="0"/>
    <x v="1"/>
    <s v=""/>
    <s v=""/>
    <n v="0"/>
  </r>
  <r>
    <x v="1360"/>
    <x v="120"/>
    <s v="FRIX00002405"/>
    <x v="0"/>
    <s v="Single Stock"/>
    <x v="0"/>
    <s v="SGB4P"/>
    <x v="2"/>
    <s v="Non-significant benchmark"/>
    <n v="0"/>
    <n v="0"/>
    <n v="0"/>
    <n v="0"/>
    <n v="0"/>
    <n v="0"/>
    <x v="0"/>
    <x v="1"/>
    <s v=""/>
    <s v=""/>
    <n v="0"/>
  </r>
  <r>
    <x v="1361"/>
    <x v="120"/>
    <s v="FRIX00002470"/>
    <x v="0"/>
    <s v="Single Stock"/>
    <x v="0"/>
    <s v="SGB5G"/>
    <x v="2"/>
    <s v="Non-significant benchmark"/>
    <n v="0"/>
    <n v="0"/>
    <n v="0"/>
    <n v="0"/>
    <n v="0"/>
    <n v="0"/>
    <x v="0"/>
    <x v="1"/>
    <s v=""/>
    <s v=""/>
    <n v="0"/>
  </r>
  <r>
    <x v="1362"/>
    <x v="120"/>
    <s v="FRIX00002462"/>
    <x v="0"/>
    <s v="Single Stock"/>
    <x v="0"/>
    <s v="SGB5P"/>
    <x v="2"/>
    <s v="Non-significant benchmark"/>
    <n v="0"/>
    <n v="0"/>
    <n v="0"/>
    <n v="0"/>
    <n v="0"/>
    <n v="0"/>
    <x v="0"/>
    <x v="1"/>
    <s v=""/>
    <s v=""/>
    <n v="0"/>
  </r>
  <r>
    <x v="1363"/>
    <x v="120"/>
    <s v="FRIX00003270"/>
    <x v="0"/>
    <s v="Single Stock"/>
    <x v="0"/>
    <s v="SGBD1"/>
    <x v="2"/>
    <s v="Non-significant benchmark"/>
    <n v="0"/>
    <n v="0"/>
    <n v="0"/>
    <n v="0"/>
    <n v="0"/>
    <n v="0"/>
    <x v="0"/>
    <x v="1"/>
    <s v=""/>
    <s v=""/>
    <n v="0"/>
  </r>
  <r>
    <x v="1363"/>
    <x v="120"/>
    <s v="FRIX00003270"/>
    <x v="0"/>
    <s v="Single Stock"/>
    <x v="0"/>
    <s v="SGBD1"/>
    <x v="2"/>
    <s v="Non-significant benchmark"/>
    <n v="0"/>
    <n v="0"/>
    <n v="0"/>
    <n v="0"/>
    <n v="0"/>
    <n v="0"/>
    <x v="0"/>
    <x v="1"/>
    <s v=""/>
    <s v=""/>
    <n v="0"/>
  </r>
  <r>
    <x v="1364"/>
    <x v="120"/>
    <s v="FRIX00003262"/>
    <x v="0"/>
    <s v="Single Stock"/>
    <x v="0"/>
    <s v="SGBG1"/>
    <x v="2"/>
    <s v="Non-significant benchmark"/>
    <n v="0"/>
    <n v="0"/>
    <n v="0"/>
    <n v="0"/>
    <n v="0"/>
    <n v="0"/>
    <x v="0"/>
    <x v="1"/>
    <s v=""/>
    <s v=""/>
    <n v="0"/>
  </r>
  <r>
    <x v="1364"/>
    <x v="120"/>
    <s v="FRIX00003262"/>
    <x v="0"/>
    <s v="Single Stock"/>
    <x v="0"/>
    <s v="SGBG1"/>
    <x v="2"/>
    <s v="Non-significant benchmark"/>
    <n v="0"/>
    <n v="0"/>
    <n v="0"/>
    <n v="0"/>
    <n v="0"/>
    <n v="0"/>
    <x v="0"/>
    <x v="1"/>
    <s v=""/>
    <s v=""/>
    <n v="0"/>
  </r>
  <r>
    <x v="1365"/>
    <x v="120"/>
    <s v="FRIX00003254"/>
    <x v="0"/>
    <s v="Single Stock"/>
    <x v="0"/>
    <s v="SGBP1"/>
    <x v="2"/>
    <s v="Non-significant benchmark"/>
    <n v="0"/>
    <n v="0"/>
    <n v="0"/>
    <n v="0"/>
    <n v="0"/>
    <n v="0"/>
    <x v="0"/>
    <x v="1"/>
    <s v=""/>
    <s v=""/>
    <n v="0"/>
  </r>
  <r>
    <x v="1365"/>
    <x v="120"/>
    <s v="FRIX00003254"/>
    <x v="0"/>
    <s v="Single Stock"/>
    <x v="0"/>
    <s v="SGBP1"/>
    <x v="2"/>
    <s v="Non-significant benchmark"/>
    <n v="0"/>
    <n v="0"/>
    <n v="0"/>
    <n v="0"/>
    <n v="0"/>
    <n v="0"/>
    <x v="0"/>
    <x v="1"/>
    <s v=""/>
    <s v=""/>
    <n v="0"/>
  </r>
  <r>
    <x v="1366"/>
    <x v="120"/>
    <s v="FRIX00002538"/>
    <x v="0"/>
    <s v="Single Stock"/>
    <x v="0"/>
    <s v="SGA4G"/>
    <x v="2"/>
    <s v="Non-significant benchmark"/>
    <n v="0"/>
    <n v="0"/>
    <n v="0"/>
    <n v="0"/>
    <n v="0"/>
    <n v="0"/>
    <x v="0"/>
    <x v="1"/>
    <s v=""/>
    <s v=""/>
    <n v="0"/>
  </r>
  <r>
    <x v="1367"/>
    <x v="120"/>
    <s v="FRIX00002520"/>
    <x v="0"/>
    <s v="Single Stock"/>
    <x v="0"/>
    <s v="SGA4P"/>
    <x v="2"/>
    <s v="Non-significant benchmark"/>
    <n v="0"/>
    <n v="0"/>
    <n v="0"/>
    <n v="0"/>
    <n v="0"/>
    <n v="0"/>
    <x v="0"/>
    <x v="1"/>
    <s v=""/>
    <s v=""/>
    <n v="0"/>
  </r>
  <r>
    <x v="1368"/>
    <x v="120"/>
    <s v="FRIX00002561"/>
    <x v="0"/>
    <s v="Single Stock"/>
    <x v="0"/>
    <s v="SGEEG"/>
    <x v="2"/>
    <s v="Non-significant benchmark"/>
    <n v="0"/>
    <n v="0"/>
    <n v="0"/>
    <n v="0"/>
    <n v="0"/>
    <n v="0"/>
    <x v="0"/>
    <x v="1"/>
    <s v=""/>
    <s v=""/>
    <n v="0"/>
  </r>
  <r>
    <x v="1369"/>
    <x v="120"/>
    <s v="FRIX00002553"/>
    <x v="0"/>
    <s v="Single Stock"/>
    <x v="0"/>
    <s v="SGEEP"/>
    <x v="2"/>
    <s v="Non-significant benchmark"/>
    <n v="0"/>
    <n v="0"/>
    <n v="0"/>
    <n v="0"/>
    <n v="0"/>
    <n v="0"/>
    <x v="0"/>
    <x v="1"/>
    <s v=""/>
    <s v=""/>
    <n v="0"/>
  </r>
  <r>
    <x v="1370"/>
    <x v="120"/>
    <s v="FRIX00003601"/>
    <x v="0"/>
    <s v="Single Stock"/>
    <x v="0"/>
    <s v="SG03D"/>
    <x v="2"/>
    <s v="Non-significant benchmark"/>
    <n v="0"/>
    <n v="0"/>
    <n v="0"/>
    <n v="0"/>
    <n v="0"/>
    <n v="0"/>
    <x v="0"/>
    <x v="1"/>
    <s v=""/>
    <s v=""/>
    <n v="0"/>
  </r>
  <r>
    <x v="1371"/>
    <x v="120"/>
    <s v="FRIX00003593"/>
    <x v="0"/>
    <s v="Single Stock"/>
    <x v="0"/>
    <s v="SG03G"/>
    <x v="2"/>
    <s v="Non-significant benchmark"/>
    <n v="0"/>
    <n v="0"/>
    <n v="0"/>
    <n v="0"/>
    <n v="0"/>
    <n v="0"/>
    <x v="0"/>
    <x v="1"/>
    <s v=""/>
    <s v=""/>
    <n v="0"/>
  </r>
  <r>
    <x v="1372"/>
    <x v="120"/>
    <s v="FRIX00003585"/>
    <x v="0"/>
    <s v="Single Stock"/>
    <x v="0"/>
    <s v="SG03P"/>
    <x v="2"/>
    <s v="Non-significant benchmark"/>
    <n v="0"/>
    <n v="0"/>
    <n v="0"/>
    <n v="0"/>
    <n v="0"/>
    <n v="0"/>
    <x v="0"/>
    <x v="1"/>
    <s v=""/>
    <s v=""/>
    <n v="0"/>
  </r>
  <r>
    <x v="1373"/>
    <x v="120"/>
    <s v="FRIX00003213"/>
    <x v="0"/>
    <s v="Single Stock"/>
    <x v="0"/>
    <s v="SGRNO"/>
    <x v="2"/>
    <s v="Non-significant benchmark"/>
    <n v="0"/>
    <n v="0"/>
    <n v="0"/>
    <n v="0"/>
    <n v="0"/>
    <n v="0"/>
    <x v="0"/>
    <x v="1"/>
    <s v=""/>
    <s v=""/>
    <n v="0"/>
  </r>
  <r>
    <x v="1374"/>
    <x v="120"/>
    <s v="FRIX00003205"/>
    <x v="0"/>
    <s v="Single Stock"/>
    <x v="0"/>
    <s v="SGRNG"/>
    <x v="2"/>
    <s v="Non-significant benchmark"/>
    <n v="0"/>
    <n v="0"/>
    <n v="0"/>
    <n v="0"/>
    <n v="0"/>
    <n v="0"/>
    <x v="0"/>
    <x v="1"/>
    <s v=""/>
    <s v=""/>
    <n v="0"/>
  </r>
  <r>
    <x v="1375"/>
    <x v="120"/>
    <s v="FRIX00003197"/>
    <x v="0"/>
    <s v="Single Stock"/>
    <x v="0"/>
    <s v="SGRNP"/>
    <x v="2"/>
    <s v="Non-significant benchmark"/>
    <n v="0"/>
    <n v="0"/>
    <n v="0"/>
    <n v="0"/>
    <n v="0"/>
    <n v="0"/>
    <x v="0"/>
    <x v="1"/>
    <s v=""/>
    <s v=""/>
    <n v="0"/>
  </r>
  <r>
    <x v="1376"/>
    <x v="120"/>
    <s v="FRIX00002983"/>
    <x v="0"/>
    <s v="Single Stock"/>
    <x v="0"/>
    <s v="SGSCG"/>
    <x v="2"/>
    <s v="Non-significant benchmark"/>
    <n v="0"/>
    <n v="0"/>
    <n v="0"/>
    <n v="0"/>
    <n v="0"/>
    <n v="0"/>
    <x v="0"/>
    <x v="1"/>
    <s v=""/>
    <s v=""/>
    <n v="0"/>
  </r>
  <r>
    <x v="1377"/>
    <x v="120"/>
    <s v="FRIX00002975"/>
    <x v="0"/>
    <s v="Single Stock"/>
    <x v="0"/>
    <s v="SGSC"/>
    <x v="2"/>
    <s v="Non-significant benchmark"/>
    <n v="0"/>
    <n v="0"/>
    <n v="0"/>
    <n v="0"/>
    <n v="0"/>
    <n v="0"/>
    <x v="0"/>
    <x v="1"/>
    <s v=""/>
    <s v=""/>
    <n v="0"/>
  </r>
  <r>
    <x v="1378"/>
    <x v="120"/>
    <s v="FRIX00003148"/>
    <x v="0"/>
    <s v="Single Stock"/>
    <x v="0"/>
    <s v="SGG5G"/>
    <x v="2"/>
    <s v="Non-significant benchmark"/>
    <n v="0"/>
    <n v="0"/>
    <n v="0"/>
    <n v="0"/>
    <n v="0"/>
    <n v="0"/>
    <x v="0"/>
    <x v="1"/>
    <s v=""/>
    <s v=""/>
    <n v="0"/>
  </r>
  <r>
    <x v="1379"/>
    <x v="120"/>
    <s v="FRIX00003130"/>
    <x v="0"/>
    <s v="Single Stock"/>
    <x v="0"/>
    <s v="SGG5P"/>
    <x v="2"/>
    <s v="Non-significant benchmark"/>
    <n v="0"/>
    <n v="0"/>
    <n v="0"/>
    <n v="0"/>
    <n v="0"/>
    <n v="0"/>
    <x v="0"/>
    <x v="1"/>
    <s v=""/>
    <s v=""/>
    <n v="0"/>
  </r>
  <r>
    <x v="1380"/>
    <x v="120"/>
    <s v="FRIX00002835"/>
    <x v="0"/>
    <s v="Single Stock"/>
    <x v="0"/>
    <s v="SGG4D"/>
    <x v="2"/>
    <s v="Non-significant benchmark"/>
    <n v="0"/>
    <n v="0"/>
    <n v="0"/>
    <n v="0"/>
    <n v="0"/>
    <n v="0"/>
    <x v="0"/>
    <x v="1"/>
    <s v=""/>
    <s v=""/>
    <n v="0"/>
  </r>
  <r>
    <x v="1381"/>
    <x v="120"/>
    <s v="FRIX00002827"/>
    <x v="0"/>
    <s v="Single Stock"/>
    <x v="0"/>
    <s v="SGG4G"/>
    <x v="2"/>
    <s v="Non-significant benchmark"/>
    <n v="0"/>
    <n v="0"/>
    <n v="0"/>
    <n v="0"/>
    <n v="0"/>
    <n v="0"/>
    <x v="0"/>
    <x v="1"/>
    <s v=""/>
    <s v=""/>
    <n v="0"/>
  </r>
  <r>
    <x v="1382"/>
    <x v="120"/>
    <s v="FRIX00002504"/>
    <x v="0"/>
    <s v="Single Stock"/>
    <x v="0"/>
    <s v="SGG3G"/>
    <x v="2"/>
    <s v="Non-significant benchmark"/>
    <n v="0"/>
    <n v="0"/>
    <n v="0"/>
    <n v="0"/>
    <n v="0"/>
    <n v="0"/>
    <x v="0"/>
    <x v="1"/>
    <s v=""/>
    <s v=""/>
    <n v="0"/>
  </r>
  <r>
    <x v="1383"/>
    <x v="120"/>
    <s v="FRIX00002819"/>
    <x v="0"/>
    <s v="Single Stock"/>
    <x v="0"/>
    <s v="SGG4P"/>
    <x v="2"/>
    <s v="Non-significant benchmark"/>
    <n v="0"/>
    <n v="0"/>
    <n v="0"/>
    <n v="0"/>
    <n v="0"/>
    <n v="0"/>
    <x v="0"/>
    <x v="1"/>
    <s v=""/>
    <s v=""/>
    <n v="0"/>
  </r>
  <r>
    <x v="1384"/>
    <x v="120"/>
    <s v="FRIX00002496"/>
    <x v="0"/>
    <s v="Single Stock"/>
    <x v="0"/>
    <s v="SGG3P"/>
    <x v="2"/>
    <s v="Non-significant benchmark"/>
    <n v="0"/>
    <n v="0"/>
    <n v="0"/>
    <n v="0"/>
    <n v="0"/>
    <n v="0"/>
    <x v="0"/>
    <x v="1"/>
    <s v=""/>
    <s v=""/>
    <n v="0"/>
  </r>
  <r>
    <x v="1385"/>
    <x v="120"/>
    <s v="FRIX00003023"/>
    <x v="0"/>
    <s v="Single Stock"/>
    <x v="0"/>
    <s v="SGS4D"/>
    <x v="2"/>
    <s v="Non-significant benchmark"/>
    <n v="9075900"/>
    <n v="60000000"/>
    <n v="0"/>
    <n v="0"/>
    <n v="0"/>
    <n v="0"/>
    <x v="177"/>
    <x v="1"/>
    <s v=""/>
    <s v=""/>
    <n v="0"/>
  </r>
  <r>
    <x v="1386"/>
    <x v="120"/>
    <s v="FRIX00003007"/>
    <x v="0"/>
    <s v="Single Stock"/>
    <x v="0"/>
    <s v="SGS4P"/>
    <x v="2"/>
    <s v="Non-significant benchmark"/>
    <n v="0"/>
    <n v="0"/>
    <n v="0"/>
    <n v="0"/>
    <n v="0"/>
    <n v="0"/>
    <x v="0"/>
    <x v="1"/>
    <s v=""/>
    <s v=""/>
    <n v="0"/>
  </r>
  <r>
    <x v="1387"/>
    <x v="120"/>
    <s v="FRIX00002850"/>
    <x v="0"/>
    <s v="Single Stock"/>
    <x v="0"/>
    <s v="SGS3G"/>
    <x v="2"/>
    <s v="Non-significant benchmark"/>
    <n v="0"/>
    <n v="0"/>
    <n v="0"/>
    <n v="0"/>
    <n v="0"/>
    <n v="0"/>
    <x v="0"/>
    <x v="1"/>
    <s v=""/>
    <s v=""/>
    <n v="0"/>
  </r>
  <r>
    <x v="1388"/>
    <x v="120"/>
    <s v="FRIX00002843"/>
    <x v="0"/>
    <s v="Single Stock"/>
    <x v="0"/>
    <s v="SGS3P"/>
    <x v="2"/>
    <s v="Non-significant benchmark"/>
    <n v="0"/>
    <n v="0"/>
    <n v="0"/>
    <n v="0"/>
    <n v="0"/>
    <n v="0"/>
    <x v="0"/>
    <x v="1"/>
    <s v=""/>
    <s v=""/>
    <n v="0"/>
  </r>
  <r>
    <x v="1389"/>
    <x v="120"/>
    <s v="FRIX00002702"/>
    <x v="0"/>
    <s v="Single Stock"/>
    <x v="0"/>
    <s v="SGU2G"/>
    <x v="2"/>
    <s v="Non-significant benchmark"/>
    <n v="0"/>
    <n v="0"/>
    <n v="0"/>
    <n v="0"/>
    <n v="0"/>
    <n v="0"/>
    <x v="0"/>
    <x v="1"/>
    <s v=""/>
    <s v=""/>
    <n v="0"/>
  </r>
  <r>
    <x v="1390"/>
    <x v="120"/>
    <s v="FRIX00002694"/>
    <x v="0"/>
    <s v="Single Stock"/>
    <x v="0"/>
    <s v="SGU2P"/>
    <x v="2"/>
    <s v="Non-significant benchmark"/>
    <n v="0"/>
    <n v="0"/>
    <n v="0"/>
    <n v="0"/>
    <n v="0"/>
    <n v="0"/>
    <x v="0"/>
    <x v="1"/>
    <s v=""/>
    <s v=""/>
    <n v="0"/>
  </r>
  <r>
    <x v="1391"/>
    <x v="120"/>
    <s v="FRIX00003189"/>
    <x v="0"/>
    <s v="Single Stock"/>
    <x v="0"/>
    <s v="SSS3D"/>
    <x v="2"/>
    <s v="Non-significant benchmark"/>
    <n v="0"/>
    <n v="0"/>
    <n v="0"/>
    <n v="0"/>
    <n v="0"/>
    <n v="0"/>
    <x v="0"/>
    <x v="1"/>
    <s v=""/>
    <s v=""/>
    <n v="0"/>
  </r>
  <r>
    <x v="1392"/>
    <x v="120"/>
    <s v="FRIX00003171"/>
    <x v="0"/>
    <s v="Single Stock"/>
    <x v="0"/>
    <s v="SSS3G"/>
    <x v="2"/>
    <s v="Non-significant benchmark"/>
    <n v="0"/>
    <n v="0"/>
    <n v="0"/>
    <n v="0"/>
    <n v="0"/>
    <n v="0"/>
    <x v="0"/>
    <x v="1"/>
    <s v=""/>
    <s v=""/>
    <n v="0"/>
  </r>
  <r>
    <x v="1393"/>
    <x v="120"/>
    <s v="FRIX00003163"/>
    <x v="0"/>
    <s v="Single Stock"/>
    <x v="0"/>
    <s v="SSS3P"/>
    <x v="2"/>
    <s v="Non-significant benchmark"/>
    <n v="0"/>
    <n v="0"/>
    <n v="0"/>
    <n v="0"/>
    <n v="0"/>
    <n v="0"/>
    <x v="0"/>
    <x v="1"/>
    <s v=""/>
    <s v=""/>
    <n v="0"/>
  </r>
  <r>
    <x v="1394"/>
    <x v="227"/>
    <s v="FRIX00003239"/>
    <x v="0"/>
    <s v="Strategy"/>
    <x v="0"/>
    <s v="E3XLM"/>
    <x v="2"/>
    <s v="Non-significant benchmark"/>
    <n v="0"/>
    <n v="0"/>
    <n v="0"/>
    <n v="0"/>
    <n v="0"/>
    <n v="0"/>
    <x v="0"/>
    <x v="1"/>
    <s v=""/>
    <s v=""/>
    <n v="0"/>
  </r>
  <r>
    <x v="1395"/>
    <x v="227"/>
    <s v="FRIX00003247"/>
    <x v="0"/>
    <s v="Strategy"/>
    <x v="0"/>
    <s v="E3XSM"/>
    <x v="2"/>
    <s v="Non-significant benchmark"/>
    <n v="0"/>
    <n v="0"/>
    <n v="0"/>
    <n v="107921.68767119999"/>
    <n v="0"/>
    <n v="0"/>
    <x v="178"/>
    <x v="1"/>
    <s v=""/>
    <s v=""/>
    <n v="0"/>
  </r>
  <r>
    <x v="1396"/>
    <x v="227"/>
    <s v="FRIX00003221"/>
    <x v="0"/>
    <s v="Strategy"/>
    <x v="0"/>
    <s v="ENXMS"/>
    <x v="2"/>
    <s v="Non-significant benchmark"/>
    <n v="0"/>
    <n v="0"/>
    <n v="0"/>
    <n v="0"/>
    <n v="0"/>
    <n v="0"/>
    <x v="0"/>
    <x v="1"/>
    <s v=""/>
    <s v=""/>
    <n v="0"/>
  </r>
  <r>
    <x v="1397"/>
    <x v="228"/>
    <s v="NLIX00002229"/>
    <x v="0"/>
    <s v="Country"/>
    <x v="0"/>
    <s v="ECHGT"/>
    <x v="0"/>
    <s v="Non-significant benchmark"/>
    <n v="0"/>
    <n v="0"/>
    <n v="0"/>
    <n v="0"/>
    <n v="0"/>
    <n v="0"/>
    <x v="0"/>
    <x v="1"/>
    <s v=""/>
    <s v=""/>
    <s v="ECHPT"/>
  </r>
  <r>
    <x v="1398"/>
    <x v="228"/>
    <s v="NLIX00002211"/>
    <x v="0"/>
    <s v="Country"/>
    <x v="0"/>
    <s v="ECHNT"/>
    <x v="0"/>
    <s v="Non-significant benchmark"/>
    <n v="0"/>
    <n v="0"/>
    <n v="0"/>
    <n v="0"/>
    <n v="0"/>
    <n v="0"/>
    <x v="0"/>
    <x v="1"/>
    <s v=""/>
    <s v=""/>
    <s v="ECHPT"/>
  </r>
  <r>
    <x v="1399"/>
    <x v="228"/>
    <s v="NLIX00002203"/>
    <x v="0"/>
    <s v="Country"/>
    <x v="0"/>
    <s v="ECHPT"/>
    <x v="0"/>
    <s v="Non-significant benchmark"/>
    <n v="0"/>
    <n v="0"/>
    <n v="0"/>
    <n v="0"/>
    <n v="0"/>
    <n v="0"/>
    <x v="0"/>
    <x v="1"/>
    <s v=""/>
    <s v=""/>
    <s v="ECHPT"/>
  </r>
  <r>
    <x v="1400"/>
    <x v="229"/>
    <s v="NLIX00003946"/>
    <x v="0"/>
    <s v="Thematic"/>
    <x v="0"/>
    <s v="TBMAG"/>
    <x v="0"/>
    <s v="Non-significant benchmark"/>
    <n v="0"/>
    <n v="0"/>
    <n v="0"/>
    <n v="0"/>
    <n v="0"/>
    <n v="0"/>
    <x v="0"/>
    <x v="1"/>
    <s v=""/>
    <s v=""/>
    <n v="0"/>
  </r>
  <r>
    <x v="1401"/>
    <x v="229"/>
    <s v="NLIX00003938"/>
    <x v="0"/>
    <s v="Thematic"/>
    <x v="0"/>
    <s v="TBMAN"/>
    <x v="0"/>
    <s v="Non-significant benchmark"/>
    <n v="0"/>
    <n v="0"/>
    <n v="0"/>
    <n v="0"/>
    <n v="0"/>
    <n v="0"/>
    <x v="0"/>
    <x v="1"/>
    <s v=""/>
    <s v=""/>
    <n v="0"/>
  </r>
  <r>
    <x v="1402"/>
    <x v="229"/>
    <s v="NLIX00003920"/>
    <x v="0"/>
    <s v="Thematic"/>
    <x v="0"/>
    <s v="TBMA"/>
    <x v="0"/>
    <s v="Non-significant benchmark"/>
    <n v="0"/>
    <n v="0"/>
    <n v="0"/>
    <n v="0"/>
    <n v="0"/>
    <n v="0"/>
    <x v="0"/>
    <x v="1"/>
    <s v=""/>
    <s v=""/>
    <n v="0"/>
  </r>
  <r>
    <x v="1403"/>
    <x v="229"/>
    <s v="NLIX00003797"/>
    <x v="0"/>
    <s v="Thematic"/>
    <x v="0"/>
    <s v="TCDIG"/>
    <x v="0"/>
    <s v="Non-significant benchmark"/>
    <n v="0"/>
    <n v="0"/>
    <n v="0"/>
    <n v="0"/>
    <n v="0"/>
    <n v="0"/>
    <x v="0"/>
    <x v="1"/>
    <s v=""/>
    <s v=""/>
    <n v="0"/>
  </r>
  <r>
    <x v="1404"/>
    <x v="229"/>
    <s v="NLIX00003789"/>
    <x v="0"/>
    <s v="Thematic"/>
    <x v="0"/>
    <s v="TCDIN"/>
    <x v="0"/>
    <s v="Non-significant benchmark"/>
    <n v="0"/>
    <n v="0"/>
    <n v="0"/>
    <n v="0"/>
    <n v="0"/>
    <n v="0"/>
    <x v="0"/>
    <x v="1"/>
    <s v=""/>
    <s v=""/>
    <n v="0"/>
  </r>
  <r>
    <x v="1405"/>
    <x v="229"/>
    <s v="NLIX00003771"/>
    <x v="0"/>
    <s v="Thematic"/>
    <x v="0"/>
    <s v="TCDI"/>
    <x v="0"/>
    <s v="Non-significant benchmark"/>
    <n v="0"/>
    <n v="0"/>
    <n v="0"/>
    <n v="0"/>
    <n v="0"/>
    <n v="0"/>
    <x v="0"/>
    <x v="1"/>
    <s v=""/>
    <s v=""/>
    <n v="0"/>
  </r>
  <r>
    <x v="1406"/>
    <x v="229"/>
    <s v="NLIX00003763"/>
    <x v="0"/>
    <s v="Thematic"/>
    <x v="0"/>
    <s v="TCSTG"/>
    <x v="0"/>
    <s v="Non-significant benchmark"/>
    <n v="0"/>
    <n v="0"/>
    <n v="0"/>
    <n v="0"/>
    <n v="0"/>
    <n v="0"/>
    <x v="0"/>
    <x v="1"/>
    <s v=""/>
    <s v=""/>
    <n v="0"/>
  </r>
  <r>
    <x v="1407"/>
    <x v="229"/>
    <s v="NLIX00003755"/>
    <x v="0"/>
    <s v="Thematic"/>
    <x v="0"/>
    <s v="TCSTN"/>
    <x v="0"/>
    <s v="Non-significant benchmark"/>
    <n v="0"/>
    <n v="0"/>
    <n v="0"/>
    <n v="0"/>
    <n v="0"/>
    <n v="0"/>
    <x v="0"/>
    <x v="1"/>
    <s v=""/>
    <s v=""/>
    <n v="0"/>
  </r>
  <r>
    <x v="1408"/>
    <x v="229"/>
    <s v="NLIX00003748"/>
    <x v="0"/>
    <s v="Thematic"/>
    <x v="0"/>
    <s v="TCST"/>
    <x v="0"/>
    <s v="Non-significant benchmark"/>
    <n v="0"/>
    <n v="0"/>
    <n v="0"/>
    <n v="0"/>
    <n v="0"/>
    <n v="0"/>
    <x v="0"/>
    <x v="1"/>
    <s v=""/>
    <s v=""/>
    <n v="0"/>
  </r>
  <r>
    <x v="1409"/>
    <x v="229"/>
    <s v="NLIX00003730"/>
    <x v="0"/>
    <s v="Thematic"/>
    <x v="0"/>
    <s v="TENRG"/>
    <x v="0"/>
    <s v="Non-significant benchmark"/>
    <n v="0"/>
    <n v="0"/>
    <n v="0"/>
    <n v="0"/>
    <n v="0"/>
    <n v="0"/>
    <x v="0"/>
    <x v="1"/>
    <s v=""/>
    <s v=""/>
    <n v="0"/>
  </r>
  <r>
    <x v="1410"/>
    <x v="229"/>
    <s v="NLIX00003722"/>
    <x v="0"/>
    <s v="Thematic"/>
    <x v="0"/>
    <s v="TENRN"/>
    <x v="0"/>
    <s v="Non-significant benchmark"/>
    <n v="0"/>
    <n v="0"/>
    <n v="0"/>
    <n v="0"/>
    <n v="0"/>
    <n v="0"/>
    <x v="0"/>
    <x v="1"/>
    <s v=""/>
    <s v=""/>
    <n v="0"/>
  </r>
  <r>
    <x v="1411"/>
    <x v="229"/>
    <s v="NLIX00003714"/>
    <x v="0"/>
    <s v="Thematic"/>
    <x v="0"/>
    <s v="TENR"/>
    <x v="0"/>
    <s v="Non-significant benchmark"/>
    <n v="0"/>
    <n v="0"/>
    <n v="0"/>
    <n v="0"/>
    <n v="0"/>
    <n v="0"/>
    <x v="0"/>
    <x v="1"/>
    <s v=""/>
    <s v=""/>
    <n v="0"/>
  </r>
  <r>
    <x v="1412"/>
    <x v="229"/>
    <s v="NLIX00003821"/>
    <x v="0"/>
    <s v="Thematic"/>
    <x v="0"/>
    <s v="TFING"/>
    <x v="0"/>
    <s v="Non-significant benchmark"/>
    <n v="0"/>
    <n v="0"/>
    <n v="0"/>
    <n v="0"/>
    <n v="0"/>
    <n v="0"/>
    <x v="0"/>
    <x v="1"/>
    <s v=""/>
    <s v=""/>
    <n v="0"/>
  </r>
  <r>
    <x v="1413"/>
    <x v="229"/>
    <s v="NLIX00003813"/>
    <x v="0"/>
    <s v="Thematic"/>
    <x v="0"/>
    <s v="TFINN"/>
    <x v="0"/>
    <s v="Non-significant benchmark"/>
    <n v="0"/>
    <n v="0"/>
    <n v="0"/>
    <n v="0"/>
    <n v="0"/>
    <n v="0"/>
    <x v="0"/>
    <x v="1"/>
    <s v=""/>
    <s v=""/>
    <n v="0"/>
  </r>
  <r>
    <x v="1414"/>
    <x v="229"/>
    <s v="NLIX00003805"/>
    <x v="0"/>
    <s v="Thematic"/>
    <x v="0"/>
    <s v="TFINP"/>
    <x v="0"/>
    <s v="Non-significant benchmark"/>
    <n v="0"/>
    <n v="0"/>
    <n v="0"/>
    <n v="0"/>
    <n v="0"/>
    <n v="0"/>
    <x v="0"/>
    <x v="1"/>
    <s v=""/>
    <s v=""/>
    <n v="0"/>
  </r>
  <r>
    <x v="1415"/>
    <x v="229"/>
    <s v="NLIX00003912"/>
    <x v="0"/>
    <s v="Thematic"/>
    <x v="0"/>
    <s v="THECG"/>
    <x v="0"/>
    <s v="Non-significant benchmark"/>
    <n v="0"/>
    <n v="0"/>
    <n v="0"/>
    <n v="0"/>
    <n v="0"/>
    <n v="0"/>
    <x v="0"/>
    <x v="1"/>
    <s v=""/>
    <s v=""/>
    <n v="0"/>
  </r>
  <r>
    <x v="1416"/>
    <x v="229"/>
    <s v="NLIX00003904"/>
    <x v="0"/>
    <s v="Thematic"/>
    <x v="0"/>
    <s v="THECN"/>
    <x v="0"/>
    <s v="Non-significant benchmark"/>
    <n v="0"/>
    <n v="0"/>
    <n v="0"/>
    <n v="0"/>
    <n v="0"/>
    <n v="0"/>
    <x v="0"/>
    <x v="1"/>
    <s v=""/>
    <s v=""/>
    <n v="0"/>
  </r>
  <r>
    <x v="1417"/>
    <x v="229"/>
    <s v="NLIX00003896"/>
    <x v="0"/>
    <s v="Thematic"/>
    <x v="0"/>
    <s v="THEC"/>
    <x v="0"/>
    <s v="Non-significant benchmark"/>
    <n v="0"/>
    <n v="0"/>
    <n v="0"/>
    <n v="0"/>
    <n v="0"/>
    <n v="0"/>
    <x v="0"/>
    <x v="1"/>
    <s v=""/>
    <s v=""/>
    <n v="0"/>
  </r>
  <r>
    <x v="1418"/>
    <x v="229"/>
    <s v="NLIX00003854"/>
    <x v="0"/>
    <s v="Thematic"/>
    <x v="0"/>
    <s v="TINDG"/>
    <x v="0"/>
    <s v="Non-significant benchmark"/>
    <n v="0"/>
    <n v="0"/>
    <n v="0"/>
    <n v="0"/>
    <n v="0"/>
    <n v="0"/>
    <x v="0"/>
    <x v="1"/>
    <s v=""/>
    <s v=""/>
    <n v="0"/>
  </r>
  <r>
    <x v="1419"/>
    <x v="229"/>
    <s v="NLIX00003847"/>
    <x v="0"/>
    <s v="Thematic"/>
    <x v="0"/>
    <s v="TINDN"/>
    <x v="0"/>
    <s v="Non-significant benchmark"/>
    <n v="0"/>
    <n v="0"/>
    <n v="0"/>
    <n v="0"/>
    <n v="0"/>
    <n v="0"/>
    <x v="0"/>
    <x v="1"/>
    <s v=""/>
    <s v=""/>
    <n v="0"/>
  </r>
  <r>
    <x v="1420"/>
    <x v="229"/>
    <s v="NLIX00003839"/>
    <x v="0"/>
    <s v="Thematic"/>
    <x v="0"/>
    <s v="TIND"/>
    <x v="0"/>
    <s v="Non-significant benchmark"/>
    <n v="0"/>
    <n v="0"/>
    <n v="0"/>
    <n v="0"/>
    <n v="0"/>
    <n v="0"/>
    <x v="0"/>
    <x v="1"/>
    <s v=""/>
    <s v=""/>
    <n v="0"/>
  </r>
  <r>
    <x v="1421"/>
    <x v="229"/>
    <s v="NLIX00003706"/>
    <x v="0"/>
    <s v="Thematic"/>
    <x v="0"/>
    <s v="TTECG"/>
    <x v="0"/>
    <s v="Non-significant benchmark"/>
    <n v="0"/>
    <n v="0"/>
    <n v="0"/>
    <n v="0"/>
    <n v="0"/>
    <n v="0"/>
    <x v="0"/>
    <x v="1"/>
    <s v=""/>
    <s v=""/>
    <n v="0"/>
  </r>
  <r>
    <x v="1422"/>
    <x v="229"/>
    <s v="NLIX00003698"/>
    <x v="0"/>
    <s v="Thematic"/>
    <x v="0"/>
    <s v="TTECN"/>
    <x v="0"/>
    <s v="Non-significant benchmark"/>
    <n v="0"/>
    <n v="0"/>
    <n v="0"/>
    <n v="0"/>
    <n v="0"/>
    <n v="0"/>
    <x v="0"/>
    <x v="1"/>
    <s v=""/>
    <s v=""/>
    <n v="0"/>
  </r>
  <r>
    <x v="1423"/>
    <x v="229"/>
    <s v="NLIX00003680"/>
    <x v="0"/>
    <s v="Thematic"/>
    <x v="0"/>
    <s v="TTEC"/>
    <x v="0"/>
    <s v="Non-significant benchmark"/>
    <n v="0"/>
    <n v="0"/>
    <n v="0"/>
    <n v="0"/>
    <n v="0"/>
    <n v="0"/>
    <x v="0"/>
    <x v="1"/>
    <s v=""/>
    <s v=""/>
    <n v="0"/>
  </r>
  <r>
    <x v="1424"/>
    <x v="229"/>
    <s v="NLIX00003888"/>
    <x v="0"/>
    <s v="Thematic"/>
    <x v="0"/>
    <s v="TTELG"/>
    <x v="0"/>
    <s v="Non-significant benchmark"/>
    <n v="0"/>
    <n v="0"/>
    <n v="0"/>
    <n v="0"/>
    <n v="0"/>
    <n v="0"/>
    <x v="0"/>
    <x v="1"/>
    <s v=""/>
    <s v=""/>
    <n v="0"/>
  </r>
  <r>
    <x v="1425"/>
    <x v="229"/>
    <s v="NLIX00003870"/>
    <x v="0"/>
    <s v="Thematic"/>
    <x v="0"/>
    <s v="TTELN"/>
    <x v="0"/>
    <s v="Non-significant benchmark"/>
    <n v="0"/>
    <n v="0"/>
    <n v="0"/>
    <n v="0"/>
    <n v="0"/>
    <n v="0"/>
    <x v="0"/>
    <x v="1"/>
    <s v=""/>
    <s v=""/>
    <n v="0"/>
  </r>
  <r>
    <x v="1426"/>
    <x v="229"/>
    <s v="NLIX00003862"/>
    <x v="0"/>
    <s v="Thematic"/>
    <x v="0"/>
    <s v="TTEL"/>
    <x v="0"/>
    <s v="Non-significant benchmark"/>
    <n v="0"/>
    <n v="0"/>
    <n v="0"/>
    <n v="0"/>
    <n v="0"/>
    <n v="0"/>
    <x v="0"/>
    <x v="1"/>
    <s v=""/>
    <s v=""/>
    <n v="0"/>
  </r>
  <r>
    <x v="1427"/>
    <x v="229"/>
    <s v="NLIX00003979"/>
    <x v="0"/>
    <s v="Thematic"/>
    <x v="0"/>
    <s v="TUTIG"/>
    <x v="0"/>
    <s v="Non-significant benchmark"/>
    <n v="0"/>
    <n v="0"/>
    <n v="0"/>
    <n v="0"/>
    <n v="0"/>
    <n v="0"/>
    <x v="0"/>
    <x v="1"/>
    <s v=""/>
    <s v=""/>
    <n v="0"/>
  </r>
  <r>
    <x v="1428"/>
    <x v="229"/>
    <s v="NLIX00003961"/>
    <x v="0"/>
    <s v="Thematic"/>
    <x v="0"/>
    <s v="TUTIN"/>
    <x v="0"/>
    <s v="Non-significant benchmark"/>
    <n v="0"/>
    <n v="0"/>
    <n v="0"/>
    <n v="0"/>
    <n v="0"/>
    <n v="0"/>
    <x v="0"/>
    <x v="1"/>
    <s v=""/>
    <s v=""/>
    <n v="0"/>
  </r>
  <r>
    <x v="1429"/>
    <x v="229"/>
    <s v="NLIX00003953"/>
    <x v="0"/>
    <s v="Thematic"/>
    <x v="0"/>
    <s v="TUTI"/>
    <x v="0"/>
    <s v="Non-significant benchmark"/>
    <n v="0"/>
    <n v="0"/>
    <n v="0"/>
    <n v="0"/>
    <n v="0"/>
    <n v="0"/>
    <x v="0"/>
    <x v="1"/>
    <s v=""/>
    <s v=""/>
    <n v="0"/>
  </r>
  <r>
    <x v="1430"/>
    <x v="230"/>
    <s v="NLIX00002286"/>
    <x v="0"/>
    <s v="Country"/>
    <x v="0"/>
    <s v="EUKGT"/>
    <x v="0"/>
    <s v="Non-significant benchmark"/>
    <n v="0"/>
    <n v="0"/>
    <n v="0"/>
    <n v="0"/>
    <n v="0"/>
    <n v="0"/>
    <x v="0"/>
    <x v="1"/>
    <s v=""/>
    <s v=""/>
    <s v="EUKPT"/>
  </r>
  <r>
    <x v="1431"/>
    <x v="230"/>
    <s v="NLIX00002278"/>
    <x v="0"/>
    <s v="Country"/>
    <x v="0"/>
    <s v="EUKNT"/>
    <x v="0"/>
    <s v="Non-significant benchmark"/>
    <n v="0"/>
    <n v="0"/>
    <n v="0"/>
    <n v="0"/>
    <n v="0"/>
    <n v="0"/>
    <x v="0"/>
    <x v="1"/>
    <s v=""/>
    <s v=""/>
    <s v="EUKPT"/>
  </r>
  <r>
    <x v="1432"/>
    <x v="230"/>
    <s v="NLIX00002260"/>
    <x v="0"/>
    <s v="Country"/>
    <x v="0"/>
    <s v="EUKPT"/>
    <x v="0"/>
    <s v="Non-significant benchmark"/>
    <n v="0"/>
    <n v="0"/>
    <n v="0"/>
    <n v="0"/>
    <n v="0"/>
    <n v="0"/>
    <x v="0"/>
    <x v="1"/>
    <s v=""/>
    <s v=""/>
    <s v="EUKPT"/>
  </r>
  <r>
    <x v="1433"/>
    <x v="231"/>
    <s v="NLIX00002997"/>
    <x v="0"/>
    <s v="Thematic"/>
    <x v="0"/>
    <s v="EUSCS"/>
    <x v="0"/>
    <s v="Non-significant benchmark"/>
    <n v="0"/>
    <n v="0"/>
    <n v="0"/>
    <n v="0"/>
    <n v="0"/>
    <n v="0"/>
    <x v="0"/>
    <x v="1"/>
    <s v=""/>
    <s v=""/>
    <s v="EUSCS"/>
  </r>
  <r>
    <x v="1434"/>
    <x v="231"/>
    <s v="NLIX00003029"/>
    <x v="0"/>
    <s v="Thematic"/>
    <x v="0"/>
    <s v="ESC5D"/>
    <x v="0"/>
    <s v="Non-significant benchmark"/>
    <n v="0"/>
    <n v="0"/>
    <n v="0"/>
    <n v="0"/>
    <n v="0"/>
    <n v="0"/>
    <x v="0"/>
    <x v="1"/>
    <s v=""/>
    <s v=""/>
    <s v="EUSCS"/>
  </r>
  <r>
    <x v="1435"/>
    <x v="231"/>
    <s v="NLIX00003037"/>
    <x v="0"/>
    <s v="Thematic"/>
    <x v="0"/>
    <s v="ESC50"/>
    <x v="0"/>
    <s v="Non-significant benchmark"/>
    <n v="0"/>
    <n v="0"/>
    <n v="0"/>
    <n v="0"/>
    <n v="0"/>
    <n v="0"/>
    <x v="0"/>
    <x v="1"/>
    <s v=""/>
    <s v=""/>
    <s v="EUSCS"/>
  </r>
  <r>
    <x v="1436"/>
    <x v="231"/>
    <s v="NLIX00003003"/>
    <x v="0"/>
    <s v="Thematic"/>
    <x v="0"/>
    <s v="EUSCG"/>
    <x v="0"/>
    <s v="Non-significant benchmark"/>
    <n v="0"/>
    <n v="0"/>
    <n v="0"/>
    <n v="0"/>
    <n v="0"/>
    <n v="0"/>
    <x v="0"/>
    <x v="1"/>
    <s v=""/>
    <s v=""/>
    <s v="EUSCS"/>
  </r>
  <r>
    <x v="1437"/>
    <x v="231"/>
    <s v="NLIX00003011"/>
    <x v="0"/>
    <s v="Thematic"/>
    <x v="0"/>
    <s v="EUSCN"/>
    <x v="0"/>
    <s v="Non-significant benchmark"/>
    <n v="0"/>
    <n v="0"/>
    <n v="0"/>
    <n v="0"/>
    <n v="0"/>
    <n v="0"/>
    <x v="0"/>
    <x v="1"/>
    <s v=""/>
    <s v=""/>
    <s v="EUSCS"/>
  </r>
  <r>
    <x v="1438"/>
    <x v="232"/>
    <s v="NLIX00002161"/>
    <x v="0"/>
    <s v="Country"/>
    <x v="0"/>
    <s v="EUSGT"/>
    <x v="0"/>
    <s v="Non-significant benchmark"/>
    <n v="0"/>
    <n v="0"/>
    <n v="0"/>
    <n v="0"/>
    <n v="0"/>
    <n v="0"/>
    <x v="0"/>
    <x v="1"/>
    <s v=""/>
    <s v=""/>
    <s v="EUSPT"/>
  </r>
  <r>
    <x v="1439"/>
    <x v="232"/>
    <s v="NLIX00002153"/>
    <x v="0"/>
    <s v="Country"/>
    <x v="0"/>
    <s v="EUSNT"/>
    <x v="0"/>
    <s v="Non-significant benchmark"/>
    <n v="0"/>
    <n v="0"/>
    <n v="0"/>
    <n v="0"/>
    <n v="0"/>
    <n v="0"/>
    <x v="0"/>
    <x v="1"/>
    <s v=""/>
    <s v=""/>
    <s v="EUSPT"/>
  </r>
  <r>
    <x v="1440"/>
    <x v="232"/>
    <s v="NLIX00002146"/>
    <x v="0"/>
    <s v="Country"/>
    <x v="0"/>
    <s v="EUSPT"/>
    <x v="0"/>
    <s v="Non-significant benchmark"/>
    <n v="0"/>
    <n v="0"/>
    <n v="0"/>
    <n v="0"/>
    <n v="0"/>
    <n v="0"/>
    <x v="0"/>
    <x v="1"/>
    <s v=""/>
    <s v=""/>
    <s v="EUSPT"/>
  </r>
  <r>
    <x v="1441"/>
    <x v="233"/>
    <s v="NLIX00001569"/>
    <x v="0"/>
    <s v="International"/>
    <x v="0"/>
    <s v="ENWPE"/>
    <x v="0"/>
    <s v="Non-significant benchmark"/>
    <n v="0"/>
    <n v="0"/>
    <n v="0"/>
    <n v="0"/>
    <n v="0"/>
    <n v="0"/>
    <x v="0"/>
    <x v="1"/>
    <s v=""/>
    <s v=""/>
    <s v="ENWP"/>
  </r>
  <r>
    <x v="1442"/>
    <x v="234"/>
    <s v="FRIX00002777"/>
    <x v="1"/>
    <s v="International"/>
    <x v="0"/>
    <s v="WIFRP"/>
    <x v="2"/>
    <s v="Non-significant benchmark"/>
    <n v="0"/>
    <n v="0"/>
    <n v="0"/>
    <n v="0"/>
    <n v="0"/>
    <n v="0"/>
    <x v="0"/>
    <x v="1"/>
    <s v=""/>
    <s v=""/>
    <s v="WIFRP"/>
  </r>
  <r>
    <x v="1443"/>
    <x v="234"/>
    <s v="FRIX00002801"/>
    <x v="1"/>
    <s v="International"/>
    <x v="0"/>
    <s v="WIFRD"/>
    <x v="2"/>
    <s v="Non-significant benchmark"/>
    <n v="0"/>
    <n v="0"/>
    <n v="0"/>
    <n v="0"/>
    <n v="0"/>
    <n v="0"/>
    <x v="0"/>
    <x v="1"/>
    <s v=""/>
    <s v=""/>
    <s v="WIFRP"/>
  </r>
  <r>
    <x v="1444"/>
    <x v="234"/>
    <s v="FRIX00002793"/>
    <x v="1"/>
    <s v="International"/>
    <x v="0"/>
    <s v="WIFRG"/>
    <x v="2"/>
    <s v="Non-significant benchmark"/>
    <n v="0"/>
    <n v="0"/>
    <n v="0"/>
    <n v="0"/>
    <n v="0"/>
    <n v="0"/>
    <x v="0"/>
    <x v="1"/>
    <s v=""/>
    <s v=""/>
    <s v="WIFRP"/>
  </r>
  <r>
    <x v="1445"/>
    <x v="234"/>
    <s v="FRIX00002785"/>
    <x v="1"/>
    <s v="International"/>
    <x v="0"/>
    <s v="WIFRN"/>
    <x v="2"/>
    <s v="Non-significant benchmark"/>
    <n v="0"/>
    <n v="0"/>
    <n v="0"/>
    <n v="0"/>
    <n v="0"/>
    <n v="0"/>
    <x v="0"/>
    <x v="1"/>
    <s v=""/>
    <s v=""/>
    <s v="WIFRP"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  <r>
    <x v="1446"/>
    <x v="235"/>
    <m/>
    <x v="2"/>
    <m/>
    <x v="0"/>
    <m/>
    <x v="6"/>
    <m/>
    <m/>
    <m/>
    <m/>
    <m/>
    <m/>
    <m/>
    <x v="31"/>
    <x v="3"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915">
  <r>
    <x v="0"/>
    <x v="0"/>
    <s v="QS0011131990"/>
    <x v="0"/>
    <s v="Country"/>
    <m/>
    <s v="AEXGR"/>
    <s v="Euronext Amsterdam"/>
    <s v="Significant Benchmark"/>
    <n v="0"/>
    <n v="0"/>
    <n v="0"/>
    <n v="0"/>
    <n v="0"/>
    <n v="0"/>
    <n v="0"/>
  </r>
  <r>
    <x v="1"/>
    <x v="0"/>
    <s v="QS0011211156"/>
    <x v="0"/>
    <s v="Country"/>
    <m/>
    <s v="AEXNR"/>
    <s v="Euronext Amsterdam"/>
    <s v="Significant Benchmark"/>
    <n v="0"/>
    <n v="0"/>
    <n v="0"/>
    <n v="677345850.85687852"/>
    <n v="0"/>
    <n v="0"/>
    <n v="677345850.85687852"/>
  </r>
  <r>
    <x v="2"/>
    <x v="0"/>
    <s v="NL0000000107"/>
    <x v="0"/>
    <s v="Country"/>
    <m/>
    <s v="AEX"/>
    <s v="Euronext Amsterdam"/>
    <s v="Significant Benchmark"/>
    <n v="0"/>
    <n v="0"/>
    <n v="0"/>
    <n v="312464196"/>
    <n v="129973354484.88991"/>
    <n v="5109788683.8999996"/>
    <n v="135395607364.7899"/>
  </r>
  <r>
    <x v="3"/>
    <x v="1"/>
    <s v="BE0389555039"/>
    <x v="0"/>
    <s v="Country"/>
    <m/>
    <s v="BEL20"/>
    <s v="Euronext Brussels"/>
    <s v="Significant Benchmark"/>
    <n v="0"/>
    <n v="16859000"/>
    <n v="0"/>
    <n v="0"/>
    <n v="98109395.779999986"/>
    <n v="0"/>
    <n v="114968395.77999999"/>
  </r>
  <r>
    <x v="4"/>
    <x v="1"/>
    <s v="BE0389557050"/>
    <x v="0"/>
    <s v="Country"/>
    <m/>
    <s v="BEL2I"/>
    <s v="Euronext Brussels"/>
    <s v="Significant Benchmark"/>
    <n v="0"/>
    <n v="0"/>
    <n v="0"/>
    <n v="0"/>
    <n v="0"/>
    <n v="0"/>
    <n v="0"/>
  </r>
  <r>
    <x v="5"/>
    <x v="1"/>
    <s v="BE0389558066"/>
    <x v="0"/>
    <s v="Country"/>
    <m/>
    <s v="BEL2P"/>
    <s v="Euronext Brussels"/>
    <s v="Significant Benchmark"/>
    <n v="0"/>
    <n v="0"/>
    <n v="0"/>
    <n v="254158873"/>
    <n v="0"/>
    <n v="0"/>
    <n v="254158873"/>
  </r>
  <r>
    <x v="6"/>
    <x v="2"/>
    <s v="FR0003500008"/>
    <x v="0"/>
    <s v="Country"/>
    <m/>
    <s v="PX1"/>
    <s v="Euronext Paris"/>
    <s v="Significant Benchmark"/>
    <n v="6400000"/>
    <n v="1604993593.3999999"/>
    <n v="844402509.87160003"/>
    <n v="5314663.8350424878"/>
    <n v="155503185450.1496"/>
    <n v="22550396339.600002"/>
    <n v="178903298963.45627"/>
  </r>
  <r>
    <x v="7"/>
    <x v="2"/>
    <s v="QS0011131834"/>
    <x v="0"/>
    <s v="Country"/>
    <m/>
    <s v="PX1GR"/>
    <s v="Euronext Paris"/>
    <s v="Significant Benchmark"/>
    <n v="0"/>
    <n v="0"/>
    <n v="0"/>
    <n v="4378847212.6000004"/>
    <n v="297750"/>
    <n v="0"/>
    <n v="4379144962.6000004"/>
  </r>
  <r>
    <x v="8"/>
    <x v="2"/>
    <s v="QS0011131826"/>
    <x v="0"/>
    <s v="Country"/>
    <m/>
    <s v="PX1NR"/>
    <s v="Euronext Paris"/>
    <s v="Significant Benchmark"/>
    <n v="0"/>
    <n v="0"/>
    <n v="0"/>
    <n v="13336241280.458595"/>
    <n v="830000"/>
    <n v="0"/>
    <n v="13337071280.458595"/>
  </r>
  <r>
    <x v="9"/>
    <x v="3"/>
    <s v="IE00B0500264"/>
    <x v="0"/>
    <s v="Country"/>
    <m/>
    <s v="ISE20"/>
    <s v="Euronext Dublin"/>
    <s v="Significant Benchmark"/>
    <n v="0"/>
    <n v="0"/>
    <n v="0"/>
    <n v="0"/>
    <n v="0"/>
    <n v="0"/>
    <n v="0"/>
  </r>
  <r>
    <x v="10"/>
    <x v="3"/>
    <s v="IE00B0500488"/>
    <x v="0"/>
    <s v="Country"/>
    <m/>
    <s v="ISE2G"/>
    <s v="Euronext Dublin"/>
    <s v="Significant Benchmark"/>
    <n v="0"/>
    <n v="0"/>
    <n v="0"/>
    <n v="0"/>
    <n v="0"/>
    <n v="0"/>
    <n v="0"/>
  </r>
  <r>
    <x v="11"/>
    <x v="4"/>
    <s v="PTING0200002"/>
    <x v="0"/>
    <s v="Country"/>
    <m/>
    <s v="PSI20"/>
    <s v="Euronext Lisbon"/>
    <s v="Significant Benchmark"/>
    <n v="0"/>
    <n v="0"/>
    <n v="0"/>
    <n v="46327741"/>
    <n v="170404935.03"/>
    <n v="89588556"/>
    <n v="306321232.02999997"/>
  </r>
  <r>
    <x v="12"/>
    <x v="4"/>
    <s v="PTING0210001"/>
    <x v="0"/>
    <s v="Country"/>
    <m/>
    <s v="PSITR"/>
    <s v="Euronext Lisbon"/>
    <s v="Significant Benchmark"/>
    <n v="0"/>
    <n v="0"/>
    <n v="0"/>
    <n v="301958144.69999993"/>
    <n v="0"/>
    <n v="0"/>
    <n v="301958144.69999993"/>
  </r>
  <r>
    <x v="13"/>
    <x v="4"/>
    <s v="QS0011211180"/>
    <x v="0"/>
    <s v="Country"/>
    <m/>
    <s v="PSINR"/>
    <s v="Euronext Lisbon"/>
    <s v="Significant Benchmark"/>
    <n v="0"/>
    <n v="0"/>
    <n v="0"/>
    <n v="0"/>
    <n v="0"/>
    <n v="0"/>
    <n v="0"/>
  </r>
  <r>
    <x v="14"/>
    <x v="0"/>
    <s v="NL0010614491"/>
    <x v="0"/>
    <s v="Country"/>
    <m/>
    <s v="AEXAT"/>
    <s v="Euronext Amsterdam"/>
    <s v="Non-significant benchmark"/>
    <n v="0"/>
    <n v="0"/>
    <n v="0"/>
    <n v="0"/>
    <n v="0"/>
    <n v="0"/>
    <n v="0"/>
  </r>
  <r>
    <x v="15"/>
    <x v="0"/>
    <s v="NL0010614541"/>
    <x v="0"/>
    <s v="Country"/>
    <m/>
    <s v="ATAWG"/>
    <s v="Euronext Amsterdam"/>
    <s v="Non-significant benchmark"/>
    <n v="0"/>
    <n v="0"/>
    <n v="0"/>
    <n v="0"/>
    <n v="0"/>
    <n v="0"/>
    <n v="0"/>
  </r>
  <r>
    <x v="16"/>
    <x v="0"/>
    <s v="NL0010614533"/>
    <x v="0"/>
    <s v="Country"/>
    <m/>
    <s v="ATAWN"/>
    <s v="Euronext Amsterdam"/>
    <s v="Non-significant benchmark"/>
    <n v="0"/>
    <n v="0"/>
    <n v="0"/>
    <n v="515734000"/>
    <n v="0"/>
    <n v="0"/>
    <n v="515734000"/>
  </r>
  <r>
    <x v="17"/>
    <x v="0"/>
    <s v="NL0010614525"/>
    <x v="0"/>
    <s v="Country"/>
    <m/>
    <s v="AETAW"/>
    <s v="Euronext Amsterdam"/>
    <s v="Non-significant benchmark"/>
    <n v="0"/>
    <n v="0"/>
    <n v="0"/>
    <n v="0"/>
    <n v="0"/>
    <n v="0"/>
    <n v="0"/>
  </r>
  <r>
    <x v="18"/>
    <x v="0"/>
    <s v="NL0010614517"/>
    <x v="0"/>
    <s v="Country"/>
    <m/>
    <s v="AEXTG"/>
    <s v="Euronext Amsterdam"/>
    <s v="Non-significant benchmark"/>
    <n v="0"/>
    <n v="0"/>
    <n v="0"/>
    <n v="0"/>
    <n v="0"/>
    <n v="0"/>
    <n v="0"/>
  </r>
  <r>
    <x v="19"/>
    <x v="0"/>
    <s v="NL0010614509"/>
    <x v="0"/>
    <s v="Country"/>
    <m/>
    <s v="AEXTN"/>
    <s v="Euronext Amsterdam"/>
    <s v="Non-significant benchmark"/>
    <n v="0"/>
    <n v="0"/>
    <n v="0"/>
    <n v="0"/>
    <n v="0"/>
    <n v="0"/>
    <n v="0"/>
  </r>
  <r>
    <x v="20"/>
    <x v="0"/>
    <s v="QS0011204763"/>
    <x v="0"/>
    <s v="Country"/>
    <m/>
    <s v="AMXGR"/>
    <s v="Euronext Amsterdam"/>
    <s v="Non-significant benchmark"/>
    <n v="0"/>
    <n v="0"/>
    <n v="0"/>
    <n v="0"/>
    <n v="0"/>
    <n v="0"/>
    <n v="0"/>
  </r>
  <r>
    <x v="21"/>
    <x v="0"/>
    <s v="QS0011211164"/>
    <x v="0"/>
    <s v="Country"/>
    <m/>
    <s v="AMXNR"/>
    <s v="Euronext Amsterdam"/>
    <s v="Non-significant benchmark"/>
    <n v="0"/>
    <n v="0"/>
    <n v="0"/>
    <n v="0"/>
    <n v="0"/>
    <n v="0"/>
    <n v="0"/>
  </r>
  <r>
    <x v="22"/>
    <x v="0"/>
    <s v="NL0000249274"/>
    <x v="0"/>
    <s v="Country"/>
    <m/>
    <s v="AMX"/>
    <s v="Euronext Amsterdam"/>
    <s v="Non-significant benchmark"/>
    <n v="0"/>
    <n v="0"/>
    <n v="0"/>
    <n v="20265013"/>
    <n v="33210000"/>
    <n v="0"/>
    <n v="53475013"/>
  </r>
  <r>
    <x v="23"/>
    <x v="0"/>
    <s v="QS0011204995"/>
    <x v="0"/>
    <s v="Country"/>
    <m/>
    <s v="ASCXG"/>
    <s v="Euronext Amsterdam"/>
    <s v="Non-significant benchmark"/>
    <n v="0"/>
    <n v="0"/>
    <n v="0"/>
    <n v="0"/>
    <n v="0"/>
    <n v="0"/>
    <n v="0"/>
  </r>
  <r>
    <x v="24"/>
    <x v="0"/>
    <s v="QS0011211172"/>
    <x v="0"/>
    <s v="Country"/>
    <m/>
    <s v="ASCXN"/>
    <s v="Euronext Amsterdam"/>
    <s v="Non-significant benchmark"/>
    <n v="0"/>
    <n v="0"/>
    <n v="0"/>
    <n v="0"/>
    <n v="0"/>
    <n v="0"/>
    <n v="0"/>
  </r>
  <r>
    <x v="25"/>
    <x v="0"/>
    <s v="NL0000249142"/>
    <x v="0"/>
    <s v="Country"/>
    <m/>
    <s v="ASCX"/>
    <s v="Euronext Amsterdam"/>
    <s v="Non-significant benchmark"/>
    <n v="0"/>
    <n v="0"/>
    <n v="0"/>
    <n v="0"/>
    <n v="617600"/>
    <n v="0"/>
    <n v="617600"/>
  </r>
  <r>
    <x v="26"/>
    <x v="5"/>
    <s v="NL0000249100"/>
    <x v="0"/>
    <s v="Country"/>
    <m/>
    <s v="AAX"/>
    <s v="Euronext Amsterdam"/>
    <s v="Non-significant benchmark"/>
    <n v="0"/>
    <n v="0"/>
    <n v="0"/>
    <n v="0"/>
    <n v="0"/>
    <n v="0"/>
    <n v="0"/>
  </r>
  <r>
    <x v="27"/>
    <x v="5"/>
    <s v="QS0011224977"/>
    <x v="0"/>
    <s v="Country"/>
    <m/>
    <s v="AAXG"/>
    <s v="Euronext Amsterdam"/>
    <s v="Non-significant benchmark"/>
    <n v="0"/>
    <n v="0"/>
    <n v="0"/>
    <n v="0"/>
    <n v="0"/>
    <n v="0"/>
    <n v="0"/>
  </r>
  <r>
    <x v="28"/>
    <x v="5"/>
    <s v="QS0011016480"/>
    <x v="0"/>
    <s v="Industry"/>
    <m/>
    <s v="NLBM"/>
    <s v="Euronext Amsterdam"/>
    <s v="Non-significant benchmark"/>
    <n v="0"/>
    <n v="0"/>
    <n v="0"/>
    <n v="0"/>
    <n v="0"/>
    <n v="0"/>
    <n v="0"/>
  </r>
  <r>
    <x v="29"/>
    <x v="5"/>
    <s v="QS0011225396"/>
    <x v="0"/>
    <s v="Industry"/>
    <m/>
    <s v="NLBMG"/>
    <s v="Euronext Amsterdam"/>
    <s v="Non-significant benchmark"/>
    <n v="0"/>
    <n v="0"/>
    <n v="0"/>
    <n v="0"/>
    <n v="0"/>
    <n v="0"/>
    <n v="0"/>
  </r>
  <r>
    <x v="30"/>
    <x v="5"/>
    <s v="QS0011016530"/>
    <x v="0"/>
    <s v="Industry"/>
    <m/>
    <s v="NLCG"/>
    <s v="Euronext Amsterdam"/>
    <s v="Non-significant benchmark"/>
    <n v="0"/>
    <n v="0"/>
    <n v="0"/>
    <n v="0"/>
    <n v="0"/>
    <n v="0"/>
    <n v="0"/>
  </r>
  <r>
    <x v="31"/>
    <x v="5"/>
    <s v="QS0011225404"/>
    <x v="0"/>
    <s v="Industry"/>
    <m/>
    <s v="NLCGG"/>
    <s v="Euronext Amsterdam"/>
    <s v="Non-significant benchmark"/>
    <n v="0"/>
    <n v="0"/>
    <n v="0"/>
    <n v="0"/>
    <n v="0"/>
    <n v="0"/>
    <n v="0"/>
  </r>
  <r>
    <x v="32"/>
    <x v="5"/>
    <s v="QS0011016563"/>
    <x v="0"/>
    <s v="Industry"/>
    <m/>
    <s v="NLCS"/>
    <s v="Euronext Amsterdam"/>
    <s v="Non-significant benchmark"/>
    <n v="0"/>
    <n v="0"/>
    <n v="0"/>
    <n v="0"/>
    <n v="0"/>
    <n v="0"/>
    <n v="0"/>
  </r>
  <r>
    <x v="33"/>
    <x v="5"/>
    <s v="QS0011225420"/>
    <x v="0"/>
    <s v="Industry"/>
    <m/>
    <s v="NLCSG"/>
    <s v="Euronext Amsterdam"/>
    <s v="Non-significant benchmark"/>
    <n v="0"/>
    <n v="0"/>
    <n v="0"/>
    <n v="0"/>
    <n v="0"/>
    <n v="0"/>
    <n v="0"/>
  </r>
  <r>
    <x v="34"/>
    <x v="5"/>
    <s v="QS0011016472"/>
    <x v="0"/>
    <s v="Industry"/>
    <m/>
    <s v="NLOG"/>
    <s v="Euronext Amsterdam"/>
    <s v="Non-significant benchmark"/>
    <n v="0"/>
    <n v="0"/>
    <n v="0"/>
    <n v="0"/>
    <n v="0"/>
    <n v="0"/>
    <n v="0"/>
  </r>
  <r>
    <x v="35"/>
    <x v="5"/>
    <s v="QS0011224829"/>
    <x v="0"/>
    <s v="Industry"/>
    <m/>
    <s v="NLOGG"/>
    <s v="Euronext Amsterdam"/>
    <s v="Non-significant benchmark"/>
    <n v="0"/>
    <n v="0"/>
    <n v="0"/>
    <n v="0"/>
    <n v="0"/>
    <n v="0"/>
    <n v="0"/>
  </r>
  <r>
    <x v="36"/>
    <x v="5"/>
    <s v="QS0011016605"/>
    <x v="0"/>
    <s v="Industry"/>
    <m/>
    <s v="NLFIN"/>
    <s v="Euronext Amsterdam"/>
    <s v="Non-significant benchmark"/>
    <n v="0"/>
    <n v="0"/>
    <n v="0"/>
    <n v="0"/>
    <n v="0"/>
    <n v="0"/>
    <n v="0"/>
  </r>
  <r>
    <x v="37"/>
    <x v="5"/>
    <s v="QS0011224522"/>
    <x v="0"/>
    <s v="Industry"/>
    <m/>
    <s v="NLFNG"/>
    <s v="Euronext Amsterdam"/>
    <s v="Non-significant benchmark"/>
    <n v="0"/>
    <n v="0"/>
    <n v="0"/>
    <n v="0"/>
    <n v="0"/>
    <n v="0"/>
    <n v="0"/>
  </r>
  <r>
    <x v="38"/>
    <x v="5"/>
    <s v="QS0011016555"/>
    <x v="0"/>
    <s v="Industry"/>
    <m/>
    <s v="NLHC"/>
    <s v="Euronext Amsterdam"/>
    <s v="Non-significant benchmark"/>
    <n v="0"/>
    <n v="0"/>
    <n v="0"/>
    <n v="0"/>
    <n v="0"/>
    <n v="0"/>
    <n v="0"/>
  </r>
  <r>
    <x v="39"/>
    <x v="5"/>
    <s v="QS0011224589"/>
    <x v="0"/>
    <s v="Industry"/>
    <m/>
    <s v="NLHCG"/>
    <s v="Euronext Amsterdam"/>
    <s v="Non-significant benchmark"/>
    <n v="0"/>
    <n v="0"/>
    <n v="0"/>
    <n v="0"/>
    <n v="0"/>
    <n v="0"/>
    <n v="0"/>
  </r>
  <r>
    <x v="40"/>
    <x v="5"/>
    <s v="QS0011016506"/>
    <x v="0"/>
    <s v="Industry"/>
    <m/>
    <s v="NLIN"/>
    <s v="Euronext Amsterdam"/>
    <s v="Non-significant benchmark"/>
    <n v="0"/>
    <n v="0"/>
    <n v="0"/>
    <n v="0"/>
    <n v="0"/>
    <n v="0"/>
    <n v="0"/>
  </r>
  <r>
    <x v="41"/>
    <x v="5"/>
    <s v="QS0011224662"/>
    <x v="0"/>
    <s v="Industry"/>
    <m/>
    <s v="NLING"/>
    <s v="Euronext Amsterdam"/>
    <s v="Non-significant benchmark"/>
    <n v="0"/>
    <n v="0"/>
    <n v="0"/>
    <n v="0"/>
    <n v="0"/>
    <n v="0"/>
    <n v="0"/>
  </r>
  <r>
    <x v="42"/>
    <x v="5"/>
    <s v="NL0014787053"/>
    <x v="0"/>
    <s v="Industry"/>
    <m/>
    <s v="NLRE"/>
    <s v="Euronext Amsterdam"/>
    <s v="Non-significant benchmark"/>
    <n v="0"/>
    <n v="0"/>
    <n v="0"/>
    <n v="0"/>
    <n v="0"/>
    <n v="0"/>
    <n v="0"/>
  </r>
  <r>
    <x v="43"/>
    <x v="5"/>
    <s v="NL0014787061"/>
    <x v="0"/>
    <s v="Industry"/>
    <m/>
    <s v="NLREG"/>
    <s v="Euronext Amsterdam"/>
    <s v="Non-significant benchmark"/>
    <n v="0"/>
    <n v="0"/>
    <n v="0"/>
    <n v="0"/>
    <n v="0"/>
    <n v="0"/>
    <n v="0"/>
  </r>
  <r>
    <x v="44"/>
    <x v="5"/>
    <s v="QS0011016613"/>
    <x v="0"/>
    <s v="Industry"/>
    <m/>
    <s v="NLTEC"/>
    <s v="Euronext Amsterdam"/>
    <s v="Non-significant benchmark"/>
    <n v="0"/>
    <n v="0"/>
    <n v="0"/>
    <n v="0"/>
    <n v="0"/>
    <n v="0"/>
    <n v="0"/>
  </r>
  <r>
    <x v="45"/>
    <x v="5"/>
    <s v="QS0011224936"/>
    <x v="0"/>
    <s v="Industry"/>
    <m/>
    <s v="NLTCG"/>
    <s v="Euronext Amsterdam"/>
    <s v="Non-significant benchmark"/>
    <n v="0"/>
    <n v="0"/>
    <n v="0"/>
    <n v="0"/>
    <n v="0"/>
    <n v="0"/>
    <n v="0"/>
  </r>
  <r>
    <x v="46"/>
    <x v="5"/>
    <s v="QS0011016589"/>
    <x v="0"/>
    <s v="Industry"/>
    <m/>
    <s v="NLTEL"/>
    <s v="Euronext Amsterdam"/>
    <s v="Non-significant benchmark"/>
    <n v="0"/>
    <n v="0"/>
    <n v="0"/>
    <n v="0"/>
    <n v="0"/>
    <n v="0"/>
    <n v="0"/>
  </r>
  <r>
    <x v="47"/>
    <x v="5"/>
    <s v="QS0011224944"/>
    <x v="0"/>
    <s v="Industry"/>
    <m/>
    <s v="NLTLG"/>
    <s v="Euronext Amsterdam"/>
    <s v="Non-significant benchmark"/>
    <n v="0"/>
    <n v="0"/>
    <n v="0"/>
    <n v="0"/>
    <n v="0"/>
    <n v="0"/>
    <n v="0"/>
  </r>
  <r>
    <x v="48"/>
    <x v="5"/>
    <s v="NL00150006J3"/>
    <x v="0"/>
    <s v="Industry"/>
    <m/>
    <s v="NLUT"/>
    <s v="Euronext Amsterdam"/>
    <s v="Non-significant benchmark"/>
    <n v="0"/>
    <n v="0"/>
    <n v="0"/>
    <n v="0"/>
    <n v="0"/>
    <n v="0"/>
    <n v="0"/>
  </r>
  <r>
    <x v="49"/>
    <x v="5"/>
    <s v="NL00150006K1"/>
    <x v="0"/>
    <s v="Industry"/>
    <m/>
    <s v="NLUTG"/>
    <s v="Euronext Amsterdam"/>
    <s v="Non-significant benchmark"/>
    <n v="0"/>
    <n v="0"/>
    <n v="0"/>
    <n v="0"/>
    <n v="0"/>
    <n v="0"/>
    <n v="0"/>
  </r>
  <r>
    <x v="50"/>
    <x v="6"/>
    <s v="NLESG0000030"/>
    <x v="1"/>
    <s v="Broad ESG"/>
    <s v="ESG Other"/>
    <s v="AESGG"/>
    <s v="Euronext Amsterdam"/>
    <s v="Non-significant benchmark"/>
    <n v="0"/>
    <n v="0"/>
    <n v="0"/>
    <n v="0"/>
    <n v="0"/>
    <n v="0"/>
    <n v="0"/>
  </r>
  <r>
    <x v="51"/>
    <x v="6"/>
    <s v="NLESG0000022"/>
    <x v="1"/>
    <s v="Broad ESG"/>
    <s v="ESG Other"/>
    <s v="AESGN"/>
    <s v="Euronext Amsterdam"/>
    <s v="Non-significant benchmark"/>
    <n v="0"/>
    <n v="0"/>
    <n v="0"/>
    <n v="0"/>
    <n v="0"/>
    <n v="0"/>
    <n v="0"/>
  </r>
  <r>
    <x v="52"/>
    <x v="6"/>
    <s v="NLESG0000014"/>
    <x v="1"/>
    <s v="Broad ESG"/>
    <s v="ESG Other"/>
    <s v="AESGP"/>
    <s v="Euronext Amsterdam"/>
    <s v="Non-significant benchmark"/>
    <n v="0"/>
    <n v="0"/>
    <n v="0"/>
    <n v="0"/>
    <n v="0"/>
    <n v="0"/>
    <n v="0"/>
  </r>
  <r>
    <x v="53"/>
    <x v="7"/>
    <s v="QS0011158126"/>
    <x v="0"/>
    <s v="Strategy"/>
    <m/>
    <s v="AEXDI"/>
    <s v="Euronext Amsterdam"/>
    <s v="Non-significant benchmark"/>
    <n v="0"/>
    <n v="0"/>
    <n v="0"/>
    <n v="0"/>
    <n v="0"/>
    <n v="470000"/>
    <n v="470000"/>
  </r>
  <r>
    <x v="54"/>
    <x v="8"/>
    <s v="QS0011159744"/>
    <x v="0"/>
    <s v="Country"/>
    <m/>
    <s v="AEXEW"/>
    <s v="Euronext Amsterdam"/>
    <s v="Non-significant benchmark"/>
    <n v="0"/>
    <n v="0"/>
    <n v="0"/>
    <n v="0"/>
    <n v="0"/>
    <n v="0"/>
    <n v="0"/>
  </r>
  <r>
    <x v="55"/>
    <x v="8"/>
    <s v="QS0011211222"/>
    <x v="0"/>
    <s v="Country"/>
    <m/>
    <s v="AEXEG"/>
    <s v="Euronext Amsterdam"/>
    <s v="Non-significant benchmark"/>
    <n v="0"/>
    <n v="0"/>
    <n v="0"/>
    <n v="0"/>
    <n v="0"/>
    <n v="0"/>
    <n v="0"/>
  </r>
  <r>
    <x v="56"/>
    <x v="8"/>
    <s v="QS0011211206"/>
    <x v="0"/>
    <s v="Country"/>
    <m/>
    <s v="AEXEN"/>
    <s v="Euronext Amsterdam"/>
    <s v="Non-significant benchmark"/>
    <n v="0"/>
    <n v="0"/>
    <n v="0"/>
    <n v="0"/>
    <n v="0"/>
    <n v="0"/>
    <n v="0"/>
  </r>
  <r>
    <x v="57"/>
    <x v="9"/>
    <s v="QS0011257225"/>
    <x v="0"/>
    <e v="#N/A"/>
    <m/>
    <s v="AEEXT"/>
    <s v="Euronext Amsterdam"/>
    <s v="Non-significant benchmark"/>
    <n v="0"/>
    <n v="0"/>
    <n v="0"/>
    <n v="0"/>
    <n v="0"/>
    <n v="0"/>
    <n v="0"/>
  </r>
  <r>
    <x v="58"/>
    <x v="1"/>
    <s v="BE0389856130"/>
    <x v="0"/>
    <s v="Country"/>
    <m/>
    <s v="BELM"/>
    <s v="Euronext Brussels"/>
    <s v="Non-significant benchmark"/>
    <n v="0"/>
    <n v="0"/>
    <n v="0"/>
    <n v="0"/>
    <n v="0"/>
    <n v="0"/>
    <n v="0"/>
  </r>
  <r>
    <x v="59"/>
    <x v="1"/>
    <s v="QS0011211230"/>
    <x v="0"/>
    <s v="Country"/>
    <m/>
    <s v="BELMG"/>
    <s v="Euronext Brussels"/>
    <s v="Non-significant benchmark"/>
    <n v="0"/>
    <n v="0"/>
    <n v="0"/>
    <n v="0"/>
    <n v="0"/>
    <n v="0"/>
    <n v="0"/>
  </r>
  <r>
    <x v="60"/>
    <x v="1"/>
    <s v="BE0389561094"/>
    <x v="0"/>
    <s v="Country"/>
    <m/>
    <s v="BELMC"/>
    <s v="Euronext Brussels"/>
    <s v="Non-significant benchmark"/>
    <n v="0"/>
    <n v="0"/>
    <n v="0"/>
    <n v="0"/>
    <n v="0"/>
    <n v="0"/>
    <n v="0"/>
  </r>
  <r>
    <x v="61"/>
    <x v="1"/>
    <s v="BE0389857146"/>
    <x v="0"/>
    <s v="Country"/>
    <m/>
    <s v="BELS"/>
    <s v="Euronext Brussels"/>
    <s v="Non-significant benchmark"/>
    <n v="0"/>
    <n v="0"/>
    <n v="0"/>
    <n v="0"/>
    <n v="0"/>
    <n v="0"/>
    <n v="0"/>
  </r>
  <r>
    <x v="62"/>
    <x v="1"/>
    <s v="QS0011211248"/>
    <x v="0"/>
    <s v="Country"/>
    <m/>
    <s v="BELSG"/>
    <s v="Euronext Brussels"/>
    <s v="Non-significant benchmark"/>
    <n v="0"/>
    <n v="0"/>
    <n v="0"/>
    <n v="0"/>
    <n v="0"/>
    <n v="0"/>
    <n v="0"/>
  </r>
  <r>
    <x v="63"/>
    <x v="1"/>
    <s v="BE0389556045"/>
    <x v="0"/>
    <s v="Country"/>
    <m/>
    <s v="BELSC"/>
    <s v="Euronext Brussels"/>
    <s v="Non-significant benchmark"/>
    <n v="0"/>
    <n v="0"/>
    <n v="0"/>
    <n v="0"/>
    <n v="0"/>
    <n v="0"/>
    <n v="0"/>
  </r>
  <r>
    <x v="64"/>
    <x v="10"/>
    <s v="BE0389549941"/>
    <x v="0"/>
    <s v="Country"/>
    <m/>
    <s v="BELAS"/>
    <s v="Euronext Brussels"/>
    <s v="Non-significant benchmark"/>
    <n v="0"/>
    <n v="0"/>
    <n v="0"/>
    <n v="0"/>
    <n v="0"/>
    <n v="0"/>
    <n v="0"/>
  </r>
  <r>
    <x v="65"/>
    <x v="10"/>
    <s v="BE0389550956"/>
    <x v="0"/>
    <s v="Country"/>
    <m/>
    <s v="BELAR"/>
    <s v="Euronext Brussels"/>
    <s v="Non-significant benchmark"/>
    <n v="0"/>
    <n v="0"/>
    <n v="0"/>
    <n v="0"/>
    <n v="0"/>
    <n v="0"/>
    <n v="0"/>
  </r>
  <r>
    <x v="66"/>
    <x v="10"/>
    <s v="QS0011224910"/>
    <x v="0"/>
    <s v="Industry"/>
    <m/>
    <s v="BEBMP"/>
    <s v="Euronext Brussels"/>
    <s v="Non-significant benchmark"/>
    <n v="0"/>
    <n v="0"/>
    <n v="0"/>
    <n v="0"/>
    <n v="0"/>
    <n v="0"/>
    <n v="0"/>
  </r>
  <r>
    <x v="67"/>
    <x v="10"/>
    <s v="QS0011016696"/>
    <x v="0"/>
    <s v="Industry"/>
    <m/>
    <s v="BEBM"/>
    <s v="Euronext Brussels"/>
    <s v="Non-significant benchmark"/>
    <n v="0"/>
    <n v="0"/>
    <n v="0"/>
    <n v="0"/>
    <n v="0"/>
    <n v="0"/>
    <n v="0"/>
  </r>
  <r>
    <x v="68"/>
    <x v="10"/>
    <s v="QS0011225222"/>
    <x v="0"/>
    <s v="Industry"/>
    <m/>
    <s v="BECGP"/>
    <s v="Euronext Brussels"/>
    <s v="Non-significant benchmark"/>
    <n v="0"/>
    <n v="0"/>
    <n v="0"/>
    <n v="0"/>
    <n v="0"/>
    <n v="0"/>
    <n v="0"/>
  </r>
  <r>
    <x v="69"/>
    <x v="10"/>
    <s v="QS0011016761"/>
    <x v="0"/>
    <s v="Industry"/>
    <m/>
    <s v="BECG"/>
    <s v="Euronext Brussels"/>
    <s v="Non-significant benchmark"/>
    <n v="0"/>
    <n v="0"/>
    <n v="0"/>
    <n v="0"/>
    <n v="0"/>
    <n v="0"/>
    <n v="0"/>
  </r>
  <r>
    <x v="70"/>
    <x v="10"/>
    <s v="QS0011225156"/>
    <x v="0"/>
    <s v="Industry"/>
    <m/>
    <s v="BECSP"/>
    <s v="Euronext Brussels"/>
    <s v="Non-significant benchmark"/>
    <n v="0"/>
    <n v="0"/>
    <n v="0"/>
    <n v="0"/>
    <n v="0"/>
    <n v="0"/>
    <n v="0"/>
  </r>
  <r>
    <x v="71"/>
    <x v="10"/>
    <s v="QS0011016829"/>
    <x v="0"/>
    <s v="Industry"/>
    <m/>
    <s v="BECS"/>
    <s v="Euronext Brussels"/>
    <s v="Non-significant benchmark"/>
    <n v="0"/>
    <n v="0"/>
    <n v="0"/>
    <n v="0"/>
    <n v="0"/>
    <n v="0"/>
    <n v="0"/>
  </r>
  <r>
    <x v="72"/>
    <x v="10"/>
    <s v="QS0011225370"/>
    <x v="0"/>
    <s v="Country"/>
    <m/>
    <s v="BELCP"/>
    <s v="Euronext Brussels"/>
    <s v="Non-significant benchmark"/>
    <n v="0"/>
    <n v="0"/>
    <n v="0"/>
    <n v="0"/>
    <n v="0"/>
    <n v="0"/>
    <n v="0"/>
  </r>
  <r>
    <x v="73"/>
    <x v="10"/>
    <s v="BE0389552978"/>
    <x v="0"/>
    <s v="Country"/>
    <m/>
    <s v="BELCU"/>
    <s v="Euronext Brussels"/>
    <s v="Non-significant benchmark"/>
    <n v="0"/>
    <n v="0"/>
    <n v="0"/>
    <n v="0"/>
    <n v="0"/>
    <n v="0"/>
    <n v="0"/>
  </r>
  <r>
    <x v="74"/>
    <x v="10"/>
    <s v="QS0011249248"/>
    <x v="0"/>
    <s v="Industry"/>
    <m/>
    <s v="BEOGP"/>
    <s v="Euronext Brussels"/>
    <s v="Non-significant benchmark"/>
    <n v="0"/>
    <n v="0"/>
    <n v="0"/>
    <n v="0"/>
    <n v="0"/>
    <n v="0"/>
    <n v="0"/>
  </r>
  <r>
    <x v="75"/>
    <x v="10"/>
    <s v="QS0011249230"/>
    <x v="0"/>
    <s v="Industry"/>
    <m/>
    <s v="BEOG"/>
    <s v="Euronext Brussels"/>
    <s v="Non-significant benchmark"/>
    <n v="0"/>
    <n v="0"/>
    <n v="0"/>
    <n v="0"/>
    <n v="0"/>
    <n v="0"/>
    <n v="0"/>
  </r>
  <r>
    <x v="76"/>
    <x v="10"/>
    <s v="QS0011225180"/>
    <x v="0"/>
    <s v="Industry"/>
    <m/>
    <s v="BEFIP"/>
    <s v="Euronext Brussels"/>
    <s v="Non-significant benchmark"/>
    <n v="0"/>
    <n v="0"/>
    <n v="0"/>
    <n v="0"/>
    <n v="0"/>
    <n v="0"/>
    <n v="0"/>
  </r>
  <r>
    <x v="77"/>
    <x v="10"/>
    <s v="QS0011016902"/>
    <x v="0"/>
    <s v="Industry"/>
    <m/>
    <s v="BEFIN"/>
    <s v="Euronext Brussels"/>
    <s v="Non-significant benchmark"/>
    <n v="0"/>
    <n v="0"/>
    <n v="0"/>
    <n v="0"/>
    <n v="0"/>
    <n v="0"/>
    <n v="0"/>
  </r>
  <r>
    <x v="78"/>
    <x v="10"/>
    <s v="QS0011225206"/>
    <x v="0"/>
    <s v="Industry"/>
    <m/>
    <s v="BEHCP"/>
    <s v="Euronext Brussels"/>
    <s v="Non-significant benchmark"/>
    <n v="0"/>
    <n v="0"/>
    <n v="0"/>
    <n v="0"/>
    <n v="0"/>
    <n v="0"/>
    <n v="0"/>
  </r>
  <r>
    <x v="79"/>
    <x v="10"/>
    <s v="QS0011016795"/>
    <x v="0"/>
    <s v="Industry"/>
    <m/>
    <s v="BEHC"/>
    <s v="Euronext Brussels"/>
    <s v="Non-significant benchmark"/>
    <n v="0"/>
    <n v="0"/>
    <n v="0"/>
    <n v="0"/>
    <n v="0"/>
    <n v="0"/>
    <n v="0"/>
  </r>
  <r>
    <x v="80"/>
    <x v="10"/>
    <s v="QS0011225214"/>
    <x v="0"/>
    <s v="Industry"/>
    <m/>
    <s v="BEINP"/>
    <s v="Euronext Brussels"/>
    <s v="Non-significant benchmark"/>
    <n v="0"/>
    <n v="0"/>
    <n v="0"/>
    <n v="0"/>
    <n v="0"/>
    <n v="0"/>
    <n v="0"/>
  </r>
  <r>
    <x v="81"/>
    <x v="10"/>
    <s v="QS0011016738"/>
    <x v="0"/>
    <s v="Industry"/>
    <m/>
    <s v="BEIN"/>
    <s v="Euronext Brussels"/>
    <s v="Non-significant benchmark"/>
    <n v="0"/>
    <n v="0"/>
    <n v="0"/>
    <n v="0"/>
    <n v="0"/>
    <n v="0"/>
    <n v="0"/>
  </r>
  <r>
    <x v="82"/>
    <x v="10"/>
    <s v="BE0004643848"/>
    <x v="0"/>
    <s v="Industry"/>
    <m/>
    <s v="BERE"/>
    <s v="Euronext Brussels"/>
    <s v="Non-significant benchmark"/>
    <n v="0"/>
    <n v="0"/>
    <n v="0"/>
    <n v="0"/>
    <n v="0"/>
    <n v="0"/>
    <n v="0"/>
  </r>
  <r>
    <x v="83"/>
    <x v="10"/>
    <s v="BE0004644853"/>
    <x v="0"/>
    <s v="Industry"/>
    <m/>
    <s v="BEREN"/>
    <s v="Euronext Brussels"/>
    <s v="Non-significant benchmark"/>
    <n v="0"/>
    <n v="0"/>
    <n v="0"/>
    <n v="0"/>
    <n v="0"/>
    <n v="0"/>
    <n v="0"/>
  </r>
  <r>
    <x v="84"/>
    <x v="10"/>
    <s v="QS0011225172"/>
    <x v="0"/>
    <s v="Industry"/>
    <m/>
    <s v="BETP"/>
    <s v="Euronext Brussels"/>
    <s v="Non-significant benchmark"/>
    <n v="0"/>
    <n v="0"/>
    <n v="0"/>
    <n v="0"/>
    <n v="0"/>
    <n v="0"/>
    <n v="0"/>
  </r>
  <r>
    <x v="85"/>
    <x v="10"/>
    <s v="QS0011016936"/>
    <x v="0"/>
    <s v="Industry"/>
    <m/>
    <s v="BETEC"/>
    <s v="Euronext Brussels"/>
    <s v="Non-significant benchmark"/>
    <n v="0"/>
    <n v="0"/>
    <n v="0"/>
    <n v="0"/>
    <n v="0"/>
    <n v="0"/>
    <n v="0"/>
  </r>
  <r>
    <x v="86"/>
    <x v="10"/>
    <s v="QS0011225198"/>
    <x v="0"/>
    <s v="Industry"/>
    <m/>
    <s v="BETEP"/>
    <s v="Euronext Brussels"/>
    <s v="Non-significant benchmark"/>
    <n v="0"/>
    <n v="0"/>
    <n v="0"/>
    <n v="0"/>
    <n v="0"/>
    <n v="0"/>
    <n v="0"/>
  </r>
  <r>
    <x v="87"/>
    <x v="10"/>
    <s v="QS0011016860"/>
    <x v="0"/>
    <s v="Industry"/>
    <m/>
    <s v="BETEL"/>
    <s v="Euronext Brussels"/>
    <s v="Non-significant benchmark"/>
    <n v="0"/>
    <n v="0"/>
    <n v="0"/>
    <n v="0"/>
    <n v="0"/>
    <n v="0"/>
    <n v="0"/>
  </r>
  <r>
    <x v="88"/>
    <x v="10"/>
    <s v="QS0011225164"/>
    <x v="0"/>
    <s v="Industry"/>
    <m/>
    <s v="BEUTP"/>
    <s v="Euronext Brussels"/>
    <s v="Non-significant benchmark"/>
    <n v="0"/>
    <n v="0"/>
    <n v="0"/>
    <n v="0"/>
    <n v="0"/>
    <n v="0"/>
    <n v="0"/>
  </r>
  <r>
    <x v="89"/>
    <x v="10"/>
    <s v="QS0011019005"/>
    <x v="0"/>
    <s v="Industry"/>
    <m/>
    <s v="BEUT"/>
    <s v="Euronext Brussels"/>
    <s v="Non-significant benchmark"/>
    <n v="0"/>
    <n v="0"/>
    <n v="0"/>
    <n v="0"/>
    <n v="0"/>
    <n v="0"/>
    <n v="0"/>
  </r>
  <r>
    <x v="90"/>
    <x v="2"/>
    <s v="FR0003999499"/>
    <x v="0"/>
    <s v="Country"/>
    <m/>
    <s v="CACT"/>
    <s v="Euronext Paris"/>
    <s v="Non-significant benchmark"/>
    <n v="0"/>
    <n v="0"/>
    <n v="0"/>
    <n v="68800895.599999994"/>
    <n v="0"/>
    <n v="0"/>
    <n v="68800895.599999994"/>
  </r>
  <r>
    <x v="91"/>
    <x v="2"/>
    <s v="QS0011131891"/>
    <x v="0"/>
    <s v="Country"/>
    <m/>
    <s v="CACTR"/>
    <s v="Euronext Paris"/>
    <s v="Non-significant benchmark"/>
    <n v="0"/>
    <n v="0"/>
    <n v="0"/>
    <n v="0"/>
    <n v="0"/>
    <n v="0"/>
    <n v="0"/>
  </r>
  <r>
    <x v="92"/>
    <x v="2"/>
    <s v="QS0011131883"/>
    <x v="0"/>
    <s v="Country"/>
    <m/>
    <s v="CACTN"/>
    <s v="Euronext Paris"/>
    <s v="Non-significant benchmark"/>
    <n v="0"/>
    <n v="0"/>
    <n v="0"/>
    <n v="6020738085.8000002"/>
    <n v="0"/>
    <n v="0"/>
    <n v="6020738085.8000002"/>
  </r>
  <r>
    <x v="93"/>
    <x v="2"/>
    <s v="QS0011213657"/>
    <x v="0"/>
    <s v="Country"/>
    <m/>
    <s v="CACLG"/>
    <s v="Euronext Paris"/>
    <s v="Non-significant benchmark"/>
    <n v="0"/>
    <n v="0"/>
    <n v="0"/>
    <n v="0"/>
    <n v="0"/>
    <n v="0"/>
    <n v="0"/>
  </r>
  <r>
    <x v="94"/>
    <x v="2"/>
    <s v="QS0011213699"/>
    <x v="0"/>
    <s v="Country"/>
    <m/>
    <s v="CAR"/>
    <s v="Euronext Paris"/>
    <s v="Non-significant benchmark"/>
    <n v="0"/>
    <n v="0"/>
    <n v="0"/>
    <n v="0"/>
    <n v="0"/>
    <n v="0"/>
    <n v="0"/>
  </r>
  <r>
    <x v="95"/>
    <x v="2"/>
    <s v="QS0011213681"/>
    <x v="0"/>
    <s v="Country"/>
    <m/>
    <s v="CACLN"/>
    <s v="Euronext Paris"/>
    <s v="Non-significant benchmark"/>
    <n v="0"/>
    <n v="0"/>
    <n v="0"/>
    <n v="0"/>
    <n v="0"/>
    <n v="0"/>
    <n v="0"/>
  </r>
  <r>
    <x v="96"/>
    <x v="2"/>
    <s v="QS0010989133"/>
    <x v="0"/>
    <s v="Country"/>
    <m/>
    <s v="CACMS"/>
    <s v="Euronext Paris"/>
    <s v="Non-significant benchmark"/>
    <n v="0"/>
    <n v="0"/>
    <n v="0"/>
    <n v="173634941"/>
    <n v="0"/>
    <n v="0"/>
    <n v="173634941"/>
  </r>
  <r>
    <x v="97"/>
    <x v="2"/>
    <s v="QS0011213756"/>
    <x v="0"/>
    <s v="Country"/>
    <m/>
    <s v="CMSG"/>
    <s v="Euronext Paris"/>
    <s v="Non-significant benchmark"/>
    <n v="0"/>
    <n v="0"/>
    <n v="0"/>
    <n v="61233827"/>
    <n v="0"/>
    <n v="0"/>
    <n v="61233827"/>
  </r>
  <r>
    <x v="98"/>
    <x v="2"/>
    <s v="QS0011213731"/>
    <x v="0"/>
    <s v="Country"/>
    <m/>
    <s v="CMSN"/>
    <s v="Euronext Paris"/>
    <s v="Non-significant benchmark"/>
    <n v="0"/>
    <n v="0"/>
    <n v="0"/>
    <n v="2003383790.2100003"/>
    <n v="0"/>
    <n v="0"/>
    <n v="2003383790.2100003"/>
  </r>
  <r>
    <x v="99"/>
    <x v="2"/>
    <s v="QS0010989117"/>
    <x v="0"/>
    <s v="Country"/>
    <m/>
    <s v="CACMD"/>
    <s v="Euronext Paris"/>
    <s v="Non-significant benchmark"/>
    <n v="0"/>
    <n v="0"/>
    <n v="0"/>
    <n v="0"/>
    <n v="0"/>
    <n v="0"/>
    <n v="0"/>
  </r>
  <r>
    <x v="100"/>
    <x v="2"/>
    <s v="FR0013325032"/>
    <x v="0"/>
    <s v="Country"/>
    <m/>
    <s v="CAMID"/>
    <s v="Euronext Paris"/>
    <s v="Non-significant benchmark"/>
    <n v="3600000"/>
    <n v="5000000"/>
    <n v="3232788.4835999999"/>
    <n v="0"/>
    <n v="0"/>
    <n v="0"/>
    <n v="3600000"/>
  </r>
  <r>
    <x v="101"/>
    <x v="2"/>
    <s v="QS0011131917"/>
    <x v="0"/>
    <s v="Country"/>
    <m/>
    <s v="CACMR"/>
    <s v="Euronext Paris"/>
    <s v="Non-significant benchmark"/>
    <n v="0"/>
    <n v="0"/>
    <n v="0"/>
    <n v="0"/>
    <n v="0"/>
    <n v="0"/>
    <n v="0"/>
  </r>
  <r>
    <x v="102"/>
    <x v="2"/>
    <s v="QS0011131909"/>
    <x v="0"/>
    <s v="Country"/>
    <m/>
    <s v="CACMN"/>
    <s v="Euronext Paris"/>
    <s v="Non-significant benchmark"/>
    <n v="0"/>
    <n v="0"/>
    <n v="0"/>
    <n v="684657431"/>
    <n v="0"/>
    <n v="0"/>
    <n v="684657431"/>
  </r>
  <r>
    <x v="103"/>
    <x v="2"/>
    <s v="QS0010989109"/>
    <x v="0"/>
    <s v="Country"/>
    <m/>
    <s v="CN20"/>
    <s v="Euronext Paris"/>
    <s v="Non-significant benchmark"/>
    <n v="0"/>
    <n v="0"/>
    <n v="0"/>
    <n v="0"/>
    <n v="0"/>
    <n v="0"/>
    <n v="0"/>
  </r>
  <r>
    <x v="104"/>
    <x v="2"/>
    <s v="QS0011224233"/>
    <x v="0"/>
    <s v="Country"/>
    <m/>
    <s v="CN20G"/>
    <s v="Euronext Paris"/>
    <s v="Non-significant benchmark"/>
    <n v="0"/>
    <n v="0"/>
    <n v="0"/>
    <n v="0"/>
    <n v="0"/>
    <n v="0"/>
    <n v="0"/>
  </r>
  <r>
    <x v="105"/>
    <x v="2"/>
    <s v="QS0011224092"/>
    <x v="0"/>
    <s v="Country"/>
    <m/>
    <s v="CN20N"/>
    <s v="Euronext Paris"/>
    <s v="Non-significant benchmark"/>
    <n v="0"/>
    <n v="0"/>
    <n v="0"/>
    <n v="0"/>
    <n v="2431500"/>
    <n v="0"/>
    <n v="2431500"/>
  </r>
  <r>
    <x v="106"/>
    <x v="2"/>
    <s v="QS0010989125"/>
    <x v="0"/>
    <s v="Country"/>
    <m/>
    <s v="CACS"/>
    <s v="Euronext Paris"/>
    <s v="Non-significant benchmark"/>
    <n v="0"/>
    <n v="0"/>
    <n v="0"/>
    <n v="0"/>
    <n v="26985000"/>
    <n v="0"/>
    <n v="26985000"/>
  </r>
  <r>
    <x v="107"/>
    <x v="2"/>
    <s v="QS0011213723"/>
    <x v="0"/>
    <s v="Country"/>
    <m/>
    <s v="CACSR"/>
    <s v="Euronext Paris"/>
    <s v="Non-significant benchmark"/>
    <n v="0"/>
    <n v="0"/>
    <n v="0"/>
    <n v="0"/>
    <n v="0"/>
    <n v="0"/>
    <n v="0"/>
  </r>
  <r>
    <x v="108"/>
    <x v="2"/>
    <s v="QS0011213707"/>
    <x v="0"/>
    <s v="Country"/>
    <m/>
    <s v="CACSN"/>
    <s v="Euronext Paris"/>
    <s v="Non-significant benchmark"/>
    <n v="0"/>
    <n v="0"/>
    <n v="0"/>
    <n v="1861205632.79"/>
    <n v="0"/>
    <n v="0"/>
    <n v="1861205632.79"/>
  </r>
  <r>
    <x v="109"/>
    <x v="2"/>
    <s v="FR0003999481"/>
    <x v="0"/>
    <s v="Country"/>
    <m/>
    <s v="PX4"/>
    <s v="Euronext Paris"/>
    <s v="Non-significant benchmark"/>
    <n v="0"/>
    <n v="0"/>
    <n v="0"/>
    <n v="47489040.660000011"/>
    <n v="0"/>
    <n v="0"/>
    <n v="47489040.660000011"/>
  </r>
  <r>
    <x v="110"/>
    <x v="2"/>
    <s v="QS0011131859"/>
    <x v="0"/>
    <s v="Country"/>
    <m/>
    <s v="PX4GR"/>
    <s v="Euronext Paris"/>
    <s v="Non-significant benchmark"/>
    <n v="0"/>
    <n v="0"/>
    <n v="0"/>
    <n v="0"/>
    <n v="0"/>
    <n v="0"/>
    <n v="0"/>
  </r>
  <r>
    <x v="111"/>
    <x v="2"/>
    <s v="QS0011131842"/>
    <x v="0"/>
    <s v="Country"/>
    <m/>
    <s v="PX4NR"/>
    <s v="Euronext Paris"/>
    <s v="Non-significant benchmark"/>
    <n v="0"/>
    <n v="0"/>
    <n v="0"/>
    <n v="5948578738.5150023"/>
    <n v="0"/>
    <n v="0"/>
    <n v="5948578738.5150023"/>
  </r>
  <r>
    <x v="112"/>
    <x v="11"/>
    <s v="FR0014002B31"/>
    <x v="1"/>
    <s v="Broad ESG"/>
    <s v="ESG Other"/>
    <s v="CESGP"/>
    <s v="Euronext Paris"/>
    <s v="Non-significant benchmark"/>
    <n v="137099606"/>
    <n v="216540000"/>
    <n v="46272163.366400003"/>
    <n v="0"/>
    <n v="0"/>
    <n v="0"/>
    <n v="137099606"/>
  </r>
  <r>
    <x v="113"/>
    <x v="11"/>
    <s v="FR0014002G69"/>
    <x v="1"/>
    <s v="Broad ESG"/>
    <s v="ESG Other"/>
    <s v="CED3"/>
    <s v="Euronext Paris"/>
    <s v="Non-significant benchmark"/>
    <n v="0"/>
    <n v="0"/>
    <n v="0"/>
    <n v="0"/>
    <n v="0"/>
    <n v="0"/>
    <n v="0"/>
  </r>
  <r>
    <x v="114"/>
    <x v="11"/>
    <s v="FR0014002G51"/>
    <x v="1"/>
    <s v="Broad ESG"/>
    <s v="ESG Other"/>
    <s v="CED35"/>
    <s v="Euronext Paris"/>
    <s v="Non-significant benchmark"/>
    <n v="0"/>
    <n v="0"/>
    <n v="0"/>
    <n v="0"/>
    <n v="0"/>
    <n v="0"/>
    <n v="0"/>
  </r>
  <r>
    <x v="115"/>
    <x v="11"/>
    <s v="FR0014002G77"/>
    <x v="1"/>
    <s v="Broad ESG"/>
    <s v="ESG Other"/>
    <s v="CED4"/>
    <s v="Euronext Paris"/>
    <s v="Non-significant benchmark"/>
    <n v="0"/>
    <n v="0"/>
    <n v="0"/>
    <n v="0"/>
    <n v="0"/>
    <n v="0"/>
    <n v="0"/>
  </r>
  <r>
    <x v="116"/>
    <x v="11"/>
    <s v="FR0014002G85"/>
    <x v="1"/>
    <s v="Broad ESG"/>
    <s v="ESG Other"/>
    <s v="CED45"/>
    <s v="Euronext Paris"/>
    <s v="Non-significant benchmark"/>
    <n v="0"/>
    <n v="0"/>
    <n v="0"/>
    <n v="0"/>
    <n v="0"/>
    <n v="0"/>
    <n v="0"/>
  </r>
  <r>
    <x v="117"/>
    <x v="11"/>
    <s v="FR0014002G93"/>
    <x v="1"/>
    <s v="Broad ESG"/>
    <s v="ESG Other"/>
    <s v="CED5"/>
    <s v="Euronext Paris"/>
    <s v="Non-significant benchmark"/>
    <n v="0"/>
    <n v="200000000"/>
    <n v="27713562.812400002"/>
    <n v="0"/>
    <n v="0"/>
    <n v="0"/>
    <n v="200000000"/>
  </r>
  <r>
    <x v="118"/>
    <x v="11"/>
    <s v="FR0014002B49"/>
    <x v="1"/>
    <s v="Broad ESG"/>
    <s v="ESG Other"/>
    <s v="CESGG"/>
    <s v="Euronext Paris"/>
    <s v="Non-significant benchmark"/>
    <n v="0"/>
    <n v="0"/>
    <n v="0"/>
    <n v="329732605"/>
    <n v="0"/>
    <n v="0"/>
    <n v="329732605"/>
  </r>
  <r>
    <x v="119"/>
    <x v="11"/>
    <s v="FR0014002B56"/>
    <x v="1"/>
    <s v="Broad ESG"/>
    <s v="ESG Other"/>
    <s v="CESGN"/>
    <s v="Euronext Paris"/>
    <s v="Non-significant benchmark"/>
    <n v="0"/>
    <n v="0"/>
    <n v="0"/>
    <n v="1114756668"/>
    <n v="0"/>
    <n v="0"/>
    <n v="1114756668"/>
  </r>
  <r>
    <x v="120"/>
    <x v="12"/>
    <s v="FRIX00000953"/>
    <x v="0"/>
    <s v="Strategy"/>
    <m/>
    <s v="CACIN"/>
    <s v="Euronext Paris"/>
    <s v="Non-significant benchmark"/>
    <n v="0"/>
    <n v="0"/>
    <n v="0"/>
    <n v="0"/>
    <n v="0"/>
    <n v="0"/>
    <n v="0"/>
  </r>
  <r>
    <x v="121"/>
    <x v="12"/>
    <s v="FRIX00000961"/>
    <x v="0"/>
    <s v="Strategy"/>
    <m/>
    <s v="NCACI"/>
    <s v="Euronext Paris"/>
    <s v="Non-significant benchmark"/>
    <n v="0"/>
    <n v="0"/>
    <n v="2919640.8812000002"/>
    <n v="0"/>
    <n v="0"/>
    <n v="0"/>
    <n v="2919640.8812000002"/>
  </r>
  <r>
    <x v="122"/>
    <x v="13"/>
    <s v="QS0010989141"/>
    <x v="0"/>
    <s v="Country"/>
    <m/>
    <s v="PAX"/>
    <s v="Euronext Paris"/>
    <s v="Non-significant benchmark"/>
    <n v="0"/>
    <n v="0"/>
    <n v="0"/>
    <n v="0"/>
    <n v="0"/>
    <n v="0"/>
    <n v="0"/>
  </r>
  <r>
    <x v="123"/>
    <x v="13"/>
    <s v="QS0011224217"/>
    <x v="0"/>
    <s v="Country"/>
    <m/>
    <s v="PAXNR"/>
    <s v="Euronext Paris"/>
    <s v="Non-significant benchmark"/>
    <n v="0"/>
    <n v="0"/>
    <n v="0"/>
    <n v="0"/>
    <n v="0"/>
    <n v="0"/>
    <n v="0"/>
  </r>
  <r>
    <x v="124"/>
    <x v="2"/>
    <s v="FRIX00003072"/>
    <x v="0"/>
    <s v="Country"/>
    <m/>
    <s v="PX1G5"/>
    <s v="Euronext Paris"/>
    <s v="Significant Benchmark"/>
    <m/>
    <m/>
    <m/>
    <m/>
    <m/>
    <m/>
    <m/>
  </r>
  <r>
    <x v="125"/>
    <x v="13"/>
    <s v="QS0011017637"/>
    <x v="0"/>
    <s v="Industry"/>
    <m/>
    <s v="FRBM"/>
    <s v="Euronext Paris"/>
    <s v="Non-significant benchmark"/>
    <n v="0"/>
    <n v="0"/>
    <n v="0"/>
    <n v="0"/>
    <n v="0"/>
    <n v="0"/>
    <n v="0"/>
  </r>
  <r>
    <x v="126"/>
    <x v="13"/>
    <s v="QS0011223979"/>
    <x v="0"/>
    <s v="Industry"/>
    <m/>
    <s v="FRBMN"/>
    <s v="Euronext Paris"/>
    <s v="Non-significant benchmark"/>
    <n v="0"/>
    <n v="0"/>
    <n v="0"/>
    <n v="0"/>
    <n v="0"/>
    <n v="0"/>
    <n v="0"/>
  </r>
  <r>
    <x v="127"/>
    <x v="13"/>
    <s v="QS0011017686"/>
    <x v="0"/>
    <s v="Industry"/>
    <m/>
    <s v="FRCG"/>
    <s v="Euronext Paris"/>
    <s v="Non-significant benchmark"/>
    <n v="0"/>
    <n v="0"/>
    <n v="0"/>
    <n v="0"/>
    <n v="0"/>
    <n v="0"/>
    <n v="0"/>
  </r>
  <r>
    <x v="128"/>
    <x v="13"/>
    <s v="QS0011223995"/>
    <x v="0"/>
    <s v="Industry"/>
    <m/>
    <s v="FRCGN"/>
    <s v="Euronext Paris"/>
    <s v="Non-significant benchmark"/>
    <n v="0"/>
    <n v="0"/>
    <n v="0"/>
    <n v="0"/>
    <n v="0"/>
    <n v="0"/>
    <n v="0"/>
  </r>
  <r>
    <x v="129"/>
    <x v="13"/>
    <s v="QS0011017736"/>
    <x v="0"/>
    <s v="Industry"/>
    <m/>
    <s v="FRCS"/>
    <s v="Euronext Paris"/>
    <s v="Non-significant benchmark"/>
    <n v="0"/>
    <n v="0"/>
    <n v="0"/>
    <n v="0"/>
    <n v="0"/>
    <n v="0"/>
    <n v="0"/>
  </r>
  <r>
    <x v="130"/>
    <x v="13"/>
    <s v="QS0011224290"/>
    <x v="0"/>
    <s v="Industry"/>
    <m/>
    <s v="FRCSN"/>
    <s v="Euronext Paris"/>
    <s v="Non-significant benchmark"/>
    <n v="0"/>
    <n v="0"/>
    <n v="0"/>
    <n v="0"/>
    <n v="0"/>
    <n v="0"/>
    <n v="0"/>
  </r>
  <r>
    <x v="131"/>
    <x v="13"/>
    <s v="QS0011017603"/>
    <x v="0"/>
    <s v="Industry"/>
    <m/>
    <s v="FROG"/>
    <s v="Euronext Paris"/>
    <s v="Non-significant benchmark"/>
    <n v="0"/>
    <n v="0"/>
    <n v="0"/>
    <n v="0"/>
    <n v="0"/>
    <n v="0"/>
    <n v="0"/>
  </r>
  <r>
    <x v="132"/>
    <x v="13"/>
    <s v="QS0011223698"/>
    <x v="0"/>
    <s v="Industry"/>
    <m/>
    <s v="FROGN"/>
    <s v="Euronext Paris"/>
    <s v="Non-significant benchmark"/>
    <n v="0"/>
    <n v="0"/>
    <n v="0"/>
    <n v="0"/>
    <n v="0"/>
    <n v="0"/>
    <n v="0"/>
  </r>
  <r>
    <x v="133"/>
    <x v="13"/>
    <s v="QS0011017801"/>
    <x v="0"/>
    <s v="Industry"/>
    <m/>
    <s v="FRFIN"/>
    <s v="Euronext Paris"/>
    <s v="Non-significant benchmark"/>
    <n v="0"/>
    <n v="0"/>
    <n v="0"/>
    <n v="0"/>
    <n v="0"/>
    <n v="0"/>
    <n v="0"/>
  </r>
  <r>
    <x v="134"/>
    <x v="13"/>
    <s v="QS0011224373"/>
    <x v="0"/>
    <s v="Industry"/>
    <m/>
    <s v="FRFNN"/>
    <s v="Euronext Paris"/>
    <s v="Non-significant benchmark"/>
    <n v="0"/>
    <n v="0"/>
    <n v="0"/>
    <n v="0"/>
    <n v="0"/>
    <n v="0"/>
    <n v="0"/>
  </r>
  <r>
    <x v="135"/>
    <x v="13"/>
    <s v="QS0011017702"/>
    <x v="0"/>
    <s v="Industry"/>
    <m/>
    <s v="FRHC"/>
    <s v="Euronext Paris"/>
    <s v="Non-significant benchmark"/>
    <n v="0"/>
    <n v="0"/>
    <n v="0"/>
    <n v="0"/>
    <n v="0"/>
    <n v="0"/>
    <n v="0"/>
  </r>
  <r>
    <x v="136"/>
    <x v="13"/>
    <s v="QS0011224498"/>
    <x v="0"/>
    <s v="Industry"/>
    <m/>
    <s v="FRHCN"/>
    <s v="Euronext Paris"/>
    <s v="Non-significant benchmark"/>
    <n v="0"/>
    <n v="0"/>
    <n v="0"/>
    <n v="0"/>
    <n v="0"/>
    <n v="0"/>
    <n v="0"/>
  </r>
  <r>
    <x v="137"/>
    <x v="13"/>
    <s v="QS0011017652"/>
    <x v="0"/>
    <s v="Industry"/>
    <m/>
    <s v="FRIN"/>
    <s v="Euronext Paris"/>
    <s v="Non-significant benchmark"/>
    <n v="0"/>
    <n v="0"/>
    <n v="0"/>
    <n v="0"/>
    <n v="0"/>
    <n v="0"/>
    <n v="0"/>
  </r>
  <r>
    <x v="138"/>
    <x v="13"/>
    <s v="QS0011224571"/>
    <x v="0"/>
    <s v="Industry"/>
    <m/>
    <s v="FRINN"/>
    <s v="Euronext Paris"/>
    <s v="Non-significant benchmark"/>
    <n v="0"/>
    <n v="0"/>
    <n v="0"/>
    <n v="0"/>
    <n v="0"/>
    <n v="0"/>
    <n v="0"/>
  </r>
  <r>
    <x v="139"/>
    <x v="13"/>
    <s v="FR0013506771"/>
    <x v="0"/>
    <s v="Industry"/>
    <m/>
    <s v="FRRE"/>
    <s v="Euronext Paris"/>
    <s v="Non-significant benchmark"/>
    <n v="0"/>
    <n v="0"/>
    <n v="0"/>
    <n v="0"/>
    <n v="0"/>
    <n v="0"/>
    <n v="0"/>
  </r>
  <r>
    <x v="140"/>
    <x v="13"/>
    <s v="FR0013506789"/>
    <x v="0"/>
    <s v="Industry"/>
    <m/>
    <s v="FRREN"/>
    <s v="Euronext Paris"/>
    <s v="Non-significant benchmark"/>
    <n v="0"/>
    <n v="0"/>
    <n v="0"/>
    <n v="0"/>
    <n v="0"/>
    <n v="0"/>
    <n v="0"/>
  </r>
  <r>
    <x v="141"/>
    <x v="13"/>
    <s v="QS0011017827"/>
    <x v="0"/>
    <s v="Industry"/>
    <m/>
    <s v="FRTEC"/>
    <s v="Euronext Paris"/>
    <s v="Non-significant benchmark"/>
    <n v="0"/>
    <n v="0"/>
    <n v="0"/>
    <n v="0"/>
    <n v="0"/>
    <n v="0"/>
    <n v="0"/>
  </r>
  <r>
    <x v="142"/>
    <x v="13"/>
    <s v="QS0011223896"/>
    <x v="0"/>
    <s v="Industry"/>
    <m/>
    <s v="FRTCN"/>
    <s v="Euronext Paris"/>
    <s v="Non-significant benchmark"/>
    <n v="0"/>
    <n v="0"/>
    <n v="0"/>
    <n v="0"/>
    <n v="0"/>
    <n v="0"/>
    <n v="0"/>
  </r>
  <r>
    <x v="143"/>
    <x v="13"/>
    <s v="QS0011017769"/>
    <x v="0"/>
    <s v="Industry"/>
    <m/>
    <s v="FRTEL"/>
    <s v="Euronext Paris"/>
    <s v="Non-significant benchmark"/>
    <n v="0"/>
    <n v="0"/>
    <n v="0"/>
    <n v="0"/>
    <n v="0"/>
    <n v="0"/>
    <n v="0"/>
  </r>
  <r>
    <x v="144"/>
    <x v="13"/>
    <s v="QS0011223920"/>
    <x v="0"/>
    <s v="Industry"/>
    <m/>
    <s v="FRTEN"/>
    <s v="Euronext Paris"/>
    <s v="Non-significant benchmark"/>
    <n v="0"/>
    <n v="0"/>
    <n v="0"/>
    <n v="0"/>
    <n v="0"/>
    <n v="0"/>
    <n v="0"/>
  </r>
  <r>
    <x v="145"/>
    <x v="13"/>
    <s v="QS0011017785"/>
    <x v="0"/>
    <s v="Industry"/>
    <m/>
    <s v="FRUT"/>
    <s v="Euronext Paris"/>
    <s v="Non-significant benchmark"/>
    <n v="0"/>
    <n v="0"/>
    <n v="0"/>
    <n v="0"/>
    <n v="0"/>
    <n v="0"/>
    <n v="0"/>
  </r>
  <r>
    <x v="146"/>
    <x v="13"/>
    <s v="QS0011224084"/>
    <x v="0"/>
    <s v="Industry"/>
    <m/>
    <s v="FRUTN"/>
    <s v="Euronext Paris"/>
    <s v="Non-significant benchmark"/>
    <n v="0"/>
    <n v="0"/>
    <n v="0"/>
    <n v="0"/>
    <n v="0"/>
    <n v="0"/>
    <n v="0"/>
  </r>
  <r>
    <x v="147"/>
    <x v="14"/>
    <s v="FR0012246023"/>
    <x v="0"/>
    <s v="Country"/>
    <m/>
    <s v="ENPME"/>
    <s v="Euronext Paris"/>
    <s v="Non-significant benchmark"/>
    <n v="0"/>
    <n v="0"/>
    <n v="0"/>
    <n v="15832800"/>
    <n v="0"/>
    <n v="0"/>
    <n v="15832800"/>
  </r>
  <r>
    <x v="148"/>
    <x v="14"/>
    <s v="FR0012246049"/>
    <x v="0"/>
    <s v="Country"/>
    <m/>
    <s v="EPMEG"/>
    <s v="Euronext Paris"/>
    <s v="Non-significant benchmark"/>
    <n v="0"/>
    <n v="0"/>
    <n v="0"/>
    <n v="175100475"/>
    <n v="0"/>
    <n v="0"/>
    <n v="175100475"/>
  </r>
  <r>
    <x v="149"/>
    <x v="15"/>
    <s v="FR0013376258"/>
    <x v="1"/>
    <s v="Broad ESG"/>
    <s v="ESG Other"/>
    <s v="C6RIP"/>
    <s v="Euronext Paris"/>
    <s v="Non-significant benchmark"/>
    <n v="0"/>
    <n v="0"/>
    <n v="0"/>
    <n v="0"/>
    <n v="0"/>
    <n v="0"/>
    <n v="0"/>
  </r>
  <r>
    <x v="150"/>
    <x v="15"/>
    <s v="FR0013376282"/>
    <x v="1"/>
    <s v="Broad ESG"/>
    <s v="ESG Other"/>
    <s v="C6RI"/>
    <s v="Euronext Paris"/>
    <s v="Non-significant benchmark"/>
    <n v="0"/>
    <n v="285650359.02450001"/>
    <n v="59829612.505599998"/>
    <n v="0"/>
    <n v="0"/>
    <n v="0"/>
    <n v="285650359.02450001"/>
  </r>
  <r>
    <x v="151"/>
    <x v="15"/>
    <s v="FR0013376274"/>
    <x v="1"/>
    <s v="Broad ESG"/>
    <s v="ESG Other"/>
    <s v="C6RIG"/>
    <s v="Euronext Paris"/>
    <s v="Non-significant benchmark"/>
    <n v="0"/>
    <n v="0"/>
    <n v="0"/>
    <n v="0"/>
    <n v="0"/>
    <n v="0"/>
    <n v="0"/>
  </r>
  <r>
    <x v="152"/>
    <x v="15"/>
    <s v="FR0013376266"/>
    <x v="1"/>
    <s v="Broad ESG"/>
    <s v="ESG Other"/>
    <s v="C6RIN"/>
    <s v="Euronext Paris"/>
    <s v="Non-significant benchmark"/>
    <n v="0"/>
    <n v="0"/>
    <n v="0"/>
    <n v="0"/>
    <n v="0"/>
    <n v="0"/>
    <n v="0"/>
  </r>
  <r>
    <x v="153"/>
    <x v="16"/>
    <s v="FRESG0001031"/>
    <x v="1"/>
    <s v="Climate;Environmental"/>
    <s v="ESG Other"/>
    <s v="CSBTP"/>
    <s v="Euronext Paris"/>
    <s v="Non-significant benchmark"/>
    <n v="0"/>
    <n v="0"/>
    <n v="0"/>
    <n v="0"/>
    <n v="0"/>
    <n v="0"/>
    <n v="0"/>
  </r>
  <r>
    <x v="154"/>
    <x v="16"/>
    <s v="FRESG0001056"/>
    <x v="1"/>
    <s v="Climate;Environmental"/>
    <s v="ESG Other"/>
    <s v="CSBTG"/>
    <s v="Euronext Paris"/>
    <s v="Non-significant benchmark"/>
    <n v="0"/>
    <n v="0"/>
    <n v="0"/>
    <n v="0"/>
    <n v="0"/>
    <n v="0"/>
    <n v="0"/>
  </r>
  <r>
    <x v="155"/>
    <x v="16"/>
    <s v="FRESG0001122"/>
    <x v="1"/>
    <s v="Climate;Environmental"/>
    <s v="ESG Other"/>
    <s v="CSG3D"/>
    <s v="Euronext Paris"/>
    <s v="Non-significant benchmark"/>
    <n v="0"/>
    <n v="0"/>
    <n v="0"/>
    <n v="0"/>
    <n v="0"/>
    <n v="0"/>
    <n v="0"/>
  </r>
  <r>
    <x v="156"/>
    <x v="16"/>
    <s v="FRESG0001130"/>
    <x v="1"/>
    <s v="Climate;Environmental"/>
    <s v="ESG Other"/>
    <s v="CSG4D"/>
    <s v="Euronext Paris"/>
    <s v="Non-significant benchmark"/>
    <n v="0"/>
    <n v="0"/>
    <n v="0"/>
    <n v="0"/>
    <n v="0"/>
    <n v="0"/>
    <n v="0"/>
  </r>
  <r>
    <x v="157"/>
    <x v="16"/>
    <s v="FRESG0001148"/>
    <x v="1"/>
    <s v="Climate;Environmental"/>
    <s v="ESG Other"/>
    <s v="CSG5D"/>
    <s v="Euronext Paris"/>
    <s v="Non-significant benchmark"/>
    <n v="0"/>
    <n v="0"/>
    <n v="0"/>
    <n v="0"/>
    <n v="0"/>
    <n v="0"/>
    <n v="0"/>
  </r>
  <r>
    <x v="158"/>
    <x v="16"/>
    <s v="FRESG0001049"/>
    <x v="1"/>
    <s v="Climate;Environmental"/>
    <s v="ESG Other"/>
    <s v="CSBTN"/>
    <s v="Euronext Paris"/>
    <s v="Non-significant benchmark"/>
    <n v="0"/>
    <n v="0"/>
    <n v="0"/>
    <n v="0"/>
    <n v="0"/>
    <n v="0"/>
    <n v="0"/>
  </r>
  <r>
    <x v="159"/>
    <x v="16"/>
    <s v="FRESG0001098"/>
    <x v="1"/>
    <s v="Climate;Environmental"/>
    <s v="ESG Other"/>
    <s v="CSN3D"/>
    <s v="Euronext Paris"/>
    <s v="Non-significant benchmark"/>
    <n v="0"/>
    <n v="0"/>
    <n v="0"/>
    <n v="0"/>
    <n v="0"/>
    <n v="0"/>
    <n v="0"/>
  </r>
  <r>
    <x v="160"/>
    <x v="16"/>
    <s v="FRESG0001106"/>
    <x v="1"/>
    <s v="Climate;Environmental"/>
    <s v="ESG Other"/>
    <s v="CSN4D"/>
    <s v="Euronext Paris"/>
    <s v="Non-significant benchmark"/>
    <n v="0"/>
    <n v="0"/>
    <n v="0"/>
    <n v="0"/>
    <n v="0"/>
    <n v="0"/>
    <n v="0"/>
  </r>
  <r>
    <x v="161"/>
    <x v="16"/>
    <s v="FRESG0001114"/>
    <x v="1"/>
    <s v="Climate;Environmental"/>
    <s v="ESG Other"/>
    <s v="CSN5D"/>
    <s v="Euronext Paris"/>
    <s v="Non-significant benchmark"/>
    <n v="0"/>
    <n v="0"/>
    <n v="0"/>
    <n v="0"/>
    <n v="0"/>
    <n v="0"/>
    <n v="0"/>
  </r>
  <r>
    <x v="162"/>
    <x v="17"/>
    <s v="QS0011158118"/>
    <x v="0"/>
    <s v="Strategy"/>
    <m/>
    <s v="CACDI"/>
    <s v="Euronext Paris"/>
    <s v="Non-significant benchmark"/>
    <n v="0"/>
    <n v="0"/>
    <n v="0"/>
    <n v="0"/>
    <n v="0"/>
    <n v="105621370"/>
    <n v="105621370"/>
  </r>
  <r>
    <x v="163"/>
    <x v="18"/>
    <s v="QS0011159777"/>
    <x v="0"/>
    <s v="Country"/>
    <m/>
    <s v="CACEW"/>
    <s v="Euronext Paris"/>
    <s v="Non-significant benchmark"/>
    <n v="0"/>
    <n v="0"/>
    <n v="0"/>
    <n v="0"/>
    <n v="0"/>
    <n v="0"/>
    <n v="0"/>
  </r>
  <r>
    <x v="164"/>
    <x v="18"/>
    <s v="QS0011211214"/>
    <x v="0"/>
    <s v="Country"/>
    <m/>
    <s v="CACEG"/>
    <s v="Euronext Paris"/>
    <s v="Non-significant benchmark"/>
    <n v="0"/>
    <n v="0"/>
    <n v="0"/>
    <n v="0"/>
    <n v="0"/>
    <n v="0"/>
    <n v="0"/>
  </r>
  <r>
    <x v="165"/>
    <x v="18"/>
    <s v="QS0011211198"/>
    <x v="0"/>
    <s v="Country"/>
    <m/>
    <s v="CACEN"/>
    <s v="Euronext Paris"/>
    <s v="Non-significant benchmark"/>
    <n v="0"/>
    <n v="0"/>
    <n v="0"/>
    <n v="0"/>
    <n v="0"/>
    <n v="0"/>
    <n v="0"/>
  </r>
  <r>
    <x v="166"/>
    <x v="18"/>
    <s v="FR0013236254"/>
    <x v="0"/>
    <s v="Country"/>
    <m/>
    <s v="C4EWD"/>
    <s v="Euronext Paris"/>
    <s v="Non-significant benchmark"/>
    <n v="9944000"/>
    <n v="63000000"/>
    <n v="4384066.4336000001"/>
    <n v="0"/>
    <n v="0"/>
    <n v="0"/>
    <n v="9944000"/>
  </r>
  <r>
    <x v="167"/>
    <x v="19"/>
    <s v="FR0012712081"/>
    <x v="0"/>
    <s v="Country"/>
    <m/>
    <s v="CAEWC"/>
    <s v="Euronext Paris"/>
    <s v="Non-significant benchmark"/>
    <n v="0"/>
    <n v="0"/>
    <n v="0"/>
    <n v="0"/>
    <n v="0"/>
    <n v="0"/>
    <n v="0"/>
  </r>
  <r>
    <x v="168"/>
    <x v="20"/>
    <s v="FR0012663292"/>
    <x v="0"/>
    <s v="Country"/>
    <m/>
    <s v="CLEW"/>
    <s v="Euronext Paris"/>
    <s v="Non-significant benchmark"/>
    <n v="0"/>
    <n v="0"/>
    <n v="0"/>
    <n v="0"/>
    <n v="0"/>
    <n v="0"/>
    <n v="0"/>
  </r>
  <r>
    <x v="169"/>
    <x v="20"/>
    <s v="FR0013517802"/>
    <x v="0"/>
    <s v="Country"/>
    <m/>
    <s v="CLEW4"/>
    <s v="Euronext Paris"/>
    <s v="Non-significant benchmark"/>
    <n v="0"/>
    <n v="0"/>
    <n v="0"/>
    <n v="0"/>
    <n v="0"/>
    <n v="0"/>
    <n v="0"/>
  </r>
  <r>
    <x v="170"/>
    <x v="20"/>
    <s v="FR0012663318"/>
    <x v="0"/>
    <s v="Country"/>
    <m/>
    <s v="CLEWG"/>
    <s v="Euronext Paris"/>
    <s v="Non-significant benchmark"/>
    <n v="0"/>
    <n v="1284044000"/>
    <n v="0"/>
    <n v="0"/>
    <n v="0"/>
    <n v="0"/>
    <n v="1284044000"/>
  </r>
  <r>
    <x v="171"/>
    <x v="20"/>
    <s v="FR0012663300"/>
    <x v="0"/>
    <s v="Country"/>
    <m/>
    <s v="CLEWN"/>
    <s v="Euronext Paris"/>
    <s v="Non-significant benchmark"/>
    <n v="0"/>
    <n v="0"/>
    <n v="0"/>
    <n v="0"/>
    <n v="0"/>
    <n v="0"/>
    <n v="0"/>
  </r>
  <r>
    <x v="172"/>
    <x v="20"/>
    <s v="FR0012663334"/>
    <x v="0"/>
    <s v="Country"/>
    <m/>
    <s v="CLEWE"/>
    <s v="Euronext Paris"/>
    <s v="Non-significant benchmark"/>
    <n v="0"/>
    <n v="2914671477.6789999"/>
    <n v="2145530797.8436"/>
    <n v="0"/>
    <n v="0"/>
    <n v="0"/>
    <n v="2914671477.6789999"/>
  </r>
  <r>
    <x v="173"/>
    <x v="21"/>
    <s v="FR0013134855"/>
    <x v="0"/>
    <s v="Country"/>
    <m/>
    <s v="CLEJP"/>
    <s v="Euronext Paris"/>
    <s v="Non-significant benchmark"/>
    <n v="0"/>
    <n v="0"/>
    <n v="0"/>
    <n v="0"/>
    <n v="0"/>
    <n v="0"/>
    <n v="0"/>
  </r>
  <r>
    <x v="174"/>
    <x v="21"/>
    <s v="FR0013134848"/>
    <x v="0"/>
    <s v="Country"/>
    <m/>
    <s v="CLEWJ"/>
    <s v="Euronext Paris"/>
    <s v="Non-significant benchmark"/>
    <n v="0"/>
    <n v="0"/>
    <n v="0"/>
    <n v="0"/>
    <n v="0"/>
    <n v="0"/>
    <n v="0"/>
  </r>
  <r>
    <x v="175"/>
    <x v="22"/>
    <s v="QS0011252754"/>
    <x v="0"/>
    <e v="#N/A"/>
    <m/>
    <s v="CAEXT"/>
    <s v="Euronext Paris"/>
    <s v="Non-significant benchmark"/>
    <n v="0"/>
    <n v="0"/>
    <n v="0"/>
    <n v="0"/>
    <n v="0"/>
    <n v="0"/>
    <n v="0"/>
  </r>
  <r>
    <x v="176"/>
    <x v="23"/>
    <s v="FR0013232188"/>
    <x v="1"/>
    <s v="Governance"/>
    <s v="ESG Other"/>
    <s v="CAGOV"/>
    <s v="Euronext Paris"/>
    <s v="Non-significant benchmark"/>
    <n v="0"/>
    <n v="0"/>
    <n v="0"/>
    <n v="0"/>
    <n v="0"/>
    <n v="0"/>
    <n v="0"/>
  </r>
  <r>
    <x v="177"/>
    <x v="23"/>
    <s v="FR0013254323"/>
    <x v="1"/>
    <s v="Governance"/>
    <s v="ESG Other"/>
    <s v="CAGOD"/>
    <s v="Euronext Paris"/>
    <s v="Non-significant benchmark"/>
    <n v="0"/>
    <n v="0"/>
    <n v="0"/>
    <n v="0"/>
    <n v="0"/>
    <n v="0"/>
    <n v="0"/>
  </r>
  <r>
    <x v="178"/>
    <x v="23"/>
    <s v="FR0013232204"/>
    <x v="1"/>
    <s v="Governance"/>
    <s v="ESG Other"/>
    <s v="CAGOG"/>
    <s v="Euronext Paris"/>
    <s v="Non-significant benchmark"/>
    <n v="0"/>
    <n v="0"/>
    <n v="0"/>
    <n v="0"/>
    <n v="0"/>
    <n v="0"/>
    <n v="0"/>
  </r>
  <r>
    <x v="179"/>
    <x v="23"/>
    <s v="FR0013232196"/>
    <x v="1"/>
    <s v="Governance"/>
    <s v="ESG Other"/>
    <s v="CAGON"/>
    <s v="Euronext Paris"/>
    <s v="Non-significant benchmark"/>
    <n v="0"/>
    <n v="0"/>
    <n v="0"/>
    <n v="0"/>
    <n v="0"/>
    <n v="0"/>
    <n v="0"/>
  </r>
  <r>
    <x v="180"/>
    <x v="24"/>
    <s v="FR0013252392"/>
    <x v="0"/>
    <s v="Strategy"/>
    <m/>
    <s v="C4CD"/>
    <s v="Euronext Paris"/>
    <s v="Non-significant benchmark"/>
    <n v="0"/>
    <n v="0"/>
    <n v="0"/>
    <n v="0"/>
    <n v="0"/>
    <n v="0"/>
    <n v="0"/>
  </r>
  <r>
    <x v="181"/>
    <x v="24"/>
    <s v="FR0013252418"/>
    <x v="0"/>
    <s v="Strategy"/>
    <m/>
    <s v="C4SD"/>
    <s v="Euronext Paris"/>
    <s v="Non-significant benchmark"/>
    <n v="0"/>
    <n v="0"/>
    <n v="0"/>
    <n v="0"/>
    <n v="0"/>
    <n v="0"/>
    <n v="0"/>
  </r>
  <r>
    <x v="182"/>
    <x v="25"/>
    <s v="FR0003502079"/>
    <x v="0"/>
    <s v="International"/>
    <m/>
    <s v="N100"/>
    <s v="Euronext Brussels"/>
    <s v="Non-significant benchmark"/>
    <n v="0"/>
    <n v="0"/>
    <n v="0"/>
    <n v="3246341.7600000002"/>
    <n v="0"/>
    <n v="0"/>
    <n v="3246341.7600000002"/>
  </r>
  <r>
    <x v="183"/>
    <x v="25"/>
    <s v="QS0011224258"/>
    <x v="0"/>
    <s v="International"/>
    <m/>
    <s v="N100G"/>
    <s v="Euronext Brussels"/>
    <s v="Non-significant benchmark"/>
    <n v="0"/>
    <n v="0"/>
    <n v="0"/>
    <n v="0"/>
    <n v="0"/>
    <n v="0"/>
    <n v="0"/>
  </r>
  <r>
    <x v="184"/>
    <x v="25"/>
    <s v="FR0003502087"/>
    <x v="0"/>
    <s v="International"/>
    <m/>
    <s v="N150"/>
    <s v="Euronext Brussels"/>
    <s v="Non-significant benchmark"/>
    <n v="0"/>
    <n v="0"/>
    <n v="0"/>
    <n v="0"/>
    <n v="0"/>
    <n v="0"/>
    <n v="0"/>
  </r>
  <r>
    <x v="185"/>
    <x v="25"/>
    <s v="QS0011224274"/>
    <x v="0"/>
    <s v="International"/>
    <m/>
    <s v="N150G"/>
    <s v="Euronext Brussels"/>
    <s v="Non-significant benchmark"/>
    <n v="0"/>
    <n v="0"/>
    <n v="0"/>
    <n v="0"/>
    <n v="0"/>
    <n v="0"/>
    <n v="0"/>
  </r>
  <r>
    <x v="186"/>
    <x v="26"/>
    <s v="NL0015436148"/>
    <x v="0"/>
    <s v="International"/>
    <m/>
    <s v="AS500"/>
    <s v="Euronext Amsterdam"/>
    <s v="Non-significant benchmark"/>
    <n v="0"/>
    <n v="0"/>
    <n v="0"/>
    <n v="0"/>
    <n v="0"/>
    <n v="0"/>
    <n v="0"/>
  </r>
  <r>
    <x v="187"/>
    <x v="26"/>
    <s v="NL0015436163"/>
    <x v="0"/>
    <s v="International"/>
    <m/>
    <s v="AS5GR"/>
    <s v="Euronext Amsterdam"/>
    <s v="Non-significant benchmark"/>
    <n v="0"/>
    <n v="0"/>
    <n v="0"/>
    <n v="0"/>
    <n v="0"/>
    <n v="0"/>
    <n v="0"/>
  </r>
  <r>
    <x v="188"/>
    <x v="26"/>
    <s v="NL0015436155"/>
    <x v="0"/>
    <s v="International"/>
    <m/>
    <s v="AS5NR"/>
    <s v="Euronext Amsterdam"/>
    <s v="Non-significant benchmark"/>
    <n v="0"/>
    <n v="0"/>
    <n v="0"/>
    <n v="0"/>
    <n v="0"/>
    <n v="0"/>
    <n v="0"/>
  </r>
  <r>
    <x v="189"/>
    <x v="27"/>
    <s v="NL0011376116"/>
    <x v="0"/>
    <s v="International"/>
    <m/>
    <s v="BNEW"/>
    <s v="Euronext Amsterdam"/>
    <s v="Non-significant benchmark"/>
    <n v="0"/>
    <n v="0"/>
    <n v="0"/>
    <n v="0"/>
    <n v="0"/>
    <n v="0"/>
    <n v="0"/>
  </r>
  <r>
    <x v="190"/>
    <x v="27"/>
    <s v="NL0011376132"/>
    <x v="0"/>
    <s v="International"/>
    <m/>
    <s v="BNEWG"/>
    <s v="Euronext Amsterdam"/>
    <s v="Non-significant benchmark"/>
    <n v="0"/>
    <n v="0"/>
    <n v="0"/>
    <n v="0"/>
    <n v="0"/>
    <n v="0"/>
    <n v="0"/>
  </r>
  <r>
    <x v="191"/>
    <x v="27"/>
    <s v="NL0011376124"/>
    <x v="0"/>
    <s v="International"/>
    <m/>
    <s v="BNEWN"/>
    <s v="Euronext Amsterdam"/>
    <s v="Non-significant benchmark"/>
    <n v="0"/>
    <n v="0"/>
    <n v="0"/>
    <n v="0"/>
    <n v="0"/>
    <n v="0"/>
    <n v="0"/>
  </r>
  <r>
    <x v="192"/>
    <x v="27"/>
    <s v="NL0011376140"/>
    <x v="0"/>
    <s v="International"/>
    <m/>
    <s v="BNEWE"/>
    <s v="Euronext Amsterdam"/>
    <s v="Non-significant benchmark"/>
    <n v="0"/>
    <n v="36305000"/>
    <n v="0"/>
    <n v="0"/>
    <n v="0"/>
    <n v="0"/>
    <n v="36305000"/>
  </r>
  <r>
    <x v="193"/>
    <x v="28"/>
    <s v="NL0012081418"/>
    <x v="0"/>
    <s v="International"/>
    <m/>
    <s v="BNEWV"/>
    <s v="Euronext Amsterdam"/>
    <s v="Non-significant benchmark"/>
    <n v="0"/>
    <n v="0"/>
    <n v="0"/>
    <n v="0"/>
    <n v="0"/>
    <n v="0"/>
    <n v="0"/>
  </r>
  <r>
    <x v="194"/>
    <x v="29"/>
    <s v="NL0013025695"/>
    <x v="1"/>
    <s v="Broad ESG"/>
    <s v="ESG Other"/>
    <s v="BESGP"/>
    <s v="Euronext Paris"/>
    <s v="Non-significant benchmark"/>
    <n v="9090000"/>
    <n v="0"/>
    <n v="0"/>
    <n v="0"/>
    <n v="0"/>
    <n v="0"/>
    <n v="9090000"/>
  </r>
  <r>
    <x v="195"/>
    <x v="29"/>
    <s v="NL0013025729"/>
    <x v="1"/>
    <s v="Broad ESG"/>
    <s v="ESG Other"/>
    <s v="BESGD"/>
    <s v="Euronext Paris"/>
    <s v="Non-significant benchmark"/>
    <n v="1161500"/>
    <n v="0"/>
    <n v="0"/>
    <n v="0"/>
    <n v="0"/>
    <n v="0"/>
    <n v="1161500"/>
  </r>
  <r>
    <x v="196"/>
    <x v="29"/>
    <s v="NL0013025711"/>
    <x v="1"/>
    <s v="Broad ESG"/>
    <s v="ESG Other"/>
    <s v="BESGG"/>
    <s v="Euronext Paris"/>
    <s v="Non-significant benchmark"/>
    <n v="0"/>
    <n v="0"/>
    <n v="0"/>
    <n v="0"/>
    <n v="0"/>
    <n v="0"/>
    <n v="0"/>
  </r>
  <r>
    <x v="197"/>
    <x v="29"/>
    <s v="NL0013025703"/>
    <x v="1"/>
    <s v="Broad ESG"/>
    <s v="ESG Other"/>
    <s v="BESGN"/>
    <s v="Euronext Paris"/>
    <s v="Non-significant benchmark"/>
    <n v="0"/>
    <n v="0"/>
    <n v="0"/>
    <n v="0"/>
    <n v="0"/>
    <n v="0"/>
    <n v="0"/>
  </r>
  <r>
    <x v="198"/>
    <x v="30"/>
    <s v="NL0012294235"/>
    <x v="0"/>
    <s v="International"/>
    <m/>
    <s v="EBLRE"/>
    <s v="Euronext Amsterdam"/>
    <s v="Non-significant benchmark"/>
    <n v="0"/>
    <n v="0"/>
    <n v="0"/>
    <n v="0"/>
    <n v="0"/>
    <n v="0"/>
    <n v="0"/>
  </r>
  <r>
    <x v="199"/>
    <x v="30"/>
    <s v="NL0012294268"/>
    <x v="0"/>
    <s v="International"/>
    <m/>
    <s v="EBLRD"/>
    <s v="Euronext Amsterdam"/>
    <s v="Non-significant benchmark"/>
    <n v="0"/>
    <n v="12546000"/>
    <n v="0"/>
    <n v="0"/>
    <n v="0"/>
    <n v="0"/>
    <n v="12546000"/>
  </r>
  <r>
    <x v="200"/>
    <x v="30"/>
    <s v="NL0012294250"/>
    <x v="0"/>
    <s v="International"/>
    <m/>
    <s v="EBLRG"/>
    <s v="Euronext Amsterdam"/>
    <s v="Non-significant benchmark"/>
    <n v="0"/>
    <n v="0"/>
    <n v="0"/>
    <n v="0"/>
    <n v="0"/>
    <n v="0"/>
    <n v="0"/>
  </r>
  <r>
    <x v="201"/>
    <x v="30"/>
    <s v="NL0012294243"/>
    <x v="0"/>
    <s v="International"/>
    <m/>
    <s v="EBLRN"/>
    <s v="Euronext Amsterdam"/>
    <s v="Non-significant benchmark"/>
    <n v="0"/>
    <n v="0"/>
    <n v="0"/>
    <n v="0"/>
    <n v="0"/>
    <n v="0"/>
    <n v="0"/>
  </r>
  <r>
    <x v="202"/>
    <x v="31"/>
    <s v="NL0013941024"/>
    <x v="1"/>
    <s v="Environmental"/>
    <s v="ESG Other"/>
    <s v="EESGP"/>
    <s v="Euronext Paris"/>
    <s v="Non-significant benchmark"/>
    <n v="0"/>
    <n v="0"/>
    <n v="0"/>
    <n v="0"/>
    <n v="0"/>
    <n v="0"/>
    <n v="0"/>
  </r>
  <r>
    <x v="203"/>
    <x v="31"/>
    <s v="NL0013941057"/>
    <x v="1"/>
    <s v="Environmental"/>
    <s v="ESG Other"/>
    <s v="EZESG"/>
    <s v="Euronext Paris"/>
    <s v="Non-significant benchmark"/>
    <n v="43019736.852972999"/>
    <n v="40000000"/>
    <n v="35127792.810400002"/>
    <n v="0"/>
    <n v="0"/>
    <n v="0"/>
    <n v="43019736.852972999"/>
  </r>
  <r>
    <x v="204"/>
    <x v="31"/>
    <s v="NL0013941040"/>
    <x v="1"/>
    <s v="Environmental"/>
    <s v="ESG Other"/>
    <s v="EESGG"/>
    <s v="Euronext Paris"/>
    <s v="Non-significant benchmark"/>
    <n v="0"/>
    <n v="0"/>
    <n v="0"/>
    <n v="0"/>
    <n v="0"/>
    <n v="0"/>
    <n v="0"/>
  </r>
  <r>
    <x v="205"/>
    <x v="31"/>
    <s v="NL0013941032"/>
    <x v="1"/>
    <s v="Environmental"/>
    <s v="ESG Other"/>
    <s v="EESGN"/>
    <s v="Euronext Paris"/>
    <s v="Non-significant benchmark"/>
    <n v="0"/>
    <n v="0"/>
    <n v="0"/>
    <n v="0"/>
    <n v="0"/>
    <n v="0"/>
    <n v="0"/>
  </r>
  <r>
    <x v="206"/>
    <x v="32"/>
    <s v="FR0013448131"/>
    <x v="1"/>
    <s v="Environmental"/>
    <s v="ESG Other"/>
    <s v="FESGP"/>
    <s v="Euronext Paris"/>
    <s v="Non-significant benchmark"/>
    <n v="0"/>
    <n v="0"/>
    <n v="0"/>
    <n v="0"/>
    <n v="0"/>
    <n v="0"/>
    <n v="0"/>
  </r>
  <r>
    <x v="207"/>
    <x v="32"/>
    <s v="FR0013448164"/>
    <x v="1"/>
    <s v="Environmental"/>
    <s v="ESG Other"/>
    <s v="FRESG"/>
    <s v="Euronext Paris"/>
    <s v="Non-significant benchmark"/>
    <n v="0"/>
    <n v="0"/>
    <n v="0"/>
    <n v="0"/>
    <n v="0"/>
    <n v="0"/>
    <n v="0"/>
  </r>
  <r>
    <x v="208"/>
    <x v="32"/>
    <s v="FR0013448156"/>
    <x v="1"/>
    <s v="Environmental"/>
    <s v="ESG Other"/>
    <s v="FESGG"/>
    <s v="Euronext Paris"/>
    <s v="Non-significant benchmark"/>
    <n v="0"/>
    <n v="0"/>
    <n v="0"/>
    <n v="0"/>
    <n v="0"/>
    <n v="0"/>
    <n v="0"/>
  </r>
  <r>
    <x v="209"/>
    <x v="32"/>
    <s v="FR0013448149"/>
    <x v="1"/>
    <s v="Environmental"/>
    <s v="ESG Other"/>
    <s v="FESGN"/>
    <s v="Euronext Paris"/>
    <s v="Non-significant benchmark"/>
    <n v="0"/>
    <n v="0"/>
    <n v="0"/>
    <n v="0"/>
    <n v="0"/>
    <n v="0"/>
    <n v="0"/>
  </r>
  <r>
    <x v="210"/>
    <x v="33"/>
    <s v="NL0013940984"/>
    <x v="1"/>
    <s v="Environmental"/>
    <s v="ESG Other"/>
    <s v="WESGP"/>
    <s v="Euronext Paris"/>
    <s v="Non-significant benchmark"/>
    <n v="0"/>
    <n v="25000000"/>
    <n v="0"/>
    <n v="0"/>
    <n v="0"/>
    <n v="0"/>
    <n v="25000000"/>
  </r>
  <r>
    <x v="211"/>
    <x v="33"/>
    <s v="NL0013941016"/>
    <x v="1"/>
    <s v="Environmental"/>
    <s v="ESG Other"/>
    <s v="WLESG"/>
    <s v="Euronext Paris"/>
    <s v="Non-significant benchmark"/>
    <n v="37778500"/>
    <n v="100000000"/>
    <n v="62555838.691200003"/>
    <n v="0"/>
    <n v="0"/>
    <n v="0"/>
    <n v="62555838.691200003"/>
  </r>
  <r>
    <x v="212"/>
    <x v="33"/>
    <s v="NL0013941008"/>
    <x v="1"/>
    <s v="Environmental"/>
    <s v="ESG Other"/>
    <s v="WESGG"/>
    <s v="Euronext Paris"/>
    <s v="Non-significant benchmark"/>
    <n v="0"/>
    <n v="0"/>
    <n v="0"/>
    <n v="0"/>
    <n v="0"/>
    <n v="0"/>
    <n v="0"/>
  </r>
  <r>
    <x v="213"/>
    <x v="33"/>
    <s v="NL0013940992"/>
    <x v="1"/>
    <s v="Environmental"/>
    <s v="ESG Other"/>
    <s v="WESGN"/>
    <s v="Euronext Paris"/>
    <s v="Non-significant benchmark"/>
    <n v="0"/>
    <n v="0"/>
    <n v="0"/>
    <n v="0"/>
    <n v="0"/>
    <n v="0"/>
    <n v="0"/>
  </r>
  <r>
    <x v="214"/>
    <x v="34"/>
    <s v="NL0013352560"/>
    <x v="1"/>
    <s v="Environmental"/>
    <s v="ESG Other"/>
    <s v="EZENP"/>
    <s v="Euronext Paris"/>
    <s v="Non-significant benchmark"/>
    <n v="0"/>
    <n v="0"/>
    <n v="0"/>
    <n v="0"/>
    <n v="0"/>
    <n v="0"/>
    <n v="0"/>
  </r>
  <r>
    <x v="215"/>
    <x v="34"/>
    <s v="NL0013352594"/>
    <x v="1"/>
    <s v="Environmental"/>
    <s v="ESG Other"/>
    <s v="EZENV"/>
    <s v="Euronext Paris"/>
    <s v="Non-significant benchmark"/>
    <n v="44782638.009543002"/>
    <n v="80000000"/>
    <n v="202026254.66600001"/>
    <n v="246265618"/>
    <n v="0"/>
    <n v="0"/>
    <n v="448291872.66600001"/>
  </r>
  <r>
    <x v="216"/>
    <x v="34"/>
    <s v="NL0015000MS6"/>
    <x v="1"/>
    <s v="Environmental"/>
    <s v="ESG Other"/>
    <s v="EZEN3"/>
    <s v="Euronext Paris"/>
    <s v="Non-significant benchmark"/>
    <n v="0"/>
    <n v="0"/>
    <n v="94542945.254000008"/>
    <n v="0"/>
    <n v="0"/>
    <n v="0"/>
    <n v="94542945.254000008"/>
  </r>
  <r>
    <x v="217"/>
    <x v="34"/>
    <s v="NL00150000I8"/>
    <x v="1"/>
    <s v="Environmental"/>
    <s v="ESG Other"/>
    <s v="EZEN4"/>
    <s v="Euronext Paris"/>
    <s v="Non-significant benchmark"/>
    <n v="23865973.266879"/>
    <n v="100000000"/>
    <n v="78001383.668400005"/>
    <n v="0"/>
    <n v="0"/>
    <n v="0"/>
    <n v="78001383.668400005"/>
  </r>
  <r>
    <x v="218"/>
    <x v="34"/>
    <s v="NL0013352586"/>
    <x v="1"/>
    <s v="Environmental"/>
    <s v="ESG Other"/>
    <s v="EZENG"/>
    <s v="Euronext Paris"/>
    <s v="Non-significant benchmark"/>
    <n v="0"/>
    <n v="0"/>
    <n v="0"/>
    <n v="0"/>
    <n v="0"/>
    <n v="0"/>
    <n v="0"/>
  </r>
  <r>
    <x v="219"/>
    <x v="34"/>
    <s v="NL0013352578"/>
    <x v="1"/>
    <s v="Environmental"/>
    <s v="ESG Other"/>
    <s v="EZENN"/>
    <s v="Euronext Paris"/>
    <s v="Non-significant benchmark"/>
    <n v="0"/>
    <n v="0"/>
    <n v="0"/>
    <n v="0"/>
    <n v="0"/>
    <n v="0"/>
    <n v="0"/>
  </r>
  <r>
    <x v="220"/>
    <x v="35"/>
    <s v="NL0013039258"/>
    <x v="1"/>
    <s v="Environmental"/>
    <s v="ESG Other"/>
    <s v="FREEP"/>
    <s v="Euronext Paris"/>
    <s v="Non-significant benchmark"/>
    <n v="0"/>
    <n v="0"/>
    <n v="0"/>
    <n v="0"/>
    <n v="0"/>
    <n v="0"/>
    <n v="0"/>
  </r>
  <r>
    <x v="221"/>
    <x v="35"/>
    <s v="NL0013039274"/>
    <x v="1"/>
    <s v="Environmental"/>
    <s v="ESG Other"/>
    <s v="FREEG"/>
    <s v="Euronext Paris"/>
    <s v="Non-significant benchmark"/>
    <n v="0"/>
    <n v="0"/>
    <n v="0"/>
    <n v="0"/>
    <n v="0"/>
    <n v="0"/>
    <n v="0"/>
  </r>
  <r>
    <x v="222"/>
    <x v="35"/>
    <s v="NL0013039266"/>
    <x v="1"/>
    <s v="Environmental"/>
    <s v="ESG Other"/>
    <s v="FREEN"/>
    <s v="Euronext Paris"/>
    <s v="Non-significant benchmark"/>
    <n v="0"/>
    <n v="0"/>
    <n v="0"/>
    <n v="0"/>
    <n v="0"/>
    <n v="0"/>
    <n v="0"/>
  </r>
  <r>
    <x v="223"/>
    <x v="35"/>
    <s v="NL0013039282"/>
    <x v="1"/>
    <s v="Environmental"/>
    <s v="ESG Other"/>
    <s v="FRENE"/>
    <s v="Euronext Paris"/>
    <s v="Non-significant benchmark"/>
    <n v="0"/>
    <n v="0"/>
    <n v="0"/>
    <n v="0"/>
    <n v="0"/>
    <n v="0"/>
    <n v="0"/>
  </r>
  <r>
    <x v="224"/>
    <x v="36"/>
    <s v="FR0014004PQ0"/>
    <x v="1"/>
    <s v="Environmental"/>
    <s v="ESG Other"/>
    <s v="TESGP"/>
    <s v="Euronext Paris"/>
    <s v="Non-significant benchmark"/>
    <n v="0"/>
    <n v="0"/>
    <n v="0"/>
    <n v="0"/>
    <n v="0"/>
    <n v="0"/>
    <n v="0"/>
  </r>
  <r>
    <x v="225"/>
    <x v="36"/>
    <s v="FR0014004PS6"/>
    <x v="1"/>
    <s v="Environmental"/>
    <s v="ESG Other"/>
    <s v="TLESG"/>
    <s v="Euronext Paris"/>
    <s v="Non-significant benchmark"/>
    <n v="121902399.88875"/>
    <n v="0"/>
    <n v="131549623.6788"/>
    <n v="0"/>
    <n v="0"/>
    <n v="0"/>
    <n v="131549623.6788"/>
  </r>
  <r>
    <x v="226"/>
    <x v="36"/>
    <s v="FR0014004PR8"/>
    <x v="1"/>
    <s v="Environmental"/>
    <s v="ESG Other"/>
    <s v="TESGG"/>
    <s v="Euronext Paris"/>
    <s v="Non-significant benchmark"/>
    <n v="0"/>
    <n v="0"/>
    <n v="0"/>
    <n v="0"/>
    <n v="0"/>
    <n v="0"/>
    <n v="0"/>
  </r>
  <r>
    <x v="227"/>
    <x v="36"/>
    <s v="FR0014004PU2"/>
    <x v="1"/>
    <s v="Environmental"/>
    <s v="ESG Other"/>
    <s v="TESGN"/>
    <s v="Euronext Paris"/>
    <s v="Non-significant benchmark"/>
    <n v="0"/>
    <n v="0"/>
    <n v="0"/>
    <n v="0"/>
    <n v="0"/>
    <n v="0"/>
    <n v="0"/>
  </r>
  <r>
    <x v="228"/>
    <x v="37"/>
    <s v="NL0013352602"/>
    <x v="1"/>
    <s v="Environmental"/>
    <s v="ESG Other"/>
    <s v="WLENP"/>
    <s v="Euronext Paris"/>
    <s v="Non-significant benchmark"/>
    <n v="0"/>
    <n v="0"/>
    <n v="0"/>
    <n v="0"/>
    <n v="0"/>
    <n v="0"/>
    <n v="0"/>
  </r>
  <r>
    <x v="229"/>
    <x v="37"/>
    <s v="NL0013352636"/>
    <x v="1"/>
    <s v="Environmental"/>
    <s v="ESG Other"/>
    <s v="WLENV"/>
    <s v="Euronext Paris"/>
    <s v="Non-significant benchmark"/>
    <n v="39420744.939999998"/>
    <n v="116831242.817"/>
    <n v="6364264.5076000001"/>
    <n v="0"/>
    <n v="0"/>
    <n v="0"/>
    <n v="39420744.939999998"/>
  </r>
  <r>
    <x v="230"/>
    <x v="37"/>
    <s v="NL0013352628"/>
    <x v="1"/>
    <s v="Environmental"/>
    <s v="ESG Other"/>
    <s v="WLENG"/>
    <s v="Euronext Paris"/>
    <s v="Non-significant benchmark"/>
    <n v="0"/>
    <n v="0"/>
    <n v="0"/>
    <n v="0"/>
    <n v="0"/>
    <n v="0"/>
    <n v="0"/>
  </r>
  <r>
    <x v="231"/>
    <x v="37"/>
    <s v="NL0013352610"/>
    <x v="1"/>
    <s v="Environmental"/>
    <s v="ESG Other"/>
    <s v="WLENN"/>
    <s v="Euronext Paris"/>
    <s v="Non-significant benchmark"/>
    <n v="0"/>
    <n v="0"/>
    <n v="0"/>
    <n v="0"/>
    <n v="0"/>
    <n v="0"/>
    <n v="0"/>
  </r>
  <r>
    <x v="232"/>
    <x v="38"/>
    <s v="NL0013025471"/>
    <x v="1"/>
    <s v="Environmental"/>
    <s v="ESG Other"/>
    <s v="FRENP"/>
    <s v="Euronext Paris"/>
    <s v="Non-significant benchmark"/>
    <n v="0"/>
    <n v="0"/>
    <n v="0"/>
    <n v="0"/>
    <n v="0"/>
    <n v="0"/>
    <n v="0"/>
  </r>
  <r>
    <x v="233"/>
    <x v="38"/>
    <s v="NL0014913311"/>
    <x v="1"/>
    <s v="Environmental"/>
    <s v="ESG Other"/>
    <s v="FREN4"/>
    <s v="Euronext Paris"/>
    <s v="Non-significant benchmark"/>
    <n v="0"/>
    <n v="0"/>
    <n v="0"/>
    <n v="0"/>
    <n v="0"/>
    <n v="0"/>
    <n v="0"/>
  </r>
  <r>
    <x v="234"/>
    <x v="38"/>
    <s v="NL00150000K4"/>
    <x v="1"/>
    <s v="Environmental"/>
    <s v="ESG Other"/>
    <s v="FRE4N"/>
    <s v="Euronext Paris"/>
    <s v="Non-significant benchmark"/>
    <n v="0"/>
    <n v="0"/>
    <n v="0"/>
    <n v="0"/>
    <n v="0"/>
    <n v="0"/>
    <n v="0"/>
  </r>
  <r>
    <x v="235"/>
    <x v="38"/>
    <s v="NL0013025505"/>
    <x v="1"/>
    <s v="Environmental"/>
    <s v="ESG Other"/>
    <s v="FRENV"/>
    <s v="Euronext Paris"/>
    <s v="Non-significant benchmark"/>
    <n v="218496936.90000001"/>
    <n v="380000000"/>
    <n v="387483317.07560003"/>
    <n v="7316140"/>
    <n v="0"/>
    <n v="0"/>
    <n v="394799457.07560003"/>
  </r>
  <r>
    <x v="236"/>
    <x v="38"/>
    <s v="NL0013025497"/>
    <x v="1"/>
    <s v="Environmental"/>
    <s v="ESG Other"/>
    <s v="FRENG"/>
    <s v="Euronext Paris"/>
    <s v="Non-significant benchmark"/>
    <n v="0"/>
    <n v="0"/>
    <n v="0"/>
    <n v="0"/>
    <n v="0"/>
    <n v="0"/>
    <n v="0"/>
  </r>
  <r>
    <x v="237"/>
    <x v="38"/>
    <s v="NL0013025489"/>
    <x v="1"/>
    <s v="Environmental"/>
    <s v="ESG Other"/>
    <s v="FRENN"/>
    <s v="Euronext Paris"/>
    <s v="Non-significant benchmark"/>
    <n v="0"/>
    <n v="0"/>
    <n v="0"/>
    <n v="0"/>
    <n v="0"/>
    <n v="0"/>
    <n v="0"/>
  </r>
  <r>
    <x v="238"/>
    <x v="39"/>
    <s v="FRESG0000835"/>
    <x v="1"/>
    <s v="Environmental"/>
    <s v="ESG Other"/>
    <s v="ENFRP"/>
    <s v="Euronext Paris"/>
    <s v="Non-significant benchmark"/>
    <n v="0"/>
    <n v="0"/>
    <n v="0"/>
    <n v="0"/>
    <n v="0"/>
    <n v="0"/>
    <n v="0"/>
  </r>
  <r>
    <x v="239"/>
    <x v="39"/>
    <s v="FRESG0000868"/>
    <x v="1"/>
    <s v="Environmental"/>
    <s v="ESG Other"/>
    <s v="ENVFR"/>
    <s v="Euronext Paris"/>
    <s v="Non-significant benchmark"/>
    <n v="0"/>
    <n v="0"/>
    <n v="191305554.39560002"/>
    <n v="145902870"/>
    <n v="0"/>
    <n v="0"/>
    <n v="337208424.39560002"/>
  </r>
  <r>
    <x v="240"/>
    <x v="39"/>
    <s v="FRESG0000850"/>
    <x v="1"/>
    <s v="Environmental"/>
    <s v="ESG Other"/>
    <s v="ENFRG"/>
    <s v="Euronext Paris"/>
    <s v="Non-significant benchmark"/>
    <n v="0"/>
    <n v="0"/>
    <n v="0"/>
    <n v="0"/>
    <n v="0"/>
    <n v="0"/>
    <n v="0"/>
  </r>
  <r>
    <x v="241"/>
    <x v="39"/>
    <s v="FRESG0000843"/>
    <x v="1"/>
    <s v="Environmental"/>
    <s v="ESG Other"/>
    <s v="ENFRN"/>
    <s v="Euronext Paris"/>
    <s v="Non-significant benchmark"/>
    <n v="0"/>
    <n v="0"/>
    <n v="0"/>
    <n v="0"/>
    <n v="0"/>
    <n v="0"/>
    <n v="0"/>
  </r>
  <r>
    <x v="242"/>
    <x v="40"/>
    <s v="NL00150005G1"/>
    <x v="1"/>
    <s v="Water;Climate"/>
    <s v="ESG Other"/>
    <s v="EZWTP"/>
    <s v="Euronext Paris"/>
    <s v="Non-significant benchmark"/>
    <n v="0"/>
    <n v="0"/>
    <n v="0"/>
    <n v="0"/>
    <n v="0"/>
    <n v="0"/>
    <n v="0"/>
  </r>
  <r>
    <x v="243"/>
    <x v="40"/>
    <s v="NL00150005D8"/>
    <x v="1"/>
    <s v="Water;Climate"/>
    <s v="ESG Other"/>
    <s v="EZWTR"/>
    <s v="Euronext Paris"/>
    <s v="Non-significant benchmark"/>
    <n v="4374823.9130419996"/>
    <n v="30000000"/>
    <n v="4862998.0608000001"/>
    <n v="0"/>
    <n v="0"/>
    <n v="0"/>
    <n v="4862998.0608000001"/>
  </r>
  <r>
    <x v="244"/>
    <x v="40"/>
    <s v="NL00150005E6"/>
    <x v="1"/>
    <s v="Water;Climate"/>
    <s v="ESG Other"/>
    <s v="EZWTG"/>
    <s v="Euronext Paris"/>
    <s v="Non-significant benchmark"/>
    <n v="0"/>
    <n v="0"/>
    <n v="0"/>
    <n v="0"/>
    <n v="0"/>
    <n v="0"/>
    <n v="0"/>
  </r>
  <r>
    <x v="245"/>
    <x v="40"/>
    <s v="NL00150005F3"/>
    <x v="1"/>
    <s v="Water;Climate"/>
    <s v="ESG Other"/>
    <s v="EZWTN"/>
    <s v="Euronext Paris"/>
    <s v="Non-significant benchmark"/>
    <n v="0"/>
    <n v="0"/>
    <n v="0"/>
    <n v="0"/>
    <n v="0"/>
    <n v="0"/>
    <n v="0"/>
  </r>
  <r>
    <x v="246"/>
    <x v="41"/>
    <s v="NL0011923024"/>
    <x v="1"/>
    <s v="Climate"/>
    <s v="ESG Other"/>
    <s v="ENCLE"/>
    <s v="Euronext Paris"/>
    <s v="Non-significant benchmark"/>
    <n v="0"/>
    <n v="0"/>
    <n v="0"/>
    <n v="0"/>
    <n v="0"/>
    <n v="0"/>
    <n v="0"/>
  </r>
  <r>
    <x v="247"/>
    <x v="41"/>
    <s v="NL0011923040"/>
    <x v="1"/>
    <s v="Climate"/>
    <s v="ESG Other"/>
    <s v="ENCEG"/>
    <s v="Euronext Paris"/>
    <s v="Non-significant benchmark"/>
    <n v="0"/>
    <n v="0"/>
    <n v="0"/>
    <n v="0"/>
    <n v="0"/>
    <n v="0"/>
    <n v="0"/>
  </r>
  <r>
    <x v="248"/>
    <x v="41"/>
    <s v="NL0011923032"/>
    <x v="1"/>
    <s v="Climate"/>
    <s v="ESG Other"/>
    <s v="ENCEN"/>
    <s v="Euronext Paris"/>
    <s v="Non-significant benchmark"/>
    <n v="0"/>
    <n v="0"/>
    <n v="0"/>
    <n v="0"/>
    <n v="0"/>
    <n v="0"/>
    <n v="0"/>
  </r>
  <r>
    <x v="249"/>
    <x v="42"/>
    <s v="NL0013025554"/>
    <x v="1"/>
    <s v="Climate"/>
    <s v="ESG Other"/>
    <s v="ECO5P"/>
    <s v="Euronext Paris"/>
    <s v="Non-significant benchmark"/>
    <n v="0"/>
    <n v="0"/>
    <n v="0"/>
    <n v="0"/>
    <n v="0"/>
    <n v="0"/>
    <n v="0"/>
  </r>
  <r>
    <x v="250"/>
    <x v="42"/>
    <s v="NL0013025588"/>
    <x v="1"/>
    <s v="Climate"/>
    <s v="ESG Other"/>
    <s v="ECO5E"/>
    <s v="Euronext Paris"/>
    <s v="Non-significant benchmark"/>
    <n v="0"/>
    <n v="288143000"/>
    <n v="1795054159.1928"/>
    <n v="0"/>
    <n v="0"/>
    <n v="0"/>
    <n v="1795054159.1928"/>
  </r>
  <r>
    <x v="251"/>
    <x v="42"/>
    <s v="NL0013025570"/>
    <x v="1"/>
    <s v="Climate"/>
    <s v="ESG Other"/>
    <s v="ECO5G"/>
    <s v="Euronext Paris"/>
    <s v="Non-significant benchmark"/>
    <n v="0"/>
    <n v="0"/>
    <n v="0"/>
    <n v="0"/>
    <n v="0"/>
    <n v="0"/>
    <n v="0"/>
  </r>
  <r>
    <x v="252"/>
    <x v="42"/>
    <s v="NL0013025562"/>
    <x v="1"/>
    <s v="Climate"/>
    <s v="ESG Other"/>
    <s v="ECO5N"/>
    <s v="Euronext Paris"/>
    <s v="Non-significant benchmark"/>
    <n v="0"/>
    <n v="0"/>
    <n v="0"/>
    <n v="0"/>
    <n v="0"/>
    <n v="0"/>
    <n v="0"/>
  </r>
  <r>
    <x v="253"/>
    <x v="42"/>
    <s v="FR0013493608"/>
    <x v="1"/>
    <s v="Climate"/>
    <s v="ESG Other"/>
    <s v="ECO4D"/>
    <s v="Euronext Paris"/>
    <s v="Non-significant benchmark"/>
    <n v="0"/>
    <n v="0"/>
    <n v="0"/>
    <n v="0"/>
    <n v="0"/>
    <n v="0"/>
    <n v="0"/>
  </r>
  <r>
    <x v="254"/>
    <x v="43"/>
    <s v="NL0012328843"/>
    <x v="1"/>
    <s v="Climate"/>
    <s v="ESG Other"/>
    <s v="ECO50"/>
    <s v="Euronext Paris"/>
    <s v="Non-significant benchmark"/>
    <n v="0"/>
    <n v="0"/>
    <n v="0"/>
    <n v="0"/>
    <n v="0"/>
    <n v="0"/>
    <n v="0"/>
  </r>
  <r>
    <x v="255"/>
    <x v="43"/>
    <s v="NL0012328819"/>
    <x v="1"/>
    <s v="Climate"/>
    <s v="ESG Other"/>
    <s v="ECOEW"/>
    <s v="Euronext Paris"/>
    <s v="Non-significant benchmark"/>
    <n v="0"/>
    <n v="0"/>
    <n v="29030624.7872"/>
    <n v="0"/>
    <n v="0"/>
    <n v="0"/>
    <n v="29030624.7872"/>
  </r>
  <r>
    <x v="256"/>
    <x v="43"/>
    <s v="NL0012328835"/>
    <x v="1"/>
    <s v="Climate"/>
    <s v="ESG Other"/>
    <s v="ECOEG"/>
    <s v="Euronext Paris"/>
    <s v="Non-significant benchmark"/>
    <n v="0"/>
    <n v="0"/>
    <n v="0"/>
    <n v="0"/>
    <n v="0"/>
    <n v="0"/>
    <n v="0"/>
  </r>
  <r>
    <x v="257"/>
    <x v="43"/>
    <s v="NL0012328827"/>
    <x v="1"/>
    <s v="Climate"/>
    <s v="ESG Other"/>
    <s v="ECOEN"/>
    <s v="Euronext Paris"/>
    <s v="Non-significant benchmark"/>
    <n v="0"/>
    <n v="0"/>
    <n v="0"/>
    <n v="0"/>
    <n v="0"/>
    <n v="0"/>
    <n v="0"/>
  </r>
  <r>
    <x v="258"/>
    <x v="44"/>
    <s v="NL0013474224"/>
    <x v="1"/>
    <s v="Climate"/>
    <s v="ESG Other"/>
    <s v="COP5D"/>
    <s v="Euronext Paris"/>
    <s v="Non-significant benchmark"/>
    <n v="0"/>
    <n v="16359475.57"/>
    <n v="0"/>
    <n v="0"/>
    <n v="0"/>
    <n v="0"/>
    <n v="16359475.57"/>
  </r>
  <r>
    <x v="259"/>
    <x v="44"/>
    <s v="NL0011923057"/>
    <x v="1"/>
    <s v="Climate"/>
    <s v="ESG Other"/>
    <s v="ECOP"/>
    <s v="Euronext Paris"/>
    <s v="Non-significant benchmark"/>
    <n v="0"/>
    <n v="11389000"/>
    <n v="421883502.2216"/>
    <n v="0"/>
    <n v="0"/>
    <n v="0"/>
    <n v="421883502.2216"/>
  </r>
  <r>
    <x v="260"/>
    <x v="44"/>
    <s v="NL0011923081"/>
    <x v="1"/>
    <s v="Climate"/>
    <s v="ESG Other"/>
    <s v="COP5E"/>
    <s v="Euronext Paris"/>
    <s v="Non-significant benchmark"/>
    <n v="0"/>
    <n v="0"/>
    <n v="0"/>
    <n v="0"/>
    <n v="0"/>
    <n v="0"/>
    <n v="0"/>
  </r>
  <r>
    <x v="261"/>
    <x v="44"/>
    <s v="NL0011923073"/>
    <x v="1"/>
    <s v="Climate"/>
    <s v="ESG Other"/>
    <s v="ECOPG"/>
    <s v="Euronext Paris"/>
    <s v="Non-significant benchmark"/>
    <n v="0"/>
    <n v="0"/>
    <n v="0"/>
    <n v="0"/>
    <n v="0"/>
    <n v="0"/>
    <n v="0"/>
  </r>
  <r>
    <x v="262"/>
    <x v="44"/>
    <s v="NL0011923065"/>
    <x v="1"/>
    <s v="Climate"/>
    <s v="ESG Other"/>
    <s v="ECOPN"/>
    <s v="Euronext Paris"/>
    <s v="Non-significant benchmark"/>
    <n v="0"/>
    <n v="0"/>
    <n v="0"/>
    <n v="0"/>
    <n v="0"/>
    <n v="0"/>
    <n v="0"/>
  </r>
  <r>
    <x v="263"/>
    <x v="45"/>
    <s v="FR0013533551"/>
    <x v="1"/>
    <s v="Climate"/>
    <s v="ESG Other"/>
    <s v="ECC5P"/>
    <s v="Euronext Paris"/>
    <s v="Non-significant benchmark"/>
    <n v="0"/>
    <n v="0"/>
    <n v="0"/>
    <n v="0"/>
    <n v="0"/>
    <n v="0"/>
    <n v="0"/>
  </r>
  <r>
    <x v="264"/>
    <x v="45"/>
    <s v="FR0014001178"/>
    <x v="1"/>
    <s v="Climate"/>
    <s v="ESG Other"/>
    <s v="ECC3D"/>
    <s v="Euronext Paris"/>
    <s v="Non-significant benchmark"/>
    <n v="0"/>
    <n v="0"/>
    <n v="0"/>
    <n v="0"/>
    <n v="0"/>
    <n v="0"/>
    <n v="0"/>
  </r>
  <r>
    <x v="265"/>
    <x v="45"/>
    <s v="FR0013533593"/>
    <x v="1"/>
    <s v="Climate"/>
    <s v="ESG Other"/>
    <s v="ECC5D"/>
    <s v="Euronext Paris"/>
    <s v="Non-significant benchmark"/>
    <n v="183449940"/>
    <n v="200000000"/>
    <n v="469196420.85480005"/>
    <n v="0"/>
    <n v="0"/>
    <n v="0"/>
    <n v="469196420.85480005"/>
  </r>
  <r>
    <x v="266"/>
    <x v="45"/>
    <s v="FR0013533577"/>
    <x v="1"/>
    <s v="Climate"/>
    <s v="ESG Other"/>
    <s v="ECC5G"/>
    <s v="Euronext Paris"/>
    <s v="Non-significant benchmark"/>
    <n v="0"/>
    <n v="0"/>
    <n v="0"/>
    <n v="0"/>
    <n v="0"/>
    <n v="0"/>
    <n v="0"/>
  </r>
  <r>
    <x v="267"/>
    <x v="45"/>
    <s v="FR0013533569"/>
    <x v="1"/>
    <s v="Climate"/>
    <s v="ESG Other"/>
    <s v="ECC5N"/>
    <s v="Euronext Paris"/>
    <s v="Non-significant benchmark"/>
    <n v="0"/>
    <n v="0"/>
    <n v="0"/>
    <n v="0"/>
    <n v="0"/>
    <n v="0"/>
    <n v="0"/>
  </r>
  <r>
    <x v="268"/>
    <x v="46"/>
    <s v="NL0013110257"/>
    <x v="1"/>
    <s v="Broad ESG"/>
    <s v="ESG Other"/>
    <s v="CESG1"/>
    <s v="Euronext Paris"/>
    <s v="Non-significant benchmark"/>
    <n v="0"/>
    <n v="0"/>
    <n v="0"/>
    <n v="0"/>
    <n v="0"/>
    <n v="0"/>
    <n v="0"/>
  </r>
  <r>
    <x v="269"/>
    <x v="46"/>
    <s v="NL0013110224"/>
    <x v="1"/>
    <s v="Broad ESG"/>
    <s v="ESG Other"/>
    <s v="CEE1P"/>
    <s v="Euronext Paris"/>
    <s v="Non-significant benchmark"/>
    <n v="0"/>
    <n v="0"/>
    <n v="0"/>
    <n v="0"/>
    <n v="0"/>
    <n v="0"/>
    <n v="0"/>
  </r>
  <r>
    <x v="270"/>
    <x v="46"/>
    <s v="NL0013110240"/>
    <x v="1"/>
    <s v="Broad ESG"/>
    <s v="ESG Other"/>
    <s v="CEE1G"/>
    <s v="Euronext Paris"/>
    <s v="Non-significant benchmark"/>
    <n v="0"/>
    <n v="0"/>
    <n v="0"/>
    <n v="0"/>
    <n v="0"/>
    <n v="0"/>
    <n v="0"/>
  </r>
  <r>
    <x v="271"/>
    <x v="46"/>
    <s v="NL0013110232"/>
    <x v="1"/>
    <s v="Broad ESG"/>
    <s v="ESG Other"/>
    <s v="CEE1N"/>
    <s v="Euronext Paris"/>
    <s v="Non-significant benchmark"/>
    <n v="0"/>
    <n v="0"/>
    <n v="0"/>
    <n v="0"/>
    <n v="0"/>
    <n v="0"/>
    <n v="0"/>
  </r>
  <r>
    <x v="272"/>
    <x v="47"/>
    <s v="NL0013026917"/>
    <x v="1"/>
    <s v="Broad ESG"/>
    <s v="ESG Other"/>
    <s v="CEE3P"/>
    <s v="Euronext Paris"/>
    <s v="Non-significant benchmark"/>
    <n v="0"/>
    <n v="0"/>
    <n v="0"/>
    <n v="0"/>
    <n v="0"/>
    <n v="0"/>
    <n v="0"/>
  </r>
  <r>
    <x v="273"/>
    <x v="47"/>
    <s v="NL0013026941"/>
    <x v="1"/>
    <s v="Broad ESG"/>
    <s v="ESG Other"/>
    <s v="CESG3"/>
    <s v="Euronext Paris"/>
    <s v="Non-significant benchmark"/>
    <n v="0"/>
    <n v="0"/>
    <n v="0"/>
    <n v="0"/>
    <n v="0"/>
    <n v="0"/>
    <n v="0"/>
  </r>
  <r>
    <x v="274"/>
    <x v="47"/>
    <s v="NL0013026933"/>
    <x v="1"/>
    <s v="Broad ESG"/>
    <s v="ESG Other"/>
    <s v="CEE3G"/>
    <s v="Euronext Paris"/>
    <s v="Non-significant benchmark"/>
    <n v="0"/>
    <n v="0"/>
    <n v="0"/>
    <n v="0"/>
    <n v="0"/>
    <n v="0"/>
    <n v="0"/>
  </r>
  <r>
    <x v="275"/>
    <x v="47"/>
    <s v="NL0013026925"/>
    <x v="1"/>
    <s v="Broad ESG"/>
    <s v="ESG Other"/>
    <s v="CEE3N"/>
    <s v="Euronext Paris"/>
    <s v="Non-significant benchmark"/>
    <n v="0"/>
    <n v="0"/>
    <n v="0"/>
    <n v="0"/>
    <n v="0"/>
    <n v="0"/>
    <n v="0"/>
  </r>
  <r>
    <x v="276"/>
    <x v="48"/>
    <s v="NL0012254635"/>
    <x v="0"/>
    <s v="International"/>
    <m/>
    <s v="EC1EW"/>
    <s v="Euronext Amsterdam"/>
    <s v="Non-significant benchmark"/>
    <n v="1100000"/>
    <n v="0"/>
    <n v="0"/>
    <n v="0"/>
    <n v="0"/>
    <n v="0"/>
    <n v="1100000"/>
  </r>
  <r>
    <x v="277"/>
    <x v="48"/>
    <s v="NL0012254650"/>
    <x v="0"/>
    <s v="International"/>
    <m/>
    <s v="EC1ED"/>
    <s v="Euronext Amsterdam"/>
    <s v="Non-significant benchmark"/>
    <n v="0"/>
    <n v="0"/>
    <n v="0"/>
    <n v="0"/>
    <n v="0"/>
    <n v="0"/>
    <n v="0"/>
  </r>
  <r>
    <x v="278"/>
    <x v="48"/>
    <s v="NL0012375356"/>
    <x v="0"/>
    <s v="International"/>
    <m/>
    <s v="COREU"/>
    <s v="Euronext Amsterdam"/>
    <s v="Non-significant benchmark"/>
    <n v="0"/>
    <n v="0"/>
    <n v="0"/>
    <n v="0"/>
    <n v="0"/>
    <n v="0"/>
    <n v="0"/>
  </r>
  <r>
    <x v="279"/>
    <x v="48"/>
    <s v="NL0012254643"/>
    <x v="0"/>
    <s v="International"/>
    <m/>
    <s v="EC1EG"/>
    <s v="Euronext Amsterdam"/>
    <s v="Non-significant benchmark"/>
    <n v="0"/>
    <n v="0"/>
    <n v="0"/>
    <n v="0"/>
    <n v="0"/>
    <n v="0"/>
    <n v="0"/>
  </r>
  <r>
    <x v="280"/>
    <x v="48"/>
    <s v="NL0012375349"/>
    <x v="0"/>
    <s v="International"/>
    <m/>
    <s v="COREN"/>
    <s v="Euronext Amsterdam"/>
    <s v="Non-significant benchmark"/>
    <n v="0"/>
    <n v="0"/>
    <n v="0"/>
    <n v="0"/>
    <n v="0"/>
    <n v="0"/>
    <n v="0"/>
  </r>
  <r>
    <x v="281"/>
    <x v="48"/>
    <s v="NL0012483903"/>
    <x v="0"/>
    <s v="International"/>
    <m/>
    <s v="COR3P"/>
    <s v="Euronext Amsterdam"/>
    <s v="Non-significant benchmark"/>
    <n v="0"/>
    <n v="0"/>
    <n v="0"/>
    <n v="0"/>
    <n v="0"/>
    <n v="0"/>
    <n v="0"/>
  </r>
  <r>
    <x v="282"/>
    <x v="48"/>
    <s v="NL0012483945"/>
    <x v="0"/>
    <s v="International"/>
    <m/>
    <s v="COR3D"/>
    <s v="Euronext Amsterdam"/>
    <s v="Non-significant benchmark"/>
    <n v="0"/>
    <n v="0"/>
    <n v="0"/>
    <n v="0"/>
    <n v="0"/>
    <n v="0"/>
    <n v="0"/>
  </r>
  <r>
    <x v="283"/>
    <x v="48"/>
    <s v="NL0012483929"/>
    <x v="0"/>
    <s v="International"/>
    <m/>
    <s v="COR30"/>
    <s v="Euronext Amsterdam"/>
    <s v="Non-significant benchmark"/>
    <n v="0"/>
    <n v="0"/>
    <n v="388321447.42320001"/>
    <n v="0"/>
    <n v="0"/>
    <n v="0"/>
    <n v="388321447.42320001"/>
  </r>
  <r>
    <x v="284"/>
    <x v="48"/>
    <s v="NL0012483937"/>
    <x v="0"/>
    <s v="International"/>
    <m/>
    <s v="COR3G"/>
    <s v="Euronext Amsterdam"/>
    <s v="Non-significant benchmark"/>
    <n v="0"/>
    <n v="0"/>
    <n v="0"/>
    <n v="0"/>
    <n v="0"/>
    <n v="0"/>
    <n v="0"/>
  </r>
  <r>
    <x v="285"/>
    <x v="48"/>
    <s v="NL0012483911"/>
    <x v="0"/>
    <s v="International"/>
    <m/>
    <s v="COR3N"/>
    <s v="Euronext Amsterdam"/>
    <s v="Non-significant benchmark"/>
    <n v="0"/>
    <n v="0"/>
    <n v="0"/>
    <n v="0"/>
    <n v="0"/>
    <n v="0"/>
    <n v="0"/>
  </r>
  <r>
    <x v="286"/>
    <x v="49"/>
    <s v="FR0014003PU4"/>
    <x v="1"/>
    <s v="Climate;PAB"/>
    <s v="PAB"/>
    <s v="CPABP"/>
    <s v="Euronext Paris"/>
    <s v="Non-significant benchmark"/>
    <n v="0"/>
    <n v="0"/>
    <n v="0"/>
    <n v="0"/>
    <n v="0"/>
    <n v="0"/>
    <n v="0"/>
  </r>
  <r>
    <x v="287"/>
    <x v="49"/>
    <s v="FRCLIM000015"/>
    <x v="1"/>
    <s v="Climate;PAB"/>
    <s v="PAB"/>
    <s v="CPAB4"/>
    <s v="Euronext Paris"/>
    <s v="Non-significant benchmark"/>
    <n v="0"/>
    <n v="0"/>
    <n v="0"/>
    <n v="0"/>
    <n v="0"/>
    <n v="0"/>
    <n v="0"/>
  </r>
  <r>
    <x v="288"/>
    <x v="49"/>
    <s v="FR0014003PV2"/>
    <x v="1"/>
    <s v="Climate;PAB"/>
    <s v="PAB"/>
    <s v="CPAB5"/>
    <s v="Euronext Paris"/>
    <s v="Non-significant benchmark"/>
    <n v="0"/>
    <n v="100000000"/>
    <n v="60059868.095599994"/>
    <n v="0"/>
    <n v="0"/>
    <n v="0"/>
    <n v="100000000"/>
  </r>
  <r>
    <x v="289"/>
    <x v="49"/>
    <s v="FR0014003PN9"/>
    <x v="1"/>
    <s v="Climate;PAB"/>
    <s v="PAB"/>
    <s v="CPABG"/>
    <s v="Euronext Paris"/>
    <s v="Non-significant benchmark"/>
    <n v="0"/>
    <n v="0"/>
    <n v="0"/>
    <n v="0"/>
    <n v="0"/>
    <n v="0"/>
    <n v="0"/>
  </r>
  <r>
    <x v="290"/>
    <x v="49"/>
    <s v="FR0014003PP4"/>
    <x v="1"/>
    <s v="Climate;PAB"/>
    <s v="PAB"/>
    <s v="CPABN"/>
    <s v="Euronext Paris"/>
    <s v="Non-significant benchmark"/>
    <n v="0"/>
    <n v="0"/>
    <n v="0"/>
    <n v="0"/>
    <n v="0"/>
    <n v="0"/>
    <n v="0"/>
  </r>
  <r>
    <x v="291"/>
    <x v="50"/>
    <s v="NL0015000I89"/>
    <x v="0"/>
    <s v="International"/>
    <m/>
    <s v="ENDMP"/>
    <s v="Euronext Amsterdam"/>
    <s v="Non-significant benchmark"/>
    <n v="0"/>
    <n v="0"/>
    <n v="0"/>
    <n v="0"/>
    <n v="0"/>
    <n v="0"/>
    <n v="0"/>
  </r>
  <r>
    <x v="292"/>
    <x v="50"/>
    <s v="NL0015000I63"/>
    <x v="0"/>
    <s v="International"/>
    <m/>
    <s v="ENDMG"/>
    <s v="Euronext Amsterdam"/>
    <s v="Non-significant benchmark"/>
    <n v="0"/>
    <n v="0"/>
    <n v="0"/>
    <n v="0"/>
    <n v="0"/>
    <n v="0"/>
    <n v="0"/>
  </r>
  <r>
    <x v="293"/>
    <x v="50"/>
    <s v="NLIX00000025"/>
    <x v="0"/>
    <s v="International"/>
    <m/>
    <s v="EDMGU"/>
    <s v="Euronext Amsterdam"/>
    <s v="Non-significant benchmark"/>
    <n v="0"/>
    <n v="0"/>
    <n v="0"/>
    <n v="0"/>
    <n v="0"/>
    <n v="0"/>
    <n v="0"/>
  </r>
  <r>
    <x v="294"/>
    <x v="50"/>
    <s v="NL0015000I71"/>
    <x v="0"/>
    <s v="International"/>
    <m/>
    <s v="ENDMN"/>
    <s v="Euronext Amsterdam"/>
    <s v="Non-significant benchmark"/>
    <n v="0"/>
    <n v="0"/>
    <n v="0"/>
    <n v="0"/>
    <n v="0"/>
    <n v="0"/>
    <n v="0"/>
  </r>
  <r>
    <x v="295"/>
    <x v="50"/>
    <s v="NLIX00000017"/>
    <x v="0"/>
    <s v="International"/>
    <m/>
    <s v="EDMNU"/>
    <s v="Euronext Amsterdam"/>
    <s v="Non-significant benchmark"/>
    <n v="0"/>
    <n v="0"/>
    <n v="0"/>
    <n v="0"/>
    <n v="0"/>
    <n v="0"/>
    <n v="0"/>
  </r>
  <r>
    <x v="296"/>
    <x v="50"/>
    <s v="NLIX00000009"/>
    <x v="0"/>
    <s v="International"/>
    <m/>
    <s v="EDMPU"/>
    <s v="Euronext Amsterdam"/>
    <s v="Non-significant benchmark"/>
    <n v="0"/>
    <n v="0"/>
    <n v="0"/>
    <n v="0"/>
    <n v="0"/>
    <n v="0"/>
    <n v="0"/>
  </r>
  <r>
    <x v="297"/>
    <x v="51"/>
    <s v="FRESG0000686"/>
    <x v="1"/>
    <s v="Environmental"/>
    <s v="ESG Other"/>
    <s v="EGSEP"/>
    <s v="Euronext Paris"/>
    <s v="Non-significant benchmark"/>
    <n v="0"/>
    <n v="0"/>
    <n v="0"/>
    <n v="0"/>
    <n v="0"/>
    <n v="0"/>
    <n v="0"/>
  </r>
  <r>
    <x v="298"/>
    <x v="51"/>
    <s v="FRESG0000694"/>
    <x v="1"/>
    <s v="Environmental"/>
    <s v="ESG Other"/>
    <s v="EGSEG"/>
    <s v="Euronext Paris"/>
    <s v="Non-significant benchmark"/>
    <n v="0"/>
    <n v="0"/>
    <n v="0"/>
    <n v="0"/>
    <n v="0"/>
    <n v="0"/>
    <n v="0"/>
  </r>
  <r>
    <x v="299"/>
    <x v="51"/>
    <s v="FRESG0000702"/>
    <x v="1"/>
    <s v="Environmental"/>
    <s v="ESG Other"/>
    <s v="EGSEN"/>
    <s v="Euronext Paris"/>
    <s v="Non-significant benchmark"/>
    <n v="0"/>
    <n v="0"/>
    <n v="0"/>
    <n v="0"/>
    <n v="0"/>
    <n v="0"/>
    <n v="0"/>
  </r>
  <r>
    <x v="300"/>
    <x v="52"/>
    <s v="FRESG0000652"/>
    <x v="1"/>
    <s v="Environmental"/>
    <s v="ESG Other"/>
    <s v="EGSW"/>
    <s v="Euronext Paris"/>
    <s v="Non-significant benchmark"/>
    <n v="0"/>
    <n v="0"/>
    <n v="0"/>
    <n v="0"/>
    <n v="0"/>
    <n v="0"/>
    <n v="0"/>
  </r>
  <r>
    <x v="301"/>
    <x v="52"/>
    <s v="FRESG0000660"/>
    <x v="1"/>
    <s v="Environmental"/>
    <s v="ESG Other"/>
    <s v="EGSWG"/>
    <s v="Euronext Paris"/>
    <s v="Non-significant benchmark"/>
    <n v="0"/>
    <n v="0"/>
    <n v="0"/>
    <n v="0"/>
    <n v="0"/>
    <n v="0"/>
    <n v="0"/>
  </r>
  <r>
    <x v="302"/>
    <x v="52"/>
    <s v="FRESG0000678"/>
    <x v="1"/>
    <s v="Environmental"/>
    <s v="ESG Other"/>
    <s v="EGSWN"/>
    <s v="Euronext Paris"/>
    <s v="Non-significant benchmark"/>
    <n v="0"/>
    <n v="0"/>
    <n v="0"/>
    <n v="0"/>
    <n v="0"/>
    <n v="0"/>
    <n v="0"/>
  </r>
  <r>
    <x v="303"/>
    <x v="53"/>
    <s v="FRESG0000991"/>
    <x v="1"/>
    <s v="Social"/>
    <s v="ESG Other"/>
    <s v="EQGEP"/>
    <s v="Euronext Paris"/>
    <s v="Non-significant benchmark"/>
    <n v="0"/>
    <n v="0"/>
    <n v="0"/>
    <n v="0"/>
    <n v="0"/>
    <n v="0"/>
    <n v="0"/>
  </r>
  <r>
    <x v="304"/>
    <x v="53"/>
    <s v="FRESG0001015"/>
    <x v="1"/>
    <s v="Social"/>
    <s v="ESG Other"/>
    <s v="EQGEG"/>
    <s v="Euronext Paris"/>
    <s v="Non-significant benchmark"/>
    <n v="0"/>
    <n v="0"/>
    <n v="0"/>
    <n v="0"/>
    <n v="0"/>
    <n v="0"/>
    <n v="0"/>
  </r>
  <r>
    <x v="305"/>
    <x v="53"/>
    <s v="FRESG0001007"/>
    <x v="1"/>
    <s v="Social"/>
    <s v="ESG Other"/>
    <s v="EQGEN"/>
    <s v="Euronext Paris"/>
    <s v="Non-significant benchmark"/>
    <n v="0"/>
    <n v="0"/>
    <n v="0"/>
    <n v="0"/>
    <n v="0"/>
    <n v="0"/>
    <n v="0"/>
  </r>
  <r>
    <x v="306"/>
    <x v="54"/>
    <s v="FRESG0000900"/>
    <x v="1"/>
    <s v="Social"/>
    <s v="ESG Other"/>
    <s v="EQGFP"/>
    <s v="Euronext Paris"/>
    <s v="Non-significant benchmark"/>
    <n v="0"/>
    <n v="0"/>
    <n v="0"/>
    <n v="0"/>
    <n v="0"/>
    <n v="0"/>
    <n v="0"/>
  </r>
  <r>
    <x v="307"/>
    <x v="54"/>
    <s v="FRESG0000926"/>
    <x v="1"/>
    <s v="Social"/>
    <s v="ESG Other"/>
    <s v="EQGFG"/>
    <s v="Euronext Paris"/>
    <s v="Non-significant benchmark"/>
    <n v="0"/>
    <n v="0"/>
    <n v="0"/>
    <n v="0"/>
    <n v="0"/>
    <n v="0"/>
    <n v="0"/>
  </r>
  <r>
    <x v="308"/>
    <x v="54"/>
    <s v="FRESG0000918"/>
    <x v="1"/>
    <s v="Social"/>
    <s v="ESG Other"/>
    <s v="EQGFN"/>
    <s v="Euronext Paris"/>
    <s v="Non-significant benchmark"/>
    <n v="0"/>
    <n v="0"/>
    <n v="0"/>
    <n v="0"/>
    <n v="0"/>
    <n v="0"/>
    <n v="0"/>
  </r>
  <r>
    <x v="309"/>
    <x v="55"/>
    <s v="FRESG0000090"/>
    <x v="1"/>
    <s v="Biodiversity"/>
    <s v="ESG Other"/>
    <s v="EBSEP"/>
    <s v="Euronext Paris"/>
    <s v="Non-significant benchmark"/>
    <n v="0"/>
    <n v="0"/>
    <n v="0"/>
    <n v="0"/>
    <n v="0"/>
    <n v="0"/>
    <n v="0"/>
  </r>
  <r>
    <x v="310"/>
    <x v="55"/>
    <s v="FRESG0000124"/>
    <x v="1"/>
    <s v="Biodiversity"/>
    <s v="ESG Other"/>
    <s v="EBSE4"/>
    <s v="Euronext Paris"/>
    <s v="Non-significant benchmark"/>
    <n v="0"/>
    <n v="0"/>
    <n v="0"/>
    <n v="0"/>
    <n v="0"/>
    <n v="0"/>
    <n v="0"/>
  </r>
  <r>
    <x v="311"/>
    <x v="55"/>
    <s v="FRESG0000132"/>
    <x v="1"/>
    <s v="Biodiversity"/>
    <s v="ESG Other"/>
    <s v="EBSE5"/>
    <s v="Euronext Paris"/>
    <s v="Non-significant benchmark"/>
    <n v="0"/>
    <n v="0"/>
    <n v="0"/>
    <n v="0"/>
    <n v="0"/>
    <n v="0"/>
    <n v="0"/>
  </r>
  <r>
    <x v="312"/>
    <x v="55"/>
    <s v="FRESG0000116"/>
    <x v="1"/>
    <s v="Biodiversity"/>
    <s v="ESG Other"/>
    <s v="EBSEG"/>
    <s v="Euronext Paris"/>
    <s v="Non-significant benchmark"/>
    <n v="0"/>
    <n v="0"/>
    <n v="0"/>
    <n v="0"/>
    <n v="0"/>
    <n v="0"/>
    <n v="0"/>
  </r>
  <r>
    <x v="313"/>
    <x v="55"/>
    <s v="FRESG0000108"/>
    <x v="1"/>
    <s v="Biodiversity"/>
    <s v="ESG Other"/>
    <s v="EBSEN"/>
    <s v="Euronext Paris"/>
    <s v="Non-significant benchmark"/>
    <n v="0"/>
    <n v="0"/>
    <n v="0"/>
    <n v="0"/>
    <n v="0"/>
    <n v="0"/>
    <n v="0"/>
  </r>
  <r>
    <x v="314"/>
    <x v="56"/>
    <s v="FRESG0000405"/>
    <x v="1"/>
    <s v="Biodiversity"/>
    <s v="ESG Other"/>
    <s v="EBSTP"/>
    <s v="Euronext Paris"/>
    <s v="Non-significant benchmark"/>
    <n v="0"/>
    <n v="0"/>
    <n v="0"/>
    <n v="0"/>
    <n v="0"/>
    <n v="0"/>
    <n v="0"/>
  </r>
  <r>
    <x v="315"/>
    <x v="56"/>
    <s v="FRESG0000439"/>
    <x v="1"/>
    <s v="Biodiversity"/>
    <s v="ESG Other"/>
    <s v="EBST4"/>
    <s v="Euronext Paris"/>
    <s v="Non-significant benchmark"/>
    <n v="0"/>
    <n v="0"/>
    <n v="0"/>
    <n v="0"/>
    <n v="0"/>
    <n v="0"/>
    <n v="0"/>
  </r>
  <r>
    <x v="316"/>
    <x v="56"/>
    <s v="FRESG0000447"/>
    <x v="1"/>
    <s v="Biodiversity"/>
    <s v="ESG Other"/>
    <s v="EBST5"/>
    <s v="Euronext Paris"/>
    <s v="Non-significant benchmark"/>
    <n v="0"/>
    <n v="0"/>
    <n v="0"/>
    <n v="0"/>
    <n v="0"/>
    <n v="0"/>
    <n v="0"/>
  </r>
  <r>
    <x v="317"/>
    <x v="56"/>
    <s v="FRESG0000421"/>
    <x v="1"/>
    <s v="Biodiversity"/>
    <s v="ESG Other"/>
    <s v="EBSTG"/>
    <s v="Euronext Paris"/>
    <s v="Non-significant benchmark"/>
    <n v="0"/>
    <n v="0"/>
    <n v="0"/>
    <n v="0"/>
    <n v="0"/>
    <n v="0"/>
    <n v="0"/>
  </r>
  <r>
    <x v="318"/>
    <x v="56"/>
    <s v="FRESG0000413"/>
    <x v="1"/>
    <s v="Biodiversity"/>
    <s v="ESG Other"/>
    <s v="EBSTN"/>
    <s v="Euronext Paris"/>
    <s v="Non-significant benchmark"/>
    <n v="0"/>
    <n v="0"/>
    <n v="0"/>
    <n v="0"/>
    <n v="0"/>
    <n v="0"/>
    <n v="0"/>
  </r>
  <r>
    <x v="319"/>
    <x v="57"/>
    <s v="FRESG0000066"/>
    <x v="1"/>
    <s v="Biodiversity"/>
    <s v="ESG Other"/>
    <s v="EBSWP"/>
    <s v="Euronext Paris"/>
    <s v="Non-significant benchmark"/>
    <n v="0"/>
    <n v="0"/>
    <n v="0"/>
    <n v="0"/>
    <n v="0"/>
    <n v="0"/>
    <n v="0"/>
  </r>
  <r>
    <x v="320"/>
    <x v="57"/>
    <s v="FRESG0000082"/>
    <x v="1"/>
    <s v="Biodiversity"/>
    <s v="ESG Other"/>
    <s v="EBSWG"/>
    <s v="Euronext Paris"/>
    <s v="Non-significant benchmark"/>
    <n v="0"/>
    <n v="0"/>
    <n v="0"/>
    <n v="0"/>
    <n v="0"/>
    <n v="0"/>
    <n v="0"/>
  </r>
  <r>
    <x v="321"/>
    <x v="57"/>
    <s v="FRESG0000157"/>
    <x v="1"/>
    <s v="Biodiversity"/>
    <s v="ESG Other"/>
    <s v="EBSGW"/>
    <s v="Euronext Paris"/>
    <s v="Non-significant benchmark"/>
    <n v="0"/>
    <n v="0"/>
    <n v="0"/>
    <n v="0"/>
    <n v="0"/>
    <n v="0"/>
    <n v="0"/>
  </r>
  <r>
    <x v="322"/>
    <x v="57"/>
    <s v="FRESG0000074"/>
    <x v="1"/>
    <s v="Biodiversity"/>
    <s v="ESG Other"/>
    <s v="EBSWN"/>
    <s v="Euronext Paris"/>
    <s v="Non-significant benchmark"/>
    <n v="0"/>
    <n v="0"/>
    <n v="0"/>
    <n v="0"/>
    <n v="0"/>
    <n v="0"/>
    <n v="0"/>
  </r>
  <r>
    <x v="323"/>
    <x v="57"/>
    <s v="FRESG0000165"/>
    <x v="1"/>
    <s v="Biodiversity"/>
    <s v="ESG Other"/>
    <s v="EBSNW"/>
    <s v="Euronext Paris"/>
    <s v="Non-significant benchmark"/>
    <n v="0"/>
    <n v="0"/>
    <n v="0"/>
    <n v="4803903.0320111997"/>
    <n v="0"/>
    <n v="0"/>
    <n v="4803903.0320111997"/>
  </r>
  <r>
    <x v="324"/>
    <x v="57"/>
    <s v="FRESG0000140"/>
    <x v="1"/>
    <s v="Biodiversity"/>
    <s v="ESG Other"/>
    <s v="EBSPW"/>
    <s v="Euronext Paris"/>
    <s v="Non-significant benchmark"/>
    <n v="0"/>
    <n v="0"/>
    <n v="0"/>
    <n v="0"/>
    <n v="0"/>
    <n v="0"/>
    <n v="0"/>
  </r>
  <r>
    <x v="325"/>
    <x v="58"/>
    <s v="FRESG0000371"/>
    <x v="1"/>
    <s v="Biodiversity;Climate;PAB"/>
    <s v="PAB"/>
    <s v="EBLPP"/>
    <s v="Euronext Paris"/>
    <s v="Non-significant benchmark"/>
    <n v="0"/>
    <n v="0"/>
    <n v="0"/>
    <n v="0"/>
    <n v="0"/>
    <n v="0"/>
    <n v="0"/>
  </r>
  <r>
    <x v="326"/>
    <x v="58"/>
    <s v="FRESG0000389"/>
    <x v="1"/>
    <s v="Biodiversity;Climate;PAB"/>
    <s v="PAB"/>
    <s v="EBLPG"/>
    <s v="Euronext Paris"/>
    <s v="Non-significant benchmark"/>
    <n v="0"/>
    <n v="0"/>
    <n v="0"/>
    <n v="0"/>
    <n v="0"/>
    <n v="0"/>
    <n v="0"/>
  </r>
  <r>
    <x v="327"/>
    <x v="58"/>
    <s v="FRESG0000397"/>
    <x v="1"/>
    <s v="Biodiversity;Climate;PAB"/>
    <s v="PAB"/>
    <s v="EBLPN"/>
    <s v="Euronext Paris"/>
    <s v="Non-significant benchmark"/>
    <n v="0"/>
    <n v="0"/>
    <n v="0"/>
    <n v="46350802"/>
    <n v="0"/>
    <n v="0"/>
    <n v="46350802"/>
  </r>
  <r>
    <x v="328"/>
    <x v="59"/>
    <s v="FR0013477007"/>
    <x v="1"/>
    <s v="Broad ESG"/>
    <s v="ESG Other"/>
    <s v="ESGEP"/>
    <s v="Euronext Paris"/>
    <s v="Non-significant benchmark"/>
    <n v="0"/>
    <n v="0"/>
    <n v="0"/>
    <n v="0"/>
    <n v="0"/>
    <n v="0"/>
    <n v="0"/>
  </r>
  <r>
    <x v="329"/>
    <x v="59"/>
    <s v="FR0013477056"/>
    <x v="1"/>
    <s v="Broad ESG"/>
    <s v="ESG Other"/>
    <s v="ESGZD"/>
    <s v="Euronext Paris"/>
    <s v="Non-significant benchmark"/>
    <n v="0"/>
    <n v="0"/>
    <n v="0"/>
    <n v="0"/>
    <n v="0"/>
    <n v="0"/>
    <n v="0"/>
  </r>
  <r>
    <x v="330"/>
    <x v="59"/>
    <s v="FR0013477049"/>
    <x v="1"/>
    <s v="Broad ESG"/>
    <s v="ESG Other"/>
    <s v="ESGEZ"/>
    <s v="Euronext Paris"/>
    <s v="Non-significant benchmark"/>
    <n v="227950381"/>
    <n v="342351000"/>
    <n v="203794617.59720001"/>
    <n v="0"/>
    <n v="0"/>
    <n v="0"/>
    <n v="227950381"/>
  </r>
  <r>
    <x v="331"/>
    <x v="59"/>
    <s v="FR0013477031"/>
    <x v="1"/>
    <s v="Broad ESG"/>
    <s v="ESG Other"/>
    <s v="ESGEG"/>
    <s v="Euronext Paris"/>
    <s v="Non-significant benchmark"/>
    <n v="0"/>
    <n v="0"/>
    <n v="0"/>
    <n v="0"/>
    <n v="0"/>
    <n v="0"/>
    <n v="0"/>
  </r>
  <r>
    <x v="332"/>
    <x v="59"/>
    <s v="FR0013477023"/>
    <x v="1"/>
    <s v="Broad ESG"/>
    <s v="ESG Other"/>
    <s v="ESGEN"/>
    <s v="Euronext Paris"/>
    <s v="Non-significant benchmark"/>
    <n v="0"/>
    <n v="0"/>
    <n v="0"/>
    <n v="0"/>
    <n v="0"/>
    <n v="0"/>
    <n v="0"/>
  </r>
  <r>
    <x v="333"/>
    <x v="60"/>
    <s v="NL0012481741"/>
    <x v="1"/>
    <s v="Broad ESG"/>
    <s v="ESG Other"/>
    <s v="ESG50"/>
    <s v="Euronext Paris"/>
    <s v="Non-significant benchmark"/>
    <n v="0"/>
    <n v="240000000"/>
    <n v="0"/>
    <n v="0"/>
    <n v="0"/>
    <n v="0"/>
    <n v="240000000"/>
  </r>
  <r>
    <x v="334"/>
    <x v="60"/>
    <s v="NL0012481774"/>
    <x v="1"/>
    <s v="Broad ESG"/>
    <s v="ESG Other"/>
    <s v="ESG5D"/>
    <s v="Euronext Paris"/>
    <s v="Non-significant benchmark"/>
    <n v="530971463.14279771"/>
    <n v="2636851700"/>
    <n v="725931403.70480001"/>
    <n v="0"/>
    <n v="0"/>
    <n v="0"/>
    <n v="725931403.70480001"/>
  </r>
  <r>
    <x v="335"/>
    <x v="60"/>
    <s v="NL0012481766"/>
    <x v="1"/>
    <s v="Broad ESG"/>
    <s v="ESG Other"/>
    <s v="ESG5G"/>
    <s v="Euronext Paris"/>
    <s v="Non-significant benchmark"/>
    <n v="0"/>
    <n v="0"/>
    <n v="0"/>
    <n v="0"/>
    <n v="0"/>
    <n v="0"/>
    <n v="0"/>
  </r>
  <r>
    <x v="336"/>
    <x v="60"/>
    <s v="NL0012481758"/>
    <x v="1"/>
    <s v="Broad ESG"/>
    <s v="ESG Other"/>
    <s v="ESG5N"/>
    <s v="Euronext Paris"/>
    <s v="Non-significant benchmark"/>
    <n v="0"/>
    <n v="0"/>
    <n v="0"/>
    <n v="0"/>
    <n v="0"/>
    <n v="0"/>
    <n v="0"/>
  </r>
  <r>
    <x v="337"/>
    <x v="61"/>
    <s v="NL0013400302"/>
    <x v="1"/>
    <s v="Social;Governance"/>
    <s v="ESG Other"/>
    <s v="SG50P"/>
    <s v="Euronext Paris"/>
    <s v="Non-significant benchmark"/>
    <n v="0"/>
    <n v="0"/>
    <n v="0"/>
    <n v="0"/>
    <n v="0"/>
    <n v="0"/>
    <n v="0"/>
  </r>
  <r>
    <x v="338"/>
    <x v="61"/>
    <s v="NL0013400336"/>
    <x v="1"/>
    <s v="Social;Governance"/>
    <s v="ESG Other"/>
    <s v="SG50D"/>
    <s v="Euronext Paris"/>
    <s v="Non-significant benchmark"/>
    <n v="0"/>
    <n v="0"/>
    <n v="0"/>
    <n v="0"/>
    <n v="0"/>
    <n v="0"/>
    <n v="0"/>
  </r>
  <r>
    <x v="339"/>
    <x v="61"/>
    <s v="NL0013400328"/>
    <x v="1"/>
    <s v="Social;Governance"/>
    <s v="ESG Other"/>
    <s v="SG50G"/>
    <s v="Euronext Paris"/>
    <s v="Non-significant benchmark"/>
    <n v="0"/>
    <n v="0"/>
    <n v="0"/>
    <n v="0"/>
    <n v="0"/>
    <n v="0"/>
    <n v="0"/>
  </r>
  <r>
    <x v="340"/>
    <x v="61"/>
    <s v="NL0013400310"/>
    <x v="1"/>
    <s v="Social;Governance"/>
    <s v="ESG Other"/>
    <s v="SG50N"/>
    <s v="Euronext Paris"/>
    <s v="Non-significant benchmark"/>
    <n v="0"/>
    <n v="0"/>
    <n v="0"/>
    <n v="0"/>
    <n v="0"/>
    <n v="0"/>
    <n v="0"/>
  </r>
  <r>
    <x v="341"/>
    <x v="62"/>
    <s v="FRESG0000306"/>
    <x v="1"/>
    <s v="Biodiversity"/>
    <s v="ESG Other"/>
    <s v="BIOEP"/>
    <s v="Euronext Paris"/>
    <s v="Non-significant benchmark"/>
    <n v="0"/>
    <n v="0"/>
    <n v="0"/>
    <n v="0"/>
    <n v="0"/>
    <n v="0"/>
    <n v="0"/>
  </r>
  <r>
    <x v="342"/>
    <x v="62"/>
    <s v="FRESG0000488"/>
    <x v="1"/>
    <s v="Biodiversity"/>
    <s v="ESG Other"/>
    <s v="BIOE4"/>
    <s v="Euronext Paris"/>
    <s v="Non-significant benchmark"/>
    <n v="0"/>
    <n v="0"/>
    <n v="0"/>
    <n v="0"/>
    <n v="0"/>
    <n v="0"/>
    <n v="0"/>
  </r>
  <r>
    <x v="343"/>
    <x v="62"/>
    <s v="FRESG0000330"/>
    <x v="1"/>
    <s v="Biodiversity"/>
    <s v="ESG Other"/>
    <s v="BIOEZ"/>
    <s v="Euronext Paris"/>
    <s v="Non-significant benchmark"/>
    <n v="29087000"/>
    <n v="0"/>
    <n v="1160488.1736000001"/>
    <n v="0"/>
    <n v="0"/>
    <n v="0"/>
    <n v="29087000"/>
  </r>
  <r>
    <x v="344"/>
    <x v="62"/>
    <s v="FRESG0000314"/>
    <x v="1"/>
    <s v="Biodiversity"/>
    <s v="ESG Other"/>
    <s v="BIOEG"/>
    <s v="Euronext Paris"/>
    <s v="Non-significant benchmark"/>
    <n v="0"/>
    <n v="0"/>
    <n v="0"/>
    <n v="0"/>
    <n v="0"/>
    <n v="0"/>
    <n v="0"/>
  </r>
  <r>
    <x v="345"/>
    <x v="62"/>
    <s v="FRESG0000322"/>
    <x v="1"/>
    <s v="Biodiversity"/>
    <s v="ESG Other"/>
    <s v="BIOEN"/>
    <s v="Euronext Paris"/>
    <s v="Non-significant benchmark"/>
    <n v="0"/>
    <n v="0"/>
    <n v="0"/>
    <n v="0"/>
    <n v="0"/>
    <n v="0"/>
    <n v="0"/>
  </r>
  <r>
    <x v="346"/>
    <x v="63"/>
    <s v="NL0013273014"/>
    <x v="0"/>
    <s v="International"/>
    <m/>
    <s v="EU500"/>
    <s v="Euronext Amsterdam"/>
    <s v="Non-significant benchmark"/>
    <n v="0"/>
    <n v="0"/>
    <n v="0"/>
    <n v="0"/>
    <n v="0"/>
    <n v="0"/>
    <n v="0"/>
  </r>
  <r>
    <x v="347"/>
    <x v="63"/>
    <s v="NL0013273030"/>
    <x v="0"/>
    <s v="International"/>
    <m/>
    <s v="EU5GR"/>
    <s v="Euronext Amsterdam"/>
    <s v="Non-significant benchmark"/>
    <n v="0"/>
    <n v="0"/>
    <n v="0"/>
    <n v="0"/>
    <n v="0"/>
    <n v="0"/>
    <n v="0"/>
  </r>
  <r>
    <x v="348"/>
    <x v="63"/>
    <s v="NL0013273022"/>
    <x v="0"/>
    <s v="International"/>
    <m/>
    <s v="EU5NR"/>
    <s v="Euronext Amsterdam"/>
    <s v="Non-significant benchmark"/>
    <n v="0"/>
    <n v="0"/>
    <n v="0"/>
    <n v="0"/>
    <n v="0"/>
    <n v="0"/>
    <n v="0"/>
  </r>
  <r>
    <x v="349"/>
    <x v="64"/>
    <s v="FR0013483278"/>
    <x v="1"/>
    <s v="Broad ESG"/>
    <s v="ESG Other"/>
    <s v="EPEGP"/>
    <s v="Euronext Paris"/>
    <s v="Non-significant benchmark"/>
    <n v="0"/>
    <n v="0"/>
    <n v="0"/>
    <n v="0"/>
    <n v="0"/>
    <n v="0"/>
    <n v="0"/>
  </r>
  <r>
    <x v="350"/>
    <x v="64"/>
    <s v="FR0013483302"/>
    <x v="1"/>
    <s v="Broad ESG"/>
    <s v="ESG Other"/>
    <s v="EUPE5"/>
    <s v="Euronext Paris"/>
    <s v="Non-significant benchmark"/>
    <n v="0"/>
    <n v="0"/>
    <n v="0"/>
    <n v="0"/>
    <n v="0"/>
    <n v="0"/>
    <n v="0"/>
  </r>
  <r>
    <x v="351"/>
    <x v="64"/>
    <s v="FR0013483294"/>
    <x v="1"/>
    <s v="Broad ESG"/>
    <s v="ESG Other"/>
    <s v="EPEGG"/>
    <s v="Euronext Paris"/>
    <s v="Non-significant benchmark"/>
    <n v="0"/>
    <n v="0"/>
    <n v="0"/>
    <n v="0"/>
    <n v="0"/>
    <n v="0"/>
    <n v="0"/>
  </r>
  <r>
    <x v="352"/>
    <x v="64"/>
    <s v="FR0013483286"/>
    <x v="1"/>
    <s v="Broad ESG"/>
    <s v="ESG Other"/>
    <s v="EPEGN"/>
    <s v="Euronext Paris"/>
    <s v="Non-significant benchmark"/>
    <n v="0"/>
    <n v="0"/>
    <n v="0"/>
    <n v="0"/>
    <n v="0"/>
    <n v="0"/>
    <n v="0"/>
  </r>
  <r>
    <x v="353"/>
    <x v="65"/>
    <s v="NL0012758627"/>
    <x v="1"/>
    <s v="Broad ESG"/>
    <s v="ESG Other"/>
    <s v="ES1EP"/>
    <s v="Euronext Paris"/>
    <s v="Non-significant benchmark"/>
    <n v="0"/>
    <n v="0"/>
    <n v="0"/>
    <n v="0"/>
    <n v="0"/>
    <n v="0"/>
    <n v="0"/>
  </r>
  <r>
    <x v="354"/>
    <x v="65"/>
    <s v="NL0012758650"/>
    <x v="1"/>
    <s v="Broad ESG"/>
    <s v="ESG Other"/>
    <s v="ES1ED"/>
    <s v="Euronext Paris"/>
    <s v="Non-significant benchmark"/>
    <n v="0"/>
    <n v="0"/>
    <n v="268643801.9648"/>
    <n v="0"/>
    <n v="0"/>
    <n v="0"/>
    <n v="268643801.9648"/>
  </r>
  <r>
    <x v="355"/>
    <x v="65"/>
    <s v="NL0012758643"/>
    <x v="1"/>
    <s v="Broad ESG"/>
    <s v="ESG Other"/>
    <s v="ES1EG"/>
    <s v="Euronext Paris"/>
    <s v="Non-significant benchmark"/>
    <n v="0"/>
    <n v="0"/>
    <n v="0"/>
    <n v="0"/>
    <n v="0"/>
    <n v="0"/>
    <n v="0"/>
  </r>
  <r>
    <x v="356"/>
    <x v="65"/>
    <s v="NL0012758635"/>
    <x v="1"/>
    <s v="Broad ESG"/>
    <s v="ESG Other"/>
    <s v="ES1EN"/>
    <s v="Euronext Paris"/>
    <s v="Non-significant benchmark"/>
    <n v="0"/>
    <n v="0"/>
    <n v="0"/>
    <n v="0"/>
    <n v="0"/>
    <n v="0"/>
    <n v="0"/>
  </r>
  <r>
    <x v="357"/>
    <x v="66"/>
    <s v="NL0013025596"/>
    <x v="1"/>
    <s v="Broad ESG"/>
    <s v="ESG Other"/>
    <s v="ESG1P"/>
    <s v="Euronext Paris"/>
    <s v="Non-significant benchmark"/>
    <n v="0"/>
    <n v="0"/>
    <n v="0"/>
    <n v="0"/>
    <n v="0"/>
    <n v="0"/>
    <n v="0"/>
  </r>
  <r>
    <x v="358"/>
    <x v="66"/>
    <s v="NL0014130411"/>
    <x v="1"/>
    <s v="Broad ESG"/>
    <s v="ESG Other"/>
    <s v="ESGDE"/>
    <s v="Euronext Paris"/>
    <s v="Non-significant benchmark"/>
    <n v="0"/>
    <n v="0"/>
    <n v="0"/>
    <n v="0"/>
    <n v="0"/>
    <n v="0"/>
    <n v="0"/>
  </r>
  <r>
    <x v="359"/>
    <x v="66"/>
    <s v="NL0013995343"/>
    <x v="1"/>
    <s v="Broad ESG"/>
    <s v="ESG Other"/>
    <s v="ESGED"/>
    <s v="Euronext Paris"/>
    <s v="Non-significant benchmark"/>
    <n v="0"/>
    <n v="0"/>
    <n v="0"/>
    <n v="0"/>
    <n v="0"/>
    <n v="0"/>
    <n v="0"/>
  </r>
  <r>
    <x v="360"/>
    <x v="66"/>
    <s v="NL0013025620"/>
    <x v="1"/>
    <s v="Broad ESG"/>
    <s v="ESG Other"/>
    <s v="ESG1D"/>
    <s v="Euronext Paris"/>
    <s v="Non-significant benchmark"/>
    <n v="0"/>
    <n v="0"/>
    <n v="0"/>
    <n v="0"/>
    <n v="0"/>
    <n v="0"/>
    <n v="0"/>
  </r>
  <r>
    <x v="361"/>
    <x v="66"/>
    <s v="NL0013025612"/>
    <x v="1"/>
    <s v="Broad ESG"/>
    <s v="ESG Other"/>
    <s v="ESG1G"/>
    <s v="Euronext Paris"/>
    <s v="Non-significant benchmark"/>
    <n v="0"/>
    <n v="0"/>
    <n v="0"/>
    <n v="0"/>
    <n v="0"/>
    <n v="0"/>
    <n v="0"/>
  </r>
  <r>
    <x v="362"/>
    <x v="66"/>
    <s v="NL0013025604"/>
    <x v="1"/>
    <s v="Broad ESG"/>
    <s v="ESG Other"/>
    <s v="ESG1N"/>
    <s v="Euronext Paris"/>
    <s v="Non-significant benchmark"/>
    <n v="0"/>
    <n v="0"/>
    <n v="0"/>
    <n v="0"/>
    <n v="0"/>
    <n v="0"/>
    <n v="0"/>
  </r>
  <r>
    <x v="363"/>
    <x v="67"/>
    <s v="NL0012949101"/>
    <x v="0"/>
    <s v="International"/>
    <m/>
    <s v="EZ15P"/>
    <s v="Euronext Amsterdam"/>
    <s v="Non-significant benchmark"/>
    <n v="0"/>
    <n v="0"/>
    <n v="0"/>
    <n v="0"/>
    <n v="0"/>
    <n v="0"/>
    <n v="0"/>
  </r>
  <r>
    <x v="364"/>
    <x v="67"/>
    <s v="NL0012949135"/>
    <x v="0"/>
    <s v="International"/>
    <m/>
    <s v="EZ150"/>
    <s v="Euronext Amsterdam"/>
    <s v="Non-significant benchmark"/>
    <n v="10384500"/>
    <n v="0"/>
    <n v="0"/>
    <n v="0"/>
    <n v="0"/>
    <n v="0"/>
    <n v="10384500"/>
  </r>
  <r>
    <x v="365"/>
    <x v="67"/>
    <s v="NL0012949127"/>
    <x v="0"/>
    <s v="International"/>
    <m/>
    <s v="EZ15G"/>
    <s v="Euronext Amsterdam"/>
    <s v="Non-significant benchmark"/>
    <n v="0"/>
    <n v="0"/>
    <n v="0"/>
    <n v="0"/>
    <n v="0"/>
    <n v="0"/>
    <n v="0"/>
  </r>
  <r>
    <x v="366"/>
    <x v="67"/>
    <s v="NL0012949119"/>
    <x v="0"/>
    <s v="International"/>
    <m/>
    <s v="EZ15N"/>
    <s v="Euronext Amsterdam"/>
    <s v="Non-significant benchmark"/>
    <n v="0"/>
    <n v="0"/>
    <n v="0"/>
    <n v="0"/>
    <n v="0"/>
    <n v="0"/>
    <n v="0"/>
  </r>
  <r>
    <x v="367"/>
    <x v="68"/>
    <s v="NL0013273048"/>
    <x v="0"/>
    <s v="International"/>
    <m/>
    <s v="EZ300"/>
    <s v="Euronext Amsterdam"/>
    <s v="Non-significant benchmark"/>
    <n v="0"/>
    <n v="0"/>
    <n v="0"/>
    <n v="0"/>
    <n v="0"/>
    <n v="0"/>
    <n v="0"/>
  </r>
  <r>
    <x v="368"/>
    <x v="68"/>
    <s v="NL0013273063"/>
    <x v="0"/>
    <s v="International"/>
    <m/>
    <s v="EZ3GR"/>
    <s v="Euronext Amsterdam"/>
    <s v="Non-significant benchmark"/>
    <n v="0"/>
    <n v="0"/>
    <n v="0"/>
    <n v="0"/>
    <n v="0"/>
    <n v="0"/>
    <n v="0"/>
  </r>
  <r>
    <x v="369"/>
    <x v="68"/>
    <s v="NL0013273055"/>
    <x v="0"/>
    <s v="International"/>
    <m/>
    <s v="EZ3NR"/>
    <s v="Euronext Amsterdam"/>
    <s v="Non-significant benchmark"/>
    <n v="0"/>
    <n v="0"/>
    <n v="0"/>
    <n v="0"/>
    <n v="0"/>
    <n v="0"/>
    <n v="0"/>
  </r>
  <r>
    <x v="370"/>
    <x v="69"/>
    <s v="NL0012731871"/>
    <x v="0"/>
    <s v="International"/>
    <m/>
    <s v="EZ40P"/>
    <s v="Euronext Amsterdam"/>
    <s v="Non-significant benchmark"/>
    <n v="0"/>
    <n v="0"/>
    <n v="0"/>
    <n v="0"/>
    <n v="0"/>
    <n v="0"/>
    <n v="0"/>
  </r>
  <r>
    <x v="371"/>
    <x v="69"/>
    <s v="NL0012731905"/>
    <x v="0"/>
    <s v="International"/>
    <m/>
    <s v="EZ40"/>
    <s v="Euronext Amsterdam"/>
    <s v="Non-significant benchmark"/>
    <n v="0"/>
    <n v="30000000"/>
    <n v="4872208.2844000002"/>
    <n v="0"/>
    <n v="0"/>
    <n v="0"/>
    <n v="30000000"/>
  </r>
  <r>
    <x v="372"/>
    <x v="69"/>
    <s v="NL0012731897"/>
    <x v="0"/>
    <s v="International"/>
    <m/>
    <s v="EZ40G"/>
    <s v="Euronext Amsterdam"/>
    <s v="Non-significant benchmark"/>
    <n v="0"/>
    <n v="0"/>
    <n v="0"/>
    <n v="0"/>
    <n v="0"/>
    <n v="0"/>
    <n v="0"/>
  </r>
  <r>
    <x v="373"/>
    <x v="69"/>
    <s v="NL0012731889"/>
    <x v="0"/>
    <s v="International"/>
    <m/>
    <s v="EZ40N"/>
    <s v="Euronext Amsterdam"/>
    <s v="Non-significant benchmark"/>
    <n v="0"/>
    <n v="0"/>
    <n v="0"/>
    <n v="0"/>
    <n v="0"/>
    <n v="0"/>
    <n v="0"/>
  </r>
  <r>
    <x v="374"/>
    <x v="70"/>
    <s v="NL0012846265"/>
    <x v="0"/>
    <s v="International"/>
    <m/>
    <s v="EZ60P"/>
    <s v="Euronext Amsterdam"/>
    <s v="Non-significant benchmark"/>
    <n v="0"/>
    <n v="0"/>
    <n v="0"/>
    <n v="0"/>
    <n v="0"/>
    <n v="0"/>
    <n v="0"/>
  </r>
  <r>
    <x v="375"/>
    <x v="70"/>
    <s v="NL0012846299"/>
    <x v="0"/>
    <s v="International"/>
    <m/>
    <s v="EZ60"/>
    <s v="Euronext Amsterdam"/>
    <s v="Non-significant benchmark"/>
    <n v="0"/>
    <n v="0"/>
    <n v="0"/>
    <n v="0"/>
    <n v="0"/>
    <n v="0"/>
    <n v="0"/>
  </r>
  <r>
    <x v="376"/>
    <x v="70"/>
    <s v="NL0012846281"/>
    <x v="0"/>
    <s v="International"/>
    <m/>
    <s v="EZ60G"/>
    <s v="Euronext Amsterdam"/>
    <s v="Non-significant benchmark"/>
    <n v="0"/>
    <n v="0"/>
    <n v="0"/>
    <n v="0"/>
    <n v="0"/>
    <n v="0"/>
    <n v="0"/>
  </r>
  <r>
    <x v="377"/>
    <x v="70"/>
    <s v="NL0012846273"/>
    <x v="0"/>
    <s v="International"/>
    <m/>
    <s v="EZ60N"/>
    <s v="Euronext Amsterdam"/>
    <s v="Non-significant benchmark"/>
    <n v="0"/>
    <n v="0"/>
    <n v="0"/>
    <n v="0"/>
    <n v="0"/>
    <n v="0"/>
    <n v="0"/>
  </r>
  <r>
    <x v="378"/>
    <x v="71"/>
    <s v="FRESG0000496"/>
    <x v="1"/>
    <s v="Climate;PAB"/>
    <s v="PAB"/>
    <s v="EZ6PP"/>
    <s v="Euronext Paris"/>
    <s v="Non-significant benchmark"/>
    <n v="0"/>
    <n v="0"/>
    <n v="0"/>
    <n v="0"/>
    <n v="0"/>
    <n v="0"/>
    <n v="0"/>
  </r>
  <r>
    <x v="379"/>
    <x v="71"/>
    <s v="FRESG0000520"/>
    <x v="1"/>
    <s v="Climate;PAB"/>
    <s v="PAB"/>
    <s v="EZ6P4"/>
    <s v="Euronext Paris"/>
    <s v="Non-significant benchmark"/>
    <n v="0"/>
    <n v="5000000"/>
    <n v="2956481.7756000003"/>
    <n v="0"/>
    <n v="0"/>
    <n v="0"/>
    <n v="5000000"/>
  </r>
  <r>
    <x v="380"/>
    <x v="71"/>
    <s v="FRESG0000538"/>
    <x v="1"/>
    <s v="Climate;PAB"/>
    <s v="PAB"/>
    <s v="EZ6P5"/>
    <s v="Euronext Paris"/>
    <s v="Non-significant benchmark"/>
    <n v="0"/>
    <n v="0"/>
    <n v="0"/>
    <n v="0"/>
    <n v="0"/>
    <n v="0"/>
    <n v="0"/>
  </r>
  <r>
    <x v="381"/>
    <x v="71"/>
    <s v="FRESG0000512"/>
    <x v="1"/>
    <s v="Climate;PAB"/>
    <s v="PAB"/>
    <s v="EZ6PG"/>
    <s v="Euronext Paris"/>
    <s v="Non-significant benchmark"/>
    <n v="0"/>
    <n v="0"/>
    <n v="0"/>
    <n v="0"/>
    <n v="0"/>
    <n v="0"/>
    <n v="0"/>
  </r>
  <r>
    <x v="382"/>
    <x v="71"/>
    <s v="FRESG0000504"/>
    <x v="1"/>
    <s v="Climate;PAB"/>
    <s v="PAB"/>
    <s v="EZ6PN"/>
    <s v="Euronext Paris"/>
    <s v="Non-significant benchmark"/>
    <n v="0"/>
    <n v="0"/>
    <n v="0"/>
    <n v="0"/>
    <n v="0"/>
    <n v="0"/>
    <n v="0"/>
  </r>
  <r>
    <x v="383"/>
    <x v="72"/>
    <s v="NL0012846174"/>
    <x v="0"/>
    <s v="International"/>
    <m/>
    <s v="EZ70P"/>
    <s v="Euronext Amsterdam"/>
    <s v="Non-significant benchmark"/>
    <n v="0"/>
    <n v="0"/>
    <n v="0"/>
    <n v="0"/>
    <n v="0"/>
    <n v="0"/>
    <n v="0"/>
  </r>
  <r>
    <x v="384"/>
    <x v="72"/>
    <s v="NL0012846208"/>
    <x v="0"/>
    <s v="International"/>
    <m/>
    <s v="EZ70"/>
    <s v="Euronext Amsterdam"/>
    <s v="Non-significant benchmark"/>
    <n v="0"/>
    <n v="0"/>
    <n v="164273548.12960002"/>
    <n v="0"/>
    <n v="0"/>
    <n v="0"/>
    <n v="164273548.12960002"/>
  </r>
  <r>
    <x v="385"/>
    <x v="72"/>
    <s v="NL0012846190"/>
    <x v="0"/>
    <s v="International"/>
    <m/>
    <s v="EZ70G"/>
    <s v="Euronext Amsterdam"/>
    <s v="Non-significant benchmark"/>
    <n v="0"/>
    <n v="0"/>
    <n v="0"/>
    <n v="0"/>
    <n v="0"/>
    <n v="0"/>
    <n v="0"/>
  </r>
  <r>
    <x v="386"/>
    <x v="72"/>
    <s v="NL0012846182"/>
    <x v="0"/>
    <s v="International"/>
    <m/>
    <s v="EZ70N"/>
    <s v="Euronext Amsterdam"/>
    <s v="Non-significant benchmark"/>
    <n v="0"/>
    <n v="0"/>
    <n v="0"/>
    <n v="0"/>
    <n v="0"/>
    <n v="0"/>
    <n v="0"/>
  </r>
  <r>
    <x v="387"/>
    <x v="73"/>
    <s v="NL0013025653"/>
    <x v="0"/>
    <s v="International"/>
    <m/>
    <s v="EZ80P"/>
    <s v="Euronext Amsterdam"/>
    <s v="Non-significant benchmark"/>
    <n v="0"/>
    <n v="0"/>
    <n v="0"/>
    <n v="0"/>
    <n v="0"/>
    <n v="0"/>
    <n v="0"/>
  </r>
  <r>
    <x v="388"/>
    <x v="73"/>
    <s v="NL0013025687"/>
    <x v="0"/>
    <s v="International"/>
    <m/>
    <s v="EZ80D"/>
    <s v="Euronext Amsterdam"/>
    <s v="Non-significant benchmark"/>
    <n v="0"/>
    <n v="0"/>
    <n v="0"/>
    <n v="0"/>
    <n v="0"/>
    <n v="0"/>
    <n v="0"/>
  </r>
  <r>
    <x v="389"/>
    <x v="73"/>
    <s v="NL0013025679"/>
    <x v="0"/>
    <s v="International"/>
    <m/>
    <s v="EZ80G"/>
    <s v="Euronext Amsterdam"/>
    <s v="Non-significant benchmark"/>
    <n v="0"/>
    <n v="0"/>
    <n v="0"/>
    <n v="0"/>
    <n v="0"/>
    <n v="0"/>
    <n v="0"/>
  </r>
  <r>
    <x v="390"/>
    <x v="73"/>
    <s v="NL0013025661"/>
    <x v="0"/>
    <s v="International"/>
    <m/>
    <s v="EZ80N"/>
    <s v="Euronext Amsterdam"/>
    <s v="Non-significant benchmark"/>
    <n v="0"/>
    <n v="0"/>
    <n v="0"/>
    <n v="0"/>
    <n v="0"/>
    <n v="0"/>
    <n v="0"/>
  </r>
  <r>
    <x v="391"/>
    <x v="74"/>
    <s v="NL0015000AR3"/>
    <x v="0"/>
    <s v="Industry"/>
    <m/>
    <s v="BANK"/>
    <s v="Euronext Amsterdam"/>
    <s v="Non-significant benchmark"/>
    <n v="0"/>
    <n v="0"/>
    <n v="0"/>
    <n v="0"/>
    <n v="0"/>
    <n v="0"/>
    <n v="0"/>
  </r>
  <r>
    <x v="392"/>
    <x v="74"/>
    <s v="NL0015000AW3"/>
    <x v="0"/>
    <s v="Industry"/>
    <m/>
    <s v="BANKD"/>
    <s v="Euronext Amsterdam"/>
    <s v="Non-significant benchmark"/>
    <n v="0"/>
    <n v="0"/>
    <n v="0"/>
    <n v="0"/>
    <n v="0"/>
    <n v="0"/>
    <n v="0"/>
  </r>
  <r>
    <x v="393"/>
    <x v="74"/>
    <s v="NL0015000AV5"/>
    <x v="0"/>
    <s v="Industry"/>
    <m/>
    <s v="BANKG"/>
    <s v="Euronext Amsterdam"/>
    <s v="Non-significant benchmark"/>
    <n v="0"/>
    <n v="0"/>
    <n v="0"/>
    <n v="0"/>
    <n v="0"/>
    <n v="0"/>
    <n v="0"/>
  </r>
  <r>
    <x v="394"/>
    <x v="74"/>
    <s v="NL0015000AT9"/>
    <x v="0"/>
    <s v="Industry"/>
    <m/>
    <s v="BANKN"/>
    <s v="Euronext Amsterdam"/>
    <s v="Non-significant benchmark"/>
    <n v="0"/>
    <n v="0"/>
    <n v="0"/>
    <n v="0"/>
    <n v="0"/>
    <n v="0"/>
    <n v="0"/>
  </r>
  <r>
    <x v="395"/>
    <x v="75"/>
    <s v="FRIX00000193"/>
    <x v="0"/>
    <s v="Strategy"/>
    <m/>
    <s v="EZBDI"/>
    <s v="Euronext Amsterdam"/>
    <s v="Non-significant benchmark"/>
    <n v="0"/>
    <n v="0"/>
    <n v="0"/>
    <n v="0"/>
    <n v="0"/>
    <n v="0"/>
    <n v="0"/>
  </r>
  <r>
    <x v="396"/>
    <x v="76"/>
    <s v="FR0014003PO7"/>
    <x v="1"/>
    <s v="Governance;Diversity"/>
    <s v="ESG Other"/>
    <s v="GOVEP"/>
    <s v="Euronext Paris"/>
    <s v="Non-significant benchmark"/>
    <n v="0"/>
    <n v="0"/>
    <n v="0"/>
    <n v="0"/>
    <n v="0"/>
    <n v="0"/>
    <n v="0"/>
  </r>
  <r>
    <x v="397"/>
    <x v="76"/>
    <s v="FR0014003PX8"/>
    <x v="1"/>
    <s v="Governance;Diversity"/>
    <s v="ESG Other"/>
    <s v="GOVEZ"/>
    <s v="Euronext Paris"/>
    <s v="Non-significant benchmark"/>
    <n v="58249641"/>
    <n v="74890362.311199993"/>
    <n v="65429428.454400003"/>
    <n v="0"/>
    <n v="68289100"/>
    <n v="0"/>
    <n v="133718528.4544"/>
  </r>
  <r>
    <x v="398"/>
    <x v="76"/>
    <s v="FR0014003PS8"/>
    <x v="1"/>
    <s v="Governance;Diversity"/>
    <s v="ESG Other"/>
    <s v="GOVEG"/>
    <s v="Euronext Paris"/>
    <s v="Non-significant benchmark"/>
    <n v="0"/>
    <n v="0"/>
    <n v="0"/>
    <n v="0"/>
    <n v="0"/>
    <n v="0"/>
    <n v="0"/>
  </r>
  <r>
    <x v="399"/>
    <x v="76"/>
    <s v="FR0014003PT6"/>
    <x v="1"/>
    <s v="Governance;Diversity"/>
    <s v="ESG Other"/>
    <s v="GOVEN"/>
    <s v="Euronext Paris"/>
    <s v="Non-significant benchmark"/>
    <n v="0"/>
    <n v="0"/>
    <n v="0"/>
    <n v="0"/>
    <n v="0"/>
    <n v="0"/>
    <n v="0"/>
  </r>
  <r>
    <x v="400"/>
    <x v="77"/>
    <s v="NL0012758585"/>
    <x v="1"/>
    <s v="Energy transition"/>
    <s v="ESG Other"/>
    <s v="CLE5P"/>
    <s v="Euronext Paris"/>
    <s v="Non-significant benchmark"/>
    <n v="0"/>
    <n v="0"/>
    <n v="0"/>
    <n v="0"/>
    <n v="0"/>
    <n v="0"/>
    <n v="0"/>
  </r>
  <r>
    <x v="401"/>
    <x v="77"/>
    <s v="NL0012758619"/>
    <x v="1"/>
    <s v="Energy transition"/>
    <s v="ESG Other"/>
    <s v="CLIE5"/>
    <s v="Euronext Paris"/>
    <s v="Non-significant benchmark"/>
    <n v="35533662"/>
    <n v="165137678.09999999"/>
    <n v="64803133.249600001"/>
    <n v="0"/>
    <n v="0"/>
    <n v="0"/>
    <n v="64803133.249600001"/>
  </r>
  <r>
    <x v="402"/>
    <x v="77"/>
    <s v="NL0012758601"/>
    <x v="1"/>
    <s v="Energy transition"/>
    <s v="ESG Other"/>
    <s v="CLE5G"/>
    <s v="Euronext Paris"/>
    <s v="Non-significant benchmark"/>
    <n v="0"/>
    <n v="0"/>
    <n v="0"/>
    <n v="0"/>
    <n v="0"/>
    <n v="0"/>
    <n v="0"/>
  </r>
  <r>
    <x v="403"/>
    <x v="77"/>
    <s v="NL0012758593"/>
    <x v="1"/>
    <s v="Energy transition"/>
    <s v="ESG Other"/>
    <s v="CLE5N"/>
    <s v="Euronext Paris"/>
    <s v="Non-significant benchmark"/>
    <n v="0"/>
    <n v="0"/>
    <n v="0"/>
    <n v="0"/>
    <n v="0"/>
    <n v="0"/>
    <n v="0"/>
  </r>
  <r>
    <x v="404"/>
    <x v="78"/>
    <s v="FR0013468832"/>
    <x v="1"/>
    <s v="Broad ESG"/>
    <s v="ESG Other"/>
    <s v="ENESG"/>
    <s v="Euronext Paris"/>
    <s v="Non-significant benchmark"/>
    <n v="0"/>
    <n v="0"/>
    <n v="0"/>
    <n v="0"/>
    <n v="0"/>
    <n v="0"/>
    <n v="0"/>
  </r>
  <r>
    <x v="405"/>
    <x v="78"/>
    <s v="FR0013468881"/>
    <x v="1"/>
    <s v="Broad ESG"/>
    <s v="ESG Other"/>
    <s v="ESG8D"/>
    <s v="Euronext Paris"/>
    <s v="Non-significant benchmark"/>
    <n v="0"/>
    <n v="0"/>
    <n v="0"/>
    <n v="0"/>
    <n v="0"/>
    <n v="0"/>
    <n v="0"/>
  </r>
  <r>
    <x v="406"/>
    <x v="78"/>
    <s v="FR0013498755"/>
    <x v="1"/>
    <s v="Broad ESG"/>
    <s v="ESG Other"/>
    <s v="ESGD4"/>
    <s v="Euronext Paris"/>
    <s v="Non-significant benchmark"/>
    <n v="0"/>
    <n v="0"/>
    <n v="0"/>
    <n v="0"/>
    <n v="0"/>
    <n v="0"/>
    <n v="0"/>
  </r>
  <r>
    <x v="407"/>
    <x v="78"/>
    <s v="FR0013498763"/>
    <x v="1"/>
    <s v="Broad ESG"/>
    <s v="ESG Other"/>
    <s v="ESG8E"/>
    <s v="Euronext Paris"/>
    <s v="Non-significant benchmark"/>
    <n v="0"/>
    <n v="0"/>
    <n v="0"/>
    <n v="0"/>
    <n v="0"/>
    <n v="0"/>
    <n v="0"/>
  </r>
  <r>
    <x v="408"/>
    <x v="78"/>
    <s v="FR0013468907"/>
    <x v="1"/>
    <s v="Broad ESG"/>
    <s v="ESG Other"/>
    <s v="ESGD5"/>
    <s v="Euronext Paris"/>
    <s v="Non-significant benchmark"/>
    <n v="0"/>
    <n v="0"/>
    <n v="0"/>
    <n v="0"/>
    <n v="0"/>
    <n v="0"/>
    <n v="0"/>
  </r>
  <r>
    <x v="409"/>
    <x v="78"/>
    <s v="FR0013468873"/>
    <x v="1"/>
    <s v="Broad ESG"/>
    <s v="ESG Other"/>
    <s v="ESGGR"/>
    <s v="Euronext Paris"/>
    <s v="Non-significant benchmark"/>
    <n v="0"/>
    <n v="0"/>
    <n v="0"/>
    <n v="0"/>
    <n v="0"/>
    <n v="0"/>
    <n v="0"/>
  </r>
  <r>
    <x v="410"/>
    <x v="78"/>
    <s v="FR0013468865"/>
    <x v="1"/>
    <s v="Broad ESG"/>
    <s v="ESG Other"/>
    <s v="ESGNR"/>
    <s v="Euronext Paris"/>
    <s v="Non-significant benchmark"/>
    <n v="0"/>
    <n v="0"/>
    <n v="0"/>
    <n v="0"/>
    <n v="0"/>
    <n v="0"/>
    <n v="0"/>
  </r>
  <r>
    <x v="411"/>
    <x v="79"/>
    <s v="NL0012758544"/>
    <x v="1"/>
    <s v="Broad ESG"/>
    <s v="ESG Other"/>
    <s v="ESE4P"/>
    <s v="Euronext Paris"/>
    <s v="Non-significant benchmark"/>
    <n v="0"/>
    <n v="0"/>
    <n v="0"/>
    <n v="0"/>
    <n v="0"/>
    <n v="0"/>
    <n v="0"/>
  </r>
  <r>
    <x v="412"/>
    <x v="79"/>
    <s v="NL0013639420"/>
    <x v="1"/>
    <s v="Broad ESG"/>
    <s v="ESG Other"/>
    <s v="ESGEL"/>
    <s v="Euronext Paris"/>
    <s v="Non-significant benchmark"/>
    <n v="0"/>
    <n v="0"/>
    <n v="0"/>
    <n v="0"/>
    <n v="0"/>
    <n v="0"/>
    <n v="0"/>
  </r>
  <r>
    <x v="413"/>
    <x v="79"/>
    <s v="FR0013478708"/>
    <x v="1"/>
    <s v="Broad ESG"/>
    <s v="ESG Other"/>
    <s v="ESG4E"/>
    <s v="Euronext Paris"/>
    <s v="Non-significant benchmark"/>
    <n v="73029800"/>
    <n v="90000000"/>
    <n v="44024868.807999998"/>
    <n v="0"/>
    <n v="0"/>
    <n v="0"/>
    <n v="73029800"/>
  </r>
  <r>
    <x v="414"/>
    <x v="79"/>
    <s v="NL0012758577"/>
    <x v="1"/>
    <s v="Broad ESG"/>
    <s v="ESG Other"/>
    <s v="ESGE4"/>
    <s v="Euronext Paris"/>
    <s v="Non-significant benchmark"/>
    <n v="0"/>
    <n v="304200000"/>
    <n v="177112599.82800001"/>
    <n v="0"/>
    <n v="54529200"/>
    <n v="0"/>
    <n v="358729200"/>
  </r>
  <r>
    <x v="415"/>
    <x v="79"/>
    <s v="NL0012758569"/>
    <x v="1"/>
    <s v="Broad ESG"/>
    <s v="ESG Other"/>
    <s v="ESE4G"/>
    <s v="Euronext Paris"/>
    <s v="Non-significant benchmark"/>
    <n v="0"/>
    <n v="0"/>
    <n v="0"/>
    <n v="0"/>
    <n v="0"/>
    <n v="0"/>
    <n v="0"/>
  </r>
  <r>
    <x v="416"/>
    <x v="79"/>
    <s v="NL0012758551"/>
    <x v="1"/>
    <s v="Broad ESG"/>
    <s v="ESG Other"/>
    <s v="ESE4N"/>
    <s v="Euronext Paris"/>
    <s v="Non-significant benchmark"/>
    <n v="0"/>
    <n v="0"/>
    <n v="0"/>
    <n v="0"/>
    <n v="0"/>
    <n v="0"/>
    <n v="0"/>
  </r>
  <r>
    <x v="417"/>
    <x v="80"/>
    <s v="FR0014004HI4"/>
    <x v="1"/>
    <s v="Broad ESG"/>
    <s v="ESG Other"/>
    <s v="ESGCP"/>
    <s v="Euronext Paris"/>
    <s v="Non-significant benchmark"/>
    <n v="0"/>
    <n v="0"/>
    <n v="0"/>
    <n v="0"/>
    <n v="0"/>
    <n v="0"/>
    <n v="0"/>
  </r>
  <r>
    <x v="418"/>
    <x v="80"/>
    <s v="FR0014004HH6"/>
    <x v="1"/>
    <s v="Broad ESG"/>
    <s v="ESG Other"/>
    <s v="ESGEC"/>
    <s v="Euronext Paris"/>
    <s v="Non-significant benchmark"/>
    <n v="0"/>
    <n v="0"/>
    <n v="0"/>
    <n v="0"/>
    <n v="0"/>
    <n v="0"/>
    <n v="0"/>
  </r>
  <r>
    <x v="419"/>
    <x v="80"/>
    <s v="FR0014004HJ2"/>
    <x v="1"/>
    <s v="Broad ESG"/>
    <s v="ESG Other"/>
    <s v="ESGCG"/>
    <s v="Euronext Paris"/>
    <s v="Non-significant benchmark"/>
    <n v="0"/>
    <n v="0"/>
    <n v="0"/>
    <n v="0"/>
    <n v="0"/>
    <n v="0"/>
    <n v="0"/>
  </r>
  <r>
    <x v="420"/>
    <x v="80"/>
    <s v="FR0014004HG8"/>
    <x v="1"/>
    <s v="Broad ESG"/>
    <s v="ESG Other"/>
    <s v="ESGCN"/>
    <s v="Euronext Paris"/>
    <s v="Non-significant benchmark"/>
    <n v="0"/>
    <n v="0"/>
    <n v="0"/>
    <n v="0"/>
    <n v="0"/>
    <n v="0"/>
    <n v="0"/>
  </r>
  <r>
    <x v="421"/>
    <x v="81"/>
    <s v="FRESG0000546"/>
    <x v="1"/>
    <s v="Climate;PAB"/>
    <s v="PAB"/>
    <s v="ES4PP"/>
    <s v="Euronext Paris"/>
    <s v="Non-significant benchmark"/>
    <n v="0"/>
    <n v="0"/>
    <n v="0"/>
    <n v="0"/>
    <n v="0"/>
    <n v="0"/>
    <n v="0"/>
  </r>
  <r>
    <x v="422"/>
    <x v="81"/>
    <s v="FRESG0000579"/>
    <x v="1"/>
    <s v="Climate;PAB"/>
    <s v="PAB"/>
    <s v="ES4P4"/>
    <s v="Euronext Paris"/>
    <s v="Non-significant benchmark"/>
    <n v="0"/>
    <n v="0"/>
    <n v="0"/>
    <n v="0"/>
    <n v="0"/>
    <n v="0"/>
    <n v="0"/>
  </r>
  <r>
    <x v="423"/>
    <x v="81"/>
    <s v="FRESG0000587"/>
    <x v="1"/>
    <s v="Climate;PAB"/>
    <s v="PAB"/>
    <s v="ES4P5"/>
    <s v="Euronext Paris"/>
    <s v="Non-significant benchmark"/>
    <n v="0"/>
    <n v="0"/>
    <n v="5074833.2036000006"/>
    <n v="0"/>
    <n v="0"/>
    <n v="0"/>
    <n v="5074833.2036000006"/>
  </r>
  <r>
    <x v="424"/>
    <x v="81"/>
    <s v="FRESG0000561"/>
    <x v="1"/>
    <s v="Climate;PAB"/>
    <s v="PAB"/>
    <s v="ES4PG"/>
    <s v="Euronext Paris"/>
    <s v="Non-significant benchmark"/>
    <n v="0"/>
    <n v="0"/>
    <n v="0"/>
    <n v="0"/>
    <n v="0"/>
    <n v="0"/>
    <n v="0"/>
  </r>
  <r>
    <x v="425"/>
    <x v="81"/>
    <s v="FRESG0000553"/>
    <x v="1"/>
    <s v="Climate;PAB"/>
    <s v="PAB"/>
    <s v="ES4PN"/>
    <s v="Euronext Paris"/>
    <s v="Non-significant benchmark"/>
    <n v="0"/>
    <n v="0"/>
    <n v="0"/>
    <n v="0"/>
    <n v="0"/>
    <n v="0"/>
    <n v="0"/>
  </r>
  <r>
    <x v="426"/>
    <x v="82"/>
    <s v="NL0013025810"/>
    <x v="0"/>
    <s v="International"/>
    <m/>
    <s v="EZMLP"/>
    <s v="Euronext Amsterdam"/>
    <s v="Non-significant benchmark"/>
    <n v="0"/>
    <n v="0"/>
    <n v="0"/>
    <n v="0"/>
    <n v="0"/>
    <n v="0"/>
    <n v="0"/>
  </r>
  <r>
    <x v="427"/>
    <x v="82"/>
    <s v="NL0013025844"/>
    <x v="0"/>
    <s v="International"/>
    <m/>
    <s v="EZML6"/>
    <s v="Euronext Amsterdam"/>
    <s v="Non-significant benchmark"/>
    <n v="0"/>
    <n v="0"/>
    <n v="0"/>
    <n v="0"/>
    <n v="0"/>
    <n v="0"/>
    <n v="0"/>
  </r>
  <r>
    <x v="428"/>
    <x v="82"/>
    <s v="NL0013025836"/>
    <x v="0"/>
    <s v="International"/>
    <m/>
    <s v="EZMLG"/>
    <s v="Euronext Amsterdam"/>
    <s v="Non-significant benchmark"/>
    <n v="0"/>
    <n v="0"/>
    <n v="0"/>
    <n v="0"/>
    <n v="0"/>
    <n v="0"/>
    <n v="0"/>
  </r>
  <r>
    <x v="429"/>
    <x v="82"/>
    <s v="NL0013025828"/>
    <x v="0"/>
    <s v="International"/>
    <m/>
    <s v="EZMLN"/>
    <s v="Euronext Amsterdam"/>
    <s v="Non-significant benchmark"/>
    <n v="0"/>
    <n v="0"/>
    <n v="0"/>
    <n v="0"/>
    <n v="0"/>
    <n v="0"/>
    <n v="0"/>
  </r>
  <r>
    <x v="430"/>
    <x v="83"/>
    <s v="NL0012949143"/>
    <x v="0"/>
    <s v="International"/>
    <m/>
    <s v="EZN1P"/>
    <s v="Euronext Amsterdam"/>
    <s v="Non-significant benchmark"/>
    <n v="0"/>
    <n v="0"/>
    <n v="0"/>
    <n v="0"/>
    <n v="0"/>
    <n v="0"/>
    <n v="0"/>
  </r>
  <r>
    <x v="431"/>
    <x v="83"/>
    <s v="NL0012949176"/>
    <x v="0"/>
    <s v="International"/>
    <m/>
    <s v="EZNE1"/>
    <s v="Euronext Amsterdam"/>
    <s v="Non-significant benchmark"/>
    <n v="1703256.8214201599"/>
    <n v="0"/>
    <n v="0"/>
    <n v="0"/>
    <n v="0"/>
    <n v="0"/>
    <n v="1703256.8214201599"/>
  </r>
  <r>
    <x v="432"/>
    <x v="83"/>
    <s v="NL0012949168"/>
    <x v="0"/>
    <s v="International"/>
    <m/>
    <s v="EZN1G"/>
    <s v="Euronext Amsterdam"/>
    <s v="Non-significant benchmark"/>
    <n v="0"/>
    <n v="0"/>
    <n v="0"/>
    <n v="0"/>
    <n v="0"/>
    <n v="0"/>
    <n v="0"/>
  </r>
  <r>
    <x v="433"/>
    <x v="83"/>
    <s v="NL0012949150"/>
    <x v="0"/>
    <s v="International"/>
    <m/>
    <s v="EZN1N"/>
    <s v="Euronext Amsterdam"/>
    <s v="Non-significant benchmark"/>
    <n v="0"/>
    <n v="0"/>
    <n v="0"/>
    <n v="0"/>
    <n v="0"/>
    <n v="0"/>
    <n v="0"/>
  </r>
  <r>
    <x v="434"/>
    <x v="84"/>
    <s v="FR0014003PR0"/>
    <x v="1"/>
    <s v="Climate;PAB"/>
    <s v="PAB"/>
    <s v="EPABP"/>
    <s v="Euronext Paris"/>
    <s v="Non-significant benchmark"/>
    <n v="0"/>
    <n v="0"/>
    <n v="0"/>
    <n v="0"/>
    <n v="0"/>
    <n v="0"/>
    <n v="0"/>
  </r>
  <r>
    <x v="435"/>
    <x v="84"/>
    <s v="FRCLIM000007"/>
    <x v="1"/>
    <s v="Climate;PAB"/>
    <s v="PAB"/>
    <s v="EPAB4"/>
    <s v="Euronext Paris"/>
    <s v="Non-significant benchmark"/>
    <n v="0"/>
    <n v="0"/>
    <n v="0"/>
    <n v="0"/>
    <n v="0"/>
    <n v="0"/>
    <n v="0"/>
  </r>
  <r>
    <x v="436"/>
    <x v="84"/>
    <s v="FR0014003PK5"/>
    <x v="1"/>
    <s v="Climate;PAB"/>
    <s v="PAB"/>
    <s v="EPAB5"/>
    <s v="Euronext Paris"/>
    <s v="Non-significant benchmark"/>
    <n v="0"/>
    <n v="0"/>
    <n v="0"/>
    <n v="0"/>
    <n v="0"/>
    <n v="0"/>
    <n v="0"/>
  </r>
  <r>
    <x v="437"/>
    <x v="84"/>
    <s v="FR0014003PL3"/>
    <x v="1"/>
    <s v="Climate;PAB"/>
    <s v="PAB"/>
    <s v="EPABG"/>
    <s v="Euronext Paris"/>
    <s v="Non-significant benchmark"/>
    <n v="0"/>
    <n v="0"/>
    <n v="0"/>
    <n v="0"/>
    <n v="0"/>
    <n v="0"/>
    <n v="0"/>
  </r>
  <r>
    <x v="438"/>
    <x v="84"/>
    <s v="FR0014003PM1"/>
    <x v="1"/>
    <s v="Climate;PAB"/>
    <s v="PAB"/>
    <s v="EPABN"/>
    <s v="Euronext Paris"/>
    <s v="Non-significant benchmark"/>
    <n v="0"/>
    <n v="0"/>
    <n v="0"/>
    <n v="0"/>
    <n v="0"/>
    <n v="0"/>
    <n v="0"/>
  </r>
  <r>
    <x v="439"/>
    <x v="85"/>
    <s v="FR0014005IK5"/>
    <x v="1"/>
    <s v="Climate;Environmental"/>
    <s v="ESG Other"/>
    <s v="EZCLA"/>
    <s v="Euronext Paris"/>
    <s v="Non-significant benchmark"/>
    <n v="0"/>
    <n v="0"/>
    <n v="0"/>
    <n v="0"/>
    <n v="0"/>
    <n v="0"/>
    <n v="0"/>
  </r>
  <r>
    <x v="440"/>
    <x v="85"/>
    <s v="FR0014005IL3"/>
    <x v="1"/>
    <s v="Climate;Environmental"/>
    <s v="ESG Other"/>
    <s v="EZCLG"/>
    <s v="Euronext Paris"/>
    <s v="Non-significant benchmark"/>
    <n v="0"/>
    <n v="0"/>
    <n v="0"/>
    <n v="0"/>
    <n v="0"/>
    <n v="0"/>
    <n v="0"/>
  </r>
  <r>
    <x v="441"/>
    <x v="85"/>
    <s v="FR0014005IN9"/>
    <x v="1"/>
    <s v="Climate;Environmental"/>
    <s v="ESG Other"/>
    <s v="EZCLN"/>
    <s v="Euronext Paris"/>
    <s v="Non-significant benchmark"/>
    <n v="0"/>
    <n v="0"/>
    <n v="0"/>
    <n v="0"/>
    <n v="0"/>
    <n v="0"/>
    <n v="0"/>
  </r>
  <r>
    <x v="442"/>
    <x v="86"/>
    <s v="FR0014004XR2"/>
    <x v="1"/>
    <s v="Climate"/>
    <s v="ESG Other"/>
    <s v="CLAMP"/>
    <s v="Euronext Paris"/>
    <s v="Non-significant benchmark"/>
    <n v="0"/>
    <n v="0"/>
    <n v="0"/>
    <n v="0"/>
    <n v="0"/>
    <n v="0"/>
    <n v="0"/>
  </r>
  <r>
    <x v="443"/>
    <x v="86"/>
    <s v="FR0014004XQ4"/>
    <x v="1"/>
    <s v="Climate"/>
    <s v="ESG Other"/>
    <s v="CLAMB"/>
    <s v="Euronext Paris"/>
    <s v="Non-significant benchmark"/>
    <n v="0"/>
    <n v="0"/>
    <n v="0"/>
    <n v="0"/>
    <n v="0"/>
    <n v="0"/>
    <n v="0"/>
  </r>
  <r>
    <x v="444"/>
    <x v="86"/>
    <s v="FR0014004XP6"/>
    <x v="1"/>
    <s v="Climate"/>
    <s v="ESG Other"/>
    <s v="CLAMG"/>
    <s v="Euronext Paris"/>
    <s v="Non-significant benchmark"/>
    <n v="0"/>
    <n v="0"/>
    <n v="0"/>
    <n v="0"/>
    <n v="0"/>
    <n v="0"/>
    <n v="0"/>
  </r>
  <r>
    <x v="445"/>
    <x v="86"/>
    <s v="FR0014004XO9"/>
    <x v="1"/>
    <s v="Climate"/>
    <s v="ESG Other"/>
    <s v="CLAMN"/>
    <s v="Euronext Paris"/>
    <s v="Non-significant benchmark"/>
    <n v="0"/>
    <n v="0"/>
    <n v="0"/>
    <n v="0"/>
    <n v="0"/>
    <n v="0"/>
    <n v="0"/>
  </r>
  <r>
    <x v="446"/>
    <x v="87"/>
    <s v="NO0010865330"/>
    <x v="0"/>
    <s v="Country"/>
    <m/>
    <s v="OAAXP"/>
    <s v="Oslo Børs"/>
    <s v="Non-significant benchmark"/>
    <n v="0"/>
    <n v="0"/>
    <n v="0"/>
    <n v="0"/>
    <n v="0"/>
    <n v="0"/>
    <n v="0"/>
  </r>
  <r>
    <x v="447"/>
    <x v="87"/>
    <s v="NO0007035384"/>
    <x v="0"/>
    <s v="Country"/>
    <m/>
    <s v="OAAX"/>
    <s v="Oslo Børs"/>
    <s v="Non-significant benchmark"/>
    <n v="0"/>
    <n v="0"/>
    <n v="0"/>
    <n v="0"/>
    <n v="0"/>
    <n v="0"/>
    <n v="0"/>
  </r>
  <r>
    <x v="448"/>
    <x v="87"/>
    <s v="NO0010865322"/>
    <x v="0"/>
    <s v="Country"/>
    <m/>
    <s v="OAAXN"/>
    <s v="Oslo Børs"/>
    <s v="Non-significant benchmark"/>
    <n v="0"/>
    <n v="0"/>
    <n v="0"/>
    <n v="0"/>
    <n v="0"/>
    <n v="0"/>
    <n v="0"/>
  </r>
  <r>
    <x v="449"/>
    <x v="88"/>
    <s v="NL0015000AA9"/>
    <x v="1"/>
    <s v="Broad ESG"/>
    <s v="ESG Other"/>
    <s v="EEEPR"/>
    <s v="Euronext Paris"/>
    <s v="Non-significant benchmark"/>
    <n v="0"/>
    <n v="0"/>
    <n v="0"/>
    <n v="0"/>
    <n v="0"/>
    <n v="0"/>
    <n v="0"/>
  </r>
  <r>
    <x v="450"/>
    <x v="88"/>
    <s v="NL0015000AD3"/>
    <x v="1"/>
    <s v="Broad ESG"/>
    <s v="ESG Other"/>
    <s v="EEED5"/>
    <s v="Euronext Paris"/>
    <s v="Non-significant benchmark"/>
    <n v="0"/>
    <n v="0"/>
    <n v="0"/>
    <n v="0"/>
    <n v="0"/>
    <n v="0"/>
    <n v="0"/>
  </r>
  <r>
    <x v="451"/>
    <x v="88"/>
    <s v="NL0015000AC5"/>
    <x v="1"/>
    <s v="Broad ESG"/>
    <s v="ESG Other"/>
    <s v="EEEGR"/>
    <s v="Euronext Paris"/>
    <s v="Non-significant benchmark"/>
    <n v="0"/>
    <n v="0"/>
    <n v="0"/>
    <n v="0"/>
    <n v="0"/>
    <n v="0"/>
    <n v="0"/>
  </r>
  <r>
    <x v="452"/>
    <x v="88"/>
    <s v="NL0015000AB7"/>
    <x v="1"/>
    <s v="Broad ESG"/>
    <s v="ESG Other"/>
    <s v="EEENR"/>
    <s v="Euronext Paris"/>
    <s v="Non-significant benchmark"/>
    <n v="0"/>
    <n v="0"/>
    <n v="0"/>
    <n v="0"/>
    <n v="0"/>
    <n v="0"/>
    <n v="0"/>
  </r>
  <r>
    <x v="453"/>
    <x v="89"/>
    <s v="NL0012730451"/>
    <x v="0"/>
    <s v="International"/>
    <m/>
    <s v="EFMEP"/>
    <s v="Euronext Amsterdam"/>
    <s v="Non-significant benchmark"/>
    <n v="0"/>
    <n v="0"/>
    <n v="0"/>
    <n v="0"/>
    <n v="0"/>
    <n v="0"/>
    <n v="0"/>
  </r>
  <r>
    <x v="454"/>
    <x v="89"/>
    <s v="NL0012730485"/>
    <x v="0"/>
    <s v="International"/>
    <m/>
    <s v="EFMED"/>
    <s v="Euronext Amsterdam"/>
    <s v="Non-significant benchmark"/>
    <n v="0"/>
    <n v="0"/>
    <n v="26239927.036400001"/>
    <n v="0"/>
    <n v="0"/>
    <n v="0"/>
    <n v="26239927.036400001"/>
  </r>
  <r>
    <x v="455"/>
    <x v="89"/>
    <s v="NL0012730477"/>
    <x v="0"/>
    <s v="International"/>
    <m/>
    <s v="EFMEG"/>
    <s v="Euronext Amsterdam"/>
    <s v="Non-significant benchmark"/>
    <n v="0"/>
    <n v="0"/>
    <n v="0"/>
    <n v="0"/>
    <n v="0"/>
    <n v="0"/>
    <n v="0"/>
  </r>
  <r>
    <x v="456"/>
    <x v="89"/>
    <s v="NL0012730469"/>
    <x v="0"/>
    <s v="International"/>
    <m/>
    <s v="EFMEN"/>
    <s v="Euronext Amsterdam"/>
    <s v="Non-significant benchmark"/>
    <n v="0"/>
    <n v="0"/>
    <n v="0"/>
    <n v="0"/>
    <n v="0"/>
    <n v="0"/>
    <n v="0"/>
  </r>
  <r>
    <x v="457"/>
    <x v="90"/>
    <s v="FR0013355948"/>
    <x v="0"/>
    <s v="Country"/>
    <m/>
    <s v="FR20P"/>
    <s v="Euronext Paris"/>
    <s v="Non-significant benchmark"/>
    <n v="0"/>
    <n v="0"/>
    <n v="0"/>
    <n v="0"/>
    <n v="0"/>
    <n v="0"/>
    <n v="0"/>
  </r>
  <r>
    <x v="458"/>
    <x v="90"/>
    <s v="FR0013355971"/>
    <x v="0"/>
    <s v="Country"/>
    <m/>
    <s v="FRA20"/>
    <s v="Euronext Paris"/>
    <s v="Non-significant benchmark"/>
    <n v="0"/>
    <n v="0"/>
    <n v="0"/>
    <n v="0"/>
    <n v="0"/>
    <n v="0"/>
    <n v="0"/>
  </r>
  <r>
    <x v="459"/>
    <x v="90"/>
    <s v="FR0013355963"/>
    <x v="0"/>
    <s v="Country"/>
    <m/>
    <s v="FR20G"/>
    <s v="Euronext Paris"/>
    <s v="Non-significant benchmark"/>
    <n v="0"/>
    <n v="0"/>
    <n v="0"/>
    <n v="0"/>
    <n v="0"/>
    <n v="0"/>
    <n v="0"/>
  </r>
  <r>
    <x v="460"/>
    <x v="90"/>
    <s v="FR0013355955"/>
    <x v="0"/>
    <s v="Country"/>
    <m/>
    <s v="FR20N"/>
    <s v="Euronext Paris"/>
    <s v="Non-significant benchmark"/>
    <n v="0"/>
    <n v="0"/>
    <n v="0"/>
    <n v="0"/>
    <n v="0"/>
    <n v="0"/>
    <n v="0"/>
  </r>
  <r>
    <x v="461"/>
    <x v="91"/>
    <s v="FR0013349057"/>
    <x v="0"/>
    <s v="Country"/>
    <m/>
    <s v="FRECP"/>
    <s v="Euronext Paris"/>
    <s v="Non-significant benchmark"/>
    <n v="0"/>
    <n v="0"/>
    <n v="0"/>
    <n v="0"/>
    <n v="0"/>
    <n v="0"/>
    <n v="0"/>
  </r>
  <r>
    <x v="462"/>
    <x v="91"/>
    <s v="FR0013349081"/>
    <x v="0"/>
    <s v="Country"/>
    <m/>
    <s v="FRECH"/>
    <s v="Euronext Paris"/>
    <s v="Non-significant benchmark"/>
    <n v="0"/>
    <n v="0"/>
    <n v="0"/>
    <n v="0"/>
    <n v="0"/>
    <n v="0"/>
    <n v="0"/>
  </r>
  <r>
    <x v="463"/>
    <x v="91"/>
    <s v="FR0013349073"/>
    <x v="0"/>
    <s v="Country"/>
    <m/>
    <s v="FRECG"/>
    <s v="Euronext Paris"/>
    <s v="Non-significant benchmark"/>
    <n v="0"/>
    <n v="0"/>
    <n v="0"/>
    <n v="0"/>
    <n v="0"/>
    <n v="0"/>
    <n v="0"/>
  </r>
  <r>
    <x v="464"/>
    <x v="91"/>
    <s v="FR0013349065"/>
    <x v="0"/>
    <s v="Country"/>
    <m/>
    <s v="FRECN"/>
    <s v="Euronext Paris"/>
    <s v="Non-significant benchmark"/>
    <n v="0"/>
    <n v="0"/>
    <n v="0"/>
    <n v="0"/>
    <n v="0"/>
    <n v="0"/>
    <n v="0"/>
  </r>
  <r>
    <x v="465"/>
    <x v="92"/>
    <s v="FR0013376209"/>
    <x v="1"/>
    <s v="Broad ESG"/>
    <s v="ESG Other"/>
    <s v="F4RIP"/>
    <s v="Euronext Paris"/>
    <s v="Non-significant benchmark"/>
    <n v="0"/>
    <n v="0"/>
    <n v="0"/>
    <n v="0"/>
    <n v="0"/>
    <n v="0"/>
    <n v="0"/>
  </r>
  <r>
    <x v="466"/>
    <x v="92"/>
    <s v="FR0013376241"/>
    <x v="1"/>
    <s v="Broad ESG"/>
    <s v="ESG Other"/>
    <s v="F4RI"/>
    <s v="Euronext Paris"/>
    <s v="Non-significant benchmark"/>
    <n v="0"/>
    <n v="0"/>
    <n v="0"/>
    <n v="0"/>
    <n v="0"/>
    <n v="0"/>
    <n v="0"/>
  </r>
  <r>
    <x v="467"/>
    <x v="92"/>
    <s v="FR0013376233"/>
    <x v="1"/>
    <s v="Broad ESG"/>
    <s v="ESG Other"/>
    <s v="F4RIG"/>
    <s v="Euronext Paris"/>
    <s v="Non-significant benchmark"/>
    <n v="0"/>
    <n v="0"/>
    <n v="0"/>
    <n v="0"/>
    <n v="0"/>
    <n v="0"/>
    <n v="0"/>
  </r>
  <r>
    <x v="468"/>
    <x v="92"/>
    <s v="FR0013376225"/>
    <x v="1"/>
    <s v="Broad ESG"/>
    <s v="ESG Other"/>
    <s v="F4RIN"/>
    <s v="Euronext Paris"/>
    <s v="Non-significant benchmark"/>
    <n v="0"/>
    <n v="0"/>
    <n v="0"/>
    <n v="0"/>
    <n v="0"/>
    <n v="0"/>
    <n v="0"/>
  </r>
  <r>
    <x v="469"/>
    <x v="93"/>
    <s v="FR0013422326"/>
    <x v="1"/>
    <s v="Energy transition"/>
    <s v="ESG Other"/>
    <s v="CLIFL"/>
    <s v="Euronext Paris"/>
    <s v="Non-significant benchmark"/>
    <n v="0"/>
    <n v="30000000"/>
    <n v="3122265.8004000001"/>
    <n v="0"/>
    <n v="0"/>
    <n v="0"/>
    <n v="30000000"/>
  </r>
  <r>
    <x v="470"/>
    <x v="93"/>
    <s v="FR0013317773"/>
    <x v="1"/>
    <s v="Energy transition"/>
    <s v="ESG Other"/>
    <s v="CLF4P"/>
    <s v="Euronext Paris"/>
    <s v="Non-significant benchmark"/>
    <n v="0"/>
    <n v="0"/>
    <n v="0"/>
    <n v="0"/>
    <n v="0"/>
    <n v="0"/>
    <n v="0"/>
  </r>
  <r>
    <x v="471"/>
    <x v="93"/>
    <s v="FR0013317807"/>
    <x v="1"/>
    <s v="Energy transition"/>
    <s v="ESG Other"/>
    <s v="CLIF4"/>
    <s v="Euronext Paris"/>
    <s v="Non-significant benchmark"/>
    <n v="102549003"/>
    <n v="512500000"/>
    <n v="173124573.00920001"/>
    <n v="0"/>
    <n v="0"/>
    <n v="0"/>
    <n v="173124573.00920001"/>
  </r>
  <r>
    <x v="472"/>
    <x v="93"/>
    <s v="FR0013317799"/>
    <x v="1"/>
    <s v="Energy transition"/>
    <s v="ESG Other"/>
    <s v="CLF4G"/>
    <s v="Euronext Paris"/>
    <s v="Non-significant benchmark"/>
    <n v="0"/>
    <n v="0"/>
    <n v="0"/>
    <n v="0"/>
    <n v="0"/>
    <n v="0"/>
    <n v="0"/>
  </r>
  <r>
    <x v="473"/>
    <x v="93"/>
    <s v="FR0013317781"/>
    <x v="1"/>
    <s v="Energy transition"/>
    <s v="ESG Other"/>
    <s v="CLF4N"/>
    <s v="Euronext Paris"/>
    <s v="Non-significant benchmark"/>
    <n v="0"/>
    <n v="0"/>
    <n v="0"/>
    <n v="0"/>
    <n v="0"/>
    <n v="0"/>
    <n v="0"/>
  </r>
  <r>
    <x v="474"/>
    <x v="94"/>
    <s v="FR0013317732"/>
    <x v="1"/>
    <s v="Broad ESG"/>
    <s v="ESG Other"/>
    <s v="ESF4P"/>
    <s v="Euronext Paris"/>
    <s v="Non-significant benchmark"/>
    <n v="0"/>
    <n v="80000000"/>
    <n v="0"/>
    <n v="0"/>
    <n v="0"/>
    <n v="0"/>
    <n v="80000000"/>
  </r>
  <r>
    <x v="475"/>
    <x v="94"/>
    <s v="FR0013431731"/>
    <x v="1"/>
    <s v="Broad ESG"/>
    <s v="ESG Other"/>
    <s v="ESGFL"/>
    <s v="Euronext Paris"/>
    <s v="Non-significant benchmark"/>
    <n v="0"/>
    <n v="0"/>
    <n v="13621920.704400001"/>
    <n v="0"/>
    <n v="0"/>
    <n v="0"/>
    <n v="13621920.704400001"/>
  </r>
  <r>
    <x v="476"/>
    <x v="94"/>
    <s v="FR0013317765"/>
    <x v="1"/>
    <s v="Broad ESG"/>
    <s v="ESG Other"/>
    <s v="ESGF4"/>
    <s v="Euronext Paris"/>
    <s v="Non-significant benchmark"/>
    <n v="0"/>
    <n v="0"/>
    <n v="0"/>
    <n v="0"/>
    <n v="0"/>
    <n v="0"/>
    <n v="0"/>
  </r>
  <r>
    <x v="477"/>
    <x v="94"/>
    <s v="FR0013317757"/>
    <x v="1"/>
    <s v="Broad ESG"/>
    <s v="ESG Other"/>
    <s v="ESF4G"/>
    <s v="Euronext Paris"/>
    <s v="Non-significant benchmark"/>
    <n v="0"/>
    <n v="0"/>
    <n v="0"/>
    <n v="0"/>
    <n v="0"/>
    <n v="0"/>
    <n v="0"/>
  </r>
  <r>
    <x v="478"/>
    <x v="94"/>
    <s v="FR0013317740"/>
    <x v="1"/>
    <s v="Broad ESG"/>
    <s v="ESG Other"/>
    <s v="ESF4N"/>
    <s v="Euronext Paris"/>
    <s v="Non-significant benchmark"/>
    <n v="0"/>
    <n v="0"/>
    <n v="0"/>
    <n v="0"/>
    <n v="0"/>
    <n v="0"/>
    <n v="0"/>
  </r>
  <r>
    <x v="479"/>
    <x v="95"/>
    <s v="FR0013476959"/>
    <x v="1"/>
    <s v="Broad ESG"/>
    <s v="ESG Other"/>
    <s v="ESGFP"/>
    <s v="Euronext Paris"/>
    <s v="Non-significant benchmark"/>
    <n v="0"/>
    <n v="0"/>
    <n v="0"/>
    <n v="0"/>
    <n v="0"/>
    <n v="0"/>
    <n v="0"/>
  </r>
  <r>
    <x v="480"/>
    <x v="95"/>
    <s v="FR0013476983"/>
    <x v="1"/>
    <s v="Broad ESG"/>
    <s v="ESG Other"/>
    <s v="ESGFR"/>
    <s v="Euronext Paris"/>
    <s v="Non-significant benchmark"/>
    <n v="0"/>
    <n v="0"/>
    <n v="0"/>
    <n v="0"/>
    <n v="0"/>
    <n v="0"/>
    <n v="0"/>
  </r>
  <r>
    <x v="481"/>
    <x v="95"/>
    <s v="FR0013476975"/>
    <x v="1"/>
    <s v="Broad ESG"/>
    <s v="ESG Other"/>
    <s v="ESGFG"/>
    <s v="Euronext Paris"/>
    <s v="Non-significant benchmark"/>
    <n v="0"/>
    <n v="0"/>
    <n v="0"/>
    <n v="0"/>
    <n v="0"/>
    <n v="0"/>
    <n v="0"/>
  </r>
  <r>
    <x v="482"/>
    <x v="95"/>
    <s v="FR0013476967"/>
    <x v="1"/>
    <s v="Broad ESG"/>
    <s v="ESG Other"/>
    <s v="ESGFN"/>
    <s v="Euronext Paris"/>
    <s v="Non-significant benchmark"/>
    <n v="0"/>
    <n v="0"/>
    <n v="0"/>
    <n v="0"/>
    <n v="0"/>
    <n v="0"/>
    <n v="0"/>
  </r>
  <r>
    <x v="483"/>
    <x v="96"/>
    <s v="NL0012846307"/>
    <x v="0"/>
    <s v="International"/>
    <m/>
    <s v="FEZ6P"/>
    <s v="Euronext Paris"/>
    <s v="Non-significant benchmark"/>
    <n v="0"/>
    <n v="0"/>
    <n v="0"/>
    <n v="0"/>
    <n v="0"/>
    <n v="0"/>
    <n v="0"/>
  </r>
  <r>
    <x v="484"/>
    <x v="96"/>
    <s v="NL0012846331"/>
    <x v="0"/>
    <s v="International"/>
    <m/>
    <s v="FEZ60"/>
    <s v="Euronext Paris"/>
    <s v="Non-significant benchmark"/>
    <n v="0"/>
    <n v="0"/>
    <n v="0"/>
    <n v="0"/>
    <n v="0"/>
    <n v="0"/>
    <n v="0"/>
  </r>
  <r>
    <x v="485"/>
    <x v="96"/>
    <s v="NL0012846323"/>
    <x v="0"/>
    <s v="International"/>
    <m/>
    <s v="FEZ6G"/>
    <s v="Euronext Paris"/>
    <s v="Non-significant benchmark"/>
    <n v="0"/>
    <n v="0"/>
    <n v="0"/>
    <n v="0"/>
    <n v="0"/>
    <n v="0"/>
    <n v="0"/>
  </r>
  <r>
    <x v="486"/>
    <x v="96"/>
    <s v="NL0012846315"/>
    <x v="0"/>
    <s v="International"/>
    <m/>
    <s v="FEZ6N"/>
    <s v="Euronext Paris"/>
    <s v="Non-significant benchmark"/>
    <n v="0"/>
    <n v="0"/>
    <n v="0"/>
    <n v="0"/>
    <n v="0"/>
    <n v="0"/>
    <n v="0"/>
  </r>
  <r>
    <x v="487"/>
    <x v="97"/>
    <s v="NL0012658769"/>
    <x v="0"/>
    <s v="International"/>
    <m/>
    <s v="EFGP"/>
    <s v="Euronext Paris"/>
    <s v="Non-significant benchmark"/>
    <n v="0"/>
    <n v="0"/>
    <n v="0"/>
    <n v="0"/>
    <n v="0"/>
    <n v="0"/>
    <n v="0"/>
  </r>
  <r>
    <x v="488"/>
    <x v="97"/>
    <s v="NL0012365035"/>
    <x v="0"/>
    <s v="International"/>
    <m/>
    <s v="EFGEW"/>
    <s v="Euronext Paris"/>
    <s v="Non-significant benchmark"/>
    <n v="0"/>
    <n v="0"/>
    <n v="0"/>
    <n v="0"/>
    <n v="0"/>
    <n v="0"/>
    <n v="0"/>
  </r>
  <r>
    <x v="489"/>
    <x v="97"/>
    <s v="NL0012365068"/>
    <x v="0"/>
    <s v="International"/>
    <m/>
    <s v="EFGED"/>
    <s v="Euronext Paris"/>
    <s v="Non-significant benchmark"/>
    <n v="13343483"/>
    <n v="409000000"/>
    <n v="138788859.42840001"/>
    <n v="0"/>
    <n v="0"/>
    <n v="0"/>
    <n v="138788859.42840001"/>
  </r>
  <r>
    <x v="490"/>
    <x v="97"/>
    <s v="NL0012365050"/>
    <x v="0"/>
    <s v="International"/>
    <m/>
    <s v="EFGEG"/>
    <s v="Euronext Paris"/>
    <s v="Non-significant benchmark"/>
    <n v="0"/>
    <n v="0"/>
    <n v="0"/>
    <n v="0"/>
    <n v="0"/>
    <n v="0"/>
    <n v="0"/>
  </r>
  <r>
    <x v="491"/>
    <x v="97"/>
    <s v="NL0012365043"/>
    <x v="0"/>
    <s v="International"/>
    <m/>
    <s v="EFGEN"/>
    <s v="Euronext Paris"/>
    <s v="Non-significant benchmark"/>
    <n v="0"/>
    <n v="0"/>
    <n v="0"/>
    <n v="0"/>
    <n v="0"/>
    <n v="0"/>
    <n v="0"/>
  </r>
  <r>
    <x v="492"/>
    <x v="97"/>
    <s v="NL0012658785"/>
    <x v="0"/>
    <s v="International"/>
    <m/>
    <s v="EFGG"/>
    <s v="Euronext Paris"/>
    <s v="Non-significant benchmark"/>
    <n v="0"/>
    <n v="0"/>
    <n v="0"/>
    <n v="0"/>
    <n v="0"/>
    <n v="0"/>
    <n v="0"/>
  </r>
  <r>
    <x v="493"/>
    <x v="97"/>
    <s v="NL0012658777"/>
    <x v="0"/>
    <s v="International"/>
    <m/>
    <s v="EFGN"/>
    <s v="Euronext Paris"/>
    <s v="Non-significant benchmark"/>
    <n v="0"/>
    <n v="0"/>
    <n v="0"/>
    <n v="0"/>
    <n v="0"/>
    <n v="0"/>
    <n v="0"/>
  </r>
  <r>
    <x v="494"/>
    <x v="98"/>
    <s v="FR0013354156"/>
    <x v="0"/>
    <s v="Country"/>
    <m/>
    <s v="FRN4P"/>
    <s v="Euronext Paris"/>
    <s v="Non-significant benchmark"/>
    <n v="0"/>
    <n v="0"/>
    <n v="0"/>
    <n v="0"/>
    <n v="0"/>
    <n v="0"/>
    <n v="0"/>
  </r>
  <r>
    <x v="495"/>
    <x v="98"/>
    <s v="FR0013354180"/>
    <x v="0"/>
    <s v="Country"/>
    <m/>
    <s v="FRN40"/>
    <s v="Euronext Paris"/>
    <s v="Non-significant benchmark"/>
    <n v="0"/>
    <n v="0"/>
    <n v="0"/>
    <n v="0"/>
    <n v="0"/>
    <n v="0"/>
    <n v="0"/>
  </r>
  <r>
    <x v="496"/>
    <x v="98"/>
    <s v="FR0013354172"/>
    <x v="0"/>
    <s v="Country"/>
    <m/>
    <s v="FRN4G"/>
    <s v="Euronext Paris"/>
    <s v="Non-significant benchmark"/>
    <n v="0"/>
    <n v="0"/>
    <n v="0"/>
    <n v="0"/>
    <n v="0"/>
    <n v="0"/>
    <n v="0"/>
  </r>
  <r>
    <x v="497"/>
    <x v="98"/>
    <s v="FR0013354164"/>
    <x v="0"/>
    <s v="Country"/>
    <m/>
    <s v="FRN4N"/>
    <s v="Euronext Paris"/>
    <s v="Non-significant benchmark"/>
    <n v="0"/>
    <n v="0"/>
    <n v="0"/>
    <n v="0"/>
    <n v="0"/>
    <n v="0"/>
    <n v="0"/>
  </r>
  <r>
    <x v="498"/>
    <x v="99"/>
    <s v="FR0014003927"/>
    <x v="1"/>
    <s v="Climate;PAB"/>
    <s v="PAB"/>
    <s v="FPABP"/>
    <s v="Euronext Paris"/>
    <s v="Non-significant benchmark"/>
    <n v="0"/>
    <n v="0"/>
    <n v="0"/>
    <n v="0"/>
    <n v="0"/>
    <n v="0"/>
    <n v="0"/>
  </r>
  <r>
    <x v="499"/>
    <x v="99"/>
    <s v="FR0014003935"/>
    <x v="1"/>
    <s v="Climate;PAB"/>
    <s v="PAB"/>
    <s v="FPAB5"/>
    <s v="Euronext Paris"/>
    <s v="Non-significant benchmark"/>
    <n v="0"/>
    <n v="0"/>
    <n v="0"/>
    <n v="0"/>
    <n v="0"/>
    <n v="0"/>
    <n v="0"/>
  </r>
  <r>
    <x v="500"/>
    <x v="99"/>
    <s v="FR0014003950"/>
    <x v="1"/>
    <s v="Climate;PAB"/>
    <s v="PAB"/>
    <s v="FPABG"/>
    <s v="Euronext Paris"/>
    <s v="Non-significant benchmark"/>
    <n v="0"/>
    <n v="0"/>
    <n v="0"/>
    <n v="0"/>
    <n v="0"/>
    <n v="0"/>
    <n v="0"/>
  </r>
  <r>
    <x v="501"/>
    <x v="99"/>
    <s v="FR0014003943"/>
    <x v="1"/>
    <s v="Climate;PAB"/>
    <s v="PAB"/>
    <s v="FPABN"/>
    <s v="Euronext Paris"/>
    <s v="Non-significant benchmark"/>
    <n v="0"/>
    <n v="0"/>
    <n v="0"/>
    <n v="0"/>
    <n v="0"/>
    <n v="0"/>
    <n v="0"/>
  </r>
  <r>
    <x v="502"/>
    <x v="100"/>
    <s v="FR0014005D77"/>
    <x v="1"/>
    <s v="Social"/>
    <s v="ESG Other"/>
    <s v="FRSOP"/>
    <s v="Euronext Paris"/>
    <s v="Non-significant benchmark"/>
    <n v="0"/>
    <n v="0"/>
    <n v="0"/>
    <n v="0"/>
    <n v="0"/>
    <n v="0"/>
    <n v="0"/>
  </r>
  <r>
    <x v="503"/>
    <x v="100"/>
    <s v="FR0014005D69"/>
    <x v="1"/>
    <s v="Social"/>
    <s v="ESG Other"/>
    <s v="FRSOC"/>
    <s v="Euronext Paris"/>
    <s v="Non-significant benchmark"/>
    <n v="36505000"/>
    <n v="0"/>
    <n v="224149211.75320002"/>
    <n v="79100953"/>
    <n v="0"/>
    <n v="0"/>
    <n v="303250164.75320005"/>
  </r>
  <r>
    <x v="504"/>
    <x v="100"/>
    <s v="FRESG0000645"/>
    <x v="1"/>
    <s v="Social"/>
    <s v="ESG Other"/>
    <s v="FRSO5"/>
    <s v="Euronext Paris"/>
    <s v="Non-significant benchmark"/>
    <n v="0"/>
    <n v="0"/>
    <n v="45618237.490800001"/>
    <n v="0"/>
    <n v="0"/>
    <n v="0"/>
    <n v="45618237.490800001"/>
  </r>
  <r>
    <x v="505"/>
    <x v="100"/>
    <s v="FR0014005D93"/>
    <x v="1"/>
    <s v="Social"/>
    <s v="ESG Other"/>
    <s v="FRSOG"/>
    <s v="Euronext Paris"/>
    <s v="Non-significant benchmark"/>
    <n v="0"/>
    <n v="0"/>
    <n v="0"/>
    <n v="0"/>
    <n v="0"/>
    <n v="0"/>
    <n v="0"/>
  </r>
  <r>
    <x v="506"/>
    <x v="100"/>
    <s v="FR0014005D85"/>
    <x v="1"/>
    <s v="Social"/>
    <s v="ESG Other"/>
    <s v="FRSON"/>
    <s v="Euronext Paris"/>
    <s v="Non-significant benchmark"/>
    <n v="0"/>
    <n v="0"/>
    <n v="0"/>
    <n v="0"/>
    <n v="0"/>
    <n v="0"/>
    <n v="0"/>
  </r>
  <r>
    <x v="507"/>
    <x v="101"/>
    <s v="FRESG0000454"/>
    <x v="1"/>
    <s v="Social"/>
    <s v="ESG Other"/>
    <s v="FREMP"/>
    <s v="Euronext Paris"/>
    <s v="Non-significant benchmark"/>
    <n v="0"/>
    <n v="0"/>
    <n v="0"/>
    <n v="0"/>
    <n v="0"/>
    <n v="0"/>
    <n v="0"/>
  </r>
  <r>
    <x v="508"/>
    <x v="101"/>
    <s v="FRESG0000470"/>
    <x v="1"/>
    <s v="Social"/>
    <s v="ESG Other"/>
    <s v="FREMG"/>
    <s v="Euronext Paris"/>
    <s v="Non-significant benchmark"/>
    <n v="0"/>
    <n v="0"/>
    <n v="0"/>
    <n v="0"/>
    <n v="0"/>
    <n v="0"/>
    <n v="0"/>
  </r>
  <r>
    <x v="509"/>
    <x v="101"/>
    <s v="FRESG0000462"/>
    <x v="1"/>
    <s v="Social"/>
    <s v="ESG Other"/>
    <s v="FREMN"/>
    <s v="Euronext Paris"/>
    <s v="Non-significant benchmark"/>
    <n v="0"/>
    <n v="0"/>
    <n v="0"/>
    <n v="0"/>
    <n v="0"/>
    <n v="0"/>
    <n v="0"/>
  </r>
  <r>
    <x v="510"/>
    <x v="102"/>
    <s v="FRESG0000009"/>
    <x v="1"/>
    <s v="Broad ESG"/>
    <s v="ESG Other"/>
    <s v="GHCPR"/>
    <s v="Euronext Paris"/>
    <s v="Non-significant benchmark"/>
    <n v="0"/>
    <n v="0"/>
    <n v="0"/>
    <n v="0"/>
    <n v="0"/>
    <n v="0"/>
    <n v="0"/>
  </r>
  <r>
    <x v="511"/>
    <x v="102"/>
    <s v="FRESG0000033"/>
    <x v="1"/>
    <s v="Broad ESG"/>
    <s v="ESG Other"/>
    <s v="GHCD5"/>
    <s v="Euronext Paris"/>
    <s v="Non-significant benchmark"/>
    <n v="10420000"/>
    <n v="2676000"/>
    <n v="0"/>
    <n v="0"/>
    <n v="0"/>
    <n v="0"/>
    <n v="10420000"/>
  </r>
  <r>
    <x v="512"/>
    <x v="102"/>
    <s v="FRESG0000025"/>
    <x v="1"/>
    <s v="Broad ESG"/>
    <s v="ESG Other"/>
    <s v="GHCGR"/>
    <s v="Euronext Paris"/>
    <s v="Non-significant benchmark"/>
    <n v="0"/>
    <n v="0"/>
    <n v="0"/>
    <n v="0"/>
    <n v="0"/>
    <n v="0"/>
    <n v="0"/>
  </r>
  <r>
    <x v="513"/>
    <x v="102"/>
    <s v="FRESG0000017"/>
    <x v="1"/>
    <s v="Broad ESG"/>
    <s v="ESG Other"/>
    <s v="GHCNR"/>
    <s v="Euronext Paris"/>
    <s v="Non-significant benchmark"/>
    <n v="0"/>
    <n v="0"/>
    <n v="0"/>
    <n v="0"/>
    <n v="0"/>
    <n v="0"/>
    <n v="0"/>
  </r>
  <r>
    <x v="514"/>
    <x v="103"/>
    <s v="FRESG0000876"/>
    <x v="1"/>
    <s v="Climate;Environmental"/>
    <s v="ESG Other"/>
    <s v="GSCSP"/>
    <s v="Euronext Paris"/>
    <s v="Non-significant benchmark"/>
    <n v="0"/>
    <n v="0"/>
    <n v="0"/>
    <n v="0"/>
    <n v="0"/>
    <n v="0"/>
    <n v="0"/>
  </r>
  <r>
    <x v="515"/>
    <x v="103"/>
    <s v="FRESG0000892"/>
    <x v="1"/>
    <s v="Climate;Environmental"/>
    <s v="ESG Other"/>
    <s v="GSCSD"/>
    <s v="Euronext Paris"/>
    <s v="Non-significant benchmark"/>
    <n v="0"/>
    <n v="60000000"/>
    <n v="4991941.1912000002"/>
    <n v="0"/>
    <n v="0"/>
    <n v="0"/>
    <n v="60000000"/>
  </r>
  <r>
    <x v="516"/>
    <x v="103"/>
    <s v="FRESG0000884"/>
    <x v="1"/>
    <s v="Climate;Environmental"/>
    <s v="ESG Other"/>
    <s v="GSCSG"/>
    <s v="Euronext Paris"/>
    <s v="Non-significant benchmark"/>
    <n v="0"/>
    <n v="0"/>
    <n v="0"/>
    <n v="0"/>
    <n v="0"/>
    <n v="0"/>
    <n v="0"/>
  </r>
  <r>
    <x v="517"/>
    <x v="104"/>
    <s v="FR0013457892"/>
    <x v="1"/>
    <s v="Environmental"/>
    <s v="ESG Other"/>
    <s v="GRE50"/>
    <s v="Euronext Paris"/>
    <s v="Non-significant benchmark"/>
    <n v="18393129"/>
    <n v="5000000"/>
    <n v="0"/>
    <n v="0"/>
    <n v="0"/>
    <n v="0"/>
    <n v="18393129"/>
  </r>
  <r>
    <x v="518"/>
    <x v="104"/>
    <s v="FR0013460060"/>
    <x v="1"/>
    <s v="Environmental"/>
    <s v="ESG Other"/>
    <s v="GREG5"/>
    <s v="Euronext Paris"/>
    <s v="Non-significant benchmark"/>
    <n v="0"/>
    <n v="0"/>
    <n v="0"/>
    <n v="0"/>
    <n v="0"/>
    <n v="0"/>
    <n v="0"/>
  </r>
  <r>
    <x v="519"/>
    <x v="104"/>
    <s v="FR0013457876"/>
    <x v="1"/>
    <s v="Environmental"/>
    <s v="ESG Other"/>
    <s v="GRE5G"/>
    <s v="Euronext Paris"/>
    <s v="Non-significant benchmark"/>
    <n v="0"/>
    <n v="0"/>
    <n v="0"/>
    <n v="0"/>
    <n v="0"/>
    <n v="0"/>
    <n v="0"/>
  </r>
  <r>
    <x v="520"/>
    <x v="104"/>
    <s v="FR0013457868"/>
    <x v="1"/>
    <s v="Environmental"/>
    <s v="ESG Other"/>
    <s v="GRE5N"/>
    <s v="Euronext Paris"/>
    <s v="Non-significant benchmark"/>
    <n v="0"/>
    <n v="0"/>
    <n v="0"/>
    <n v="0"/>
    <n v="0"/>
    <n v="0"/>
    <n v="0"/>
  </r>
  <r>
    <x v="521"/>
    <x v="104"/>
    <s v="FR0013457850"/>
    <x v="1"/>
    <s v="Environmental"/>
    <s v="ESG Other"/>
    <s v="GRE5P"/>
    <s v="Euronext Paris"/>
    <s v="Non-significant benchmark"/>
    <n v="0"/>
    <n v="0"/>
    <n v="0"/>
    <n v="0"/>
    <n v="0"/>
    <n v="0"/>
    <n v="0"/>
  </r>
  <r>
    <x v="522"/>
    <x v="105"/>
    <s v="FR0013479763"/>
    <x v="1"/>
    <s v="Environmental"/>
    <s v="ESG Other"/>
    <s v="GRF5P"/>
    <s v="Euronext Paris"/>
    <s v="Non-significant benchmark"/>
    <n v="0"/>
    <n v="0"/>
    <n v="0"/>
    <n v="0"/>
    <n v="0"/>
    <n v="0"/>
    <n v="0"/>
  </r>
  <r>
    <x v="523"/>
    <x v="105"/>
    <s v="FR0013479821"/>
    <x v="1"/>
    <s v="Environmental"/>
    <s v="ESG Other"/>
    <s v="GRF50"/>
    <s v="Euronext Paris"/>
    <s v="Non-significant benchmark"/>
    <n v="500000"/>
    <n v="0"/>
    <n v="0"/>
    <n v="0"/>
    <n v="0"/>
    <n v="0"/>
    <n v="500000"/>
  </r>
  <r>
    <x v="524"/>
    <x v="105"/>
    <s v="FR0013479797"/>
    <x v="1"/>
    <s v="Environmental"/>
    <s v="ESG Other"/>
    <s v="GRF5G"/>
    <s v="Euronext Paris"/>
    <s v="Non-significant benchmark"/>
    <n v="0"/>
    <n v="0"/>
    <n v="0"/>
    <n v="0"/>
    <n v="0"/>
    <n v="0"/>
    <n v="0"/>
  </r>
  <r>
    <x v="525"/>
    <x v="105"/>
    <s v="FR0013479789"/>
    <x v="1"/>
    <s v="Environmental"/>
    <s v="ESG Other"/>
    <s v="GRF5N"/>
    <s v="Euronext Paris"/>
    <s v="Non-significant benchmark"/>
    <n v="0"/>
    <n v="0"/>
    <n v="0"/>
    <n v="0"/>
    <n v="0"/>
    <n v="0"/>
    <n v="0"/>
  </r>
  <r>
    <x v="526"/>
    <x v="106"/>
    <s v="QS0011040902"/>
    <x v="0"/>
    <s v="International"/>
    <m/>
    <s v="ALASI"/>
    <s v="Euronext Paris"/>
    <s v="Non-significant benchmark"/>
    <n v="0"/>
    <n v="0"/>
    <n v="0"/>
    <n v="132291604"/>
    <n v="0"/>
    <n v="0"/>
    <n v="132291604"/>
  </r>
  <r>
    <x v="527"/>
    <x v="106"/>
    <s v="QS0011227186"/>
    <x v="0"/>
    <s v="International"/>
    <m/>
    <s v="ALASG"/>
    <s v="Euronext Paris"/>
    <s v="Non-significant benchmark"/>
    <n v="0"/>
    <n v="0"/>
    <n v="0"/>
    <n v="0"/>
    <n v="0"/>
    <n v="0"/>
    <n v="0"/>
  </r>
  <r>
    <x v="528"/>
    <x v="106"/>
    <s v="QS0011227178"/>
    <x v="0"/>
    <s v="International"/>
    <m/>
    <s v="ALASN"/>
    <s v="Euronext Paris"/>
    <s v="Non-significant benchmark"/>
    <n v="0"/>
    <n v="0"/>
    <n v="0"/>
    <n v="0"/>
    <n v="0"/>
    <n v="0"/>
    <n v="0"/>
  </r>
  <r>
    <x v="529"/>
    <x v="106"/>
    <s v="QS0011194212"/>
    <x v="0"/>
    <s v="Industry"/>
    <m/>
    <s v="NAOII"/>
    <s v="Euronext Paris"/>
    <s v="Non-significant benchmark"/>
    <n v="0"/>
    <n v="0"/>
    <n v="0"/>
    <n v="0"/>
    <n v="0"/>
    <n v="0"/>
    <n v="0"/>
  </r>
  <r>
    <x v="530"/>
    <x v="106"/>
    <s v="QS0011194238"/>
    <x v="0"/>
    <s v="Industry"/>
    <m/>
    <s v="NAOIG"/>
    <s v="Euronext Paris"/>
    <s v="Non-significant benchmark"/>
    <n v="0"/>
    <n v="0"/>
    <n v="0"/>
    <n v="0"/>
    <n v="0"/>
    <n v="0"/>
    <n v="0"/>
  </r>
  <r>
    <x v="531"/>
    <x v="106"/>
    <s v="QS0011194220"/>
    <x v="0"/>
    <s v="Industry"/>
    <m/>
    <s v="NAOIN"/>
    <s v="Euronext Paris"/>
    <s v="Non-significant benchmark"/>
    <n v="0"/>
    <n v="0"/>
    <n v="0"/>
    <n v="0"/>
    <n v="0"/>
    <n v="0"/>
    <n v="0"/>
  </r>
  <r>
    <x v="532"/>
    <x v="107"/>
    <s v="NLIX00000983"/>
    <x v="0"/>
    <s v="Thematic"/>
    <m/>
    <s v="HSPCP"/>
    <s v="Euronext Paris"/>
    <s v="Non-significant benchmark"/>
    <n v="0"/>
    <n v="0"/>
    <n v="0"/>
    <n v="0"/>
    <n v="0"/>
    <n v="0"/>
    <n v="0"/>
  </r>
  <r>
    <x v="533"/>
    <x v="107"/>
    <s v="NLIX00001007"/>
    <x v="0"/>
    <s v="Thematic"/>
    <m/>
    <s v="HSPCG"/>
    <s v="Euronext Paris"/>
    <s v="Non-significant benchmark"/>
    <n v="0"/>
    <n v="0"/>
    <n v="0"/>
    <n v="0"/>
    <n v="0"/>
    <n v="0"/>
    <n v="0"/>
  </r>
  <r>
    <x v="534"/>
    <x v="107"/>
    <s v="NLIX00000991"/>
    <x v="0"/>
    <s v="Thematic"/>
    <m/>
    <s v="HSPCN"/>
    <s v="Euronext Paris"/>
    <s v="Non-significant benchmark"/>
    <n v="0"/>
    <n v="0"/>
    <n v="0"/>
    <n v="0"/>
    <n v="0"/>
    <n v="0"/>
    <n v="0"/>
  </r>
  <r>
    <x v="535"/>
    <x v="108"/>
    <s v="NLIX00000959"/>
    <x v="0"/>
    <s v="Thematic"/>
    <m/>
    <s v="HSPAP"/>
    <s v="Euronext Paris"/>
    <s v="Non-significant benchmark"/>
    <n v="0"/>
    <n v="0"/>
    <n v="0"/>
    <n v="0"/>
    <n v="0"/>
    <n v="0"/>
    <n v="0"/>
  </r>
  <r>
    <x v="536"/>
    <x v="108"/>
    <s v="NLIX00000975"/>
    <x v="0"/>
    <s v="Thematic"/>
    <m/>
    <s v="HSPAG"/>
    <s v="Euronext Paris"/>
    <s v="Non-significant benchmark"/>
    <n v="0"/>
    <n v="0"/>
    <n v="0"/>
    <n v="0"/>
    <n v="0"/>
    <n v="0"/>
    <n v="0"/>
  </r>
  <r>
    <x v="537"/>
    <x v="108"/>
    <s v="NLIX00000967"/>
    <x v="0"/>
    <s v="Thematic"/>
    <m/>
    <s v="HSPAN"/>
    <s v="Euronext Paris"/>
    <s v="Non-significant benchmark"/>
    <n v="0"/>
    <n v="0"/>
    <n v="0"/>
    <n v="0"/>
    <n v="0"/>
    <n v="0"/>
    <n v="0"/>
  </r>
  <r>
    <x v="538"/>
    <x v="109"/>
    <s v="FRESG0000181"/>
    <x v="1"/>
    <s v="Climate;Environmental"/>
    <s v="ESG Other"/>
    <s v="JPCLA"/>
    <s v="Euronext Paris"/>
    <s v="Non-significant benchmark"/>
    <n v="0"/>
    <n v="0"/>
    <n v="0"/>
    <n v="0"/>
    <n v="0"/>
    <n v="0"/>
    <n v="0"/>
  </r>
  <r>
    <x v="539"/>
    <x v="109"/>
    <s v="FRESG0000215"/>
    <x v="1"/>
    <s v="Climate;Environmental"/>
    <s v="ESG Other"/>
    <s v="JPCLE"/>
    <s v="Euronext Paris"/>
    <s v="Non-significant benchmark"/>
    <n v="0"/>
    <n v="0"/>
    <n v="0"/>
    <n v="0"/>
    <n v="0"/>
    <n v="0"/>
    <n v="0"/>
  </r>
  <r>
    <x v="540"/>
    <x v="109"/>
    <s v="FRESG0000199"/>
    <x v="1"/>
    <s v="Climate;Environmental"/>
    <s v="ESG Other"/>
    <s v="JPCLG"/>
    <s v="Euronext Paris"/>
    <s v="Non-significant benchmark"/>
    <n v="0"/>
    <n v="0"/>
    <n v="0"/>
    <n v="0"/>
    <n v="0"/>
    <n v="0"/>
    <n v="0"/>
  </r>
  <r>
    <x v="541"/>
    <x v="109"/>
    <s v="FRESG0000223"/>
    <x v="1"/>
    <s v="Climate;Environmental"/>
    <s v="ESG Other"/>
    <s v="JPCEG"/>
    <s v="Euronext Paris"/>
    <s v="Non-significant benchmark"/>
    <n v="0"/>
    <n v="0"/>
    <n v="0"/>
    <n v="0"/>
    <n v="0"/>
    <n v="0"/>
    <n v="0"/>
  </r>
  <r>
    <x v="542"/>
    <x v="109"/>
    <s v="FRESG0000207"/>
    <x v="1"/>
    <s v="Climate;Environmental"/>
    <s v="ESG Other"/>
    <s v="JPCLN"/>
    <s v="Euronext Paris"/>
    <s v="Non-significant benchmark"/>
    <n v="0"/>
    <n v="0"/>
    <n v="0"/>
    <n v="0"/>
    <n v="0"/>
    <n v="0"/>
    <n v="0"/>
  </r>
  <r>
    <x v="543"/>
    <x v="109"/>
    <s v="FRESG0000231"/>
    <x v="1"/>
    <s v="Climate;Environmental"/>
    <s v="ESG Other"/>
    <s v="JPCEN"/>
    <s v="Euronext Paris"/>
    <s v="Non-significant benchmark"/>
    <n v="0"/>
    <n v="0"/>
    <n v="0"/>
    <n v="0"/>
    <n v="0"/>
    <n v="0"/>
    <n v="0"/>
  </r>
  <r>
    <x v="544"/>
    <x v="110"/>
    <s v="FR0013522554"/>
    <x v="1"/>
    <s v="Climate;PAB"/>
    <s v="PAB"/>
    <s v="LC1EP"/>
    <s v="Euronext Paris"/>
    <s v="Non-significant benchmark"/>
    <n v="0"/>
    <n v="0"/>
    <n v="0"/>
    <n v="0"/>
    <n v="0"/>
    <n v="0"/>
    <n v="0"/>
  </r>
  <r>
    <x v="545"/>
    <x v="110"/>
    <s v="FR0013522570"/>
    <x v="1"/>
    <s v="Climate;PAB"/>
    <s v="PAB"/>
    <s v="LC1EG"/>
    <s v="Euronext Paris"/>
    <s v="Non-significant benchmark"/>
    <n v="0"/>
    <n v="0"/>
    <n v="0"/>
    <n v="0"/>
    <n v="0"/>
    <n v="0"/>
    <n v="0"/>
  </r>
  <r>
    <x v="546"/>
    <x v="110"/>
    <s v="FR0013522562"/>
    <x v="1"/>
    <s v="Climate;PAB"/>
    <s v="PAB"/>
    <s v="LC1EZ"/>
    <s v="Euronext Paris"/>
    <s v="Non-significant benchmark"/>
    <n v="0"/>
    <n v="0"/>
    <n v="0"/>
    <n v="15660477"/>
    <n v="0"/>
    <n v="0"/>
    <n v="15660477"/>
  </r>
  <r>
    <x v="547"/>
    <x v="111"/>
    <s v="FRESG0000173"/>
    <x v="1"/>
    <s v="Climate;PAB"/>
    <s v="PAB"/>
    <s v="LC3WD"/>
    <s v="Euronext Paris"/>
    <s v="Non-significant benchmark"/>
    <n v="0"/>
    <n v="0"/>
    <n v="68524063.584000006"/>
    <n v="0"/>
    <n v="0"/>
    <n v="0"/>
    <n v="68524063.584000006"/>
  </r>
  <r>
    <x v="548"/>
    <x v="111"/>
    <s v="FR0013522588"/>
    <x v="1"/>
    <s v="Climate;PAB"/>
    <s v="PAB"/>
    <s v="LC3WP"/>
    <s v="Euronext Paris"/>
    <s v="Non-significant benchmark"/>
    <n v="0"/>
    <n v="0"/>
    <n v="0"/>
    <n v="67032997"/>
    <n v="0"/>
    <n v="0"/>
    <n v="67032997"/>
  </r>
  <r>
    <x v="549"/>
    <x v="111"/>
    <s v="FR0013522604"/>
    <x v="1"/>
    <s v="Climate;PAB"/>
    <s v="PAB"/>
    <s v="LC3WG"/>
    <s v="Euronext Paris"/>
    <s v="Non-significant benchmark"/>
    <n v="0"/>
    <n v="0"/>
    <n v="0"/>
    <n v="0"/>
    <n v="0"/>
    <n v="0"/>
    <n v="0"/>
  </r>
  <r>
    <x v="550"/>
    <x v="111"/>
    <s v="FR0013522596"/>
    <x v="1"/>
    <s v="Climate;PAB"/>
    <s v="PAB"/>
    <s v="LC3W"/>
    <s v="Euronext Paris"/>
    <s v="Non-significant benchmark"/>
    <n v="0"/>
    <n v="0"/>
    <n v="0"/>
    <n v="0"/>
    <n v="0"/>
    <n v="0"/>
    <n v="0"/>
  </r>
  <r>
    <x v="551"/>
    <x v="112"/>
    <s v="FRESG0000934"/>
    <x v="0"/>
    <s v="Thematic"/>
    <m/>
    <s v="NHWPR"/>
    <s v="Euronext Paris"/>
    <s v="Non-significant benchmark"/>
    <n v="0"/>
    <n v="0"/>
    <n v="0"/>
    <n v="0"/>
    <n v="0"/>
    <n v="0"/>
    <n v="0"/>
  </r>
  <r>
    <x v="552"/>
    <x v="112"/>
    <s v="FRESG0000959"/>
    <x v="0"/>
    <s v="Thematic"/>
    <m/>
    <s v="NHWGR"/>
    <s v="Euronext Paris"/>
    <s v="Non-significant benchmark"/>
    <n v="0"/>
    <n v="0"/>
    <n v="0"/>
    <n v="0"/>
    <n v="0"/>
    <n v="0"/>
    <n v="0"/>
  </r>
  <r>
    <x v="553"/>
    <x v="112"/>
    <s v="FRESG0000942"/>
    <x v="0"/>
    <s v="Thematic"/>
    <m/>
    <s v="NHWNR"/>
    <s v="Euronext Paris"/>
    <s v="Non-significant benchmark"/>
    <n v="0"/>
    <n v="0"/>
    <n v="0"/>
    <n v="0"/>
    <n v="0"/>
    <n v="0"/>
    <n v="0"/>
  </r>
  <r>
    <x v="554"/>
    <x v="113"/>
    <s v="FRESG0000967"/>
    <x v="0"/>
    <s v="Thematic"/>
    <m/>
    <s v="NW3WP"/>
    <s v="Euronext Paris"/>
    <s v="Non-significant benchmark"/>
    <n v="0"/>
    <n v="0"/>
    <n v="0"/>
    <n v="0"/>
    <n v="0"/>
    <n v="0"/>
    <n v="0"/>
  </r>
  <r>
    <x v="555"/>
    <x v="113"/>
    <s v="FRESG0000983"/>
    <x v="0"/>
    <s v="Thematic"/>
    <m/>
    <s v="NW3WG"/>
    <s v="Euronext Paris"/>
    <s v="Non-significant benchmark"/>
    <n v="0"/>
    <n v="0"/>
    <n v="0"/>
    <n v="0"/>
    <n v="0"/>
    <n v="0"/>
    <n v="0"/>
  </r>
  <r>
    <x v="556"/>
    <x v="113"/>
    <s v="FRESG0000975"/>
    <x v="0"/>
    <s v="Thematic"/>
    <m/>
    <s v="NW3WN"/>
    <s v="Euronext Paris"/>
    <s v="Non-significant benchmark"/>
    <n v="0"/>
    <n v="0"/>
    <n v="0"/>
    <n v="0"/>
    <n v="0"/>
    <n v="0"/>
    <n v="0"/>
  </r>
  <r>
    <x v="557"/>
    <x v="114"/>
    <s v="NL0015436114"/>
    <x v="0"/>
    <s v="International"/>
    <m/>
    <s v="NA500"/>
    <s v="Euronext Amsterdam"/>
    <s v="Non-significant benchmark"/>
    <n v="0"/>
    <n v="0"/>
    <n v="0"/>
    <n v="0"/>
    <n v="0"/>
    <n v="0"/>
    <n v="0"/>
  </r>
  <r>
    <x v="558"/>
    <x v="114"/>
    <s v="NL0015436130"/>
    <x v="0"/>
    <s v="International"/>
    <m/>
    <s v="NA5GR"/>
    <s v="Euronext Amsterdam"/>
    <s v="Non-significant benchmark"/>
    <n v="0"/>
    <n v="0"/>
    <n v="0"/>
    <n v="0"/>
    <n v="0"/>
    <n v="0"/>
    <n v="0"/>
  </r>
  <r>
    <x v="559"/>
    <x v="114"/>
    <s v="NL0015436122"/>
    <x v="0"/>
    <s v="International"/>
    <m/>
    <s v="NA5NR"/>
    <s v="Euronext Amsterdam"/>
    <s v="Non-significant benchmark"/>
    <n v="0"/>
    <n v="0"/>
    <n v="0"/>
    <n v="0"/>
    <n v="0"/>
    <n v="0"/>
    <n v="0"/>
  </r>
  <r>
    <x v="560"/>
    <x v="115"/>
    <s v="FRESG0000777"/>
    <x v="1"/>
    <s v="Water"/>
    <s v="ESG Other"/>
    <s v="PIWEP"/>
    <s v="Euronext Paris"/>
    <s v="Non-significant benchmark"/>
    <n v="0"/>
    <n v="0"/>
    <n v="0"/>
    <n v="0"/>
    <n v="0"/>
    <n v="0"/>
    <n v="0"/>
  </r>
  <r>
    <x v="561"/>
    <x v="115"/>
    <s v="FRESG0000793"/>
    <x v="1"/>
    <s v="Water"/>
    <s v="ESG Other"/>
    <s v="PIWEG"/>
    <s v="Euronext Paris"/>
    <s v="Non-significant benchmark"/>
    <n v="0"/>
    <n v="0"/>
    <n v="0"/>
    <n v="0"/>
    <n v="0"/>
    <n v="0"/>
    <n v="0"/>
  </r>
  <r>
    <x v="562"/>
    <x v="115"/>
    <s v="FRESG0000785"/>
    <x v="1"/>
    <s v="Water"/>
    <s v="ESG Other"/>
    <s v="PIWEN"/>
    <s v="Euronext Paris"/>
    <s v="Non-significant benchmark"/>
    <n v="0"/>
    <n v="0"/>
    <n v="0"/>
    <n v="0"/>
    <n v="0"/>
    <n v="0"/>
    <n v="0"/>
  </r>
  <r>
    <x v="563"/>
    <x v="116"/>
    <s v="FRESG0000801"/>
    <x v="1"/>
    <s v="Water"/>
    <s v="ESG Other"/>
    <s v="PIWWP"/>
    <s v="Euronext Paris"/>
    <s v="Non-significant benchmark"/>
    <n v="0"/>
    <n v="0"/>
    <n v="0"/>
    <n v="0"/>
    <n v="0"/>
    <n v="0"/>
    <n v="0"/>
  </r>
  <r>
    <x v="564"/>
    <x v="116"/>
    <s v="FRESG0000827"/>
    <x v="1"/>
    <s v="Water"/>
    <s v="ESG Other"/>
    <s v="PIWWG"/>
    <s v="Euronext Paris"/>
    <s v="Non-significant benchmark"/>
    <n v="0"/>
    <n v="0"/>
    <n v="0"/>
    <n v="0"/>
    <n v="0"/>
    <n v="0"/>
    <n v="0"/>
  </r>
  <r>
    <x v="565"/>
    <x v="116"/>
    <s v="FRESG0000819"/>
    <x v="1"/>
    <s v="Water"/>
    <s v="ESG Other"/>
    <s v="PIWWN"/>
    <s v="Euronext Paris"/>
    <s v="Non-significant benchmark"/>
    <n v="0"/>
    <n v="0"/>
    <n v="0"/>
    <n v="0"/>
    <n v="0"/>
    <n v="0"/>
    <n v="0"/>
  </r>
  <r>
    <x v="566"/>
    <x v="117"/>
    <s v="NL0012645253"/>
    <x v="0"/>
    <s v="International"/>
    <m/>
    <s v="ERGBD"/>
    <s v="Euronext Paris"/>
    <s v="Non-significant benchmark"/>
    <n v="0"/>
    <n v="0"/>
    <n v="0"/>
    <n v="0"/>
    <n v="0"/>
    <n v="0"/>
    <n v="0"/>
  </r>
  <r>
    <x v="567"/>
    <x v="117"/>
    <s v="NL0012645220"/>
    <x v="0"/>
    <s v="International"/>
    <m/>
    <s v="ERGCD"/>
    <s v="Euronext Paris"/>
    <s v="Non-significant benchmark"/>
    <n v="88.801788999999999"/>
    <n v="0"/>
    <n v="0"/>
    <n v="0"/>
    <n v="0"/>
    <n v="0"/>
    <n v="88.801788999999999"/>
  </r>
  <r>
    <x v="568"/>
    <x v="117"/>
    <s v="NL0012645238"/>
    <x v="0"/>
    <s v="International"/>
    <m/>
    <s v="ERGBP"/>
    <s v="Euronext Paris"/>
    <s v="Non-significant benchmark"/>
    <n v="17974689.25"/>
    <n v="38188000"/>
    <n v="0"/>
    <n v="0"/>
    <n v="0"/>
    <n v="0"/>
    <n v="17974689.25"/>
  </r>
  <r>
    <x v="569"/>
    <x v="117"/>
    <s v="NL0012645246"/>
    <x v="0"/>
    <s v="International"/>
    <m/>
    <s v="ERGBN"/>
    <s v="Euronext Paris"/>
    <s v="Non-significant benchmark"/>
    <n v="0"/>
    <n v="0"/>
    <n v="0"/>
    <n v="0"/>
    <n v="0"/>
    <n v="0"/>
    <n v="0"/>
  </r>
  <r>
    <x v="570"/>
    <x v="117"/>
    <s v="NL0012747018"/>
    <x v="0"/>
    <s v="International"/>
    <m/>
    <s v="GB10C"/>
    <s v="Euronext Paris"/>
    <s v="Non-significant benchmark"/>
    <n v="0"/>
    <n v="0"/>
    <n v="0"/>
    <n v="0"/>
    <n v="0"/>
    <n v="0"/>
    <n v="0"/>
  </r>
  <r>
    <x v="571"/>
    <x v="117"/>
    <s v="NL0012747026"/>
    <x v="0"/>
    <s v="International"/>
    <m/>
    <s v="GB10D"/>
    <s v="Euronext Paris"/>
    <s v="Non-significant benchmark"/>
    <n v="0"/>
    <n v="0"/>
    <n v="0"/>
    <n v="0"/>
    <n v="0"/>
    <n v="0"/>
    <n v="0"/>
  </r>
  <r>
    <x v="572"/>
    <x v="117"/>
    <s v="NL0012747034"/>
    <x v="0"/>
    <s v="International"/>
    <m/>
    <s v="GB12C"/>
    <s v="Euronext Paris"/>
    <s v="Non-significant benchmark"/>
    <n v="0"/>
    <n v="0"/>
    <n v="0"/>
    <n v="0"/>
    <n v="0"/>
    <n v="0"/>
    <n v="0"/>
  </r>
  <r>
    <x v="573"/>
    <x v="117"/>
    <s v="NL0012747042"/>
    <x v="0"/>
    <s v="International"/>
    <m/>
    <s v="GB12D"/>
    <s v="Euronext Paris"/>
    <s v="Non-significant benchmark"/>
    <n v="0"/>
    <n v="0"/>
    <n v="0"/>
    <n v="0"/>
    <n v="0"/>
    <n v="0"/>
    <n v="0"/>
  </r>
  <r>
    <x v="574"/>
    <x v="117"/>
    <s v="NL0012645204"/>
    <x v="0"/>
    <s v="International"/>
    <m/>
    <s v="ERGCP"/>
    <s v="Euronext Paris"/>
    <s v="Non-significant benchmark"/>
    <n v="0"/>
    <n v="0"/>
    <n v="0"/>
    <n v="0"/>
    <n v="0"/>
    <n v="0"/>
    <n v="0"/>
  </r>
  <r>
    <x v="575"/>
    <x v="117"/>
    <s v="NL0012645212"/>
    <x v="0"/>
    <s v="International"/>
    <m/>
    <s v="ERGCN"/>
    <s v="Euronext Paris"/>
    <s v="Non-significant benchmark"/>
    <n v="0"/>
    <n v="0"/>
    <n v="0"/>
    <n v="0"/>
    <n v="0"/>
    <n v="0"/>
    <n v="0"/>
  </r>
  <r>
    <x v="576"/>
    <x v="118"/>
    <s v="NL0012838809"/>
    <x v="1"/>
    <s v="Broad ESG"/>
    <s v="ESG Other"/>
    <s v="ERGSP"/>
    <s v="Euronext Paris"/>
    <s v="Non-significant benchmark"/>
    <n v="23295721"/>
    <n v="355813953.48799998"/>
    <n v="0"/>
    <n v="0"/>
    <n v="0"/>
    <n v="0"/>
    <n v="23295721"/>
  </r>
  <r>
    <x v="577"/>
    <x v="118"/>
    <s v="NL0012939078"/>
    <x v="1"/>
    <s v="Broad ESG"/>
    <s v="ESG Other"/>
    <s v="ERGSD"/>
    <s v="Euronext Paris"/>
    <s v="Non-significant benchmark"/>
    <n v="25877930.300000001"/>
    <n v="0"/>
    <n v="2017038.9684000001"/>
    <n v="0"/>
    <n v="0"/>
    <n v="0"/>
    <n v="25877930.300000001"/>
  </r>
  <r>
    <x v="578"/>
    <x v="118"/>
    <s v="NL0012939060"/>
    <x v="1"/>
    <s v="Broad ESG"/>
    <s v="ESG Other"/>
    <s v="ERGSN"/>
    <s v="Euronext Paris"/>
    <s v="Non-significant benchmark"/>
    <n v="0"/>
    <n v="0"/>
    <n v="0"/>
    <n v="0"/>
    <n v="0"/>
    <n v="0"/>
    <n v="0"/>
  </r>
  <r>
    <x v="579"/>
    <x v="119"/>
    <s v="NL0013217730"/>
    <x v="1"/>
    <s v="Broad ESG"/>
    <s v="ESG Other"/>
    <s v="ERI5P"/>
    <s v="Euronext Paris"/>
    <s v="Non-significant benchmark"/>
    <n v="0"/>
    <n v="0"/>
    <n v="0"/>
    <n v="0"/>
    <n v="0"/>
    <n v="0"/>
    <n v="0"/>
  </r>
  <r>
    <x v="580"/>
    <x v="119"/>
    <s v="NL0013217763"/>
    <x v="1"/>
    <s v="Broad ESG"/>
    <s v="ESG Other"/>
    <s v="ERI5E"/>
    <s v="Euronext Paris"/>
    <s v="Non-significant benchmark"/>
    <n v="0"/>
    <n v="0"/>
    <n v="0"/>
    <n v="0"/>
    <n v="0"/>
    <n v="0"/>
    <n v="0"/>
  </r>
  <r>
    <x v="581"/>
    <x v="119"/>
    <s v="NL0013217755"/>
    <x v="1"/>
    <s v="Broad ESG"/>
    <s v="ESG Other"/>
    <s v="ERI5G"/>
    <s v="Euronext Paris"/>
    <s v="Non-significant benchmark"/>
    <n v="0"/>
    <n v="0"/>
    <n v="0"/>
    <n v="0"/>
    <n v="0"/>
    <n v="0"/>
    <n v="0"/>
  </r>
  <r>
    <x v="582"/>
    <x v="119"/>
    <s v="NL0013217748"/>
    <x v="1"/>
    <s v="Broad ESG"/>
    <s v="ESG Other"/>
    <s v="ERI5N"/>
    <s v="Euronext Paris"/>
    <s v="Non-significant benchmark"/>
    <n v="0"/>
    <n v="0"/>
    <n v="0"/>
    <n v="0"/>
    <n v="0"/>
    <n v="0"/>
    <n v="0"/>
  </r>
  <r>
    <x v="583"/>
    <x v="120"/>
    <s v="FRIX00000516"/>
    <x v="0"/>
    <s v="Single Stock"/>
    <m/>
    <s v="SBBG"/>
    <s v="Euronext Paris"/>
    <s v="Non-significant benchmark"/>
    <n v="0"/>
    <n v="0"/>
    <n v="0"/>
    <n v="0"/>
    <n v="0"/>
    <n v="0"/>
    <n v="0"/>
  </r>
  <r>
    <x v="584"/>
    <x v="120"/>
    <s v="FRIX00000524"/>
    <x v="0"/>
    <s v="Single Stock"/>
    <m/>
    <s v="SBBD"/>
    <s v="Euronext Paris"/>
    <s v="Non-significant benchmark"/>
    <n v="0"/>
    <n v="0"/>
    <n v="0"/>
    <n v="0"/>
    <n v="0"/>
    <n v="0"/>
    <n v="0"/>
  </r>
  <r>
    <x v="585"/>
    <x v="120"/>
    <s v="FRIX00000508"/>
    <x v="0"/>
    <s v="Single Stock"/>
    <m/>
    <s v="SBBP"/>
    <s v="Euronext Paris"/>
    <s v="Non-significant benchmark"/>
    <n v="0"/>
    <n v="0"/>
    <n v="0"/>
    <n v="0"/>
    <n v="0"/>
    <n v="0"/>
    <n v="0"/>
  </r>
  <r>
    <x v="586"/>
    <x v="120"/>
    <s v="FRIX00000458"/>
    <x v="0"/>
    <s v="Single Stock"/>
    <m/>
    <s v="SBENG"/>
    <s v="Euronext Paris"/>
    <s v="Non-significant benchmark"/>
    <n v="0"/>
    <n v="0"/>
    <n v="0"/>
    <n v="0"/>
    <n v="0"/>
    <n v="0"/>
    <n v="0"/>
  </r>
  <r>
    <x v="587"/>
    <x v="120"/>
    <s v="FRIX00000466"/>
    <x v="0"/>
    <s v="Single Stock"/>
    <m/>
    <s v="SBEND"/>
    <s v="Euronext Paris"/>
    <s v="Non-significant benchmark"/>
    <n v="0"/>
    <n v="0"/>
    <n v="0"/>
    <n v="0"/>
    <n v="0"/>
    <n v="0"/>
    <n v="0"/>
  </r>
  <r>
    <x v="588"/>
    <x v="120"/>
    <s v="FRIX00000441"/>
    <x v="0"/>
    <s v="Single Stock"/>
    <m/>
    <s v="SBENP"/>
    <s v="Euronext Paris"/>
    <s v="Non-significant benchmark"/>
    <n v="0"/>
    <n v="0"/>
    <n v="0"/>
    <n v="0"/>
    <n v="0"/>
    <n v="0"/>
    <n v="0"/>
  </r>
  <r>
    <x v="589"/>
    <x v="120"/>
    <s v="FRIX00000482"/>
    <x v="0"/>
    <s v="Single Stock"/>
    <m/>
    <s v="SBO1G"/>
    <s v="Euronext Paris"/>
    <s v="Non-significant benchmark"/>
    <n v="0"/>
    <n v="0"/>
    <n v="0"/>
    <n v="0"/>
    <n v="0"/>
    <n v="0"/>
    <n v="0"/>
  </r>
  <r>
    <x v="590"/>
    <x v="120"/>
    <s v="FRIX00000490"/>
    <x v="0"/>
    <s v="Single Stock"/>
    <m/>
    <s v="SBO1D"/>
    <s v="Euronext Paris"/>
    <s v="Non-significant benchmark"/>
    <n v="0"/>
    <n v="0"/>
    <n v="0"/>
    <n v="0"/>
    <n v="0"/>
    <n v="0"/>
    <n v="0"/>
  </r>
  <r>
    <x v="591"/>
    <x v="120"/>
    <s v="FRIX00000474"/>
    <x v="0"/>
    <s v="Single Stock"/>
    <m/>
    <s v="SBO1P"/>
    <s v="Euronext Paris"/>
    <s v="Non-significant benchmark"/>
    <n v="0"/>
    <n v="0"/>
    <n v="0"/>
    <n v="0"/>
    <n v="0"/>
    <n v="0"/>
    <n v="0"/>
  </r>
  <r>
    <x v="592"/>
    <x v="120"/>
    <s v="FRIX00000367"/>
    <x v="0"/>
    <s v="Single Stock"/>
    <m/>
    <s v="SCS1G"/>
    <s v="Euronext Paris"/>
    <s v="Non-significant benchmark"/>
    <n v="0"/>
    <n v="0"/>
    <n v="0"/>
    <n v="0"/>
    <n v="0"/>
    <n v="0"/>
    <n v="0"/>
  </r>
  <r>
    <x v="593"/>
    <x v="120"/>
    <s v="FRIX00000375"/>
    <x v="0"/>
    <s v="Single Stock"/>
    <m/>
    <s v="SCS1D"/>
    <s v="Euronext Paris"/>
    <s v="Non-significant benchmark"/>
    <n v="0"/>
    <n v="0"/>
    <n v="0"/>
    <n v="0"/>
    <n v="0"/>
    <n v="0"/>
    <n v="0"/>
  </r>
  <r>
    <x v="594"/>
    <x v="120"/>
    <s v="FRIX00000359"/>
    <x v="0"/>
    <s v="Single Stock"/>
    <m/>
    <s v="SCS1P"/>
    <s v="Euronext Paris"/>
    <s v="Non-significant benchmark"/>
    <n v="0"/>
    <n v="0"/>
    <n v="0"/>
    <n v="0"/>
    <n v="0"/>
    <n v="0"/>
    <n v="0"/>
  </r>
  <r>
    <x v="595"/>
    <x v="120"/>
    <s v="FRIX00000219"/>
    <x v="0"/>
    <s v="Single Stock"/>
    <m/>
    <s v="SGA1G"/>
    <s v="Euronext Paris"/>
    <s v="Non-significant benchmark"/>
    <n v="0"/>
    <n v="0"/>
    <n v="0"/>
    <n v="0"/>
    <n v="0"/>
    <n v="0"/>
    <n v="0"/>
  </r>
  <r>
    <x v="596"/>
    <x v="120"/>
    <s v="FRIX00000227"/>
    <x v="0"/>
    <s v="Single Stock"/>
    <m/>
    <s v="SGA1D"/>
    <s v="Euronext Paris"/>
    <s v="Non-significant benchmark"/>
    <n v="559137.69999999995"/>
    <n v="0"/>
    <n v="4973520.7439999999"/>
    <n v="0"/>
    <n v="0"/>
    <n v="0"/>
    <n v="4973520.7439999999"/>
  </r>
  <r>
    <x v="597"/>
    <x v="120"/>
    <s v="FRIX00000201"/>
    <x v="0"/>
    <s v="Single Stock"/>
    <m/>
    <s v="SGA1P"/>
    <s v="Euronext Paris"/>
    <s v="Non-significant benchmark"/>
    <n v="0"/>
    <n v="0"/>
    <n v="0"/>
    <n v="0"/>
    <n v="0"/>
    <n v="0"/>
    <n v="0"/>
  </r>
  <r>
    <x v="598"/>
    <x v="120"/>
    <s v="FRIX00000276"/>
    <x v="0"/>
    <s v="Single Stock"/>
    <m/>
    <s v="SGB2G"/>
    <s v="Euronext Paris"/>
    <s v="Non-significant benchmark"/>
    <n v="0"/>
    <n v="0"/>
    <n v="0"/>
    <n v="0"/>
    <n v="0"/>
    <n v="0"/>
    <n v="0"/>
  </r>
  <r>
    <x v="599"/>
    <x v="120"/>
    <s v="FRIX00000243"/>
    <x v="0"/>
    <s v="Single Stock"/>
    <m/>
    <s v="SGB1G"/>
    <s v="Euronext Paris"/>
    <s v="Non-significant benchmark"/>
    <n v="0"/>
    <n v="0"/>
    <n v="0"/>
    <n v="0"/>
    <n v="0"/>
    <n v="0"/>
    <n v="0"/>
  </r>
  <r>
    <x v="600"/>
    <x v="120"/>
    <s v="FRIX00000284"/>
    <x v="0"/>
    <s v="Single Stock"/>
    <m/>
    <s v="SGB2D"/>
    <s v="Euronext Paris"/>
    <s v="Non-significant benchmark"/>
    <n v="3525015.3997670002"/>
    <n v="90000000"/>
    <n v="22390053.571600001"/>
    <n v="0"/>
    <n v="0"/>
    <n v="0"/>
    <n v="22390053.571600001"/>
  </r>
  <r>
    <x v="601"/>
    <x v="120"/>
    <s v="FRIX00000250"/>
    <x v="0"/>
    <s v="Single Stock"/>
    <m/>
    <s v="SGB1D"/>
    <s v="Euronext Paris"/>
    <s v="Non-significant benchmark"/>
    <n v="1963827.5"/>
    <n v="35000000"/>
    <n v="25153120.6516"/>
    <n v="0"/>
    <n v="0"/>
    <n v="0"/>
    <n v="25153120.6516"/>
  </r>
  <r>
    <x v="602"/>
    <x v="120"/>
    <s v="FRIX00000268"/>
    <x v="0"/>
    <s v="Single Stock"/>
    <m/>
    <s v="SGB2P"/>
    <s v="Euronext Paris"/>
    <s v="Non-significant benchmark"/>
    <n v="0"/>
    <n v="0"/>
    <n v="0"/>
    <n v="0"/>
    <n v="0"/>
    <n v="0"/>
    <n v="0"/>
  </r>
  <r>
    <x v="603"/>
    <x v="120"/>
    <s v="FRIX00000235"/>
    <x v="0"/>
    <s v="Single Stock"/>
    <m/>
    <s v="SGB1P"/>
    <s v="Euronext Paris"/>
    <s v="Non-significant benchmark"/>
    <n v="0"/>
    <n v="0"/>
    <n v="0"/>
    <n v="0"/>
    <n v="0"/>
    <n v="0"/>
    <n v="0"/>
  </r>
  <r>
    <x v="604"/>
    <x v="120"/>
    <s v="FRIX00002421"/>
    <x v="0"/>
    <s v="Single Stock"/>
    <m/>
    <s v="SGB4D"/>
    <s v="Euronext Paris"/>
    <s v="Non-significant benchmark"/>
    <n v="29863515.700463999"/>
    <n v="360000000"/>
    <n v="59930924.965199992"/>
    <n v="0"/>
    <n v="0"/>
    <n v="0"/>
    <n v="59930924.965199992"/>
  </r>
  <r>
    <x v="605"/>
    <x v="120"/>
    <s v="FRIX00002488"/>
    <x v="0"/>
    <s v="Single Stock"/>
    <m/>
    <s v="SGB5D"/>
    <s v="Euronext Paris"/>
    <s v="Non-significant benchmark"/>
    <n v="7440312.5"/>
    <n v="155000000"/>
    <n v="38213217.716400005"/>
    <m/>
    <m/>
    <m/>
    <m/>
  </r>
  <r>
    <x v="606"/>
    <x v="120"/>
    <s v="FRIX00000177"/>
    <x v="0"/>
    <s v="Single Stock"/>
    <m/>
    <s v="SGBG"/>
    <s v="Euronext Paris"/>
    <s v="Non-significant benchmark"/>
    <n v="0"/>
    <n v="0"/>
    <n v="0"/>
    <n v="0"/>
    <n v="0"/>
    <n v="0"/>
    <n v="0"/>
  </r>
  <r>
    <x v="607"/>
    <x v="120"/>
    <s v="FRIX00000185"/>
    <x v="0"/>
    <s v="Single Stock"/>
    <m/>
    <s v="SGBD"/>
    <s v="Euronext Paris"/>
    <s v="Non-significant benchmark"/>
    <n v="187700"/>
    <n v="30000000"/>
    <n v="3030163.5644"/>
    <n v="0"/>
    <n v="0"/>
    <n v="0"/>
    <n v="3030163.5644"/>
  </r>
  <r>
    <x v="608"/>
    <x v="120"/>
    <s v="FRIX00000169"/>
    <x v="0"/>
    <s v="Single Stock"/>
    <m/>
    <s v="SGBP"/>
    <s v="Euronext Paris"/>
    <s v="Non-significant benchmark"/>
    <n v="0"/>
    <n v="0"/>
    <n v="0"/>
    <n v="0"/>
    <n v="0"/>
    <n v="0"/>
    <n v="0"/>
  </r>
  <r>
    <x v="609"/>
    <x v="120"/>
    <s v="FRIX00000573"/>
    <x v="0"/>
    <s v="Single Stock"/>
    <m/>
    <s v="SGCAG"/>
    <s v="Euronext Paris"/>
    <s v="Non-significant benchmark"/>
    <n v="0"/>
    <n v="0"/>
    <n v="0"/>
    <n v="0"/>
    <n v="0"/>
    <n v="0"/>
    <n v="0"/>
  </r>
  <r>
    <x v="610"/>
    <x v="120"/>
    <s v="FRIX00000581"/>
    <x v="0"/>
    <s v="Single Stock"/>
    <m/>
    <s v="SGCAD"/>
    <s v="Euronext Paris"/>
    <s v="Non-significant benchmark"/>
    <n v="40044619.100000001"/>
    <n v="15000000"/>
    <n v="102215061.51280001"/>
    <n v="0"/>
    <n v="0"/>
    <n v="0"/>
    <n v="102215061.51280001"/>
  </r>
  <r>
    <x v="611"/>
    <x v="120"/>
    <s v="FRIX00000565"/>
    <x v="0"/>
    <s v="Single Stock"/>
    <m/>
    <s v="SGCAP"/>
    <s v="Euronext Paris"/>
    <s v="Non-significant benchmark"/>
    <n v="0"/>
    <n v="600000000"/>
    <n v="0"/>
    <n v="0"/>
    <n v="0"/>
    <n v="0"/>
    <n v="600000000"/>
  </r>
  <r>
    <x v="612"/>
    <x v="120"/>
    <s v="FRIX00001019"/>
    <x v="0"/>
    <s v="Single Stock"/>
    <m/>
    <s v="SGC1G"/>
    <s v="Euronext Paris"/>
    <s v="Non-significant benchmark"/>
    <n v="0"/>
    <n v="0"/>
    <n v="0"/>
    <n v="0"/>
    <n v="0"/>
    <n v="0"/>
    <n v="0"/>
  </r>
  <r>
    <x v="613"/>
    <x v="120"/>
    <s v="FRIX00001027"/>
    <x v="0"/>
    <s v="Single Stock"/>
    <m/>
    <s v="SGC1D"/>
    <s v="Euronext Paris"/>
    <s v="Non-significant benchmark"/>
    <n v="32313528.788723998"/>
    <n v="85000000"/>
    <n v="76444855.88000001"/>
    <n v="0"/>
    <n v="0"/>
    <n v="0"/>
    <n v="76444855.88000001"/>
  </r>
  <r>
    <x v="614"/>
    <x v="120"/>
    <s v="FRIX00001001"/>
    <x v="0"/>
    <s v="Single Stock"/>
    <m/>
    <s v="SGC1P"/>
    <s v="Euronext Paris"/>
    <s v="Non-significant benchmark"/>
    <n v="0"/>
    <n v="0"/>
    <n v="0"/>
    <n v="0"/>
    <n v="0"/>
    <n v="0"/>
    <n v="0"/>
  </r>
  <r>
    <x v="615"/>
    <x v="120"/>
    <s v="FRIX00002546"/>
    <x v="0"/>
    <s v="Single Stock"/>
    <m/>
    <s v="SGA4D"/>
    <s v="Euronext Paris"/>
    <s v="Non-significant benchmark"/>
    <n v="187884319.36952901"/>
    <n v="1205000000"/>
    <n v="283656466.43279999"/>
    <n v="0"/>
    <n v="0"/>
    <n v="0"/>
    <n v="283656466.43279999"/>
  </r>
  <r>
    <x v="616"/>
    <x v="120"/>
    <s v="FRIX00000433"/>
    <x v="0"/>
    <e v="#N/A"/>
    <m/>
    <s v="SGE2D"/>
    <s v="Euronext Paris"/>
    <s v="Non-significant benchmark"/>
    <n v="0"/>
    <n v="0"/>
    <n v="0"/>
    <n v="0"/>
    <n v="0"/>
    <n v="0"/>
    <n v="0"/>
  </r>
  <r>
    <x v="617"/>
    <x v="120"/>
    <s v="FRIX00000425"/>
    <x v="0"/>
    <e v="#N/A"/>
    <m/>
    <s v="SGE2G"/>
    <s v="Euronext Paris"/>
    <s v="Non-significant benchmark"/>
    <n v="0"/>
    <n v="0"/>
    <n v="0"/>
    <n v="0"/>
    <n v="0"/>
    <n v="0"/>
    <n v="0"/>
  </r>
  <r>
    <x v="618"/>
    <x v="120"/>
    <s v="FRIX00000417"/>
    <x v="0"/>
    <e v="#N/A"/>
    <m/>
    <s v="SGE2P"/>
    <s v="Euronext Paris"/>
    <s v="Non-significant benchmark"/>
    <n v="0"/>
    <n v="0"/>
    <n v="0"/>
    <n v="0"/>
    <n v="0"/>
    <n v="0"/>
    <n v="0"/>
  </r>
  <r>
    <x v="619"/>
    <x v="120"/>
    <s v="FRIX00000300"/>
    <x v="0"/>
    <e v="#N/A"/>
    <m/>
    <s v="SGE1G"/>
    <s v="Euronext Paris"/>
    <s v="Non-significant benchmark"/>
    <n v="0"/>
    <n v="0"/>
    <n v="0"/>
    <n v="0"/>
    <n v="0"/>
    <n v="0"/>
    <n v="0"/>
  </r>
  <r>
    <x v="620"/>
    <x v="120"/>
    <s v="FRIX00000318"/>
    <x v="0"/>
    <e v="#N/A"/>
    <m/>
    <s v="SGE1D"/>
    <s v="Euronext Paris"/>
    <s v="Non-significant benchmark"/>
    <n v="0"/>
    <n v="0"/>
    <n v="0"/>
    <n v="0"/>
    <n v="0"/>
    <n v="0"/>
    <n v="0"/>
  </r>
  <r>
    <x v="621"/>
    <x v="120"/>
    <s v="FRIX00000292"/>
    <x v="0"/>
    <e v="#N/A"/>
    <m/>
    <s v="SGE1P"/>
    <s v="Euronext Paris"/>
    <s v="Non-significant benchmark"/>
    <n v="0"/>
    <n v="0"/>
    <n v="0"/>
    <n v="0"/>
    <n v="0"/>
    <n v="0"/>
    <n v="0"/>
  </r>
  <r>
    <x v="622"/>
    <x v="120"/>
    <s v="FRIX00000086"/>
    <x v="0"/>
    <s v="Single Stock"/>
    <m/>
    <s v="SGENG"/>
    <s v="Euronext Paris"/>
    <s v="Non-significant benchmark"/>
    <n v="0"/>
    <n v="0"/>
    <n v="0"/>
    <n v="0"/>
    <n v="0"/>
    <n v="0"/>
    <n v="0"/>
  </r>
  <r>
    <x v="623"/>
    <x v="120"/>
    <s v="FRIX00000094"/>
    <x v="0"/>
    <s v="Single Stock"/>
    <m/>
    <s v="SGEND"/>
    <s v="Euronext Paris"/>
    <s v="Non-significant benchmark"/>
    <n v="0"/>
    <n v="30000000"/>
    <n v="10195717.5252"/>
    <n v="0"/>
    <n v="0"/>
    <n v="0"/>
    <n v="30000000"/>
  </r>
  <r>
    <x v="624"/>
    <x v="120"/>
    <s v="FRIX00000078"/>
    <x v="0"/>
    <s v="Single Stock"/>
    <m/>
    <s v="SGENP"/>
    <s v="Euronext Paris"/>
    <s v="Non-significant benchmark"/>
    <n v="0"/>
    <n v="0"/>
    <n v="0"/>
    <n v="0"/>
    <n v="0"/>
    <n v="0"/>
    <n v="0"/>
  </r>
  <r>
    <x v="625"/>
    <x v="120"/>
    <s v="FRIX00002579"/>
    <x v="0"/>
    <s v="Single Stock"/>
    <m/>
    <s v="SGEED"/>
    <s v="Euronext Paris"/>
    <s v="Non-significant benchmark"/>
    <n v="27013476.900000002"/>
    <n v="115000000"/>
    <n v="5019571.8620000007"/>
    <n v="0"/>
    <n v="0"/>
    <n v="0"/>
    <n v="27013476.900000002"/>
  </r>
  <r>
    <x v="626"/>
    <x v="120"/>
    <s v="FRIX00000409"/>
    <x v="0"/>
    <s v="Single Stock"/>
    <m/>
    <s v="SG01D"/>
    <s v="Euronext Paris"/>
    <s v="Non-significant benchmark"/>
    <n v="52079929.199999996"/>
    <n v="415000000"/>
    <n v="110467421.8584"/>
    <n v="0"/>
    <n v="0"/>
    <n v="0"/>
    <n v="110467421.8584"/>
  </r>
  <r>
    <x v="627"/>
    <x v="120"/>
    <s v="FRIX00000540"/>
    <x v="0"/>
    <s v="Single Stock"/>
    <m/>
    <s v="SG02G"/>
    <s v="Euronext Paris"/>
    <s v="Non-significant benchmark"/>
    <n v="0"/>
    <n v="0"/>
    <n v="0"/>
    <n v="0"/>
    <n v="0"/>
    <n v="0"/>
    <n v="0"/>
  </r>
  <r>
    <x v="628"/>
    <x v="120"/>
    <s v="FRIX00000391"/>
    <x v="0"/>
    <s v="Single Stock"/>
    <m/>
    <s v="SG01G"/>
    <s v="Euronext Paris"/>
    <s v="Non-significant benchmark"/>
    <n v="0"/>
    <n v="0"/>
    <n v="0"/>
    <n v="0"/>
    <n v="0"/>
    <n v="0"/>
    <n v="0"/>
  </r>
  <r>
    <x v="629"/>
    <x v="120"/>
    <s v="FRIX00000557"/>
    <x v="0"/>
    <s v="Single Stock"/>
    <m/>
    <s v="SG02D"/>
    <s v="Euronext Paris"/>
    <s v="Non-significant benchmark"/>
    <n v="0"/>
    <n v="0"/>
    <n v="0"/>
    <n v="0"/>
    <n v="0"/>
    <n v="0"/>
    <n v="0"/>
  </r>
  <r>
    <x v="630"/>
    <x v="120"/>
    <s v="FRIX00000532"/>
    <x v="0"/>
    <s v="Single Stock"/>
    <m/>
    <s v="SG02P"/>
    <s v="Euronext Paris"/>
    <s v="Non-significant benchmark"/>
    <n v="0"/>
    <n v="0"/>
    <n v="0"/>
    <n v="0"/>
    <n v="0"/>
    <n v="0"/>
    <n v="0"/>
  </r>
  <r>
    <x v="631"/>
    <x v="120"/>
    <s v="FRIX00000383"/>
    <x v="0"/>
    <s v="Single Stock"/>
    <m/>
    <s v="SG01P"/>
    <s v="Euronext Paris"/>
    <s v="Non-significant benchmark"/>
    <n v="0"/>
    <n v="0"/>
    <n v="0"/>
    <n v="0"/>
    <n v="0"/>
    <n v="0"/>
    <n v="0"/>
  </r>
  <r>
    <x v="632"/>
    <x v="120"/>
    <s v="FRIX00000110"/>
    <x v="0"/>
    <s v="Single Stock"/>
    <m/>
    <s v="SGORG"/>
    <s v="Euronext Paris"/>
    <s v="Non-significant benchmark"/>
    <n v="0"/>
    <n v="0"/>
    <n v="0"/>
    <n v="0"/>
    <n v="0"/>
    <n v="0"/>
    <n v="0"/>
  </r>
  <r>
    <x v="633"/>
    <x v="120"/>
    <s v="FRIX00000128"/>
    <x v="0"/>
    <s v="Single Stock"/>
    <m/>
    <s v="SGORD"/>
    <s v="Euronext Paris"/>
    <s v="Non-significant benchmark"/>
    <n v="7059793.8669409994"/>
    <n v="115000000"/>
    <n v="32742344.898000002"/>
    <n v="0"/>
    <n v="0"/>
    <n v="0"/>
    <n v="32742344.898000002"/>
  </r>
  <r>
    <x v="634"/>
    <x v="120"/>
    <s v="FRIX00000102"/>
    <x v="0"/>
    <s v="Single Stock"/>
    <m/>
    <s v="SGORP"/>
    <s v="Euronext Paris"/>
    <s v="Non-significant benchmark"/>
    <n v="0"/>
    <n v="0"/>
    <n v="0"/>
    <n v="0"/>
    <n v="0"/>
    <n v="0"/>
    <n v="0"/>
  </r>
  <r>
    <x v="635"/>
    <x v="120"/>
    <s v="FRIX00002991"/>
    <x v="0"/>
    <s v="Single Stock"/>
    <m/>
    <s v="SGSCR"/>
    <s v="Euronext Paris"/>
    <s v="Non-significant benchmark"/>
    <n v="5736564"/>
    <n v="30000000"/>
    <n v="5019571.8620000007"/>
    <n v="0"/>
    <n v="0"/>
    <n v="0"/>
    <m/>
  </r>
  <r>
    <x v="636"/>
    <x v="120"/>
    <s v="FRIX00000334"/>
    <x v="0"/>
    <s v="Single Stock"/>
    <m/>
    <s v="SGSGG"/>
    <s v="Euronext Paris"/>
    <s v="Non-significant benchmark"/>
    <n v="0"/>
    <n v="0"/>
    <n v="0"/>
    <n v="0"/>
    <n v="0"/>
    <n v="0"/>
    <n v="0"/>
  </r>
  <r>
    <x v="637"/>
    <x v="120"/>
    <s v="FRIX00000342"/>
    <x v="0"/>
    <s v="Single Stock"/>
    <m/>
    <s v="SGSGD"/>
    <s v="Euronext Paris"/>
    <s v="Non-significant benchmark"/>
    <n v="6094223"/>
    <n v="0"/>
    <n v="42090721.852000006"/>
    <n v="0"/>
    <n v="0"/>
    <n v="0"/>
    <n v="42090721.852000006"/>
  </r>
  <r>
    <x v="638"/>
    <x v="120"/>
    <s v="FRIX00000326"/>
    <x v="0"/>
    <s v="Single Stock"/>
    <m/>
    <s v="SGSGP"/>
    <s v="Euronext Paris"/>
    <s v="Non-significant benchmark"/>
    <n v="0"/>
    <n v="30000000"/>
    <n v="0"/>
    <n v="0"/>
    <n v="0"/>
    <n v="0"/>
    <n v="30000000"/>
  </r>
  <r>
    <x v="639"/>
    <x v="120"/>
    <s v="FRIX00003155"/>
    <x v="0"/>
    <s v="Single Stock"/>
    <m/>
    <s v="SGG5D"/>
    <s v="Euronext Paris"/>
    <s v="Non-significant benchmark"/>
    <n v="0"/>
    <n v="0"/>
    <n v="5102463.8744000001"/>
    <n v="0"/>
    <n v="0"/>
    <n v="0"/>
    <n v="5102463.8744000001"/>
  </r>
  <r>
    <x v="640"/>
    <x v="120"/>
    <s v="FRIX00002512"/>
    <x v="0"/>
    <s v="Single Stock"/>
    <m/>
    <s v="SGG3D"/>
    <s v="Euronext Paris"/>
    <s v="Non-significant benchmark"/>
    <n v="19821405.599999998"/>
    <n v="180000000"/>
    <n v="54616625.947999999"/>
    <n v="0"/>
    <n v="0"/>
    <n v="0"/>
    <n v="54616625.947999999"/>
  </r>
  <r>
    <x v="641"/>
    <x v="120"/>
    <s v="FRIX00001084"/>
    <x v="0"/>
    <s v="Single Stock"/>
    <m/>
    <s v="SGSTD"/>
    <s v="Euronext Paris"/>
    <s v="Non-significant benchmark"/>
    <n v="8543791.5999999996"/>
    <n v="165000000"/>
    <n v="47193185.726400003"/>
    <n v="0"/>
    <n v="0"/>
    <n v="0"/>
    <n v="47193185.726400003"/>
  </r>
  <r>
    <x v="642"/>
    <x v="120"/>
    <s v="FRIX00001076"/>
    <x v="0"/>
    <s v="Single Stock"/>
    <m/>
    <s v="SGSTG"/>
    <s v="Euronext Paris"/>
    <s v="Non-significant benchmark"/>
    <n v="0"/>
    <n v="0"/>
    <n v="0"/>
    <n v="0"/>
    <n v="0"/>
    <n v="0"/>
    <n v="0"/>
  </r>
  <r>
    <x v="643"/>
    <x v="120"/>
    <s v="FRIX00001068"/>
    <x v="0"/>
    <s v="Single Stock"/>
    <m/>
    <s v="SGSTP"/>
    <s v="Euronext Paris"/>
    <s v="Non-significant benchmark"/>
    <n v="0"/>
    <n v="0"/>
    <n v="0"/>
    <n v="0"/>
    <n v="0"/>
    <n v="0"/>
    <n v="0"/>
  </r>
  <r>
    <x v="644"/>
    <x v="120"/>
    <s v="FRIX00003015"/>
    <x v="0"/>
    <s v="Single Stock"/>
    <m/>
    <s v="SGS4G"/>
    <s v="Euronext Paris"/>
    <s v="Non-significant benchmark"/>
    <n v="0"/>
    <n v="0"/>
    <n v="9993092.6060000006"/>
    <n v="0"/>
    <n v="0"/>
    <n v="0"/>
    <n v="9993092.6060000006"/>
  </r>
  <r>
    <x v="645"/>
    <x v="120"/>
    <s v="FRIX00002868"/>
    <x v="0"/>
    <s v="Single Stock"/>
    <m/>
    <s v="SGS3D"/>
    <s v="Euronext Paris"/>
    <s v="Non-significant benchmark"/>
    <n v="81003529.5"/>
    <n v="380000000"/>
    <n v="111084506.83960001"/>
    <n v="0"/>
    <n v="0"/>
    <n v="0"/>
    <n v="111084506.83960001"/>
  </r>
  <r>
    <x v="646"/>
    <x v="120"/>
    <s v="FRIX00000144"/>
    <x v="0"/>
    <s v="Single Stock"/>
    <m/>
    <s v="SGT1G"/>
    <s v="Euronext Paris"/>
    <s v="Non-significant benchmark"/>
    <n v="0"/>
    <n v="0"/>
    <n v="0"/>
    <n v="0"/>
    <n v="0"/>
    <n v="0"/>
    <n v="0"/>
  </r>
  <r>
    <x v="647"/>
    <x v="120"/>
    <s v="FRIX00000052"/>
    <x v="0"/>
    <s v="Single Stock"/>
    <m/>
    <s v="SGTEG"/>
    <s v="Euronext Paris"/>
    <s v="Non-significant benchmark"/>
    <n v="0"/>
    <n v="0"/>
    <n v="0"/>
    <n v="0"/>
    <n v="0"/>
    <n v="0"/>
    <n v="0"/>
  </r>
  <r>
    <x v="648"/>
    <x v="120"/>
    <s v="FRIX00000151"/>
    <x v="0"/>
    <s v="Single Stock"/>
    <m/>
    <s v="SGT1D"/>
    <s v="Euronext Paris"/>
    <s v="Non-significant benchmark"/>
    <n v="590663.19999999995"/>
    <n v="5000000"/>
    <n v="5010361.6384000005"/>
    <n v="0"/>
    <n v="0"/>
    <n v="0"/>
    <n v="5010361.6384000005"/>
  </r>
  <r>
    <x v="649"/>
    <x v="120"/>
    <s v="FRIX00000060"/>
    <x v="0"/>
    <s v="Single Stock"/>
    <m/>
    <s v="SGTED"/>
    <s v="Euronext Paris"/>
    <s v="Non-significant benchmark"/>
    <n v="0"/>
    <n v="0"/>
    <n v="22997928.3292"/>
    <n v="0"/>
    <n v="0"/>
    <n v="0"/>
    <n v="22997928.3292"/>
  </r>
  <r>
    <x v="650"/>
    <x v="120"/>
    <s v="FRIX00000136"/>
    <x v="0"/>
    <s v="Single Stock"/>
    <m/>
    <s v="SGT1P"/>
    <s v="Euronext Paris"/>
    <s v="Non-significant benchmark"/>
    <n v="0"/>
    <n v="0"/>
    <n v="0"/>
    <n v="0"/>
    <n v="0"/>
    <n v="0"/>
    <n v="0"/>
  </r>
  <r>
    <x v="651"/>
    <x v="120"/>
    <s v="FRIX00000045"/>
    <x v="0"/>
    <s v="Single Stock"/>
    <m/>
    <s v="SGTEP"/>
    <s v="Euronext Paris"/>
    <s v="Non-significant benchmark"/>
    <n v="0"/>
    <n v="0"/>
    <n v="0"/>
    <n v="0"/>
    <n v="0"/>
    <n v="0"/>
    <n v="0"/>
  </r>
  <r>
    <x v="652"/>
    <x v="120"/>
    <s v="FRIX00002710"/>
    <x v="0"/>
    <s v="Single Stock"/>
    <m/>
    <s v="SGU2D"/>
    <s v="Euronext Paris"/>
    <s v="Non-significant benchmark"/>
    <n v="4248750"/>
    <n v="30000000"/>
    <n v="4890628.7316000005"/>
    <n v="0"/>
    <n v="0"/>
    <n v="0"/>
    <n v="4890628.7316000005"/>
  </r>
  <r>
    <x v="653"/>
    <x v="120"/>
    <s v="FRIX00000789"/>
    <x v="0"/>
    <s v="Single Stock"/>
    <m/>
    <s v="SSMTG"/>
    <s v="Euronext Paris"/>
    <s v="Non-significant benchmark"/>
    <n v="0"/>
    <n v="0"/>
    <n v="0"/>
    <n v="0"/>
    <n v="0"/>
    <n v="0"/>
    <n v="0"/>
  </r>
  <r>
    <x v="654"/>
    <x v="120"/>
    <s v="FRIX00000797"/>
    <x v="0"/>
    <s v="Single Stock"/>
    <m/>
    <s v="SSMTD"/>
    <s v="Euronext Paris"/>
    <s v="Non-significant benchmark"/>
    <n v="0"/>
    <n v="0"/>
    <n v="0"/>
    <n v="0"/>
    <n v="0"/>
    <n v="0"/>
    <n v="0"/>
  </r>
  <r>
    <x v="655"/>
    <x v="120"/>
    <s v="FRIX00000771"/>
    <x v="0"/>
    <s v="Single Stock"/>
    <m/>
    <s v="SSMTP"/>
    <s v="Euronext Paris"/>
    <s v="Non-significant benchmark"/>
    <n v="0"/>
    <n v="0"/>
    <n v="0"/>
    <n v="0"/>
    <n v="0"/>
    <n v="0"/>
    <n v="0"/>
  </r>
  <r>
    <x v="656"/>
    <x v="120"/>
    <s v="FRIX00000631"/>
    <x v="0"/>
    <s v="Single Stock"/>
    <m/>
    <s v="SSAXG"/>
    <s v="Euronext Paris"/>
    <s v="Non-significant benchmark"/>
    <n v="0"/>
    <n v="0"/>
    <n v="0"/>
    <n v="0"/>
    <n v="0"/>
    <n v="0"/>
    <n v="0"/>
  </r>
  <r>
    <x v="657"/>
    <x v="120"/>
    <s v="FRIX00000649"/>
    <x v="0"/>
    <s v="Single Stock"/>
    <m/>
    <s v="SSAXD"/>
    <s v="Euronext Paris"/>
    <s v="Non-significant benchmark"/>
    <n v="0"/>
    <n v="0"/>
    <n v="0"/>
    <n v="0"/>
    <n v="0"/>
    <n v="0"/>
    <n v="0"/>
  </r>
  <r>
    <x v="658"/>
    <x v="120"/>
    <s v="FRIX00000623"/>
    <x v="0"/>
    <s v="Single Stock"/>
    <m/>
    <s v="SSAXP"/>
    <s v="Euronext Paris"/>
    <s v="Non-significant benchmark"/>
    <n v="0"/>
    <n v="0"/>
    <n v="0"/>
    <n v="0"/>
    <n v="0"/>
    <n v="0"/>
    <n v="0"/>
  </r>
  <r>
    <x v="659"/>
    <x v="120"/>
    <s v="FRIX00000987"/>
    <x v="0"/>
    <s v="Single Stock"/>
    <m/>
    <s v="SSBNG"/>
    <s v="Euronext Paris"/>
    <s v="Non-significant benchmark"/>
    <n v="0"/>
    <n v="0"/>
    <n v="0"/>
    <n v="0"/>
    <n v="0"/>
    <n v="0"/>
    <n v="0"/>
  </r>
  <r>
    <x v="660"/>
    <x v="120"/>
    <s v="FRIX00000995"/>
    <x v="0"/>
    <s v="Single Stock"/>
    <m/>
    <s v="SSBND"/>
    <s v="Euronext Paris"/>
    <s v="Non-significant benchmark"/>
    <n v="0"/>
    <n v="0"/>
    <n v="0"/>
    <n v="0"/>
    <n v="0"/>
    <n v="0"/>
    <n v="0"/>
  </r>
  <r>
    <x v="661"/>
    <x v="120"/>
    <s v="FRIX00000979"/>
    <x v="0"/>
    <s v="Single Stock"/>
    <m/>
    <s v="SSBNP"/>
    <s v="Euronext Paris"/>
    <s v="Non-significant benchmark"/>
    <n v="0"/>
    <n v="0"/>
    <n v="0"/>
    <n v="0"/>
    <n v="0"/>
    <n v="0"/>
    <n v="0"/>
  </r>
  <r>
    <x v="662"/>
    <x v="120"/>
    <s v="FRIX00000870"/>
    <x v="0"/>
    <s v="Single Stock"/>
    <m/>
    <s v="SSCAG"/>
    <s v="Euronext Paris"/>
    <s v="Non-significant benchmark"/>
    <n v="0"/>
    <n v="0"/>
    <n v="0"/>
    <n v="0"/>
    <n v="0"/>
    <n v="0"/>
    <n v="0"/>
  </r>
  <r>
    <x v="663"/>
    <x v="120"/>
    <s v="FRIX00000888"/>
    <x v="0"/>
    <s v="Single Stock"/>
    <m/>
    <s v="SSCAD"/>
    <s v="Euronext Paris"/>
    <s v="Non-significant benchmark"/>
    <n v="0"/>
    <n v="0"/>
    <n v="0"/>
    <n v="0"/>
    <n v="0"/>
    <n v="0"/>
    <n v="0"/>
  </r>
  <r>
    <x v="664"/>
    <x v="120"/>
    <s v="FRIX00000862"/>
    <x v="0"/>
    <s v="Single Stock"/>
    <m/>
    <s v="SSCAP"/>
    <s v="Euronext Paris"/>
    <s v="Non-significant benchmark"/>
    <n v="0"/>
    <n v="0"/>
    <n v="0"/>
    <n v="0"/>
    <n v="0"/>
    <n v="0"/>
    <n v="0"/>
  </r>
  <r>
    <x v="665"/>
    <x v="120"/>
    <s v="FRIX00000607"/>
    <x v="0"/>
    <s v="Single Stock"/>
    <m/>
    <s v="SSACG"/>
    <s v="Euronext Paris"/>
    <s v="Non-significant benchmark"/>
    <n v="0"/>
    <n v="0"/>
    <n v="0"/>
    <n v="0"/>
    <n v="0"/>
    <n v="0"/>
    <n v="0"/>
  </r>
  <r>
    <x v="666"/>
    <x v="120"/>
    <s v="FRIX00000615"/>
    <x v="0"/>
    <s v="Single Stock"/>
    <m/>
    <s v="SSACD"/>
    <s v="Euronext Paris"/>
    <s v="Non-significant benchmark"/>
    <n v="0"/>
    <n v="63500000"/>
    <n v="36656689.928000003"/>
    <n v="0"/>
    <n v="0"/>
    <n v="0"/>
    <n v="63500000"/>
  </r>
  <r>
    <x v="667"/>
    <x v="120"/>
    <s v="FRIX00000599"/>
    <x v="0"/>
    <s v="Single Stock"/>
    <m/>
    <s v="SSACP"/>
    <s v="Euronext Paris"/>
    <s v="Non-significant benchmark"/>
    <n v="0"/>
    <n v="0"/>
    <n v="0"/>
    <n v="0"/>
    <n v="0"/>
    <n v="0"/>
    <n v="0"/>
  </r>
  <r>
    <x v="668"/>
    <x v="120"/>
    <s v="FRIX00000755"/>
    <x v="0"/>
    <s v="Single Stock"/>
    <m/>
    <s v="SSENG"/>
    <s v="Euronext Paris"/>
    <s v="Non-significant benchmark"/>
    <n v="0"/>
    <n v="0"/>
    <n v="0"/>
    <n v="0"/>
    <n v="0"/>
    <n v="0"/>
    <n v="0"/>
  </r>
  <r>
    <x v="669"/>
    <x v="120"/>
    <s v="FRIX00000763"/>
    <x v="0"/>
    <s v="Single Stock"/>
    <m/>
    <s v="SSEND"/>
    <s v="Euronext Paris"/>
    <s v="Non-significant benchmark"/>
    <n v="0"/>
    <n v="0"/>
    <n v="0"/>
    <n v="0"/>
    <n v="0"/>
    <n v="0"/>
    <n v="0"/>
  </r>
  <r>
    <x v="670"/>
    <x v="120"/>
    <s v="FRIX00000748"/>
    <x v="0"/>
    <s v="Single Stock"/>
    <m/>
    <s v="SSENI"/>
    <s v="Euronext Paris"/>
    <s v="Non-significant benchmark"/>
    <n v="0"/>
    <n v="0"/>
    <n v="0"/>
    <n v="0"/>
    <n v="0"/>
    <n v="0"/>
    <n v="0"/>
  </r>
  <r>
    <x v="671"/>
    <x v="120"/>
    <s v="FRIX00000938"/>
    <x v="0"/>
    <s v="Single Stock"/>
    <m/>
    <s v="SSING"/>
    <s v="Euronext Paris"/>
    <s v="Non-significant benchmark"/>
    <n v="0"/>
    <n v="0"/>
    <n v="0"/>
    <n v="0"/>
    <n v="0"/>
    <n v="0"/>
    <n v="0"/>
  </r>
  <r>
    <x v="672"/>
    <x v="120"/>
    <s v="FRIX00000946"/>
    <x v="0"/>
    <s v="Single Stock"/>
    <m/>
    <s v="SSIND"/>
    <s v="Euronext Paris"/>
    <s v="Non-significant benchmark"/>
    <n v="0"/>
    <n v="0"/>
    <n v="0"/>
    <n v="0"/>
    <n v="0"/>
    <n v="0"/>
    <n v="0"/>
  </r>
  <r>
    <x v="673"/>
    <x v="120"/>
    <s v="FRIX00000920"/>
    <x v="0"/>
    <s v="Single Stock"/>
    <m/>
    <s v="SSINP"/>
    <s v="Euronext Paris"/>
    <s v="Non-significant benchmark"/>
    <n v="0"/>
    <n v="0"/>
    <n v="0"/>
    <n v="0"/>
    <n v="0"/>
    <n v="0"/>
    <n v="0"/>
  </r>
  <r>
    <x v="674"/>
    <x v="120"/>
    <s v="FRIX00000904"/>
    <x v="0"/>
    <s v="Single Stock"/>
    <m/>
    <s v="SSKEG"/>
    <s v="Euronext Paris"/>
    <s v="Non-significant benchmark"/>
    <n v="0"/>
    <n v="0"/>
    <n v="0"/>
    <n v="0"/>
    <n v="0"/>
    <n v="0"/>
    <n v="0"/>
  </r>
  <r>
    <x v="675"/>
    <x v="120"/>
    <s v="FRIX00000912"/>
    <x v="0"/>
    <s v="Single Stock"/>
    <m/>
    <s v="SSKED"/>
    <s v="Euronext Paris"/>
    <s v="Non-significant benchmark"/>
    <n v="0"/>
    <n v="0"/>
    <n v="1427584.6580000001"/>
    <n v="0"/>
    <n v="0"/>
    <n v="0"/>
    <n v="1427584.6580000001"/>
  </r>
  <r>
    <x v="676"/>
    <x v="120"/>
    <s v="FRIX00000896"/>
    <x v="0"/>
    <s v="Single Stock"/>
    <m/>
    <s v="SSKEP"/>
    <s v="Euronext Paris"/>
    <s v="Non-significant benchmark"/>
    <n v="0"/>
    <n v="0"/>
    <n v="0"/>
    <n v="0"/>
    <n v="0"/>
    <n v="0"/>
    <n v="0"/>
  </r>
  <r>
    <x v="677"/>
    <x v="120"/>
    <s v="FRIX00000698"/>
    <x v="0"/>
    <s v="Single Stock"/>
    <m/>
    <s v="SSSAG"/>
    <s v="Euronext Paris"/>
    <s v="Non-significant benchmark"/>
    <n v="0"/>
    <n v="0"/>
    <n v="0"/>
    <n v="0"/>
    <n v="0"/>
    <n v="0"/>
    <n v="0"/>
  </r>
  <r>
    <x v="678"/>
    <x v="120"/>
    <s v="FRIX00000706"/>
    <x v="0"/>
    <s v="Single Stock"/>
    <m/>
    <s v="SSSAD"/>
    <s v="Euronext Paris"/>
    <s v="Non-significant benchmark"/>
    <n v="0"/>
    <n v="0"/>
    <n v="0"/>
    <n v="0"/>
    <n v="0"/>
    <n v="0"/>
    <n v="0"/>
  </r>
  <r>
    <x v="679"/>
    <x v="120"/>
    <s v="FRIX00000680"/>
    <x v="0"/>
    <s v="Single Stock"/>
    <m/>
    <s v="SSSAP"/>
    <s v="Euronext Paris"/>
    <s v="Non-significant benchmark"/>
    <n v="0"/>
    <n v="0"/>
    <n v="0"/>
    <n v="0"/>
    <n v="0"/>
    <n v="0"/>
    <n v="0"/>
  </r>
  <r>
    <x v="680"/>
    <x v="120"/>
    <s v="FRIX00000722"/>
    <x v="0"/>
    <s v="Single Stock"/>
    <m/>
    <s v="SSSNG"/>
    <s v="Euronext Paris"/>
    <s v="Non-significant benchmark"/>
    <n v="0"/>
    <n v="0"/>
    <n v="0"/>
    <n v="0"/>
    <n v="0"/>
    <n v="0"/>
    <n v="0"/>
  </r>
  <r>
    <x v="681"/>
    <x v="120"/>
    <s v="FRIX00000730"/>
    <x v="0"/>
    <s v="Single Stock"/>
    <m/>
    <s v="SSSND"/>
    <s v="Euronext Paris"/>
    <s v="Non-significant benchmark"/>
    <n v="0"/>
    <n v="0"/>
    <n v="0"/>
    <n v="0"/>
    <n v="0"/>
    <n v="0"/>
    <n v="0"/>
  </r>
  <r>
    <x v="682"/>
    <x v="120"/>
    <s v="FRIX00000714"/>
    <x v="0"/>
    <s v="Single Stock"/>
    <m/>
    <s v="SSSNP"/>
    <s v="Euronext Paris"/>
    <s v="Non-significant benchmark"/>
    <n v="0"/>
    <n v="0"/>
    <n v="0"/>
    <n v="0"/>
    <n v="0"/>
    <n v="0"/>
    <n v="0"/>
  </r>
  <r>
    <x v="683"/>
    <x v="120"/>
    <s v="FRIX00000664"/>
    <x v="0"/>
    <s v="Single Stock"/>
    <m/>
    <s v="SSSHG"/>
    <s v="Euronext Paris"/>
    <s v="Non-significant benchmark"/>
    <n v="0"/>
    <n v="0"/>
    <n v="0"/>
    <n v="0"/>
    <n v="0"/>
    <n v="0"/>
    <n v="0"/>
  </r>
  <r>
    <x v="684"/>
    <x v="120"/>
    <s v="FRIX00000672"/>
    <x v="0"/>
    <s v="Single Stock"/>
    <m/>
    <s v="SSSHD"/>
    <s v="Euronext Paris"/>
    <s v="Non-significant benchmark"/>
    <n v="0"/>
    <n v="0"/>
    <n v="0"/>
    <n v="0"/>
    <n v="0"/>
    <n v="0"/>
    <n v="0"/>
  </r>
  <r>
    <x v="685"/>
    <x v="120"/>
    <s v="FRIX00000656"/>
    <x v="0"/>
    <s v="Single Stock"/>
    <m/>
    <s v="SSS1P"/>
    <s v="Euronext Paris"/>
    <s v="Non-significant benchmark"/>
    <n v="0"/>
    <n v="0"/>
    <n v="0"/>
    <n v="0"/>
    <n v="0"/>
    <n v="0"/>
    <n v="0"/>
  </r>
  <r>
    <x v="686"/>
    <x v="120"/>
    <s v="FRIX00000813"/>
    <x v="0"/>
    <s v="Single Stock"/>
    <m/>
    <s v="SSSTG"/>
    <s v="Euronext Paris"/>
    <s v="Non-significant benchmark"/>
    <n v="0"/>
    <n v="0"/>
    <n v="0"/>
    <n v="0"/>
    <n v="0"/>
    <n v="0"/>
    <n v="0"/>
  </r>
  <r>
    <x v="687"/>
    <x v="120"/>
    <s v="FRIX00000821"/>
    <x v="0"/>
    <s v="Single Stock"/>
    <m/>
    <s v="SSSTD"/>
    <s v="Euronext Paris"/>
    <s v="Non-significant benchmark"/>
    <n v="0"/>
    <n v="0"/>
    <n v="6557679.2032000003"/>
    <n v="0"/>
    <n v="0"/>
    <n v="0"/>
    <n v="6557679.2032000003"/>
  </r>
  <r>
    <x v="688"/>
    <x v="120"/>
    <s v="FRIX00000805"/>
    <x v="0"/>
    <s v="Single Stock"/>
    <m/>
    <s v="SSSTP"/>
    <s v="Euronext Paris"/>
    <s v="Non-significant benchmark"/>
    <n v="0"/>
    <n v="0"/>
    <n v="0"/>
    <n v="0"/>
    <n v="0"/>
    <n v="0"/>
    <n v="0"/>
  </r>
  <r>
    <x v="689"/>
    <x v="121"/>
    <s v="FRESG0000744"/>
    <x v="1"/>
    <s v="Social"/>
    <s v="ESG Other"/>
    <s v="SGSPE"/>
    <s v="Euronext Paris"/>
    <s v="Non-significant benchmark"/>
    <n v="0"/>
    <n v="0"/>
    <n v="0"/>
    <n v="0"/>
    <n v="0"/>
    <n v="0"/>
    <n v="0"/>
  </r>
  <r>
    <x v="690"/>
    <x v="121"/>
    <s v="FRESG0000751"/>
    <x v="1"/>
    <s v="Social"/>
    <s v="ESG Other"/>
    <s v="SGSGE"/>
    <s v="Euronext Paris"/>
    <s v="Non-significant benchmark"/>
    <n v="0"/>
    <n v="0"/>
    <n v="0"/>
    <n v="0"/>
    <n v="0"/>
    <n v="0"/>
    <n v="0"/>
  </r>
  <r>
    <x v="691"/>
    <x v="121"/>
    <s v="FRESG0000769"/>
    <x v="1"/>
    <s v="Social"/>
    <s v="ESG Other"/>
    <s v="SGSNE"/>
    <s v="Euronext Paris"/>
    <s v="Non-significant benchmark"/>
    <n v="0"/>
    <n v="0"/>
    <n v="0"/>
    <n v="0"/>
    <n v="0"/>
    <n v="0"/>
    <n v="0"/>
  </r>
  <r>
    <x v="692"/>
    <x v="122"/>
    <s v="FRESG0000710"/>
    <x v="1"/>
    <s v="Social"/>
    <s v="ESG Other"/>
    <s v="SGSWP"/>
    <s v="Euronext Paris"/>
    <s v="Non-significant benchmark"/>
    <n v="0"/>
    <n v="0"/>
    <n v="0"/>
    <n v="0"/>
    <n v="0"/>
    <n v="0"/>
    <n v="0"/>
  </r>
  <r>
    <x v="693"/>
    <x v="122"/>
    <s v="FRESG0000728"/>
    <x v="1"/>
    <s v="Social"/>
    <s v="ESG Other"/>
    <s v="SGSWG"/>
    <s v="Euronext Paris"/>
    <s v="Non-significant benchmark"/>
    <n v="0"/>
    <n v="0"/>
    <n v="0"/>
    <n v="0"/>
    <n v="0"/>
    <n v="0"/>
    <n v="0"/>
  </r>
  <r>
    <x v="694"/>
    <x v="122"/>
    <s v="FRESG0000736"/>
    <x v="1"/>
    <s v="Social"/>
    <s v="ESG Other"/>
    <s v="SGSWN"/>
    <s v="Euronext Paris"/>
    <s v="Non-significant benchmark"/>
    <n v="0"/>
    <n v="0"/>
    <n v="0"/>
    <n v="0"/>
    <n v="0"/>
    <n v="0"/>
    <n v="0"/>
  </r>
  <r>
    <x v="695"/>
    <x v="123"/>
    <s v="NL0015000EC7"/>
    <x v="0"/>
    <s v="International"/>
    <m/>
    <s v="SES5G"/>
    <s v="Euronext Amsterdam"/>
    <s v="Non-significant benchmark"/>
    <n v="0"/>
    <n v="0"/>
    <n v="0"/>
    <n v="0"/>
    <n v="0"/>
    <n v="0"/>
    <n v="0"/>
  </r>
  <r>
    <x v="696"/>
    <x v="123"/>
    <s v="NL0015000EE3"/>
    <x v="0"/>
    <s v="International"/>
    <m/>
    <s v="SES5N"/>
    <s v="Euronext Amsterdam"/>
    <s v="Non-significant benchmark"/>
    <n v="0"/>
    <n v="0"/>
    <n v="0"/>
    <n v="0"/>
    <n v="0"/>
    <n v="0"/>
    <n v="0"/>
  </r>
  <r>
    <x v="697"/>
    <x v="123"/>
    <s v="NL0015000EF0"/>
    <x v="0"/>
    <s v="International"/>
    <m/>
    <s v="SES5P"/>
    <s v="Euronext Amsterdam"/>
    <s v="Non-significant benchmark"/>
    <n v="0"/>
    <n v="0"/>
    <n v="0"/>
    <n v="0"/>
    <n v="0"/>
    <n v="0"/>
    <n v="0"/>
  </r>
  <r>
    <x v="698"/>
    <x v="123"/>
    <s v="NL0015000E83"/>
    <x v="0"/>
    <s v="International"/>
    <m/>
    <s v="SES50"/>
    <s v="Euronext Amsterdam"/>
    <s v="Non-significant benchmark"/>
    <n v="0"/>
    <n v="40000000"/>
    <n v="6714253.0044"/>
    <n v="0"/>
    <n v="0"/>
    <n v="0"/>
    <n v="40000000"/>
  </r>
  <r>
    <x v="699"/>
    <x v="124"/>
    <s v="FRESG0000595"/>
    <x v="1"/>
    <s v="Climate;PAB"/>
    <s v="PAB"/>
    <s v="S2PPR"/>
    <s v="Euronext Paris"/>
    <s v="Non-significant benchmark"/>
    <n v="0"/>
    <n v="0"/>
    <n v="0"/>
    <n v="0"/>
    <n v="0"/>
    <n v="0"/>
    <n v="0"/>
  </r>
  <r>
    <x v="700"/>
    <x v="124"/>
    <s v="FRESG0000629"/>
    <x v="1"/>
    <s v="Climate;PAB"/>
    <s v="PAB"/>
    <s v="S2PD3"/>
    <s v="Euronext Paris"/>
    <s v="Non-significant benchmark"/>
    <n v="0"/>
    <n v="0"/>
    <n v="0"/>
    <n v="0"/>
    <n v="0"/>
    <n v="0"/>
    <n v="0"/>
  </r>
  <r>
    <x v="701"/>
    <x v="124"/>
    <s v="FRESG0000637"/>
    <x v="1"/>
    <s v="Climate;PAB"/>
    <s v="PAB"/>
    <s v="S2PD4"/>
    <s v="Euronext Paris"/>
    <s v="Non-significant benchmark"/>
    <n v="0"/>
    <n v="0"/>
    <n v="0"/>
    <n v="0"/>
    <n v="0"/>
    <n v="0"/>
    <n v="0"/>
  </r>
  <r>
    <x v="702"/>
    <x v="124"/>
    <s v="FRESG0000611"/>
    <x v="1"/>
    <s v="Climate;PAB"/>
    <s v="PAB"/>
    <s v="S2PGR"/>
    <s v="Euronext Paris"/>
    <s v="Non-significant benchmark"/>
    <n v="0"/>
    <n v="0"/>
    <n v="0"/>
    <n v="0"/>
    <n v="0"/>
    <n v="0"/>
    <n v="0"/>
  </r>
  <r>
    <x v="703"/>
    <x v="124"/>
    <s v="FRESG0000603"/>
    <x v="1"/>
    <s v="Climate;PAB"/>
    <s v="PAB"/>
    <s v="S2PNR"/>
    <s v="Euronext Paris"/>
    <s v="Non-significant benchmark"/>
    <n v="0"/>
    <n v="0"/>
    <n v="0"/>
    <n v="0"/>
    <n v="0"/>
    <n v="0"/>
    <n v="0"/>
  </r>
  <r>
    <x v="704"/>
    <x v="125"/>
    <s v="FR0013425352"/>
    <x v="0"/>
    <s v="Country"/>
    <m/>
    <s v="FRTPR"/>
    <s v="Euronext Paris"/>
    <s v="Non-significant benchmark"/>
    <n v="199938017.53999999"/>
    <n v="0"/>
    <n v="0"/>
    <n v="0"/>
    <n v="0"/>
    <n v="0"/>
    <n v="199938017.53999999"/>
  </r>
  <r>
    <x v="705"/>
    <x v="125"/>
    <s v="FR0013425386"/>
    <x v="0"/>
    <s v="Country"/>
    <m/>
    <s v="FRTGR"/>
    <s v="Euronext Paris"/>
    <s v="Non-significant benchmark"/>
    <n v="0"/>
    <n v="0"/>
    <n v="0"/>
    <n v="0"/>
    <n v="0"/>
    <n v="0"/>
    <n v="0"/>
  </r>
  <r>
    <x v="706"/>
    <x v="125"/>
    <s v="FR0013425360"/>
    <x v="0"/>
    <s v="Country"/>
    <m/>
    <s v="FRTEK"/>
    <s v="Euronext Paris"/>
    <s v="Non-significant benchmark"/>
    <n v="0"/>
    <n v="0"/>
    <n v="0"/>
    <n v="0"/>
    <n v="0"/>
    <n v="0"/>
    <n v="0"/>
  </r>
  <r>
    <x v="707"/>
    <x v="126"/>
    <s v="NLIX00000256"/>
    <x v="0"/>
    <s v="Thematic"/>
    <m/>
    <s v="TECLP"/>
    <s v="Euronext Amsterdam"/>
    <s v="Non-significant benchmark"/>
    <n v="0"/>
    <n v="0"/>
    <n v="0"/>
    <n v="0"/>
    <n v="0"/>
    <n v="0"/>
    <n v="0"/>
  </r>
  <r>
    <x v="708"/>
    <x v="126"/>
    <s v="NLIX00000272"/>
    <x v="0"/>
    <s v="Thematic"/>
    <m/>
    <s v="TECLG"/>
    <s v="Euronext Amsterdam"/>
    <s v="Non-significant benchmark"/>
    <n v="0"/>
    <n v="0"/>
    <n v="0"/>
    <n v="0"/>
    <n v="0"/>
    <n v="0"/>
    <n v="0"/>
  </r>
  <r>
    <x v="709"/>
    <x v="126"/>
    <s v="NLIX00000264"/>
    <x v="0"/>
    <s v="Thematic"/>
    <m/>
    <s v="TECLN"/>
    <s v="Euronext Amsterdam"/>
    <s v="Non-significant benchmark"/>
    <n v="0"/>
    <n v="0"/>
    <n v="0"/>
    <n v="0"/>
    <n v="0"/>
    <n v="0"/>
    <n v="0"/>
  </r>
  <r>
    <x v="710"/>
    <x v="127"/>
    <s v="NL0012730634"/>
    <x v="0"/>
    <s v="International"/>
    <m/>
    <s v="FGINP"/>
    <s v="Euronext Paris"/>
    <s v="Non-significant benchmark"/>
    <n v="0"/>
    <n v="0"/>
    <n v="0"/>
    <n v="0"/>
    <n v="0"/>
    <n v="0"/>
    <n v="0"/>
  </r>
  <r>
    <x v="711"/>
    <x v="127"/>
    <s v="NL0012730667"/>
    <x v="0"/>
    <s v="International"/>
    <m/>
    <s v="FGIND"/>
    <s v="Euronext Paris"/>
    <s v="Non-significant benchmark"/>
    <n v="0"/>
    <n v="0"/>
    <n v="0"/>
    <n v="0"/>
    <n v="0"/>
    <n v="0"/>
    <n v="0"/>
  </r>
  <r>
    <x v="712"/>
    <x v="127"/>
    <s v="NL0012730659"/>
    <x v="0"/>
    <s v="International"/>
    <m/>
    <s v="FGING"/>
    <s v="Euronext Paris"/>
    <s v="Non-significant benchmark"/>
    <n v="0"/>
    <n v="0"/>
    <n v="0"/>
    <n v="0"/>
    <n v="0"/>
    <n v="0"/>
    <n v="0"/>
  </r>
  <r>
    <x v="713"/>
    <x v="127"/>
    <s v="NL0012730642"/>
    <x v="0"/>
    <s v="International"/>
    <m/>
    <s v="FGINN"/>
    <s v="Euronext Paris"/>
    <s v="Non-significant benchmark"/>
    <n v="0"/>
    <n v="0"/>
    <n v="0"/>
    <n v="0"/>
    <n v="0"/>
    <n v="0"/>
    <n v="0"/>
  </r>
  <r>
    <x v="714"/>
    <x v="128"/>
    <s v="NLIX00000926"/>
    <x v="0"/>
    <s v="International"/>
    <m/>
    <s v="ENTP"/>
    <s v="Euronext Amsterdam"/>
    <s v="Non-significant benchmark"/>
    <n v="0"/>
    <n v="0"/>
    <n v="0"/>
    <n v="0"/>
    <n v="0"/>
    <n v="0"/>
    <n v="0"/>
  </r>
  <r>
    <x v="715"/>
    <x v="128"/>
    <s v="NLIX00000942"/>
    <x v="0"/>
    <s v="International"/>
    <m/>
    <s v="ENTG"/>
    <s v="Euronext Amsterdam"/>
    <s v="Non-significant benchmark"/>
    <n v="0"/>
    <n v="0"/>
    <n v="0"/>
    <n v="0"/>
    <n v="0"/>
    <n v="0"/>
    <n v="0"/>
  </r>
  <r>
    <x v="716"/>
    <x v="128"/>
    <s v="NLIX00000934"/>
    <x v="0"/>
    <s v="International"/>
    <m/>
    <s v="ENTN"/>
    <s v="Euronext Amsterdam"/>
    <s v="Non-significant benchmark"/>
    <n v="0"/>
    <n v="0"/>
    <n v="0"/>
    <n v="0"/>
    <n v="0"/>
    <n v="0"/>
    <n v="0"/>
  </r>
  <r>
    <x v="717"/>
    <x v="129"/>
    <s v="NL0013216468"/>
    <x v="0"/>
    <s v="International"/>
    <m/>
    <s v="EUS5P"/>
    <s v="Euronext Amsterdam"/>
    <s v="Non-significant benchmark"/>
    <n v="0"/>
    <n v="0"/>
    <n v="0"/>
    <n v="0"/>
    <n v="0"/>
    <n v="0"/>
    <n v="0"/>
  </r>
  <r>
    <x v="718"/>
    <x v="129"/>
    <s v="NL0013216492"/>
    <x v="0"/>
    <s v="International"/>
    <m/>
    <s v="EUS5D"/>
    <s v="Euronext Amsterdam"/>
    <s v="Non-significant benchmark"/>
    <n v="0"/>
    <n v="0"/>
    <n v="0"/>
    <n v="0"/>
    <n v="0"/>
    <n v="0"/>
    <n v="0"/>
  </r>
  <r>
    <x v="719"/>
    <x v="129"/>
    <s v="NL0013216484"/>
    <x v="0"/>
    <s v="International"/>
    <m/>
    <s v="EUS5G"/>
    <s v="Euronext Amsterdam"/>
    <s v="Non-significant benchmark"/>
    <n v="0"/>
    <n v="0"/>
    <n v="0"/>
    <n v="0"/>
    <n v="0"/>
    <n v="0"/>
    <n v="0"/>
  </r>
  <r>
    <x v="720"/>
    <x v="129"/>
    <s v="NL0013216476"/>
    <x v="0"/>
    <s v="International"/>
    <m/>
    <s v="EUS5N"/>
    <s v="Euronext Amsterdam"/>
    <s v="Non-significant benchmark"/>
    <n v="0"/>
    <n v="0"/>
    <n v="0"/>
    <n v="0"/>
    <n v="0"/>
    <n v="0"/>
    <n v="0"/>
  </r>
  <r>
    <x v="721"/>
    <x v="130"/>
    <s v="FR0014003BU4"/>
    <x v="1"/>
    <s v="Circular Economy"/>
    <s v="ESG Other"/>
    <s v="TCEPR"/>
    <s v="Euronext Paris"/>
    <s v="Non-significant benchmark"/>
    <n v="0"/>
    <n v="0"/>
    <n v="0"/>
    <n v="0"/>
    <n v="0"/>
    <n v="0"/>
    <n v="0"/>
  </r>
  <r>
    <x v="722"/>
    <x v="130"/>
    <s v="FR0014003BY6"/>
    <x v="1"/>
    <s v="Circular Economy"/>
    <s v="ESG Other"/>
    <s v="TCED5"/>
    <s v="Euronext Paris"/>
    <s v="Non-significant benchmark"/>
    <n v="0"/>
    <n v="0"/>
    <n v="0"/>
    <n v="0"/>
    <n v="0"/>
    <n v="0"/>
    <n v="0"/>
  </r>
  <r>
    <x v="723"/>
    <x v="130"/>
    <s v="FR0014003BX8"/>
    <x v="1"/>
    <s v="Circular Economy"/>
    <s v="ESG Other"/>
    <s v="TCEGR"/>
    <s v="Euronext Paris"/>
    <s v="Non-significant benchmark"/>
    <n v="0"/>
    <n v="0"/>
    <n v="0"/>
    <n v="0"/>
    <n v="0"/>
    <n v="0"/>
    <n v="0"/>
  </r>
  <r>
    <x v="724"/>
    <x v="130"/>
    <s v="FR0014003BV2"/>
    <x v="1"/>
    <s v="Circular Economy"/>
    <s v="ESG Other"/>
    <s v="TCENR"/>
    <s v="Euronext Paris"/>
    <s v="Non-significant benchmark"/>
    <n v="0"/>
    <n v="0"/>
    <n v="0"/>
    <n v="0"/>
    <n v="0"/>
    <n v="0"/>
    <n v="0"/>
  </r>
  <r>
    <x v="725"/>
    <x v="131"/>
    <s v="NL0015000BX9"/>
    <x v="1"/>
    <s v="Environmental"/>
    <s v="ESG Other"/>
    <s v="ETE5P"/>
    <s v="Euronext Paris"/>
    <s v="Non-significant benchmark"/>
    <n v="0"/>
    <n v="0"/>
    <n v="0"/>
    <n v="0"/>
    <n v="0"/>
    <n v="0"/>
    <n v="0"/>
  </r>
  <r>
    <x v="726"/>
    <x v="131"/>
    <s v="NL0015000BW1"/>
    <x v="1"/>
    <s v="Environmental"/>
    <s v="ESG Other"/>
    <s v="ETE5D"/>
    <s v="Euronext Paris"/>
    <s v="Non-significant benchmark"/>
    <n v="0"/>
    <n v="260000000"/>
    <n v="83822244.983600006"/>
    <n v="0"/>
    <n v="0"/>
    <n v="0"/>
    <n v="260000000"/>
  </r>
  <r>
    <x v="727"/>
    <x v="131"/>
    <s v="NL0015000BV3"/>
    <x v="1"/>
    <s v="Environmental"/>
    <s v="ESG Other"/>
    <s v="ETE5G"/>
    <s v="Euronext Paris"/>
    <s v="Non-significant benchmark"/>
    <n v="0"/>
    <n v="0"/>
    <n v="0"/>
    <n v="0"/>
    <n v="0"/>
    <n v="0"/>
    <n v="0"/>
  </r>
  <r>
    <x v="728"/>
    <x v="131"/>
    <s v="NL0015000BQ3"/>
    <x v="1"/>
    <s v="Environmental"/>
    <s v="ESG Other"/>
    <s v="ETEGN"/>
    <s v="Euronext Paris"/>
    <s v="Non-significant benchmark"/>
    <n v="0"/>
    <n v="0"/>
    <n v="0"/>
    <n v="0"/>
    <n v="0"/>
    <n v="0"/>
    <n v="0"/>
  </r>
  <r>
    <x v="729"/>
    <x v="132"/>
    <s v="NL0013908775"/>
    <x v="1"/>
    <s v="Broad ESG"/>
    <s v="ESG Other"/>
    <s v="ESGTP"/>
    <s v="Euronext Paris"/>
    <s v="Non-significant benchmark"/>
    <n v="0"/>
    <n v="0"/>
    <n v="0"/>
    <n v="0"/>
    <n v="0"/>
    <n v="0"/>
    <n v="0"/>
  </r>
  <r>
    <x v="730"/>
    <x v="132"/>
    <s v="NL0013908809"/>
    <x v="1"/>
    <s v="Broad ESG"/>
    <s v="ESG Other"/>
    <s v="ESGTL"/>
    <s v="Euronext Paris"/>
    <s v="Non-significant benchmark"/>
    <n v="205112150"/>
    <n v="547415771.56799996"/>
    <n v="461054583.19240004"/>
    <n v="0"/>
    <n v="0"/>
    <n v="0"/>
    <n v="461054583.19240004"/>
  </r>
  <r>
    <x v="731"/>
    <x v="132"/>
    <s v="NL0013908791"/>
    <x v="1"/>
    <s v="Broad ESG"/>
    <s v="ESG Other"/>
    <s v="ESGTG"/>
    <s v="Euronext Paris"/>
    <s v="Non-significant benchmark"/>
    <n v="0"/>
    <n v="0"/>
    <n v="0"/>
    <n v="0"/>
    <n v="0"/>
    <n v="0"/>
    <n v="0"/>
  </r>
  <r>
    <x v="732"/>
    <x v="132"/>
    <s v="NL0013908783"/>
    <x v="1"/>
    <s v="Broad ESG"/>
    <s v="ESG Other"/>
    <s v="ESGTN"/>
    <s v="Euronext Paris"/>
    <s v="Non-significant benchmark"/>
    <n v="0"/>
    <n v="0"/>
    <n v="0"/>
    <n v="0"/>
    <n v="0"/>
    <n v="0"/>
    <n v="0"/>
  </r>
  <r>
    <x v="733"/>
    <x v="133"/>
    <s v="FR0014005GI3"/>
    <x v="1"/>
    <s v="Climate;Environmental"/>
    <s v="ESG Other"/>
    <s v="TCAMP"/>
    <s v="Euronext Paris"/>
    <s v="Non-significant benchmark"/>
    <n v="0"/>
    <n v="0"/>
    <n v="0"/>
    <n v="0"/>
    <n v="0"/>
    <n v="0"/>
    <n v="0"/>
  </r>
  <r>
    <x v="734"/>
    <x v="133"/>
    <s v="FR0014005GF9"/>
    <x v="1"/>
    <s v="Climate;Environmental"/>
    <s v="ESG Other"/>
    <s v="TCAMB"/>
    <s v="Euronext Paris"/>
    <s v="Non-significant benchmark"/>
    <n v="0"/>
    <n v="240000000"/>
    <n v="113516005.87"/>
    <n v="0"/>
    <n v="0"/>
    <n v="0"/>
    <n v="240000000"/>
  </r>
  <r>
    <x v="735"/>
    <x v="133"/>
    <s v="FR0014005GG7"/>
    <x v="1"/>
    <s v="Climate;Environmental"/>
    <s v="ESG Other"/>
    <s v="TCAMG"/>
    <s v="Euronext Paris"/>
    <s v="Non-significant benchmark"/>
    <n v="0"/>
    <n v="0"/>
    <n v="0"/>
    <n v="0"/>
    <n v="0"/>
    <n v="0"/>
    <n v="0"/>
  </r>
  <r>
    <x v="736"/>
    <x v="134"/>
    <s v="NL0015000A61"/>
    <x v="1"/>
    <s v="Broad ESG"/>
    <s v="ESG Other"/>
    <s v="EUEPR"/>
    <s v="Euronext Paris"/>
    <s v="Non-significant benchmark"/>
    <n v="0"/>
    <n v="0"/>
    <n v="0"/>
    <n v="0"/>
    <n v="0"/>
    <n v="0"/>
    <n v="0"/>
  </r>
  <r>
    <x v="737"/>
    <x v="134"/>
    <s v="NL0015000A95"/>
    <x v="1"/>
    <s v="Broad ESG"/>
    <s v="ESG Other"/>
    <s v="EUED5"/>
    <s v="Euronext Paris"/>
    <s v="Non-significant benchmark"/>
    <n v="0"/>
    <n v="0"/>
    <n v="0"/>
    <n v="0"/>
    <n v="0"/>
    <n v="0"/>
    <n v="0"/>
  </r>
  <r>
    <x v="738"/>
    <x v="134"/>
    <s v="NL0015000A87"/>
    <x v="1"/>
    <s v="Broad ESG"/>
    <s v="ESG Other"/>
    <s v="EUEGR"/>
    <s v="Euronext Paris"/>
    <s v="Non-significant benchmark"/>
    <n v="0"/>
    <n v="0"/>
    <n v="0"/>
    <n v="0"/>
    <n v="0"/>
    <n v="0"/>
    <n v="0"/>
  </r>
  <r>
    <x v="739"/>
    <x v="134"/>
    <s v="NL0015000A79"/>
    <x v="1"/>
    <s v="Broad ESG"/>
    <s v="ESG Other"/>
    <s v="EUENR"/>
    <s v="Euronext Paris"/>
    <s v="Non-significant benchmark"/>
    <n v="0"/>
    <n v="0"/>
    <n v="0"/>
    <n v="0"/>
    <n v="0"/>
    <n v="0"/>
    <n v="0"/>
  </r>
  <r>
    <x v="740"/>
    <x v="135"/>
    <s v="FR0014005GE2"/>
    <x v="1"/>
    <s v="Climate;Environmental"/>
    <s v="ESG Other"/>
    <s v="USCLA"/>
    <s v="Euronext Paris"/>
    <s v="Non-significant benchmark"/>
    <n v="0"/>
    <n v="0"/>
    <n v="0"/>
    <n v="0"/>
    <n v="0"/>
    <n v="0"/>
    <n v="0"/>
  </r>
  <r>
    <x v="741"/>
    <x v="135"/>
    <s v="FR0014005IJ7"/>
    <x v="1"/>
    <s v="Climate;Environmental"/>
    <s v="ESG Other"/>
    <s v="USCLE"/>
    <s v="Euronext Paris"/>
    <s v="Non-significant benchmark"/>
    <n v="0"/>
    <n v="0"/>
    <n v="0"/>
    <n v="0"/>
    <n v="0"/>
    <n v="0"/>
    <n v="0"/>
  </r>
  <r>
    <x v="742"/>
    <x v="135"/>
    <s v="FR0014005GK9"/>
    <x v="1"/>
    <s v="Climate;Environmental"/>
    <s v="ESG Other"/>
    <s v="USCLG"/>
    <s v="Euronext Paris"/>
    <s v="Non-significant benchmark"/>
    <n v="0"/>
    <n v="0"/>
    <n v="0"/>
    <n v="0"/>
    <n v="0"/>
    <n v="0"/>
    <n v="0"/>
  </r>
  <r>
    <x v="743"/>
    <x v="135"/>
    <s v="FR0014005II9"/>
    <x v="1"/>
    <s v="Climate;Environmental"/>
    <s v="ESG Other"/>
    <s v="USCEG"/>
    <s v="Euronext Paris"/>
    <s v="Non-significant benchmark"/>
    <n v="0"/>
    <n v="0"/>
    <n v="0"/>
    <n v="0"/>
    <n v="0"/>
    <n v="0"/>
    <n v="0"/>
  </r>
  <r>
    <x v="744"/>
    <x v="135"/>
    <s v="FR0014005GH5"/>
    <x v="1"/>
    <s v="Climate;Environmental"/>
    <s v="ESG Other"/>
    <s v="USCLN"/>
    <s v="Euronext Paris"/>
    <s v="Non-significant benchmark"/>
    <n v="0"/>
    <n v="0"/>
    <n v="0"/>
    <n v="0"/>
    <n v="0"/>
    <n v="0"/>
    <n v="0"/>
  </r>
  <r>
    <x v="745"/>
    <x v="135"/>
    <s v="FR0014005IM1"/>
    <x v="1"/>
    <s v="Climate;Environmental"/>
    <s v="ESG Other"/>
    <s v="USCEN"/>
    <s v="Euronext Paris"/>
    <s v="Non-significant benchmark"/>
    <n v="0"/>
    <n v="0"/>
    <n v="0"/>
    <n v="0"/>
    <n v="0"/>
    <n v="0"/>
    <n v="0"/>
  </r>
  <r>
    <x v="746"/>
    <x v="136"/>
    <s v="FRESG0000249"/>
    <x v="1"/>
    <s v="Climate;Environmental"/>
    <s v="ESG Other"/>
    <s v="USC3P"/>
    <s v="Euronext Paris"/>
    <s v="Non-significant benchmark"/>
    <n v="0"/>
    <n v="0"/>
    <n v="0"/>
    <n v="0"/>
    <n v="0"/>
    <n v="0"/>
    <n v="0"/>
  </r>
  <r>
    <x v="747"/>
    <x v="136"/>
    <s v="FRESG0000272"/>
    <x v="1"/>
    <s v="Climate;Environmental"/>
    <s v="ESG Other"/>
    <s v="UC3PE"/>
    <s v="Euronext Paris"/>
    <s v="Non-significant benchmark"/>
    <n v="0"/>
    <n v="0"/>
    <n v="0"/>
    <n v="0"/>
    <n v="0"/>
    <n v="0"/>
    <n v="0"/>
  </r>
  <r>
    <x v="748"/>
    <x v="136"/>
    <s v="FRESG0000256"/>
    <x v="1"/>
    <s v="Climate;Environmental"/>
    <s v="ESG Other"/>
    <s v="USC3G"/>
    <s v="Euronext Paris"/>
    <s v="Non-significant benchmark"/>
    <n v="0"/>
    <n v="0"/>
    <n v="0"/>
    <n v="0"/>
    <n v="0"/>
    <n v="0"/>
    <n v="0"/>
  </r>
  <r>
    <x v="749"/>
    <x v="136"/>
    <s v="FRESG0000280"/>
    <x v="1"/>
    <s v="Climate;Environmental"/>
    <s v="ESG Other"/>
    <s v="UC3EG"/>
    <s v="Euronext Paris"/>
    <s v="Non-significant benchmark"/>
    <n v="0"/>
    <n v="0"/>
    <n v="0"/>
    <n v="0"/>
    <n v="0"/>
    <n v="0"/>
    <n v="0"/>
  </r>
  <r>
    <x v="750"/>
    <x v="136"/>
    <s v="FRESG0000264"/>
    <x v="1"/>
    <s v="Climate;Environmental"/>
    <s v="ESG Other"/>
    <s v="USC3N"/>
    <s v="Euronext Paris"/>
    <s v="Non-significant benchmark"/>
    <n v="0"/>
    <n v="0"/>
    <n v="0"/>
    <n v="0"/>
    <n v="0"/>
    <n v="0"/>
    <n v="0"/>
  </r>
  <r>
    <x v="751"/>
    <x v="136"/>
    <s v="FRESG0000298"/>
    <x v="1"/>
    <s v="Climate;Environmental"/>
    <s v="ESG Other"/>
    <s v="UC3EN"/>
    <s v="Euronext Paris"/>
    <s v="Non-significant benchmark"/>
    <n v="0"/>
    <n v="0"/>
    <n v="0"/>
    <n v="0"/>
    <n v="0"/>
    <n v="0"/>
    <n v="0"/>
  </r>
  <r>
    <x v="752"/>
    <x v="137"/>
    <s v="NL0015000ED5"/>
    <x v="1"/>
    <s v="Climate;CTB"/>
    <s v="CTB"/>
    <s v="EVEWP"/>
    <s v="Euronext Paris"/>
    <s v="Non-significant benchmark"/>
    <n v="5262516339"/>
    <n v="0"/>
    <n v="0"/>
    <n v="0"/>
    <n v="0"/>
    <n v="0"/>
    <n v="5262516339"/>
  </r>
  <r>
    <x v="753"/>
    <x v="137"/>
    <s v="NL0015000EA1"/>
    <x v="1"/>
    <s v="Climate;CTB"/>
    <s v="CTB"/>
    <s v="EVEWG"/>
    <s v="Euronext Paris"/>
    <s v="Non-significant benchmark"/>
    <n v="0"/>
    <n v="0"/>
    <n v="0"/>
    <n v="0"/>
    <n v="0"/>
    <n v="0"/>
    <n v="0"/>
  </r>
  <r>
    <x v="754"/>
    <x v="137"/>
    <s v="NL0015000EG8"/>
    <x v="1"/>
    <s v="Climate;CTB"/>
    <s v="CTB"/>
    <s v="EVEWN"/>
    <s v="Euronext Paris"/>
    <s v="Non-significant benchmark"/>
    <n v="0"/>
    <n v="0"/>
    <n v="0"/>
    <n v="0"/>
    <n v="0"/>
    <n v="0"/>
    <n v="0"/>
  </r>
  <r>
    <x v="755"/>
    <x v="138"/>
    <s v="FR0014004FP3"/>
    <x v="1"/>
    <s v="Social"/>
    <s v="ESG Other"/>
    <s v="EZSFP"/>
    <s v="Euronext Paris"/>
    <s v="Non-significant benchmark"/>
    <n v="0"/>
    <n v="0"/>
    <n v="0"/>
    <n v="0"/>
    <n v="0"/>
    <n v="0"/>
    <n v="0"/>
  </r>
  <r>
    <x v="756"/>
    <x v="138"/>
    <s v="FR0014004FM0"/>
    <x v="1"/>
    <s v="Social"/>
    <s v="ESG Other"/>
    <s v="EZSFD"/>
    <s v="Euronext Paris"/>
    <s v="Non-significant benchmark"/>
    <n v="0"/>
    <n v="30000000"/>
    <n v="100759846.184"/>
    <n v="0"/>
    <n v="0"/>
    <n v="0"/>
    <n v="100759846.184"/>
  </r>
  <r>
    <x v="757"/>
    <x v="138"/>
    <s v="FR0014004FN8"/>
    <x v="1"/>
    <s v="Social"/>
    <s v="ESG Other"/>
    <s v="EZSFG"/>
    <s v="Euronext Paris"/>
    <s v="Non-significant benchmark"/>
    <n v="0"/>
    <n v="0"/>
    <n v="0"/>
    <n v="0"/>
    <n v="0"/>
    <n v="0"/>
    <n v="0"/>
  </r>
  <r>
    <x v="758"/>
    <x v="138"/>
    <s v="FR0014004FO6"/>
    <x v="1"/>
    <s v="Social"/>
    <s v="ESG Other"/>
    <s v="EZSFN"/>
    <s v="Euronext Paris"/>
    <s v="Non-significant benchmark"/>
    <n v="0"/>
    <n v="0"/>
    <n v="0"/>
    <n v="0"/>
    <n v="0"/>
    <n v="0"/>
    <n v="0"/>
  </r>
  <r>
    <x v="759"/>
    <x v="139"/>
    <s v="QS0011256250"/>
    <x v="1"/>
    <s v="Broad ESG"/>
    <s v="ESG Other"/>
    <s v="ENVBG"/>
    <s v="Euronext Paris"/>
    <s v="Non-significant benchmark"/>
    <n v="0"/>
    <n v="0"/>
    <n v="0"/>
    <n v="0"/>
    <n v="0"/>
    <n v="0"/>
    <n v="0"/>
  </r>
  <r>
    <x v="760"/>
    <x v="139"/>
    <s v="QS0011256235"/>
    <x v="1"/>
    <s v="Broad ESG"/>
    <s v="ESG Other"/>
    <s v="ENVB"/>
    <s v="Euronext Paris"/>
    <s v="Non-significant benchmark"/>
    <n v="0"/>
    <n v="0"/>
    <n v="0"/>
    <n v="0"/>
    <n v="0"/>
    <n v="0"/>
    <n v="0"/>
  </r>
  <r>
    <x v="761"/>
    <x v="139"/>
    <s v="QS0011256243"/>
    <x v="1"/>
    <s v="Broad ESG"/>
    <s v="ESG Other"/>
    <s v="ENVBN"/>
    <s v="Euronext Paris"/>
    <s v="Non-significant benchmark"/>
    <n v="0"/>
    <n v="0"/>
    <n v="0"/>
    <n v="0"/>
    <n v="0"/>
    <n v="0"/>
    <n v="0"/>
  </r>
  <r>
    <x v="762"/>
    <x v="140"/>
    <s v="QS0011256227"/>
    <x v="1"/>
    <s v="Broad ESG"/>
    <s v="ESG Other"/>
    <s v="ENVOG"/>
    <s v="Euronext Paris"/>
    <s v="Non-significant benchmark"/>
    <n v="0"/>
    <n v="0"/>
    <n v="0"/>
    <n v="0"/>
    <n v="0"/>
    <n v="0"/>
    <n v="0"/>
  </r>
  <r>
    <x v="763"/>
    <x v="140"/>
    <s v="QS0011256201"/>
    <x v="1"/>
    <s v="Broad ESG"/>
    <s v="ESG Other"/>
    <s v="ENVEO"/>
    <s v="Euronext Paris"/>
    <s v="Non-significant benchmark"/>
    <n v="0"/>
    <n v="0"/>
    <n v="0"/>
    <n v="0"/>
    <n v="0"/>
    <n v="0"/>
    <n v="0"/>
  </r>
  <r>
    <x v="764"/>
    <x v="140"/>
    <s v="QS0011256219"/>
    <x v="1"/>
    <s v="Broad ESG"/>
    <s v="ESG Other"/>
    <s v="ENVON"/>
    <s v="Euronext Paris"/>
    <s v="Non-significant benchmark"/>
    <n v="0"/>
    <n v="0"/>
    <n v="0"/>
    <n v="0"/>
    <n v="0"/>
    <n v="0"/>
    <n v="0"/>
  </r>
  <r>
    <x v="765"/>
    <x v="141"/>
    <s v="QS0011250899"/>
    <x v="1"/>
    <s v="Broad ESG"/>
    <s v="ESG Other"/>
    <s v="ENVEG"/>
    <s v="Euronext Paris"/>
    <s v="Non-significant benchmark"/>
    <n v="0"/>
    <n v="0"/>
    <n v="0"/>
    <n v="0"/>
    <n v="0"/>
    <n v="0"/>
    <n v="0"/>
  </r>
  <r>
    <x v="766"/>
    <x v="141"/>
    <s v="QS0011250873"/>
    <x v="1"/>
    <s v="Broad ESG"/>
    <s v="ESG Other"/>
    <s v="ENVEU"/>
    <s v="Euronext Paris"/>
    <s v="Non-significant benchmark"/>
    <n v="0"/>
    <n v="0"/>
    <n v="0"/>
    <n v="0"/>
    <n v="0"/>
    <n v="0"/>
    <n v="0"/>
  </r>
  <r>
    <x v="767"/>
    <x v="141"/>
    <s v="QS0011250881"/>
    <x v="1"/>
    <s v="Broad ESG"/>
    <s v="ESG Other"/>
    <s v="ENVEN"/>
    <s v="Euronext Paris"/>
    <s v="Non-significant benchmark"/>
    <n v="0"/>
    <n v="0"/>
    <n v="0"/>
    <n v="0"/>
    <n v="0"/>
    <n v="0"/>
    <n v="0"/>
  </r>
  <r>
    <x v="768"/>
    <x v="142"/>
    <s v="QS0011250923"/>
    <x v="1"/>
    <s v="Broad ESG"/>
    <s v="ESG Other"/>
    <s v="ENVFG"/>
    <s v="Euronext Paris"/>
    <s v="Non-significant benchmark"/>
    <n v="0"/>
    <n v="0"/>
    <n v="0"/>
    <n v="0"/>
    <n v="0"/>
    <n v="0"/>
    <n v="0"/>
  </r>
  <r>
    <x v="769"/>
    <x v="142"/>
    <s v="QS0011250907"/>
    <x v="1"/>
    <s v="Broad ESG"/>
    <s v="ESG Other"/>
    <s v="ENVF"/>
    <s v="Euronext Paris"/>
    <s v="Non-significant benchmark"/>
    <n v="0"/>
    <n v="0"/>
    <n v="0"/>
    <n v="0"/>
    <n v="0"/>
    <n v="0"/>
    <n v="0"/>
  </r>
  <r>
    <x v="770"/>
    <x v="142"/>
    <s v="QS0011250915"/>
    <x v="1"/>
    <s v="Broad ESG"/>
    <s v="ESG Other"/>
    <s v="ENVFN"/>
    <s v="Euronext Paris"/>
    <s v="Non-significant benchmark"/>
    <n v="0"/>
    <n v="0"/>
    <n v="0"/>
    <n v="0"/>
    <n v="0"/>
    <n v="0"/>
    <n v="0"/>
  </r>
  <r>
    <x v="771"/>
    <x v="143"/>
    <s v="QS0011250956"/>
    <x v="1"/>
    <s v="Broad ESG"/>
    <s v="ESG Other"/>
    <s v="ENVUG"/>
    <s v="Euronext Paris"/>
    <s v="Non-significant benchmark"/>
    <n v="0"/>
    <n v="0"/>
    <n v="0"/>
    <n v="0"/>
    <n v="0"/>
    <n v="0"/>
    <n v="0"/>
  </r>
  <r>
    <x v="772"/>
    <x v="143"/>
    <s v="QS0011250931"/>
    <x v="1"/>
    <s v="Broad ESG"/>
    <s v="ESG Other"/>
    <s v="ENVUK"/>
    <s v="Euronext Paris"/>
    <s v="Non-significant benchmark"/>
    <n v="0"/>
    <n v="0"/>
    <n v="0"/>
    <n v="0"/>
    <n v="0"/>
    <n v="0"/>
    <n v="0"/>
  </r>
  <r>
    <x v="773"/>
    <x v="143"/>
    <s v="QS0011250949"/>
    <x v="1"/>
    <s v="Broad ESG"/>
    <s v="ESG Other"/>
    <s v="ENVUN"/>
    <s v="Euronext Paris"/>
    <s v="Non-significant benchmark"/>
    <n v="0"/>
    <n v="0"/>
    <n v="0"/>
    <n v="0"/>
    <n v="0"/>
    <n v="0"/>
    <n v="0"/>
  </r>
  <r>
    <x v="774"/>
    <x v="144"/>
    <s v="QS0011256169"/>
    <x v="1"/>
    <s v="Broad ESG"/>
    <s v="ESG Other"/>
    <s v="ENVU"/>
    <s v="Euronext Paris"/>
    <s v="Non-significant benchmark"/>
    <n v="0"/>
    <n v="0"/>
    <n v="0"/>
    <n v="0"/>
    <n v="0"/>
    <n v="0"/>
    <n v="0"/>
  </r>
  <r>
    <x v="775"/>
    <x v="144"/>
    <s v="QS0011256193"/>
    <x v="1"/>
    <s v="Broad ESG"/>
    <s v="ESG Other"/>
    <s v="ENVG"/>
    <s v="Euronext Paris"/>
    <s v="Non-significant benchmark"/>
    <n v="0"/>
    <n v="0"/>
    <n v="0"/>
    <n v="0"/>
    <n v="0"/>
    <n v="0"/>
    <n v="0"/>
  </r>
  <r>
    <x v="776"/>
    <x v="144"/>
    <s v="QS0011256185"/>
    <x v="1"/>
    <s v="Broad ESG"/>
    <s v="ESG Other"/>
    <s v="ENVN"/>
    <s v="Euronext Paris"/>
    <s v="Non-significant benchmark"/>
    <n v="0"/>
    <n v="0"/>
    <n v="0"/>
    <n v="0"/>
    <n v="0"/>
    <n v="0"/>
    <n v="0"/>
  </r>
  <r>
    <x v="777"/>
    <x v="145"/>
    <s v="QS0011250865"/>
    <x v="1"/>
    <s v="Broad ESG"/>
    <s v="ESG Other"/>
    <s v="ENVWG"/>
    <s v="Euronext Paris"/>
    <s v="Non-significant benchmark"/>
    <n v="0"/>
    <n v="0"/>
    <n v="0"/>
    <n v="0"/>
    <n v="0"/>
    <n v="0"/>
    <n v="0"/>
  </r>
  <r>
    <x v="778"/>
    <x v="145"/>
    <s v="QS0011250857"/>
    <x v="1"/>
    <s v="Broad ESG"/>
    <s v="ESG Other"/>
    <s v="ENVWN"/>
    <s v="Euronext Paris"/>
    <s v="Non-significant benchmark"/>
    <n v="0"/>
    <n v="0"/>
    <n v="0"/>
    <n v="0"/>
    <n v="0"/>
    <n v="0"/>
    <n v="0"/>
  </r>
  <r>
    <x v="779"/>
    <x v="145"/>
    <s v="QS0011250840"/>
    <x v="1"/>
    <s v="Broad ESG"/>
    <s v="ESG Other"/>
    <s v="ENVW"/>
    <s v="Euronext Paris"/>
    <s v="Non-significant benchmark"/>
    <n v="0"/>
    <n v="0"/>
    <n v="0"/>
    <n v="0"/>
    <n v="0"/>
    <n v="0"/>
    <n v="0"/>
  </r>
  <r>
    <x v="780"/>
    <x v="146"/>
    <s v="NL0013908866"/>
    <x v="1"/>
    <s v="Water;Ocean"/>
    <s v="ESG Other"/>
    <s v="WAT4D"/>
    <s v="Euronext Paris"/>
    <s v="Non-significant benchmark"/>
    <n v="0"/>
    <n v="31500000"/>
    <n v="524982.7452"/>
    <n v="0"/>
    <n v="0"/>
    <n v="0"/>
    <n v="31500000"/>
  </r>
  <r>
    <x v="781"/>
    <x v="146"/>
    <s v="NL0013908858"/>
    <x v="1"/>
    <s v="Water;Ocean"/>
    <s v="ESG Other"/>
    <s v="WAT5D"/>
    <s v="Euronext Paris"/>
    <s v="Non-significant benchmark"/>
    <n v="0"/>
    <n v="90500000"/>
    <n v="457831004.93240005"/>
    <n v="0"/>
    <n v="0"/>
    <n v="0"/>
    <n v="457831004.93240005"/>
  </r>
  <r>
    <x v="782"/>
    <x v="146"/>
    <s v="NL0013908841"/>
    <x v="1"/>
    <s v="Water;Ocean"/>
    <s v="ESG Other"/>
    <s v="WATGR"/>
    <s v="Euronext Paris"/>
    <s v="Non-significant benchmark"/>
    <n v="0"/>
    <n v="0"/>
    <n v="0"/>
    <n v="0"/>
    <n v="0"/>
    <n v="0"/>
    <n v="0"/>
  </r>
  <r>
    <x v="783"/>
    <x v="146"/>
    <s v="NL0013908833"/>
    <x v="1"/>
    <s v="Water;Ocean"/>
    <s v="ESG Other"/>
    <s v="WATNR"/>
    <s v="Euronext Paris"/>
    <s v="Non-significant benchmark"/>
    <n v="0"/>
    <n v="0"/>
    <n v="0"/>
    <n v="0"/>
    <n v="0"/>
    <n v="0"/>
    <n v="0"/>
  </r>
  <r>
    <x v="784"/>
    <x v="146"/>
    <s v="NL0013908825"/>
    <x v="1"/>
    <s v="Water;Ocean"/>
    <s v="ESG Other"/>
    <s v="WATPR"/>
    <s v="Euronext Paris"/>
    <s v="Non-significant benchmark"/>
    <n v="0"/>
    <n v="0"/>
    <n v="0"/>
    <n v="0"/>
    <n v="0"/>
    <n v="0"/>
    <n v="0"/>
  </r>
  <r>
    <x v="785"/>
    <x v="147"/>
    <s v="NL0015000IB0"/>
    <x v="0"/>
    <s v="International"/>
    <m/>
    <s v="ENWP"/>
    <s v="Euronext Amsterdam"/>
    <s v="Non-significant benchmark"/>
    <n v="0"/>
    <n v="0"/>
    <n v="0"/>
    <n v="0"/>
    <n v="0"/>
    <n v="0"/>
    <n v="0"/>
  </r>
  <r>
    <x v="786"/>
    <x v="147"/>
    <s v="NL0015000I97"/>
    <x v="0"/>
    <s v="International"/>
    <m/>
    <s v="ENWG"/>
    <s v="Euronext Amsterdam"/>
    <s v="Non-significant benchmark"/>
    <n v="0"/>
    <n v="0"/>
    <n v="0"/>
    <n v="0"/>
    <n v="0"/>
    <n v="0"/>
    <n v="0"/>
  </r>
  <r>
    <x v="787"/>
    <x v="147"/>
    <s v="NL0015000IA2"/>
    <x v="0"/>
    <s v="International"/>
    <m/>
    <s v="ENWN"/>
    <s v="Euronext Amsterdam"/>
    <s v="Non-significant benchmark"/>
    <n v="0"/>
    <n v="0"/>
    <n v="0"/>
    <n v="0"/>
    <n v="0"/>
    <n v="0"/>
    <n v="0"/>
  </r>
  <r>
    <x v="788"/>
    <x v="148"/>
    <s v="NL0015000E91"/>
    <x v="0"/>
    <s v="International"/>
    <m/>
    <s v="EWCSP"/>
    <s v="Euronext Amsterdam"/>
    <s v="Non-significant benchmark"/>
    <n v="0"/>
    <n v="0"/>
    <n v="0"/>
    <n v="0"/>
    <n v="0"/>
    <n v="0"/>
    <n v="0"/>
  </r>
  <r>
    <x v="789"/>
    <x v="148"/>
    <s v="NL0015000E75"/>
    <x v="0"/>
    <s v="International"/>
    <m/>
    <s v="EWCSG"/>
    <s v="Euronext Amsterdam"/>
    <s v="Non-significant benchmark"/>
    <n v="0"/>
    <n v="0"/>
    <n v="0"/>
    <n v="0"/>
    <n v="0"/>
    <n v="0"/>
    <n v="0"/>
  </r>
  <r>
    <x v="790"/>
    <x v="148"/>
    <s v="NL0015000EB9"/>
    <x v="0"/>
    <s v="International"/>
    <m/>
    <s v="EWCSN"/>
    <s v="Euronext Amsterdam"/>
    <s v="Non-significant benchmark"/>
    <n v="0"/>
    <n v="0"/>
    <n v="0"/>
    <n v="0"/>
    <n v="0"/>
    <n v="0"/>
    <n v="0"/>
  </r>
  <r>
    <x v="791"/>
    <x v="149"/>
    <s v="FRESG0000348"/>
    <x v="1"/>
    <s v="Climate;Environmental"/>
    <s v="ESG Other"/>
    <s v="WCAMP"/>
    <s v="Euronext Paris"/>
    <s v="Non-significant benchmark"/>
    <n v="0"/>
    <n v="0"/>
    <n v="0"/>
    <n v="0"/>
    <n v="0"/>
    <n v="0"/>
    <n v="0"/>
  </r>
  <r>
    <x v="792"/>
    <x v="149"/>
    <s v="FRESG0000363"/>
    <x v="1"/>
    <s v="Climate;Environmental"/>
    <s v="ESG Other"/>
    <s v="WCAMB"/>
    <s v="Euronext Paris"/>
    <s v="Non-significant benchmark"/>
    <n v="304810000"/>
    <n v="0"/>
    <n v="205203781.808"/>
    <n v="0"/>
    <n v="0"/>
    <n v="0"/>
    <n v="304810000"/>
  </r>
  <r>
    <x v="793"/>
    <x v="149"/>
    <s v="FRESG0000355"/>
    <x v="1"/>
    <s v="Climate;Environmental"/>
    <s v="ESG Other"/>
    <s v="WCAMG"/>
    <s v="Euronext Paris"/>
    <s v="Non-significant benchmark"/>
    <n v="0"/>
    <n v="0"/>
    <n v="0"/>
    <n v="0"/>
    <n v="0"/>
    <n v="0"/>
    <n v="0"/>
  </r>
  <r>
    <x v="794"/>
    <x v="3"/>
    <s v="IE00B2QF4Z54"/>
    <x v="0"/>
    <s v="Country"/>
    <m/>
    <s v="ISECA"/>
    <s v="Euronext Dublin"/>
    <s v="Non-significant benchmark"/>
    <n v="0"/>
    <n v="0"/>
    <n v="0"/>
    <n v="0"/>
    <n v="0"/>
    <n v="0"/>
    <n v="0"/>
  </r>
  <r>
    <x v="795"/>
    <x v="3"/>
    <s v="IE00B2QF5075"/>
    <x v="0"/>
    <s v="Country"/>
    <m/>
    <s v="ISECG"/>
    <s v="Euronext Dublin"/>
    <s v="Non-significant benchmark"/>
    <n v="0"/>
    <n v="0"/>
    <n v="0"/>
    <n v="0"/>
    <n v="0"/>
    <n v="0"/>
    <n v="0"/>
  </r>
  <r>
    <x v="796"/>
    <x v="3"/>
    <s v="IE0000506299"/>
    <x v="0"/>
    <s v="Country"/>
    <m/>
    <s v="ISESM"/>
    <s v="Euronext Dublin"/>
    <s v="Non-significant benchmark"/>
    <n v="0"/>
    <n v="0"/>
    <n v="0"/>
    <n v="0"/>
    <n v="0"/>
    <n v="0"/>
    <n v="0"/>
  </r>
  <r>
    <x v="797"/>
    <x v="3"/>
    <s v="IE0000506745"/>
    <x v="0"/>
    <s v="Country"/>
    <m/>
    <s v="ISESG"/>
    <s v="Euronext Dublin"/>
    <s v="Non-significant benchmark"/>
    <n v="0"/>
    <n v="0"/>
    <n v="0"/>
    <n v="0"/>
    <n v="0"/>
    <n v="0"/>
    <n v="0"/>
  </r>
  <r>
    <x v="798"/>
    <x v="150"/>
    <s v="IE0001477250"/>
    <x v="0"/>
    <s v="Country"/>
    <m/>
    <s v="ISEQ"/>
    <s v="Euronext Dublin"/>
    <s v="Non-significant benchmark"/>
    <n v="0"/>
    <n v="0"/>
    <n v="0"/>
    <n v="0"/>
    <n v="0"/>
    <n v="0"/>
    <n v="0"/>
  </r>
  <r>
    <x v="799"/>
    <x v="150"/>
    <s v="IE0000506851"/>
    <x v="0"/>
    <s v="Country"/>
    <m/>
    <s v="ISEQG"/>
    <s v="Euronext Dublin"/>
    <s v="Non-significant benchmark"/>
    <n v="0"/>
    <n v="0"/>
    <n v="0"/>
    <n v="0"/>
    <n v="0"/>
    <n v="0"/>
    <n v="0"/>
  </r>
  <r>
    <x v="800"/>
    <x v="150"/>
    <s v="IE00BL6TX318"/>
    <x v="0"/>
    <s v="Industry"/>
    <m/>
    <s v="ISEBM"/>
    <s v="Euronext Dublin"/>
    <s v="Non-significant benchmark"/>
    <n v="0"/>
    <n v="0"/>
    <n v="0"/>
    <n v="0"/>
    <n v="0"/>
    <n v="0"/>
    <n v="0"/>
  </r>
  <r>
    <x v="801"/>
    <x v="150"/>
    <s v="IE00BL6TX425"/>
    <x v="0"/>
    <s v="Industry"/>
    <m/>
    <s v="ISEBG"/>
    <s v="Euronext Dublin"/>
    <s v="Non-significant benchmark"/>
    <n v="0"/>
    <n v="0"/>
    <n v="0"/>
    <n v="0"/>
    <n v="0"/>
    <n v="0"/>
    <n v="0"/>
  </r>
  <r>
    <x v="802"/>
    <x v="150"/>
    <s v="IE00BL6TX532"/>
    <x v="0"/>
    <s v="Industry"/>
    <m/>
    <s v="ISCG"/>
    <s v="Euronext Dublin"/>
    <s v="Non-significant benchmark"/>
    <n v="0"/>
    <n v="0"/>
    <n v="0"/>
    <n v="0"/>
    <n v="0"/>
    <n v="0"/>
    <n v="0"/>
  </r>
  <r>
    <x v="803"/>
    <x v="150"/>
    <s v="IE00BL6TX649"/>
    <x v="0"/>
    <s v="Industry"/>
    <m/>
    <s v="ISCGG"/>
    <s v="Euronext Dublin"/>
    <s v="Non-significant benchmark"/>
    <n v="0"/>
    <n v="0"/>
    <n v="0"/>
    <n v="0"/>
    <n v="0"/>
    <n v="0"/>
    <n v="0"/>
  </r>
  <r>
    <x v="804"/>
    <x v="150"/>
    <s v="IE00BL6TX755"/>
    <x v="0"/>
    <s v="Industry"/>
    <m/>
    <s v="ISECS"/>
    <s v="Euronext Dublin"/>
    <s v="Non-significant benchmark"/>
    <n v="0"/>
    <n v="0"/>
    <n v="0"/>
    <n v="0"/>
    <n v="0"/>
    <n v="0"/>
    <n v="0"/>
  </r>
  <r>
    <x v="805"/>
    <x v="150"/>
    <s v="IE00BL6TX862"/>
    <x v="0"/>
    <s v="Industry"/>
    <m/>
    <s v="ISCSG"/>
    <s v="Euronext Dublin"/>
    <s v="Non-significant benchmark"/>
    <n v="0"/>
    <n v="0"/>
    <n v="0"/>
    <n v="0"/>
    <n v="0"/>
    <n v="0"/>
    <n v="0"/>
  </r>
  <r>
    <x v="806"/>
    <x v="150"/>
    <s v="IE00BL6TXF35"/>
    <x v="0"/>
    <s v="Industry"/>
    <m/>
    <s v="ISEOG"/>
    <s v="Euronext Dublin"/>
    <s v="Non-significant benchmark"/>
    <n v="0"/>
    <n v="0"/>
    <n v="0"/>
    <n v="0"/>
    <n v="0"/>
    <n v="0"/>
    <n v="0"/>
  </r>
  <r>
    <x v="807"/>
    <x v="150"/>
    <s v="IE00BL6TXG42"/>
    <x v="0"/>
    <s v="Industry"/>
    <m/>
    <s v="ISOGG"/>
    <s v="Euronext Dublin"/>
    <s v="Non-significant benchmark"/>
    <n v="0"/>
    <n v="0"/>
    <n v="0"/>
    <n v="0"/>
    <n v="0"/>
    <n v="0"/>
    <n v="0"/>
  </r>
  <r>
    <x v="808"/>
    <x v="150"/>
    <s v="IE0000516009"/>
    <x v="0"/>
    <s v="Industry"/>
    <m/>
    <s v="ISEFI"/>
    <s v="Euronext Dublin"/>
    <s v="Non-significant benchmark"/>
    <n v="0"/>
    <n v="0"/>
    <n v="0"/>
    <n v="0"/>
    <n v="0"/>
    <n v="0"/>
    <n v="0"/>
  </r>
  <r>
    <x v="809"/>
    <x v="150"/>
    <s v="IE0000511505"/>
    <x v="0"/>
    <s v="Industry"/>
    <m/>
    <s v="ISEFG"/>
    <s v="Euronext Dublin"/>
    <s v="Non-significant benchmark"/>
    <n v="0"/>
    <n v="0"/>
    <n v="0"/>
    <n v="0"/>
    <n v="0"/>
    <n v="0"/>
    <n v="0"/>
  </r>
  <r>
    <x v="810"/>
    <x v="150"/>
    <s v="IE00BL6TX979"/>
    <x v="0"/>
    <s v="Industry"/>
    <m/>
    <s v="ISEHC"/>
    <s v="Euronext Dublin"/>
    <s v="Non-significant benchmark"/>
    <n v="0"/>
    <n v="0"/>
    <n v="0"/>
    <n v="0"/>
    <n v="0"/>
    <n v="0"/>
    <n v="0"/>
  </r>
  <r>
    <x v="811"/>
    <x v="150"/>
    <s v="IE00BL6TXB96"/>
    <x v="0"/>
    <s v="Industry"/>
    <m/>
    <s v="ISHCG"/>
    <s v="Euronext Dublin"/>
    <s v="Non-significant benchmark"/>
    <n v="0"/>
    <n v="0"/>
    <n v="0"/>
    <n v="0"/>
    <n v="0"/>
    <n v="0"/>
    <n v="0"/>
  </r>
  <r>
    <x v="812"/>
    <x v="150"/>
    <s v="IE00BL6TXC04"/>
    <x v="0"/>
    <s v="Industry"/>
    <m/>
    <s v="ISEIN"/>
    <s v="Euronext Dublin"/>
    <s v="Non-significant benchmark"/>
    <n v="0"/>
    <n v="0"/>
    <n v="0"/>
    <n v="0"/>
    <n v="0"/>
    <n v="0"/>
    <n v="0"/>
  </r>
  <r>
    <x v="813"/>
    <x v="150"/>
    <s v="IE00BL6TXD11"/>
    <x v="0"/>
    <s v="Industry"/>
    <m/>
    <s v="ISING"/>
    <s v="Euronext Dublin"/>
    <s v="Non-significant benchmark"/>
    <n v="0"/>
    <n v="0"/>
    <n v="0"/>
    <n v="0"/>
    <n v="0"/>
    <n v="0"/>
    <n v="0"/>
  </r>
  <r>
    <x v="814"/>
    <x v="150"/>
    <s v="IE00BM7VR644"/>
    <x v="0"/>
    <s v="Industry"/>
    <m/>
    <s v="ISRE"/>
    <s v="Euronext Dublin"/>
    <s v="Non-significant benchmark"/>
    <n v="0"/>
    <n v="0"/>
    <n v="0"/>
    <n v="0"/>
    <n v="0"/>
    <n v="0"/>
    <n v="0"/>
  </r>
  <r>
    <x v="815"/>
    <x v="150"/>
    <s v="IE00BM7VR750"/>
    <x v="0"/>
    <s v="Industry"/>
    <m/>
    <s v="ISREG"/>
    <s v="Euronext Dublin"/>
    <s v="Non-significant benchmark"/>
    <n v="0"/>
    <n v="0"/>
    <n v="0"/>
    <n v="0"/>
    <n v="0"/>
    <n v="0"/>
    <n v="0"/>
  </r>
  <r>
    <x v="816"/>
    <x v="150"/>
    <s v="IE00BL6TXH58"/>
    <x v="0"/>
    <s v="Industry"/>
    <m/>
    <s v="ISETE"/>
    <s v="Euronext Dublin"/>
    <s v="Non-significant benchmark"/>
    <n v="0"/>
    <n v="0"/>
    <n v="0"/>
    <n v="0"/>
    <n v="0"/>
    <n v="0"/>
    <n v="0"/>
  </r>
  <r>
    <x v="817"/>
    <x v="150"/>
    <s v="IE00BL6TXJ72"/>
    <x v="0"/>
    <s v="Industry"/>
    <m/>
    <s v="ISETG"/>
    <s v="Euronext Dublin"/>
    <s v="Non-significant benchmark"/>
    <n v="0"/>
    <n v="0"/>
    <n v="0"/>
    <n v="0"/>
    <n v="0"/>
    <n v="0"/>
    <n v="0"/>
  </r>
  <r>
    <x v="818"/>
    <x v="150"/>
    <s v="IE00BMT9LK88"/>
    <x v="0"/>
    <s v="Industry"/>
    <m/>
    <s v="ISUT"/>
    <s v="Euronext Dublin"/>
    <s v="Non-significant benchmark"/>
    <n v="0"/>
    <n v="0"/>
    <n v="0"/>
    <n v="0"/>
    <n v="0"/>
    <n v="0"/>
    <n v="0"/>
  </r>
  <r>
    <x v="819"/>
    <x v="150"/>
    <s v="IE00BMT9LL95"/>
    <x v="0"/>
    <s v="Industry"/>
    <m/>
    <s v="ISUTG"/>
    <s v="Euronext Dublin"/>
    <s v="Non-significant benchmark"/>
    <n v="0"/>
    <n v="0"/>
    <n v="0"/>
    <n v="0"/>
    <n v="0"/>
    <n v="0"/>
    <n v="0"/>
  </r>
  <r>
    <x v="820"/>
    <x v="151"/>
    <s v="NL0010661898"/>
    <x v="0"/>
    <s v="Strategy"/>
    <m/>
    <s v="ITX7L"/>
    <s v="Euronext Paris"/>
    <s v="Non-significant benchmark"/>
    <n v="0"/>
    <n v="0"/>
    <n v="0"/>
    <n v="0"/>
    <n v="0"/>
    <n v="0"/>
    <n v="0"/>
  </r>
  <r>
    <x v="821"/>
    <x v="151"/>
    <s v="NL0010661906"/>
    <x v="0"/>
    <s v="Strategy"/>
    <m/>
    <s v="ITX7S"/>
    <s v="Euronext Paris"/>
    <s v="Non-significant benchmark"/>
    <n v="0"/>
    <n v="0"/>
    <n v="0"/>
    <n v="0"/>
    <n v="0"/>
    <n v="0"/>
    <n v="0"/>
  </r>
  <r>
    <x v="822"/>
    <x v="152"/>
    <s v="QS0011095898"/>
    <x v="0"/>
    <s v="Strategy"/>
    <m/>
    <s v="AEXLV"/>
    <s v="Euronext Paris"/>
    <s v="Non-significant benchmark"/>
    <n v="0"/>
    <n v="0"/>
    <n v="0"/>
    <n v="0"/>
    <n v="0"/>
    <n v="0"/>
    <n v="0"/>
  </r>
  <r>
    <x v="823"/>
    <x v="152"/>
    <s v="QS0011179239"/>
    <x v="0"/>
    <s v="Strategy"/>
    <m/>
    <s v="AEXTL"/>
    <s v="Euronext Paris"/>
    <s v="Non-significant benchmark"/>
    <n v="0"/>
    <n v="0"/>
    <n v="0"/>
    <n v="0"/>
    <n v="0"/>
    <n v="0"/>
    <n v="0"/>
  </r>
  <r>
    <x v="824"/>
    <x v="152"/>
    <s v="QS0011216205"/>
    <x v="0"/>
    <s v="Strategy"/>
    <m/>
    <s v="AEXNL"/>
    <s v="Euronext Paris"/>
    <s v="Non-significant benchmark"/>
    <n v="0"/>
    <n v="0"/>
    <n v="0"/>
    <n v="0"/>
    <n v="0"/>
    <n v="0"/>
    <n v="0"/>
  </r>
  <r>
    <x v="825"/>
    <x v="152"/>
    <s v="QS0011095914"/>
    <x v="0"/>
    <s v="Strategy"/>
    <m/>
    <s v="AEXSH"/>
    <s v="Euronext Paris"/>
    <s v="Non-significant benchmark"/>
    <n v="0"/>
    <n v="0"/>
    <n v="0"/>
    <n v="0"/>
    <n v="0"/>
    <n v="0"/>
    <n v="0"/>
  </r>
  <r>
    <x v="826"/>
    <x v="152"/>
    <s v="FR0013504768"/>
    <x v="0"/>
    <s v="Strategy"/>
    <m/>
    <s v="ALE10"/>
    <s v="Euronext Paris"/>
    <s v="Non-significant benchmark"/>
    <n v="0"/>
    <n v="0"/>
    <n v="0"/>
    <n v="0"/>
    <n v="0"/>
    <n v="0"/>
    <n v="0"/>
  </r>
  <r>
    <x v="827"/>
    <x v="152"/>
    <s v="NL0011515390"/>
    <x v="0"/>
    <s v="Strategy"/>
    <m/>
    <s v="AE10S"/>
    <s v="Euronext Paris"/>
    <s v="Non-significant benchmark"/>
    <n v="0"/>
    <n v="0"/>
    <n v="0"/>
    <n v="0"/>
    <n v="0"/>
    <n v="0"/>
    <n v="0"/>
  </r>
  <r>
    <x v="828"/>
    <x v="152"/>
    <s v="NL0011936141"/>
    <x v="0"/>
    <s v="Strategy"/>
    <m/>
    <s v="A12LE"/>
    <s v="Euronext Paris"/>
    <s v="Non-significant benchmark"/>
    <n v="0"/>
    <n v="0"/>
    <n v="0"/>
    <n v="0"/>
    <n v="0"/>
    <n v="0"/>
    <n v="0"/>
  </r>
  <r>
    <x v="829"/>
    <x v="152"/>
    <s v="NL0011515408"/>
    <x v="0"/>
    <s v="Strategy"/>
    <m/>
    <s v="AE12S"/>
    <s v="Euronext Paris"/>
    <s v="Non-significant benchmark"/>
    <n v="0"/>
    <n v="0"/>
    <n v="0"/>
    <n v="0"/>
    <n v="0"/>
    <n v="0"/>
    <n v="0"/>
  </r>
  <r>
    <x v="830"/>
    <x v="152"/>
    <s v="FR0013504743"/>
    <x v="0"/>
    <s v="Strategy"/>
    <m/>
    <s v="ALE15"/>
    <s v="Euronext Paris"/>
    <s v="Non-significant benchmark"/>
    <n v="0"/>
    <n v="0"/>
    <n v="0"/>
    <n v="0"/>
    <n v="0"/>
    <n v="0"/>
    <n v="0"/>
  </r>
  <r>
    <x v="831"/>
    <x v="152"/>
    <s v="NL0011515416"/>
    <x v="0"/>
    <s v="Strategy"/>
    <m/>
    <s v="AE15S"/>
    <s v="Euronext Paris"/>
    <s v="Non-significant benchmark"/>
    <n v="0"/>
    <n v="0"/>
    <n v="0"/>
    <n v="0"/>
    <n v="0"/>
    <n v="0"/>
    <n v="0"/>
  </r>
  <r>
    <x v="832"/>
    <x v="152"/>
    <s v="QS0011146899"/>
    <x v="0"/>
    <s v="Strategy"/>
    <m/>
    <s v="AEX2S"/>
    <s v="Euronext Paris"/>
    <s v="Non-significant benchmark"/>
    <n v="0"/>
    <n v="0"/>
    <n v="0"/>
    <n v="0"/>
    <n v="0"/>
    <n v="0"/>
    <n v="0"/>
  </r>
  <r>
    <x v="833"/>
    <x v="152"/>
    <s v="QS0011230115"/>
    <x v="0"/>
    <s v="Strategy"/>
    <m/>
    <s v="AEX3L"/>
    <s v="Euronext Paris"/>
    <s v="Non-significant benchmark"/>
    <n v="0"/>
    <n v="0"/>
    <n v="0"/>
    <n v="0"/>
    <n v="0"/>
    <n v="0"/>
    <n v="0"/>
  </r>
  <r>
    <x v="834"/>
    <x v="152"/>
    <s v="QS0011230198"/>
    <x v="0"/>
    <e v="#N/A"/>
    <m/>
    <s v="AEX3S"/>
    <s v="Euronext Paris"/>
    <s v="Non-significant benchmark"/>
    <n v="0"/>
    <n v="0"/>
    <n v="0"/>
    <n v="0"/>
    <n v="0"/>
    <n v="0"/>
    <n v="0"/>
  </r>
  <r>
    <x v="835"/>
    <x v="152"/>
    <s v="QS0011230156"/>
    <x v="0"/>
    <s v="Strategy"/>
    <m/>
    <s v="AEX4L"/>
    <s v="Euronext Paris"/>
    <s v="Non-significant benchmark"/>
    <n v="0"/>
    <n v="0"/>
    <n v="0"/>
    <n v="0"/>
    <n v="0"/>
    <n v="0"/>
    <n v="0"/>
  </r>
  <r>
    <x v="836"/>
    <x v="152"/>
    <s v="QS0011230206"/>
    <x v="0"/>
    <s v="Strategy"/>
    <m/>
    <s v="AEX4S"/>
    <s v="Euronext Paris"/>
    <s v="Non-significant benchmark"/>
    <n v="0"/>
    <n v="0"/>
    <n v="0"/>
    <n v="0"/>
    <n v="0"/>
    <n v="0"/>
    <n v="0"/>
  </r>
  <r>
    <x v="837"/>
    <x v="152"/>
    <s v="QS0011230164"/>
    <x v="0"/>
    <s v="Strategy"/>
    <m/>
    <s v="AEX5L"/>
    <s v="Euronext Paris"/>
    <s v="Non-significant benchmark"/>
    <n v="0"/>
    <n v="0"/>
    <n v="0"/>
    <n v="0"/>
    <n v="0"/>
    <n v="0"/>
    <n v="0"/>
  </r>
  <r>
    <x v="838"/>
    <x v="152"/>
    <s v="QS0011230214"/>
    <x v="0"/>
    <s v="Strategy"/>
    <m/>
    <s v="AEX5S"/>
    <s v="Euronext Paris"/>
    <s v="Non-significant benchmark"/>
    <n v="0"/>
    <n v="0"/>
    <n v="0"/>
    <n v="0"/>
    <n v="0"/>
    <n v="0"/>
    <n v="0"/>
  </r>
  <r>
    <x v="839"/>
    <x v="152"/>
    <s v="QS0011230172"/>
    <x v="0"/>
    <s v="Strategy"/>
    <m/>
    <s v="AEX6L"/>
    <s v="Euronext Paris"/>
    <s v="Non-significant benchmark"/>
    <n v="0"/>
    <n v="0"/>
    <n v="0"/>
    <n v="0"/>
    <n v="0"/>
    <n v="0"/>
    <n v="0"/>
  </r>
  <r>
    <x v="840"/>
    <x v="152"/>
    <s v="QS0011230222"/>
    <x v="0"/>
    <s v="Strategy"/>
    <m/>
    <s v="AEX6S"/>
    <s v="Euronext Paris"/>
    <s v="Non-significant benchmark"/>
    <n v="0"/>
    <n v="0"/>
    <n v="0"/>
    <n v="0"/>
    <n v="0"/>
    <n v="0"/>
    <n v="0"/>
  </r>
  <r>
    <x v="841"/>
    <x v="152"/>
    <s v="QS0011230180"/>
    <x v="0"/>
    <e v="#N/A"/>
    <m/>
    <s v="AEX7L"/>
    <s v="Euronext Paris"/>
    <s v="Non-significant benchmark"/>
    <n v="0"/>
    <n v="0"/>
    <n v="0"/>
    <n v="0"/>
    <n v="0"/>
    <n v="0"/>
    <n v="0"/>
  </r>
  <r>
    <x v="842"/>
    <x v="152"/>
    <s v="FR0013362985"/>
    <x v="0"/>
    <s v="Strategy"/>
    <m/>
    <s v="AEX7S"/>
    <s v="Euronext Paris"/>
    <s v="Non-significant benchmark"/>
    <n v="0"/>
    <n v="0"/>
    <n v="0"/>
    <n v="0"/>
    <n v="0"/>
    <n v="0"/>
    <n v="0"/>
  </r>
  <r>
    <x v="843"/>
    <x v="152"/>
    <s v="QS0011100854"/>
    <x v="0"/>
    <s v="Strategy"/>
    <m/>
    <s v="AEXXB"/>
    <s v="Euronext Paris"/>
    <s v="Non-significant benchmark"/>
    <n v="0"/>
    <n v="0"/>
    <n v="0"/>
    <n v="0"/>
    <n v="0"/>
    <n v="0"/>
    <n v="0"/>
  </r>
  <r>
    <x v="844"/>
    <x v="152"/>
    <s v="QS0011095864"/>
    <x v="0"/>
    <s v="Strategy"/>
    <m/>
    <s v="BELLV"/>
    <s v="Euronext Paris"/>
    <s v="Non-significant benchmark"/>
    <n v="0"/>
    <n v="0"/>
    <n v="0"/>
    <n v="0"/>
    <n v="0"/>
    <n v="0"/>
    <n v="0"/>
  </r>
  <r>
    <x v="845"/>
    <x v="152"/>
    <s v="QS0011179247"/>
    <x v="0"/>
    <s v="Strategy"/>
    <m/>
    <s v="BELTL"/>
    <s v="Euronext Paris"/>
    <s v="Non-significant benchmark"/>
    <n v="0"/>
    <n v="0"/>
    <n v="0"/>
    <n v="0"/>
    <n v="0"/>
    <n v="0"/>
    <n v="0"/>
  </r>
  <r>
    <x v="846"/>
    <x v="152"/>
    <s v="QS0011095880"/>
    <x v="0"/>
    <s v="Strategy"/>
    <m/>
    <s v="BELSH"/>
    <s v="Euronext Paris"/>
    <s v="Non-significant benchmark"/>
    <n v="0"/>
    <n v="0"/>
    <n v="0"/>
    <n v="0"/>
    <n v="0"/>
    <n v="0"/>
    <n v="0"/>
  </r>
  <r>
    <x v="847"/>
    <x v="152"/>
    <s v="QS0011146915"/>
    <x v="0"/>
    <s v="Strategy"/>
    <m/>
    <s v="BEL3L"/>
    <s v="Euronext Paris"/>
    <s v="Non-significant benchmark"/>
    <n v="0"/>
    <n v="0"/>
    <n v="0"/>
    <n v="0"/>
    <n v="0"/>
    <n v="0"/>
    <n v="0"/>
  </r>
  <r>
    <x v="848"/>
    <x v="152"/>
    <s v="QS0011146923"/>
    <x v="0"/>
    <s v="Strategy"/>
    <m/>
    <s v="BEL2S"/>
    <s v="Euronext Paris"/>
    <s v="Non-significant benchmark"/>
    <n v="0"/>
    <n v="0"/>
    <n v="0"/>
    <n v="0"/>
    <n v="0"/>
    <n v="0"/>
    <n v="0"/>
  </r>
  <r>
    <x v="849"/>
    <x v="152"/>
    <s v="BE0389916736"/>
    <x v="0"/>
    <s v="Strategy"/>
    <m/>
    <s v="BE3LN"/>
    <s v="Euronext Paris"/>
    <s v="Non-significant benchmark"/>
    <n v="0"/>
    <n v="0"/>
    <n v="0"/>
    <n v="0"/>
    <n v="0"/>
    <n v="0"/>
    <n v="0"/>
  </r>
  <r>
    <x v="850"/>
    <x v="152"/>
    <s v="QS0011146931"/>
    <x v="0"/>
    <s v="Strategy"/>
    <m/>
    <s v="BEL3S"/>
    <s v="Euronext Paris"/>
    <s v="Non-significant benchmark"/>
    <n v="0"/>
    <n v="0"/>
    <n v="0"/>
    <n v="0"/>
    <n v="0"/>
    <n v="0"/>
    <n v="0"/>
  </r>
  <r>
    <x v="851"/>
    <x v="152"/>
    <s v="BE0389914715"/>
    <x v="0"/>
    <s v="Strategy"/>
    <m/>
    <s v="BEL5L"/>
    <s v="Euronext Paris"/>
    <s v="Non-significant benchmark"/>
    <n v="0"/>
    <n v="0"/>
    <n v="0"/>
    <n v="0"/>
    <n v="0"/>
    <n v="0"/>
    <n v="0"/>
  </r>
  <r>
    <x v="852"/>
    <x v="152"/>
    <s v="BE0389915720"/>
    <x v="0"/>
    <s v="Strategy"/>
    <m/>
    <s v="BEL5S"/>
    <s v="Euronext Paris"/>
    <s v="Non-significant benchmark"/>
    <n v="0"/>
    <n v="0"/>
    <n v="0"/>
    <n v="0"/>
    <n v="0"/>
    <n v="0"/>
    <n v="0"/>
  </r>
  <r>
    <x v="853"/>
    <x v="152"/>
    <s v="QS0011100847"/>
    <x v="0"/>
    <s v="Strategy"/>
    <m/>
    <s v="BELXB"/>
    <s v="Euronext Paris"/>
    <s v="Non-significant benchmark"/>
    <n v="0"/>
    <n v="0"/>
    <n v="0"/>
    <n v="0"/>
    <n v="0"/>
    <n v="0"/>
    <n v="0"/>
  </r>
  <r>
    <x v="854"/>
    <x v="152"/>
    <s v="QS0011095815"/>
    <x v="0"/>
    <s v="Strategy"/>
    <m/>
    <s v="CACLV"/>
    <s v="Euronext Paris"/>
    <s v="Non-significant benchmark"/>
    <n v="0"/>
    <n v="0"/>
    <n v="0"/>
    <n v="0"/>
    <n v="0"/>
    <n v="0"/>
    <n v="0"/>
  </r>
  <r>
    <x v="855"/>
    <x v="152"/>
    <s v="QS0011216213"/>
    <x v="0"/>
    <s v="Strategy"/>
    <m/>
    <s v="CACGL"/>
    <s v="Euronext Paris"/>
    <s v="Non-significant benchmark"/>
    <n v="0"/>
    <n v="0"/>
    <n v="0"/>
    <n v="251531094"/>
    <n v="0"/>
    <n v="0"/>
    <n v="251531094"/>
  </r>
  <r>
    <x v="856"/>
    <x v="152"/>
    <s v="QS0011179221"/>
    <x v="0"/>
    <s v="Strategy"/>
    <m/>
    <s v="CACTL"/>
    <s v="Euronext Paris"/>
    <s v="Non-significant benchmark"/>
    <n v="0"/>
    <n v="0"/>
    <n v="0"/>
    <n v="0"/>
    <n v="0"/>
    <n v="0"/>
    <n v="0"/>
  </r>
  <r>
    <x v="857"/>
    <x v="152"/>
    <s v="QS0011095831"/>
    <x v="0"/>
    <s v="Strategy"/>
    <m/>
    <s v="CACSH"/>
    <s v="Euronext Paris"/>
    <s v="Non-significant benchmark"/>
    <n v="0"/>
    <n v="0"/>
    <n v="0"/>
    <n v="175119088"/>
    <n v="0"/>
    <n v="0"/>
    <n v="175119088"/>
  </r>
  <r>
    <x v="858"/>
    <x v="152"/>
    <s v="FR0013362993"/>
    <x v="0"/>
    <s v="Strategy"/>
    <m/>
    <s v="CA10L"/>
    <s v="Euronext Paris"/>
    <s v="Non-significant benchmark"/>
    <n v="0"/>
    <n v="0"/>
    <n v="0"/>
    <n v="0"/>
    <n v="0"/>
    <n v="0"/>
    <n v="0"/>
  </r>
  <r>
    <x v="859"/>
    <x v="152"/>
    <s v="FR0013361573"/>
    <x v="0"/>
    <s v="Strategy"/>
    <m/>
    <s v="CA10S"/>
    <s v="Euronext Paris"/>
    <s v="Non-significant benchmark"/>
    <n v="0"/>
    <n v="0"/>
    <n v="0"/>
    <n v="0"/>
    <n v="108000"/>
    <n v="0"/>
    <n v="108000"/>
  </r>
  <r>
    <x v="860"/>
    <x v="152"/>
    <s v="FR0013186939"/>
    <x v="0"/>
    <s v="Strategy"/>
    <m/>
    <s v="C12LE"/>
    <s v="Euronext Paris"/>
    <s v="Non-significant benchmark"/>
    <n v="0"/>
    <n v="0"/>
    <n v="0"/>
    <n v="0"/>
    <n v="0"/>
    <n v="0"/>
    <n v="0"/>
  </r>
  <r>
    <x v="861"/>
    <x v="152"/>
    <s v="FR0013361649"/>
    <x v="0"/>
    <s v="Strategy"/>
    <m/>
    <s v="CA12S"/>
    <s v="Euronext Paris"/>
    <s v="Non-significant benchmark"/>
    <n v="0"/>
    <n v="0"/>
    <n v="0"/>
    <n v="0"/>
    <n v="0"/>
    <n v="0"/>
    <n v="0"/>
  </r>
  <r>
    <x v="862"/>
    <x v="152"/>
    <s v="FR0013504735"/>
    <x v="0"/>
    <s v="Strategy"/>
    <m/>
    <s v="CLE15"/>
    <s v="Euronext Paris"/>
    <s v="Non-significant benchmark"/>
    <n v="0"/>
    <n v="0"/>
    <n v="0"/>
    <n v="0"/>
    <n v="68400"/>
    <n v="0"/>
    <n v="68400"/>
  </r>
  <r>
    <x v="863"/>
    <x v="152"/>
    <s v="FR0013504776"/>
    <x v="0"/>
    <s v="Strategy"/>
    <m/>
    <s v="CSH15"/>
    <s v="Euronext Paris"/>
    <s v="Non-significant benchmark"/>
    <n v="0"/>
    <n v="0"/>
    <n v="0"/>
    <n v="0"/>
    <n v="16050"/>
    <n v="0"/>
    <n v="16050"/>
  </r>
  <r>
    <x v="864"/>
    <x v="152"/>
    <s v="QS0011146865"/>
    <x v="0"/>
    <s v="Strategy"/>
    <m/>
    <s v="CAC2S"/>
    <s v="Euronext Paris"/>
    <s v="Non-significant benchmark"/>
    <n v="0"/>
    <n v="0"/>
    <n v="0"/>
    <n v="228116963"/>
    <n v="4130000"/>
    <n v="0"/>
    <n v="232246963"/>
  </r>
  <r>
    <x v="865"/>
    <x v="152"/>
    <s v="FR0013362662"/>
    <x v="0"/>
    <s v="Strategy"/>
    <m/>
    <s v="CAC3L"/>
    <s v="Euronext Paris"/>
    <s v="Non-significant benchmark"/>
    <n v="0"/>
    <n v="0"/>
    <n v="0"/>
    <n v="984767"/>
    <n v="38880000"/>
    <n v="0"/>
    <n v="39864767"/>
  </r>
  <r>
    <x v="866"/>
    <x v="152"/>
    <s v="FR0013362688"/>
    <x v="0"/>
    <s v="Strategy"/>
    <m/>
    <s v="CAC3S"/>
    <s v="Euronext Paris"/>
    <s v="Non-significant benchmark"/>
    <n v="0"/>
    <n v="0"/>
    <n v="0"/>
    <n v="976967"/>
    <n v="0"/>
    <n v="0"/>
    <n v="976967"/>
  </r>
  <r>
    <x v="867"/>
    <x v="152"/>
    <s v="FR0013362811"/>
    <x v="0"/>
    <s v="Strategy"/>
    <m/>
    <s v="CAC4L"/>
    <s v="Euronext Paris"/>
    <s v="Non-significant benchmark"/>
    <n v="0"/>
    <n v="0"/>
    <n v="0"/>
    <n v="0"/>
    <n v="27640000"/>
    <n v="0"/>
    <n v="27640000"/>
  </r>
  <r>
    <x v="868"/>
    <x v="152"/>
    <s v="FR0013362837"/>
    <x v="0"/>
    <s v="Strategy"/>
    <m/>
    <s v="CAC4S"/>
    <s v="Euronext Paris"/>
    <s v="Non-significant benchmark"/>
    <n v="0"/>
    <n v="0"/>
    <n v="0"/>
    <n v="0"/>
    <n v="288110"/>
    <n v="0"/>
    <n v="288110"/>
  </r>
  <r>
    <x v="869"/>
    <x v="152"/>
    <s v="FR0013361359"/>
    <x v="0"/>
    <s v="Strategy"/>
    <m/>
    <s v="CAC5L"/>
    <s v="Euronext Paris"/>
    <s v="Non-significant benchmark"/>
    <n v="0"/>
    <n v="0"/>
    <n v="0"/>
    <n v="0"/>
    <n v="127145000"/>
    <n v="0"/>
    <n v="127145000"/>
  </r>
  <r>
    <x v="870"/>
    <x v="152"/>
    <s v="FR0013360666"/>
    <x v="0"/>
    <s v="Strategy"/>
    <m/>
    <s v="CAC5S"/>
    <s v="Euronext Paris"/>
    <s v="Non-significant benchmark"/>
    <n v="0"/>
    <n v="0"/>
    <n v="0"/>
    <n v="0"/>
    <n v="2160"/>
    <n v="0"/>
    <n v="2160"/>
  </r>
  <r>
    <x v="871"/>
    <x v="152"/>
    <s v="FR0013362852"/>
    <x v="0"/>
    <s v="Strategy"/>
    <m/>
    <s v="CAC6L"/>
    <s v="Euronext Paris"/>
    <s v="Non-significant benchmark"/>
    <n v="0"/>
    <n v="0"/>
    <n v="0"/>
    <n v="0"/>
    <n v="0"/>
    <n v="0"/>
    <n v="0"/>
  </r>
  <r>
    <x v="872"/>
    <x v="152"/>
    <s v="FR0013362878"/>
    <x v="0"/>
    <s v="Strategy"/>
    <m/>
    <s v="CAC6S"/>
    <s v="Euronext Paris"/>
    <s v="Non-significant benchmark"/>
    <n v="0"/>
    <n v="0"/>
    <n v="0"/>
    <n v="0"/>
    <n v="0"/>
    <n v="0"/>
    <n v="0"/>
  </r>
  <r>
    <x v="873"/>
    <x v="152"/>
    <s v="FR0013362860"/>
    <x v="0"/>
    <s v="Strategy"/>
    <m/>
    <s v="CAC7L"/>
    <s v="Euronext Paris"/>
    <s v="Non-significant benchmark"/>
    <n v="0"/>
    <n v="0"/>
    <n v="0"/>
    <n v="0"/>
    <n v="2349100"/>
    <n v="0"/>
    <n v="2349100"/>
  </r>
  <r>
    <x v="874"/>
    <x v="152"/>
    <s v="FR0013364395"/>
    <x v="0"/>
    <s v="Strategy"/>
    <m/>
    <s v="CAC7S"/>
    <s v="Euronext Paris"/>
    <s v="Non-significant benchmark"/>
    <n v="0"/>
    <n v="0"/>
    <n v="0"/>
    <n v="0"/>
    <n v="1050"/>
    <n v="0"/>
    <n v="1050"/>
  </r>
  <r>
    <x v="875"/>
    <x v="152"/>
    <s v="QS0011095856"/>
    <x v="0"/>
    <s v="Strategy"/>
    <m/>
    <s v="CACXB"/>
    <s v="Euronext Paris"/>
    <s v="Non-significant benchmark"/>
    <n v="0"/>
    <n v="0"/>
    <n v="0"/>
    <n v="0"/>
    <n v="0"/>
    <n v="0"/>
    <n v="0"/>
  </r>
  <r>
    <x v="876"/>
    <x v="152"/>
    <s v="IE00B2QF4Y48"/>
    <x v="0"/>
    <s v="Strategy"/>
    <m/>
    <s v="ISELV"/>
    <s v="Euronext Paris"/>
    <s v="Non-significant benchmark"/>
    <n v="0"/>
    <n v="0"/>
    <n v="0"/>
    <n v="0"/>
    <n v="0"/>
    <n v="0"/>
    <n v="0"/>
  </r>
  <r>
    <x v="877"/>
    <x v="152"/>
    <s v="QS0011095922"/>
    <x v="0"/>
    <s v="Strategy"/>
    <m/>
    <s v="PSILV"/>
    <s v="Euronext Paris"/>
    <s v="Non-significant benchmark"/>
    <n v="0"/>
    <n v="0"/>
    <n v="0"/>
    <n v="0"/>
    <n v="0"/>
    <n v="0"/>
    <n v="0"/>
  </r>
  <r>
    <x v="878"/>
    <x v="152"/>
    <s v="QS0011179254"/>
    <x v="0"/>
    <s v="Strategy"/>
    <m/>
    <s v="PSITL"/>
    <s v="Euronext Paris"/>
    <s v="Non-significant benchmark"/>
    <n v="0"/>
    <n v="0"/>
    <n v="0"/>
    <n v="0"/>
    <n v="0"/>
    <n v="0"/>
    <n v="0"/>
  </r>
  <r>
    <x v="879"/>
    <x v="152"/>
    <s v="QS0011095948"/>
    <x v="0"/>
    <s v="Strategy"/>
    <m/>
    <s v="PSISH"/>
    <s v="Euronext Paris"/>
    <s v="Non-significant benchmark"/>
    <n v="0"/>
    <n v="0"/>
    <n v="0"/>
    <n v="0"/>
    <n v="0"/>
    <n v="0"/>
    <n v="0"/>
  </r>
  <r>
    <x v="880"/>
    <x v="152"/>
    <s v="QS0011146949"/>
    <x v="0"/>
    <s v="Strategy"/>
    <m/>
    <s v="PSI3L"/>
    <s v="Euronext Paris"/>
    <s v="Non-significant benchmark"/>
    <n v="0"/>
    <n v="0"/>
    <n v="0"/>
    <n v="0"/>
    <n v="0"/>
    <n v="0"/>
    <n v="0"/>
  </r>
  <r>
    <x v="881"/>
    <x v="152"/>
    <s v="QS0011146956"/>
    <x v="0"/>
    <s v="Strategy"/>
    <m/>
    <s v="PSI2S"/>
    <s v="Euronext Paris"/>
    <s v="Non-significant benchmark"/>
    <n v="0"/>
    <n v="0"/>
    <n v="0"/>
    <n v="0"/>
    <n v="0"/>
    <n v="0"/>
    <n v="0"/>
  </r>
  <r>
    <x v="882"/>
    <x v="152"/>
    <s v="PTINO0220004"/>
    <x v="0"/>
    <s v="Strategy"/>
    <m/>
    <s v="PS3LN"/>
    <s v="Euronext Paris"/>
    <s v="Non-significant benchmark"/>
    <n v="0"/>
    <n v="0"/>
    <n v="0"/>
    <n v="0"/>
    <n v="0"/>
    <n v="0"/>
    <n v="0"/>
  </r>
  <r>
    <x v="883"/>
    <x v="152"/>
    <s v="QS0011146964"/>
    <x v="0"/>
    <s v="Strategy"/>
    <m/>
    <s v="PSI3S"/>
    <s v="Euronext Paris"/>
    <s v="Non-significant benchmark"/>
    <n v="0"/>
    <n v="0"/>
    <n v="0"/>
    <n v="0"/>
    <n v="0"/>
    <n v="0"/>
    <n v="0"/>
  </r>
  <r>
    <x v="884"/>
    <x v="152"/>
    <s v="QS0011100862"/>
    <x v="0"/>
    <s v="Strategy"/>
    <m/>
    <s v="PSIXB"/>
    <s v="Euronext Paris"/>
    <s v="Non-significant benchmark"/>
    <n v="0"/>
    <n v="0"/>
    <n v="0"/>
    <n v="0"/>
    <n v="0"/>
    <n v="0"/>
    <n v="0"/>
  </r>
  <r>
    <x v="885"/>
    <x v="153"/>
    <s v="FR0013519691"/>
    <x v="0"/>
    <e v="#N/A"/>
    <m/>
    <s v="CAC3V"/>
    <s v="Euronext Paris"/>
    <s v="Non-significant benchmark"/>
    <n v="0"/>
    <n v="0"/>
    <n v="0"/>
    <n v="0"/>
    <n v="0"/>
    <n v="0"/>
    <n v="0"/>
  </r>
  <r>
    <x v="886"/>
    <x v="154"/>
    <s v="QS0011131735"/>
    <x v="1"/>
    <s v="Climate;PAB"/>
    <s v="PAB"/>
    <s v="LC100"/>
    <s v="Euronext Paris"/>
    <s v="Non-significant benchmark"/>
    <n v="0"/>
    <n v="0"/>
    <n v="0"/>
    <n v="0"/>
    <n v="0"/>
    <n v="0"/>
    <n v="0"/>
  </r>
  <r>
    <x v="887"/>
    <x v="154"/>
    <s v="QS0011131750"/>
    <x v="1"/>
    <s v="Climate;PAB"/>
    <s v="PAB"/>
    <s v="LC1GR"/>
    <s v="Euronext Paris"/>
    <s v="Non-significant benchmark"/>
    <n v="0"/>
    <n v="0"/>
    <n v="0"/>
    <n v="0"/>
    <n v="0"/>
    <n v="0"/>
    <n v="0"/>
  </r>
  <r>
    <x v="888"/>
    <x v="154"/>
    <s v="QS0011131743"/>
    <x v="1"/>
    <s v="Climate;PAB"/>
    <s v="PAB"/>
    <s v="LC1NR"/>
    <s v="Euronext Paris"/>
    <s v="Non-significant benchmark"/>
    <n v="0"/>
    <n v="0"/>
    <n v="0"/>
    <n v="1386268710"/>
    <n v="0"/>
    <n v="0"/>
    <n v="1386268710"/>
  </r>
  <r>
    <x v="889"/>
    <x v="155"/>
    <s v="FR0014005WN0"/>
    <x v="1"/>
    <s v="Broad ESG"/>
    <s v="ESG Other"/>
    <s v="MESGP"/>
    <s v="Euronext Paris"/>
    <s v="Non-significant benchmark"/>
    <n v="0"/>
    <n v="0"/>
    <n v="0"/>
    <n v="0"/>
    <n v="0"/>
    <n v="0"/>
    <n v="0"/>
  </r>
  <r>
    <x v="890"/>
    <x v="155"/>
    <s v="FRESG0000041"/>
    <x v="1"/>
    <s v="Broad ESG"/>
    <s v="ESG Other"/>
    <s v="MED37"/>
    <s v="Euronext Paris"/>
    <s v="Non-significant benchmark"/>
    <n v="0"/>
    <n v="0"/>
    <n v="0"/>
    <n v="0"/>
    <n v="0"/>
    <n v="0"/>
    <n v="0"/>
  </r>
  <r>
    <x v="891"/>
    <x v="155"/>
    <s v="FRESG0000058"/>
    <x v="1"/>
    <s v="Broad ESG"/>
    <s v="ESG Other"/>
    <s v="MED5"/>
    <s v="Euronext Paris"/>
    <s v="Non-significant benchmark"/>
    <n v="0"/>
    <n v="0"/>
    <n v="0"/>
    <n v="0"/>
    <n v="0"/>
    <n v="0"/>
    <n v="0"/>
  </r>
  <r>
    <x v="892"/>
    <x v="155"/>
    <s v="FR0014005WM2"/>
    <x v="1"/>
    <s v="Broad ESG"/>
    <s v="ESG Other"/>
    <s v="MESGG"/>
    <s v="Euronext Paris"/>
    <s v="Non-significant benchmark"/>
    <n v="0"/>
    <n v="0"/>
    <n v="0"/>
    <n v="0"/>
    <n v="0"/>
    <n v="0"/>
    <n v="0"/>
  </r>
  <r>
    <x v="893"/>
    <x v="155"/>
    <s v="FR0014005WL4"/>
    <x v="1"/>
    <s v="Broad ESG"/>
    <s v="ESG Other"/>
    <s v="MESGN"/>
    <s v="Euronext Paris"/>
    <s v="Non-significant benchmark"/>
    <n v="0"/>
    <n v="0"/>
    <n v="0"/>
    <n v="72633454"/>
    <n v="0"/>
    <n v="0"/>
    <n v="72633454"/>
  </r>
  <r>
    <x v="894"/>
    <x v="156"/>
    <s v="QS0011095955"/>
    <x v="0"/>
    <s v="Industry"/>
    <m/>
    <s v="BIOTK"/>
    <s v="Euronext Paris"/>
    <s v="Non-significant benchmark"/>
    <n v="0"/>
    <n v="0"/>
    <n v="0"/>
    <n v="351869"/>
    <n v="0"/>
    <n v="0"/>
    <n v="351869"/>
  </r>
  <r>
    <x v="895"/>
    <x v="157"/>
    <s v="NO0007035376"/>
    <x v="0"/>
    <s v="Country"/>
    <m/>
    <s v="OBXP"/>
    <s v="Oslo Børs"/>
    <s v="Non-significant benchmark"/>
    <n v="0"/>
    <n v="0"/>
    <n v="0"/>
    <n v="0"/>
    <n v="0"/>
    <n v="0"/>
    <n v="0"/>
  </r>
  <r>
    <x v="896"/>
    <x v="157"/>
    <s v="NO0000000021"/>
    <x v="0"/>
    <s v="Country"/>
    <m/>
    <s v="OBX"/>
    <s v="Oslo Børs"/>
    <s v="Non-significant benchmark"/>
    <n v="0"/>
    <n v="0"/>
    <n v="0"/>
    <n v="486277954.87880766"/>
    <n v="0"/>
    <n v="111689425.44778201"/>
    <n v="597967380.3265897"/>
  </r>
  <r>
    <x v="897"/>
    <x v="157"/>
    <s v="NO0010892151"/>
    <x v="0"/>
    <s v="Country"/>
    <m/>
    <s v="OBXUP"/>
    <s v="Oslo Børs"/>
    <s v="Non-significant benchmark"/>
    <n v="0"/>
    <n v="0"/>
    <n v="0"/>
    <n v="0"/>
    <n v="0"/>
    <n v="0"/>
    <n v="0"/>
  </r>
  <r>
    <x v="898"/>
    <x v="157"/>
    <s v="NO0010865173"/>
    <x v="0"/>
    <s v="Country"/>
    <m/>
    <s v="OBXU"/>
    <s v="Oslo Børs"/>
    <s v="Non-significant benchmark"/>
    <n v="0"/>
    <n v="0"/>
    <n v="0"/>
    <n v="0"/>
    <n v="0"/>
    <n v="0"/>
    <n v="0"/>
  </r>
  <r>
    <x v="899"/>
    <x v="157"/>
    <s v="NO0010865280"/>
    <x v="0"/>
    <s v="Country"/>
    <m/>
    <s v="OSEMN"/>
    <s v="Oslo Børs"/>
    <s v="Non-significant benchmark"/>
    <n v="0"/>
    <n v="0"/>
    <n v="0"/>
    <n v="0"/>
    <n v="0"/>
    <n v="0"/>
    <n v="0"/>
  </r>
  <r>
    <x v="900"/>
    <x v="157"/>
    <s v="NO0010865298"/>
    <x v="0"/>
    <s v="Country"/>
    <m/>
    <s v="OSEMP"/>
    <s v="Oslo Børs"/>
    <s v="Non-significant benchmark"/>
    <n v="0"/>
    <n v="0"/>
    <n v="0"/>
    <n v="0"/>
    <n v="0"/>
    <n v="0"/>
    <n v="0"/>
  </r>
  <r>
    <x v="901"/>
    <x v="157"/>
    <s v="NO0010865306"/>
    <x v="0"/>
    <s v="Country"/>
    <m/>
    <s v="OSESN"/>
    <s v="Oslo Børs"/>
    <s v="Non-significant benchmark"/>
    <n v="0"/>
    <n v="0"/>
    <n v="0"/>
    <n v="0"/>
    <n v="0"/>
    <n v="0"/>
    <n v="0"/>
  </r>
  <r>
    <x v="902"/>
    <x v="157"/>
    <s v="NO0010865314"/>
    <x v="0"/>
    <s v="Country"/>
    <m/>
    <s v="OSESP"/>
    <s v="Oslo Børs"/>
    <s v="Non-significant benchmark"/>
    <n v="0"/>
    <n v="0"/>
    <n v="0"/>
    <n v="0"/>
    <n v="0"/>
    <n v="0"/>
    <n v="0"/>
  </r>
  <r>
    <x v="903"/>
    <x v="157"/>
    <s v="NO0010735640"/>
    <x v="0"/>
    <s v="Country"/>
    <m/>
    <s v="OSEMX"/>
    <s v="Oslo Børs"/>
    <s v="Non-significant benchmark"/>
    <n v="0"/>
    <n v="0"/>
    <n v="0"/>
    <n v="0"/>
    <n v="0"/>
    <n v="0"/>
    <n v="0"/>
  </r>
  <r>
    <x v="904"/>
    <x v="157"/>
    <s v="NO0007035343"/>
    <x v="0"/>
    <s v="Country"/>
    <m/>
    <s v="OSESX"/>
    <s v="Oslo Børs"/>
    <s v="Non-significant benchmark"/>
    <n v="0"/>
    <n v="0"/>
    <n v="0"/>
    <n v="340523656.12192625"/>
    <n v="0"/>
    <n v="0"/>
    <n v="340523656.12192625"/>
  </r>
  <r>
    <x v="905"/>
    <x v="158"/>
    <s v="NO0012513474"/>
    <x v="1"/>
    <s v="Broad ESG"/>
    <s v="ESG Other"/>
    <s v="OBXES"/>
    <s v="Oslo Børs"/>
    <s v="Non-significant benchmark"/>
    <n v="0"/>
    <n v="0"/>
    <n v="0"/>
    <n v="0"/>
    <n v="0"/>
    <n v="0"/>
    <n v="0"/>
  </r>
  <r>
    <x v="906"/>
    <x v="158"/>
    <s v="NO0012513490"/>
    <x v="1"/>
    <s v="Broad ESG"/>
    <s v="ESG Other"/>
    <s v="OBXEN"/>
    <s v="Oslo Børs"/>
    <s v="Non-significant benchmark"/>
    <n v="0"/>
    <n v="0"/>
    <n v="0"/>
    <n v="0"/>
    <n v="0"/>
    <n v="0"/>
    <n v="0"/>
  </r>
  <r>
    <x v="907"/>
    <x v="158"/>
    <s v="NO0012513482"/>
    <x v="1"/>
    <s v="Broad ESG"/>
    <s v="ESG Other"/>
    <s v="OBXEP"/>
    <s v="Oslo Børs"/>
    <s v="Non-significant benchmark"/>
    <n v="0"/>
    <n v="0"/>
    <n v="0"/>
    <n v="0"/>
    <n v="0"/>
    <n v="0"/>
    <n v="0"/>
  </r>
  <r>
    <x v="908"/>
    <x v="159"/>
    <s v="NO0012513508"/>
    <x v="1"/>
    <s v="Broad ESG"/>
    <s v="ESG Other"/>
    <s v="OEXOG"/>
    <s v="Oslo Børs"/>
    <s v="Non-significant benchmark"/>
    <n v="0"/>
    <n v="0"/>
    <n v="0"/>
    <n v="0"/>
    <n v="0"/>
    <n v="0"/>
    <n v="0"/>
  </r>
  <r>
    <x v="909"/>
    <x v="159"/>
    <s v="NO0012513524"/>
    <x v="1"/>
    <s v="Broad ESG"/>
    <s v="ESG Other"/>
    <s v="OEXON"/>
    <s v="Oslo Børs"/>
    <s v="Non-significant benchmark"/>
    <n v="0"/>
    <n v="0"/>
    <n v="0"/>
    <n v="0"/>
    <n v="0"/>
    <n v="0"/>
    <n v="0"/>
  </r>
  <r>
    <x v="910"/>
    <x v="159"/>
    <s v="NO0012513516"/>
    <x v="1"/>
    <s v="Broad ESG"/>
    <s v="ESG Other"/>
    <s v="OEXOP"/>
    <s v="Oslo Børs"/>
    <s v="Non-significant benchmark"/>
    <n v="0"/>
    <n v="0"/>
    <n v="0"/>
    <n v="0"/>
    <n v="0"/>
    <n v="0"/>
    <n v="0"/>
  </r>
  <r>
    <x v="911"/>
    <x v="160"/>
    <s v="NO0010865249"/>
    <x v="0"/>
    <s v="Country"/>
    <m/>
    <s v="OSEBN"/>
    <s v="Oslo Børs"/>
    <s v="Non-significant benchmark"/>
    <n v="0"/>
    <n v="0"/>
    <n v="0"/>
    <n v="0"/>
    <n v="0"/>
    <n v="0"/>
    <n v="0"/>
  </r>
  <r>
    <x v="912"/>
    <x v="160"/>
    <s v="NO0010865256"/>
    <x v="0"/>
    <s v="Country"/>
    <m/>
    <s v="OSEBP"/>
    <s v="Oslo Børs"/>
    <s v="Non-significant benchmark"/>
    <n v="0"/>
    <n v="0"/>
    <n v="0"/>
    <n v="0"/>
    <n v="0"/>
    <n v="0"/>
    <n v="0"/>
  </r>
  <r>
    <x v="913"/>
    <x v="160"/>
    <s v="NO0010865264"/>
    <x v="0"/>
    <s v="Country"/>
    <m/>
    <s v="OSEFN"/>
    <s v="Oslo Børs"/>
    <s v="Non-significant benchmark"/>
    <n v="0"/>
    <n v="0"/>
    <n v="0"/>
    <n v="0"/>
    <n v="0"/>
    <n v="0"/>
    <n v="0"/>
  </r>
  <r>
    <x v="914"/>
    <x v="160"/>
    <s v="NO0010865272"/>
    <x v="0"/>
    <s v="Country"/>
    <m/>
    <s v="OSEFP"/>
    <s v="Oslo Børs"/>
    <s v="Non-significant benchmark"/>
    <n v="0"/>
    <n v="0"/>
    <n v="0"/>
    <n v="0"/>
    <n v="0"/>
    <n v="0"/>
    <n v="0"/>
  </r>
  <r>
    <x v="915"/>
    <x v="160"/>
    <s v="NO0007035327"/>
    <x v="0"/>
    <s v="Country"/>
    <m/>
    <s v="OSEBX"/>
    <s v="Oslo Børs"/>
    <s v="Non-significant benchmark"/>
    <n v="0"/>
    <n v="0"/>
    <n v="0"/>
    <n v="8790557471.6180553"/>
    <n v="0"/>
    <n v="0"/>
    <n v="8790557471.6180553"/>
  </r>
  <r>
    <x v="916"/>
    <x v="160"/>
    <s v="NO0007035335"/>
    <x v="0"/>
    <s v="Country"/>
    <m/>
    <s v="OSEFX"/>
    <s v="Oslo Børs"/>
    <s v="Non-significant benchmark"/>
    <n v="0"/>
    <n v="0"/>
    <n v="0"/>
    <n v="12522008119.518494"/>
    <n v="0"/>
    <n v="0"/>
    <n v="12522008119.518494"/>
  </r>
  <r>
    <x v="917"/>
    <x v="161"/>
    <s v="NO0010865355"/>
    <x v="0"/>
    <s v="Country"/>
    <m/>
    <s v="OSEBS"/>
    <s v="Oslo Børs"/>
    <s v="Non-significant benchmark"/>
    <n v="0"/>
    <n v="0"/>
    <n v="0"/>
    <n v="0"/>
    <n v="0"/>
    <n v="0"/>
    <n v="0"/>
  </r>
  <r>
    <x v="918"/>
    <x v="161"/>
    <s v="NO0010892227"/>
    <x v="0"/>
    <s v="Country"/>
    <m/>
    <s v="OSEPB"/>
    <s v="Oslo Børs"/>
    <s v="Non-significant benchmark"/>
    <n v="0"/>
    <n v="0"/>
    <n v="0"/>
    <n v="0"/>
    <n v="0"/>
    <n v="0"/>
    <n v="0"/>
  </r>
  <r>
    <x v="919"/>
    <x v="161"/>
    <s v="NO0010865363"/>
    <x v="0"/>
    <s v="Country"/>
    <m/>
    <s v="OSEBG"/>
    <s v="Oslo Børs"/>
    <s v="Non-significant benchmark"/>
    <n v="0"/>
    <n v="0"/>
    <n v="0"/>
    <n v="0"/>
    <n v="0"/>
    <n v="0"/>
    <n v="0"/>
  </r>
  <r>
    <x v="920"/>
    <x v="161"/>
    <s v="NO0010892193"/>
    <x v="0"/>
    <s v="Country"/>
    <m/>
    <s v="OSEPX"/>
    <s v="Oslo Børs"/>
    <s v="Non-significant benchmark"/>
    <n v="0"/>
    <n v="0"/>
    <n v="0"/>
    <n v="0"/>
    <n v="0"/>
    <n v="0"/>
    <n v="0"/>
  </r>
  <r>
    <x v="921"/>
    <x v="162"/>
    <s v="NO0010865371"/>
    <x v="0"/>
    <s v="Country"/>
    <m/>
    <s v="OSEER"/>
    <s v="Oslo Børs"/>
    <s v="Non-significant benchmark"/>
    <n v="0"/>
    <n v="0"/>
    <n v="0"/>
    <n v="0"/>
    <n v="0"/>
    <n v="0"/>
    <n v="0"/>
  </r>
  <r>
    <x v="922"/>
    <x v="162"/>
    <s v="NO0010892201"/>
    <x v="0"/>
    <s v="Country"/>
    <m/>
    <s v="OSEXP"/>
    <s v="Oslo Børs"/>
    <s v="Non-significant benchmark"/>
    <n v="0"/>
    <n v="0"/>
    <n v="0"/>
    <n v="0"/>
    <n v="0"/>
    <n v="0"/>
    <n v="0"/>
  </r>
  <r>
    <x v="923"/>
    <x v="162"/>
    <s v="NO0000000062"/>
    <x v="0"/>
    <s v="Country"/>
    <m/>
    <s v="OSEEX"/>
    <s v="Oslo Børs"/>
    <s v="Non-significant benchmark"/>
    <n v="0"/>
    <n v="0"/>
    <n v="0"/>
    <n v="617967374.32240248"/>
    <n v="0"/>
    <n v="0"/>
    <n v="617967374.32240248"/>
  </r>
  <r>
    <x v="924"/>
    <x v="162"/>
    <s v="NO0010890668"/>
    <x v="0"/>
    <s v="Country"/>
    <m/>
    <s v="OSEEP"/>
    <s v="Oslo Børs"/>
    <s v="Non-significant benchmark"/>
    <n v="0"/>
    <n v="0"/>
    <n v="0"/>
    <n v="0"/>
    <n v="0"/>
    <n v="0"/>
    <n v="0"/>
  </r>
  <r>
    <x v="925"/>
    <x v="163"/>
    <s v="NO0010890650"/>
    <x v="0"/>
    <s v="Industry"/>
    <m/>
    <s v="OBOSP"/>
    <s v="Oslo Børs"/>
    <s v="Non-significant benchmark"/>
    <n v="0"/>
    <n v="0"/>
    <n v="0"/>
    <n v="0"/>
    <n v="0"/>
    <n v="0"/>
    <n v="0"/>
  </r>
  <r>
    <x v="926"/>
    <x v="163"/>
    <s v="NO0010865181"/>
    <x v="0"/>
    <s v="Industry"/>
    <m/>
    <s v="OBSFN"/>
    <s v="Oslo Børs"/>
    <s v="Non-significant benchmark"/>
    <n v="0"/>
    <n v="0"/>
    <n v="0"/>
    <n v="0"/>
    <n v="0"/>
    <n v="0"/>
    <n v="0"/>
  </r>
  <r>
    <x v="927"/>
    <x v="163"/>
    <s v="NO0010865199"/>
    <x v="0"/>
    <s v="Industry"/>
    <m/>
    <s v="OBSFP"/>
    <s v="Oslo Børs"/>
    <s v="Non-significant benchmark"/>
    <n v="0"/>
    <n v="0"/>
    <n v="0"/>
    <n v="0"/>
    <n v="0"/>
    <n v="0"/>
    <n v="0"/>
  </r>
  <r>
    <x v="928"/>
    <x v="163"/>
    <s v="NO0010865207"/>
    <x v="0"/>
    <s v="Industry"/>
    <m/>
    <s v="OBSHN"/>
    <s v="Oslo Børs"/>
    <s v="Non-significant benchmark"/>
    <n v="0"/>
    <n v="0"/>
    <n v="0"/>
    <n v="0"/>
    <n v="0"/>
    <n v="0"/>
    <n v="0"/>
  </r>
  <r>
    <x v="929"/>
    <x v="163"/>
    <s v="NO0010865215"/>
    <x v="0"/>
    <s v="Industry"/>
    <m/>
    <s v="OBSHP"/>
    <s v="Oslo Børs"/>
    <s v="Non-significant benchmark"/>
    <n v="0"/>
    <n v="0"/>
    <n v="0"/>
    <n v="0"/>
    <n v="0"/>
    <n v="0"/>
    <n v="0"/>
  </r>
  <r>
    <x v="930"/>
    <x v="163"/>
    <s v="NO0010590086"/>
    <x v="0"/>
    <s v="Industry"/>
    <m/>
    <s v="OBOSX"/>
    <s v="Oslo Børs"/>
    <s v="Non-significant benchmark"/>
    <n v="0"/>
    <n v="0"/>
    <n v="0"/>
    <n v="0"/>
    <n v="0"/>
    <n v="0"/>
    <n v="0"/>
  </r>
  <r>
    <x v="931"/>
    <x v="163"/>
    <s v="NO0010760663"/>
    <x v="0"/>
    <s v="Industry"/>
    <m/>
    <s v="OBSFX"/>
    <s v="Oslo Børs"/>
    <s v="Non-significant benchmark"/>
    <n v="0"/>
    <n v="0"/>
    <n v="0"/>
    <n v="0"/>
    <n v="0"/>
    <n v="0"/>
    <n v="0"/>
  </r>
  <r>
    <x v="932"/>
    <x v="163"/>
    <s v="NO0010771934"/>
    <x v="0"/>
    <s v="Industry"/>
    <m/>
    <s v="OBSHX"/>
    <s v="Oslo Børs"/>
    <s v="Non-significant benchmark"/>
    <n v="0"/>
    <n v="0"/>
    <n v="0"/>
    <n v="0"/>
    <n v="0"/>
    <n v="0"/>
    <n v="0"/>
  </r>
  <r>
    <x v="933"/>
    <x v="164"/>
    <s v="NO0010890569"/>
    <x v="0"/>
    <s v="Industry"/>
    <m/>
    <s v="OBMG"/>
    <s v="Oslo Børs"/>
    <s v="Non-significant benchmark"/>
    <n v="0"/>
    <n v="0"/>
    <n v="0"/>
    <n v="0"/>
    <n v="0"/>
    <n v="0"/>
    <n v="0"/>
  </r>
  <r>
    <x v="934"/>
    <x v="164"/>
    <s v="NO0010890577"/>
    <x v="0"/>
    <s v="Industry"/>
    <m/>
    <s v="OBMN"/>
    <s v="Oslo Børs"/>
    <s v="Non-significant benchmark"/>
    <n v="0"/>
    <n v="0"/>
    <n v="0"/>
    <n v="0"/>
    <n v="0"/>
    <n v="0"/>
    <n v="0"/>
  </r>
  <r>
    <x v="935"/>
    <x v="164"/>
    <s v="NO0010890585"/>
    <x v="0"/>
    <s v="Industry"/>
    <m/>
    <s v="OBMP"/>
    <s v="Oslo Børs"/>
    <s v="Non-significant benchmark"/>
    <n v="0"/>
    <n v="0"/>
    <n v="0"/>
    <n v="0"/>
    <n v="0"/>
    <n v="0"/>
    <n v="0"/>
  </r>
  <r>
    <x v="936"/>
    <x v="164"/>
    <s v="NO0010890478"/>
    <x v="0"/>
    <s v="Industry"/>
    <m/>
    <s v="OCDG"/>
    <s v="Oslo Børs"/>
    <s v="Non-significant benchmark"/>
    <n v="0"/>
    <n v="0"/>
    <n v="0"/>
    <n v="0"/>
    <n v="0"/>
    <n v="0"/>
    <n v="0"/>
  </r>
  <r>
    <x v="937"/>
    <x v="164"/>
    <s v="NO0010890486"/>
    <x v="0"/>
    <s v="Industry"/>
    <m/>
    <s v="OCDN"/>
    <s v="Oslo Børs"/>
    <s v="Non-significant benchmark"/>
    <n v="0"/>
    <n v="0"/>
    <n v="0"/>
    <n v="0"/>
    <n v="0"/>
    <n v="0"/>
    <n v="0"/>
  </r>
  <r>
    <x v="938"/>
    <x v="164"/>
    <s v="NO0010890494"/>
    <x v="0"/>
    <s v="Industry"/>
    <m/>
    <s v="OCDP"/>
    <s v="Oslo Børs"/>
    <s v="Non-significant benchmark"/>
    <n v="0"/>
    <n v="0"/>
    <n v="0"/>
    <n v="0"/>
    <n v="0"/>
    <n v="0"/>
    <n v="0"/>
  </r>
  <r>
    <x v="939"/>
    <x v="164"/>
    <s v="NO0010890502"/>
    <x v="0"/>
    <s v="Industry"/>
    <m/>
    <s v="OCSG"/>
    <s v="Oslo Børs"/>
    <s v="Non-significant benchmark"/>
    <n v="0"/>
    <n v="0"/>
    <n v="0"/>
    <n v="0"/>
    <n v="0"/>
    <n v="0"/>
    <n v="0"/>
  </r>
  <r>
    <x v="940"/>
    <x v="164"/>
    <s v="NO0010890510"/>
    <x v="0"/>
    <s v="Industry"/>
    <m/>
    <s v="OCSN"/>
    <s v="Oslo Børs"/>
    <s v="Non-significant benchmark"/>
    <n v="0"/>
    <n v="0"/>
    <n v="0"/>
    <n v="0"/>
    <n v="0"/>
    <n v="0"/>
    <n v="0"/>
  </r>
  <r>
    <x v="941"/>
    <x v="164"/>
    <s v="NO0010890528"/>
    <x v="0"/>
    <s v="Industry"/>
    <m/>
    <s v="OCSP"/>
    <s v="Oslo Børs"/>
    <s v="Non-significant benchmark"/>
    <n v="0"/>
    <n v="0"/>
    <n v="0"/>
    <n v="0"/>
    <n v="0"/>
    <n v="0"/>
    <n v="0"/>
  </r>
  <r>
    <x v="942"/>
    <x v="164"/>
    <s v="NO0010890593"/>
    <x v="0"/>
    <s v="Industry"/>
    <m/>
    <s v="OENG"/>
    <s v="Oslo Børs"/>
    <s v="Non-significant benchmark"/>
    <n v="0"/>
    <n v="0"/>
    <n v="0"/>
    <n v="0"/>
    <n v="0"/>
    <n v="0"/>
    <n v="0"/>
  </r>
  <r>
    <x v="943"/>
    <x v="164"/>
    <s v="NO0010890601"/>
    <x v="0"/>
    <s v="Industry"/>
    <m/>
    <s v="OENN"/>
    <s v="Oslo Børs"/>
    <s v="Non-significant benchmark"/>
    <n v="0"/>
    <n v="0"/>
    <n v="0"/>
    <n v="0"/>
    <n v="0"/>
    <n v="0"/>
    <n v="0"/>
  </r>
  <r>
    <x v="944"/>
    <x v="164"/>
    <s v="NO0010890619"/>
    <x v="0"/>
    <s v="Industry"/>
    <m/>
    <s v="OENP"/>
    <s v="Oslo Børs"/>
    <s v="Non-significant benchmark"/>
    <n v="0"/>
    <n v="0"/>
    <n v="0"/>
    <n v="0"/>
    <n v="0"/>
    <n v="0"/>
    <n v="0"/>
  </r>
  <r>
    <x v="945"/>
    <x v="164"/>
    <s v="NO0010890411"/>
    <x v="0"/>
    <s v="Industry"/>
    <m/>
    <s v="OFING"/>
    <s v="Oslo Børs"/>
    <s v="Non-significant benchmark"/>
    <n v="0"/>
    <n v="0"/>
    <n v="0"/>
    <n v="0"/>
    <n v="0"/>
    <n v="0"/>
    <n v="0"/>
  </r>
  <r>
    <x v="946"/>
    <x v="164"/>
    <s v="NO0010890429"/>
    <x v="0"/>
    <s v="Industry"/>
    <m/>
    <s v="OFINN"/>
    <s v="Oslo Børs"/>
    <s v="Non-significant benchmark"/>
    <n v="0"/>
    <n v="0"/>
    <n v="0"/>
    <n v="0"/>
    <n v="0"/>
    <n v="0"/>
    <n v="0"/>
  </r>
  <r>
    <x v="947"/>
    <x v="164"/>
    <s v="NO0010890437"/>
    <x v="0"/>
    <s v="Industry"/>
    <m/>
    <s v="OFINP"/>
    <s v="Oslo Børs"/>
    <s v="Non-significant benchmark"/>
    <n v="0"/>
    <n v="0"/>
    <n v="0"/>
    <n v="0"/>
    <n v="0"/>
    <n v="0"/>
    <n v="0"/>
  </r>
  <r>
    <x v="948"/>
    <x v="164"/>
    <s v="NO0010890387"/>
    <x v="0"/>
    <s v="Industry"/>
    <m/>
    <s v="OHCG"/>
    <s v="Oslo Børs"/>
    <s v="Non-significant benchmark"/>
    <n v="0"/>
    <n v="0"/>
    <n v="0"/>
    <n v="0"/>
    <n v="0"/>
    <n v="0"/>
    <n v="0"/>
  </r>
  <r>
    <x v="949"/>
    <x v="164"/>
    <s v="NO0010890395"/>
    <x v="0"/>
    <s v="Industry"/>
    <m/>
    <s v="OHCN"/>
    <s v="Oslo Børs"/>
    <s v="Non-significant benchmark"/>
    <n v="0"/>
    <n v="0"/>
    <n v="0"/>
    <n v="0"/>
    <n v="0"/>
    <n v="0"/>
    <n v="0"/>
  </r>
  <r>
    <x v="950"/>
    <x v="164"/>
    <s v="NO0010890403"/>
    <x v="0"/>
    <s v="Industry"/>
    <m/>
    <s v="OHCP"/>
    <s v="Oslo Børs"/>
    <s v="Non-significant benchmark"/>
    <n v="0"/>
    <n v="0"/>
    <n v="0"/>
    <n v="0"/>
    <n v="0"/>
    <n v="0"/>
    <n v="0"/>
  </r>
  <r>
    <x v="951"/>
    <x v="164"/>
    <s v="NO0010890536"/>
    <x v="0"/>
    <s v="Industry"/>
    <m/>
    <s v="OING"/>
    <s v="Oslo Børs"/>
    <s v="Non-significant benchmark"/>
    <n v="0"/>
    <n v="0"/>
    <n v="0"/>
    <n v="0"/>
    <n v="0"/>
    <n v="0"/>
    <n v="0"/>
  </r>
  <r>
    <x v="952"/>
    <x v="164"/>
    <s v="NO0010890544"/>
    <x v="0"/>
    <s v="Industry"/>
    <m/>
    <s v="OINN"/>
    <s v="Oslo Børs"/>
    <s v="Non-significant benchmark"/>
    <n v="0"/>
    <n v="0"/>
    <n v="0"/>
    <n v="0"/>
    <n v="0"/>
    <n v="0"/>
    <n v="0"/>
  </r>
  <r>
    <x v="953"/>
    <x v="164"/>
    <s v="NO0010890551"/>
    <x v="0"/>
    <s v="Industry"/>
    <m/>
    <s v="OINP"/>
    <s v="Oslo Børs"/>
    <s v="Non-significant benchmark"/>
    <n v="0"/>
    <n v="0"/>
    <n v="0"/>
    <n v="0"/>
    <n v="0"/>
    <n v="0"/>
    <n v="0"/>
  </r>
  <r>
    <x v="954"/>
    <x v="164"/>
    <s v="NO0010890445"/>
    <x v="0"/>
    <s v="Industry"/>
    <m/>
    <s v="OREG"/>
    <s v="Oslo Børs"/>
    <s v="Non-significant benchmark"/>
    <n v="0"/>
    <n v="0"/>
    <n v="0"/>
    <n v="0"/>
    <n v="0"/>
    <n v="0"/>
    <n v="0"/>
  </r>
  <r>
    <x v="955"/>
    <x v="164"/>
    <s v="NO0010890452"/>
    <x v="0"/>
    <s v="Industry"/>
    <m/>
    <s v="OREN"/>
    <s v="Oslo Børs"/>
    <s v="Non-significant benchmark"/>
    <n v="0"/>
    <n v="0"/>
    <n v="0"/>
    <n v="0"/>
    <n v="0"/>
    <n v="0"/>
    <n v="0"/>
  </r>
  <r>
    <x v="956"/>
    <x v="164"/>
    <s v="NO0010890460"/>
    <x v="0"/>
    <s v="Industry"/>
    <m/>
    <s v="OREP"/>
    <s v="Oslo Børs"/>
    <s v="Non-significant benchmark"/>
    <n v="0"/>
    <n v="0"/>
    <n v="0"/>
    <n v="0"/>
    <n v="0"/>
    <n v="0"/>
    <n v="0"/>
  </r>
  <r>
    <x v="957"/>
    <x v="164"/>
    <s v="NO0010890320"/>
    <x v="0"/>
    <s v="Industry"/>
    <m/>
    <s v="OTECG"/>
    <s v="Oslo Børs"/>
    <s v="Non-significant benchmark"/>
    <n v="0"/>
    <n v="0"/>
    <n v="0"/>
    <n v="0"/>
    <n v="0"/>
    <n v="0"/>
    <n v="0"/>
  </r>
  <r>
    <x v="958"/>
    <x v="164"/>
    <s v="NO0010890338"/>
    <x v="0"/>
    <s v="Industry"/>
    <m/>
    <s v="OTECN"/>
    <s v="Oslo Børs"/>
    <s v="Non-significant benchmark"/>
    <n v="0"/>
    <n v="0"/>
    <n v="0"/>
    <n v="0"/>
    <n v="0"/>
    <n v="0"/>
    <n v="0"/>
  </r>
  <r>
    <x v="959"/>
    <x v="164"/>
    <s v="NO0010890346"/>
    <x v="0"/>
    <s v="Industry"/>
    <m/>
    <s v="OTECP"/>
    <s v="Oslo Børs"/>
    <s v="Non-significant benchmark"/>
    <n v="0"/>
    <n v="0"/>
    <n v="0"/>
    <n v="0"/>
    <n v="0"/>
    <n v="0"/>
    <n v="0"/>
  </r>
  <r>
    <x v="960"/>
    <x v="164"/>
    <s v="NO0010890353"/>
    <x v="0"/>
    <s v="Industry"/>
    <m/>
    <s v="OTELG"/>
    <s v="Oslo Børs"/>
    <s v="Non-significant benchmark"/>
    <n v="0"/>
    <n v="0"/>
    <n v="0"/>
    <n v="0"/>
    <n v="0"/>
    <n v="0"/>
    <n v="0"/>
  </r>
  <r>
    <x v="961"/>
    <x v="164"/>
    <s v="NO0010890361"/>
    <x v="0"/>
    <s v="Industry"/>
    <m/>
    <s v="OTELN"/>
    <s v="Oslo Børs"/>
    <s v="Non-significant benchmark"/>
    <n v="0"/>
    <n v="0"/>
    <n v="0"/>
    <n v="0"/>
    <n v="0"/>
    <n v="0"/>
    <n v="0"/>
  </r>
  <r>
    <x v="962"/>
    <x v="164"/>
    <s v="NO0010890379"/>
    <x v="0"/>
    <s v="Industry"/>
    <m/>
    <s v="OTELP"/>
    <s v="Oslo Børs"/>
    <s v="Non-significant benchmark"/>
    <n v="0"/>
    <n v="0"/>
    <n v="0"/>
    <n v="0"/>
    <n v="0"/>
    <n v="0"/>
    <n v="0"/>
  </r>
  <r>
    <x v="963"/>
    <x v="164"/>
    <s v="NO0010890627"/>
    <x v="0"/>
    <s v="Industry"/>
    <m/>
    <s v="OUTG"/>
    <s v="Oslo Børs"/>
    <s v="Non-significant benchmark"/>
    <n v="0"/>
    <n v="0"/>
    <n v="0"/>
    <n v="0"/>
    <n v="0"/>
    <n v="0"/>
    <n v="0"/>
  </r>
  <r>
    <x v="964"/>
    <x v="164"/>
    <s v="NO0010890635"/>
    <x v="0"/>
    <s v="Industry"/>
    <m/>
    <s v="OUTN"/>
    <s v="Oslo Børs"/>
    <s v="Non-significant benchmark"/>
    <n v="0"/>
    <n v="0"/>
    <n v="0"/>
    <n v="0"/>
    <n v="0"/>
    <n v="0"/>
    <n v="0"/>
  </r>
  <r>
    <x v="965"/>
    <x v="164"/>
    <s v="NO0010890643"/>
    <x v="0"/>
    <s v="Industry"/>
    <m/>
    <s v="OUTP"/>
    <s v="Oslo Børs"/>
    <s v="Non-significant benchmark"/>
    <n v="0"/>
    <n v="0"/>
    <n v="0"/>
    <n v="0"/>
    <n v="0"/>
    <n v="0"/>
    <n v="0"/>
  </r>
  <r>
    <x v="966"/>
    <x v="164"/>
    <s v="NO0010865223"/>
    <x v="0"/>
    <s v="Country"/>
    <m/>
    <s v="OSEAN"/>
    <s v="Oslo Børs"/>
    <s v="Non-significant benchmark"/>
    <n v="0"/>
    <n v="0"/>
    <n v="0"/>
    <n v="0"/>
    <n v="0"/>
    <n v="0"/>
    <n v="0"/>
  </r>
  <r>
    <x v="967"/>
    <x v="164"/>
    <s v="NO0010865231"/>
    <x v="0"/>
    <s v="Country"/>
    <m/>
    <s v="OSEAP"/>
    <s v="Oslo Børs"/>
    <s v="Non-significant benchmark"/>
    <n v="0"/>
    <n v="0"/>
    <n v="0"/>
    <n v="0"/>
    <n v="0"/>
    <n v="0"/>
    <n v="0"/>
  </r>
  <r>
    <x v="968"/>
    <x v="164"/>
    <s v="NO0007033900"/>
    <x v="0"/>
    <s v="Country"/>
    <m/>
    <s v="OSEAX"/>
    <s v="Oslo Børs"/>
    <s v="Non-significant benchmark"/>
    <n v="0"/>
    <n v="0"/>
    <n v="0"/>
    <n v="0"/>
    <n v="0"/>
    <n v="0"/>
    <n v="0"/>
  </r>
  <r>
    <x v="969"/>
    <x v="165"/>
    <s v="NO0010580590"/>
    <x v="0"/>
    <s v="Industry"/>
    <m/>
    <s v="SSENX"/>
    <s v="Oslo Børs"/>
    <s v="Non-significant benchmark"/>
    <n v="0"/>
    <n v="0"/>
    <n v="0"/>
    <n v="0"/>
    <n v="0"/>
    <n v="0"/>
    <n v="0"/>
  </r>
  <r>
    <x v="970"/>
    <x v="165"/>
    <s v="NO0010892169"/>
    <x v="0"/>
    <s v="Industry"/>
    <m/>
    <s v="SSENP"/>
    <s v="Oslo Børs"/>
    <s v="Non-significant benchmark"/>
    <n v="0"/>
    <n v="0"/>
    <n v="0"/>
    <n v="0"/>
    <n v="0"/>
    <n v="0"/>
    <n v="0"/>
  </r>
  <r>
    <x v="971"/>
    <x v="165"/>
    <s v="NO0010580624"/>
    <x v="0"/>
    <s v="Industry"/>
    <m/>
    <s v="SSSFX"/>
    <s v="Oslo Børs"/>
    <s v="Non-significant benchmark"/>
    <n v="0"/>
    <n v="0"/>
    <n v="0"/>
    <n v="0"/>
    <n v="0"/>
    <n v="0"/>
    <n v="0"/>
  </r>
  <r>
    <x v="972"/>
    <x v="165"/>
    <s v="NO0010892177"/>
    <x v="0"/>
    <s v="Industry"/>
    <m/>
    <s v="SSSFP"/>
    <s v="Oslo Børs"/>
    <s v="Non-significant benchmark"/>
    <n v="0"/>
    <n v="0"/>
    <n v="0"/>
    <n v="0"/>
    <n v="0"/>
    <n v="0"/>
    <n v="0"/>
  </r>
  <r>
    <x v="973"/>
    <x v="165"/>
    <s v="NO0010580640"/>
    <x v="0"/>
    <s v="Industry"/>
    <m/>
    <s v="SSSHX"/>
    <s v="Oslo Børs"/>
    <s v="Non-significant benchmark"/>
    <n v="0"/>
    <n v="0"/>
    <n v="0"/>
    <n v="0"/>
    <n v="0"/>
    <n v="0"/>
    <n v="0"/>
  </r>
  <r>
    <x v="974"/>
    <x v="165"/>
    <s v="NO0010892185"/>
    <x v="0"/>
    <s v="Industry"/>
    <m/>
    <s v="SSSHP"/>
    <s v="Oslo Børs"/>
    <s v="Non-significant benchmark"/>
    <n v="0"/>
    <n v="0"/>
    <n v="0"/>
    <n v="0"/>
    <n v="0"/>
    <n v="0"/>
    <n v="0"/>
  </r>
  <r>
    <x v="975"/>
    <x v="4"/>
    <s v="PTINO0390005"/>
    <x v="0"/>
    <s v="Country"/>
    <m/>
    <s v="PTEB"/>
    <s v="Euronext Lisbon"/>
    <s v="Non-significant benchmark"/>
    <n v="0"/>
    <n v="0"/>
    <n v="0"/>
    <n v="0"/>
    <n v="0"/>
    <n v="0"/>
    <n v="0"/>
  </r>
  <r>
    <x v="976"/>
    <x v="4"/>
    <s v="PTINO0410001"/>
    <x v="0"/>
    <s v="Country"/>
    <m/>
    <s v="PTEBG"/>
    <s v="Euronext Lisbon"/>
    <s v="Non-significant benchmark"/>
    <n v="0"/>
    <n v="0"/>
    <n v="0"/>
    <n v="0"/>
    <n v="0"/>
    <n v="0"/>
    <n v="0"/>
  </r>
  <r>
    <x v="977"/>
    <x v="4"/>
    <s v="PTINO0400002"/>
    <x v="0"/>
    <s v="Country"/>
    <m/>
    <s v="PTEBN"/>
    <s v="Euronext Lisbon"/>
    <s v="Non-significant benchmark"/>
    <n v="0"/>
    <n v="0"/>
    <n v="0"/>
    <n v="0"/>
    <n v="0"/>
    <n v="0"/>
    <n v="0"/>
  </r>
  <r>
    <x v="978"/>
    <x v="166"/>
    <s v="QS0011224308"/>
    <x v="0"/>
    <s v="Country"/>
    <m/>
    <s v="BVL"/>
    <s v="Euronext Lisbon"/>
    <s v="Non-significant benchmark"/>
    <n v="0"/>
    <n v="0"/>
    <n v="0"/>
    <n v="0"/>
    <n v="0"/>
    <n v="0"/>
    <n v="0"/>
  </r>
  <r>
    <x v="979"/>
    <x v="166"/>
    <s v="PTING1000005"/>
    <x v="0"/>
    <s v="Country"/>
    <m/>
    <s v="BVLGR"/>
    <s v="Euronext Lisbon"/>
    <s v="Non-significant benchmark"/>
    <n v="0"/>
    <n v="0"/>
    <n v="0"/>
    <n v="0"/>
    <n v="0"/>
    <n v="0"/>
    <n v="0"/>
  </r>
  <r>
    <x v="980"/>
    <x v="166"/>
    <s v="QS0011224993"/>
    <x v="0"/>
    <s v="Industry"/>
    <m/>
    <s v="PTBMP"/>
    <s v="Euronext Lisbon"/>
    <s v="Non-significant benchmark"/>
    <n v="0"/>
    <n v="0"/>
    <n v="0"/>
    <n v="0"/>
    <n v="0"/>
    <n v="0"/>
    <n v="0"/>
  </r>
  <r>
    <x v="981"/>
    <x v="166"/>
    <s v="QS0011016514"/>
    <x v="0"/>
    <s v="Industry"/>
    <m/>
    <s v="PTBM"/>
    <s v="Euronext Lisbon"/>
    <s v="Non-significant benchmark"/>
    <n v="0"/>
    <n v="0"/>
    <n v="0"/>
    <n v="0"/>
    <n v="0"/>
    <n v="0"/>
    <n v="0"/>
  </r>
  <r>
    <x v="982"/>
    <x v="166"/>
    <s v="QS0011225016"/>
    <x v="0"/>
    <s v="Industry"/>
    <m/>
    <s v="PTCGP"/>
    <s v="Euronext Lisbon"/>
    <s v="Non-significant benchmark"/>
    <n v="0"/>
    <n v="0"/>
    <n v="0"/>
    <n v="0"/>
    <n v="0"/>
    <n v="0"/>
    <n v="0"/>
  </r>
  <r>
    <x v="983"/>
    <x v="166"/>
    <s v="QS0011016571"/>
    <x v="0"/>
    <s v="Industry"/>
    <m/>
    <s v="PTCG"/>
    <s v="Euronext Lisbon"/>
    <s v="Non-significant benchmark"/>
    <n v="0"/>
    <n v="0"/>
    <n v="0"/>
    <n v="0"/>
    <n v="0"/>
    <n v="0"/>
    <n v="0"/>
  </r>
  <r>
    <x v="984"/>
    <x v="166"/>
    <s v="QS0011225024"/>
    <x v="0"/>
    <s v="Industry"/>
    <m/>
    <s v="PTCSP"/>
    <s v="Euronext Lisbon"/>
    <s v="Non-significant benchmark"/>
    <n v="0"/>
    <n v="0"/>
    <n v="0"/>
    <n v="0"/>
    <n v="0"/>
    <n v="0"/>
    <n v="0"/>
  </r>
  <r>
    <x v="985"/>
    <x v="166"/>
    <s v="QS0011016597"/>
    <x v="0"/>
    <s v="Industry"/>
    <m/>
    <s v="PTCS"/>
    <s v="Euronext Lisbon"/>
    <s v="Non-significant benchmark"/>
    <n v="0"/>
    <n v="0"/>
    <n v="0"/>
    <n v="0"/>
    <n v="0"/>
    <n v="0"/>
    <n v="0"/>
  </r>
  <r>
    <x v="986"/>
    <x v="166"/>
    <s v="QS0011249503"/>
    <x v="0"/>
    <s v="Industry"/>
    <m/>
    <s v="PTOGP"/>
    <s v="Euronext Lisbon"/>
    <s v="Non-significant benchmark"/>
    <n v="0"/>
    <n v="0"/>
    <n v="0"/>
    <n v="0"/>
    <n v="0"/>
    <n v="0"/>
    <n v="0"/>
  </r>
  <r>
    <x v="987"/>
    <x v="166"/>
    <s v="QS0011249495"/>
    <x v="0"/>
    <s v="Industry"/>
    <m/>
    <s v="PTOG"/>
    <s v="Euronext Lisbon"/>
    <s v="Non-significant benchmark"/>
    <n v="0"/>
    <n v="0"/>
    <n v="0"/>
    <n v="0"/>
    <n v="0"/>
    <n v="0"/>
    <n v="0"/>
  </r>
  <r>
    <x v="988"/>
    <x v="166"/>
    <s v="QS0011225057"/>
    <x v="0"/>
    <s v="Industry"/>
    <m/>
    <s v="PTFIP"/>
    <s v="Euronext Lisbon"/>
    <s v="Non-significant benchmark"/>
    <n v="0"/>
    <n v="0"/>
    <n v="0"/>
    <n v="0"/>
    <n v="0"/>
    <n v="0"/>
    <n v="0"/>
  </r>
  <r>
    <x v="989"/>
    <x v="166"/>
    <s v="QS0011016662"/>
    <x v="0"/>
    <s v="Industry"/>
    <m/>
    <s v="PTFIN"/>
    <s v="Euronext Lisbon"/>
    <s v="Non-significant benchmark"/>
    <n v="0"/>
    <n v="0"/>
    <n v="0"/>
    <n v="0"/>
    <n v="0"/>
    <n v="0"/>
    <n v="0"/>
  </r>
  <r>
    <x v="990"/>
    <x v="166"/>
    <s v="QS0011225008"/>
    <x v="0"/>
    <s v="Industry"/>
    <m/>
    <s v="PTINP"/>
    <s v="Euronext Lisbon"/>
    <s v="Non-significant benchmark"/>
    <n v="0"/>
    <n v="0"/>
    <n v="0"/>
    <n v="0"/>
    <n v="0"/>
    <n v="0"/>
    <n v="0"/>
  </r>
  <r>
    <x v="991"/>
    <x v="166"/>
    <s v="QS0011016522"/>
    <x v="0"/>
    <s v="Industry"/>
    <m/>
    <s v="PTIN"/>
    <s v="Euronext Lisbon"/>
    <s v="Non-significant benchmark"/>
    <n v="0"/>
    <n v="0"/>
    <n v="0"/>
    <n v="0"/>
    <n v="0"/>
    <n v="0"/>
    <n v="0"/>
  </r>
  <r>
    <x v="992"/>
    <x v="166"/>
    <s v="QS0011225065"/>
    <x v="0"/>
    <s v="Industry"/>
    <m/>
    <s v="PTTEP"/>
    <s v="Euronext Lisbon"/>
    <s v="Non-significant benchmark"/>
    <n v="0"/>
    <n v="0"/>
    <n v="0"/>
    <n v="0"/>
    <n v="0"/>
    <n v="0"/>
    <n v="0"/>
  </r>
  <r>
    <x v="993"/>
    <x v="166"/>
    <s v="QS0011016688"/>
    <x v="0"/>
    <s v="Industry"/>
    <m/>
    <s v="PTTEC"/>
    <s v="Euronext Lisbon"/>
    <s v="Non-significant benchmark"/>
    <n v="0"/>
    <n v="0"/>
    <n v="0"/>
    <n v="0"/>
    <n v="0"/>
    <n v="0"/>
    <n v="0"/>
  </r>
  <r>
    <x v="994"/>
    <x v="166"/>
    <s v="QS0011225032"/>
    <x v="0"/>
    <s v="Industry"/>
    <m/>
    <s v="PTTLP"/>
    <s v="Euronext Lisbon"/>
    <s v="Non-significant benchmark"/>
    <n v="0"/>
    <n v="0"/>
    <n v="0"/>
    <n v="0"/>
    <n v="0"/>
    <n v="0"/>
    <n v="0"/>
  </r>
  <r>
    <x v="995"/>
    <x v="166"/>
    <s v="QS0011016621"/>
    <x v="0"/>
    <s v="Industry"/>
    <m/>
    <s v="PTTEL"/>
    <s v="Euronext Lisbon"/>
    <s v="Non-significant benchmark"/>
    <n v="0"/>
    <n v="0"/>
    <n v="0"/>
    <n v="0"/>
    <n v="0"/>
    <n v="0"/>
    <n v="0"/>
  </r>
  <r>
    <x v="996"/>
    <x v="166"/>
    <s v="QS0011225040"/>
    <x v="0"/>
    <s v="Industry"/>
    <m/>
    <s v="PTUTP"/>
    <s v="Euronext Lisbon"/>
    <s v="Non-significant benchmark"/>
    <n v="0"/>
    <n v="0"/>
    <n v="0"/>
    <n v="0"/>
    <n v="0"/>
    <n v="0"/>
    <n v="0"/>
  </r>
  <r>
    <x v="997"/>
    <x v="166"/>
    <s v="QS0011016647"/>
    <x v="0"/>
    <s v="Industry"/>
    <m/>
    <s v="PTUT"/>
    <s v="Euronext Lisbon"/>
    <s v="Non-significant benchmark"/>
    <n v="0"/>
    <n v="0"/>
    <n v="0"/>
    <n v="0"/>
    <n v="0"/>
    <n v="0"/>
    <n v="0"/>
  </r>
  <r>
    <x v="998"/>
    <x v="167"/>
    <s v="QS0011070230"/>
    <x v="0"/>
    <s v="International"/>
    <m/>
    <s v="REITE"/>
    <s v="Euronext Paris"/>
    <s v="Non-significant benchmark"/>
    <n v="0"/>
    <n v="0"/>
    <n v="0"/>
    <n v="2146044.5"/>
    <n v="0"/>
    <n v="0"/>
    <n v="2146044.5"/>
  </r>
  <r>
    <x v="999"/>
    <x v="167"/>
    <s v="QS0011176854"/>
    <x v="0"/>
    <s v="International"/>
    <m/>
    <s v="REITG"/>
    <s v="Euronext Paris"/>
    <s v="Non-significant benchmark"/>
    <n v="0"/>
    <n v="0"/>
    <n v="0"/>
    <n v="0"/>
    <n v="0"/>
    <n v="0"/>
    <n v="0"/>
  </r>
  <r>
    <x v="1000"/>
    <x v="167"/>
    <s v="QS0011176847"/>
    <x v="0"/>
    <s v="International"/>
    <m/>
    <s v="REITN"/>
    <s v="Euronext Paris"/>
    <s v="Non-significant benchmark"/>
    <n v="0"/>
    <n v="0"/>
    <n v="0"/>
    <n v="0"/>
    <n v="0"/>
    <n v="0"/>
    <n v="0"/>
  </r>
  <r>
    <x v="1001"/>
    <x v="168"/>
    <s v="FR0013371416"/>
    <x v="1"/>
    <s v="Broad ESG"/>
    <s v="ESG Other"/>
    <s v="ESF5P"/>
    <s v="Euronext Paris"/>
    <s v="Non-significant benchmark"/>
    <n v="0"/>
    <n v="516600000"/>
    <n v="0"/>
    <n v="0"/>
    <n v="0"/>
    <n v="0"/>
    <n v="516600000"/>
  </r>
  <r>
    <x v="1002"/>
    <x v="168"/>
    <s v="FR0013371440"/>
    <x v="1"/>
    <s v="Broad ESG"/>
    <s v="ESG Other"/>
    <s v="ESF5D"/>
    <s v="Euronext Paris"/>
    <s v="Non-significant benchmark"/>
    <n v="609502131.51199996"/>
    <n v="2877023933.1199999"/>
    <n v="915072555.55440009"/>
    <n v="0"/>
    <n v="0"/>
    <n v="0"/>
    <n v="915072555.55440009"/>
  </r>
  <r>
    <x v="1003"/>
    <x v="168"/>
    <s v="FR0013371432"/>
    <x v="1"/>
    <s v="Broad ESG"/>
    <s v="ESG Other"/>
    <s v="ESF5G"/>
    <s v="Euronext Paris"/>
    <s v="Non-significant benchmark"/>
    <n v="0"/>
    <n v="0"/>
    <n v="0"/>
    <n v="0"/>
    <n v="0"/>
    <n v="0"/>
    <n v="0"/>
  </r>
  <r>
    <x v="1004"/>
    <x v="168"/>
    <s v="FR0013371424"/>
    <x v="1"/>
    <s v="Broad ESG"/>
    <s v="ESG Other"/>
    <s v="ESF5N"/>
    <s v="Euronext Paris"/>
    <s v="Non-significant benchmark"/>
    <n v="0"/>
    <n v="0"/>
    <n v="0"/>
    <n v="0"/>
    <n v="0"/>
    <n v="0"/>
    <n v="0"/>
  </r>
  <r>
    <x v="1005"/>
    <x v="169"/>
    <s v="FR0013017936"/>
    <x v="0"/>
    <s v="Country"/>
    <m/>
    <s v="SBF80"/>
    <s v="Euronext Paris"/>
    <s v="Non-significant benchmark"/>
    <n v="0"/>
    <n v="0"/>
    <n v="0"/>
    <n v="0"/>
    <n v="0"/>
    <n v="0"/>
    <n v="0"/>
  </r>
  <r>
    <x v="1006"/>
    <x v="169"/>
    <s v="FR0013017969"/>
    <x v="0"/>
    <s v="Country"/>
    <m/>
    <s v="SBF8D"/>
    <s v="Euronext Paris"/>
    <s v="Non-significant benchmark"/>
    <n v="0"/>
    <n v="2738000000"/>
    <n v="440018432.49000001"/>
    <n v="0"/>
    <n v="0"/>
    <n v="0"/>
    <n v="2738000000"/>
  </r>
  <r>
    <x v="1007"/>
    <x v="169"/>
    <s v="FR0013017951"/>
    <x v="0"/>
    <s v="Country"/>
    <m/>
    <s v="SBF8G"/>
    <s v="Euronext Paris"/>
    <s v="Non-significant benchmark"/>
    <n v="0"/>
    <n v="0"/>
    <n v="0"/>
    <n v="0"/>
    <n v="0"/>
    <n v="0"/>
    <n v="0"/>
  </r>
  <r>
    <x v="1008"/>
    <x v="169"/>
    <s v="FR0013017944"/>
    <x v="0"/>
    <s v="Country"/>
    <m/>
    <s v="SBF8N"/>
    <s v="Euronext Paris"/>
    <s v="Non-significant benchmark"/>
    <n v="0"/>
    <n v="0"/>
    <n v="0"/>
    <n v="0"/>
    <n v="0"/>
    <n v="0"/>
    <n v="0"/>
  </r>
  <r>
    <x v="1009"/>
    <x v="170"/>
    <s v="BE0004645868"/>
    <x v="1"/>
    <s v="Broad ESG"/>
    <s v="ESG Other"/>
    <s v="ESGBP"/>
    <s v="Euronext Brussels"/>
    <s v="Non-significant benchmark"/>
    <n v="0"/>
    <n v="0"/>
    <n v="0"/>
    <n v="0"/>
    <n v="0"/>
    <n v="0"/>
    <n v="0"/>
  </r>
  <r>
    <x v="1010"/>
    <x v="170"/>
    <s v="BE0004647880"/>
    <x v="1"/>
    <s v="Broad ESG"/>
    <s v="ESG Other"/>
    <s v="ESGBG"/>
    <s v="Euronext Brussels"/>
    <s v="Non-significant benchmark"/>
    <n v="0"/>
    <n v="0"/>
    <n v="0"/>
    <n v="0"/>
    <n v="0"/>
    <n v="0"/>
    <n v="0"/>
  </r>
  <r>
    <x v="1011"/>
    <x v="170"/>
    <s v="BE0004646874"/>
    <x v="1"/>
    <s v="Broad ESG"/>
    <s v="ESG Other"/>
    <s v="ESGBN"/>
    <s v="Euronext Brussels"/>
    <s v="Non-significant benchmark"/>
    <n v="0"/>
    <n v="0"/>
    <n v="0"/>
    <n v="0"/>
    <n v="0"/>
    <n v="0"/>
    <n v="0"/>
  </r>
  <r>
    <x v="1012"/>
    <x v="171"/>
    <s v="FRESG0001163"/>
    <x v="1"/>
    <s v="International"/>
    <s v="ESG Other"/>
    <s v="EETPR"/>
    <s v="Euronext Paris"/>
    <s v="Non-significant benchmark"/>
    <n v="0"/>
    <n v="0"/>
    <n v="0"/>
    <n v="0"/>
    <n v="0"/>
    <n v="0"/>
    <n v="0"/>
  </r>
  <r>
    <x v="1013"/>
    <x v="171"/>
    <s v="FRESG0001197"/>
    <x v="1"/>
    <s v="International"/>
    <s v="ESG Other"/>
    <s v="EET4D"/>
    <s v="Euronext Paris"/>
    <s v="Non-significant benchmark"/>
    <n v="0"/>
    <n v="0"/>
    <n v="0"/>
    <n v="0"/>
    <n v="0"/>
    <n v="0"/>
    <n v="0"/>
  </r>
  <r>
    <x v="1014"/>
    <x v="171"/>
    <s v="FRESG0001205"/>
    <x v="1"/>
    <s v="International"/>
    <s v="ESG Other"/>
    <s v="EET5D"/>
    <s v="Euronext Paris"/>
    <s v="Non-significant benchmark"/>
    <n v="0"/>
    <n v="0"/>
    <n v="0"/>
    <n v="0"/>
    <n v="0"/>
    <n v="0"/>
    <n v="0"/>
  </r>
  <r>
    <x v="1015"/>
    <x v="171"/>
    <s v="FRESG0001189"/>
    <x v="1"/>
    <s v="International"/>
    <s v="ESG Other"/>
    <s v="EETGR"/>
    <s v="Euronext Paris"/>
    <s v="Non-significant benchmark"/>
    <n v="0"/>
    <n v="0"/>
    <n v="0"/>
    <n v="0"/>
    <n v="0"/>
    <n v="0"/>
    <n v="0"/>
  </r>
  <r>
    <x v="1016"/>
    <x v="171"/>
    <s v="FRESG0001171"/>
    <x v="1"/>
    <s v="International"/>
    <s v="ESG Other"/>
    <s v="EETNR"/>
    <s v="Euronext Paris"/>
    <s v="Non-significant benchmark"/>
    <n v="0"/>
    <n v="0"/>
    <n v="0"/>
    <n v="0"/>
    <n v="0"/>
    <n v="0"/>
    <n v="0"/>
  </r>
  <r>
    <x v="1017"/>
    <x v="172"/>
    <s v="NLIX00001015"/>
    <x v="0"/>
    <s v="International"/>
    <m/>
    <s v="ENZTP"/>
    <s v="Euronext Amsterdam"/>
    <s v="Non-significant benchmark"/>
    <n v="0"/>
    <n v="0"/>
    <n v="0"/>
    <n v="0"/>
    <n v="0"/>
    <n v="0"/>
    <n v="0"/>
  </r>
  <r>
    <x v="1018"/>
    <x v="172"/>
    <s v="NLIX00001031"/>
    <x v="0"/>
    <s v="International"/>
    <m/>
    <s v="ENZTG"/>
    <s v="Euronext Amsterdam"/>
    <s v="Non-significant benchmark"/>
    <n v="0"/>
    <n v="0"/>
    <n v="0"/>
    <n v="0"/>
    <n v="0"/>
    <n v="0"/>
    <n v="0"/>
  </r>
  <r>
    <x v="1019"/>
    <x v="172"/>
    <s v="NLIX00001023"/>
    <x v="0"/>
    <s v="International"/>
    <m/>
    <s v="ENZTN"/>
    <s v="Euronext Amsterdam"/>
    <s v="Non-significant benchmark"/>
    <n v="0"/>
    <n v="0"/>
    <n v="0"/>
    <n v="0"/>
    <n v="0"/>
    <n v="0"/>
    <n v="0"/>
  </r>
  <r>
    <x v="1020"/>
    <x v="120"/>
    <s v="FRIX00001191"/>
    <x v="0"/>
    <s v="Single Stock"/>
    <m/>
    <s v="SBCAG"/>
    <s v="Euronext Paris"/>
    <s v="Non-significant benchmark"/>
    <n v="0"/>
    <n v="0"/>
    <n v="0"/>
    <n v="0"/>
    <n v="0"/>
    <n v="0"/>
    <n v="0"/>
  </r>
  <r>
    <x v="1021"/>
    <x v="120"/>
    <s v="FRIX00001209"/>
    <x v="0"/>
    <s v="Single Stock"/>
    <m/>
    <s v="SBCAD"/>
    <s v="Euronext Paris"/>
    <s v="Non-significant benchmark"/>
    <n v="0"/>
    <n v="0"/>
    <n v="21155883.609200001"/>
    <n v="0"/>
    <n v="0"/>
    <n v="0"/>
    <n v="21155883.609200001"/>
  </r>
  <r>
    <x v="1022"/>
    <x v="120"/>
    <s v="FRIX00001183"/>
    <x v="0"/>
    <s v="Single Stock"/>
    <m/>
    <s v="SBCAP"/>
    <s v="Euronext Paris"/>
    <s v="Non-significant benchmark"/>
    <n v="0"/>
    <n v="0"/>
    <n v="0"/>
    <n v="0"/>
    <n v="0"/>
    <n v="0"/>
    <n v="0"/>
  </r>
  <r>
    <x v="1023"/>
    <x v="120"/>
    <s v="FRIX00001175"/>
    <x v="0"/>
    <s v="Single Stock"/>
    <m/>
    <s v="SBSTD"/>
    <s v="Euronext Paris"/>
    <s v="Non-significant benchmark"/>
    <n v="0"/>
    <n v="0"/>
    <n v="15178448.492800001"/>
    <n v="0"/>
    <n v="0"/>
    <n v="0"/>
    <n v="15178448.492800001"/>
  </r>
  <r>
    <x v="1024"/>
    <x v="120"/>
    <s v="FRIX00001167"/>
    <x v="0"/>
    <s v="Single Stock"/>
    <m/>
    <s v="SBSTG"/>
    <s v="Euronext Paris"/>
    <s v="Non-significant benchmark"/>
    <n v="0"/>
    <n v="0"/>
    <n v="0"/>
    <n v="0"/>
    <n v="0"/>
    <n v="0"/>
    <n v="0"/>
  </r>
  <r>
    <x v="1025"/>
    <x v="120"/>
    <s v="FRIX00001159"/>
    <x v="0"/>
    <s v="Single Stock"/>
    <m/>
    <s v="SBSTP"/>
    <s v="Euronext Paris"/>
    <s v="Non-significant benchmark"/>
    <n v="0"/>
    <n v="0"/>
    <n v="0"/>
    <n v="0"/>
    <n v="0"/>
    <n v="0"/>
    <n v="0"/>
  </r>
  <r>
    <x v="1026"/>
    <x v="120"/>
    <s v="FRIX00001357"/>
    <x v="0"/>
    <s v="Single Stock"/>
    <m/>
    <s v="SGED1"/>
    <s v="Euronext Paris"/>
    <s v="Non-significant benchmark"/>
    <n v="26019534.483048998"/>
    <n v="272500000"/>
    <n v="52967995.923600003"/>
    <n v="0"/>
    <n v="0"/>
    <n v="0"/>
    <n v="52967995.923600003"/>
  </r>
  <r>
    <x v="1027"/>
    <x v="120"/>
    <s v="FRIX00001340"/>
    <x v="0"/>
    <s v="Single Stock"/>
    <m/>
    <s v="SGEG1"/>
    <s v="Euronext Paris"/>
    <s v="Non-significant benchmark"/>
    <n v="0"/>
    <n v="0"/>
    <n v="0"/>
    <n v="0"/>
    <n v="0"/>
    <n v="0"/>
    <n v="0"/>
  </r>
  <r>
    <x v="1028"/>
    <x v="120"/>
    <s v="FRIX00001332"/>
    <x v="0"/>
    <s v="Single Stock"/>
    <m/>
    <s v="SGEP1"/>
    <s v="Euronext Paris"/>
    <s v="Non-significant benchmark"/>
    <n v="0"/>
    <n v="0"/>
    <n v="0"/>
    <n v="0"/>
    <n v="0"/>
    <n v="0"/>
    <n v="0"/>
  </r>
  <r>
    <x v="1029"/>
    <x v="120"/>
    <s v="FRIX00001324"/>
    <x v="0"/>
    <s v="Single Stock"/>
    <m/>
    <s v="SGEID"/>
    <s v="Euronext Paris"/>
    <s v="Non-significant benchmark"/>
    <n v="47525655.899999999"/>
    <n v="298000000"/>
    <n v="87303709.5044"/>
    <n v="0"/>
    <n v="0"/>
    <n v="0"/>
    <n v="87303709.5044"/>
  </r>
  <r>
    <x v="1030"/>
    <x v="120"/>
    <s v="FRIX00001316"/>
    <x v="0"/>
    <s v="Single Stock"/>
    <m/>
    <s v="SGEIG"/>
    <s v="Euronext Paris"/>
    <s v="Non-significant benchmark"/>
    <n v="0"/>
    <n v="0"/>
    <n v="0"/>
    <n v="0"/>
    <n v="0"/>
    <n v="0"/>
    <n v="0"/>
  </r>
  <r>
    <x v="1031"/>
    <x v="120"/>
    <s v="FRIX00001308"/>
    <x v="0"/>
    <s v="Single Stock"/>
    <m/>
    <s v="SGEIP"/>
    <s v="Euronext Paris"/>
    <s v="Non-significant benchmark"/>
    <n v="0"/>
    <n v="0"/>
    <n v="0"/>
    <n v="0"/>
    <n v="0"/>
    <n v="0"/>
    <n v="0"/>
  </r>
  <r>
    <x v="1032"/>
    <x v="120"/>
    <s v="FRIX00001290"/>
    <x v="0"/>
    <s v="Single Stock"/>
    <m/>
    <s v="SGIGD"/>
    <s v="Euronext Paris"/>
    <s v="Non-significant benchmark"/>
    <n v="0"/>
    <n v="0"/>
    <n v="0"/>
    <n v="0"/>
    <n v="0"/>
    <n v="0"/>
    <n v="0"/>
  </r>
  <r>
    <x v="1033"/>
    <x v="120"/>
    <s v="FRIX00001282"/>
    <x v="0"/>
    <s v="Single Stock"/>
    <m/>
    <s v="SGIGG"/>
    <s v="Euronext Paris"/>
    <s v="Non-significant benchmark"/>
    <n v="0"/>
    <n v="0"/>
    <n v="0"/>
    <n v="0"/>
    <n v="0"/>
    <n v="0"/>
    <n v="0"/>
  </r>
  <r>
    <x v="1034"/>
    <x v="120"/>
    <s v="FRIX00001274"/>
    <x v="0"/>
    <s v="Single Stock"/>
    <m/>
    <s v="SGIGP"/>
    <s v="Euronext Paris"/>
    <s v="Non-significant benchmark"/>
    <n v="0"/>
    <n v="0"/>
    <n v="0"/>
    <n v="0"/>
    <n v="0"/>
    <n v="0"/>
    <n v="0"/>
  </r>
  <r>
    <x v="1035"/>
    <x v="120"/>
    <s v="FRIX00001118"/>
    <x v="0"/>
    <s v="Single Stock"/>
    <m/>
    <s v="SGLID"/>
    <s v="Euronext Paris"/>
    <s v="Non-significant benchmark"/>
    <n v="18975665.399999999"/>
    <n v="155000000"/>
    <n v="40193415.790399998"/>
    <n v="0"/>
    <n v="0"/>
    <n v="0"/>
    <n v="40193415.790399998"/>
  </r>
  <r>
    <x v="1036"/>
    <x v="120"/>
    <s v="FRIX00001100"/>
    <x v="0"/>
    <s v="Single Stock"/>
    <m/>
    <s v="SGLIG"/>
    <s v="Euronext Paris"/>
    <s v="Non-significant benchmark"/>
    <n v="0"/>
    <n v="0"/>
    <n v="0"/>
    <n v="0"/>
    <n v="0"/>
    <n v="0"/>
    <n v="0"/>
  </r>
  <r>
    <x v="1037"/>
    <x v="120"/>
    <s v="FRIX00001092"/>
    <x v="0"/>
    <s v="Single Stock"/>
    <m/>
    <s v="SGLIP"/>
    <s v="Euronext Paris"/>
    <s v="Non-significant benchmark"/>
    <n v="0"/>
    <n v="0"/>
    <n v="0"/>
    <n v="0"/>
    <n v="0"/>
    <n v="0"/>
    <n v="0"/>
  </r>
  <r>
    <x v="1038"/>
    <x v="120"/>
    <s v="FRIX00001530"/>
    <x v="0"/>
    <s v="Single Stock"/>
    <m/>
    <s v="SGGD1"/>
    <s v="Euronext Paris"/>
    <s v="Non-significant benchmark"/>
    <n v="172073769.579759"/>
    <n v="275000000"/>
    <n v="375961327.35200006"/>
    <n v="0"/>
    <n v="0"/>
    <n v="0"/>
    <n v="375961327.35200006"/>
  </r>
  <r>
    <x v="1039"/>
    <x v="120"/>
    <s v="FRIX00001233"/>
    <x v="0"/>
    <s v="Single Stock"/>
    <m/>
    <s v="SGG1D"/>
    <s v="Euronext Paris"/>
    <s v="Non-significant benchmark"/>
    <n v="0"/>
    <n v="0"/>
    <n v="0"/>
    <n v="0"/>
    <n v="0"/>
    <n v="0"/>
    <n v="0"/>
  </r>
  <r>
    <x v="1040"/>
    <x v="120"/>
    <s v="FRIX00001522"/>
    <x v="0"/>
    <s v="Single Stock"/>
    <m/>
    <s v="SGGG1"/>
    <s v="Euronext Paris"/>
    <s v="Non-significant benchmark"/>
    <n v="0"/>
    <n v="0"/>
    <n v="0"/>
    <n v="0"/>
    <n v="0"/>
    <n v="0"/>
    <n v="0"/>
  </r>
  <r>
    <x v="1041"/>
    <x v="120"/>
    <s v="FRIX00001225"/>
    <x v="0"/>
    <s v="Single Stock"/>
    <m/>
    <s v="SGG1G"/>
    <s v="Euronext Paris"/>
    <s v="Non-significant benchmark"/>
    <n v="0"/>
    <n v="0"/>
    <n v="0"/>
    <n v="0"/>
    <n v="0"/>
    <n v="0"/>
    <n v="0"/>
  </r>
  <r>
    <x v="1042"/>
    <x v="120"/>
    <s v="FRIX00001514"/>
    <x v="0"/>
    <s v="Single Stock"/>
    <m/>
    <s v="SGGP1"/>
    <s v="Euronext Paris"/>
    <s v="Non-significant benchmark"/>
    <n v="0"/>
    <n v="0"/>
    <n v="0"/>
    <n v="0"/>
    <n v="0"/>
    <n v="0"/>
    <n v="0"/>
  </r>
  <r>
    <x v="1043"/>
    <x v="120"/>
    <s v="FRIX00001217"/>
    <x v="0"/>
    <s v="Single Stock"/>
    <m/>
    <s v="SGG1P"/>
    <s v="Euronext Paris"/>
    <s v="Non-significant benchmark"/>
    <n v="0"/>
    <n v="0"/>
    <n v="0"/>
    <n v="0"/>
    <n v="0"/>
    <n v="0"/>
    <n v="0"/>
  </r>
  <r>
    <x v="1044"/>
    <x v="120"/>
    <s v="FRIX00001142"/>
    <x v="0"/>
    <s v="Single Stock"/>
    <m/>
    <s v="SGS2D"/>
    <s v="Euronext Paris"/>
    <s v="Non-significant benchmark"/>
    <n v="103660122.5"/>
    <n v="1045000000"/>
    <n v="213667977.29640001"/>
    <n v="0"/>
    <n v="0"/>
    <n v="0"/>
    <n v="213667977.29640001"/>
  </r>
  <r>
    <x v="1045"/>
    <x v="120"/>
    <s v="FRIX00001134"/>
    <x v="0"/>
    <s v="Single Stock"/>
    <m/>
    <s v="SGS2G"/>
    <s v="Euronext Paris"/>
    <s v="Non-significant benchmark"/>
    <n v="0"/>
    <n v="0"/>
    <n v="0"/>
    <n v="0"/>
    <n v="0"/>
    <n v="0"/>
    <n v="0"/>
  </r>
  <r>
    <x v="1046"/>
    <x v="120"/>
    <s v="FRIX00001126"/>
    <x v="0"/>
    <s v="Single Stock"/>
    <m/>
    <s v="SGS2P"/>
    <s v="Euronext Paris"/>
    <s v="Non-significant benchmark"/>
    <n v="0"/>
    <n v="0"/>
    <n v="0"/>
    <n v="0"/>
    <n v="0"/>
    <n v="0"/>
    <n v="0"/>
  </r>
  <r>
    <x v="1047"/>
    <x v="120"/>
    <s v="FRIX00001266"/>
    <x v="0"/>
    <s v="Single Stock"/>
    <m/>
    <s v="SGURD"/>
    <s v="Euronext Paris"/>
    <s v="Non-significant benchmark"/>
    <n v="15786278.700000001"/>
    <n v="40000000"/>
    <n v="25411006.9124"/>
    <n v="0"/>
    <n v="0"/>
    <n v="0"/>
    <n v="25411006.9124"/>
  </r>
  <r>
    <x v="1048"/>
    <x v="120"/>
    <s v="FRIX00001258"/>
    <x v="0"/>
    <s v="Single Stock"/>
    <m/>
    <s v="SGURG"/>
    <s v="Euronext Paris"/>
    <s v="Non-significant benchmark"/>
    <n v="0"/>
    <n v="0"/>
    <n v="0"/>
    <n v="0"/>
    <n v="0"/>
    <n v="0"/>
    <n v="0"/>
  </r>
  <r>
    <x v="1049"/>
    <x v="120"/>
    <s v="FRIX00001241"/>
    <x v="0"/>
    <s v="Single Stock"/>
    <m/>
    <s v="SGURP"/>
    <s v="Euronext Paris"/>
    <s v="Non-significant benchmark"/>
    <n v="0"/>
    <n v="0"/>
    <n v="0"/>
    <n v="0"/>
    <n v="0"/>
    <n v="0"/>
    <n v="0"/>
  </r>
  <r>
    <x v="1050"/>
    <x v="120"/>
    <s v="FRIX00001498"/>
    <x v="0"/>
    <s v="Single Stock"/>
    <m/>
    <s v="SSA1G"/>
    <s v="Euronext Paris"/>
    <s v="Non-significant benchmark"/>
    <n v="0"/>
    <n v="0"/>
    <n v="0"/>
    <n v="0"/>
    <n v="0"/>
    <n v="0"/>
    <n v="0"/>
  </r>
  <r>
    <x v="1051"/>
    <x v="120"/>
    <s v="FRIX00001506"/>
    <x v="0"/>
    <s v="Single Stock"/>
    <m/>
    <s v="SSA1D"/>
    <s v="Euronext Paris"/>
    <s v="Non-significant benchmark"/>
    <n v="0"/>
    <n v="0"/>
    <n v="0"/>
    <n v="0"/>
    <n v="0"/>
    <n v="0"/>
    <n v="0"/>
  </r>
  <r>
    <x v="1052"/>
    <x v="120"/>
    <s v="FRIX00001480"/>
    <x v="0"/>
    <s v="Single Stock"/>
    <m/>
    <s v="SSA1P"/>
    <s v="Euronext Paris"/>
    <s v="Non-significant benchmark"/>
    <n v="0"/>
    <n v="0"/>
    <n v="0"/>
    <n v="0"/>
    <n v="0"/>
    <n v="0"/>
    <n v="0"/>
  </r>
  <r>
    <x v="1053"/>
    <x v="120"/>
    <s v="FRIX00001373"/>
    <x v="0"/>
    <s v="Single Stock"/>
    <m/>
    <s v="SSB3G"/>
    <s v="Euronext Paris"/>
    <s v="Non-significant benchmark"/>
    <n v="0"/>
    <n v="0"/>
    <n v="0"/>
    <n v="0"/>
    <n v="0"/>
    <n v="0"/>
    <n v="0"/>
  </r>
  <r>
    <x v="1054"/>
    <x v="120"/>
    <s v="FRIX00001381"/>
    <x v="0"/>
    <s v="Single Stock"/>
    <m/>
    <s v="SSB3D"/>
    <s v="Euronext Paris"/>
    <s v="Non-significant benchmark"/>
    <n v="0"/>
    <n v="0"/>
    <n v="0"/>
    <n v="0"/>
    <n v="0"/>
    <n v="0"/>
    <n v="0"/>
  </r>
  <r>
    <x v="1055"/>
    <x v="120"/>
    <s v="FRIX00001365"/>
    <x v="0"/>
    <s v="Single Stock"/>
    <m/>
    <s v="SSB3P"/>
    <s v="Euronext Paris"/>
    <s v="Non-significant benchmark"/>
    <n v="0"/>
    <n v="0"/>
    <n v="0"/>
    <n v="0"/>
    <n v="0"/>
    <n v="0"/>
    <n v="0"/>
  </r>
  <r>
    <x v="1056"/>
    <x v="120"/>
    <s v="FRIX00001464"/>
    <x v="0"/>
    <s v="Single Stock"/>
    <m/>
    <s v="SSBOG"/>
    <s v="Euronext Paris"/>
    <s v="Non-significant benchmark"/>
    <n v="0"/>
    <n v="0"/>
    <n v="0"/>
    <n v="0"/>
    <n v="0"/>
    <n v="0"/>
    <n v="0"/>
  </r>
  <r>
    <x v="1057"/>
    <x v="120"/>
    <s v="FRIX00001472"/>
    <x v="0"/>
    <s v="Single Stock"/>
    <m/>
    <s v="SSBOD"/>
    <s v="Euronext Paris"/>
    <s v="Non-significant benchmark"/>
    <n v="0"/>
    <n v="0"/>
    <n v="0"/>
    <n v="0"/>
    <n v="0"/>
    <n v="0"/>
    <n v="0"/>
  </r>
  <r>
    <x v="1058"/>
    <x v="120"/>
    <s v="FRIX00001456"/>
    <x v="0"/>
    <s v="Single Stock"/>
    <m/>
    <s v="SSBOP"/>
    <s v="Euronext Paris"/>
    <s v="Non-significant benchmark"/>
    <n v="0"/>
    <n v="0"/>
    <n v="0"/>
    <n v="0"/>
    <n v="0"/>
    <n v="0"/>
    <n v="0"/>
  </r>
  <r>
    <x v="1059"/>
    <x v="120"/>
    <s v="FRIX00001407"/>
    <x v="0"/>
    <s v="Single Stock"/>
    <m/>
    <s v="SSS2G"/>
    <s v="Euronext Paris"/>
    <s v="Non-significant benchmark"/>
    <n v="0"/>
    <n v="0"/>
    <n v="0"/>
    <n v="0"/>
    <n v="0"/>
    <n v="0"/>
    <n v="0"/>
  </r>
  <r>
    <x v="1060"/>
    <x v="120"/>
    <s v="FRIX00001415"/>
    <x v="0"/>
    <s v="Single Stock"/>
    <m/>
    <s v="SSS2D"/>
    <s v="Euronext Paris"/>
    <s v="Non-significant benchmark"/>
    <n v="0"/>
    <n v="63500000"/>
    <n v="9145752.0348000005"/>
    <n v="0"/>
    <n v="0"/>
    <n v="0"/>
    <n v="63500000"/>
  </r>
  <r>
    <x v="1061"/>
    <x v="120"/>
    <s v="FRIX00001399"/>
    <x v="0"/>
    <s v="Single Stock"/>
    <m/>
    <s v="SSS2P"/>
    <s v="Euronext Paris"/>
    <s v="Non-significant benchmark"/>
    <n v="0"/>
    <n v="0"/>
    <n v="0"/>
    <n v="0"/>
    <n v="0"/>
    <n v="0"/>
    <n v="0"/>
  </r>
  <r>
    <x v="1062"/>
    <x v="120"/>
    <s v="FRIX00001431"/>
    <x v="0"/>
    <s v="Single Stock"/>
    <m/>
    <s v="SSTEG"/>
    <s v="Euronext Paris"/>
    <s v="Non-significant benchmark"/>
    <n v="0"/>
    <n v="0"/>
    <n v="0"/>
    <n v="0"/>
    <n v="0"/>
    <n v="0"/>
    <n v="0"/>
  </r>
  <r>
    <x v="1063"/>
    <x v="120"/>
    <s v="FRIX00001449"/>
    <x v="0"/>
    <s v="Single Stock"/>
    <m/>
    <s v="SSTED"/>
    <s v="Euronext Paris"/>
    <s v="Non-significant benchmark"/>
    <n v="0"/>
    <n v="0"/>
    <n v="0"/>
    <n v="0"/>
    <n v="0"/>
    <n v="0"/>
    <n v="0"/>
  </r>
  <r>
    <x v="1064"/>
    <x v="120"/>
    <s v="FRIX00001423"/>
    <x v="0"/>
    <s v="Single Stock"/>
    <m/>
    <s v="SSTEP"/>
    <s v="Euronext Paris"/>
    <s v="Non-significant benchmark"/>
    <n v="0"/>
    <n v="0"/>
    <n v="0"/>
    <n v="0"/>
    <n v="0"/>
    <n v="0"/>
    <n v="0"/>
  </r>
  <r>
    <x v="1065"/>
    <x v="173"/>
    <s v="FRESG0001064"/>
    <x v="0"/>
    <s v="Thematic"/>
    <m/>
    <s v="NWSWP"/>
    <s v="Euronext Paris"/>
    <s v="Non-significant benchmark"/>
    <n v="0"/>
    <n v="0"/>
    <n v="0"/>
    <n v="0"/>
    <n v="0"/>
    <n v="0"/>
    <n v="0"/>
  </r>
  <r>
    <x v="1066"/>
    <x v="173"/>
    <s v="FRESG0001080"/>
    <x v="0"/>
    <s v="Thematic"/>
    <m/>
    <s v="NWSWG"/>
    <s v="Euronext Paris"/>
    <s v="Non-significant benchmark"/>
    <n v="0"/>
    <n v="0"/>
    <n v="0"/>
    <n v="0"/>
    <n v="0"/>
    <n v="0"/>
    <n v="0"/>
  </r>
  <r>
    <x v="1067"/>
    <x v="173"/>
    <s v="FRESG0001072"/>
    <x v="0"/>
    <s v="Thematic"/>
    <m/>
    <s v="NWSWN"/>
    <s v="Euronext Paris"/>
    <s v="Non-significant benchmark"/>
    <n v="0"/>
    <n v="0"/>
    <n v="0"/>
    <n v="0"/>
    <n v="0"/>
    <n v="0"/>
    <n v="0"/>
  </r>
  <r>
    <x v="1068"/>
    <x v="174"/>
    <s v="FRIX00001845"/>
    <x v="1"/>
    <s v="Thematic"/>
    <s v="ESG Other"/>
    <s v="EAIWP"/>
    <s v="Euronext Paris"/>
    <s v="Non-significant benchmark"/>
    <n v="0"/>
    <n v="0"/>
    <n v="0"/>
    <n v="0"/>
    <n v="0"/>
    <n v="0"/>
    <n v="0"/>
  </r>
  <r>
    <x v="1069"/>
    <x v="174"/>
    <s v="FRIX00001860"/>
    <x v="1"/>
    <s v="Thematic"/>
    <s v="ESG Other"/>
    <s v="EAIWG"/>
    <s v="Euronext Paris"/>
    <s v="Non-significant benchmark"/>
    <n v="0"/>
    <n v="0"/>
    <n v="0"/>
    <n v="0"/>
    <n v="0"/>
    <n v="0"/>
    <n v="0"/>
  </r>
  <r>
    <x v="1070"/>
    <x v="174"/>
    <s v="FRIX00001852"/>
    <x v="1"/>
    <s v="Thematic"/>
    <s v="ESG Other"/>
    <s v="EAIWN"/>
    <s v="Euronext Paris"/>
    <s v="Non-significant benchmark"/>
    <n v="0"/>
    <n v="0"/>
    <n v="0"/>
    <n v="0"/>
    <n v="0"/>
    <n v="0"/>
    <n v="0"/>
  </r>
  <r>
    <x v="1071"/>
    <x v="175"/>
    <s v="FRESG0001304"/>
    <x v="1"/>
    <s v="Climate;Environmental"/>
    <s v="ESG Other"/>
    <s v="ESBTP"/>
    <s v="Euronext Paris"/>
    <s v="Non-significant benchmark"/>
    <n v="0"/>
    <n v="0"/>
    <n v="0"/>
    <n v="0"/>
    <n v="0"/>
    <n v="0"/>
    <n v="0"/>
  </r>
  <r>
    <x v="1072"/>
    <x v="175"/>
    <s v="FRESG0001320"/>
    <x v="1"/>
    <s v="Climate;Environmental"/>
    <s v="ESG Other"/>
    <s v="ESBTG"/>
    <s v="Euronext Paris"/>
    <s v="Non-significant benchmark"/>
    <n v="0"/>
    <n v="0"/>
    <n v="0"/>
    <n v="0"/>
    <n v="0"/>
    <n v="0"/>
    <n v="0"/>
  </r>
  <r>
    <x v="1073"/>
    <x v="175"/>
    <s v="FRESG0001361"/>
    <x v="1"/>
    <s v="Climate;Environmental"/>
    <s v="ESG Other"/>
    <s v="ESDG3"/>
    <s v="Euronext Paris"/>
    <s v="Non-significant benchmark"/>
    <n v="0"/>
    <n v="0"/>
    <n v="0"/>
    <n v="0"/>
    <n v="0"/>
    <n v="0"/>
    <n v="0"/>
  </r>
  <r>
    <x v="1074"/>
    <x v="175"/>
    <s v="FRESG0001379"/>
    <x v="1"/>
    <s v="Climate;Environmental"/>
    <s v="ESG Other"/>
    <s v="ESDG4"/>
    <s v="Euronext Paris"/>
    <s v="Non-significant benchmark"/>
    <n v="0"/>
    <n v="0"/>
    <n v="0"/>
    <n v="0"/>
    <n v="0"/>
    <n v="0"/>
    <n v="0"/>
  </r>
  <r>
    <x v="1075"/>
    <x v="175"/>
    <s v="FRESG0001387"/>
    <x v="1"/>
    <s v="Climate;Environmental"/>
    <s v="ESG Other"/>
    <s v="ESDG5"/>
    <s v="Euronext Paris"/>
    <s v="Non-significant benchmark"/>
    <n v="0"/>
    <n v="0"/>
    <n v="0"/>
    <n v="0"/>
    <n v="0"/>
    <n v="0"/>
    <n v="0"/>
  </r>
  <r>
    <x v="1076"/>
    <x v="175"/>
    <s v="FRESG0001312"/>
    <x v="1"/>
    <s v="Climate;Environmental"/>
    <s v="ESG Other"/>
    <s v="ESBTN"/>
    <s v="Euronext Paris"/>
    <s v="Non-significant benchmark"/>
    <n v="0"/>
    <n v="0"/>
    <n v="0"/>
    <n v="0"/>
    <n v="0"/>
    <n v="0"/>
    <n v="0"/>
  </r>
  <r>
    <x v="1077"/>
    <x v="175"/>
    <s v="FRESG0001338"/>
    <x v="1"/>
    <s v="Climate;Environmental"/>
    <s v="ESG Other"/>
    <s v="ESN3D"/>
    <s v="Euronext Paris"/>
    <s v="Non-significant benchmark"/>
    <n v="0"/>
    <n v="0"/>
    <n v="0"/>
    <n v="0"/>
    <n v="0"/>
    <n v="0"/>
    <n v="0"/>
  </r>
  <r>
    <x v="1078"/>
    <x v="175"/>
    <s v="FRESG0001346"/>
    <x v="1"/>
    <s v="Climate;Environmental"/>
    <s v="ESG Other"/>
    <s v="ESN4D"/>
    <s v="Euronext Paris"/>
    <s v="Non-significant benchmark"/>
    <n v="0"/>
    <n v="0"/>
    <n v="0"/>
    <n v="0"/>
    <n v="0"/>
    <n v="0"/>
    <n v="0"/>
  </r>
  <r>
    <x v="1079"/>
    <x v="175"/>
    <s v="FRESG0001353"/>
    <x v="1"/>
    <s v="Climate;Environmental"/>
    <s v="ESG Other"/>
    <s v="ESN5D"/>
    <s v="Euronext Paris"/>
    <s v="Non-significant benchmark"/>
    <n v="0"/>
    <n v="0"/>
    <n v="0"/>
    <n v="0"/>
    <n v="0"/>
    <n v="0"/>
    <n v="0"/>
  </r>
  <r>
    <x v="1080"/>
    <x v="176"/>
    <s v="FRESG0001213"/>
    <x v="1"/>
    <s v="Climate;Environmental"/>
    <s v="ESG Other"/>
    <s v="ZSBTP"/>
    <s v="Euronext Paris"/>
    <s v="Non-significant benchmark"/>
    <n v="0"/>
    <n v="0"/>
    <n v="0"/>
    <n v="0"/>
    <n v="0"/>
    <n v="0"/>
    <n v="0"/>
  </r>
  <r>
    <x v="1081"/>
    <x v="176"/>
    <s v="FRESG0001239"/>
    <x v="1"/>
    <s v="Climate;Environmental"/>
    <s v="ESG Other"/>
    <s v="ZSBTG"/>
    <s v="Euronext Paris"/>
    <s v="Non-significant benchmark"/>
    <n v="0"/>
    <n v="0"/>
    <n v="0"/>
    <n v="0"/>
    <n v="0"/>
    <n v="0"/>
    <n v="0"/>
  </r>
  <r>
    <x v="1082"/>
    <x v="176"/>
    <s v="FRESG0001270"/>
    <x v="1"/>
    <s v="Climate;Environmental"/>
    <s v="ESG Other"/>
    <s v="ZSG3D"/>
    <s v="Euronext Paris"/>
    <s v="Non-significant benchmark"/>
    <n v="0"/>
    <n v="0"/>
    <n v="0"/>
    <n v="0"/>
    <n v="0"/>
    <n v="0"/>
    <n v="0"/>
  </r>
  <r>
    <x v="1083"/>
    <x v="176"/>
    <s v="FRESG0001288"/>
    <x v="1"/>
    <s v="Climate;Environmental"/>
    <s v="ESG Other"/>
    <s v="ZSG4D"/>
    <s v="Euronext Paris"/>
    <s v="Non-significant benchmark"/>
    <n v="0"/>
    <n v="0"/>
    <n v="0"/>
    <n v="0"/>
    <n v="0"/>
    <n v="0"/>
    <n v="0"/>
  </r>
  <r>
    <x v="1084"/>
    <x v="176"/>
    <s v="FRESG0001296"/>
    <x v="1"/>
    <s v="Climate;Environmental"/>
    <s v="ESG Other"/>
    <s v="ZSG5D"/>
    <s v="Euronext Paris"/>
    <s v="Non-significant benchmark"/>
    <n v="0"/>
    <n v="0"/>
    <n v="0"/>
    <n v="0"/>
    <n v="0"/>
    <n v="0"/>
    <n v="0"/>
  </r>
  <r>
    <x v="1085"/>
    <x v="176"/>
    <s v="FRESG0001221"/>
    <x v="1"/>
    <s v="Climate;Environmental"/>
    <s v="ESG Other"/>
    <s v="ZSBTN"/>
    <s v="Euronext Paris"/>
    <s v="Non-significant benchmark"/>
    <n v="0"/>
    <n v="0"/>
    <n v="0"/>
    <n v="0"/>
    <n v="0"/>
    <n v="0"/>
    <n v="0"/>
  </r>
  <r>
    <x v="1086"/>
    <x v="176"/>
    <s v="FRESG0001247"/>
    <x v="1"/>
    <s v="Climate;Environmental"/>
    <s v="ESG Other"/>
    <s v="ZSN3D"/>
    <s v="Euronext Paris"/>
    <s v="Non-significant benchmark"/>
    <n v="0"/>
    <n v="0"/>
    <n v="0"/>
    <n v="0"/>
    <n v="0"/>
    <n v="0"/>
    <n v="0"/>
  </r>
  <r>
    <x v="1087"/>
    <x v="176"/>
    <s v="FRESG0001254"/>
    <x v="1"/>
    <s v="Climate;Environmental"/>
    <s v="ESG Other"/>
    <s v="ZSN4D"/>
    <s v="Euronext Paris"/>
    <s v="Non-significant benchmark"/>
    <n v="0"/>
    <n v="0"/>
    <n v="0"/>
    <n v="0"/>
    <n v="0"/>
    <n v="0"/>
    <n v="0"/>
  </r>
  <r>
    <x v="1088"/>
    <x v="176"/>
    <s v="FRESG0001262"/>
    <x v="1"/>
    <s v="Climate;Environmental"/>
    <s v="ESG Other"/>
    <s v="ZSN5D"/>
    <s v="Euronext Paris"/>
    <s v="Non-significant benchmark"/>
    <n v="0"/>
    <n v="0"/>
    <n v="0"/>
    <n v="0"/>
    <n v="0"/>
    <n v="0"/>
    <n v="0"/>
  </r>
  <r>
    <x v="1089"/>
    <x v="103"/>
    <s v="FRESG0001395"/>
    <x v="1"/>
    <s v="Climate;Environmental"/>
    <s v="ESG Other"/>
    <s v="GCSSD"/>
    <s v="Euronext Paris"/>
    <s v="Non-significant benchmark"/>
    <n v="0"/>
    <n v="0"/>
    <n v="0"/>
    <n v="0"/>
    <n v="0"/>
    <n v="0"/>
    <n v="0"/>
  </r>
  <r>
    <x v="1090"/>
    <x v="177"/>
    <s v="FRIX00001811"/>
    <x v="1"/>
    <s v="Thematic"/>
    <s v="ESG Other"/>
    <s v="EMWPR"/>
    <s v="Euronext Paris"/>
    <s v="Non-significant benchmark"/>
    <n v="0"/>
    <n v="0"/>
    <n v="0"/>
    <n v="0"/>
    <n v="0"/>
    <n v="0"/>
    <n v="0"/>
  </r>
  <r>
    <x v="1091"/>
    <x v="177"/>
    <s v="FRIX00001837"/>
    <x v="1"/>
    <s v="Thematic"/>
    <s v="ESG Other"/>
    <s v="EMWGR"/>
    <s v="Euronext Paris"/>
    <s v="Non-significant benchmark"/>
    <n v="0"/>
    <n v="0"/>
    <n v="0"/>
    <n v="0"/>
    <n v="0"/>
    <n v="0"/>
    <n v="0"/>
  </r>
  <r>
    <x v="1092"/>
    <x v="177"/>
    <s v="FRIX00001829"/>
    <x v="1"/>
    <s v="Thematic"/>
    <s v="ESG Other"/>
    <s v="EMWNR"/>
    <s v="Euronext Paris"/>
    <s v="Non-significant benchmark"/>
    <n v="0"/>
    <n v="0"/>
    <n v="0"/>
    <n v="0"/>
    <n v="0"/>
    <n v="0"/>
    <n v="0"/>
  </r>
  <r>
    <x v="1093"/>
    <x v="120"/>
    <s v="FRIX00001597"/>
    <x v="0"/>
    <s v="Single Stock"/>
    <m/>
    <s v="SGAD1"/>
    <s v="Euronext Paris"/>
    <s v="Non-significant benchmark"/>
    <n v="0"/>
    <n v="0"/>
    <n v="0"/>
    <n v="0"/>
    <n v="0"/>
    <n v="0"/>
    <n v="0"/>
  </r>
  <r>
    <x v="1094"/>
    <x v="120"/>
    <s v="FRIX00001589"/>
    <x v="0"/>
    <s v="Single Stock"/>
    <m/>
    <s v="SGAG1"/>
    <s v="Euronext Paris"/>
    <s v="Non-significant benchmark"/>
    <n v="0"/>
    <n v="0"/>
    <n v="0"/>
    <n v="0"/>
    <n v="0"/>
    <n v="0"/>
    <n v="0"/>
  </r>
  <r>
    <x v="1095"/>
    <x v="120"/>
    <s v="FRIX00001571"/>
    <x v="0"/>
    <s v="Single Stock"/>
    <m/>
    <s v="SGAP1"/>
    <s v="Euronext Paris"/>
    <s v="Non-significant benchmark"/>
    <n v="0"/>
    <n v="0"/>
    <n v="0"/>
    <n v="0"/>
    <n v="0"/>
    <n v="0"/>
    <n v="0"/>
  </r>
  <r>
    <x v="1096"/>
    <x v="120"/>
    <s v="FRIX00001563"/>
    <x v="0"/>
    <s v="Single Stock"/>
    <m/>
    <s v="SGBD3"/>
    <s v="Euronext Paris"/>
    <s v="Non-significant benchmark"/>
    <n v="0"/>
    <n v="1392500000"/>
    <n v="322173621.52800006"/>
    <n v="0"/>
    <n v="0"/>
    <n v="0"/>
    <n v="1392500000"/>
  </r>
  <r>
    <x v="1097"/>
    <x v="120"/>
    <s v="FRIX00001555"/>
    <x v="0"/>
    <s v="Single Stock"/>
    <m/>
    <s v="SGBG3"/>
    <s v="Euronext Paris"/>
    <s v="Non-significant benchmark"/>
    <n v="0"/>
    <n v="5000000"/>
    <n v="0"/>
    <n v="0"/>
    <n v="0"/>
    <n v="0"/>
    <n v="5000000"/>
  </r>
  <r>
    <x v="1098"/>
    <x v="120"/>
    <s v="FRIX00001548"/>
    <x v="0"/>
    <s v="Single Stock"/>
    <m/>
    <s v="SGBP3"/>
    <s v="Euronext Paris"/>
    <s v="Non-significant benchmark"/>
    <n v="0"/>
    <n v="0"/>
    <n v="0"/>
    <n v="0"/>
    <n v="0"/>
    <n v="0"/>
    <n v="0"/>
  </r>
  <r>
    <x v="1099"/>
    <x v="120"/>
    <s v="FRIX00021959"/>
    <x v="0"/>
    <s v="Single Stock"/>
    <m/>
    <s v="SGACG"/>
    <s v="Euronext Paris"/>
    <s v="Non-significant benchmark"/>
    <n v="0"/>
    <n v="0"/>
    <n v="0"/>
    <n v="0"/>
    <n v="0"/>
    <n v="0"/>
    <n v="0"/>
  </r>
  <r>
    <x v="1100"/>
    <x v="120"/>
    <s v="FRIX00031966"/>
    <x v="0"/>
    <s v="Single Stock"/>
    <m/>
    <s v="SGACD"/>
    <s v="Euronext Paris"/>
    <s v="Non-significant benchmark"/>
    <n v="77210560.133622006"/>
    <n v="0"/>
    <n v="100769056.4076"/>
    <n v="0"/>
    <n v="0"/>
    <n v="0"/>
    <n v="100769056.4076"/>
  </r>
  <r>
    <x v="1101"/>
    <x v="120"/>
    <s v="FRIX00011943"/>
    <x v="0"/>
    <s v="Single Stock"/>
    <m/>
    <s v="SGACP"/>
    <s v="Euronext Paris"/>
    <s v="Non-significant benchmark"/>
    <n v="0"/>
    <n v="0"/>
    <n v="0"/>
    <n v="0"/>
    <n v="0"/>
    <n v="0"/>
    <n v="0"/>
  </r>
  <r>
    <x v="1102"/>
    <x v="120"/>
    <s v="FRIX00001985"/>
    <x v="0"/>
    <s v="Single Stock"/>
    <m/>
    <s v="SGED2"/>
    <s v="Euronext Paris"/>
    <s v="Non-significant benchmark"/>
    <n v="229622789.42052099"/>
    <n v="790000000"/>
    <n v="0"/>
    <n v="0"/>
    <n v="0"/>
    <n v="0"/>
    <n v="229622789.42052099"/>
  </r>
  <r>
    <x v="1103"/>
    <x v="120"/>
    <s v="FRIX00001977"/>
    <x v="0"/>
    <s v="Single Stock"/>
    <m/>
    <s v="SGEG2"/>
    <s v="Euronext Paris"/>
    <s v="Non-significant benchmark"/>
    <n v="0"/>
    <n v="370000000"/>
    <n v="304241316.17879999"/>
    <n v="0"/>
    <n v="0"/>
    <n v="0"/>
    <n v="370000000"/>
  </r>
  <r>
    <x v="1104"/>
    <x v="120"/>
    <s v="FRIX00001969"/>
    <x v="0"/>
    <s v="Single Stock"/>
    <m/>
    <s v="SGEP2"/>
    <s v="Euronext Paris"/>
    <s v="Non-significant benchmark"/>
    <n v="0"/>
    <n v="0"/>
    <n v="0"/>
    <n v="0"/>
    <n v="0"/>
    <n v="0"/>
    <n v="0"/>
  </r>
  <r>
    <x v="1105"/>
    <x v="120"/>
    <s v="FRIX00001894"/>
    <x v="0"/>
    <s v="Single Stock"/>
    <m/>
    <s v="SGKED"/>
    <s v="Euronext Paris"/>
    <s v="Non-significant benchmark"/>
    <n v="0"/>
    <n v="30000000"/>
    <n v="7976053.6376"/>
    <n v="0"/>
    <n v="0"/>
    <n v="0"/>
    <n v="30000000"/>
  </r>
  <r>
    <x v="1106"/>
    <x v="120"/>
    <s v="FRIX00001886"/>
    <x v="0"/>
    <s v="Single Stock"/>
    <m/>
    <s v="SGKEG"/>
    <s v="Euronext Paris"/>
    <s v="Non-significant benchmark"/>
    <n v="0"/>
    <n v="0"/>
    <n v="0"/>
    <n v="0"/>
    <n v="0"/>
    <n v="0"/>
    <n v="0"/>
  </r>
  <r>
    <x v="1107"/>
    <x v="120"/>
    <s v="FRIX00001878"/>
    <x v="0"/>
    <s v="Single Stock"/>
    <m/>
    <s v="SGKEP"/>
    <s v="Euronext Paris"/>
    <s v="Non-significant benchmark"/>
    <n v="0"/>
    <n v="0"/>
    <n v="0"/>
    <n v="0"/>
    <n v="0"/>
    <n v="0"/>
    <n v="0"/>
  </r>
  <r>
    <x v="1108"/>
    <x v="120"/>
    <s v="FRIX00001712"/>
    <x v="0"/>
    <s v="Single Stock"/>
    <m/>
    <s v="SGSD1"/>
    <s v="Euronext Paris"/>
    <s v="Non-significant benchmark"/>
    <n v="0"/>
    <n v="0"/>
    <n v="5176145.6632000003"/>
    <n v="0"/>
    <n v="0"/>
    <n v="0"/>
    <n v="5176145.6632000003"/>
  </r>
  <r>
    <x v="1109"/>
    <x v="120"/>
    <s v="FRIX00001704"/>
    <x v="0"/>
    <s v="Single Stock"/>
    <m/>
    <s v="SGSG1"/>
    <s v="Euronext Paris"/>
    <s v="Non-significant benchmark"/>
    <n v="0"/>
    <n v="0"/>
    <n v="0"/>
    <n v="0"/>
    <n v="0"/>
    <n v="0"/>
    <n v="0"/>
  </r>
  <r>
    <x v="1110"/>
    <x v="120"/>
    <s v="FRIX00001696"/>
    <x v="0"/>
    <s v="Single Stock"/>
    <m/>
    <s v="SGSP1"/>
    <s v="Euronext Paris"/>
    <s v="Non-significant benchmark"/>
    <n v="0"/>
    <n v="0"/>
    <n v="0"/>
    <n v="0"/>
    <n v="0"/>
    <n v="0"/>
    <n v="0"/>
  </r>
  <r>
    <x v="1111"/>
    <x v="120"/>
    <s v="FRIX00001621"/>
    <x v="0"/>
    <s v="Single Stock"/>
    <m/>
    <s v="SGTD2"/>
    <s v="Euronext Paris"/>
    <s v="Non-significant benchmark"/>
    <n v="0"/>
    <n v="0"/>
    <n v="0"/>
    <n v="0"/>
    <n v="0"/>
    <n v="0"/>
    <n v="0"/>
  </r>
  <r>
    <x v="1112"/>
    <x v="120"/>
    <s v="FRIX00001613"/>
    <x v="0"/>
    <s v="Single Stock"/>
    <m/>
    <s v="SGTG2"/>
    <s v="Euronext Paris"/>
    <s v="Non-significant benchmark"/>
    <n v="0"/>
    <n v="0"/>
    <n v="0"/>
    <n v="0"/>
    <n v="0"/>
    <n v="0"/>
    <n v="0"/>
  </r>
  <r>
    <x v="1113"/>
    <x v="120"/>
    <s v="FRIX00001605"/>
    <x v="0"/>
    <s v="Single Stock"/>
    <m/>
    <s v="SGTP2"/>
    <s v="Euronext Paris"/>
    <s v="Non-significant benchmark"/>
    <n v="0"/>
    <n v="0"/>
    <n v="0"/>
    <n v="0"/>
    <n v="0"/>
    <n v="0"/>
    <n v="0"/>
  </r>
  <r>
    <x v="1114"/>
    <x v="120"/>
    <s v="FRIX00001803"/>
    <x v="0"/>
    <s v="Single Stock"/>
    <m/>
    <s v="SGURW"/>
    <s v="Euronext Paris"/>
    <s v="Non-significant benchmark"/>
    <n v="0"/>
    <n v="0"/>
    <n v="0"/>
    <n v="0"/>
    <n v="0"/>
    <n v="0"/>
    <n v="0"/>
  </r>
  <r>
    <x v="1115"/>
    <x v="120"/>
    <s v="FRIX00001795"/>
    <x v="0"/>
    <s v="Single Stock"/>
    <m/>
    <s v="SGU1G"/>
    <s v="Euronext Paris"/>
    <s v="Non-significant benchmark"/>
    <n v="0"/>
    <n v="0"/>
    <n v="0"/>
    <n v="0"/>
    <n v="0"/>
    <n v="0"/>
    <n v="0"/>
  </r>
  <r>
    <x v="1116"/>
    <x v="120"/>
    <s v="FRIX00001787"/>
    <x v="0"/>
    <s v="Single Stock"/>
    <m/>
    <s v="SGU1P"/>
    <s v="Euronext Paris"/>
    <s v="Non-significant benchmark"/>
    <n v="0"/>
    <n v="0"/>
    <n v="0"/>
    <n v="0"/>
    <n v="0"/>
    <n v="0"/>
    <n v="0"/>
  </r>
  <r>
    <x v="1117"/>
    <x v="120"/>
    <s v="FRIX00001928"/>
    <x v="0"/>
    <s v="Single Stock"/>
    <m/>
    <s v="SGVID"/>
    <s v="Euronext Paris"/>
    <s v="Non-significant benchmark"/>
    <n v="0"/>
    <n v="0"/>
    <n v="2993322.67"/>
    <n v="0"/>
    <n v="0"/>
    <n v="0"/>
    <n v="2993322.67"/>
  </r>
  <r>
    <x v="1118"/>
    <x v="120"/>
    <s v="FRIX00001910"/>
    <x v="0"/>
    <s v="Single Stock"/>
    <m/>
    <s v="SGVIG"/>
    <s v="Euronext Paris"/>
    <s v="Non-significant benchmark"/>
    <n v="0"/>
    <n v="0"/>
    <n v="0"/>
    <n v="0"/>
    <n v="0"/>
    <n v="0"/>
    <n v="0"/>
  </r>
  <r>
    <x v="1119"/>
    <x v="120"/>
    <s v="FRIX00001902"/>
    <x v="0"/>
    <s v="Single Stock"/>
    <m/>
    <s v="SGVIP"/>
    <s v="Euronext Paris"/>
    <s v="Non-significant benchmark"/>
    <n v="0"/>
    <n v="0"/>
    <n v="0"/>
    <n v="0"/>
    <n v="0"/>
    <n v="0"/>
    <n v="0"/>
  </r>
  <r>
    <x v="1120"/>
    <x v="120"/>
    <s v="FRIX00001670"/>
    <x v="0"/>
    <s v="Single Stock"/>
    <m/>
    <s v="SMEG1"/>
    <s v="Euronext Paris"/>
    <s v="Non-significant benchmark"/>
    <n v="0"/>
    <n v="0"/>
    <n v="0"/>
    <n v="0"/>
    <n v="0"/>
    <n v="0"/>
    <n v="0"/>
  </r>
  <r>
    <x v="1121"/>
    <x v="120"/>
    <s v="FRIX00001688"/>
    <x v="0"/>
    <s v="Single Stock"/>
    <m/>
    <s v="SMED1"/>
    <s v="Euronext Paris"/>
    <s v="Non-significant benchmark"/>
    <n v="0"/>
    <n v="0"/>
    <n v="0"/>
    <n v="0"/>
    <n v="0"/>
    <n v="0"/>
    <n v="0"/>
  </r>
  <r>
    <x v="1122"/>
    <x v="120"/>
    <s v="FRIX00001662"/>
    <x v="0"/>
    <s v="Single Stock"/>
    <m/>
    <s v="SMEP1"/>
    <s v="Euronext Paris"/>
    <s v="Non-significant benchmark"/>
    <n v="0"/>
    <n v="0"/>
    <n v="0"/>
    <n v="0"/>
    <n v="0"/>
    <n v="0"/>
    <n v="0"/>
  </r>
  <r>
    <x v="1123"/>
    <x v="120"/>
    <s v="FRIX00001761"/>
    <x v="0"/>
    <s v="Single Stock"/>
    <m/>
    <s v="SMMLG"/>
    <s v="Euronext Paris"/>
    <s v="Non-significant benchmark"/>
    <n v="0"/>
    <n v="0"/>
    <n v="0"/>
    <n v="0"/>
    <n v="0"/>
    <n v="0"/>
    <n v="0"/>
  </r>
  <r>
    <x v="1124"/>
    <x v="120"/>
    <s v="FRIX00001779"/>
    <x v="0"/>
    <s v="Single Stock"/>
    <m/>
    <s v="SMMLD"/>
    <s v="Euronext Paris"/>
    <s v="Non-significant benchmark"/>
    <n v="0"/>
    <n v="0"/>
    <n v="0"/>
    <n v="0"/>
    <n v="0"/>
    <n v="0"/>
    <n v="0"/>
  </r>
  <r>
    <x v="1125"/>
    <x v="120"/>
    <s v="FRIX00001753"/>
    <x v="0"/>
    <s v="Single Stock"/>
    <m/>
    <s v="SMMLP"/>
    <s v="Euronext Paris"/>
    <s v="Non-significant benchmark"/>
    <n v="0"/>
    <n v="0"/>
    <n v="0"/>
    <n v="0"/>
    <n v="0"/>
    <n v="0"/>
    <n v="0"/>
  </r>
  <r>
    <x v="1126"/>
    <x v="120"/>
    <s v="FRIX00001738"/>
    <x v="0"/>
    <s v="Single Stock"/>
    <m/>
    <s v="SMSGG"/>
    <s v="Euronext Paris"/>
    <s v="Non-significant benchmark"/>
    <n v="0"/>
    <n v="0"/>
    <n v="0"/>
    <n v="0"/>
    <n v="0"/>
    <n v="0"/>
    <n v="0"/>
  </r>
  <r>
    <x v="1127"/>
    <x v="120"/>
    <s v="FRIX00001746"/>
    <x v="0"/>
    <s v="Single Stock"/>
    <m/>
    <s v="SMSGD"/>
    <s v="Euronext Paris"/>
    <s v="Non-significant benchmark"/>
    <n v="0"/>
    <n v="0"/>
    <n v="0"/>
    <n v="0"/>
    <n v="0"/>
    <n v="0"/>
    <n v="0"/>
  </r>
  <r>
    <x v="1128"/>
    <x v="120"/>
    <s v="FRIX00001720"/>
    <x v="0"/>
    <s v="Single Stock"/>
    <m/>
    <s v="SMSGP"/>
    <s v="Euronext Paris"/>
    <s v="Non-significant benchmark"/>
    <n v="0"/>
    <n v="0"/>
    <n v="0"/>
    <n v="0"/>
    <n v="0"/>
    <n v="0"/>
    <n v="0"/>
  </r>
  <r>
    <x v="1129"/>
    <x v="120"/>
    <s v="FRIX00001647"/>
    <x v="0"/>
    <s v="Single Stock"/>
    <m/>
    <s v="SSEG1"/>
    <s v="Euronext Paris"/>
    <s v="Non-significant benchmark"/>
    <n v="0"/>
    <n v="0"/>
    <n v="0"/>
    <n v="0"/>
    <n v="0"/>
    <n v="0"/>
    <n v="0"/>
  </r>
  <r>
    <x v="1130"/>
    <x v="120"/>
    <s v="FRIX00001654"/>
    <x v="0"/>
    <s v="Single Stock"/>
    <m/>
    <s v="SSED1"/>
    <s v="Euronext Paris"/>
    <s v="Non-significant benchmark"/>
    <n v="0"/>
    <n v="0"/>
    <n v="0"/>
    <n v="0"/>
    <n v="0"/>
    <n v="0"/>
    <n v="0"/>
  </r>
  <r>
    <x v="1131"/>
    <x v="120"/>
    <s v="FRIX00001639"/>
    <x v="0"/>
    <s v="Single Stock"/>
    <m/>
    <s v="SSEP1"/>
    <s v="Euronext Paris"/>
    <s v="Non-significant benchmark"/>
    <n v="0"/>
    <n v="0"/>
    <n v="0"/>
    <n v="0"/>
    <n v="0"/>
    <n v="0"/>
    <n v="0"/>
  </r>
  <r>
    <x v="1132"/>
    <x v="178"/>
    <s v="FRIX00001936"/>
    <x v="0"/>
    <s v="Strategy"/>
    <m/>
    <s v="CAFME"/>
    <s v="Euronext Paris"/>
    <s v="Non-significant benchmark"/>
    <n v="0"/>
    <n v="0"/>
    <n v="0"/>
    <n v="0"/>
    <n v="0"/>
    <n v="0"/>
    <n v="0"/>
  </r>
  <r>
    <x v="1133"/>
    <x v="179"/>
    <s v="FRIX00001993"/>
    <x v="0"/>
    <s v="Strategy"/>
    <m/>
    <s v="CTRFD"/>
    <s v="Euronext Paris"/>
    <s v="Non-significant benchmark"/>
    <n v="0"/>
    <n v="0"/>
    <n v="0"/>
    <n v="0"/>
    <n v="0"/>
    <n v="0"/>
    <n v="0"/>
  </r>
  <r>
    <x v="1134"/>
    <x v="180"/>
    <s v="FRESG0001411"/>
    <x v="1"/>
    <s v="Biodiversity;Environmental"/>
    <s v="ESG Other"/>
    <s v="EBEWP"/>
    <s v="Euronext Paris"/>
    <s v="Non-significant benchmark"/>
    <n v="0"/>
    <n v="0"/>
    <n v="0"/>
    <n v="0"/>
    <n v="0"/>
    <n v="0"/>
    <n v="0"/>
  </r>
  <r>
    <x v="1135"/>
    <x v="180"/>
    <s v="FRESG0001437"/>
    <x v="1"/>
    <s v="Biodiversity;Environmental"/>
    <s v="ESG Other"/>
    <s v="EBEWG"/>
    <s v="Euronext Paris"/>
    <s v="Non-significant benchmark"/>
    <n v="0"/>
    <n v="0"/>
    <n v="0"/>
    <n v="0"/>
    <n v="0"/>
    <n v="0"/>
    <n v="0"/>
  </r>
  <r>
    <x v="1136"/>
    <x v="180"/>
    <s v="FRESG0001429"/>
    <x v="1"/>
    <s v="Biodiversity;Environmental"/>
    <s v="ESG Other"/>
    <s v="EBEWN"/>
    <s v="Euronext Paris"/>
    <s v="Non-significant benchmark"/>
    <n v="0"/>
    <n v="0"/>
    <n v="0"/>
    <n v="0"/>
    <n v="0"/>
    <n v="0"/>
    <n v="0"/>
  </r>
  <r>
    <x v="1137"/>
    <x v="181"/>
    <s v="FRESG0001445"/>
    <x v="1"/>
    <s v="Biodiversity;Environmental"/>
    <s v="ESG Other"/>
    <s v="BISWP"/>
    <s v="Euronext Paris"/>
    <s v="Non-significant benchmark"/>
    <n v="0"/>
    <n v="0"/>
    <n v="0"/>
    <n v="0"/>
    <n v="0"/>
    <n v="0"/>
    <n v="0"/>
  </r>
  <r>
    <x v="1138"/>
    <x v="181"/>
    <s v="FRESG0001460"/>
    <x v="1"/>
    <s v="Biodiversity;Environmental"/>
    <s v="ESG Other"/>
    <s v="BISWG"/>
    <s v="Euronext Paris"/>
    <s v="Non-significant benchmark"/>
    <n v="0"/>
    <n v="0"/>
    <n v="0"/>
    <n v="0"/>
    <n v="0"/>
    <n v="0"/>
    <n v="0"/>
  </r>
  <r>
    <x v="1139"/>
    <x v="181"/>
    <s v="FRESG0001452"/>
    <x v="1"/>
    <s v="Biodiversity;Environmental"/>
    <s v="ESG Other"/>
    <s v="BISWN"/>
    <s v="Euronext Paris"/>
    <s v="Non-significant benchmark"/>
    <n v="0"/>
    <n v="0"/>
    <n v="0"/>
    <n v="0"/>
    <n v="0"/>
    <n v="0"/>
    <n v="0"/>
  </r>
  <r>
    <x v="1140"/>
    <x v="182"/>
    <s v="FRIX00002017"/>
    <x v="1"/>
    <s v="Thematic"/>
    <s v="ESG Other"/>
    <s v="ECWPR"/>
    <s v="Euronext Paris"/>
    <s v="Non-significant benchmark"/>
    <n v="0"/>
    <n v="0"/>
    <n v="0"/>
    <n v="0"/>
    <n v="0"/>
    <n v="0"/>
    <n v="0"/>
  </r>
  <r>
    <x v="1141"/>
    <x v="182"/>
    <s v="FRIX00002033"/>
    <x v="1"/>
    <s v="Thematic"/>
    <s v="ESG Other"/>
    <s v="ECWGR"/>
    <s v="Euronext Paris"/>
    <s v="Non-significant benchmark"/>
    <n v="0"/>
    <n v="0"/>
    <n v="0"/>
    <n v="0"/>
    <n v="0"/>
    <n v="0"/>
    <n v="0"/>
  </r>
  <r>
    <x v="1142"/>
    <x v="182"/>
    <s v="FRIX00002025"/>
    <x v="1"/>
    <s v="Thematic"/>
    <s v="ESG Other"/>
    <s v="ECWNR"/>
    <s v="Euronext Paris"/>
    <s v="Non-significant benchmark"/>
    <n v="0"/>
    <n v="0"/>
    <n v="0"/>
    <n v="0"/>
    <n v="0"/>
    <n v="0"/>
    <n v="0"/>
  </r>
  <r>
    <x v="1143"/>
    <x v="58"/>
    <s v="FRESG0001403"/>
    <x v="1"/>
    <s v="Biodiversity;Climate;PAB"/>
    <s v="PAB"/>
    <s v="EBLPD"/>
    <s v="Euronext Paris"/>
    <s v="Non-significant benchmark"/>
    <n v="0"/>
    <n v="0"/>
    <n v="67731984.354400009"/>
    <n v="0"/>
    <n v="0"/>
    <n v="0"/>
    <n v="67731984.354400009"/>
  </r>
  <r>
    <x v="1144"/>
    <x v="183"/>
    <s v="FRESG0001478"/>
    <x v="1"/>
    <s v="Climate;Environmental"/>
    <s v="ESG Other"/>
    <s v="FCLSP"/>
    <s v="Euronext Paris"/>
    <s v="Non-significant benchmark"/>
    <n v="0"/>
    <n v="0"/>
    <n v="0"/>
    <n v="0"/>
    <n v="0"/>
    <n v="0"/>
    <n v="0"/>
  </r>
  <r>
    <x v="1145"/>
    <x v="183"/>
    <s v="FRESG0001502"/>
    <x v="1"/>
    <s v="Climate;Environmental"/>
    <s v="ESG Other"/>
    <s v="FCLSD"/>
    <s v="Euronext Paris"/>
    <s v="Non-significant benchmark"/>
    <n v="0"/>
    <n v="60500000"/>
    <n v="35302787.058800004"/>
    <n v="0"/>
    <n v="0"/>
    <n v="0"/>
    <n v="60500000"/>
  </r>
  <r>
    <x v="1146"/>
    <x v="183"/>
    <s v="FRESG0001486"/>
    <x v="1"/>
    <s v="Climate;Environmental"/>
    <s v="ESG Other"/>
    <s v="FCLSG"/>
    <s v="Euronext Paris"/>
    <s v="Non-significant benchmark"/>
    <n v="0"/>
    <n v="0"/>
    <n v="0"/>
    <n v="0"/>
    <n v="0"/>
    <n v="0"/>
    <n v="0"/>
  </r>
  <r>
    <x v="1147"/>
    <x v="183"/>
    <s v="FRESG0001494"/>
    <x v="1"/>
    <s v="Climate;Environmental"/>
    <s v="ESG Other"/>
    <s v="FCLSN"/>
    <s v="Euronext Paris"/>
    <s v="Non-significant benchmark"/>
    <n v="0"/>
    <n v="0"/>
    <n v="0"/>
    <n v="0"/>
    <n v="0"/>
    <n v="0"/>
    <n v="0"/>
  </r>
  <r>
    <x v="1148"/>
    <x v="184"/>
    <s v="FRCLIM000148"/>
    <x v="1"/>
    <s v="Climate;PAB"/>
    <s v="PAB"/>
    <s v="PABUP"/>
    <s v="Euronext Paris"/>
    <s v="Non-significant benchmark"/>
    <n v="0"/>
    <n v="0"/>
    <n v="0"/>
    <n v="0"/>
    <n v="0"/>
    <n v="0"/>
    <n v="0"/>
  </r>
  <r>
    <x v="1149"/>
    <x v="184"/>
    <s v="FRCLIM000171"/>
    <x v="1"/>
    <s v="Climate;PAB"/>
    <s v="PAB"/>
    <s v="PABU5"/>
    <s v="Euronext Paris"/>
    <s v="Non-significant benchmark"/>
    <n v="0"/>
    <n v="0"/>
    <n v="0"/>
    <n v="0"/>
    <n v="0"/>
    <n v="0"/>
    <n v="0"/>
  </r>
  <r>
    <x v="1150"/>
    <x v="184"/>
    <s v="FRCLIM000163"/>
    <x v="1"/>
    <s v="Climate;PAB"/>
    <s v="PAB"/>
    <s v="PABUG"/>
    <s v="Euronext Paris"/>
    <s v="Non-significant benchmark"/>
    <n v="0"/>
    <n v="0"/>
    <n v="0"/>
    <n v="0"/>
    <n v="0"/>
    <n v="0"/>
    <n v="0"/>
  </r>
  <r>
    <x v="1151"/>
    <x v="184"/>
    <s v="FRCLIM000155"/>
    <x v="1"/>
    <s v="Climate;PAB"/>
    <s v="PAB"/>
    <s v="PABUN"/>
    <s v="Euronext Paris"/>
    <s v="Non-significant benchmark"/>
    <n v="0"/>
    <n v="0"/>
    <n v="0"/>
    <n v="0"/>
    <n v="0"/>
    <n v="0"/>
    <n v="0"/>
  </r>
  <r>
    <x v="1152"/>
    <x v="185"/>
    <s v="FRCLIM000205"/>
    <x v="1"/>
    <s v="PAB"/>
    <s v="PAB"/>
    <s v="PABTP"/>
    <s v="Euronext Paris"/>
    <s v="Non-significant benchmark"/>
    <n v="0"/>
    <n v="0"/>
    <n v="0"/>
    <n v="0"/>
    <n v="0"/>
    <n v="0"/>
    <n v="0"/>
  </r>
  <r>
    <x v="1153"/>
    <x v="185"/>
    <s v="FRCLIM000221"/>
    <x v="1"/>
    <s v="PAB"/>
    <s v="PAB"/>
    <s v="PABTG"/>
    <s v="Euronext Paris"/>
    <s v="Non-significant benchmark"/>
    <n v="0"/>
    <n v="0"/>
    <n v="0"/>
    <n v="0"/>
    <n v="0"/>
    <n v="0"/>
    <n v="0"/>
  </r>
  <r>
    <x v="1154"/>
    <x v="185"/>
    <s v="FRCLIM000213"/>
    <x v="1"/>
    <s v="PAB"/>
    <s v="PAB"/>
    <s v="PABTN"/>
    <s v="Euronext Paris"/>
    <s v="Non-significant benchmark"/>
    <n v="0"/>
    <n v="0"/>
    <n v="0"/>
    <n v="0"/>
    <n v="0"/>
    <n v="0"/>
    <n v="0"/>
  </r>
  <r>
    <x v="1155"/>
    <x v="186"/>
    <s v="FRCLIM000106"/>
    <x v="1"/>
    <s v="Climate;PAB"/>
    <s v="PAB"/>
    <s v="TPABP"/>
    <s v="Euronext Paris"/>
    <s v="Non-significant benchmark"/>
    <n v="0"/>
    <n v="0"/>
    <n v="0"/>
    <n v="0"/>
    <n v="0"/>
    <n v="0"/>
    <n v="0"/>
  </r>
  <r>
    <x v="1156"/>
    <x v="186"/>
    <s v="FRCLIM000130"/>
    <x v="1"/>
    <s v="Climate;PAB"/>
    <s v="PAB"/>
    <s v="TPAB5"/>
    <s v="Euronext Paris"/>
    <s v="Non-significant benchmark"/>
    <n v="0"/>
    <n v="1502340.875"/>
    <n v="0"/>
    <n v="0"/>
    <n v="0"/>
    <n v="0"/>
    <n v="1502340.875"/>
  </r>
  <r>
    <x v="1157"/>
    <x v="186"/>
    <s v="FRCLIM000122"/>
    <x v="1"/>
    <s v="Climate;PAB"/>
    <s v="PAB"/>
    <s v="TPABG"/>
    <s v="Euronext Paris"/>
    <s v="Non-significant benchmark"/>
    <n v="0"/>
    <n v="0"/>
    <n v="0"/>
    <n v="0"/>
    <n v="0"/>
    <n v="0"/>
    <n v="0"/>
  </r>
  <r>
    <x v="1158"/>
    <x v="186"/>
    <s v="FRCLIM000114"/>
    <x v="1"/>
    <s v="Climate;PAB"/>
    <s v="PAB"/>
    <s v="TPABN"/>
    <s v="Euronext Paris"/>
    <s v="Non-significant benchmark"/>
    <n v="0"/>
    <n v="0"/>
    <n v="0"/>
    <n v="0"/>
    <n v="0"/>
    <n v="0"/>
    <n v="0"/>
  </r>
  <r>
    <x v="1159"/>
    <x v="187"/>
    <s v="FRIX00002298"/>
    <x v="0"/>
    <s v="Country"/>
    <m/>
    <s v="CACVB"/>
    <s v="Euronext Paris"/>
    <s v="Non-significant benchmark"/>
    <n v="0"/>
    <n v="0"/>
    <n v="0"/>
    <n v="0"/>
    <n v="0"/>
    <n v="0"/>
    <n v="0"/>
  </r>
  <r>
    <x v="1160"/>
    <x v="188"/>
    <s v="NLIX00001874"/>
    <x v="0"/>
    <s v="Country"/>
    <m/>
    <s v="CANP"/>
    <s v="Euronext Paris"/>
    <s v="Non-significant benchmark"/>
    <n v="0"/>
    <n v="0"/>
    <n v="0"/>
    <n v="0"/>
    <n v="0"/>
    <n v="0"/>
    <n v="0"/>
  </r>
  <r>
    <x v="1161"/>
    <x v="188"/>
    <s v="NLIX00001890"/>
    <x v="0"/>
    <s v="Country"/>
    <m/>
    <s v="CANG"/>
    <s v="Euronext Paris"/>
    <s v="Non-significant benchmark"/>
    <n v="0"/>
    <n v="0"/>
    <n v="0"/>
    <n v="0"/>
    <n v="0"/>
    <n v="0"/>
    <n v="0"/>
  </r>
  <r>
    <x v="1162"/>
    <x v="188"/>
    <s v="NLIX00001882"/>
    <x v="0"/>
    <s v="Country"/>
    <m/>
    <s v="CANN"/>
    <s v="Euronext Paris"/>
    <s v="Non-significant benchmark"/>
    <n v="0"/>
    <n v="0"/>
    <n v="0"/>
    <n v="0"/>
    <n v="0"/>
    <n v="0"/>
    <n v="0"/>
  </r>
  <r>
    <x v="1163"/>
    <x v="189"/>
    <s v="NLIX00001726"/>
    <x v="0"/>
    <s v="International"/>
    <m/>
    <s v="DASP"/>
    <s v="Euronext Paris"/>
    <s v="Non-significant benchmark"/>
    <n v="0"/>
    <n v="0"/>
    <n v="0"/>
    <n v="0"/>
    <n v="0"/>
    <n v="0"/>
    <n v="0"/>
  </r>
  <r>
    <x v="1164"/>
    <x v="189"/>
    <s v="NLIX00001742"/>
    <x v="0"/>
    <s v="International"/>
    <m/>
    <s v="DASG"/>
    <s v="Euronext Paris"/>
    <s v="Non-significant benchmark"/>
    <n v="0"/>
    <n v="0"/>
    <n v="0"/>
    <n v="0"/>
    <n v="0"/>
    <n v="0"/>
    <n v="0"/>
  </r>
  <r>
    <x v="1165"/>
    <x v="189"/>
    <s v="NLIX00001734"/>
    <x v="0"/>
    <s v="International"/>
    <m/>
    <s v="DASN"/>
    <s v="Euronext Paris"/>
    <s v="Non-significant benchmark"/>
    <n v="0"/>
    <n v="0"/>
    <n v="0"/>
    <n v="0"/>
    <n v="0"/>
    <n v="0"/>
    <n v="0"/>
  </r>
  <r>
    <x v="1166"/>
    <x v="190"/>
    <s v="NLIX00001692"/>
    <x v="0"/>
    <s v="International"/>
    <m/>
    <s v="DAPPR"/>
    <s v="Euronext Paris"/>
    <s v="Non-significant benchmark"/>
    <n v="0"/>
    <n v="0"/>
    <n v="0"/>
    <n v="0"/>
    <n v="0"/>
    <n v="0"/>
    <n v="0"/>
  </r>
  <r>
    <x v="1167"/>
    <x v="190"/>
    <s v="NLIX00001718"/>
    <x v="0"/>
    <s v="International"/>
    <m/>
    <s v="DAPG"/>
    <s v="Euronext Paris"/>
    <s v="Non-significant benchmark"/>
    <n v="0"/>
    <n v="0"/>
    <n v="0"/>
    <n v="0"/>
    <n v="0"/>
    <n v="0"/>
    <n v="0"/>
  </r>
  <r>
    <x v="1168"/>
    <x v="190"/>
    <s v="NLIX00001700"/>
    <x v="0"/>
    <s v="International"/>
    <m/>
    <s v="DAPN"/>
    <s v="Euronext Paris"/>
    <s v="Non-significant benchmark"/>
    <n v="0"/>
    <n v="0"/>
    <n v="0"/>
    <n v="0"/>
    <n v="0"/>
    <n v="0"/>
    <n v="0"/>
  </r>
  <r>
    <x v="1169"/>
    <x v="191"/>
    <s v="NLIX00001601"/>
    <x v="0"/>
    <s v="International"/>
    <m/>
    <s v="DEUP"/>
    <s v="Euronext Paris"/>
    <s v="Non-significant benchmark"/>
    <n v="0"/>
    <n v="0"/>
    <n v="0"/>
    <n v="0"/>
    <n v="0"/>
    <n v="0"/>
    <n v="0"/>
  </r>
  <r>
    <x v="1170"/>
    <x v="191"/>
    <s v="NLIX00001627"/>
    <x v="0"/>
    <s v="International"/>
    <m/>
    <s v="DEUG"/>
    <s v="Euronext Paris"/>
    <s v="Non-significant benchmark"/>
    <n v="0"/>
    <n v="0"/>
    <n v="0"/>
    <n v="0"/>
    <n v="0"/>
    <n v="0"/>
    <n v="0"/>
  </r>
  <r>
    <x v="1171"/>
    <x v="191"/>
    <s v="NLIX00001619"/>
    <x v="0"/>
    <s v="International"/>
    <m/>
    <s v="DEUN"/>
    <s v="Euronext Paris"/>
    <s v="Non-significant benchmark"/>
    <n v="0"/>
    <n v="0"/>
    <n v="0"/>
    <n v="0"/>
    <n v="0"/>
    <n v="0"/>
    <n v="0"/>
  </r>
  <r>
    <x v="1172"/>
    <x v="192"/>
    <s v="NLIX00001635"/>
    <x v="0"/>
    <s v="International"/>
    <m/>
    <s v="DEZP"/>
    <s v="Euronext Paris"/>
    <s v="Non-significant benchmark"/>
    <n v="0"/>
    <n v="0"/>
    <n v="0"/>
    <n v="0"/>
    <n v="0"/>
    <n v="0"/>
    <n v="0"/>
  </r>
  <r>
    <x v="1173"/>
    <x v="192"/>
    <s v="NLIX00001650"/>
    <x v="0"/>
    <s v="International"/>
    <m/>
    <s v="DEZG"/>
    <s v="Euronext Paris"/>
    <s v="Non-significant benchmark"/>
    <n v="0"/>
    <n v="0"/>
    <n v="0"/>
    <n v="0"/>
    <n v="0"/>
    <n v="0"/>
    <n v="0"/>
  </r>
  <r>
    <x v="1174"/>
    <x v="192"/>
    <s v="NLIX00001643"/>
    <x v="0"/>
    <s v="International"/>
    <m/>
    <s v="DEZN"/>
    <s v="Euronext Paris"/>
    <s v="Non-significant benchmark"/>
    <n v="0"/>
    <n v="0"/>
    <n v="0"/>
    <n v="0"/>
    <n v="0"/>
    <n v="0"/>
    <n v="0"/>
  </r>
  <r>
    <x v="1175"/>
    <x v="193"/>
    <s v="NLIX00001668"/>
    <x v="0"/>
    <s v="International"/>
    <m/>
    <s v="DNAP"/>
    <s v="Euronext Paris"/>
    <s v="Non-significant benchmark"/>
    <n v="0"/>
    <n v="0"/>
    <n v="0"/>
    <n v="0"/>
    <n v="0"/>
    <n v="0"/>
    <n v="0"/>
  </r>
  <r>
    <x v="1176"/>
    <x v="193"/>
    <s v="NLIX00001684"/>
    <x v="0"/>
    <s v="International"/>
    <m/>
    <s v="DNAG"/>
    <s v="Euronext Paris"/>
    <s v="Non-significant benchmark"/>
    <n v="0"/>
    <n v="0"/>
    <n v="0"/>
    <n v="0"/>
    <n v="0"/>
    <n v="0"/>
    <n v="0"/>
  </r>
  <r>
    <x v="1177"/>
    <x v="193"/>
    <s v="NLIX00001676"/>
    <x v="0"/>
    <s v="International"/>
    <m/>
    <s v="DNAN"/>
    <s v="Euronext Paris"/>
    <s v="Non-significant benchmark"/>
    <n v="0"/>
    <n v="0"/>
    <n v="0"/>
    <n v="0"/>
    <n v="0"/>
    <n v="0"/>
    <n v="0"/>
  </r>
  <r>
    <x v="1178"/>
    <x v="194"/>
    <s v="NLIX00001759"/>
    <x v="0"/>
    <s v="International"/>
    <m/>
    <s v="DPAP"/>
    <s v="Euronext Paris"/>
    <s v="Non-significant benchmark"/>
    <n v="0"/>
    <n v="0"/>
    <n v="0"/>
    <n v="0"/>
    <n v="0"/>
    <n v="0"/>
    <n v="0"/>
  </r>
  <r>
    <x v="1179"/>
    <x v="194"/>
    <s v="NLIX00001775"/>
    <x v="0"/>
    <s v="International"/>
    <m/>
    <s v="DPAG"/>
    <s v="Euronext Paris"/>
    <s v="Non-significant benchmark"/>
    <n v="0"/>
    <n v="0"/>
    <n v="0"/>
    <n v="0"/>
    <n v="0"/>
    <n v="0"/>
    <n v="0"/>
  </r>
  <r>
    <x v="1180"/>
    <x v="194"/>
    <s v="NLIX00001767"/>
    <x v="0"/>
    <s v="International"/>
    <m/>
    <s v="DPAN"/>
    <s v="Euronext Paris"/>
    <s v="Non-significant benchmark"/>
    <n v="0"/>
    <n v="0"/>
    <n v="0"/>
    <n v="0"/>
    <n v="0"/>
    <n v="0"/>
    <n v="0"/>
  </r>
  <r>
    <x v="1181"/>
    <x v="195"/>
    <s v="NLIX00001593"/>
    <x v="0"/>
    <s v="International"/>
    <m/>
    <s v="EDWG"/>
    <s v="Euronext Paris"/>
    <s v="Non-significant benchmark"/>
    <n v="0"/>
    <n v="0"/>
    <n v="0"/>
    <n v="0"/>
    <n v="0"/>
    <n v="0"/>
    <n v="0"/>
  </r>
  <r>
    <x v="1182"/>
    <x v="195"/>
    <s v="NLIX00001585"/>
    <x v="0"/>
    <s v="International"/>
    <m/>
    <s v="EDWN"/>
    <s v="Euronext Paris"/>
    <s v="Non-significant benchmark"/>
    <n v="0"/>
    <n v="0"/>
    <n v="0"/>
    <n v="0"/>
    <n v="0"/>
    <n v="0"/>
    <n v="0"/>
  </r>
  <r>
    <x v="1183"/>
    <x v="195"/>
    <s v="NLIX00001577"/>
    <x v="0"/>
    <s v="International"/>
    <m/>
    <s v="EDWP"/>
    <s v="Euronext Paris"/>
    <s v="Non-significant benchmark"/>
    <n v="0"/>
    <n v="0"/>
    <n v="0"/>
    <n v="0"/>
    <n v="0"/>
    <n v="0"/>
    <n v="0"/>
  </r>
  <r>
    <x v="1184"/>
    <x v="196"/>
    <s v="NLESG0000048"/>
    <x v="1"/>
    <s v="Broad ESG"/>
    <s v="ESG Other"/>
    <s v="EDWEP"/>
    <s v="Euronext Paris"/>
    <s v="Non-significant benchmark"/>
    <n v="0"/>
    <n v="0"/>
    <n v="0"/>
    <n v="0"/>
    <n v="0"/>
    <n v="0"/>
    <n v="0"/>
  </r>
  <r>
    <x v="1185"/>
    <x v="196"/>
    <s v="NLESG0000063"/>
    <x v="1"/>
    <s v="Broad ESG"/>
    <s v="ESG Other"/>
    <s v="EDWEG"/>
    <s v="Euronext Paris"/>
    <s v="Non-significant benchmark"/>
    <n v="0"/>
    <n v="0"/>
    <n v="0"/>
    <n v="0"/>
    <n v="0"/>
    <n v="0"/>
    <n v="0"/>
  </r>
  <r>
    <x v="1186"/>
    <x v="196"/>
    <s v="NLESG0000055"/>
    <x v="1"/>
    <s v="Broad ESG"/>
    <s v="ESG Other"/>
    <s v="EDWEN"/>
    <s v="Euronext Paris"/>
    <s v="Non-significant benchmark"/>
    <n v="0"/>
    <n v="0"/>
    <n v="0"/>
    <n v="0"/>
    <n v="0"/>
    <n v="0"/>
    <n v="0"/>
  </r>
  <r>
    <x v="1187"/>
    <x v="197"/>
    <s v="NLIX00002336"/>
    <x v="0"/>
    <s v="International"/>
    <m/>
    <s v="ENEZ5"/>
    <s v="Euronext Paris"/>
    <s v="Non-significant benchmark"/>
    <n v="0"/>
    <n v="0"/>
    <n v="0"/>
    <n v="0"/>
    <n v="0"/>
    <n v="0"/>
    <n v="0"/>
  </r>
  <r>
    <x v="1188"/>
    <x v="183"/>
    <s v="FRESG0001510"/>
    <x v="1"/>
    <s v="Climate;Environmental"/>
    <s v="ESG Other"/>
    <s v="FCLS5"/>
    <s v="Euronext Paris"/>
    <s v="Non-significant benchmark"/>
    <n v="0"/>
    <n v="0"/>
    <n v="0"/>
    <n v="0"/>
    <n v="0"/>
    <n v="0"/>
    <n v="0"/>
  </r>
  <r>
    <x v="1189"/>
    <x v="102"/>
    <s v="FRESG0001528"/>
    <x v="1"/>
    <s v="Broad ESG"/>
    <s v="ESG Other"/>
    <s v="GHCER"/>
    <s v="Euronext Paris"/>
    <s v="Non-significant benchmark"/>
    <n v="0"/>
    <n v="0"/>
    <n v="0"/>
    <n v="0"/>
    <n v="0"/>
    <n v="0"/>
    <n v="0"/>
  </r>
  <r>
    <x v="1190"/>
    <x v="198"/>
    <s v="FRCLIM000189"/>
    <x v="1"/>
    <s v="Climate;Environmental"/>
    <s v="ESG Other"/>
    <s v="GSCDP"/>
    <s v="Euronext Paris"/>
    <s v="Non-significant benchmark"/>
    <n v="0"/>
    <n v="0"/>
    <n v="0"/>
    <n v="0"/>
    <n v="0"/>
    <n v="0"/>
    <n v="0"/>
  </r>
  <r>
    <x v="1191"/>
    <x v="198"/>
    <s v="FRCLIM000197"/>
    <x v="2"/>
    <s v="Climate;Environmental"/>
    <s v="ESG Other"/>
    <s v="GSCDG"/>
    <s v="Euronext Paris"/>
    <s v="Non-significant benchmark"/>
    <n v="0"/>
    <n v="0"/>
    <n v="0"/>
    <n v="0"/>
    <n v="0"/>
    <n v="0"/>
    <n v="0"/>
  </r>
  <r>
    <x v="1192"/>
    <x v="199"/>
    <s v="NLIX00001817"/>
    <x v="0"/>
    <s v="Country"/>
    <m/>
    <s v="EJPP"/>
    <s v="Euronext Paris"/>
    <s v="Non-significant benchmark"/>
    <n v="0"/>
    <n v="0"/>
    <n v="0"/>
    <n v="0"/>
    <n v="0"/>
    <n v="0"/>
    <n v="0"/>
  </r>
  <r>
    <x v="1193"/>
    <x v="199"/>
    <s v="NLIX00001833"/>
    <x v="0"/>
    <s v="Country"/>
    <m/>
    <s v="EJPG"/>
    <s v="Euronext Paris"/>
    <s v="Non-significant benchmark"/>
    <n v="0"/>
    <n v="0"/>
    <n v="0"/>
    <n v="0"/>
    <n v="0"/>
    <n v="0"/>
    <n v="0"/>
  </r>
  <r>
    <x v="1194"/>
    <x v="199"/>
    <s v="NLIX00001825"/>
    <x v="0"/>
    <s v="Country"/>
    <m/>
    <s v="EJPN"/>
    <s v="Euronext Paris"/>
    <s v="Non-significant benchmark"/>
    <n v="0"/>
    <n v="0"/>
    <n v="0"/>
    <n v="0"/>
    <n v="0"/>
    <n v="0"/>
    <n v="0"/>
  </r>
  <r>
    <x v="1195"/>
    <x v="120"/>
    <s v="FRIX00002322"/>
    <x v="0"/>
    <s v="Single Stock"/>
    <m/>
    <s v="SGED3"/>
    <s v="Euronext Paris"/>
    <s v="Non-significant benchmark"/>
    <n v="2098447"/>
    <n v="30000000"/>
    <n v="4862998.0608000001"/>
    <n v="0"/>
    <n v="0"/>
    <n v="0"/>
    <n v="4862998.0608000001"/>
  </r>
  <r>
    <x v="1196"/>
    <x v="120"/>
    <s v="FRIX00002314"/>
    <x v="0"/>
    <s v="Single Stock"/>
    <m/>
    <s v="SGEG3"/>
    <s v="Euronext Paris"/>
    <s v="Non-significant benchmark"/>
    <n v="0"/>
    <n v="0"/>
    <n v="0"/>
    <n v="0"/>
    <n v="0"/>
    <n v="0"/>
    <n v="0"/>
  </r>
  <r>
    <x v="1197"/>
    <x v="120"/>
    <s v="FRIX00002306"/>
    <x v="0"/>
    <s v="Single Stock"/>
    <m/>
    <s v="SGEP3"/>
    <s v="Euronext Paris"/>
    <s v="Non-significant benchmark"/>
    <n v="0"/>
    <n v="0"/>
    <n v="0"/>
    <n v="0"/>
    <n v="0"/>
    <n v="0"/>
    <n v="0"/>
  </r>
  <r>
    <x v="1198"/>
    <x v="120"/>
    <s v="FRIX00002363"/>
    <x v="0"/>
    <s v="Single Stock"/>
    <m/>
    <s v="SGSAN"/>
    <s v="Euronext Paris"/>
    <s v="Non-significant benchmark"/>
    <n v="0"/>
    <n v="30000000"/>
    <n v="4881418.5080000004"/>
    <n v="0"/>
    <n v="0"/>
    <n v="0"/>
    <n v="30000000"/>
  </r>
  <r>
    <x v="1199"/>
    <x v="120"/>
    <s v="FRIX00002355"/>
    <x v="0"/>
    <s v="Single Stock"/>
    <m/>
    <s v="SGSAG"/>
    <s v="Euronext Paris"/>
    <s v="Non-significant benchmark"/>
    <n v="0"/>
    <n v="0"/>
    <n v="0"/>
    <n v="0"/>
    <n v="0"/>
    <n v="0"/>
    <n v="0"/>
  </r>
  <r>
    <x v="1200"/>
    <x v="120"/>
    <s v="FRIX00002348"/>
    <x v="0"/>
    <s v="Single Stock"/>
    <m/>
    <s v="SGSAP"/>
    <s v="Euronext Paris"/>
    <s v="Non-significant benchmark"/>
    <n v="0"/>
    <n v="0"/>
    <n v="0"/>
    <n v="0"/>
    <n v="0"/>
    <n v="0"/>
    <n v="0"/>
  </r>
  <r>
    <x v="1201"/>
    <x v="120"/>
    <s v="FRIX00002397"/>
    <x v="0"/>
    <s v="Single Stock"/>
    <m/>
    <s v="SGG2D"/>
    <s v="Euronext Paris"/>
    <s v="Non-significant benchmark"/>
    <n v="10394010.9"/>
    <n v="120000000"/>
    <n v="19884872.7524"/>
    <n v="0"/>
    <n v="0"/>
    <n v="0"/>
    <n v="19884872.7524"/>
  </r>
  <r>
    <x v="1202"/>
    <x v="120"/>
    <s v="FRIX00002389"/>
    <x v="0"/>
    <s v="Single Stock"/>
    <m/>
    <s v="SGG2G"/>
    <s v="Euronext Paris"/>
    <s v="Non-significant benchmark"/>
    <n v="0"/>
    <n v="0"/>
    <n v="0"/>
    <n v="0"/>
    <n v="0"/>
    <n v="0"/>
    <n v="0"/>
  </r>
  <r>
    <x v="1203"/>
    <x v="120"/>
    <s v="FRIX00002371"/>
    <x v="0"/>
    <s v="Single Stock"/>
    <m/>
    <s v="SGG2P"/>
    <s v="Euronext Paris"/>
    <s v="Non-significant benchmark"/>
    <n v="0"/>
    <n v="0"/>
    <n v="0"/>
    <n v="0"/>
    <n v="0"/>
    <n v="0"/>
    <n v="0"/>
  </r>
  <r>
    <x v="1204"/>
    <x v="200"/>
    <s v="NLIX00001841"/>
    <x v="0"/>
    <s v="Country"/>
    <m/>
    <s v="ECHP"/>
    <s v="Euronext Paris"/>
    <s v="Non-significant benchmark"/>
    <n v="0"/>
    <n v="0"/>
    <n v="0"/>
    <n v="0"/>
    <n v="0"/>
    <n v="0"/>
    <n v="0"/>
  </r>
  <r>
    <x v="1205"/>
    <x v="200"/>
    <s v="NLIX00001866"/>
    <x v="0"/>
    <s v="Country"/>
    <m/>
    <s v="ECHG"/>
    <s v="Euronext Paris"/>
    <s v="Non-significant benchmark"/>
    <n v="0"/>
    <n v="0"/>
    <n v="0"/>
    <n v="0"/>
    <n v="0"/>
    <n v="0"/>
    <n v="0"/>
  </r>
  <r>
    <x v="1206"/>
    <x v="200"/>
    <s v="NLIX00001858"/>
    <x v="0"/>
    <s v="Country"/>
    <m/>
    <s v="ECHN"/>
    <s v="Euronext Paris"/>
    <s v="Non-significant benchmark"/>
    <n v="0"/>
    <n v="0"/>
    <n v="0"/>
    <n v="0"/>
    <n v="0"/>
    <n v="0"/>
    <n v="0"/>
  </r>
  <r>
    <x v="1207"/>
    <x v="201"/>
    <s v="NLIX00001908"/>
    <x v="0"/>
    <s v="Country"/>
    <m/>
    <s v="EUKP"/>
    <s v="Euronext Paris"/>
    <s v="Non-significant benchmark"/>
    <n v="0"/>
    <n v="0"/>
    <n v="0"/>
    <n v="0"/>
    <n v="0"/>
    <n v="0"/>
    <n v="0"/>
  </r>
  <r>
    <x v="1208"/>
    <x v="201"/>
    <s v="NLIX00001924"/>
    <x v="0"/>
    <s v="Country"/>
    <m/>
    <s v="EUKG"/>
    <s v="Euronext Paris"/>
    <s v="Non-significant benchmark"/>
    <n v="0"/>
    <n v="0"/>
    <n v="0"/>
    <n v="0"/>
    <n v="0"/>
    <n v="0"/>
    <n v="0"/>
  </r>
  <r>
    <x v="1209"/>
    <x v="201"/>
    <s v="NLIX00001916"/>
    <x v="0"/>
    <s v="Country"/>
    <m/>
    <s v="EUKN"/>
    <s v="Euronext Paris"/>
    <s v="Non-significant benchmark"/>
    <n v="0"/>
    <n v="0"/>
    <n v="0"/>
    <n v="0"/>
    <n v="0"/>
    <n v="0"/>
    <n v="0"/>
  </r>
  <r>
    <x v="1210"/>
    <x v="202"/>
    <s v="NLIX00001783"/>
    <x v="0"/>
    <s v="Country"/>
    <m/>
    <s v="EUSP"/>
    <s v="Euronext Paris"/>
    <s v="Non-significant benchmark"/>
    <n v="0"/>
    <n v="0"/>
    <n v="0"/>
    <n v="0"/>
    <n v="0"/>
    <n v="0"/>
    <n v="0"/>
  </r>
  <r>
    <x v="1211"/>
    <x v="202"/>
    <s v="NLIX00001809"/>
    <x v="0"/>
    <s v="Country"/>
    <m/>
    <s v="EUSG"/>
    <s v="Euronext Paris"/>
    <s v="Non-significant benchmark"/>
    <n v="0"/>
    <n v="0"/>
    <n v="0"/>
    <n v="0"/>
    <n v="0"/>
    <n v="0"/>
    <n v="0"/>
  </r>
  <r>
    <x v="1212"/>
    <x v="202"/>
    <s v="NLIX00001791"/>
    <x v="0"/>
    <s v="Country"/>
    <m/>
    <s v="EUSN"/>
    <s v="Euronext Paris"/>
    <s v="Non-significant benchmark"/>
    <n v="0"/>
    <n v="0"/>
    <n v="0"/>
    <n v="0"/>
    <n v="0"/>
    <n v="0"/>
    <n v="0"/>
  </r>
  <r>
    <x v="1213"/>
    <x v="203"/>
    <s v="NLIX00003086"/>
    <x v="0"/>
    <s v="Industry"/>
    <m/>
    <s v="AERDP"/>
    <s v="Euronext Amsterdam"/>
    <s v="Non-significant benchmark"/>
    <n v="0"/>
    <n v="0"/>
    <n v="0"/>
    <n v="0"/>
    <n v="0"/>
    <n v="0"/>
    <n v="0"/>
  </r>
  <r>
    <x v="1214"/>
    <x v="203"/>
    <s v="NLIX00003110"/>
    <x v="0"/>
    <s v="Industry"/>
    <m/>
    <s v="ARD35"/>
    <s v="Euronext Amsterdam"/>
    <s v="Non-significant benchmark"/>
    <n v="0"/>
    <n v="0"/>
    <n v="0"/>
    <n v="0"/>
    <n v="0"/>
    <n v="0"/>
    <n v="0"/>
  </r>
  <r>
    <x v="1215"/>
    <x v="203"/>
    <s v="NLIX00003128"/>
    <x v="0"/>
    <s v="Industry"/>
    <m/>
    <s v="AERD5"/>
    <s v="Euronext Amsterdam"/>
    <s v="Non-significant benchmark"/>
    <n v="0"/>
    <n v="0"/>
    <n v="0"/>
    <n v="0"/>
    <n v="0"/>
    <n v="0"/>
    <n v="0"/>
  </r>
  <r>
    <x v="1216"/>
    <x v="203"/>
    <s v="NLIX00003094"/>
    <x v="0"/>
    <s v="Industry"/>
    <m/>
    <s v="AERDG"/>
    <s v="Euronext Amsterdam"/>
    <s v="Non-significant benchmark"/>
    <n v="0"/>
    <n v="0"/>
    <n v="0"/>
    <n v="0"/>
    <n v="0"/>
    <n v="0"/>
    <n v="0"/>
  </r>
  <r>
    <x v="1217"/>
    <x v="203"/>
    <s v="NLIX00003102"/>
    <x v="0"/>
    <s v="Industry"/>
    <m/>
    <s v="AERDN"/>
    <s v="Euronext Amsterdam"/>
    <s v="Non-significant benchmark"/>
    <n v="0"/>
    <n v="0"/>
    <n v="0"/>
    <n v="0"/>
    <n v="0"/>
    <n v="0"/>
    <n v="0"/>
  </r>
  <r>
    <x v="1218"/>
    <x v="204"/>
    <s v="FRESG0002583"/>
    <x v="1"/>
    <s v="Biodiversity;Climate;PAB"/>
    <m/>
    <s v="BIOCP"/>
    <s v="Euronext Paris"/>
    <s v="Non-significant benchmark"/>
    <n v="0"/>
    <n v="0"/>
    <n v="0"/>
    <n v="0"/>
    <n v="0"/>
    <n v="0"/>
    <n v="0"/>
  </r>
  <r>
    <x v="1219"/>
    <x v="204"/>
    <s v="FRESG0002617"/>
    <x v="1"/>
    <s v="Biodiversity;Climate;PAB"/>
    <m/>
    <s v="BIOC3"/>
    <s v="Euronext Paris"/>
    <s v="Non-significant benchmark"/>
    <n v="0"/>
    <n v="0"/>
    <n v="0"/>
    <n v="0"/>
    <n v="0"/>
    <n v="0"/>
    <n v="0"/>
  </r>
  <r>
    <x v="1220"/>
    <x v="204"/>
    <s v="FRESG0002765"/>
    <x v="1"/>
    <s v="Biodiversity;Climate;PAB"/>
    <m/>
    <s v="BIOC5"/>
    <s v="Euronext Paris"/>
    <s v="Non-significant benchmark"/>
    <n v="0"/>
    <n v="0"/>
    <n v="0"/>
    <n v="0"/>
    <n v="0"/>
    <n v="0"/>
    <n v="0"/>
  </r>
  <r>
    <x v="1221"/>
    <x v="204"/>
    <s v="FRESG0002609"/>
    <x v="1"/>
    <s v="Biodiversity;Climate;PAB"/>
    <m/>
    <s v="BIOCG"/>
    <s v="Euronext Paris"/>
    <s v="Non-significant benchmark"/>
    <n v="0"/>
    <n v="0"/>
    <n v="0"/>
    <n v="0"/>
    <n v="0"/>
    <n v="0"/>
    <n v="0"/>
  </r>
  <r>
    <x v="1222"/>
    <x v="204"/>
    <s v="FRESG0002591"/>
    <x v="1"/>
    <s v="Biodiversity;Climate;PAB"/>
    <m/>
    <s v="BIOCN"/>
    <s v="Euronext Paris"/>
    <s v="Non-significant benchmark"/>
    <n v="0"/>
    <n v="0"/>
    <n v="0"/>
    <n v="0"/>
    <n v="0"/>
    <n v="0"/>
    <n v="0"/>
  </r>
  <r>
    <x v="1223"/>
    <x v="205"/>
    <s v="NLIX00002252"/>
    <x v="0"/>
    <s v="Country"/>
    <m/>
    <s v="CANGT"/>
    <s v="Euronext Amsterdam"/>
    <s v="Non-significant benchmark"/>
    <n v="0"/>
    <n v="0"/>
    <n v="0"/>
    <n v="0"/>
    <n v="0"/>
    <n v="0"/>
    <n v="0"/>
  </r>
  <r>
    <x v="1224"/>
    <x v="205"/>
    <s v="NLIX00002245"/>
    <x v="0"/>
    <s v="Country"/>
    <m/>
    <s v="CANNT"/>
    <s v="Euronext Amsterdam"/>
    <s v="Non-significant benchmark"/>
    <n v="0"/>
    <n v="0"/>
    <n v="0"/>
    <n v="0"/>
    <n v="0"/>
    <n v="0"/>
    <n v="0"/>
  </r>
  <r>
    <x v="1225"/>
    <x v="205"/>
    <s v="NLIX00002237"/>
    <x v="0"/>
    <s v="Country"/>
    <m/>
    <s v="CANPT"/>
    <s v="Euronext Amsterdam"/>
    <s v="Non-significant benchmark"/>
    <n v="0"/>
    <n v="0"/>
    <n v="0"/>
    <n v="0"/>
    <n v="0"/>
    <n v="0"/>
    <n v="0"/>
  </r>
  <r>
    <x v="1226"/>
    <x v="206"/>
    <s v="NLIX00002070"/>
    <x v="0"/>
    <s v="International"/>
    <m/>
    <s v="DAPGT"/>
    <s v="Euronext Amsterdam"/>
    <s v="Non-significant benchmark"/>
    <n v="0"/>
    <n v="0"/>
    <n v="0"/>
    <n v="0"/>
    <n v="0"/>
    <n v="0"/>
    <n v="0"/>
  </r>
  <r>
    <x v="1227"/>
    <x v="206"/>
    <s v="NLIX00002062"/>
    <x v="0"/>
    <s v="International"/>
    <m/>
    <s v="DAPNT"/>
    <s v="Euronext Amsterdam"/>
    <s v="Non-significant benchmark"/>
    <n v="0"/>
    <n v="0"/>
    <n v="0"/>
    <n v="0"/>
    <n v="0"/>
    <n v="0"/>
    <n v="0"/>
  </r>
  <r>
    <x v="1228"/>
    <x v="206"/>
    <s v="NLIX00002054"/>
    <x v="0"/>
    <s v="International"/>
    <m/>
    <s v="DAPPT"/>
    <s v="Euronext Amsterdam"/>
    <s v="Non-significant benchmark"/>
    <n v="0"/>
    <n v="0"/>
    <n v="0"/>
    <n v="0"/>
    <n v="0"/>
    <n v="0"/>
    <n v="0"/>
  </r>
  <r>
    <x v="1229"/>
    <x v="207"/>
    <s v="NLIX00002104"/>
    <x v="0"/>
    <s v="International"/>
    <m/>
    <s v="DASGT"/>
    <s v="Euronext Amsterdam"/>
    <s v="Non-significant benchmark"/>
    <n v="0"/>
    <n v="0"/>
    <n v="0"/>
    <n v="0"/>
    <n v="0"/>
    <n v="0"/>
    <n v="0"/>
  </r>
  <r>
    <x v="1230"/>
    <x v="207"/>
    <s v="NLIX00002096"/>
    <x v="0"/>
    <s v="International"/>
    <m/>
    <s v="DASNT"/>
    <s v="Euronext Amsterdam"/>
    <s v="Non-significant benchmark"/>
    <n v="0"/>
    <n v="0"/>
    <n v="0"/>
    <n v="0"/>
    <n v="0"/>
    <n v="0"/>
    <n v="0"/>
  </r>
  <r>
    <x v="1231"/>
    <x v="207"/>
    <s v="NLIX00002088"/>
    <x v="0"/>
    <s v="International"/>
    <m/>
    <s v="DASPT"/>
    <s v="Euronext Amsterdam"/>
    <s v="Non-significant benchmark"/>
    <n v="0"/>
    <n v="0"/>
    <n v="0"/>
    <n v="0"/>
    <n v="0"/>
    <n v="0"/>
    <n v="0"/>
  </r>
  <r>
    <x v="1232"/>
    <x v="208"/>
    <s v="NLIX00001981"/>
    <x v="0"/>
    <s v="International"/>
    <m/>
    <s v="DEUGT"/>
    <s v="Euronext Amsterdam"/>
    <s v="Non-significant benchmark"/>
    <n v="0"/>
    <n v="0"/>
    <n v="0"/>
    <n v="0"/>
    <n v="0"/>
    <n v="0"/>
    <n v="0"/>
  </r>
  <r>
    <x v="1233"/>
    <x v="208"/>
    <s v="NLIX00001973"/>
    <x v="0"/>
    <s v="International"/>
    <m/>
    <s v="DEUNT"/>
    <s v="Euronext Amsterdam"/>
    <s v="Non-significant benchmark"/>
    <n v="0"/>
    <n v="0"/>
    <n v="0"/>
    <n v="0"/>
    <n v="0"/>
    <n v="0"/>
    <n v="0"/>
  </r>
  <r>
    <x v="1234"/>
    <x v="208"/>
    <s v="NLIX00001965"/>
    <x v="0"/>
    <s v="International"/>
    <m/>
    <s v="DEUPT"/>
    <s v="Euronext Amsterdam"/>
    <s v="Non-significant benchmark"/>
    <n v="0"/>
    <n v="0"/>
    <n v="0"/>
    <n v="0"/>
    <n v="0"/>
    <n v="0"/>
    <n v="0"/>
  </r>
  <r>
    <x v="1235"/>
    <x v="209"/>
    <s v="NLIX00002013"/>
    <x v="0"/>
    <s v="International"/>
    <m/>
    <s v="DEZGT"/>
    <s v="Euronext Amsterdam"/>
    <s v="Non-significant benchmark"/>
    <n v="0"/>
    <n v="0"/>
    <n v="0"/>
    <n v="0"/>
    <n v="0"/>
    <n v="0"/>
    <n v="0"/>
  </r>
  <r>
    <x v="1236"/>
    <x v="209"/>
    <s v="NLIX00002005"/>
    <x v="0"/>
    <s v="International"/>
    <m/>
    <s v="DEZNT"/>
    <s v="Euronext Amsterdam"/>
    <s v="Non-significant benchmark"/>
    <n v="0"/>
    <n v="0"/>
    <n v="0"/>
    <n v="0"/>
    <n v="0"/>
    <n v="0"/>
    <n v="0"/>
  </r>
  <r>
    <x v="1237"/>
    <x v="209"/>
    <s v="NLIX00001999"/>
    <x v="0"/>
    <s v="International"/>
    <m/>
    <s v="DEZPT"/>
    <s v="Euronext Amsterdam"/>
    <s v="Non-significant benchmark"/>
    <n v="0"/>
    <n v="0"/>
    <n v="0"/>
    <n v="0"/>
    <n v="0"/>
    <n v="0"/>
    <n v="0"/>
  </r>
  <r>
    <x v="1238"/>
    <x v="210"/>
    <s v="NLIX00002047"/>
    <x v="0"/>
    <s v="International"/>
    <m/>
    <s v="DNAGT"/>
    <s v="Euronext Amsterdam"/>
    <s v="Non-significant benchmark"/>
    <n v="0"/>
    <n v="0"/>
    <n v="0"/>
    <n v="0"/>
    <n v="0"/>
    <n v="0"/>
    <n v="0"/>
  </r>
  <r>
    <x v="1239"/>
    <x v="210"/>
    <s v="NLIX00002039"/>
    <x v="0"/>
    <s v="International"/>
    <m/>
    <s v="DNANT"/>
    <s v="Euronext Amsterdam"/>
    <s v="Non-significant benchmark"/>
    <n v="0"/>
    <n v="0"/>
    <n v="0"/>
    <n v="0"/>
    <n v="0"/>
    <n v="0"/>
    <n v="0"/>
  </r>
  <r>
    <x v="1240"/>
    <x v="210"/>
    <s v="NLIX00002021"/>
    <x v="0"/>
    <s v="International"/>
    <m/>
    <s v="DNAPT"/>
    <s v="Euronext Amsterdam"/>
    <s v="Non-significant benchmark"/>
    <n v="0"/>
    <n v="0"/>
    <n v="0"/>
    <n v="0"/>
    <n v="0"/>
    <n v="0"/>
    <n v="0"/>
  </r>
  <r>
    <x v="1241"/>
    <x v="211"/>
    <s v="NLIX00002138"/>
    <x v="0"/>
    <s v="International"/>
    <m/>
    <s v="DPAGT"/>
    <s v="Euronext Amsterdam"/>
    <s v="Non-significant benchmark"/>
    <n v="0"/>
    <n v="0"/>
    <n v="0"/>
    <n v="0"/>
    <n v="0"/>
    <n v="0"/>
    <n v="0"/>
  </r>
  <r>
    <x v="1242"/>
    <x v="211"/>
    <s v="NLIX00002120"/>
    <x v="0"/>
    <s v="International"/>
    <m/>
    <s v="DPANT"/>
    <s v="Euronext Amsterdam"/>
    <s v="Non-significant benchmark"/>
    <n v="0"/>
    <n v="0"/>
    <n v="0"/>
    <n v="0"/>
    <n v="0"/>
    <n v="0"/>
    <n v="0"/>
  </r>
  <r>
    <x v="1243"/>
    <x v="211"/>
    <s v="NLIX00002112"/>
    <x v="0"/>
    <s v="International"/>
    <m/>
    <s v="DPAPT"/>
    <s v="Euronext Amsterdam"/>
    <s v="Non-significant benchmark"/>
    <n v="0"/>
    <n v="0"/>
    <n v="0"/>
    <n v="0"/>
    <n v="0"/>
    <n v="0"/>
    <n v="0"/>
  </r>
  <r>
    <x v="1244"/>
    <x v="212"/>
    <s v="FRESG0002690"/>
    <x v="1"/>
    <s v="Biodiversity"/>
    <m/>
    <s v="TERPR"/>
    <s v="Euronext Paris"/>
    <s v="Non-significant benchmark"/>
    <n v="0"/>
    <n v="0"/>
    <n v="0"/>
    <n v="0"/>
    <n v="0"/>
    <n v="0"/>
    <n v="0"/>
  </r>
  <r>
    <x v="1245"/>
    <x v="212"/>
    <s v="FRESG0002732"/>
    <x v="1"/>
    <s v="Biodiversity"/>
    <m/>
    <s v="TER35"/>
    <s v="Euronext Paris"/>
    <s v="Non-significant benchmark"/>
    <n v="0"/>
    <n v="0"/>
    <n v="0"/>
    <n v="0"/>
    <n v="0"/>
    <n v="0"/>
    <n v="0"/>
  </r>
  <r>
    <x v="1246"/>
    <x v="212"/>
    <s v="FRESG0002724"/>
    <x v="1"/>
    <s v="Biodiversity"/>
    <m/>
    <s v="TER5D"/>
    <s v="Euronext Paris"/>
    <s v="Non-significant benchmark"/>
    <n v="0"/>
    <n v="0"/>
    <n v="0"/>
    <n v="0"/>
    <n v="0"/>
    <n v="0"/>
    <n v="0"/>
  </r>
  <r>
    <x v="1247"/>
    <x v="212"/>
    <s v="FRESG0002716"/>
    <x v="1"/>
    <s v="Biodiversity"/>
    <m/>
    <s v="TERGR"/>
    <s v="Euronext Paris"/>
    <s v="Non-significant benchmark"/>
    <n v="0"/>
    <n v="0"/>
    <n v="0"/>
    <n v="0"/>
    <n v="0"/>
    <n v="0"/>
    <n v="0"/>
  </r>
  <r>
    <x v="1248"/>
    <x v="212"/>
    <s v="FRESG0002740"/>
    <x v="1"/>
    <s v="Biodiversity"/>
    <m/>
    <s v="TER50"/>
    <s v="Euronext Paris"/>
    <s v="Non-significant benchmark"/>
    <n v="0"/>
    <n v="0"/>
    <n v="0"/>
    <n v="0"/>
    <n v="0"/>
    <n v="0"/>
    <n v="0"/>
  </r>
  <r>
    <x v="1249"/>
    <x v="212"/>
    <s v="FRESG0002708"/>
    <x v="1"/>
    <s v="Biodiversity"/>
    <m/>
    <s v="TERNR"/>
    <s v="Euronext Paris"/>
    <s v="Non-significant benchmark"/>
    <n v="0"/>
    <n v="0"/>
    <n v="0"/>
    <n v="0"/>
    <n v="0"/>
    <n v="0"/>
    <n v="0"/>
  </r>
  <r>
    <x v="1250"/>
    <x v="212"/>
    <s v="FRESG0002757"/>
    <x v="1"/>
    <s v="Biodiversity"/>
    <m/>
    <s v="TER5N"/>
    <s v="Euronext Paris"/>
    <s v="Non-significant benchmark"/>
    <n v="0"/>
    <n v="0"/>
    <n v="0"/>
    <n v="0"/>
    <n v="0"/>
    <n v="0"/>
    <n v="0"/>
  </r>
  <r>
    <x v="1251"/>
    <x v="58"/>
    <s v="FRESG0003987"/>
    <x v="1"/>
    <s v="Biodiversity"/>
    <m/>
    <s v="EBLPD"/>
    <s v="Euronext Paris"/>
    <s v="Non-significant benchmark"/>
    <n v="0"/>
    <n v="0"/>
    <n v="0"/>
    <n v="0"/>
    <n v="0"/>
    <n v="0"/>
    <n v="0"/>
  </r>
  <r>
    <x v="1252"/>
    <x v="213"/>
    <s v="NLIX00002930"/>
    <x v="0"/>
    <s v="Thematic"/>
    <m/>
    <s v="ELUXP"/>
    <s v="Euronext Amsterdam"/>
    <s v="Non-significant benchmark"/>
    <n v="0"/>
    <n v="0"/>
    <n v="0"/>
    <n v="0"/>
    <n v="0"/>
    <n v="0"/>
    <n v="0"/>
  </r>
  <r>
    <x v="1253"/>
    <x v="213"/>
    <s v="NLIX00002963"/>
    <x v="0"/>
    <s v="Thematic"/>
    <m/>
    <s v="ELUX3"/>
    <s v="Euronext Amsterdam"/>
    <s v="Non-significant benchmark"/>
    <n v="0"/>
    <n v="0"/>
    <n v="0"/>
    <n v="0"/>
    <n v="0"/>
    <n v="0"/>
    <n v="0"/>
  </r>
  <r>
    <x v="1254"/>
    <x v="213"/>
    <s v="NLIX00002971"/>
    <x v="0"/>
    <s v="Thematic"/>
    <m/>
    <s v="ELUX5"/>
    <s v="Euronext Amsterdam"/>
    <s v="Non-significant benchmark"/>
    <n v="0"/>
    <n v="0"/>
    <n v="0"/>
    <n v="0"/>
    <n v="0"/>
    <n v="0"/>
    <n v="0"/>
  </r>
  <r>
    <x v="1255"/>
    <x v="213"/>
    <s v="NLIX00002989"/>
    <x v="0"/>
    <s v="Thematic"/>
    <m/>
    <s v="ELD5P"/>
    <s v="Euronext Amsterdam"/>
    <s v="Non-significant benchmark"/>
    <n v="0"/>
    <n v="0"/>
    <n v="0"/>
    <n v="0"/>
    <n v="0"/>
    <n v="0"/>
    <n v="0"/>
  </r>
  <r>
    <x v="1256"/>
    <x v="213"/>
    <s v="NLIX00002955"/>
    <x v="0"/>
    <s v="Thematic"/>
    <m/>
    <s v="ELUXG"/>
    <s v="Euronext Amsterdam"/>
    <s v="Non-significant benchmark"/>
    <n v="0"/>
    <n v="0"/>
    <n v="0"/>
    <n v="0"/>
    <n v="0"/>
    <n v="0"/>
    <n v="0"/>
  </r>
  <r>
    <x v="1257"/>
    <x v="213"/>
    <s v="NLIX00002948"/>
    <x v="0"/>
    <s v="Thematic"/>
    <m/>
    <s v="ELUXN"/>
    <s v="Euronext Amsterdam"/>
    <s v="Non-significant benchmark"/>
    <n v="0"/>
    <n v="0"/>
    <n v="0"/>
    <n v="0"/>
    <n v="0"/>
    <n v="0"/>
    <n v="0"/>
  </r>
  <r>
    <x v="1258"/>
    <x v="71"/>
    <s v="FRCLIM000247"/>
    <x v="1"/>
    <s v="Climate;PAB"/>
    <m/>
    <s v="EZ6PD"/>
    <s v="Euronext Paris"/>
    <s v="Non-significant benchmark"/>
    <n v="0"/>
    <n v="0"/>
    <n v="0"/>
    <n v="0"/>
    <n v="0"/>
    <n v="0"/>
    <n v="0"/>
  </r>
  <r>
    <x v="1259"/>
    <x v="84"/>
    <s v="FRCLIM000239"/>
    <x v="1"/>
    <s v="PAB"/>
    <m/>
    <s v="EPABD"/>
    <s v="Euronext Paris"/>
    <s v="Non-significant benchmark"/>
    <n v="0"/>
    <n v="0"/>
    <n v="0"/>
    <n v="0"/>
    <n v="0"/>
    <n v="0"/>
    <n v="0"/>
  </r>
  <r>
    <x v="1260"/>
    <x v="214"/>
    <s v="NLIX00003557"/>
    <x v="0"/>
    <s v="Thematic"/>
    <m/>
    <s v="BASMG"/>
    <s v="Euronext Amsterdam"/>
    <s v="Non-significant benchmark"/>
    <n v="0"/>
    <n v="0"/>
    <n v="0"/>
    <n v="0"/>
    <n v="0"/>
    <n v="0"/>
    <n v="0"/>
  </r>
  <r>
    <x v="1261"/>
    <x v="214"/>
    <s v="NLIX00003540"/>
    <x v="0"/>
    <s v="Thematic"/>
    <m/>
    <s v="BASMN"/>
    <s v="Euronext Amsterdam"/>
    <s v="Non-significant benchmark"/>
    <n v="0"/>
    <n v="0"/>
    <n v="0"/>
    <n v="0"/>
    <n v="0"/>
    <n v="0"/>
    <n v="0"/>
  </r>
  <r>
    <x v="1262"/>
    <x v="214"/>
    <s v="NLIX00003284"/>
    <x v="0"/>
    <s v="Thematic"/>
    <m/>
    <s v="BASM"/>
    <s v="Euronext Amsterdam"/>
    <s v="Non-significant benchmark"/>
    <n v="0"/>
    <n v="0"/>
    <n v="0"/>
    <n v="0"/>
    <n v="0"/>
    <n v="0"/>
    <n v="0"/>
  </r>
  <r>
    <x v="1263"/>
    <x v="214"/>
    <s v="NLIX00003458"/>
    <x v="0"/>
    <s v="Thematic"/>
    <m/>
    <s v="CDISG"/>
    <s v="Euronext Amsterdam"/>
    <s v="Non-significant benchmark"/>
    <n v="0"/>
    <n v="0"/>
    <n v="0"/>
    <n v="0"/>
    <n v="0"/>
    <n v="0"/>
    <n v="0"/>
  </r>
  <r>
    <x v="1264"/>
    <x v="214"/>
    <s v="NLIX00003441"/>
    <x v="0"/>
    <s v="Thematic"/>
    <m/>
    <s v="CDISN"/>
    <s v="Euronext Amsterdam"/>
    <s v="Non-significant benchmark"/>
    <n v="0"/>
    <n v="0"/>
    <n v="0"/>
    <n v="0"/>
    <n v="0"/>
    <n v="0"/>
    <n v="0"/>
  </r>
  <r>
    <x v="1265"/>
    <x v="214"/>
    <s v="NLIX00003292"/>
    <x v="0"/>
    <s v="Thematic"/>
    <m/>
    <s v="CDIS"/>
    <s v="Euronext Amsterdam"/>
    <s v="Non-significant benchmark"/>
    <n v="0"/>
    <n v="0"/>
    <n v="0"/>
    <n v="0"/>
    <n v="0"/>
    <n v="0"/>
    <n v="0"/>
  </r>
  <r>
    <x v="1266"/>
    <x v="214"/>
    <s v="NLIX00003433"/>
    <x v="0"/>
    <s v="Thematic"/>
    <m/>
    <s v="CSTAG"/>
    <s v="Euronext Amsterdam"/>
    <s v="Non-significant benchmark"/>
    <n v="0"/>
    <n v="0"/>
    <n v="0"/>
    <n v="0"/>
    <n v="0"/>
    <n v="0"/>
    <n v="0"/>
  </r>
  <r>
    <x v="1267"/>
    <x v="214"/>
    <s v="NLIX00003425"/>
    <x v="0"/>
    <s v="Thematic"/>
    <m/>
    <s v="CSTAN"/>
    <s v="Euronext Amsterdam"/>
    <s v="Non-significant benchmark"/>
    <n v="0"/>
    <n v="0"/>
    <n v="0"/>
    <n v="0"/>
    <n v="0"/>
    <n v="0"/>
    <n v="0"/>
  </r>
  <r>
    <x v="1268"/>
    <x v="214"/>
    <s v="NLIX00003300"/>
    <x v="0"/>
    <s v="Thematic"/>
    <m/>
    <s v="CSTA"/>
    <s v="Euronext Amsterdam"/>
    <s v="Non-significant benchmark"/>
    <n v="0"/>
    <n v="0"/>
    <n v="0"/>
    <n v="0"/>
    <n v="0"/>
    <n v="0"/>
    <n v="0"/>
  </r>
  <r>
    <x v="1269"/>
    <x v="214"/>
    <s v="NLIX00003417"/>
    <x v="0"/>
    <s v="Thematic"/>
    <m/>
    <s v="ENRGG"/>
    <s v="Euronext Amsterdam"/>
    <s v="Non-significant benchmark"/>
    <n v="0"/>
    <n v="0"/>
    <n v="0"/>
    <n v="0"/>
    <n v="0"/>
    <n v="0"/>
    <n v="0"/>
  </r>
  <r>
    <x v="1270"/>
    <x v="214"/>
    <s v="NLIX00003409"/>
    <x v="0"/>
    <s v="Thematic"/>
    <m/>
    <s v="ENRGN"/>
    <s v="Euronext Amsterdam"/>
    <s v="Non-significant benchmark"/>
    <n v="0"/>
    <n v="0"/>
    <n v="0"/>
    <n v="0"/>
    <n v="0"/>
    <n v="0"/>
    <n v="0"/>
  </r>
  <r>
    <x v="1271"/>
    <x v="214"/>
    <s v="NLIX00003318"/>
    <x v="0"/>
    <s v="Thematic"/>
    <m/>
    <s v="ENRGP"/>
    <s v="Euronext Amsterdam"/>
    <s v="Non-significant benchmark"/>
    <n v="0"/>
    <n v="0"/>
    <n v="0"/>
    <n v="0"/>
    <n v="0"/>
    <n v="0"/>
    <n v="0"/>
  </r>
  <r>
    <x v="1272"/>
    <x v="214"/>
    <s v="NLIX00003474"/>
    <x v="0"/>
    <s v="Thematic"/>
    <m/>
    <s v="FINAG"/>
    <s v="Euronext Amsterdam"/>
    <s v="Non-significant benchmark"/>
    <n v="0"/>
    <n v="0"/>
    <n v="0"/>
    <n v="0"/>
    <n v="0"/>
    <n v="0"/>
    <n v="0"/>
  </r>
  <r>
    <x v="1273"/>
    <x v="214"/>
    <s v="NLIX00003466"/>
    <x v="0"/>
    <s v="Thematic"/>
    <m/>
    <s v="FINAN"/>
    <s v="Euronext Amsterdam"/>
    <s v="Non-significant benchmark"/>
    <n v="0"/>
    <n v="0"/>
    <n v="0"/>
    <n v="0"/>
    <n v="0"/>
    <n v="0"/>
    <n v="0"/>
  </r>
  <r>
    <x v="1274"/>
    <x v="214"/>
    <s v="NLIX00003326"/>
    <x v="0"/>
    <s v="Thematic"/>
    <m/>
    <s v="FINA"/>
    <s v="Euronext Amsterdam"/>
    <s v="Non-significant benchmark"/>
    <n v="0"/>
    <n v="0"/>
    <n v="0"/>
    <n v="0"/>
    <n v="0"/>
    <n v="0"/>
    <n v="0"/>
  </r>
  <r>
    <x v="1275"/>
    <x v="214"/>
    <s v="NLIX00003532"/>
    <x v="0"/>
    <s v="Thematic"/>
    <m/>
    <s v="HEACG"/>
    <s v="Euronext Amsterdam"/>
    <s v="Non-significant benchmark"/>
    <n v="0"/>
    <n v="0"/>
    <n v="0"/>
    <n v="0"/>
    <n v="0"/>
    <n v="0"/>
    <n v="0"/>
  </r>
  <r>
    <x v="1276"/>
    <x v="214"/>
    <s v="NLIX00003524"/>
    <x v="0"/>
    <s v="Thematic"/>
    <m/>
    <s v="HEACN"/>
    <s v="Euronext Amsterdam"/>
    <s v="Non-significant benchmark"/>
    <n v="0"/>
    <n v="0"/>
    <n v="0"/>
    <n v="0"/>
    <n v="0"/>
    <n v="0"/>
    <n v="0"/>
  </r>
  <r>
    <x v="1277"/>
    <x v="214"/>
    <s v="NLIX00003334"/>
    <x v="0"/>
    <s v="Thematic"/>
    <m/>
    <s v="HEAC"/>
    <s v="Euronext Amsterdam"/>
    <s v="Non-significant benchmark"/>
    <n v="0"/>
    <n v="0"/>
    <n v="0"/>
    <n v="0"/>
    <n v="0"/>
    <n v="0"/>
    <n v="0"/>
  </r>
  <r>
    <x v="1278"/>
    <x v="214"/>
    <s v="NLIX00003490"/>
    <x v="0"/>
    <s v="Thematic"/>
    <m/>
    <s v="INDUG"/>
    <s v="Euronext Amsterdam"/>
    <s v="Non-significant benchmark"/>
    <n v="0"/>
    <n v="0"/>
    <n v="0"/>
    <n v="0"/>
    <n v="0"/>
    <n v="0"/>
    <n v="0"/>
  </r>
  <r>
    <x v="1279"/>
    <x v="214"/>
    <s v="NLIX00003482"/>
    <x v="0"/>
    <s v="Thematic"/>
    <m/>
    <s v="INDUN"/>
    <s v="Euronext Amsterdam"/>
    <s v="Non-significant benchmark"/>
    <n v="0"/>
    <n v="0"/>
    <n v="0"/>
    <n v="0"/>
    <n v="0"/>
    <n v="0"/>
    <n v="0"/>
  </r>
  <r>
    <x v="1280"/>
    <x v="214"/>
    <s v="NLIX00003342"/>
    <x v="0"/>
    <s v="Thematic"/>
    <m/>
    <s v="INDU"/>
    <s v="Euronext Amsterdam"/>
    <s v="Non-significant benchmark"/>
    <n v="0"/>
    <n v="0"/>
    <n v="0"/>
    <n v="0"/>
    <n v="0"/>
    <n v="0"/>
    <n v="0"/>
  </r>
  <r>
    <x v="1281"/>
    <x v="214"/>
    <s v="NLIX00003391"/>
    <x v="0"/>
    <s v="Thematic"/>
    <m/>
    <s v="TECHG"/>
    <s v="Euronext Amsterdam"/>
    <s v="Non-significant benchmark"/>
    <n v="0"/>
    <n v="0"/>
    <n v="0"/>
    <n v="0"/>
    <n v="0"/>
    <n v="0"/>
    <n v="0"/>
  </r>
  <r>
    <x v="1282"/>
    <x v="214"/>
    <s v="NLIX00003383"/>
    <x v="0"/>
    <s v="Thematic"/>
    <m/>
    <s v="TECHN"/>
    <s v="Euronext Amsterdam"/>
    <s v="Non-significant benchmark"/>
    <n v="0"/>
    <n v="0"/>
    <n v="0"/>
    <n v="0"/>
    <n v="0"/>
    <n v="0"/>
    <n v="0"/>
  </r>
  <r>
    <x v="1283"/>
    <x v="214"/>
    <s v="NLIX00003359"/>
    <x v="0"/>
    <s v="Thematic"/>
    <m/>
    <s v="TECHP"/>
    <s v="Euronext Amsterdam"/>
    <s v="Non-significant benchmark"/>
    <n v="0"/>
    <n v="0"/>
    <n v="0"/>
    <n v="0"/>
    <n v="0"/>
    <n v="0"/>
    <n v="0"/>
  </r>
  <r>
    <x v="1284"/>
    <x v="214"/>
    <s v="NLIX00003516"/>
    <x v="0"/>
    <s v="Thematic"/>
    <m/>
    <s v="TELEG"/>
    <s v="Euronext Amsterdam"/>
    <s v="Non-significant benchmark"/>
    <n v="0"/>
    <n v="0"/>
    <n v="0"/>
    <n v="0"/>
    <n v="0"/>
    <n v="0"/>
    <n v="0"/>
  </r>
  <r>
    <x v="1285"/>
    <x v="214"/>
    <s v="NLIX00003508"/>
    <x v="0"/>
    <s v="Thematic"/>
    <m/>
    <s v="TELEN"/>
    <s v="Euronext Amsterdam"/>
    <s v="Non-significant benchmark"/>
    <n v="0"/>
    <n v="0"/>
    <n v="0"/>
    <n v="0"/>
    <n v="0"/>
    <n v="0"/>
    <n v="0"/>
  </r>
  <r>
    <x v="1286"/>
    <x v="214"/>
    <s v="NLIX00003367"/>
    <x v="0"/>
    <s v="Thematic"/>
    <m/>
    <s v="TELEP"/>
    <s v="Euronext Amsterdam"/>
    <s v="Non-significant benchmark"/>
    <n v="0"/>
    <n v="0"/>
    <n v="0"/>
    <n v="0"/>
    <n v="0"/>
    <n v="0"/>
    <n v="0"/>
  </r>
  <r>
    <x v="1287"/>
    <x v="214"/>
    <s v="NLIX00003573"/>
    <x v="0"/>
    <s v="Thematic"/>
    <m/>
    <s v="UTILG"/>
    <s v="Euronext Amsterdam"/>
    <s v="Non-significant benchmark"/>
    <n v="0"/>
    <n v="0"/>
    <n v="0"/>
    <n v="0"/>
    <n v="0"/>
    <n v="0"/>
    <n v="0"/>
  </r>
  <r>
    <x v="1288"/>
    <x v="214"/>
    <s v="NLIX00003565"/>
    <x v="0"/>
    <s v="Thematic"/>
    <m/>
    <s v="UTILN"/>
    <s v="Euronext Amsterdam"/>
    <s v="Non-significant benchmark"/>
    <n v="0"/>
    <n v="0"/>
    <n v="0"/>
    <n v="0"/>
    <n v="0"/>
    <n v="0"/>
    <n v="0"/>
  </r>
  <r>
    <x v="1289"/>
    <x v="214"/>
    <s v="NLIX00003375"/>
    <x v="0"/>
    <s v="Thematic"/>
    <m/>
    <s v="UTIL"/>
    <s v="Euronext Amsterdam"/>
    <s v="Non-significant benchmark"/>
    <n v="0"/>
    <n v="0"/>
    <n v="0"/>
    <n v="0"/>
    <n v="0"/>
    <n v="0"/>
    <n v="0"/>
  </r>
  <r>
    <x v="1290"/>
    <x v="215"/>
    <s v="NLIX00003615"/>
    <x v="0"/>
    <s v="Thematic"/>
    <m/>
    <s v="EZSCP"/>
    <s v="Euronext Amsterdam"/>
    <s v="Non-significant benchmark"/>
    <n v="0"/>
    <n v="0"/>
    <n v="0"/>
    <n v="0"/>
    <n v="0"/>
    <n v="0"/>
    <n v="0"/>
  </r>
  <r>
    <x v="1291"/>
    <x v="215"/>
    <s v="NLIX00003631"/>
    <x v="0"/>
    <s v="Thematic"/>
    <m/>
    <s v="EZSCG"/>
    <s v="Euronext Amsterdam"/>
    <s v="Non-significant benchmark"/>
    <n v="0"/>
    <n v="0"/>
    <n v="0"/>
    <n v="0"/>
    <n v="0"/>
    <n v="0"/>
    <n v="0"/>
  </r>
  <r>
    <x v="1292"/>
    <x v="215"/>
    <s v="NLIX00003623"/>
    <x v="0"/>
    <s v="Thematic"/>
    <m/>
    <s v="EZSCN"/>
    <s v="Euronext Amsterdam"/>
    <s v="Non-significant benchmark"/>
    <n v="0"/>
    <n v="0"/>
    <n v="0"/>
    <n v="0"/>
    <n v="0"/>
    <n v="0"/>
    <n v="0"/>
  </r>
  <r>
    <x v="1293"/>
    <x v="216"/>
    <s v="FRIX00002439"/>
    <x v="0"/>
    <s v="International"/>
    <m/>
    <s v="EIASP"/>
    <s v="Euronext Paris"/>
    <s v="Non-significant benchmark"/>
    <n v="0"/>
    <n v="0"/>
    <n v="0"/>
    <n v="0"/>
    <n v="0"/>
    <n v="0"/>
    <n v="0"/>
  </r>
  <r>
    <x v="1294"/>
    <x v="216"/>
    <s v="FRIX00002454"/>
    <x v="0"/>
    <s v="International"/>
    <m/>
    <s v="EIASG"/>
    <s v="Euronext Paris"/>
    <s v="Non-significant benchmark"/>
    <n v="0"/>
    <n v="0"/>
    <n v="0"/>
    <n v="0"/>
    <n v="0"/>
    <n v="0"/>
    <n v="0"/>
  </r>
  <r>
    <x v="1295"/>
    <x v="216"/>
    <s v="FRIX00002447"/>
    <x v="0"/>
    <s v="International"/>
    <m/>
    <s v="EIASN"/>
    <s v="Euronext Paris"/>
    <s v="Non-significant benchmark"/>
    <n v="0"/>
    <n v="0"/>
    <n v="0"/>
    <n v="0"/>
    <n v="0"/>
    <n v="0"/>
    <n v="0"/>
  </r>
  <r>
    <x v="1296"/>
    <x v="217"/>
    <s v="FRIX00003031"/>
    <x v="1"/>
    <s v="International"/>
    <m/>
    <s v="FRD4P"/>
    <s v="Euronext Paris"/>
    <s v="Non-significant benchmark"/>
    <n v="0"/>
    <n v="0"/>
    <n v="0"/>
    <n v="0"/>
    <n v="0"/>
    <n v="0"/>
    <n v="0"/>
  </r>
  <r>
    <x v="1297"/>
    <x v="217"/>
    <s v="FRIX00003064"/>
    <x v="1"/>
    <s v="International"/>
    <m/>
    <s v="FRD4D"/>
    <s v="Euronext Paris"/>
    <s v="Non-significant benchmark"/>
    <n v="0"/>
    <n v="0"/>
    <n v="0"/>
    <n v="0"/>
    <n v="0"/>
    <n v="0"/>
    <n v="0"/>
  </r>
  <r>
    <x v="1298"/>
    <x v="217"/>
    <s v="FRIX00003056"/>
    <x v="1"/>
    <s v="International"/>
    <m/>
    <s v="FRD4G"/>
    <s v="Euronext Paris"/>
    <s v="Non-significant benchmark"/>
    <n v="0"/>
    <n v="0"/>
    <n v="0"/>
    <n v="0"/>
    <n v="0"/>
    <n v="0"/>
    <n v="0"/>
  </r>
  <r>
    <x v="1299"/>
    <x v="217"/>
    <s v="FRIX00003049"/>
    <x v="1"/>
    <s v="International"/>
    <m/>
    <s v="FRD4N"/>
    <s v="Euronext Paris"/>
    <s v="Non-significant benchmark"/>
    <n v="0"/>
    <n v="0"/>
    <n v="0"/>
    <n v="0"/>
    <n v="0"/>
    <n v="0"/>
    <n v="0"/>
  </r>
  <r>
    <x v="1300"/>
    <x v="218"/>
    <s v="FRIX00003643"/>
    <x v="1"/>
    <s v="International"/>
    <m/>
    <s v="FRI4P"/>
    <s v="Euronext Paris"/>
    <s v="Non-significant benchmark"/>
    <n v="0"/>
    <n v="0"/>
    <n v="0"/>
    <n v="0"/>
    <n v="0"/>
    <n v="0"/>
    <n v="0"/>
  </r>
  <r>
    <x v="1301"/>
    <x v="218"/>
    <s v="FRIX00003676"/>
    <x v="1"/>
    <s v="International"/>
    <m/>
    <s v="FRI4D"/>
    <s v="Euronext Paris"/>
    <s v="Non-significant benchmark"/>
    <n v="0"/>
    <n v="0"/>
    <n v="0"/>
    <n v="0"/>
    <n v="0"/>
    <n v="0"/>
    <n v="0"/>
  </r>
  <r>
    <x v="1302"/>
    <x v="218"/>
    <s v="FRIX00003668"/>
    <x v="1"/>
    <s v="International"/>
    <m/>
    <s v="FRI4G"/>
    <s v="Euronext Paris"/>
    <s v="Non-significant benchmark"/>
    <n v="0"/>
    <n v="0"/>
    <n v="0"/>
    <n v="0"/>
    <n v="0"/>
    <n v="0"/>
    <n v="0"/>
  </r>
  <r>
    <x v="1303"/>
    <x v="218"/>
    <s v="FRIX00003650"/>
    <x v="1"/>
    <s v="International"/>
    <m/>
    <s v="FRI4N"/>
    <s v="Euronext Paris"/>
    <s v="Non-significant benchmark"/>
    <n v="0"/>
    <n v="0"/>
    <n v="0"/>
    <n v="0"/>
    <n v="0"/>
    <n v="0"/>
    <n v="0"/>
  </r>
  <r>
    <x v="1304"/>
    <x v="219"/>
    <s v="FRIX00002629"/>
    <x v="0"/>
    <s v="International"/>
    <m/>
    <s v="EIFRP"/>
    <s v="Euronext Paris"/>
    <s v="Non-significant benchmark"/>
    <n v="0"/>
    <n v="0"/>
    <n v="0"/>
    <n v="0"/>
    <n v="0"/>
    <n v="0"/>
    <n v="0"/>
  </r>
  <r>
    <x v="1305"/>
    <x v="219"/>
    <s v="FRIX00002645"/>
    <x v="0"/>
    <s v="International"/>
    <m/>
    <s v="EIFRG"/>
    <s v="Euronext Paris"/>
    <s v="Non-significant benchmark"/>
    <n v="0"/>
    <n v="0"/>
    <n v="0"/>
    <n v="0"/>
    <n v="0"/>
    <n v="0"/>
    <n v="0"/>
  </r>
  <r>
    <x v="1306"/>
    <x v="219"/>
    <s v="FRIX00002637"/>
    <x v="0"/>
    <s v="International"/>
    <m/>
    <s v="EIFRN"/>
    <s v="Euronext Paris"/>
    <s v="Non-significant benchmark"/>
    <n v="0"/>
    <n v="0"/>
    <n v="0"/>
    <n v="0"/>
    <n v="0"/>
    <n v="0"/>
    <n v="0"/>
  </r>
  <r>
    <x v="1307"/>
    <x v="220"/>
    <s v="FRIX00002876"/>
    <x v="1"/>
    <s v="International"/>
    <m/>
    <s v="INFRP"/>
    <s v="Euronext Paris"/>
    <s v="Non-significant benchmark"/>
    <n v="0"/>
    <n v="0"/>
    <n v="0"/>
    <n v="0"/>
    <n v="0"/>
    <n v="0"/>
    <n v="0"/>
  </r>
  <r>
    <x v="1308"/>
    <x v="220"/>
    <s v="FRIX00002900"/>
    <x v="1"/>
    <s v="International"/>
    <m/>
    <s v="INFRD"/>
    <s v="Euronext Paris"/>
    <s v="Non-significant benchmark"/>
    <n v="0"/>
    <n v="0"/>
    <n v="0"/>
    <n v="0"/>
    <n v="0"/>
    <n v="0"/>
    <n v="0"/>
  </r>
  <r>
    <x v="1309"/>
    <x v="220"/>
    <s v="FRIX00002892"/>
    <x v="1"/>
    <s v="International"/>
    <m/>
    <s v="INFRG"/>
    <s v="Euronext Paris"/>
    <s v="Non-significant benchmark"/>
    <n v="0"/>
    <n v="0"/>
    <n v="0"/>
    <n v="0"/>
    <n v="0"/>
    <n v="0"/>
    <n v="0"/>
  </r>
  <r>
    <x v="1310"/>
    <x v="220"/>
    <s v="FRIX00002884"/>
    <x v="1"/>
    <s v="International"/>
    <m/>
    <s v="INFRN"/>
    <s v="Euronext Paris"/>
    <s v="Non-significant benchmark"/>
    <n v="0"/>
    <n v="0"/>
    <n v="0"/>
    <n v="0"/>
    <n v="0"/>
    <n v="0"/>
    <n v="0"/>
  </r>
  <r>
    <x v="1311"/>
    <x v="221"/>
    <s v="FRIX00002728"/>
    <x v="1"/>
    <s v="International"/>
    <m/>
    <s v="FILVP"/>
    <s v="Euronext Paris"/>
    <s v="Non-significant benchmark"/>
    <n v="0"/>
    <n v="0"/>
    <n v="0"/>
    <n v="0"/>
    <n v="0"/>
    <n v="0"/>
    <n v="0"/>
  </r>
  <r>
    <x v="1312"/>
    <x v="221"/>
    <s v="FRIX00002751"/>
    <x v="1"/>
    <s v="International"/>
    <m/>
    <s v="FILV3"/>
    <s v="Euronext Paris"/>
    <s v="Non-significant benchmark"/>
    <n v="0"/>
    <n v="0"/>
    <n v="0"/>
    <n v="0"/>
    <n v="0"/>
    <n v="0"/>
    <n v="0"/>
  </r>
  <r>
    <x v="1313"/>
    <x v="221"/>
    <s v="FRIX00002769"/>
    <x v="1"/>
    <s v="International"/>
    <m/>
    <s v="FILVD"/>
    <s v="Euronext Paris"/>
    <s v="Non-significant benchmark"/>
    <n v="0"/>
    <n v="0"/>
    <n v="0"/>
    <n v="0"/>
    <n v="0"/>
    <n v="0"/>
    <n v="0"/>
  </r>
  <r>
    <x v="1314"/>
    <x v="221"/>
    <s v="FRIX00002744"/>
    <x v="1"/>
    <s v="International"/>
    <m/>
    <s v="FILVG"/>
    <s v="Euronext Paris"/>
    <s v="Non-significant benchmark"/>
    <n v="0"/>
    <n v="0"/>
    <n v="0"/>
    <n v="0"/>
    <n v="0"/>
    <n v="0"/>
    <n v="0"/>
  </r>
  <r>
    <x v="1315"/>
    <x v="221"/>
    <s v="FRIX00002736"/>
    <x v="1"/>
    <s v="International"/>
    <m/>
    <s v="FILVN"/>
    <s v="Euronext Paris"/>
    <s v="Non-significant benchmark"/>
    <n v="0"/>
    <n v="0"/>
    <n v="0"/>
    <n v="0"/>
    <n v="0"/>
    <n v="0"/>
    <n v="0"/>
  </r>
  <r>
    <x v="1316"/>
    <x v="222"/>
    <s v="NLIX00002195"/>
    <x v="0"/>
    <s v="Country"/>
    <m/>
    <s v="EJPGT"/>
    <s v="Euronext Amsterdam"/>
    <s v="Non-significant benchmark"/>
    <n v="0"/>
    <n v="0"/>
    <n v="0"/>
    <n v="0"/>
    <n v="0"/>
    <n v="0"/>
    <n v="0"/>
  </r>
  <r>
    <x v="1317"/>
    <x v="222"/>
    <s v="NLIX00002187"/>
    <x v="0"/>
    <s v="Country"/>
    <m/>
    <s v="EJPNT"/>
    <s v="Euronext Amsterdam"/>
    <s v="Non-significant benchmark"/>
    <n v="0"/>
    <n v="0"/>
    <n v="0"/>
    <n v="0"/>
    <n v="0"/>
    <n v="0"/>
    <n v="0"/>
  </r>
  <r>
    <x v="1318"/>
    <x v="222"/>
    <s v="NLIX00002179"/>
    <x v="0"/>
    <s v="Country"/>
    <m/>
    <s v="EJPPT"/>
    <s v="Euronext Amsterdam"/>
    <s v="Non-significant benchmark"/>
    <n v="0"/>
    <n v="0"/>
    <n v="0"/>
    <n v="0"/>
    <n v="0"/>
    <n v="0"/>
    <n v="0"/>
  </r>
  <r>
    <x v="1319"/>
    <x v="223"/>
    <s v="NLIX00000397"/>
    <x v="0"/>
    <s v="Fixed Income"/>
    <m/>
    <s v="ME10G"/>
    <s v="Euronext Amsterdam"/>
    <s v="Non-significant benchmark"/>
    <n v="0"/>
    <n v="0"/>
    <n v="0"/>
    <n v="0"/>
    <n v="0"/>
    <n v="0"/>
    <n v="0"/>
  </r>
  <r>
    <x v="1320"/>
    <x v="223"/>
    <s v="NLIX00000314"/>
    <x v="0"/>
    <s v="Fixed Income"/>
    <m/>
    <s v="ME1G"/>
    <s v="Euronext Amsterdam"/>
    <s v="Non-significant benchmark"/>
    <n v="0"/>
    <n v="0"/>
    <n v="0"/>
    <n v="0"/>
    <n v="0"/>
    <n v="0"/>
    <n v="0"/>
  </r>
  <r>
    <x v="1321"/>
    <x v="223"/>
    <s v="NLIX00000413"/>
    <x v="0"/>
    <s v="Fixed Income"/>
    <m/>
    <s v="MEG15"/>
    <s v="Euronext Amsterdam"/>
    <s v="Non-significant benchmark"/>
    <n v="0"/>
    <n v="0"/>
    <n v="0"/>
    <n v="0"/>
    <n v="0"/>
    <n v="0"/>
    <n v="0"/>
  </r>
  <r>
    <x v="1322"/>
    <x v="223"/>
    <s v="NLIX00000439"/>
    <x v="0"/>
    <s v="Fixed Income"/>
    <m/>
    <s v="ME15G"/>
    <s v="Euronext Amsterdam"/>
    <s v="Non-significant benchmark"/>
    <n v="0"/>
    <n v="0"/>
    <n v="0"/>
    <n v="0"/>
    <n v="0"/>
    <n v="0"/>
    <n v="0"/>
  </r>
  <r>
    <x v="1323"/>
    <x v="223"/>
    <s v="NLIX00000454"/>
    <x v="0"/>
    <s v="Fixed Income"/>
    <m/>
    <s v="MEG25"/>
    <s v="Euronext Amsterdam"/>
    <s v="Non-significant benchmark"/>
    <n v="0"/>
    <n v="0"/>
    <n v="0"/>
    <n v="0"/>
    <n v="0"/>
    <n v="0"/>
    <n v="0"/>
  </r>
  <r>
    <x v="1324"/>
    <x v="223"/>
    <s v="NLIX00000330"/>
    <x v="0"/>
    <s v="Fixed Income"/>
    <m/>
    <s v="ME3G"/>
    <s v="Euronext Amsterdam"/>
    <s v="Non-significant benchmark"/>
    <n v="0"/>
    <n v="0"/>
    <n v="0"/>
    <n v="0"/>
    <n v="0"/>
    <n v="0"/>
    <n v="0"/>
  </r>
  <r>
    <x v="1325"/>
    <x v="223"/>
    <s v="NLIX00000355"/>
    <x v="0"/>
    <s v="Fixed Income"/>
    <m/>
    <s v="ME5G"/>
    <s v="Euronext Amsterdam"/>
    <s v="Non-significant benchmark"/>
    <n v="0"/>
    <n v="0"/>
    <n v="0"/>
    <n v="0"/>
    <n v="0"/>
    <n v="0"/>
    <n v="0"/>
  </r>
  <r>
    <x v="1326"/>
    <x v="223"/>
    <s v="NLIX00000371"/>
    <x v="0"/>
    <s v="Fixed Income"/>
    <m/>
    <s v="ME7G"/>
    <s v="Euronext Amsterdam"/>
    <s v="Non-significant benchmark"/>
    <n v="0"/>
    <n v="0"/>
    <n v="0"/>
    <n v="0"/>
    <n v="0"/>
    <n v="0"/>
    <n v="0"/>
  </r>
  <r>
    <x v="1327"/>
    <x v="223"/>
    <s v="NLIX00000793"/>
    <x v="0"/>
    <s v="Fixed Income"/>
    <m/>
    <s v="MEATG"/>
    <s v="Euronext Amsterdam"/>
    <s v="Non-significant benchmark"/>
    <n v="0"/>
    <n v="0"/>
    <n v="0"/>
    <n v="0"/>
    <n v="0"/>
    <n v="0"/>
    <n v="0"/>
  </r>
  <r>
    <x v="1328"/>
    <x v="223"/>
    <s v="NLIX00000819"/>
    <x v="0"/>
    <s v="Fixed Income"/>
    <m/>
    <s v="MEBEG"/>
    <s v="Euronext Amsterdam"/>
    <s v="Non-significant benchmark"/>
    <n v="0"/>
    <n v="0"/>
    <n v="0"/>
    <n v="0"/>
    <n v="0"/>
    <n v="0"/>
    <n v="0"/>
  </r>
  <r>
    <x v="1329"/>
    <x v="223"/>
    <s v="NLIX00000298"/>
    <x v="0"/>
    <s v="Fixed Income"/>
    <m/>
    <s v="MEBG"/>
    <s v="Euronext Amsterdam"/>
    <s v="Non-significant benchmark"/>
    <n v="0"/>
    <n v="0"/>
    <n v="0"/>
    <n v="0"/>
    <n v="0"/>
    <n v="0"/>
    <n v="0"/>
  </r>
  <r>
    <x v="1330"/>
    <x v="223"/>
    <s v="NLIX00000835"/>
    <x v="0"/>
    <s v="Fixed Income"/>
    <m/>
    <s v="MESUG"/>
    <s v="Euronext Amsterdam"/>
    <s v="Non-significant benchmark"/>
    <n v="0"/>
    <n v="0"/>
    <n v="0"/>
    <n v="0"/>
    <n v="0"/>
    <n v="0"/>
    <n v="0"/>
  </r>
  <r>
    <x v="1331"/>
    <x v="223"/>
    <s v="NLIX00000496"/>
    <x v="0"/>
    <s v="Fixed Income"/>
    <m/>
    <s v="MEFRG"/>
    <s v="Euronext Amsterdam"/>
    <s v="Non-significant benchmark"/>
    <n v="0"/>
    <n v="0"/>
    <n v="0"/>
    <n v="0"/>
    <n v="0"/>
    <n v="0"/>
    <n v="0"/>
  </r>
  <r>
    <x v="1332"/>
    <x v="223"/>
    <s v="NLIX00000512"/>
    <x v="0"/>
    <s v="Fixed Income"/>
    <m/>
    <s v="MEGRG"/>
    <s v="Euronext Amsterdam"/>
    <s v="Non-significant benchmark"/>
    <n v="0"/>
    <n v="0"/>
    <n v="0"/>
    <n v="0"/>
    <n v="0"/>
    <n v="0"/>
    <n v="0"/>
  </r>
  <r>
    <x v="1333"/>
    <x v="223"/>
    <s v="NLIX00000850"/>
    <x v="0"/>
    <s v="Fixed Income"/>
    <m/>
    <s v="MEIRG"/>
    <s v="Euronext Amsterdam"/>
    <s v="Non-significant benchmark"/>
    <n v="0"/>
    <n v="0"/>
    <n v="0"/>
    <n v="0"/>
    <n v="0"/>
    <n v="0"/>
    <n v="0"/>
  </r>
  <r>
    <x v="1334"/>
    <x v="223"/>
    <s v="NLIX00000637"/>
    <x v="0"/>
    <s v="Fixed Income"/>
    <m/>
    <s v="MI10G"/>
    <s v="Euronext Amsterdam"/>
    <s v="Non-significant benchmark"/>
    <n v="0"/>
    <n v="0"/>
    <n v="0"/>
    <n v="0"/>
    <n v="0"/>
    <n v="0"/>
    <n v="0"/>
  </r>
  <r>
    <x v="1335"/>
    <x v="223"/>
    <s v="NLIX00000553"/>
    <x v="0"/>
    <s v="Fixed Income"/>
    <m/>
    <s v="MI1G"/>
    <s v="Euronext Amsterdam"/>
    <s v="Non-significant benchmark"/>
    <n v="0"/>
    <n v="0"/>
    <n v="0"/>
    <n v="0"/>
    <n v="0"/>
    <n v="0"/>
    <n v="0"/>
  </r>
  <r>
    <x v="1336"/>
    <x v="223"/>
    <s v="NLIX00000652"/>
    <x v="0"/>
    <s v="Fixed Income"/>
    <m/>
    <s v="MI15G"/>
    <s v="Euronext Amsterdam"/>
    <s v="Non-significant benchmark"/>
    <n v="0"/>
    <n v="0"/>
    <n v="0"/>
    <n v="0"/>
    <n v="0"/>
    <n v="0"/>
    <n v="0"/>
  </r>
  <r>
    <x v="1337"/>
    <x v="223"/>
    <s v="NLIX00000678"/>
    <x v="0"/>
    <s v="Fixed Income"/>
    <m/>
    <s v="MIG25"/>
    <s v="Euronext Amsterdam"/>
    <s v="Non-significant benchmark"/>
    <n v="0"/>
    <n v="0"/>
    <n v="0"/>
    <n v="0"/>
    <n v="0"/>
    <n v="0"/>
    <n v="0"/>
  </r>
  <r>
    <x v="1338"/>
    <x v="223"/>
    <s v="NLIX00000579"/>
    <x v="0"/>
    <s v="Fixed Income"/>
    <m/>
    <s v="MI3G"/>
    <s v="Euronext Amsterdam"/>
    <s v="Non-significant benchmark"/>
    <n v="0"/>
    <n v="0"/>
    <n v="0"/>
    <n v="0"/>
    <n v="0"/>
    <n v="0"/>
    <n v="0"/>
  </r>
  <r>
    <x v="1339"/>
    <x v="223"/>
    <s v="NLIX00000595"/>
    <x v="0"/>
    <s v="Fixed Income"/>
    <m/>
    <s v="MI5G"/>
    <s v="Euronext Amsterdam"/>
    <s v="Non-significant benchmark"/>
    <n v="0"/>
    <n v="0"/>
    <n v="0"/>
    <n v="0"/>
    <n v="0"/>
    <n v="0"/>
    <n v="0"/>
  </r>
  <r>
    <x v="1340"/>
    <x v="223"/>
    <s v="NLIX00000611"/>
    <x v="0"/>
    <s v="Fixed Income"/>
    <m/>
    <s v="MI7G"/>
    <s v="Euronext Amsterdam"/>
    <s v="Non-significant benchmark"/>
    <n v="0"/>
    <n v="0"/>
    <n v="0"/>
    <n v="0"/>
    <n v="0"/>
    <n v="0"/>
    <n v="0"/>
  </r>
  <r>
    <x v="1341"/>
    <x v="223"/>
    <s v="NLIX00000538"/>
    <x v="0"/>
    <s v="Fixed Income"/>
    <m/>
    <s v="MEITG"/>
    <s v="Euronext Amsterdam"/>
    <s v="Non-significant benchmark"/>
    <n v="0"/>
    <n v="0"/>
    <n v="0"/>
    <n v="0"/>
    <n v="0"/>
    <n v="0"/>
    <n v="0"/>
  </r>
  <r>
    <x v="1342"/>
    <x v="223"/>
    <s v="NLIX00000892"/>
    <x v="0"/>
    <s v="Fixed Income"/>
    <m/>
    <s v="MEPTG"/>
    <s v="Euronext Amsterdam"/>
    <s v="Non-significant benchmark"/>
    <n v="0"/>
    <n v="0"/>
    <n v="0"/>
    <n v="0"/>
    <n v="0"/>
    <n v="0"/>
    <n v="0"/>
  </r>
  <r>
    <x v="1343"/>
    <x v="223"/>
    <s v="NLIX00000470"/>
    <x v="0"/>
    <s v="Fixed Income"/>
    <m/>
    <s v="MESPG"/>
    <s v="Euronext Amsterdam"/>
    <s v="Non-significant benchmark"/>
    <n v="0"/>
    <n v="0"/>
    <n v="0"/>
    <n v="0"/>
    <n v="0"/>
    <n v="0"/>
    <n v="0"/>
  </r>
  <r>
    <x v="1344"/>
    <x v="223"/>
    <s v="NLIX00000876"/>
    <x v="0"/>
    <s v="Fixed Income"/>
    <m/>
    <s v="MENLG"/>
    <s v="Euronext Amsterdam"/>
    <s v="Non-significant benchmark"/>
    <n v="0"/>
    <n v="0"/>
    <n v="0"/>
    <n v="0"/>
    <n v="0"/>
    <n v="0"/>
    <n v="0"/>
  </r>
  <r>
    <x v="1345"/>
    <x v="224"/>
    <s v="NLIX00002922"/>
    <x v="0"/>
    <s v="Fixed Income"/>
    <m/>
    <s v="MEEUG"/>
    <s v="Euronext Amsterdam"/>
    <s v="Non-significant benchmark"/>
    <n v="0"/>
    <n v="0"/>
    <n v="0"/>
    <n v="0"/>
    <n v="0"/>
    <n v="0"/>
    <n v="0"/>
  </r>
  <r>
    <x v="1346"/>
    <x v="225"/>
    <s v="FRCLIM000304"/>
    <x v="0"/>
    <s v="Fixed Income"/>
    <m/>
    <s v="PBT4P"/>
    <s v="Euronext Paris"/>
    <s v="Non-significant benchmark"/>
    <n v="0"/>
    <n v="0"/>
    <n v="0"/>
    <n v="0"/>
    <n v="0"/>
    <n v="0"/>
    <n v="0"/>
  </r>
  <r>
    <x v="1347"/>
    <x v="225"/>
    <s v="FRCLIM000338"/>
    <x v="1"/>
    <s v="Thematic"/>
    <m/>
    <s v="PT4D5"/>
    <s v="Euronext Paris"/>
    <s v="Non-significant benchmark"/>
    <n v="0"/>
    <n v="0"/>
    <n v="0"/>
    <n v="0"/>
    <n v="0"/>
    <n v="0"/>
    <n v="0"/>
  </r>
  <r>
    <x v="1348"/>
    <x v="225"/>
    <s v="FRCLIM000304"/>
    <x v="1"/>
    <s v="Thematic"/>
    <m/>
    <s v="PT450"/>
    <s v="Euronext Paris"/>
    <s v="Non-significant benchmark"/>
    <n v="0"/>
    <n v="0"/>
    <n v="0"/>
    <n v="0"/>
    <n v="0"/>
    <n v="0"/>
    <n v="0"/>
  </r>
  <r>
    <x v="1349"/>
    <x v="225"/>
    <s v="FRCLIM000320"/>
    <x v="1"/>
    <s v="Thematic"/>
    <m/>
    <s v="PBT4G"/>
    <s v="Euronext Paris"/>
    <s v="Non-significant benchmark"/>
    <n v="0"/>
    <n v="0"/>
    <n v="0"/>
    <n v="0"/>
    <n v="0"/>
    <n v="0"/>
    <n v="0"/>
  </r>
  <r>
    <x v="1350"/>
    <x v="225"/>
    <s v="FRCLIM000312"/>
    <x v="1"/>
    <s v="Thematic"/>
    <m/>
    <s v="PBT4N"/>
    <s v="Euronext Paris"/>
    <s v="Non-significant benchmark"/>
    <n v="0"/>
    <n v="0"/>
    <n v="0"/>
    <n v="0"/>
    <n v="0"/>
    <n v="0"/>
    <n v="0"/>
  </r>
  <r>
    <x v="1351"/>
    <x v="226"/>
    <s v="FRCLIM000254"/>
    <x v="1"/>
    <s v="Thematic"/>
    <m/>
    <s v="PBTAP"/>
    <s v="Euronext Paris"/>
    <s v="Non-significant benchmark"/>
    <n v="0"/>
    <n v="0"/>
    <n v="0"/>
    <n v="0"/>
    <n v="0"/>
    <n v="0"/>
    <n v="0"/>
  </r>
  <r>
    <x v="1352"/>
    <x v="226"/>
    <s v="FRCLIM000288"/>
    <x v="1"/>
    <s v="Thematic"/>
    <m/>
    <s v="PBT5D"/>
    <s v="Euronext Paris"/>
    <s v="Non-significant benchmark"/>
    <n v="0"/>
    <n v="0"/>
    <n v="0"/>
    <n v="0"/>
    <n v="0"/>
    <n v="0"/>
    <n v="0"/>
  </r>
  <r>
    <x v="1353"/>
    <x v="226"/>
    <s v="FRCLIM000296"/>
    <x v="1"/>
    <s v="Thematic"/>
    <m/>
    <s v="PBT50"/>
    <s v="Euronext Paris"/>
    <s v="Non-significant benchmark"/>
    <n v="0"/>
    <n v="0"/>
    <n v="0"/>
    <n v="0"/>
    <n v="0"/>
    <n v="0"/>
    <n v="0"/>
  </r>
  <r>
    <x v="1354"/>
    <x v="226"/>
    <s v="FRCLIM000270"/>
    <x v="1"/>
    <s v="Thematic"/>
    <m/>
    <s v="PBTAG"/>
    <s v="Euronext Paris"/>
    <s v="Non-significant benchmark"/>
    <n v="0"/>
    <n v="0"/>
    <n v="0"/>
    <n v="0"/>
    <n v="0"/>
    <n v="0"/>
    <n v="0"/>
  </r>
  <r>
    <x v="1355"/>
    <x v="226"/>
    <s v="FRCLIM000262"/>
    <x v="1"/>
    <s v="Thematic"/>
    <m/>
    <s v="PBTAN"/>
    <s v="Euronext Paris"/>
    <s v="Non-significant benchmark"/>
    <n v="0"/>
    <n v="0"/>
    <n v="0"/>
    <n v="0"/>
    <n v="0"/>
    <n v="0"/>
    <n v="0"/>
  </r>
  <r>
    <x v="1356"/>
    <x v="120"/>
    <s v="FRIX00001043"/>
    <x v="0"/>
    <s v="Single Stock"/>
    <m/>
    <s v="SGB3G"/>
    <s v="Euronext Paris"/>
    <s v="Non-significant benchmark"/>
    <n v="0"/>
    <n v="0"/>
    <n v="0"/>
    <n v="0"/>
    <n v="0"/>
    <n v="0"/>
    <n v="0"/>
  </r>
  <r>
    <x v="1357"/>
    <x v="120"/>
    <s v="FRIX00001050"/>
    <x v="0"/>
    <s v="Single Stock"/>
    <m/>
    <s v="SGB3P"/>
    <s v="Euronext Paris"/>
    <s v="Non-significant benchmark"/>
    <n v="53715493.01106599"/>
    <n v="0"/>
    <n v="0"/>
    <n v="0"/>
    <n v="0"/>
    <n v="0"/>
    <n v="53715493.01106599"/>
  </r>
  <r>
    <x v="1358"/>
    <x v="120"/>
    <s v="FRIX00001035"/>
    <x v="0"/>
    <s v="Single Stock"/>
    <m/>
    <s v="SGB3D"/>
    <s v="Euronext Paris"/>
    <s v="Non-significant benchmark"/>
    <n v="0"/>
    <n v="0"/>
    <n v="0"/>
    <n v="0"/>
    <n v="0"/>
    <n v="0"/>
    <n v="0"/>
  </r>
  <r>
    <x v="1359"/>
    <x v="120"/>
    <s v="FRIX00002413"/>
    <x v="0"/>
    <s v="Single Stock"/>
    <m/>
    <s v="SGB4G"/>
    <s v="Euronext Paris"/>
    <s v="Non-significant benchmark"/>
    <n v="0"/>
    <n v="0"/>
    <n v="0"/>
    <n v="0"/>
    <n v="0"/>
    <n v="0"/>
    <n v="0"/>
  </r>
  <r>
    <x v="1360"/>
    <x v="120"/>
    <s v="FRIX00002405"/>
    <x v="0"/>
    <s v="Single Stock"/>
    <m/>
    <s v="SGB4P"/>
    <s v="Euronext Paris"/>
    <s v="Non-significant benchmark"/>
    <n v="0"/>
    <n v="0"/>
    <n v="0"/>
    <n v="0"/>
    <n v="0"/>
    <n v="0"/>
    <n v="0"/>
  </r>
  <r>
    <x v="1361"/>
    <x v="120"/>
    <s v="FRIX00002470"/>
    <x v="0"/>
    <s v="Single Stock"/>
    <m/>
    <s v="SGB5G"/>
    <s v="Euronext Paris"/>
    <s v="Non-significant benchmark"/>
    <n v="0"/>
    <n v="0"/>
    <n v="0"/>
    <n v="0"/>
    <n v="0"/>
    <n v="0"/>
    <n v="0"/>
  </r>
  <r>
    <x v="1362"/>
    <x v="120"/>
    <s v="FRIX00002462"/>
    <x v="0"/>
    <s v="Single Stock"/>
    <m/>
    <s v="SGB5P"/>
    <s v="Euronext Paris"/>
    <s v="Non-significant benchmark"/>
    <n v="0"/>
    <n v="0"/>
    <n v="0"/>
    <n v="0"/>
    <n v="0"/>
    <n v="0"/>
    <n v="0"/>
  </r>
  <r>
    <x v="1363"/>
    <x v="120"/>
    <s v="FRIX00003270"/>
    <x v="0"/>
    <s v="Single Stock"/>
    <m/>
    <s v="SGBD1"/>
    <s v="Euronext Paris"/>
    <s v="Non-significant benchmark"/>
    <n v="0"/>
    <n v="0"/>
    <n v="0"/>
    <n v="0"/>
    <n v="0"/>
    <n v="0"/>
    <n v="0"/>
  </r>
  <r>
    <x v="1363"/>
    <x v="120"/>
    <s v="FRIX00003270"/>
    <x v="0"/>
    <s v="Single Stock"/>
    <m/>
    <s v="SGBD1"/>
    <s v="Euronext Paris"/>
    <s v="Non-significant benchmark"/>
    <n v="0"/>
    <n v="0"/>
    <n v="0"/>
    <n v="0"/>
    <n v="0"/>
    <n v="0"/>
    <n v="0"/>
  </r>
  <r>
    <x v="1364"/>
    <x v="120"/>
    <s v="FRIX00003262"/>
    <x v="0"/>
    <s v="Single Stock"/>
    <m/>
    <s v="SGBG1"/>
    <s v="Euronext Paris"/>
    <s v="Non-significant benchmark"/>
    <n v="0"/>
    <n v="0"/>
    <n v="0"/>
    <n v="0"/>
    <n v="0"/>
    <n v="0"/>
    <n v="0"/>
  </r>
  <r>
    <x v="1364"/>
    <x v="120"/>
    <s v="FRIX00003262"/>
    <x v="0"/>
    <s v="Single Stock"/>
    <m/>
    <s v="SGBG1"/>
    <s v="Euronext Paris"/>
    <s v="Non-significant benchmark"/>
    <n v="0"/>
    <n v="0"/>
    <n v="0"/>
    <n v="0"/>
    <n v="0"/>
    <n v="0"/>
    <n v="0"/>
  </r>
  <r>
    <x v="1365"/>
    <x v="120"/>
    <s v="FRIX00003254"/>
    <x v="0"/>
    <s v="Single Stock"/>
    <m/>
    <s v="SGBP1"/>
    <s v="Euronext Paris"/>
    <s v="Non-significant benchmark"/>
    <n v="0"/>
    <n v="0"/>
    <n v="0"/>
    <n v="0"/>
    <n v="0"/>
    <n v="0"/>
    <n v="0"/>
  </r>
  <r>
    <x v="1365"/>
    <x v="120"/>
    <s v="FRIX00003254"/>
    <x v="0"/>
    <s v="Single Stock"/>
    <m/>
    <s v="SGBP1"/>
    <s v="Euronext Paris"/>
    <s v="Non-significant benchmark"/>
    <n v="0"/>
    <n v="0"/>
    <n v="0"/>
    <n v="0"/>
    <n v="0"/>
    <n v="0"/>
    <n v="0"/>
  </r>
  <r>
    <x v="1366"/>
    <x v="120"/>
    <s v="FRIX00002538"/>
    <x v="0"/>
    <s v="Single Stock"/>
    <m/>
    <s v="SGA4G"/>
    <s v="Euronext Paris"/>
    <s v="Non-significant benchmark"/>
    <n v="0"/>
    <n v="0"/>
    <n v="0"/>
    <n v="0"/>
    <n v="0"/>
    <n v="0"/>
    <n v="0"/>
  </r>
  <r>
    <x v="1367"/>
    <x v="120"/>
    <s v="FRIX00002520"/>
    <x v="0"/>
    <s v="Single Stock"/>
    <m/>
    <s v="SGA4P"/>
    <s v="Euronext Paris"/>
    <s v="Non-significant benchmark"/>
    <n v="0"/>
    <n v="0"/>
    <n v="0"/>
    <n v="0"/>
    <n v="0"/>
    <n v="0"/>
    <n v="0"/>
  </r>
  <r>
    <x v="1368"/>
    <x v="120"/>
    <s v="FRIX00002561"/>
    <x v="0"/>
    <s v="Single Stock"/>
    <m/>
    <s v="SGEEG"/>
    <s v="Euronext Paris"/>
    <s v="Non-significant benchmark"/>
    <n v="0"/>
    <n v="0"/>
    <n v="0"/>
    <n v="0"/>
    <n v="0"/>
    <n v="0"/>
    <n v="0"/>
  </r>
  <r>
    <x v="1369"/>
    <x v="120"/>
    <s v="FRIX00002553"/>
    <x v="0"/>
    <s v="Single Stock"/>
    <m/>
    <s v="SGEEP"/>
    <s v="Euronext Paris"/>
    <s v="Non-significant benchmark"/>
    <n v="0"/>
    <n v="0"/>
    <n v="0"/>
    <n v="0"/>
    <n v="0"/>
    <n v="0"/>
    <n v="0"/>
  </r>
  <r>
    <x v="1370"/>
    <x v="120"/>
    <s v="FRIX00003601"/>
    <x v="0"/>
    <s v="Single Stock"/>
    <m/>
    <s v="SG03D"/>
    <s v="Euronext Paris"/>
    <s v="Non-significant benchmark"/>
    <n v="0"/>
    <n v="0"/>
    <n v="0"/>
    <n v="0"/>
    <n v="0"/>
    <n v="0"/>
    <n v="0"/>
  </r>
  <r>
    <x v="1371"/>
    <x v="120"/>
    <s v="FRIX00003593"/>
    <x v="0"/>
    <s v="Single Stock"/>
    <m/>
    <s v="SG03G"/>
    <s v="Euronext Paris"/>
    <s v="Non-significant benchmark"/>
    <n v="0"/>
    <n v="0"/>
    <n v="0"/>
    <n v="0"/>
    <n v="0"/>
    <n v="0"/>
    <n v="0"/>
  </r>
  <r>
    <x v="1372"/>
    <x v="120"/>
    <s v="FRIX00003585"/>
    <x v="0"/>
    <s v="Single Stock"/>
    <m/>
    <s v="SG03P"/>
    <s v="Euronext Paris"/>
    <s v="Non-significant benchmark"/>
    <n v="0"/>
    <n v="0"/>
    <n v="0"/>
    <n v="0"/>
    <n v="0"/>
    <n v="0"/>
    <n v="0"/>
  </r>
  <r>
    <x v="1373"/>
    <x v="120"/>
    <s v="FRIX00003213"/>
    <x v="0"/>
    <s v="Single Stock"/>
    <m/>
    <s v="SGRNO"/>
    <s v="Euronext Paris"/>
    <s v="Non-significant benchmark"/>
    <n v="0"/>
    <n v="0"/>
    <n v="0"/>
    <n v="0"/>
    <n v="0"/>
    <n v="0"/>
    <n v="0"/>
  </r>
  <r>
    <x v="1374"/>
    <x v="120"/>
    <s v="FRIX00003205"/>
    <x v="0"/>
    <s v="Single Stock"/>
    <m/>
    <s v="SGRNG"/>
    <s v="Euronext Paris"/>
    <s v="Non-significant benchmark"/>
    <n v="0"/>
    <n v="0"/>
    <n v="0"/>
    <n v="0"/>
    <n v="0"/>
    <n v="0"/>
    <n v="0"/>
  </r>
  <r>
    <x v="1375"/>
    <x v="120"/>
    <s v="FRIX00003197"/>
    <x v="0"/>
    <s v="Single Stock"/>
    <m/>
    <s v="SGRNP"/>
    <s v="Euronext Paris"/>
    <s v="Non-significant benchmark"/>
    <n v="0"/>
    <n v="0"/>
    <n v="0"/>
    <n v="0"/>
    <n v="0"/>
    <n v="0"/>
    <n v="0"/>
  </r>
  <r>
    <x v="1376"/>
    <x v="120"/>
    <s v="FRIX00002983"/>
    <x v="0"/>
    <s v="Single Stock"/>
    <m/>
    <s v="SGSCG"/>
    <s v="Euronext Paris"/>
    <s v="Non-significant benchmark"/>
    <n v="0"/>
    <n v="0"/>
    <n v="0"/>
    <n v="0"/>
    <n v="0"/>
    <n v="0"/>
    <n v="0"/>
  </r>
  <r>
    <x v="1377"/>
    <x v="120"/>
    <s v="FRIX00002975"/>
    <x v="0"/>
    <s v="Single Stock"/>
    <m/>
    <s v="SGSC"/>
    <s v="Euronext Paris"/>
    <s v="Non-significant benchmark"/>
    <n v="0"/>
    <n v="0"/>
    <n v="0"/>
    <n v="0"/>
    <n v="0"/>
    <n v="0"/>
    <n v="0"/>
  </r>
  <r>
    <x v="1378"/>
    <x v="120"/>
    <s v="FRIX00003148"/>
    <x v="0"/>
    <s v="Single Stock"/>
    <m/>
    <s v="SGG5G"/>
    <s v="Euronext Paris"/>
    <s v="Non-significant benchmark"/>
    <n v="0"/>
    <n v="0"/>
    <n v="0"/>
    <n v="0"/>
    <n v="0"/>
    <n v="0"/>
    <n v="0"/>
  </r>
  <r>
    <x v="1379"/>
    <x v="120"/>
    <s v="FRIX00003130"/>
    <x v="0"/>
    <s v="Single Stock"/>
    <m/>
    <s v="SGG5P"/>
    <s v="Euronext Paris"/>
    <s v="Non-significant benchmark"/>
    <n v="0"/>
    <n v="0"/>
    <n v="0"/>
    <n v="0"/>
    <n v="0"/>
    <n v="0"/>
    <n v="0"/>
  </r>
  <r>
    <x v="1380"/>
    <x v="120"/>
    <s v="FRIX00002835"/>
    <x v="0"/>
    <s v="Single Stock"/>
    <m/>
    <s v="SGG4D"/>
    <s v="Euronext Paris"/>
    <s v="Non-significant benchmark"/>
    <n v="0"/>
    <n v="0"/>
    <n v="0"/>
    <n v="0"/>
    <n v="0"/>
    <n v="0"/>
    <n v="0"/>
  </r>
  <r>
    <x v="1381"/>
    <x v="120"/>
    <s v="FRIX00002827"/>
    <x v="0"/>
    <s v="Single Stock"/>
    <m/>
    <s v="SGG4G"/>
    <s v="Euronext Paris"/>
    <s v="Non-significant benchmark"/>
    <n v="0"/>
    <n v="0"/>
    <n v="0"/>
    <n v="0"/>
    <n v="0"/>
    <n v="0"/>
    <n v="0"/>
  </r>
  <r>
    <x v="1382"/>
    <x v="120"/>
    <s v="FRIX00002504"/>
    <x v="0"/>
    <s v="Single Stock"/>
    <m/>
    <s v="SGG3G"/>
    <s v="Euronext Paris"/>
    <s v="Non-significant benchmark"/>
    <n v="0"/>
    <n v="0"/>
    <n v="0"/>
    <n v="0"/>
    <n v="0"/>
    <n v="0"/>
    <n v="0"/>
  </r>
  <r>
    <x v="1383"/>
    <x v="120"/>
    <s v="FRIX00002819"/>
    <x v="0"/>
    <s v="Single Stock"/>
    <m/>
    <s v="SGG4P"/>
    <s v="Euronext Paris"/>
    <s v="Non-significant benchmark"/>
    <n v="0"/>
    <n v="0"/>
    <n v="0"/>
    <n v="0"/>
    <n v="0"/>
    <n v="0"/>
    <n v="0"/>
  </r>
  <r>
    <x v="1384"/>
    <x v="120"/>
    <s v="FRIX00002496"/>
    <x v="0"/>
    <s v="Single Stock"/>
    <m/>
    <s v="SGG3P"/>
    <s v="Euronext Paris"/>
    <s v="Non-significant benchmark"/>
    <n v="0"/>
    <n v="0"/>
    <n v="0"/>
    <n v="0"/>
    <n v="0"/>
    <n v="0"/>
    <n v="0"/>
  </r>
  <r>
    <x v="1385"/>
    <x v="120"/>
    <s v="FRIX00003023"/>
    <x v="0"/>
    <s v="Single Stock"/>
    <m/>
    <s v="SGS4D"/>
    <s v="Euronext Paris"/>
    <s v="Non-significant benchmark"/>
    <n v="9075900"/>
    <n v="60000000"/>
    <n v="0"/>
    <n v="0"/>
    <n v="0"/>
    <n v="0"/>
    <n v="9075900"/>
  </r>
  <r>
    <x v="1386"/>
    <x v="120"/>
    <s v="FRIX00003007"/>
    <x v="0"/>
    <s v="Single Stock"/>
    <m/>
    <s v="SGS4P"/>
    <s v="Euronext Paris"/>
    <s v="Non-significant benchmark"/>
    <n v="0"/>
    <n v="0"/>
    <n v="0"/>
    <n v="0"/>
    <n v="0"/>
    <n v="0"/>
    <n v="0"/>
  </r>
  <r>
    <x v="1387"/>
    <x v="120"/>
    <s v="FRIX00002850"/>
    <x v="0"/>
    <s v="Single Stock"/>
    <m/>
    <s v="SGS3G"/>
    <s v="Euronext Paris"/>
    <s v="Non-significant benchmark"/>
    <n v="0"/>
    <n v="0"/>
    <n v="0"/>
    <n v="0"/>
    <n v="0"/>
    <n v="0"/>
    <n v="0"/>
  </r>
  <r>
    <x v="1388"/>
    <x v="120"/>
    <s v="FRIX00002843"/>
    <x v="0"/>
    <s v="Single Stock"/>
    <m/>
    <s v="SGS3P"/>
    <s v="Euronext Paris"/>
    <s v="Non-significant benchmark"/>
    <n v="0"/>
    <n v="0"/>
    <n v="0"/>
    <n v="0"/>
    <n v="0"/>
    <n v="0"/>
    <n v="0"/>
  </r>
  <r>
    <x v="1389"/>
    <x v="120"/>
    <s v="FRIX00002702"/>
    <x v="0"/>
    <s v="Single Stock"/>
    <m/>
    <s v="SGU2G"/>
    <s v="Euronext Paris"/>
    <s v="Non-significant benchmark"/>
    <n v="0"/>
    <n v="0"/>
    <n v="0"/>
    <n v="0"/>
    <n v="0"/>
    <n v="0"/>
    <n v="0"/>
  </r>
  <r>
    <x v="1390"/>
    <x v="120"/>
    <s v="FRIX00002694"/>
    <x v="0"/>
    <s v="Single Stock"/>
    <m/>
    <s v="SGU2P"/>
    <s v="Euronext Paris"/>
    <s v="Non-significant benchmark"/>
    <n v="0"/>
    <n v="0"/>
    <n v="0"/>
    <n v="0"/>
    <n v="0"/>
    <n v="0"/>
    <n v="0"/>
  </r>
  <r>
    <x v="1391"/>
    <x v="120"/>
    <s v="FRIX00003189"/>
    <x v="0"/>
    <s v="Single Stock"/>
    <m/>
    <s v="SSS3D"/>
    <s v="Euronext Paris"/>
    <s v="Non-significant benchmark"/>
    <n v="0"/>
    <n v="0"/>
    <n v="0"/>
    <n v="0"/>
    <n v="0"/>
    <n v="0"/>
    <n v="0"/>
  </r>
  <r>
    <x v="1392"/>
    <x v="120"/>
    <s v="FRIX00003171"/>
    <x v="0"/>
    <s v="Single Stock"/>
    <m/>
    <s v="SSS3G"/>
    <s v="Euronext Paris"/>
    <s v="Non-significant benchmark"/>
    <n v="0"/>
    <n v="0"/>
    <n v="0"/>
    <n v="0"/>
    <n v="0"/>
    <n v="0"/>
    <n v="0"/>
  </r>
  <r>
    <x v="1393"/>
    <x v="120"/>
    <s v="FRIX00003163"/>
    <x v="0"/>
    <s v="Single Stock"/>
    <m/>
    <s v="SSS3P"/>
    <s v="Euronext Paris"/>
    <s v="Non-significant benchmark"/>
    <n v="0"/>
    <n v="0"/>
    <n v="0"/>
    <n v="0"/>
    <n v="0"/>
    <n v="0"/>
    <n v="0"/>
  </r>
  <r>
    <x v="1394"/>
    <x v="227"/>
    <s v="FRIX00003239"/>
    <x v="0"/>
    <s v="Strategy"/>
    <m/>
    <s v="E3XLM"/>
    <s v="Euronext Paris"/>
    <s v="Non-significant benchmark"/>
    <n v="0"/>
    <n v="0"/>
    <n v="0"/>
    <n v="0"/>
    <n v="0"/>
    <n v="0"/>
    <n v="0"/>
  </r>
  <r>
    <x v="1395"/>
    <x v="227"/>
    <s v="FRIX00003247"/>
    <x v="0"/>
    <s v="Strategy"/>
    <m/>
    <s v="E3XSM"/>
    <s v="Euronext Paris"/>
    <s v="Non-significant benchmark"/>
    <n v="0"/>
    <n v="0"/>
    <n v="0"/>
    <n v="107921.68767119999"/>
    <n v="0"/>
    <n v="0"/>
    <n v="107921.68767119999"/>
  </r>
  <r>
    <x v="1396"/>
    <x v="227"/>
    <s v="FRIX00003221"/>
    <x v="0"/>
    <s v="Strategy"/>
    <m/>
    <s v="ENXMS"/>
    <s v="Euronext Paris"/>
    <s v="Non-significant benchmark"/>
    <n v="0"/>
    <n v="0"/>
    <n v="0"/>
    <n v="0"/>
    <n v="0"/>
    <n v="0"/>
    <n v="0"/>
  </r>
  <r>
    <x v="1397"/>
    <x v="228"/>
    <s v="NLIX00002229"/>
    <x v="0"/>
    <s v="Country"/>
    <m/>
    <s v="ECHGT"/>
    <s v="Euronext Amsterdam"/>
    <s v="Non-significant benchmark"/>
    <n v="0"/>
    <n v="0"/>
    <n v="0"/>
    <n v="0"/>
    <n v="0"/>
    <n v="0"/>
    <n v="0"/>
  </r>
  <r>
    <x v="1398"/>
    <x v="228"/>
    <s v="NLIX00002211"/>
    <x v="0"/>
    <s v="Country"/>
    <m/>
    <s v="ECHNT"/>
    <s v="Euronext Amsterdam"/>
    <s v="Non-significant benchmark"/>
    <n v="0"/>
    <n v="0"/>
    <n v="0"/>
    <n v="0"/>
    <n v="0"/>
    <n v="0"/>
    <n v="0"/>
  </r>
  <r>
    <x v="1399"/>
    <x v="228"/>
    <s v="NLIX00002203"/>
    <x v="0"/>
    <s v="Country"/>
    <m/>
    <s v="ECHPT"/>
    <s v="Euronext Amsterdam"/>
    <s v="Non-significant benchmark"/>
    <n v="0"/>
    <n v="0"/>
    <n v="0"/>
    <n v="0"/>
    <n v="0"/>
    <n v="0"/>
    <n v="0"/>
  </r>
  <r>
    <x v="1400"/>
    <x v="229"/>
    <s v="NLIX00003946"/>
    <x v="0"/>
    <s v="Thematic"/>
    <m/>
    <s v="TBMAG"/>
    <s v="Euronext Amsterdam"/>
    <s v="Non-significant benchmark"/>
    <n v="0"/>
    <n v="0"/>
    <n v="0"/>
    <n v="0"/>
    <n v="0"/>
    <n v="0"/>
    <n v="0"/>
  </r>
  <r>
    <x v="1401"/>
    <x v="229"/>
    <s v="NLIX00003938"/>
    <x v="0"/>
    <s v="Thematic"/>
    <m/>
    <s v="TBMAN"/>
    <s v="Euronext Amsterdam"/>
    <s v="Non-significant benchmark"/>
    <n v="0"/>
    <n v="0"/>
    <n v="0"/>
    <n v="0"/>
    <n v="0"/>
    <n v="0"/>
    <n v="0"/>
  </r>
  <r>
    <x v="1402"/>
    <x v="229"/>
    <s v="NLIX00003920"/>
    <x v="0"/>
    <s v="Thematic"/>
    <m/>
    <s v="TBMA"/>
    <s v="Euronext Amsterdam"/>
    <s v="Non-significant benchmark"/>
    <n v="0"/>
    <n v="0"/>
    <n v="0"/>
    <n v="0"/>
    <n v="0"/>
    <n v="0"/>
    <n v="0"/>
  </r>
  <r>
    <x v="1403"/>
    <x v="229"/>
    <s v="NLIX00003797"/>
    <x v="0"/>
    <s v="Thematic"/>
    <m/>
    <s v="TCDIG"/>
    <s v="Euronext Amsterdam"/>
    <s v="Non-significant benchmark"/>
    <n v="0"/>
    <n v="0"/>
    <n v="0"/>
    <n v="0"/>
    <n v="0"/>
    <n v="0"/>
    <n v="0"/>
  </r>
  <r>
    <x v="1404"/>
    <x v="229"/>
    <s v="NLIX00003789"/>
    <x v="0"/>
    <s v="Thematic"/>
    <m/>
    <s v="TCDIN"/>
    <s v="Euronext Amsterdam"/>
    <s v="Non-significant benchmark"/>
    <n v="0"/>
    <n v="0"/>
    <n v="0"/>
    <n v="0"/>
    <n v="0"/>
    <n v="0"/>
    <n v="0"/>
  </r>
  <r>
    <x v="1405"/>
    <x v="229"/>
    <s v="NLIX00003771"/>
    <x v="0"/>
    <s v="Thematic"/>
    <m/>
    <s v="TCDI"/>
    <s v="Euronext Amsterdam"/>
    <s v="Non-significant benchmark"/>
    <n v="0"/>
    <n v="0"/>
    <n v="0"/>
    <n v="0"/>
    <n v="0"/>
    <n v="0"/>
    <n v="0"/>
  </r>
  <r>
    <x v="1406"/>
    <x v="229"/>
    <s v="NLIX00003763"/>
    <x v="0"/>
    <s v="Thematic"/>
    <m/>
    <s v="TCSTG"/>
    <s v="Euronext Amsterdam"/>
    <s v="Non-significant benchmark"/>
    <n v="0"/>
    <n v="0"/>
    <n v="0"/>
    <n v="0"/>
    <n v="0"/>
    <n v="0"/>
    <n v="0"/>
  </r>
  <r>
    <x v="1407"/>
    <x v="229"/>
    <s v="NLIX00003755"/>
    <x v="0"/>
    <s v="Thematic"/>
    <m/>
    <s v="TCSTN"/>
    <s v="Euronext Amsterdam"/>
    <s v="Non-significant benchmark"/>
    <n v="0"/>
    <n v="0"/>
    <n v="0"/>
    <n v="0"/>
    <n v="0"/>
    <n v="0"/>
    <n v="0"/>
  </r>
  <r>
    <x v="1408"/>
    <x v="229"/>
    <s v="NLIX00003748"/>
    <x v="0"/>
    <s v="Thematic"/>
    <m/>
    <s v="TCST"/>
    <s v="Euronext Amsterdam"/>
    <s v="Non-significant benchmark"/>
    <n v="0"/>
    <n v="0"/>
    <n v="0"/>
    <n v="0"/>
    <n v="0"/>
    <n v="0"/>
    <n v="0"/>
  </r>
  <r>
    <x v="1409"/>
    <x v="229"/>
    <s v="NLIX00003730"/>
    <x v="0"/>
    <s v="Thematic"/>
    <m/>
    <s v="TENRG"/>
    <s v="Euronext Amsterdam"/>
    <s v="Non-significant benchmark"/>
    <n v="0"/>
    <n v="0"/>
    <n v="0"/>
    <n v="0"/>
    <n v="0"/>
    <n v="0"/>
    <n v="0"/>
  </r>
  <r>
    <x v="1410"/>
    <x v="229"/>
    <s v="NLIX00003722"/>
    <x v="0"/>
    <s v="Thematic"/>
    <m/>
    <s v="TENRN"/>
    <s v="Euronext Amsterdam"/>
    <s v="Non-significant benchmark"/>
    <n v="0"/>
    <n v="0"/>
    <n v="0"/>
    <n v="0"/>
    <n v="0"/>
    <n v="0"/>
    <n v="0"/>
  </r>
  <r>
    <x v="1411"/>
    <x v="229"/>
    <s v="NLIX00003714"/>
    <x v="0"/>
    <s v="Thematic"/>
    <m/>
    <s v="TENR"/>
    <s v="Euronext Amsterdam"/>
    <s v="Non-significant benchmark"/>
    <n v="0"/>
    <n v="0"/>
    <n v="0"/>
    <n v="0"/>
    <n v="0"/>
    <n v="0"/>
    <n v="0"/>
  </r>
  <r>
    <x v="1412"/>
    <x v="229"/>
    <s v="NLIX00003821"/>
    <x v="0"/>
    <s v="Thematic"/>
    <m/>
    <s v="TFING"/>
    <s v="Euronext Amsterdam"/>
    <s v="Non-significant benchmark"/>
    <n v="0"/>
    <n v="0"/>
    <n v="0"/>
    <n v="0"/>
    <n v="0"/>
    <n v="0"/>
    <n v="0"/>
  </r>
  <r>
    <x v="1413"/>
    <x v="229"/>
    <s v="NLIX00003813"/>
    <x v="0"/>
    <s v="Thematic"/>
    <m/>
    <s v="TFINN"/>
    <s v="Euronext Amsterdam"/>
    <s v="Non-significant benchmark"/>
    <n v="0"/>
    <n v="0"/>
    <n v="0"/>
    <n v="0"/>
    <n v="0"/>
    <n v="0"/>
    <n v="0"/>
  </r>
  <r>
    <x v="1414"/>
    <x v="229"/>
    <s v="NLIX00003805"/>
    <x v="0"/>
    <s v="Thematic"/>
    <m/>
    <s v="TFINP"/>
    <s v="Euronext Amsterdam"/>
    <s v="Non-significant benchmark"/>
    <n v="0"/>
    <n v="0"/>
    <n v="0"/>
    <n v="0"/>
    <n v="0"/>
    <n v="0"/>
    <n v="0"/>
  </r>
  <r>
    <x v="1415"/>
    <x v="229"/>
    <s v="NLIX00003912"/>
    <x v="0"/>
    <s v="Thematic"/>
    <m/>
    <s v="THECG"/>
    <s v="Euronext Amsterdam"/>
    <s v="Non-significant benchmark"/>
    <n v="0"/>
    <n v="0"/>
    <n v="0"/>
    <n v="0"/>
    <n v="0"/>
    <n v="0"/>
    <n v="0"/>
  </r>
  <r>
    <x v="1416"/>
    <x v="229"/>
    <s v="NLIX00003904"/>
    <x v="0"/>
    <s v="Thematic"/>
    <m/>
    <s v="THECN"/>
    <s v="Euronext Amsterdam"/>
    <s v="Non-significant benchmark"/>
    <n v="0"/>
    <n v="0"/>
    <n v="0"/>
    <n v="0"/>
    <n v="0"/>
    <n v="0"/>
    <n v="0"/>
  </r>
  <r>
    <x v="1417"/>
    <x v="229"/>
    <s v="NLIX00003896"/>
    <x v="0"/>
    <s v="Thematic"/>
    <m/>
    <s v="THEC"/>
    <s v="Euronext Amsterdam"/>
    <s v="Non-significant benchmark"/>
    <n v="0"/>
    <n v="0"/>
    <n v="0"/>
    <n v="0"/>
    <n v="0"/>
    <n v="0"/>
    <n v="0"/>
  </r>
  <r>
    <x v="1418"/>
    <x v="229"/>
    <s v="NLIX00003854"/>
    <x v="0"/>
    <s v="Thematic"/>
    <m/>
    <s v="TINDG"/>
    <s v="Euronext Amsterdam"/>
    <s v="Non-significant benchmark"/>
    <n v="0"/>
    <n v="0"/>
    <n v="0"/>
    <n v="0"/>
    <n v="0"/>
    <n v="0"/>
    <n v="0"/>
  </r>
  <r>
    <x v="1419"/>
    <x v="229"/>
    <s v="NLIX00003847"/>
    <x v="0"/>
    <s v="Thematic"/>
    <m/>
    <s v="TINDN"/>
    <s v="Euronext Amsterdam"/>
    <s v="Non-significant benchmark"/>
    <n v="0"/>
    <n v="0"/>
    <n v="0"/>
    <n v="0"/>
    <n v="0"/>
    <n v="0"/>
    <n v="0"/>
  </r>
  <r>
    <x v="1420"/>
    <x v="229"/>
    <s v="NLIX00003839"/>
    <x v="0"/>
    <s v="Thematic"/>
    <m/>
    <s v="TIND"/>
    <s v="Euronext Amsterdam"/>
    <s v="Non-significant benchmark"/>
    <n v="0"/>
    <n v="0"/>
    <n v="0"/>
    <n v="0"/>
    <n v="0"/>
    <n v="0"/>
    <n v="0"/>
  </r>
  <r>
    <x v="1421"/>
    <x v="229"/>
    <s v="NLIX00003706"/>
    <x v="0"/>
    <s v="Thematic"/>
    <m/>
    <s v="TTECG"/>
    <s v="Euronext Amsterdam"/>
    <s v="Non-significant benchmark"/>
    <n v="0"/>
    <n v="0"/>
    <n v="0"/>
    <n v="0"/>
    <n v="0"/>
    <n v="0"/>
    <n v="0"/>
  </r>
  <r>
    <x v="1422"/>
    <x v="229"/>
    <s v="NLIX00003698"/>
    <x v="0"/>
    <s v="Thematic"/>
    <m/>
    <s v="TTECN"/>
    <s v="Euronext Amsterdam"/>
    <s v="Non-significant benchmark"/>
    <n v="0"/>
    <n v="0"/>
    <n v="0"/>
    <n v="0"/>
    <n v="0"/>
    <n v="0"/>
    <n v="0"/>
  </r>
  <r>
    <x v="1423"/>
    <x v="229"/>
    <s v="NLIX00003680"/>
    <x v="0"/>
    <s v="Thematic"/>
    <m/>
    <s v="TTEC"/>
    <s v="Euronext Amsterdam"/>
    <s v="Non-significant benchmark"/>
    <n v="0"/>
    <n v="0"/>
    <n v="0"/>
    <n v="0"/>
    <n v="0"/>
    <n v="0"/>
    <n v="0"/>
  </r>
  <r>
    <x v="1424"/>
    <x v="229"/>
    <s v="NLIX00003888"/>
    <x v="0"/>
    <s v="Thematic"/>
    <m/>
    <s v="TTELG"/>
    <s v="Euronext Amsterdam"/>
    <s v="Non-significant benchmark"/>
    <n v="0"/>
    <n v="0"/>
    <n v="0"/>
    <n v="0"/>
    <n v="0"/>
    <n v="0"/>
    <n v="0"/>
  </r>
  <r>
    <x v="1425"/>
    <x v="229"/>
    <s v="NLIX00003870"/>
    <x v="0"/>
    <s v="Thematic"/>
    <m/>
    <s v="TTELN"/>
    <s v="Euronext Amsterdam"/>
    <s v="Non-significant benchmark"/>
    <n v="0"/>
    <n v="0"/>
    <n v="0"/>
    <n v="0"/>
    <n v="0"/>
    <n v="0"/>
    <n v="0"/>
  </r>
  <r>
    <x v="1426"/>
    <x v="229"/>
    <s v="NLIX00003862"/>
    <x v="0"/>
    <s v="Thematic"/>
    <m/>
    <s v="TTEL"/>
    <s v="Euronext Amsterdam"/>
    <s v="Non-significant benchmark"/>
    <n v="0"/>
    <n v="0"/>
    <n v="0"/>
    <n v="0"/>
    <n v="0"/>
    <n v="0"/>
    <n v="0"/>
  </r>
  <r>
    <x v="1427"/>
    <x v="229"/>
    <s v="NLIX00003979"/>
    <x v="0"/>
    <s v="Thematic"/>
    <m/>
    <s v="TUTIG"/>
    <s v="Euronext Amsterdam"/>
    <s v="Non-significant benchmark"/>
    <n v="0"/>
    <n v="0"/>
    <n v="0"/>
    <n v="0"/>
    <n v="0"/>
    <n v="0"/>
    <n v="0"/>
  </r>
  <r>
    <x v="1428"/>
    <x v="229"/>
    <s v="NLIX00003961"/>
    <x v="0"/>
    <s v="Thematic"/>
    <m/>
    <s v="TUTIN"/>
    <s v="Euronext Amsterdam"/>
    <s v="Non-significant benchmark"/>
    <n v="0"/>
    <n v="0"/>
    <n v="0"/>
    <n v="0"/>
    <n v="0"/>
    <n v="0"/>
    <n v="0"/>
  </r>
  <r>
    <x v="1429"/>
    <x v="229"/>
    <s v="NLIX00003953"/>
    <x v="0"/>
    <s v="Thematic"/>
    <m/>
    <s v="TUTI"/>
    <s v="Euronext Amsterdam"/>
    <s v="Non-significant benchmark"/>
    <n v="0"/>
    <n v="0"/>
    <n v="0"/>
    <n v="0"/>
    <n v="0"/>
    <n v="0"/>
    <n v="0"/>
  </r>
  <r>
    <x v="1430"/>
    <x v="230"/>
    <s v="NLIX00002286"/>
    <x v="0"/>
    <s v="Country"/>
    <m/>
    <s v="EUKGT"/>
    <s v="Euronext Amsterdam"/>
    <s v="Non-significant benchmark"/>
    <n v="0"/>
    <n v="0"/>
    <n v="0"/>
    <n v="0"/>
    <n v="0"/>
    <n v="0"/>
    <n v="0"/>
  </r>
  <r>
    <x v="1431"/>
    <x v="230"/>
    <s v="NLIX00002278"/>
    <x v="0"/>
    <s v="Country"/>
    <m/>
    <s v="EUKNT"/>
    <s v="Euronext Amsterdam"/>
    <s v="Non-significant benchmark"/>
    <n v="0"/>
    <n v="0"/>
    <n v="0"/>
    <n v="0"/>
    <n v="0"/>
    <n v="0"/>
    <n v="0"/>
  </r>
  <r>
    <x v="1432"/>
    <x v="230"/>
    <s v="NLIX00002260"/>
    <x v="0"/>
    <s v="Country"/>
    <m/>
    <s v="EUKPT"/>
    <s v="Euronext Amsterdam"/>
    <s v="Non-significant benchmark"/>
    <n v="0"/>
    <n v="0"/>
    <n v="0"/>
    <n v="0"/>
    <n v="0"/>
    <n v="0"/>
    <n v="0"/>
  </r>
  <r>
    <x v="1433"/>
    <x v="231"/>
    <s v="NLIX00002997"/>
    <x v="0"/>
    <s v="Thematic"/>
    <m/>
    <s v="EUSCS"/>
    <s v="Euronext Amsterdam"/>
    <s v="Non-significant benchmark"/>
    <n v="0"/>
    <n v="0"/>
    <n v="0"/>
    <n v="0"/>
    <n v="0"/>
    <n v="0"/>
    <n v="0"/>
  </r>
  <r>
    <x v="1434"/>
    <x v="231"/>
    <s v="NLIX00003029"/>
    <x v="0"/>
    <s v="Thematic"/>
    <m/>
    <s v="ESC5D"/>
    <s v="Euronext Amsterdam"/>
    <s v="Non-significant benchmark"/>
    <n v="0"/>
    <n v="0"/>
    <n v="0"/>
    <n v="0"/>
    <n v="0"/>
    <n v="0"/>
    <n v="0"/>
  </r>
  <r>
    <x v="1435"/>
    <x v="231"/>
    <s v="NLIX00003037"/>
    <x v="0"/>
    <s v="Thematic"/>
    <m/>
    <s v="ESC50"/>
    <s v="Euronext Amsterdam"/>
    <s v="Non-significant benchmark"/>
    <n v="0"/>
    <n v="0"/>
    <n v="0"/>
    <n v="0"/>
    <n v="0"/>
    <n v="0"/>
    <n v="0"/>
  </r>
  <r>
    <x v="1436"/>
    <x v="231"/>
    <s v="NLIX00003003"/>
    <x v="0"/>
    <s v="Thematic"/>
    <m/>
    <s v="EUSCG"/>
    <s v="Euronext Amsterdam"/>
    <s v="Non-significant benchmark"/>
    <n v="0"/>
    <n v="0"/>
    <n v="0"/>
    <n v="0"/>
    <n v="0"/>
    <n v="0"/>
    <n v="0"/>
  </r>
  <r>
    <x v="1437"/>
    <x v="231"/>
    <s v="NLIX00003011"/>
    <x v="0"/>
    <s v="Thematic"/>
    <m/>
    <s v="EUSCN"/>
    <s v="Euronext Amsterdam"/>
    <s v="Non-significant benchmark"/>
    <n v="0"/>
    <n v="0"/>
    <n v="0"/>
    <n v="0"/>
    <n v="0"/>
    <n v="0"/>
    <n v="0"/>
  </r>
  <r>
    <x v="1438"/>
    <x v="232"/>
    <s v="NLIX00002161"/>
    <x v="0"/>
    <s v="Country"/>
    <m/>
    <s v="EUSGT"/>
    <s v="Euronext Amsterdam"/>
    <s v="Non-significant benchmark"/>
    <n v="0"/>
    <n v="0"/>
    <n v="0"/>
    <n v="0"/>
    <n v="0"/>
    <n v="0"/>
    <n v="0"/>
  </r>
  <r>
    <x v="1439"/>
    <x v="232"/>
    <s v="NLIX00002153"/>
    <x v="0"/>
    <s v="Country"/>
    <m/>
    <s v="EUSNT"/>
    <s v="Euronext Amsterdam"/>
    <s v="Non-significant benchmark"/>
    <n v="0"/>
    <n v="0"/>
    <n v="0"/>
    <n v="0"/>
    <n v="0"/>
    <n v="0"/>
    <n v="0"/>
  </r>
  <r>
    <x v="1440"/>
    <x v="232"/>
    <s v="NLIX00002146"/>
    <x v="0"/>
    <s v="Country"/>
    <m/>
    <s v="EUSPT"/>
    <s v="Euronext Amsterdam"/>
    <s v="Non-significant benchmark"/>
    <n v="0"/>
    <n v="0"/>
    <n v="0"/>
    <n v="0"/>
    <n v="0"/>
    <n v="0"/>
    <n v="0"/>
  </r>
  <r>
    <x v="1441"/>
    <x v="233"/>
    <s v="NLIX00001569"/>
    <x v="0"/>
    <s v="International"/>
    <m/>
    <s v="ENWPE"/>
    <s v="Euronext Amsterdam"/>
    <s v="Non-significant benchmark"/>
    <n v="0"/>
    <n v="0"/>
    <n v="0"/>
    <n v="0"/>
    <n v="0"/>
    <n v="0"/>
    <n v="0"/>
  </r>
  <r>
    <x v="1442"/>
    <x v="234"/>
    <s v="FRIX00002777"/>
    <x v="1"/>
    <s v="International"/>
    <m/>
    <s v="WIFRP"/>
    <s v="Euronext Paris"/>
    <s v="Non-significant benchmark"/>
    <n v="0"/>
    <n v="0"/>
    <n v="0"/>
    <n v="0"/>
    <n v="0"/>
    <n v="0"/>
    <n v="0"/>
  </r>
  <r>
    <x v="1443"/>
    <x v="234"/>
    <s v="FRIX00002801"/>
    <x v="1"/>
    <s v="International"/>
    <m/>
    <s v="WIFRD"/>
    <s v="Euronext Paris"/>
    <s v="Non-significant benchmark"/>
    <n v="0"/>
    <n v="0"/>
    <n v="0"/>
    <n v="0"/>
    <n v="0"/>
    <n v="0"/>
    <n v="0"/>
  </r>
  <r>
    <x v="1444"/>
    <x v="234"/>
    <s v="FRIX00002793"/>
    <x v="1"/>
    <s v="International"/>
    <m/>
    <s v="WIFRG"/>
    <s v="Euronext Paris"/>
    <s v="Non-significant benchmark"/>
    <n v="0"/>
    <n v="0"/>
    <n v="0"/>
    <n v="0"/>
    <n v="0"/>
    <n v="0"/>
    <n v="0"/>
  </r>
  <r>
    <x v="1445"/>
    <x v="234"/>
    <s v="FRIX00002785"/>
    <x v="1"/>
    <s v="International"/>
    <m/>
    <s v="WIFRN"/>
    <s v="Euronext Paris"/>
    <s v="Non-significant benchmark"/>
    <n v="0"/>
    <n v="0"/>
    <n v="0"/>
    <n v="0"/>
    <n v="0"/>
    <n v="0"/>
    <n v="0"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  <r>
    <x v="1446"/>
    <x v="235"/>
    <m/>
    <x v="2"/>
    <m/>
    <m/>
    <m/>
    <m/>
    <m/>
    <m/>
    <m/>
    <m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915">
  <r>
    <x v="0"/>
    <x v="0"/>
    <s v="QS0011131990"/>
    <s v="No"/>
    <s v="Country"/>
    <m/>
    <s v="AEXGR"/>
    <s v="Euronext Amsterdam"/>
    <s v="Significant Benchmark"/>
    <n v="0"/>
    <n v="0"/>
    <n v="0"/>
    <n v="0"/>
    <n v="0"/>
    <n v="0"/>
    <n v="0"/>
    <x v="0"/>
  </r>
  <r>
    <x v="1"/>
    <x v="0"/>
    <s v="QS0011211156"/>
    <s v="No"/>
    <s v="Country"/>
    <m/>
    <s v="AEXNR"/>
    <s v="Euronext Amsterdam"/>
    <s v="Significant Benchmark"/>
    <n v="0"/>
    <n v="0"/>
    <n v="0"/>
    <n v="677345850.85687852"/>
    <n v="0"/>
    <n v="0"/>
    <n v="677345850.85687852"/>
    <x v="0"/>
  </r>
  <r>
    <x v="2"/>
    <x v="0"/>
    <s v="NL0000000107"/>
    <s v="No"/>
    <s v="Country"/>
    <m/>
    <s v="AEX"/>
    <s v="Euronext Amsterdam"/>
    <s v="Significant Benchmark"/>
    <n v="0"/>
    <n v="0"/>
    <n v="0"/>
    <n v="312464196"/>
    <n v="129973354484.88991"/>
    <n v="5109788683.8999996"/>
    <n v="135395607364.7899"/>
    <x v="0"/>
  </r>
  <r>
    <x v="3"/>
    <x v="1"/>
    <s v="BE0389555039"/>
    <s v="No"/>
    <s v="Country"/>
    <m/>
    <s v="BEL20"/>
    <s v="Euronext Brussels"/>
    <s v="Significant Benchmark"/>
    <n v="0"/>
    <n v="16859000"/>
    <n v="0"/>
    <n v="0"/>
    <n v="98109395.779999986"/>
    <n v="0"/>
    <n v="114968395.77999999"/>
    <x v="0"/>
  </r>
  <r>
    <x v="4"/>
    <x v="1"/>
    <s v="BE0389557050"/>
    <s v="No"/>
    <s v="Country"/>
    <m/>
    <s v="BEL2I"/>
    <s v="Euronext Brussels"/>
    <s v="Significant Benchmark"/>
    <n v="0"/>
    <n v="0"/>
    <n v="0"/>
    <n v="0"/>
    <n v="0"/>
    <n v="0"/>
    <n v="0"/>
    <x v="0"/>
  </r>
  <r>
    <x v="5"/>
    <x v="1"/>
    <s v="BE0389558066"/>
    <s v="No"/>
    <s v="Country"/>
    <m/>
    <s v="BEL2P"/>
    <s v="Euronext Brussels"/>
    <s v="Significant Benchmark"/>
    <n v="0"/>
    <n v="0"/>
    <n v="0"/>
    <n v="254158873"/>
    <n v="0"/>
    <n v="0"/>
    <n v="254158873"/>
    <x v="0"/>
  </r>
  <r>
    <x v="6"/>
    <x v="2"/>
    <s v="FR0003500008"/>
    <s v="No"/>
    <s v="Country"/>
    <m/>
    <s v="PX1"/>
    <s v="Euronext Paris"/>
    <s v="Significant Benchmark"/>
    <n v="6400000"/>
    <n v="1604993593.3999999"/>
    <n v="844402509.87160003"/>
    <n v="5314663.8350424878"/>
    <n v="155503185450.1496"/>
    <n v="22550396339.600002"/>
    <n v="178903298963.45627"/>
    <x v="0"/>
  </r>
  <r>
    <x v="7"/>
    <x v="2"/>
    <s v="QS0011131834"/>
    <s v="No"/>
    <s v="Country"/>
    <m/>
    <s v="PX1GR"/>
    <s v="Euronext Paris"/>
    <s v="Significant Benchmark"/>
    <n v="0"/>
    <n v="0"/>
    <n v="0"/>
    <n v="4378847212.6000004"/>
    <n v="297750"/>
    <n v="0"/>
    <n v="4379144962.6000004"/>
    <x v="0"/>
  </r>
  <r>
    <x v="8"/>
    <x v="2"/>
    <s v="QS0011131826"/>
    <s v="No"/>
    <s v="Country"/>
    <m/>
    <s v="PX1NR"/>
    <s v="Euronext Paris"/>
    <s v="Significant Benchmark"/>
    <n v="0"/>
    <n v="0"/>
    <n v="0"/>
    <n v="13336241280.458595"/>
    <n v="830000"/>
    <n v="0"/>
    <n v="13337071280.458595"/>
    <x v="0"/>
  </r>
  <r>
    <x v="9"/>
    <x v="3"/>
    <s v="IE00B0500264"/>
    <s v="No"/>
    <s v="Country"/>
    <m/>
    <s v="ISE20"/>
    <s v="Euronext Dublin"/>
    <s v="Significant Benchmark"/>
    <n v="0"/>
    <n v="0"/>
    <n v="0"/>
    <n v="0"/>
    <n v="0"/>
    <n v="0"/>
    <n v="0"/>
    <x v="0"/>
  </r>
  <r>
    <x v="10"/>
    <x v="3"/>
    <s v="IE00B0500488"/>
    <s v="No"/>
    <s v="Country"/>
    <m/>
    <s v="ISE2G"/>
    <s v="Euronext Dublin"/>
    <s v="Significant Benchmark"/>
    <n v="0"/>
    <n v="0"/>
    <n v="0"/>
    <n v="0"/>
    <n v="0"/>
    <n v="0"/>
    <n v="0"/>
    <x v="0"/>
  </r>
  <r>
    <x v="11"/>
    <x v="4"/>
    <s v="PTING0200002"/>
    <s v="No"/>
    <s v="Country"/>
    <m/>
    <s v="PSI20"/>
    <s v="Euronext Lisbon"/>
    <s v="Significant Benchmark"/>
    <n v="0"/>
    <n v="0"/>
    <n v="0"/>
    <n v="46327741"/>
    <n v="170404935.03"/>
    <n v="89588556"/>
    <n v="306321232.02999997"/>
    <x v="0"/>
  </r>
  <r>
    <x v="12"/>
    <x v="4"/>
    <s v="PTING0210001"/>
    <s v="No"/>
    <s v="Country"/>
    <m/>
    <s v="PSITR"/>
    <s v="Euronext Lisbon"/>
    <s v="Significant Benchmark"/>
    <n v="0"/>
    <n v="0"/>
    <n v="0"/>
    <n v="301958144.69999993"/>
    <n v="0"/>
    <n v="0"/>
    <n v="301958144.69999993"/>
    <x v="0"/>
  </r>
  <r>
    <x v="13"/>
    <x v="4"/>
    <s v="QS0011211180"/>
    <s v="No"/>
    <s v="Country"/>
    <m/>
    <s v="PSINR"/>
    <s v="Euronext Lisbon"/>
    <s v="Significant Benchmark"/>
    <n v="0"/>
    <n v="0"/>
    <n v="0"/>
    <n v="0"/>
    <n v="0"/>
    <n v="0"/>
    <n v="0"/>
    <x v="0"/>
  </r>
  <r>
    <x v="14"/>
    <x v="0"/>
    <s v="NL0010614491"/>
    <s v="No"/>
    <s v="Country"/>
    <m/>
    <s v="AEXAT"/>
    <s v="Euronext Amsterdam"/>
    <s v="Non-significant benchmark"/>
    <n v="0"/>
    <n v="0"/>
    <n v="0"/>
    <n v="0"/>
    <n v="0"/>
    <n v="0"/>
    <n v="0"/>
    <x v="1"/>
  </r>
  <r>
    <x v="15"/>
    <x v="0"/>
    <s v="NL0010614541"/>
    <s v="No"/>
    <s v="Country"/>
    <m/>
    <s v="ATAWG"/>
    <s v="Euronext Amsterdam"/>
    <s v="Non-significant benchmark"/>
    <n v="0"/>
    <n v="0"/>
    <n v="0"/>
    <n v="0"/>
    <n v="0"/>
    <n v="0"/>
    <n v="0"/>
    <x v="1"/>
  </r>
  <r>
    <x v="16"/>
    <x v="0"/>
    <s v="NL0010614533"/>
    <s v="No"/>
    <s v="Country"/>
    <m/>
    <s v="ATAWN"/>
    <s v="Euronext Amsterdam"/>
    <s v="Non-significant benchmark"/>
    <n v="0"/>
    <n v="0"/>
    <n v="0"/>
    <n v="515734000"/>
    <n v="0"/>
    <n v="0"/>
    <n v="515734000"/>
    <x v="1"/>
  </r>
  <r>
    <x v="17"/>
    <x v="0"/>
    <s v="NL0010614525"/>
    <s v="No"/>
    <s v="Country"/>
    <m/>
    <s v="AETAW"/>
    <s v="Euronext Amsterdam"/>
    <s v="Non-significant benchmark"/>
    <n v="0"/>
    <n v="0"/>
    <n v="0"/>
    <n v="0"/>
    <n v="0"/>
    <n v="0"/>
    <n v="0"/>
    <x v="1"/>
  </r>
  <r>
    <x v="18"/>
    <x v="0"/>
    <s v="NL0010614517"/>
    <s v="No"/>
    <s v="Country"/>
    <m/>
    <s v="AEXTG"/>
    <s v="Euronext Amsterdam"/>
    <s v="Non-significant benchmark"/>
    <n v="0"/>
    <n v="0"/>
    <n v="0"/>
    <n v="0"/>
    <n v="0"/>
    <n v="0"/>
    <n v="0"/>
    <x v="1"/>
  </r>
  <r>
    <x v="19"/>
    <x v="0"/>
    <s v="NL0010614509"/>
    <s v="No"/>
    <s v="Country"/>
    <m/>
    <s v="AEXTN"/>
    <s v="Euronext Amsterdam"/>
    <s v="Non-significant benchmark"/>
    <n v="0"/>
    <n v="0"/>
    <n v="0"/>
    <n v="0"/>
    <n v="0"/>
    <n v="0"/>
    <n v="0"/>
    <x v="1"/>
  </r>
  <r>
    <x v="20"/>
    <x v="0"/>
    <s v="QS0011204763"/>
    <s v="No"/>
    <s v="Country"/>
    <m/>
    <s v="AMXGR"/>
    <s v="Euronext Amsterdam"/>
    <s v="Non-significant benchmark"/>
    <n v="0"/>
    <n v="0"/>
    <n v="0"/>
    <n v="0"/>
    <n v="0"/>
    <n v="0"/>
    <n v="0"/>
    <x v="1"/>
  </r>
  <r>
    <x v="21"/>
    <x v="0"/>
    <s v="QS0011211164"/>
    <s v="No"/>
    <s v="Country"/>
    <m/>
    <s v="AMXNR"/>
    <s v="Euronext Amsterdam"/>
    <s v="Non-significant benchmark"/>
    <n v="0"/>
    <n v="0"/>
    <n v="0"/>
    <n v="0"/>
    <n v="0"/>
    <n v="0"/>
    <n v="0"/>
    <x v="1"/>
  </r>
  <r>
    <x v="22"/>
    <x v="0"/>
    <s v="NL0000249274"/>
    <s v="No"/>
    <s v="Country"/>
    <m/>
    <s v="AMX"/>
    <s v="Euronext Amsterdam"/>
    <s v="Non-significant benchmark"/>
    <n v="0"/>
    <n v="0"/>
    <n v="0"/>
    <n v="20265013"/>
    <n v="33210000"/>
    <n v="0"/>
    <n v="53475013"/>
    <x v="1"/>
  </r>
  <r>
    <x v="23"/>
    <x v="0"/>
    <s v="QS0011204995"/>
    <s v="No"/>
    <s v="Country"/>
    <m/>
    <s v="ASCXG"/>
    <s v="Euronext Amsterdam"/>
    <s v="Non-significant benchmark"/>
    <n v="0"/>
    <n v="0"/>
    <n v="0"/>
    <n v="0"/>
    <n v="0"/>
    <n v="0"/>
    <n v="0"/>
    <x v="1"/>
  </r>
  <r>
    <x v="24"/>
    <x v="0"/>
    <s v="QS0011211172"/>
    <s v="No"/>
    <s v="Country"/>
    <m/>
    <s v="ASCXN"/>
    <s v="Euronext Amsterdam"/>
    <s v="Non-significant benchmark"/>
    <n v="0"/>
    <n v="0"/>
    <n v="0"/>
    <n v="0"/>
    <n v="0"/>
    <n v="0"/>
    <n v="0"/>
    <x v="1"/>
  </r>
  <r>
    <x v="25"/>
    <x v="0"/>
    <s v="NL0000249142"/>
    <s v="No"/>
    <s v="Country"/>
    <m/>
    <s v="ASCX"/>
    <s v="Euronext Amsterdam"/>
    <s v="Non-significant benchmark"/>
    <n v="0"/>
    <n v="0"/>
    <n v="0"/>
    <n v="0"/>
    <n v="617600"/>
    <n v="0"/>
    <n v="617600"/>
    <x v="1"/>
  </r>
  <r>
    <x v="26"/>
    <x v="5"/>
    <s v="NL0000249100"/>
    <s v="No"/>
    <s v="Country"/>
    <m/>
    <s v="AAX"/>
    <s v="Euronext Amsterdam"/>
    <s v="Non-significant benchmark"/>
    <n v="0"/>
    <n v="0"/>
    <n v="0"/>
    <n v="0"/>
    <n v="0"/>
    <n v="0"/>
    <n v="0"/>
    <x v="1"/>
  </r>
  <r>
    <x v="27"/>
    <x v="5"/>
    <s v="QS0011224977"/>
    <s v="No"/>
    <s v="Country"/>
    <m/>
    <s v="AAXG"/>
    <s v="Euronext Amsterdam"/>
    <s v="Non-significant benchmark"/>
    <n v="0"/>
    <n v="0"/>
    <n v="0"/>
    <n v="0"/>
    <n v="0"/>
    <n v="0"/>
    <n v="0"/>
    <x v="1"/>
  </r>
  <r>
    <x v="28"/>
    <x v="5"/>
    <s v="QS0011016480"/>
    <s v="No"/>
    <s v="Industry"/>
    <m/>
    <s v="NLBM"/>
    <s v="Euronext Amsterdam"/>
    <s v="Non-significant benchmark"/>
    <n v="0"/>
    <n v="0"/>
    <n v="0"/>
    <n v="0"/>
    <n v="0"/>
    <n v="0"/>
    <n v="0"/>
    <x v="1"/>
  </r>
  <r>
    <x v="29"/>
    <x v="5"/>
    <s v="QS0011225396"/>
    <s v="No"/>
    <s v="Industry"/>
    <m/>
    <s v="NLBMG"/>
    <s v="Euronext Amsterdam"/>
    <s v="Non-significant benchmark"/>
    <n v="0"/>
    <n v="0"/>
    <n v="0"/>
    <n v="0"/>
    <n v="0"/>
    <n v="0"/>
    <n v="0"/>
    <x v="1"/>
  </r>
  <r>
    <x v="30"/>
    <x v="5"/>
    <s v="QS0011016530"/>
    <s v="No"/>
    <s v="Industry"/>
    <m/>
    <s v="NLCG"/>
    <s v="Euronext Amsterdam"/>
    <s v="Non-significant benchmark"/>
    <n v="0"/>
    <n v="0"/>
    <n v="0"/>
    <n v="0"/>
    <n v="0"/>
    <n v="0"/>
    <n v="0"/>
    <x v="1"/>
  </r>
  <r>
    <x v="31"/>
    <x v="5"/>
    <s v="QS0011225404"/>
    <s v="No"/>
    <s v="Industry"/>
    <m/>
    <s v="NLCGG"/>
    <s v="Euronext Amsterdam"/>
    <s v="Non-significant benchmark"/>
    <n v="0"/>
    <n v="0"/>
    <n v="0"/>
    <n v="0"/>
    <n v="0"/>
    <n v="0"/>
    <n v="0"/>
    <x v="1"/>
  </r>
  <r>
    <x v="32"/>
    <x v="5"/>
    <s v="QS0011016563"/>
    <s v="No"/>
    <s v="Industry"/>
    <m/>
    <s v="NLCS"/>
    <s v="Euronext Amsterdam"/>
    <s v="Non-significant benchmark"/>
    <n v="0"/>
    <n v="0"/>
    <n v="0"/>
    <n v="0"/>
    <n v="0"/>
    <n v="0"/>
    <n v="0"/>
    <x v="1"/>
  </r>
  <r>
    <x v="33"/>
    <x v="5"/>
    <s v="QS0011225420"/>
    <s v="No"/>
    <s v="Industry"/>
    <m/>
    <s v="NLCSG"/>
    <s v="Euronext Amsterdam"/>
    <s v="Non-significant benchmark"/>
    <n v="0"/>
    <n v="0"/>
    <n v="0"/>
    <n v="0"/>
    <n v="0"/>
    <n v="0"/>
    <n v="0"/>
    <x v="1"/>
  </r>
  <r>
    <x v="34"/>
    <x v="5"/>
    <s v="QS0011016472"/>
    <s v="No"/>
    <s v="Industry"/>
    <m/>
    <s v="NLOG"/>
    <s v="Euronext Amsterdam"/>
    <s v="Non-significant benchmark"/>
    <n v="0"/>
    <n v="0"/>
    <n v="0"/>
    <n v="0"/>
    <n v="0"/>
    <n v="0"/>
    <n v="0"/>
    <x v="1"/>
  </r>
  <r>
    <x v="35"/>
    <x v="5"/>
    <s v="QS0011224829"/>
    <s v="No"/>
    <s v="Industry"/>
    <m/>
    <s v="NLOGG"/>
    <s v="Euronext Amsterdam"/>
    <s v="Non-significant benchmark"/>
    <n v="0"/>
    <n v="0"/>
    <n v="0"/>
    <n v="0"/>
    <n v="0"/>
    <n v="0"/>
    <n v="0"/>
    <x v="1"/>
  </r>
  <r>
    <x v="36"/>
    <x v="5"/>
    <s v="QS0011016605"/>
    <s v="No"/>
    <s v="Industry"/>
    <m/>
    <s v="NLFIN"/>
    <s v="Euronext Amsterdam"/>
    <s v="Non-significant benchmark"/>
    <n v="0"/>
    <n v="0"/>
    <n v="0"/>
    <n v="0"/>
    <n v="0"/>
    <n v="0"/>
    <n v="0"/>
    <x v="1"/>
  </r>
  <r>
    <x v="37"/>
    <x v="5"/>
    <s v="QS0011224522"/>
    <s v="No"/>
    <s v="Industry"/>
    <m/>
    <s v="NLFNG"/>
    <s v="Euronext Amsterdam"/>
    <s v="Non-significant benchmark"/>
    <n v="0"/>
    <n v="0"/>
    <n v="0"/>
    <n v="0"/>
    <n v="0"/>
    <n v="0"/>
    <n v="0"/>
    <x v="1"/>
  </r>
  <r>
    <x v="38"/>
    <x v="5"/>
    <s v="QS0011016555"/>
    <s v="No"/>
    <s v="Industry"/>
    <m/>
    <s v="NLHC"/>
    <s v="Euronext Amsterdam"/>
    <s v="Non-significant benchmark"/>
    <n v="0"/>
    <n v="0"/>
    <n v="0"/>
    <n v="0"/>
    <n v="0"/>
    <n v="0"/>
    <n v="0"/>
    <x v="1"/>
  </r>
  <r>
    <x v="39"/>
    <x v="5"/>
    <s v="QS0011224589"/>
    <s v="No"/>
    <s v="Industry"/>
    <m/>
    <s v="NLHCG"/>
    <s v="Euronext Amsterdam"/>
    <s v="Non-significant benchmark"/>
    <n v="0"/>
    <n v="0"/>
    <n v="0"/>
    <n v="0"/>
    <n v="0"/>
    <n v="0"/>
    <n v="0"/>
    <x v="1"/>
  </r>
  <r>
    <x v="40"/>
    <x v="5"/>
    <s v="QS0011016506"/>
    <s v="No"/>
    <s v="Industry"/>
    <m/>
    <s v="NLIN"/>
    <s v="Euronext Amsterdam"/>
    <s v="Non-significant benchmark"/>
    <n v="0"/>
    <n v="0"/>
    <n v="0"/>
    <n v="0"/>
    <n v="0"/>
    <n v="0"/>
    <n v="0"/>
    <x v="1"/>
  </r>
  <r>
    <x v="41"/>
    <x v="5"/>
    <s v="QS0011224662"/>
    <s v="No"/>
    <s v="Industry"/>
    <m/>
    <s v="NLING"/>
    <s v="Euronext Amsterdam"/>
    <s v="Non-significant benchmark"/>
    <n v="0"/>
    <n v="0"/>
    <n v="0"/>
    <n v="0"/>
    <n v="0"/>
    <n v="0"/>
    <n v="0"/>
    <x v="1"/>
  </r>
  <r>
    <x v="42"/>
    <x v="5"/>
    <s v="NL0014787053"/>
    <s v="No"/>
    <s v="Industry"/>
    <m/>
    <s v="NLRE"/>
    <s v="Euronext Amsterdam"/>
    <s v="Non-significant benchmark"/>
    <n v="0"/>
    <n v="0"/>
    <n v="0"/>
    <n v="0"/>
    <n v="0"/>
    <n v="0"/>
    <n v="0"/>
    <x v="1"/>
  </r>
  <r>
    <x v="43"/>
    <x v="5"/>
    <s v="NL0014787061"/>
    <s v="No"/>
    <s v="Industry"/>
    <m/>
    <s v="NLREG"/>
    <s v="Euronext Amsterdam"/>
    <s v="Non-significant benchmark"/>
    <n v="0"/>
    <n v="0"/>
    <n v="0"/>
    <n v="0"/>
    <n v="0"/>
    <n v="0"/>
    <n v="0"/>
    <x v="1"/>
  </r>
  <r>
    <x v="44"/>
    <x v="5"/>
    <s v="QS0011016613"/>
    <s v="No"/>
    <s v="Industry"/>
    <m/>
    <s v="NLTEC"/>
    <s v="Euronext Amsterdam"/>
    <s v="Non-significant benchmark"/>
    <n v="0"/>
    <n v="0"/>
    <n v="0"/>
    <n v="0"/>
    <n v="0"/>
    <n v="0"/>
    <n v="0"/>
    <x v="1"/>
  </r>
  <r>
    <x v="45"/>
    <x v="5"/>
    <s v="QS0011224936"/>
    <s v="No"/>
    <s v="Industry"/>
    <m/>
    <s v="NLTCG"/>
    <s v="Euronext Amsterdam"/>
    <s v="Non-significant benchmark"/>
    <n v="0"/>
    <n v="0"/>
    <n v="0"/>
    <n v="0"/>
    <n v="0"/>
    <n v="0"/>
    <n v="0"/>
    <x v="1"/>
  </r>
  <r>
    <x v="46"/>
    <x v="5"/>
    <s v="QS0011016589"/>
    <s v="No"/>
    <s v="Industry"/>
    <m/>
    <s v="NLTEL"/>
    <s v="Euronext Amsterdam"/>
    <s v="Non-significant benchmark"/>
    <n v="0"/>
    <n v="0"/>
    <n v="0"/>
    <n v="0"/>
    <n v="0"/>
    <n v="0"/>
    <n v="0"/>
    <x v="1"/>
  </r>
  <r>
    <x v="47"/>
    <x v="5"/>
    <s v="QS0011224944"/>
    <s v="No"/>
    <s v="Industry"/>
    <m/>
    <s v="NLTLG"/>
    <s v="Euronext Amsterdam"/>
    <s v="Non-significant benchmark"/>
    <n v="0"/>
    <n v="0"/>
    <n v="0"/>
    <n v="0"/>
    <n v="0"/>
    <n v="0"/>
    <n v="0"/>
    <x v="1"/>
  </r>
  <r>
    <x v="48"/>
    <x v="5"/>
    <s v="NL00150006J3"/>
    <s v="No"/>
    <s v="Industry"/>
    <m/>
    <s v="NLUT"/>
    <s v="Euronext Amsterdam"/>
    <s v="Non-significant benchmark"/>
    <n v="0"/>
    <n v="0"/>
    <n v="0"/>
    <n v="0"/>
    <n v="0"/>
    <n v="0"/>
    <n v="0"/>
    <x v="1"/>
  </r>
  <r>
    <x v="49"/>
    <x v="5"/>
    <s v="NL00150006K1"/>
    <s v="No"/>
    <s v="Industry"/>
    <m/>
    <s v="NLUTG"/>
    <s v="Euronext Amsterdam"/>
    <s v="Non-significant benchmark"/>
    <n v="0"/>
    <n v="0"/>
    <n v="0"/>
    <n v="0"/>
    <n v="0"/>
    <n v="0"/>
    <n v="0"/>
    <x v="1"/>
  </r>
  <r>
    <x v="50"/>
    <x v="6"/>
    <s v="NLESG0000030"/>
    <s v="Yes"/>
    <s v="Broad ESG"/>
    <s v="ESG Other"/>
    <s v="AESGG"/>
    <s v="Euronext Amsterdam"/>
    <s v="Non-significant benchmark"/>
    <n v="0"/>
    <n v="0"/>
    <n v="0"/>
    <n v="0"/>
    <n v="0"/>
    <n v="0"/>
    <n v="0"/>
    <x v="0"/>
  </r>
  <r>
    <x v="51"/>
    <x v="6"/>
    <s v="NLESG0000022"/>
    <s v="Yes"/>
    <s v="Broad ESG"/>
    <s v="ESG Other"/>
    <s v="AESGN"/>
    <s v="Euronext Amsterdam"/>
    <s v="Non-significant benchmark"/>
    <n v="0"/>
    <n v="0"/>
    <n v="0"/>
    <n v="0"/>
    <n v="0"/>
    <n v="0"/>
    <n v="0"/>
    <x v="0"/>
  </r>
  <r>
    <x v="52"/>
    <x v="6"/>
    <s v="NLESG0000014"/>
    <s v="Yes"/>
    <s v="Broad ESG"/>
    <s v="ESG Other"/>
    <s v="AESGP"/>
    <s v="Euronext Amsterdam"/>
    <s v="Non-significant benchmark"/>
    <n v="0"/>
    <n v="0"/>
    <n v="0"/>
    <n v="0"/>
    <n v="0"/>
    <n v="0"/>
    <n v="0"/>
    <x v="0"/>
  </r>
  <r>
    <x v="53"/>
    <x v="7"/>
    <s v="QS0011158126"/>
    <s v="No"/>
    <s v="Strategy"/>
    <m/>
    <s v="AEXDI"/>
    <s v="Euronext Amsterdam"/>
    <s v="Non-significant benchmark"/>
    <n v="0"/>
    <n v="0"/>
    <n v="0"/>
    <n v="0"/>
    <n v="0"/>
    <n v="470000"/>
    <n v="470000"/>
    <x v="1"/>
  </r>
  <r>
    <x v="54"/>
    <x v="8"/>
    <s v="QS0011159744"/>
    <s v="No"/>
    <s v="Country"/>
    <m/>
    <s v="AEXEW"/>
    <s v="Euronext Amsterdam"/>
    <s v="Non-significant benchmark"/>
    <n v="0"/>
    <n v="0"/>
    <n v="0"/>
    <n v="0"/>
    <n v="0"/>
    <n v="0"/>
    <n v="0"/>
    <x v="1"/>
  </r>
  <r>
    <x v="55"/>
    <x v="8"/>
    <s v="QS0011211222"/>
    <s v="No"/>
    <s v="Country"/>
    <m/>
    <s v="AEXEG"/>
    <s v="Euronext Amsterdam"/>
    <s v="Non-significant benchmark"/>
    <n v="0"/>
    <n v="0"/>
    <n v="0"/>
    <n v="0"/>
    <n v="0"/>
    <n v="0"/>
    <n v="0"/>
    <x v="1"/>
  </r>
  <r>
    <x v="56"/>
    <x v="8"/>
    <s v="QS0011211206"/>
    <s v="No"/>
    <s v="Country"/>
    <m/>
    <s v="AEXEN"/>
    <s v="Euronext Amsterdam"/>
    <s v="Non-significant benchmark"/>
    <n v="0"/>
    <n v="0"/>
    <n v="0"/>
    <n v="0"/>
    <n v="0"/>
    <n v="0"/>
    <n v="0"/>
    <x v="1"/>
  </r>
  <r>
    <x v="57"/>
    <x v="9"/>
    <s v="QS0011257225"/>
    <s v="No"/>
    <e v="#N/A"/>
    <m/>
    <s v="AEEXT"/>
    <s v="Euronext Amsterdam"/>
    <s v="Non-significant benchmark"/>
    <n v="0"/>
    <n v="0"/>
    <n v="0"/>
    <n v="0"/>
    <n v="0"/>
    <n v="0"/>
    <n v="0"/>
    <x v="2"/>
  </r>
  <r>
    <x v="58"/>
    <x v="1"/>
    <s v="BE0389856130"/>
    <s v="No"/>
    <s v="Country"/>
    <m/>
    <s v="BELM"/>
    <s v="Euronext Brussels"/>
    <s v="Non-significant benchmark"/>
    <n v="0"/>
    <n v="0"/>
    <n v="0"/>
    <n v="0"/>
    <n v="0"/>
    <n v="0"/>
    <n v="0"/>
    <x v="1"/>
  </r>
  <r>
    <x v="59"/>
    <x v="1"/>
    <s v="QS0011211230"/>
    <s v="No"/>
    <s v="Country"/>
    <m/>
    <s v="BELMG"/>
    <s v="Euronext Brussels"/>
    <s v="Non-significant benchmark"/>
    <n v="0"/>
    <n v="0"/>
    <n v="0"/>
    <n v="0"/>
    <n v="0"/>
    <n v="0"/>
    <n v="0"/>
    <x v="1"/>
  </r>
  <r>
    <x v="60"/>
    <x v="1"/>
    <s v="BE0389561094"/>
    <s v="No"/>
    <s v="Country"/>
    <m/>
    <s v="BELMC"/>
    <s v="Euronext Brussels"/>
    <s v="Non-significant benchmark"/>
    <n v="0"/>
    <n v="0"/>
    <n v="0"/>
    <n v="0"/>
    <n v="0"/>
    <n v="0"/>
    <n v="0"/>
    <x v="1"/>
  </r>
  <r>
    <x v="61"/>
    <x v="1"/>
    <s v="BE0389857146"/>
    <s v="No"/>
    <s v="Country"/>
    <m/>
    <s v="BELS"/>
    <s v="Euronext Brussels"/>
    <s v="Non-significant benchmark"/>
    <n v="0"/>
    <n v="0"/>
    <n v="0"/>
    <n v="0"/>
    <n v="0"/>
    <n v="0"/>
    <n v="0"/>
    <x v="1"/>
  </r>
  <r>
    <x v="62"/>
    <x v="1"/>
    <s v="QS0011211248"/>
    <s v="No"/>
    <s v="Country"/>
    <m/>
    <s v="BELSG"/>
    <s v="Euronext Brussels"/>
    <s v="Non-significant benchmark"/>
    <n v="0"/>
    <n v="0"/>
    <n v="0"/>
    <n v="0"/>
    <n v="0"/>
    <n v="0"/>
    <n v="0"/>
    <x v="1"/>
  </r>
  <r>
    <x v="63"/>
    <x v="1"/>
    <s v="BE0389556045"/>
    <s v="No"/>
    <s v="Country"/>
    <m/>
    <s v="BELSC"/>
    <s v="Euronext Brussels"/>
    <s v="Non-significant benchmark"/>
    <n v="0"/>
    <n v="0"/>
    <n v="0"/>
    <n v="0"/>
    <n v="0"/>
    <n v="0"/>
    <n v="0"/>
    <x v="1"/>
  </r>
  <r>
    <x v="64"/>
    <x v="10"/>
    <s v="BE0389549941"/>
    <s v="No"/>
    <s v="Country"/>
    <m/>
    <s v="BELAS"/>
    <s v="Euronext Brussels"/>
    <s v="Non-significant benchmark"/>
    <n v="0"/>
    <n v="0"/>
    <n v="0"/>
    <n v="0"/>
    <n v="0"/>
    <n v="0"/>
    <n v="0"/>
    <x v="1"/>
  </r>
  <r>
    <x v="65"/>
    <x v="10"/>
    <s v="BE0389550956"/>
    <s v="No"/>
    <s v="Country"/>
    <m/>
    <s v="BELAR"/>
    <s v="Euronext Brussels"/>
    <s v="Non-significant benchmark"/>
    <n v="0"/>
    <n v="0"/>
    <n v="0"/>
    <n v="0"/>
    <n v="0"/>
    <n v="0"/>
    <n v="0"/>
    <x v="1"/>
  </r>
  <r>
    <x v="66"/>
    <x v="10"/>
    <s v="QS0011224910"/>
    <s v="No"/>
    <s v="Industry"/>
    <m/>
    <s v="BEBMP"/>
    <s v="Euronext Brussels"/>
    <s v="Non-significant benchmark"/>
    <n v="0"/>
    <n v="0"/>
    <n v="0"/>
    <n v="0"/>
    <n v="0"/>
    <n v="0"/>
    <n v="0"/>
    <x v="1"/>
  </r>
  <r>
    <x v="67"/>
    <x v="10"/>
    <s v="QS0011016696"/>
    <s v="No"/>
    <s v="Industry"/>
    <m/>
    <s v="BEBM"/>
    <s v="Euronext Brussels"/>
    <s v="Non-significant benchmark"/>
    <n v="0"/>
    <n v="0"/>
    <n v="0"/>
    <n v="0"/>
    <n v="0"/>
    <n v="0"/>
    <n v="0"/>
    <x v="1"/>
  </r>
  <r>
    <x v="68"/>
    <x v="10"/>
    <s v="QS0011225222"/>
    <s v="No"/>
    <s v="Industry"/>
    <m/>
    <s v="BECGP"/>
    <s v="Euronext Brussels"/>
    <s v="Non-significant benchmark"/>
    <n v="0"/>
    <n v="0"/>
    <n v="0"/>
    <n v="0"/>
    <n v="0"/>
    <n v="0"/>
    <n v="0"/>
    <x v="1"/>
  </r>
  <r>
    <x v="69"/>
    <x v="10"/>
    <s v="QS0011016761"/>
    <s v="No"/>
    <s v="Industry"/>
    <m/>
    <s v="BECG"/>
    <s v="Euronext Brussels"/>
    <s v="Non-significant benchmark"/>
    <n v="0"/>
    <n v="0"/>
    <n v="0"/>
    <n v="0"/>
    <n v="0"/>
    <n v="0"/>
    <n v="0"/>
    <x v="1"/>
  </r>
  <r>
    <x v="70"/>
    <x v="10"/>
    <s v="QS0011225156"/>
    <s v="No"/>
    <s v="Industry"/>
    <m/>
    <s v="BECSP"/>
    <s v="Euronext Brussels"/>
    <s v="Non-significant benchmark"/>
    <n v="0"/>
    <n v="0"/>
    <n v="0"/>
    <n v="0"/>
    <n v="0"/>
    <n v="0"/>
    <n v="0"/>
    <x v="1"/>
  </r>
  <r>
    <x v="71"/>
    <x v="10"/>
    <s v="QS0011016829"/>
    <s v="No"/>
    <s v="Industry"/>
    <m/>
    <s v="BECS"/>
    <s v="Euronext Brussels"/>
    <s v="Non-significant benchmark"/>
    <n v="0"/>
    <n v="0"/>
    <n v="0"/>
    <n v="0"/>
    <n v="0"/>
    <n v="0"/>
    <n v="0"/>
    <x v="1"/>
  </r>
  <r>
    <x v="72"/>
    <x v="10"/>
    <s v="QS0011225370"/>
    <s v="No"/>
    <s v="Country"/>
    <m/>
    <s v="BELCP"/>
    <s v="Euronext Brussels"/>
    <s v="Non-significant benchmark"/>
    <n v="0"/>
    <n v="0"/>
    <n v="0"/>
    <n v="0"/>
    <n v="0"/>
    <n v="0"/>
    <n v="0"/>
    <x v="1"/>
  </r>
  <r>
    <x v="73"/>
    <x v="10"/>
    <s v="BE0389552978"/>
    <s v="No"/>
    <s v="Country"/>
    <m/>
    <s v="BELCU"/>
    <s v="Euronext Brussels"/>
    <s v="Non-significant benchmark"/>
    <n v="0"/>
    <n v="0"/>
    <n v="0"/>
    <n v="0"/>
    <n v="0"/>
    <n v="0"/>
    <n v="0"/>
    <x v="1"/>
  </r>
  <r>
    <x v="74"/>
    <x v="10"/>
    <s v="QS0011249248"/>
    <s v="No"/>
    <s v="Industry"/>
    <m/>
    <s v="BEOGP"/>
    <s v="Euronext Brussels"/>
    <s v="Non-significant benchmark"/>
    <n v="0"/>
    <n v="0"/>
    <n v="0"/>
    <n v="0"/>
    <n v="0"/>
    <n v="0"/>
    <n v="0"/>
    <x v="1"/>
  </r>
  <r>
    <x v="75"/>
    <x v="10"/>
    <s v="QS0011249230"/>
    <s v="No"/>
    <s v="Industry"/>
    <m/>
    <s v="BEOG"/>
    <s v="Euronext Brussels"/>
    <s v="Non-significant benchmark"/>
    <n v="0"/>
    <n v="0"/>
    <n v="0"/>
    <n v="0"/>
    <n v="0"/>
    <n v="0"/>
    <n v="0"/>
    <x v="1"/>
  </r>
  <r>
    <x v="76"/>
    <x v="10"/>
    <s v="QS0011225180"/>
    <s v="No"/>
    <s v="Industry"/>
    <m/>
    <s v="BEFIP"/>
    <s v="Euronext Brussels"/>
    <s v="Non-significant benchmark"/>
    <n v="0"/>
    <n v="0"/>
    <n v="0"/>
    <n v="0"/>
    <n v="0"/>
    <n v="0"/>
    <n v="0"/>
    <x v="1"/>
  </r>
  <r>
    <x v="77"/>
    <x v="10"/>
    <s v="QS0011016902"/>
    <s v="No"/>
    <s v="Industry"/>
    <m/>
    <s v="BEFIN"/>
    <s v="Euronext Brussels"/>
    <s v="Non-significant benchmark"/>
    <n v="0"/>
    <n v="0"/>
    <n v="0"/>
    <n v="0"/>
    <n v="0"/>
    <n v="0"/>
    <n v="0"/>
    <x v="1"/>
  </r>
  <r>
    <x v="78"/>
    <x v="10"/>
    <s v="QS0011225206"/>
    <s v="No"/>
    <s v="Industry"/>
    <m/>
    <s v="BEHCP"/>
    <s v="Euronext Brussels"/>
    <s v="Non-significant benchmark"/>
    <n v="0"/>
    <n v="0"/>
    <n v="0"/>
    <n v="0"/>
    <n v="0"/>
    <n v="0"/>
    <n v="0"/>
    <x v="1"/>
  </r>
  <r>
    <x v="79"/>
    <x v="10"/>
    <s v="QS0011016795"/>
    <s v="No"/>
    <s v="Industry"/>
    <m/>
    <s v="BEHC"/>
    <s v="Euronext Brussels"/>
    <s v="Non-significant benchmark"/>
    <n v="0"/>
    <n v="0"/>
    <n v="0"/>
    <n v="0"/>
    <n v="0"/>
    <n v="0"/>
    <n v="0"/>
    <x v="1"/>
  </r>
  <r>
    <x v="80"/>
    <x v="10"/>
    <s v="QS0011225214"/>
    <s v="No"/>
    <s v="Industry"/>
    <m/>
    <s v="BEINP"/>
    <s v="Euronext Brussels"/>
    <s v="Non-significant benchmark"/>
    <n v="0"/>
    <n v="0"/>
    <n v="0"/>
    <n v="0"/>
    <n v="0"/>
    <n v="0"/>
    <n v="0"/>
    <x v="1"/>
  </r>
  <r>
    <x v="81"/>
    <x v="10"/>
    <s v="QS0011016738"/>
    <s v="No"/>
    <s v="Industry"/>
    <m/>
    <s v="BEIN"/>
    <s v="Euronext Brussels"/>
    <s v="Non-significant benchmark"/>
    <n v="0"/>
    <n v="0"/>
    <n v="0"/>
    <n v="0"/>
    <n v="0"/>
    <n v="0"/>
    <n v="0"/>
    <x v="1"/>
  </r>
  <r>
    <x v="82"/>
    <x v="10"/>
    <s v="BE0004643848"/>
    <s v="No"/>
    <s v="Industry"/>
    <m/>
    <s v="BERE"/>
    <s v="Euronext Brussels"/>
    <s v="Non-significant benchmark"/>
    <n v="0"/>
    <n v="0"/>
    <n v="0"/>
    <n v="0"/>
    <n v="0"/>
    <n v="0"/>
    <n v="0"/>
    <x v="1"/>
  </r>
  <r>
    <x v="83"/>
    <x v="10"/>
    <s v="BE0004644853"/>
    <s v="No"/>
    <s v="Industry"/>
    <m/>
    <s v="BEREN"/>
    <s v="Euronext Brussels"/>
    <s v="Non-significant benchmark"/>
    <n v="0"/>
    <n v="0"/>
    <n v="0"/>
    <n v="0"/>
    <n v="0"/>
    <n v="0"/>
    <n v="0"/>
    <x v="1"/>
  </r>
  <r>
    <x v="84"/>
    <x v="10"/>
    <s v="QS0011225172"/>
    <s v="No"/>
    <s v="Industry"/>
    <m/>
    <s v="BETP"/>
    <s v="Euronext Brussels"/>
    <s v="Non-significant benchmark"/>
    <n v="0"/>
    <n v="0"/>
    <n v="0"/>
    <n v="0"/>
    <n v="0"/>
    <n v="0"/>
    <n v="0"/>
    <x v="1"/>
  </r>
  <r>
    <x v="85"/>
    <x v="10"/>
    <s v="QS0011016936"/>
    <s v="No"/>
    <s v="Industry"/>
    <m/>
    <s v="BETEC"/>
    <s v="Euronext Brussels"/>
    <s v="Non-significant benchmark"/>
    <n v="0"/>
    <n v="0"/>
    <n v="0"/>
    <n v="0"/>
    <n v="0"/>
    <n v="0"/>
    <n v="0"/>
    <x v="1"/>
  </r>
  <r>
    <x v="86"/>
    <x v="10"/>
    <s v="QS0011225198"/>
    <s v="No"/>
    <s v="Industry"/>
    <m/>
    <s v="BETEP"/>
    <s v="Euronext Brussels"/>
    <s v="Non-significant benchmark"/>
    <n v="0"/>
    <n v="0"/>
    <n v="0"/>
    <n v="0"/>
    <n v="0"/>
    <n v="0"/>
    <n v="0"/>
    <x v="1"/>
  </r>
  <r>
    <x v="87"/>
    <x v="10"/>
    <s v="QS0011016860"/>
    <s v="No"/>
    <s v="Industry"/>
    <m/>
    <s v="BETEL"/>
    <s v="Euronext Brussels"/>
    <s v="Non-significant benchmark"/>
    <n v="0"/>
    <n v="0"/>
    <n v="0"/>
    <n v="0"/>
    <n v="0"/>
    <n v="0"/>
    <n v="0"/>
    <x v="1"/>
  </r>
  <r>
    <x v="88"/>
    <x v="10"/>
    <s v="QS0011225164"/>
    <s v="No"/>
    <s v="Industry"/>
    <m/>
    <s v="BEUTP"/>
    <s v="Euronext Brussels"/>
    <s v="Non-significant benchmark"/>
    <n v="0"/>
    <n v="0"/>
    <n v="0"/>
    <n v="0"/>
    <n v="0"/>
    <n v="0"/>
    <n v="0"/>
    <x v="1"/>
  </r>
  <r>
    <x v="89"/>
    <x v="10"/>
    <s v="QS0011019005"/>
    <s v="No"/>
    <s v="Industry"/>
    <m/>
    <s v="BEUT"/>
    <s v="Euronext Brussels"/>
    <s v="Non-significant benchmark"/>
    <n v="0"/>
    <n v="0"/>
    <n v="0"/>
    <n v="0"/>
    <n v="0"/>
    <n v="0"/>
    <n v="0"/>
    <x v="1"/>
  </r>
  <r>
    <x v="90"/>
    <x v="2"/>
    <s v="FR0003999499"/>
    <s v="No"/>
    <s v="Country"/>
    <m/>
    <s v="CACT"/>
    <s v="Euronext Paris"/>
    <s v="Non-significant benchmark"/>
    <n v="0"/>
    <n v="0"/>
    <n v="0"/>
    <n v="68800895.599999994"/>
    <n v="0"/>
    <n v="0"/>
    <n v="68800895.599999994"/>
    <x v="1"/>
  </r>
  <r>
    <x v="91"/>
    <x v="2"/>
    <s v="QS0011131891"/>
    <s v="No"/>
    <s v="Country"/>
    <m/>
    <s v="CACTR"/>
    <s v="Euronext Paris"/>
    <s v="Non-significant benchmark"/>
    <n v="0"/>
    <n v="0"/>
    <n v="0"/>
    <n v="0"/>
    <n v="0"/>
    <n v="0"/>
    <n v="0"/>
    <x v="1"/>
  </r>
  <r>
    <x v="92"/>
    <x v="2"/>
    <s v="QS0011131883"/>
    <s v="No"/>
    <s v="Country"/>
    <m/>
    <s v="CACTN"/>
    <s v="Euronext Paris"/>
    <s v="Non-significant benchmark"/>
    <n v="0"/>
    <n v="0"/>
    <n v="0"/>
    <n v="6020738085.8000002"/>
    <n v="0"/>
    <n v="0"/>
    <n v="6020738085.8000002"/>
    <x v="1"/>
  </r>
  <r>
    <x v="93"/>
    <x v="2"/>
    <s v="QS0011213657"/>
    <s v="No"/>
    <s v="Country"/>
    <m/>
    <s v="CACLG"/>
    <s v="Euronext Paris"/>
    <s v="Non-significant benchmark"/>
    <n v="0"/>
    <n v="0"/>
    <n v="0"/>
    <n v="0"/>
    <n v="0"/>
    <n v="0"/>
    <n v="0"/>
    <x v="1"/>
  </r>
  <r>
    <x v="94"/>
    <x v="2"/>
    <s v="QS0011213699"/>
    <s v="No"/>
    <s v="Country"/>
    <m/>
    <s v="CAR"/>
    <s v="Euronext Paris"/>
    <s v="Non-significant benchmark"/>
    <n v="0"/>
    <n v="0"/>
    <n v="0"/>
    <n v="0"/>
    <n v="0"/>
    <n v="0"/>
    <n v="0"/>
    <x v="1"/>
  </r>
  <r>
    <x v="95"/>
    <x v="2"/>
    <s v="QS0011213681"/>
    <s v="No"/>
    <s v="Country"/>
    <m/>
    <s v="CACLN"/>
    <s v="Euronext Paris"/>
    <s v="Non-significant benchmark"/>
    <n v="0"/>
    <n v="0"/>
    <n v="0"/>
    <n v="0"/>
    <n v="0"/>
    <n v="0"/>
    <n v="0"/>
    <x v="1"/>
  </r>
  <r>
    <x v="96"/>
    <x v="2"/>
    <s v="QS0010989133"/>
    <s v="No"/>
    <s v="Country"/>
    <m/>
    <s v="CACMS"/>
    <s v="Euronext Paris"/>
    <s v="Non-significant benchmark"/>
    <n v="0"/>
    <n v="0"/>
    <n v="0"/>
    <n v="173634941"/>
    <n v="0"/>
    <n v="0"/>
    <n v="173634941"/>
    <x v="1"/>
  </r>
  <r>
    <x v="97"/>
    <x v="2"/>
    <s v="QS0011213756"/>
    <s v="No"/>
    <s v="Country"/>
    <m/>
    <s v="CMSG"/>
    <s v="Euronext Paris"/>
    <s v="Non-significant benchmark"/>
    <n v="0"/>
    <n v="0"/>
    <n v="0"/>
    <n v="61233827"/>
    <n v="0"/>
    <n v="0"/>
    <n v="61233827"/>
    <x v="1"/>
  </r>
  <r>
    <x v="98"/>
    <x v="2"/>
    <s v="QS0011213731"/>
    <s v="No"/>
    <s v="Country"/>
    <m/>
    <s v="CMSN"/>
    <s v="Euronext Paris"/>
    <s v="Non-significant benchmark"/>
    <n v="0"/>
    <n v="0"/>
    <n v="0"/>
    <n v="2003383790.2100003"/>
    <n v="0"/>
    <n v="0"/>
    <n v="2003383790.2100003"/>
    <x v="1"/>
  </r>
  <r>
    <x v="99"/>
    <x v="2"/>
    <s v="QS0010989117"/>
    <s v="No"/>
    <s v="Country"/>
    <m/>
    <s v="CACMD"/>
    <s v="Euronext Paris"/>
    <s v="Non-significant benchmark"/>
    <n v="0"/>
    <n v="0"/>
    <n v="0"/>
    <n v="0"/>
    <n v="0"/>
    <n v="0"/>
    <n v="0"/>
    <x v="1"/>
  </r>
  <r>
    <x v="100"/>
    <x v="2"/>
    <s v="FR0013325032"/>
    <s v="No"/>
    <s v="Country"/>
    <m/>
    <s v="CAMID"/>
    <s v="Euronext Paris"/>
    <s v="Non-significant benchmark"/>
    <n v="3600000"/>
    <n v="5000000"/>
    <n v="3232788.4835999999"/>
    <n v="0"/>
    <n v="0"/>
    <n v="0"/>
    <n v="3600000"/>
    <x v="1"/>
  </r>
  <r>
    <x v="101"/>
    <x v="2"/>
    <s v="QS0011131917"/>
    <s v="No"/>
    <s v="Country"/>
    <m/>
    <s v="CACMR"/>
    <s v="Euronext Paris"/>
    <s v="Non-significant benchmark"/>
    <n v="0"/>
    <n v="0"/>
    <n v="0"/>
    <n v="0"/>
    <n v="0"/>
    <n v="0"/>
    <n v="0"/>
    <x v="1"/>
  </r>
  <r>
    <x v="102"/>
    <x v="2"/>
    <s v="QS0011131909"/>
    <s v="No"/>
    <s v="Country"/>
    <m/>
    <s v="CACMN"/>
    <s v="Euronext Paris"/>
    <s v="Non-significant benchmark"/>
    <n v="0"/>
    <n v="0"/>
    <n v="0"/>
    <n v="684657431"/>
    <n v="0"/>
    <n v="0"/>
    <n v="684657431"/>
    <x v="1"/>
  </r>
  <r>
    <x v="103"/>
    <x v="2"/>
    <s v="QS0010989109"/>
    <s v="No"/>
    <s v="Country"/>
    <m/>
    <s v="CN20"/>
    <s v="Euronext Paris"/>
    <s v="Non-significant benchmark"/>
    <n v="0"/>
    <n v="0"/>
    <n v="0"/>
    <n v="0"/>
    <n v="0"/>
    <n v="0"/>
    <n v="0"/>
    <x v="1"/>
  </r>
  <r>
    <x v="104"/>
    <x v="2"/>
    <s v="QS0011224233"/>
    <s v="No"/>
    <s v="Country"/>
    <m/>
    <s v="CN20G"/>
    <s v="Euronext Paris"/>
    <s v="Non-significant benchmark"/>
    <n v="0"/>
    <n v="0"/>
    <n v="0"/>
    <n v="0"/>
    <n v="0"/>
    <n v="0"/>
    <n v="0"/>
    <x v="1"/>
  </r>
  <r>
    <x v="105"/>
    <x v="2"/>
    <s v="QS0011224092"/>
    <s v="No"/>
    <s v="Country"/>
    <m/>
    <s v="CN20N"/>
    <s v="Euronext Paris"/>
    <s v="Non-significant benchmark"/>
    <n v="0"/>
    <n v="0"/>
    <n v="0"/>
    <n v="0"/>
    <n v="2431500"/>
    <n v="0"/>
    <n v="2431500"/>
    <x v="1"/>
  </r>
  <r>
    <x v="106"/>
    <x v="2"/>
    <s v="QS0010989125"/>
    <s v="No"/>
    <s v="Country"/>
    <m/>
    <s v="CACS"/>
    <s v="Euronext Paris"/>
    <s v="Non-significant benchmark"/>
    <n v="0"/>
    <n v="0"/>
    <n v="0"/>
    <n v="0"/>
    <n v="26985000"/>
    <n v="0"/>
    <n v="26985000"/>
    <x v="1"/>
  </r>
  <r>
    <x v="107"/>
    <x v="2"/>
    <s v="QS0011213723"/>
    <s v="No"/>
    <s v="Country"/>
    <m/>
    <s v="CACSR"/>
    <s v="Euronext Paris"/>
    <s v="Non-significant benchmark"/>
    <n v="0"/>
    <n v="0"/>
    <n v="0"/>
    <n v="0"/>
    <n v="0"/>
    <n v="0"/>
    <n v="0"/>
    <x v="1"/>
  </r>
  <r>
    <x v="108"/>
    <x v="2"/>
    <s v="QS0011213707"/>
    <s v="No"/>
    <s v="Country"/>
    <m/>
    <s v="CACSN"/>
    <s v="Euronext Paris"/>
    <s v="Non-significant benchmark"/>
    <n v="0"/>
    <n v="0"/>
    <n v="0"/>
    <n v="1861205632.79"/>
    <n v="0"/>
    <n v="0"/>
    <n v="1861205632.79"/>
    <x v="1"/>
  </r>
  <r>
    <x v="109"/>
    <x v="2"/>
    <s v="FR0003999481"/>
    <s v="No"/>
    <s v="Country"/>
    <m/>
    <s v="PX4"/>
    <s v="Euronext Paris"/>
    <s v="Non-significant benchmark"/>
    <n v="0"/>
    <n v="0"/>
    <n v="0"/>
    <n v="47489040.660000011"/>
    <n v="0"/>
    <n v="0"/>
    <n v="47489040.660000011"/>
    <x v="1"/>
  </r>
  <r>
    <x v="110"/>
    <x v="2"/>
    <s v="QS0011131859"/>
    <s v="No"/>
    <s v="Country"/>
    <m/>
    <s v="PX4GR"/>
    <s v="Euronext Paris"/>
    <s v="Non-significant benchmark"/>
    <n v="0"/>
    <n v="0"/>
    <n v="0"/>
    <n v="0"/>
    <n v="0"/>
    <n v="0"/>
    <n v="0"/>
    <x v="1"/>
  </r>
  <r>
    <x v="111"/>
    <x v="2"/>
    <s v="QS0011131842"/>
    <s v="No"/>
    <s v="Country"/>
    <m/>
    <s v="PX4NR"/>
    <s v="Euronext Paris"/>
    <s v="Non-significant benchmark"/>
    <n v="0"/>
    <n v="0"/>
    <n v="0"/>
    <n v="5948578738.5150023"/>
    <n v="0"/>
    <n v="0"/>
    <n v="5948578738.5150023"/>
    <x v="1"/>
  </r>
  <r>
    <x v="112"/>
    <x v="11"/>
    <s v="FR0014002B31"/>
    <s v="Yes"/>
    <s v="Broad ESG"/>
    <s v="ESG Other"/>
    <s v="CESGP"/>
    <s v="Euronext Paris"/>
    <s v="Non-significant benchmark"/>
    <n v="137099606"/>
    <n v="216540000"/>
    <n v="46272163.366400003"/>
    <n v="0"/>
    <n v="0"/>
    <n v="0"/>
    <n v="137099606"/>
    <x v="0"/>
  </r>
  <r>
    <x v="113"/>
    <x v="11"/>
    <s v="FR0014002G69"/>
    <s v="Yes"/>
    <s v="Broad ESG"/>
    <s v="ESG Other"/>
    <s v="CED3"/>
    <s v="Euronext Paris"/>
    <s v="Non-significant benchmark"/>
    <n v="0"/>
    <n v="0"/>
    <n v="0"/>
    <n v="0"/>
    <n v="0"/>
    <n v="0"/>
    <n v="0"/>
    <x v="0"/>
  </r>
  <r>
    <x v="114"/>
    <x v="11"/>
    <s v="FR0014002G51"/>
    <s v="Yes"/>
    <s v="Broad ESG"/>
    <s v="ESG Other"/>
    <s v="CED35"/>
    <s v="Euronext Paris"/>
    <s v="Non-significant benchmark"/>
    <n v="0"/>
    <n v="0"/>
    <n v="0"/>
    <n v="0"/>
    <n v="0"/>
    <n v="0"/>
    <n v="0"/>
    <x v="0"/>
  </r>
  <r>
    <x v="115"/>
    <x v="11"/>
    <s v="FR0014002G77"/>
    <s v="Yes"/>
    <s v="Broad ESG"/>
    <s v="ESG Other"/>
    <s v="CED4"/>
    <s v="Euronext Paris"/>
    <s v="Non-significant benchmark"/>
    <n v="0"/>
    <n v="0"/>
    <n v="0"/>
    <n v="0"/>
    <n v="0"/>
    <n v="0"/>
    <n v="0"/>
    <x v="0"/>
  </r>
  <r>
    <x v="116"/>
    <x v="11"/>
    <s v="FR0014002G85"/>
    <s v="Yes"/>
    <s v="Broad ESG"/>
    <s v="ESG Other"/>
    <s v="CED45"/>
    <s v="Euronext Paris"/>
    <s v="Non-significant benchmark"/>
    <n v="0"/>
    <n v="0"/>
    <n v="0"/>
    <n v="0"/>
    <n v="0"/>
    <n v="0"/>
    <n v="0"/>
    <x v="0"/>
  </r>
  <r>
    <x v="117"/>
    <x v="11"/>
    <s v="FR0014002G93"/>
    <s v="Yes"/>
    <s v="Broad ESG"/>
    <s v="ESG Other"/>
    <s v="CED5"/>
    <s v="Euronext Paris"/>
    <s v="Non-significant benchmark"/>
    <n v="0"/>
    <n v="200000000"/>
    <n v="27713562.812400002"/>
    <n v="0"/>
    <n v="0"/>
    <n v="0"/>
    <n v="200000000"/>
    <x v="0"/>
  </r>
  <r>
    <x v="118"/>
    <x v="11"/>
    <s v="FR0014002B49"/>
    <s v="Yes"/>
    <s v="Broad ESG"/>
    <s v="ESG Other"/>
    <s v="CESGG"/>
    <s v="Euronext Paris"/>
    <s v="Non-significant benchmark"/>
    <n v="0"/>
    <n v="0"/>
    <n v="0"/>
    <n v="329732605"/>
    <n v="0"/>
    <n v="0"/>
    <n v="329732605"/>
    <x v="0"/>
  </r>
  <r>
    <x v="119"/>
    <x v="11"/>
    <s v="FR0014002B56"/>
    <s v="Yes"/>
    <s v="Broad ESG"/>
    <s v="ESG Other"/>
    <s v="CESGN"/>
    <s v="Euronext Paris"/>
    <s v="Non-significant benchmark"/>
    <n v="0"/>
    <n v="0"/>
    <n v="0"/>
    <n v="1114756668"/>
    <n v="0"/>
    <n v="0"/>
    <n v="1114756668"/>
    <x v="0"/>
  </r>
  <r>
    <x v="120"/>
    <x v="12"/>
    <s v="FRIX00000953"/>
    <s v="No"/>
    <s v="Strategy"/>
    <m/>
    <s v="CACIN"/>
    <s v="Euronext Paris"/>
    <s v="Non-significant benchmark"/>
    <n v="0"/>
    <n v="0"/>
    <n v="0"/>
    <n v="0"/>
    <n v="0"/>
    <n v="0"/>
    <n v="0"/>
    <x v="1"/>
  </r>
  <r>
    <x v="121"/>
    <x v="12"/>
    <s v="FRIX00000961"/>
    <s v="No"/>
    <s v="Strategy"/>
    <m/>
    <s v="NCACI"/>
    <s v="Euronext Paris"/>
    <s v="Non-significant benchmark"/>
    <n v="0"/>
    <n v="0"/>
    <n v="2919640.8812000002"/>
    <n v="0"/>
    <n v="0"/>
    <n v="0"/>
    <n v="2919640.8812000002"/>
    <x v="1"/>
  </r>
  <r>
    <x v="122"/>
    <x v="13"/>
    <s v="QS0010989141"/>
    <s v="No"/>
    <s v="Country"/>
    <m/>
    <s v="PAX"/>
    <s v="Euronext Paris"/>
    <s v="Non-significant benchmark"/>
    <n v="0"/>
    <n v="0"/>
    <n v="0"/>
    <n v="0"/>
    <n v="0"/>
    <n v="0"/>
    <n v="0"/>
    <x v="1"/>
  </r>
  <r>
    <x v="123"/>
    <x v="13"/>
    <s v="QS0011224217"/>
    <s v="No"/>
    <s v="Country"/>
    <m/>
    <s v="PAXNR"/>
    <s v="Euronext Paris"/>
    <s v="Non-significant benchmark"/>
    <n v="0"/>
    <n v="0"/>
    <n v="0"/>
    <n v="0"/>
    <n v="0"/>
    <n v="0"/>
    <n v="0"/>
    <x v="1"/>
  </r>
  <r>
    <x v="124"/>
    <x v="2"/>
    <s v="FRIX00003072"/>
    <s v="No"/>
    <s v="Country"/>
    <m/>
    <s v="PX1G5"/>
    <s v="Euronext Paris"/>
    <s v="Significant Benchmark"/>
    <m/>
    <m/>
    <m/>
    <m/>
    <m/>
    <m/>
    <m/>
    <x v="3"/>
  </r>
  <r>
    <x v="125"/>
    <x v="13"/>
    <s v="QS0011017637"/>
    <s v="No"/>
    <s v="Industry"/>
    <m/>
    <s v="FRBM"/>
    <s v="Euronext Paris"/>
    <s v="Non-significant benchmark"/>
    <n v="0"/>
    <n v="0"/>
    <n v="0"/>
    <n v="0"/>
    <n v="0"/>
    <n v="0"/>
    <n v="0"/>
    <x v="1"/>
  </r>
  <r>
    <x v="126"/>
    <x v="13"/>
    <s v="QS0011223979"/>
    <s v="No"/>
    <s v="Industry"/>
    <m/>
    <s v="FRBMN"/>
    <s v="Euronext Paris"/>
    <s v="Non-significant benchmark"/>
    <n v="0"/>
    <n v="0"/>
    <n v="0"/>
    <n v="0"/>
    <n v="0"/>
    <n v="0"/>
    <n v="0"/>
    <x v="1"/>
  </r>
  <r>
    <x v="127"/>
    <x v="13"/>
    <s v="QS0011017686"/>
    <s v="No"/>
    <s v="Industry"/>
    <m/>
    <s v="FRCG"/>
    <s v="Euronext Paris"/>
    <s v="Non-significant benchmark"/>
    <n v="0"/>
    <n v="0"/>
    <n v="0"/>
    <n v="0"/>
    <n v="0"/>
    <n v="0"/>
    <n v="0"/>
    <x v="1"/>
  </r>
  <r>
    <x v="128"/>
    <x v="13"/>
    <s v="QS0011223995"/>
    <s v="No"/>
    <s v="Industry"/>
    <m/>
    <s v="FRCGN"/>
    <s v="Euronext Paris"/>
    <s v="Non-significant benchmark"/>
    <n v="0"/>
    <n v="0"/>
    <n v="0"/>
    <n v="0"/>
    <n v="0"/>
    <n v="0"/>
    <n v="0"/>
    <x v="1"/>
  </r>
  <r>
    <x v="129"/>
    <x v="13"/>
    <s v="QS0011017736"/>
    <s v="No"/>
    <s v="Industry"/>
    <m/>
    <s v="FRCS"/>
    <s v="Euronext Paris"/>
    <s v="Non-significant benchmark"/>
    <n v="0"/>
    <n v="0"/>
    <n v="0"/>
    <n v="0"/>
    <n v="0"/>
    <n v="0"/>
    <n v="0"/>
    <x v="1"/>
  </r>
  <r>
    <x v="130"/>
    <x v="13"/>
    <s v="QS0011224290"/>
    <s v="No"/>
    <s v="Industry"/>
    <m/>
    <s v="FRCSN"/>
    <s v="Euronext Paris"/>
    <s v="Non-significant benchmark"/>
    <n v="0"/>
    <n v="0"/>
    <n v="0"/>
    <n v="0"/>
    <n v="0"/>
    <n v="0"/>
    <n v="0"/>
    <x v="1"/>
  </r>
  <r>
    <x v="131"/>
    <x v="13"/>
    <s v="QS0011017603"/>
    <s v="No"/>
    <s v="Industry"/>
    <m/>
    <s v="FROG"/>
    <s v="Euronext Paris"/>
    <s v="Non-significant benchmark"/>
    <n v="0"/>
    <n v="0"/>
    <n v="0"/>
    <n v="0"/>
    <n v="0"/>
    <n v="0"/>
    <n v="0"/>
    <x v="1"/>
  </r>
  <r>
    <x v="132"/>
    <x v="13"/>
    <s v="QS0011223698"/>
    <s v="No"/>
    <s v="Industry"/>
    <m/>
    <s v="FROGN"/>
    <s v="Euronext Paris"/>
    <s v="Non-significant benchmark"/>
    <n v="0"/>
    <n v="0"/>
    <n v="0"/>
    <n v="0"/>
    <n v="0"/>
    <n v="0"/>
    <n v="0"/>
    <x v="1"/>
  </r>
  <r>
    <x v="133"/>
    <x v="13"/>
    <s v="QS0011017801"/>
    <s v="No"/>
    <s v="Industry"/>
    <m/>
    <s v="FRFIN"/>
    <s v="Euronext Paris"/>
    <s v="Non-significant benchmark"/>
    <n v="0"/>
    <n v="0"/>
    <n v="0"/>
    <n v="0"/>
    <n v="0"/>
    <n v="0"/>
    <n v="0"/>
    <x v="1"/>
  </r>
  <r>
    <x v="134"/>
    <x v="13"/>
    <s v="QS0011224373"/>
    <s v="No"/>
    <s v="Industry"/>
    <m/>
    <s v="FRFNN"/>
    <s v="Euronext Paris"/>
    <s v="Non-significant benchmark"/>
    <n v="0"/>
    <n v="0"/>
    <n v="0"/>
    <n v="0"/>
    <n v="0"/>
    <n v="0"/>
    <n v="0"/>
    <x v="1"/>
  </r>
  <r>
    <x v="135"/>
    <x v="13"/>
    <s v="QS0011017702"/>
    <s v="No"/>
    <s v="Industry"/>
    <m/>
    <s v="FRHC"/>
    <s v="Euronext Paris"/>
    <s v="Non-significant benchmark"/>
    <n v="0"/>
    <n v="0"/>
    <n v="0"/>
    <n v="0"/>
    <n v="0"/>
    <n v="0"/>
    <n v="0"/>
    <x v="1"/>
  </r>
  <r>
    <x v="136"/>
    <x v="13"/>
    <s v="QS0011224498"/>
    <s v="No"/>
    <s v="Industry"/>
    <m/>
    <s v="FRHCN"/>
    <s v="Euronext Paris"/>
    <s v="Non-significant benchmark"/>
    <n v="0"/>
    <n v="0"/>
    <n v="0"/>
    <n v="0"/>
    <n v="0"/>
    <n v="0"/>
    <n v="0"/>
    <x v="1"/>
  </r>
  <r>
    <x v="137"/>
    <x v="13"/>
    <s v="QS0011017652"/>
    <s v="No"/>
    <s v="Industry"/>
    <m/>
    <s v="FRIN"/>
    <s v="Euronext Paris"/>
    <s v="Non-significant benchmark"/>
    <n v="0"/>
    <n v="0"/>
    <n v="0"/>
    <n v="0"/>
    <n v="0"/>
    <n v="0"/>
    <n v="0"/>
    <x v="1"/>
  </r>
  <r>
    <x v="138"/>
    <x v="13"/>
    <s v="QS0011224571"/>
    <s v="No"/>
    <s v="Industry"/>
    <m/>
    <s v="FRINN"/>
    <s v="Euronext Paris"/>
    <s v="Non-significant benchmark"/>
    <n v="0"/>
    <n v="0"/>
    <n v="0"/>
    <n v="0"/>
    <n v="0"/>
    <n v="0"/>
    <n v="0"/>
    <x v="1"/>
  </r>
  <r>
    <x v="139"/>
    <x v="13"/>
    <s v="FR0013506771"/>
    <s v="No"/>
    <s v="Industry"/>
    <m/>
    <s v="FRRE"/>
    <s v="Euronext Paris"/>
    <s v="Non-significant benchmark"/>
    <n v="0"/>
    <n v="0"/>
    <n v="0"/>
    <n v="0"/>
    <n v="0"/>
    <n v="0"/>
    <n v="0"/>
    <x v="1"/>
  </r>
  <r>
    <x v="140"/>
    <x v="13"/>
    <s v="FR0013506789"/>
    <s v="No"/>
    <s v="Industry"/>
    <m/>
    <s v="FRREN"/>
    <s v="Euronext Paris"/>
    <s v="Non-significant benchmark"/>
    <n v="0"/>
    <n v="0"/>
    <n v="0"/>
    <n v="0"/>
    <n v="0"/>
    <n v="0"/>
    <n v="0"/>
    <x v="1"/>
  </r>
  <r>
    <x v="141"/>
    <x v="13"/>
    <s v="QS0011017827"/>
    <s v="No"/>
    <s v="Industry"/>
    <m/>
    <s v="FRTEC"/>
    <s v="Euronext Paris"/>
    <s v="Non-significant benchmark"/>
    <n v="0"/>
    <n v="0"/>
    <n v="0"/>
    <n v="0"/>
    <n v="0"/>
    <n v="0"/>
    <n v="0"/>
    <x v="1"/>
  </r>
  <r>
    <x v="142"/>
    <x v="13"/>
    <s v="QS0011223896"/>
    <s v="No"/>
    <s v="Industry"/>
    <m/>
    <s v="FRTCN"/>
    <s v="Euronext Paris"/>
    <s v="Non-significant benchmark"/>
    <n v="0"/>
    <n v="0"/>
    <n v="0"/>
    <n v="0"/>
    <n v="0"/>
    <n v="0"/>
    <n v="0"/>
    <x v="1"/>
  </r>
  <r>
    <x v="143"/>
    <x v="13"/>
    <s v="QS0011017769"/>
    <s v="No"/>
    <s v="Industry"/>
    <m/>
    <s v="FRTEL"/>
    <s v="Euronext Paris"/>
    <s v="Non-significant benchmark"/>
    <n v="0"/>
    <n v="0"/>
    <n v="0"/>
    <n v="0"/>
    <n v="0"/>
    <n v="0"/>
    <n v="0"/>
    <x v="1"/>
  </r>
  <r>
    <x v="144"/>
    <x v="13"/>
    <s v="QS0011223920"/>
    <s v="No"/>
    <s v="Industry"/>
    <m/>
    <s v="FRTEN"/>
    <s v="Euronext Paris"/>
    <s v="Non-significant benchmark"/>
    <n v="0"/>
    <n v="0"/>
    <n v="0"/>
    <n v="0"/>
    <n v="0"/>
    <n v="0"/>
    <n v="0"/>
    <x v="1"/>
  </r>
  <r>
    <x v="145"/>
    <x v="13"/>
    <s v="QS0011017785"/>
    <s v="No"/>
    <s v="Industry"/>
    <m/>
    <s v="FRUT"/>
    <s v="Euronext Paris"/>
    <s v="Non-significant benchmark"/>
    <n v="0"/>
    <n v="0"/>
    <n v="0"/>
    <n v="0"/>
    <n v="0"/>
    <n v="0"/>
    <n v="0"/>
    <x v="1"/>
  </r>
  <r>
    <x v="146"/>
    <x v="13"/>
    <s v="QS0011224084"/>
    <s v="No"/>
    <s v="Industry"/>
    <m/>
    <s v="FRUTN"/>
    <s v="Euronext Paris"/>
    <s v="Non-significant benchmark"/>
    <n v="0"/>
    <n v="0"/>
    <n v="0"/>
    <n v="0"/>
    <n v="0"/>
    <n v="0"/>
    <n v="0"/>
    <x v="1"/>
  </r>
  <r>
    <x v="147"/>
    <x v="14"/>
    <s v="FR0012246023"/>
    <s v="No"/>
    <s v="Country"/>
    <m/>
    <s v="ENPME"/>
    <s v="Euronext Paris"/>
    <s v="Non-significant benchmark"/>
    <n v="0"/>
    <n v="0"/>
    <n v="0"/>
    <n v="15832800"/>
    <n v="0"/>
    <n v="0"/>
    <n v="15832800"/>
    <x v="1"/>
  </r>
  <r>
    <x v="148"/>
    <x v="14"/>
    <s v="FR0012246049"/>
    <s v="No"/>
    <s v="Country"/>
    <m/>
    <s v="EPMEG"/>
    <s v="Euronext Paris"/>
    <s v="Non-significant benchmark"/>
    <n v="0"/>
    <n v="0"/>
    <n v="0"/>
    <n v="175100475"/>
    <n v="0"/>
    <n v="0"/>
    <n v="175100475"/>
    <x v="1"/>
  </r>
  <r>
    <x v="149"/>
    <x v="15"/>
    <s v="FR0013376258"/>
    <s v="Yes"/>
    <s v="Broad ESG"/>
    <s v="ESG Other"/>
    <s v="C6RIP"/>
    <s v="Euronext Paris"/>
    <s v="Non-significant benchmark"/>
    <n v="0"/>
    <n v="0"/>
    <n v="0"/>
    <n v="0"/>
    <n v="0"/>
    <n v="0"/>
    <n v="0"/>
    <x v="1"/>
  </r>
  <r>
    <x v="150"/>
    <x v="15"/>
    <s v="FR0013376282"/>
    <s v="Yes"/>
    <s v="Broad ESG"/>
    <s v="ESG Other"/>
    <s v="C6RI"/>
    <s v="Euronext Paris"/>
    <s v="Non-significant benchmark"/>
    <n v="0"/>
    <n v="285650359.02450001"/>
    <n v="59829612.505599998"/>
    <n v="0"/>
    <n v="0"/>
    <n v="0"/>
    <n v="285650359.02450001"/>
    <x v="1"/>
  </r>
  <r>
    <x v="151"/>
    <x v="15"/>
    <s v="FR0013376274"/>
    <s v="Yes"/>
    <s v="Broad ESG"/>
    <s v="ESG Other"/>
    <s v="C6RIG"/>
    <s v="Euronext Paris"/>
    <s v="Non-significant benchmark"/>
    <n v="0"/>
    <n v="0"/>
    <n v="0"/>
    <n v="0"/>
    <n v="0"/>
    <n v="0"/>
    <n v="0"/>
    <x v="1"/>
  </r>
  <r>
    <x v="152"/>
    <x v="15"/>
    <s v="FR0013376266"/>
    <s v="Yes"/>
    <s v="Broad ESG"/>
    <s v="ESG Other"/>
    <s v="C6RIN"/>
    <s v="Euronext Paris"/>
    <s v="Non-significant benchmark"/>
    <n v="0"/>
    <n v="0"/>
    <n v="0"/>
    <n v="0"/>
    <n v="0"/>
    <n v="0"/>
    <n v="0"/>
    <x v="1"/>
  </r>
  <r>
    <x v="153"/>
    <x v="16"/>
    <s v="FRESG0001031"/>
    <s v="Yes"/>
    <s v="Climate;Environmental"/>
    <s v="ESG Other"/>
    <s v="CSBTP"/>
    <s v="Euronext Paris"/>
    <s v="Non-significant benchmark"/>
    <n v="0"/>
    <n v="0"/>
    <n v="0"/>
    <n v="0"/>
    <n v="0"/>
    <n v="0"/>
    <n v="0"/>
    <x v="0"/>
  </r>
  <r>
    <x v="154"/>
    <x v="16"/>
    <s v="FRESG0001056"/>
    <s v="Yes"/>
    <s v="Climate;Environmental"/>
    <s v="ESG Other"/>
    <s v="CSBTG"/>
    <s v="Euronext Paris"/>
    <s v="Non-significant benchmark"/>
    <n v="0"/>
    <n v="0"/>
    <n v="0"/>
    <n v="0"/>
    <n v="0"/>
    <n v="0"/>
    <n v="0"/>
    <x v="0"/>
  </r>
  <r>
    <x v="155"/>
    <x v="16"/>
    <s v="FRESG0001122"/>
    <s v="Yes"/>
    <s v="Climate;Environmental"/>
    <s v="ESG Other"/>
    <s v="CSG3D"/>
    <s v="Euronext Paris"/>
    <s v="Non-significant benchmark"/>
    <n v="0"/>
    <n v="0"/>
    <n v="0"/>
    <n v="0"/>
    <n v="0"/>
    <n v="0"/>
    <n v="0"/>
    <x v="0"/>
  </r>
  <r>
    <x v="156"/>
    <x v="16"/>
    <s v="FRESG0001130"/>
    <s v="Yes"/>
    <s v="Climate;Environmental"/>
    <s v="ESG Other"/>
    <s v="CSG4D"/>
    <s v="Euronext Paris"/>
    <s v="Non-significant benchmark"/>
    <n v="0"/>
    <n v="0"/>
    <n v="0"/>
    <n v="0"/>
    <n v="0"/>
    <n v="0"/>
    <n v="0"/>
    <x v="0"/>
  </r>
  <r>
    <x v="157"/>
    <x v="16"/>
    <s v="FRESG0001148"/>
    <s v="Yes"/>
    <s v="Climate;Environmental"/>
    <s v="ESG Other"/>
    <s v="CSG5D"/>
    <s v="Euronext Paris"/>
    <s v="Non-significant benchmark"/>
    <n v="0"/>
    <n v="0"/>
    <n v="0"/>
    <n v="0"/>
    <n v="0"/>
    <n v="0"/>
    <n v="0"/>
    <x v="0"/>
  </r>
  <r>
    <x v="158"/>
    <x v="16"/>
    <s v="FRESG0001049"/>
    <s v="Yes"/>
    <s v="Climate;Environmental"/>
    <s v="ESG Other"/>
    <s v="CSBTN"/>
    <s v="Euronext Paris"/>
    <s v="Non-significant benchmark"/>
    <n v="0"/>
    <n v="0"/>
    <n v="0"/>
    <n v="0"/>
    <n v="0"/>
    <n v="0"/>
    <n v="0"/>
    <x v="0"/>
  </r>
  <r>
    <x v="159"/>
    <x v="16"/>
    <s v="FRESG0001098"/>
    <s v="Yes"/>
    <s v="Climate;Environmental"/>
    <s v="ESG Other"/>
    <s v="CSN3D"/>
    <s v="Euronext Paris"/>
    <s v="Non-significant benchmark"/>
    <n v="0"/>
    <n v="0"/>
    <n v="0"/>
    <n v="0"/>
    <n v="0"/>
    <n v="0"/>
    <n v="0"/>
    <x v="0"/>
  </r>
  <r>
    <x v="160"/>
    <x v="16"/>
    <s v="FRESG0001106"/>
    <s v="Yes"/>
    <s v="Climate;Environmental"/>
    <s v="ESG Other"/>
    <s v="CSN4D"/>
    <s v="Euronext Paris"/>
    <s v="Non-significant benchmark"/>
    <n v="0"/>
    <n v="0"/>
    <n v="0"/>
    <n v="0"/>
    <n v="0"/>
    <n v="0"/>
    <n v="0"/>
    <x v="0"/>
  </r>
  <r>
    <x v="161"/>
    <x v="16"/>
    <s v="FRESG0001114"/>
    <s v="Yes"/>
    <s v="Climate;Environmental"/>
    <s v="ESG Other"/>
    <s v="CSN5D"/>
    <s v="Euronext Paris"/>
    <s v="Non-significant benchmark"/>
    <n v="0"/>
    <n v="0"/>
    <n v="0"/>
    <n v="0"/>
    <n v="0"/>
    <n v="0"/>
    <n v="0"/>
    <x v="0"/>
  </r>
  <r>
    <x v="162"/>
    <x v="17"/>
    <s v="QS0011158118"/>
    <s v="No"/>
    <s v="Strategy"/>
    <m/>
    <s v="CACDI"/>
    <s v="Euronext Paris"/>
    <s v="Non-significant benchmark"/>
    <n v="0"/>
    <n v="0"/>
    <n v="0"/>
    <n v="0"/>
    <n v="0"/>
    <n v="105621370"/>
    <n v="105621370"/>
    <x v="1"/>
  </r>
  <r>
    <x v="163"/>
    <x v="18"/>
    <s v="QS0011159777"/>
    <s v="No"/>
    <s v="Country"/>
    <m/>
    <s v="CACEW"/>
    <s v="Euronext Paris"/>
    <s v="Non-significant benchmark"/>
    <n v="0"/>
    <n v="0"/>
    <n v="0"/>
    <n v="0"/>
    <n v="0"/>
    <n v="0"/>
    <n v="0"/>
    <x v="1"/>
  </r>
  <r>
    <x v="164"/>
    <x v="18"/>
    <s v="QS0011211214"/>
    <s v="No"/>
    <s v="Country"/>
    <m/>
    <s v="CACEG"/>
    <s v="Euronext Paris"/>
    <s v="Non-significant benchmark"/>
    <n v="0"/>
    <n v="0"/>
    <n v="0"/>
    <n v="0"/>
    <n v="0"/>
    <n v="0"/>
    <n v="0"/>
    <x v="1"/>
  </r>
  <r>
    <x v="165"/>
    <x v="18"/>
    <s v="QS0011211198"/>
    <s v="No"/>
    <s v="Country"/>
    <m/>
    <s v="CACEN"/>
    <s v="Euronext Paris"/>
    <s v="Non-significant benchmark"/>
    <n v="0"/>
    <n v="0"/>
    <n v="0"/>
    <n v="0"/>
    <n v="0"/>
    <n v="0"/>
    <n v="0"/>
    <x v="1"/>
  </r>
  <r>
    <x v="166"/>
    <x v="18"/>
    <s v="FR0013236254"/>
    <s v="No"/>
    <s v="Country"/>
    <m/>
    <s v="C4EWD"/>
    <s v="Euronext Paris"/>
    <s v="Non-significant benchmark"/>
    <n v="9944000"/>
    <n v="63000000"/>
    <n v="4384066.4336000001"/>
    <n v="0"/>
    <n v="0"/>
    <n v="0"/>
    <n v="9944000"/>
    <x v="1"/>
  </r>
  <r>
    <x v="167"/>
    <x v="19"/>
    <s v="FR0012712081"/>
    <s v="No"/>
    <s v="Country"/>
    <m/>
    <s v="CAEWC"/>
    <s v="Euronext Paris"/>
    <s v="Non-significant benchmark"/>
    <n v="0"/>
    <n v="0"/>
    <n v="0"/>
    <n v="0"/>
    <n v="0"/>
    <n v="0"/>
    <n v="0"/>
    <x v="1"/>
  </r>
  <r>
    <x v="168"/>
    <x v="20"/>
    <s v="FR0012663292"/>
    <s v="No"/>
    <s v="Country"/>
    <m/>
    <s v="CLEW"/>
    <s v="Euronext Paris"/>
    <s v="Non-significant benchmark"/>
    <n v="0"/>
    <n v="0"/>
    <n v="0"/>
    <n v="0"/>
    <n v="0"/>
    <n v="0"/>
    <n v="0"/>
    <x v="1"/>
  </r>
  <r>
    <x v="169"/>
    <x v="20"/>
    <s v="FR0013517802"/>
    <s v="No"/>
    <s v="Country"/>
    <m/>
    <s v="CLEW4"/>
    <s v="Euronext Paris"/>
    <s v="Non-significant benchmark"/>
    <n v="0"/>
    <n v="0"/>
    <n v="0"/>
    <n v="0"/>
    <n v="0"/>
    <n v="0"/>
    <n v="0"/>
    <x v="1"/>
  </r>
  <r>
    <x v="170"/>
    <x v="20"/>
    <s v="FR0012663318"/>
    <s v="No"/>
    <s v="Country"/>
    <m/>
    <s v="CLEWG"/>
    <s v="Euronext Paris"/>
    <s v="Non-significant benchmark"/>
    <n v="0"/>
    <n v="1284044000"/>
    <n v="0"/>
    <n v="0"/>
    <n v="0"/>
    <n v="0"/>
    <n v="1284044000"/>
    <x v="1"/>
  </r>
  <r>
    <x v="171"/>
    <x v="20"/>
    <s v="FR0012663300"/>
    <s v="No"/>
    <s v="Country"/>
    <m/>
    <s v="CLEWN"/>
    <s v="Euronext Paris"/>
    <s v="Non-significant benchmark"/>
    <n v="0"/>
    <n v="0"/>
    <n v="0"/>
    <n v="0"/>
    <n v="0"/>
    <n v="0"/>
    <n v="0"/>
    <x v="1"/>
  </r>
  <r>
    <x v="172"/>
    <x v="20"/>
    <s v="FR0012663334"/>
    <s v="No"/>
    <s v="Country"/>
    <m/>
    <s v="CLEWE"/>
    <s v="Euronext Paris"/>
    <s v="Non-significant benchmark"/>
    <n v="0"/>
    <n v="2914671477.6789999"/>
    <n v="2145530797.8436"/>
    <n v="0"/>
    <n v="0"/>
    <n v="0"/>
    <n v="2914671477.6789999"/>
    <x v="1"/>
  </r>
  <r>
    <x v="173"/>
    <x v="21"/>
    <s v="FR0013134855"/>
    <s v="No"/>
    <s v="Country"/>
    <m/>
    <s v="CLEJP"/>
    <s v="Euronext Paris"/>
    <s v="Non-significant benchmark"/>
    <n v="0"/>
    <n v="0"/>
    <n v="0"/>
    <n v="0"/>
    <n v="0"/>
    <n v="0"/>
    <n v="0"/>
    <x v="1"/>
  </r>
  <r>
    <x v="174"/>
    <x v="21"/>
    <s v="FR0013134848"/>
    <s v="No"/>
    <s v="Country"/>
    <m/>
    <s v="CLEWJ"/>
    <s v="Euronext Paris"/>
    <s v="Non-significant benchmark"/>
    <n v="0"/>
    <n v="0"/>
    <n v="0"/>
    <n v="0"/>
    <n v="0"/>
    <n v="0"/>
    <n v="0"/>
    <x v="1"/>
  </r>
  <r>
    <x v="175"/>
    <x v="22"/>
    <s v="QS0011252754"/>
    <s v="No"/>
    <e v="#N/A"/>
    <m/>
    <s v="CAEXT"/>
    <s v="Euronext Paris"/>
    <s v="Non-significant benchmark"/>
    <n v="0"/>
    <n v="0"/>
    <n v="0"/>
    <n v="0"/>
    <n v="0"/>
    <n v="0"/>
    <n v="0"/>
    <x v="2"/>
  </r>
  <r>
    <x v="176"/>
    <x v="23"/>
    <s v="FR0013232188"/>
    <s v="Yes"/>
    <s v="Governance"/>
    <s v="ESG Other"/>
    <s v="CAGOV"/>
    <s v="Euronext Paris"/>
    <s v="Non-significant benchmark"/>
    <n v="0"/>
    <n v="0"/>
    <n v="0"/>
    <n v="0"/>
    <n v="0"/>
    <n v="0"/>
    <n v="0"/>
    <x v="1"/>
  </r>
  <r>
    <x v="177"/>
    <x v="23"/>
    <s v="FR0013254323"/>
    <s v="Yes"/>
    <s v="Governance"/>
    <s v="ESG Other"/>
    <s v="CAGOD"/>
    <s v="Euronext Paris"/>
    <s v="Non-significant benchmark"/>
    <n v="0"/>
    <n v="0"/>
    <n v="0"/>
    <n v="0"/>
    <n v="0"/>
    <n v="0"/>
    <n v="0"/>
    <x v="1"/>
  </r>
  <r>
    <x v="178"/>
    <x v="23"/>
    <s v="FR0013232204"/>
    <s v="Yes"/>
    <s v="Governance"/>
    <s v="ESG Other"/>
    <s v="CAGOG"/>
    <s v="Euronext Paris"/>
    <s v="Non-significant benchmark"/>
    <n v="0"/>
    <n v="0"/>
    <n v="0"/>
    <n v="0"/>
    <n v="0"/>
    <n v="0"/>
    <n v="0"/>
    <x v="1"/>
  </r>
  <r>
    <x v="179"/>
    <x v="23"/>
    <s v="FR0013232196"/>
    <s v="Yes"/>
    <s v="Governance"/>
    <s v="ESG Other"/>
    <s v="CAGON"/>
    <s v="Euronext Paris"/>
    <s v="Non-significant benchmark"/>
    <n v="0"/>
    <n v="0"/>
    <n v="0"/>
    <n v="0"/>
    <n v="0"/>
    <n v="0"/>
    <n v="0"/>
    <x v="1"/>
  </r>
  <r>
    <x v="180"/>
    <x v="24"/>
    <s v="FR0013252392"/>
    <s v="No"/>
    <s v="Strategy"/>
    <m/>
    <s v="C4CD"/>
    <s v="Euronext Paris"/>
    <s v="Non-significant benchmark"/>
    <n v="0"/>
    <n v="0"/>
    <n v="0"/>
    <n v="0"/>
    <n v="0"/>
    <n v="0"/>
    <n v="0"/>
    <x v="1"/>
  </r>
  <r>
    <x v="181"/>
    <x v="24"/>
    <s v="FR0013252418"/>
    <s v="No"/>
    <s v="Strategy"/>
    <m/>
    <s v="C4SD"/>
    <s v="Euronext Paris"/>
    <s v="Non-significant benchmark"/>
    <n v="0"/>
    <n v="0"/>
    <n v="0"/>
    <n v="0"/>
    <n v="0"/>
    <n v="0"/>
    <n v="0"/>
    <x v="1"/>
  </r>
  <r>
    <x v="182"/>
    <x v="25"/>
    <s v="FR0003502079"/>
    <s v="No"/>
    <s v="International"/>
    <m/>
    <s v="N100"/>
    <s v="Euronext Brussels"/>
    <s v="Non-significant benchmark"/>
    <n v="0"/>
    <n v="0"/>
    <n v="0"/>
    <n v="3246341.7600000002"/>
    <n v="0"/>
    <n v="0"/>
    <n v="3246341.7600000002"/>
    <x v="1"/>
  </r>
  <r>
    <x v="183"/>
    <x v="25"/>
    <s v="QS0011224258"/>
    <s v="No"/>
    <s v="International"/>
    <m/>
    <s v="N100G"/>
    <s v="Euronext Brussels"/>
    <s v="Non-significant benchmark"/>
    <n v="0"/>
    <n v="0"/>
    <n v="0"/>
    <n v="0"/>
    <n v="0"/>
    <n v="0"/>
    <n v="0"/>
    <x v="1"/>
  </r>
  <r>
    <x v="184"/>
    <x v="25"/>
    <s v="FR0003502087"/>
    <s v="No"/>
    <s v="International"/>
    <m/>
    <s v="N150"/>
    <s v="Euronext Brussels"/>
    <s v="Non-significant benchmark"/>
    <n v="0"/>
    <n v="0"/>
    <n v="0"/>
    <n v="0"/>
    <n v="0"/>
    <n v="0"/>
    <n v="0"/>
    <x v="1"/>
  </r>
  <r>
    <x v="185"/>
    <x v="25"/>
    <s v="QS0011224274"/>
    <s v="No"/>
    <s v="International"/>
    <m/>
    <s v="N150G"/>
    <s v="Euronext Brussels"/>
    <s v="Non-significant benchmark"/>
    <n v="0"/>
    <n v="0"/>
    <n v="0"/>
    <n v="0"/>
    <n v="0"/>
    <n v="0"/>
    <n v="0"/>
    <x v="1"/>
  </r>
  <r>
    <x v="186"/>
    <x v="26"/>
    <s v="NL0015436148"/>
    <s v="No"/>
    <s v="International"/>
    <m/>
    <s v="AS500"/>
    <s v="Euronext Amsterdam"/>
    <s v="Non-significant benchmark"/>
    <n v="0"/>
    <n v="0"/>
    <n v="0"/>
    <n v="0"/>
    <n v="0"/>
    <n v="0"/>
    <n v="0"/>
    <x v="1"/>
  </r>
  <r>
    <x v="187"/>
    <x v="26"/>
    <s v="NL0015436163"/>
    <s v="No"/>
    <s v="International"/>
    <m/>
    <s v="AS5GR"/>
    <s v="Euronext Amsterdam"/>
    <s v="Non-significant benchmark"/>
    <n v="0"/>
    <n v="0"/>
    <n v="0"/>
    <n v="0"/>
    <n v="0"/>
    <n v="0"/>
    <n v="0"/>
    <x v="1"/>
  </r>
  <r>
    <x v="188"/>
    <x v="26"/>
    <s v="NL0015436155"/>
    <s v="No"/>
    <s v="International"/>
    <m/>
    <s v="AS5NR"/>
    <s v="Euronext Amsterdam"/>
    <s v="Non-significant benchmark"/>
    <n v="0"/>
    <n v="0"/>
    <n v="0"/>
    <n v="0"/>
    <n v="0"/>
    <n v="0"/>
    <n v="0"/>
    <x v="1"/>
  </r>
  <r>
    <x v="189"/>
    <x v="27"/>
    <s v="NL0011376116"/>
    <s v="No"/>
    <s v="International"/>
    <m/>
    <s v="BNEW"/>
    <s v="Euronext Amsterdam"/>
    <s v="Non-significant benchmark"/>
    <n v="0"/>
    <n v="0"/>
    <n v="0"/>
    <n v="0"/>
    <n v="0"/>
    <n v="0"/>
    <n v="0"/>
    <x v="1"/>
  </r>
  <r>
    <x v="190"/>
    <x v="27"/>
    <s v="NL0011376132"/>
    <s v="No"/>
    <s v="International"/>
    <m/>
    <s v="BNEWG"/>
    <s v="Euronext Amsterdam"/>
    <s v="Non-significant benchmark"/>
    <n v="0"/>
    <n v="0"/>
    <n v="0"/>
    <n v="0"/>
    <n v="0"/>
    <n v="0"/>
    <n v="0"/>
    <x v="1"/>
  </r>
  <r>
    <x v="191"/>
    <x v="27"/>
    <s v="NL0011376124"/>
    <s v="No"/>
    <s v="International"/>
    <m/>
    <s v="BNEWN"/>
    <s v="Euronext Amsterdam"/>
    <s v="Non-significant benchmark"/>
    <n v="0"/>
    <n v="0"/>
    <n v="0"/>
    <n v="0"/>
    <n v="0"/>
    <n v="0"/>
    <n v="0"/>
    <x v="1"/>
  </r>
  <r>
    <x v="192"/>
    <x v="27"/>
    <s v="NL0011376140"/>
    <s v="No"/>
    <s v="International"/>
    <m/>
    <s v="BNEWE"/>
    <s v="Euronext Amsterdam"/>
    <s v="Non-significant benchmark"/>
    <n v="0"/>
    <n v="36305000"/>
    <n v="0"/>
    <n v="0"/>
    <n v="0"/>
    <n v="0"/>
    <n v="36305000"/>
    <x v="1"/>
  </r>
  <r>
    <x v="193"/>
    <x v="28"/>
    <s v="NL0012081418"/>
    <s v="No"/>
    <s v="International"/>
    <m/>
    <s v="BNEWV"/>
    <s v="Euronext Amsterdam"/>
    <s v="Non-significant benchmark"/>
    <n v="0"/>
    <n v="0"/>
    <n v="0"/>
    <n v="0"/>
    <n v="0"/>
    <n v="0"/>
    <n v="0"/>
    <x v="1"/>
  </r>
  <r>
    <x v="194"/>
    <x v="29"/>
    <s v="NL0013025695"/>
    <s v="Yes"/>
    <s v="Broad ESG"/>
    <s v="ESG Other"/>
    <s v="BESGP"/>
    <s v="Euronext Paris"/>
    <s v="Non-significant benchmark"/>
    <n v="9090000"/>
    <n v="0"/>
    <n v="0"/>
    <n v="0"/>
    <n v="0"/>
    <n v="0"/>
    <n v="9090000"/>
    <x v="1"/>
  </r>
  <r>
    <x v="195"/>
    <x v="29"/>
    <s v="NL0013025729"/>
    <s v="Yes"/>
    <s v="Broad ESG"/>
    <s v="ESG Other"/>
    <s v="BESGD"/>
    <s v="Euronext Paris"/>
    <s v="Non-significant benchmark"/>
    <n v="1161500"/>
    <n v="0"/>
    <n v="0"/>
    <n v="0"/>
    <n v="0"/>
    <n v="0"/>
    <n v="1161500"/>
    <x v="1"/>
  </r>
  <r>
    <x v="196"/>
    <x v="29"/>
    <s v="NL0013025711"/>
    <s v="Yes"/>
    <s v="Broad ESG"/>
    <s v="ESG Other"/>
    <s v="BESGG"/>
    <s v="Euronext Paris"/>
    <s v="Non-significant benchmark"/>
    <n v="0"/>
    <n v="0"/>
    <n v="0"/>
    <n v="0"/>
    <n v="0"/>
    <n v="0"/>
    <n v="0"/>
    <x v="1"/>
  </r>
  <r>
    <x v="197"/>
    <x v="29"/>
    <s v="NL0013025703"/>
    <s v="Yes"/>
    <s v="Broad ESG"/>
    <s v="ESG Other"/>
    <s v="BESGN"/>
    <s v="Euronext Paris"/>
    <s v="Non-significant benchmark"/>
    <n v="0"/>
    <n v="0"/>
    <n v="0"/>
    <n v="0"/>
    <n v="0"/>
    <n v="0"/>
    <n v="0"/>
    <x v="1"/>
  </r>
  <r>
    <x v="198"/>
    <x v="30"/>
    <s v="NL0012294235"/>
    <s v="No"/>
    <s v="International"/>
    <m/>
    <s v="EBLRE"/>
    <s v="Euronext Amsterdam"/>
    <s v="Non-significant benchmark"/>
    <n v="0"/>
    <n v="0"/>
    <n v="0"/>
    <n v="0"/>
    <n v="0"/>
    <n v="0"/>
    <n v="0"/>
    <x v="1"/>
  </r>
  <r>
    <x v="199"/>
    <x v="30"/>
    <s v="NL0012294268"/>
    <s v="No"/>
    <s v="International"/>
    <m/>
    <s v="EBLRD"/>
    <s v="Euronext Amsterdam"/>
    <s v="Non-significant benchmark"/>
    <n v="0"/>
    <n v="12546000"/>
    <n v="0"/>
    <n v="0"/>
    <n v="0"/>
    <n v="0"/>
    <n v="12546000"/>
    <x v="1"/>
  </r>
  <r>
    <x v="200"/>
    <x v="30"/>
    <s v="NL0012294250"/>
    <s v="No"/>
    <s v="International"/>
    <m/>
    <s v="EBLRG"/>
    <s v="Euronext Amsterdam"/>
    <s v="Non-significant benchmark"/>
    <n v="0"/>
    <n v="0"/>
    <n v="0"/>
    <n v="0"/>
    <n v="0"/>
    <n v="0"/>
    <n v="0"/>
    <x v="1"/>
  </r>
  <r>
    <x v="201"/>
    <x v="30"/>
    <s v="NL0012294243"/>
    <s v="No"/>
    <s v="International"/>
    <m/>
    <s v="EBLRN"/>
    <s v="Euronext Amsterdam"/>
    <s v="Non-significant benchmark"/>
    <n v="0"/>
    <n v="0"/>
    <n v="0"/>
    <n v="0"/>
    <n v="0"/>
    <n v="0"/>
    <n v="0"/>
    <x v="1"/>
  </r>
  <r>
    <x v="202"/>
    <x v="31"/>
    <s v="NL0013941024"/>
    <s v="Yes"/>
    <s v="Environmental"/>
    <s v="ESG Other"/>
    <s v="EESGP"/>
    <s v="Euronext Paris"/>
    <s v="Non-significant benchmark"/>
    <n v="0"/>
    <n v="0"/>
    <n v="0"/>
    <n v="0"/>
    <n v="0"/>
    <n v="0"/>
    <n v="0"/>
    <x v="1"/>
  </r>
  <r>
    <x v="203"/>
    <x v="31"/>
    <s v="NL0013941057"/>
    <s v="Yes"/>
    <s v="Environmental"/>
    <s v="ESG Other"/>
    <s v="EZESG"/>
    <s v="Euronext Paris"/>
    <s v="Non-significant benchmark"/>
    <n v="43019736.852972999"/>
    <n v="40000000"/>
    <n v="35127792.810400002"/>
    <n v="0"/>
    <n v="0"/>
    <n v="0"/>
    <n v="43019736.852972999"/>
    <x v="1"/>
  </r>
  <r>
    <x v="204"/>
    <x v="31"/>
    <s v="NL0013941040"/>
    <s v="Yes"/>
    <s v="Environmental"/>
    <s v="ESG Other"/>
    <s v="EESGG"/>
    <s v="Euronext Paris"/>
    <s v="Non-significant benchmark"/>
    <n v="0"/>
    <n v="0"/>
    <n v="0"/>
    <n v="0"/>
    <n v="0"/>
    <n v="0"/>
    <n v="0"/>
    <x v="1"/>
  </r>
  <r>
    <x v="205"/>
    <x v="31"/>
    <s v="NL0013941032"/>
    <s v="Yes"/>
    <s v="Environmental"/>
    <s v="ESG Other"/>
    <s v="EESGN"/>
    <s v="Euronext Paris"/>
    <s v="Non-significant benchmark"/>
    <n v="0"/>
    <n v="0"/>
    <n v="0"/>
    <n v="0"/>
    <n v="0"/>
    <n v="0"/>
    <n v="0"/>
    <x v="1"/>
  </r>
  <r>
    <x v="206"/>
    <x v="32"/>
    <s v="FR0013448131"/>
    <s v="Yes"/>
    <s v="Environmental"/>
    <s v="ESG Other"/>
    <s v="FESGP"/>
    <s v="Euronext Paris"/>
    <s v="Non-significant benchmark"/>
    <n v="0"/>
    <n v="0"/>
    <n v="0"/>
    <n v="0"/>
    <n v="0"/>
    <n v="0"/>
    <n v="0"/>
    <x v="1"/>
  </r>
  <r>
    <x v="207"/>
    <x v="32"/>
    <s v="FR0013448164"/>
    <s v="Yes"/>
    <s v="Environmental"/>
    <s v="ESG Other"/>
    <s v="FRESG"/>
    <s v="Euronext Paris"/>
    <s v="Non-significant benchmark"/>
    <n v="0"/>
    <n v="0"/>
    <n v="0"/>
    <n v="0"/>
    <n v="0"/>
    <n v="0"/>
    <n v="0"/>
    <x v="1"/>
  </r>
  <r>
    <x v="208"/>
    <x v="32"/>
    <s v="FR0013448156"/>
    <s v="Yes"/>
    <s v="Environmental"/>
    <s v="ESG Other"/>
    <s v="FESGG"/>
    <s v="Euronext Paris"/>
    <s v="Non-significant benchmark"/>
    <n v="0"/>
    <n v="0"/>
    <n v="0"/>
    <n v="0"/>
    <n v="0"/>
    <n v="0"/>
    <n v="0"/>
    <x v="1"/>
  </r>
  <r>
    <x v="209"/>
    <x v="32"/>
    <s v="FR0013448149"/>
    <s v="Yes"/>
    <s v="Environmental"/>
    <s v="ESG Other"/>
    <s v="FESGN"/>
    <s v="Euronext Paris"/>
    <s v="Non-significant benchmark"/>
    <n v="0"/>
    <n v="0"/>
    <n v="0"/>
    <n v="0"/>
    <n v="0"/>
    <n v="0"/>
    <n v="0"/>
    <x v="1"/>
  </r>
  <r>
    <x v="210"/>
    <x v="33"/>
    <s v="NL0013940984"/>
    <s v="Yes"/>
    <s v="Environmental"/>
    <s v="ESG Other"/>
    <s v="WESGP"/>
    <s v="Euronext Paris"/>
    <s v="Non-significant benchmark"/>
    <n v="0"/>
    <n v="25000000"/>
    <n v="0"/>
    <n v="0"/>
    <n v="0"/>
    <n v="0"/>
    <n v="25000000"/>
    <x v="1"/>
  </r>
  <r>
    <x v="211"/>
    <x v="33"/>
    <s v="NL0013941016"/>
    <s v="Yes"/>
    <s v="Environmental"/>
    <s v="ESG Other"/>
    <s v="WLESG"/>
    <s v="Euronext Paris"/>
    <s v="Non-significant benchmark"/>
    <n v="37778500"/>
    <n v="100000000"/>
    <n v="62555838.691200003"/>
    <n v="0"/>
    <n v="0"/>
    <n v="0"/>
    <n v="62555838.691200003"/>
    <x v="1"/>
  </r>
  <r>
    <x v="212"/>
    <x v="33"/>
    <s v="NL0013941008"/>
    <s v="Yes"/>
    <s v="Environmental"/>
    <s v="ESG Other"/>
    <s v="WESGG"/>
    <s v="Euronext Paris"/>
    <s v="Non-significant benchmark"/>
    <n v="0"/>
    <n v="0"/>
    <n v="0"/>
    <n v="0"/>
    <n v="0"/>
    <n v="0"/>
    <n v="0"/>
    <x v="1"/>
  </r>
  <r>
    <x v="213"/>
    <x v="33"/>
    <s v="NL0013940992"/>
    <s v="Yes"/>
    <s v="Environmental"/>
    <s v="ESG Other"/>
    <s v="WESGN"/>
    <s v="Euronext Paris"/>
    <s v="Non-significant benchmark"/>
    <n v="0"/>
    <n v="0"/>
    <n v="0"/>
    <n v="0"/>
    <n v="0"/>
    <n v="0"/>
    <n v="0"/>
    <x v="1"/>
  </r>
  <r>
    <x v="214"/>
    <x v="34"/>
    <s v="NL0013352560"/>
    <s v="Yes"/>
    <s v="Environmental"/>
    <s v="ESG Other"/>
    <s v="EZENP"/>
    <s v="Euronext Paris"/>
    <s v="Non-significant benchmark"/>
    <n v="0"/>
    <n v="0"/>
    <n v="0"/>
    <n v="0"/>
    <n v="0"/>
    <n v="0"/>
    <n v="0"/>
    <x v="1"/>
  </r>
  <r>
    <x v="215"/>
    <x v="34"/>
    <s v="NL0013352594"/>
    <s v="Yes"/>
    <s v="Environmental"/>
    <s v="ESG Other"/>
    <s v="EZENV"/>
    <s v="Euronext Paris"/>
    <s v="Non-significant benchmark"/>
    <n v="44782638.009543002"/>
    <n v="80000000"/>
    <n v="202026254.66600001"/>
    <n v="246265618"/>
    <n v="0"/>
    <n v="0"/>
    <n v="448291872.66600001"/>
    <x v="1"/>
  </r>
  <r>
    <x v="216"/>
    <x v="34"/>
    <s v="NL0015000MS6"/>
    <s v="Yes"/>
    <s v="Environmental"/>
    <s v="ESG Other"/>
    <s v="EZEN3"/>
    <s v="Euronext Paris"/>
    <s v="Non-significant benchmark"/>
    <n v="0"/>
    <n v="0"/>
    <n v="94542945.254000008"/>
    <n v="0"/>
    <n v="0"/>
    <n v="0"/>
    <n v="94542945.254000008"/>
    <x v="1"/>
  </r>
  <r>
    <x v="217"/>
    <x v="34"/>
    <s v="NL00150000I8"/>
    <s v="Yes"/>
    <s v="Environmental"/>
    <s v="ESG Other"/>
    <s v="EZEN4"/>
    <s v="Euronext Paris"/>
    <s v="Non-significant benchmark"/>
    <n v="23865973.266879"/>
    <n v="100000000"/>
    <n v="78001383.668400005"/>
    <n v="0"/>
    <n v="0"/>
    <n v="0"/>
    <n v="78001383.668400005"/>
    <x v="1"/>
  </r>
  <r>
    <x v="218"/>
    <x v="34"/>
    <s v="NL0013352586"/>
    <s v="Yes"/>
    <s v="Environmental"/>
    <s v="ESG Other"/>
    <s v="EZENG"/>
    <s v="Euronext Paris"/>
    <s v="Non-significant benchmark"/>
    <n v="0"/>
    <n v="0"/>
    <n v="0"/>
    <n v="0"/>
    <n v="0"/>
    <n v="0"/>
    <n v="0"/>
    <x v="1"/>
  </r>
  <r>
    <x v="219"/>
    <x v="34"/>
    <s v="NL0013352578"/>
    <s v="Yes"/>
    <s v="Environmental"/>
    <s v="ESG Other"/>
    <s v="EZENN"/>
    <s v="Euronext Paris"/>
    <s v="Non-significant benchmark"/>
    <n v="0"/>
    <n v="0"/>
    <n v="0"/>
    <n v="0"/>
    <n v="0"/>
    <n v="0"/>
    <n v="0"/>
    <x v="1"/>
  </r>
  <r>
    <x v="220"/>
    <x v="35"/>
    <s v="NL0013039258"/>
    <s v="Yes"/>
    <s v="Environmental"/>
    <s v="ESG Other"/>
    <s v="FREEP"/>
    <s v="Euronext Paris"/>
    <s v="Non-significant benchmark"/>
    <n v="0"/>
    <n v="0"/>
    <n v="0"/>
    <n v="0"/>
    <n v="0"/>
    <n v="0"/>
    <n v="0"/>
    <x v="1"/>
  </r>
  <r>
    <x v="221"/>
    <x v="35"/>
    <s v="NL0013039274"/>
    <s v="Yes"/>
    <s v="Environmental"/>
    <s v="ESG Other"/>
    <s v="FREEG"/>
    <s v="Euronext Paris"/>
    <s v="Non-significant benchmark"/>
    <n v="0"/>
    <n v="0"/>
    <n v="0"/>
    <n v="0"/>
    <n v="0"/>
    <n v="0"/>
    <n v="0"/>
    <x v="1"/>
  </r>
  <r>
    <x v="222"/>
    <x v="35"/>
    <s v="NL0013039266"/>
    <s v="Yes"/>
    <s v="Environmental"/>
    <s v="ESG Other"/>
    <s v="FREEN"/>
    <s v="Euronext Paris"/>
    <s v="Non-significant benchmark"/>
    <n v="0"/>
    <n v="0"/>
    <n v="0"/>
    <n v="0"/>
    <n v="0"/>
    <n v="0"/>
    <n v="0"/>
    <x v="1"/>
  </r>
  <r>
    <x v="223"/>
    <x v="35"/>
    <s v="NL0013039282"/>
    <s v="Yes"/>
    <s v="Environmental"/>
    <s v="ESG Other"/>
    <s v="FRENE"/>
    <s v="Euronext Paris"/>
    <s v="Non-significant benchmark"/>
    <n v="0"/>
    <n v="0"/>
    <n v="0"/>
    <n v="0"/>
    <n v="0"/>
    <n v="0"/>
    <n v="0"/>
    <x v="1"/>
  </r>
  <r>
    <x v="224"/>
    <x v="36"/>
    <s v="FR0014004PQ0"/>
    <s v="Yes"/>
    <s v="Environmental"/>
    <s v="ESG Other"/>
    <s v="TESGP"/>
    <s v="Euronext Paris"/>
    <s v="Non-significant benchmark"/>
    <n v="0"/>
    <n v="0"/>
    <n v="0"/>
    <n v="0"/>
    <n v="0"/>
    <n v="0"/>
    <n v="0"/>
    <x v="1"/>
  </r>
  <r>
    <x v="225"/>
    <x v="36"/>
    <s v="FR0014004PS6"/>
    <s v="Yes"/>
    <s v="Environmental"/>
    <s v="ESG Other"/>
    <s v="TLESG"/>
    <s v="Euronext Paris"/>
    <s v="Non-significant benchmark"/>
    <n v="121902399.88875"/>
    <n v="0"/>
    <n v="131549623.6788"/>
    <n v="0"/>
    <n v="0"/>
    <n v="0"/>
    <n v="131549623.6788"/>
    <x v="1"/>
  </r>
  <r>
    <x v="226"/>
    <x v="36"/>
    <s v="FR0014004PR8"/>
    <s v="Yes"/>
    <s v="Environmental"/>
    <s v="ESG Other"/>
    <s v="TESGG"/>
    <s v="Euronext Paris"/>
    <s v="Non-significant benchmark"/>
    <n v="0"/>
    <n v="0"/>
    <n v="0"/>
    <n v="0"/>
    <n v="0"/>
    <n v="0"/>
    <n v="0"/>
    <x v="1"/>
  </r>
  <r>
    <x v="227"/>
    <x v="36"/>
    <s v="FR0014004PU2"/>
    <s v="Yes"/>
    <s v="Environmental"/>
    <s v="ESG Other"/>
    <s v="TESGN"/>
    <s v="Euronext Paris"/>
    <s v="Non-significant benchmark"/>
    <n v="0"/>
    <n v="0"/>
    <n v="0"/>
    <n v="0"/>
    <n v="0"/>
    <n v="0"/>
    <n v="0"/>
    <x v="1"/>
  </r>
  <r>
    <x v="228"/>
    <x v="37"/>
    <s v="NL0013352602"/>
    <s v="Yes"/>
    <s v="Environmental"/>
    <s v="ESG Other"/>
    <s v="WLENP"/>
    <s v="Euronext Paris"/>
    <s v="Non-significant benchmark"/>
    <n v="0"/>
    <n v="0"/>
    <n v="0"/>
    <n v="0"/>
    <n v="0"/>
    <n v="0"/>
    <n v="0"/>
    <x v="1"/>
  </r>
  <r>
    <x v="229"/>
    <x v="37"/>
    <s v="NL0013352636"/>
    <s v="Yes"/>
    <s v="Environmental"/>
    <s v="ESG Other"/>
    <s v="WLENV"/>
    <s v="Euronext Paris"/>
    <s v="Non-significant benchmark"/>
    <n v="39420744.939999998"/>
    <n v="116831242.817"/>
    <n v="6364264.5076000001"/>
    <n v="0"/>
    <n v="0"/>
    <n v="0"/>
    <n v="39420744.939999998"/>
    <x v="1"/>
  </r>
  <r>
    <x v="230"/>
    <x v="37"/>
    <s v="NL0013352628"/>
    <s v="Yes"/>
    <s v="Environmental"/>
    <s v="ESG Other"/>
    <s v="WLENG"/>
    <s v="Euronext Paris"/>
    <s v="Non-significant benchmark"/>
    <n v="0"/>
    <n v="0"/>
    <n v="0"/>
    <n v="0"/>
    <n v="0"/>
    <n v="0"/>
    <n v="0"/>
    <x v="1"/>
  </r>
  <r>
    <x v="231"/>
    <x v="37"/>
    <s v="NL0013352610"/>
    <s v="Yes"/>
    <s v="Environmental"/>
    <s v="ESG Other"/>
    <s v="WLENN"/>
    <s v="Euronext Paris"/>
    <s v="Non-significant benchmark"/>
    <n v="0"/>
    <n v="0"/>
    <n v="0"/>
    <n v="0"/>
    <n v="0"/>
    <n v="0"/>
    <n v="0"/>
    <x v="1"/>
  </r>
  <r>
    <x v="232"/>
    <x v="38"/>
    <s v="NL0013025471"/>
    <s v="Yes"/>
    <s v="Environmental"/>
    <s v="ESG Other"/>
    <s v="FRENP"/>
    <s v="Euronext Paris"/>
    <s v="Non-significant benchmark"/>
    <n v="0"/>
    <n v="0"/>
    <n v="0"/>
    <n v="0"/>
    <n v="0"/>
    <n v="0"/>
    <n v="0"/>
    <x v="1"/>
  </r>
  <r>
    <x v="233"/>
    <x v="38"/>
    <s v="NL0014913311"/>
    <s v="Yes"/>
    <s v="Environmental"/>
    <s v="ESG Other"/>
    <s v="FREN4"/>
    <s v="Euronext Paris"/>
    <s v="Non-significant benchmark"/>
    <n v="0"/>
    <n v="0"/>
    <n v="0"/>
    <n v="0"/>
    <n v="0"/>
    <n v="0"/>
    <n v="0"/>
    <x v="1"/>
  </r>
  <r>
    <x v="234"/>
    <x v="38"/>
    <s v="NL00150000K4"/>
    <s v="Yes"/>
    <s v="Environmental"/>
    <s v="ESG Other"/>
    <s v="FRE4N"/>
    <s v="Euronext Paris"/>
    <s v="Non-significant benchmark"/>
    <n v="0"/>
    <n v="0"/>
    <n v="0"/>
    <n v="0"/>
    <n v="0"/>
    <n v="0"/>
    <n v="0"/>
    <x v="1"/>
  </r>
  <r>
    <x v="235"/>
    <x v="38"/>
    <s v="NL0013025505"/>
    <s v="Yes"/>
    <s v="Environmental"/>
    <s v="ESG Other"/>
    <s v="FRENV"/>
    <s v="Euronext Paris"/>
    <s v="Non-significant benchmark"/>
    <n v="218496936.90000001"/>
    <n v="380000000"/>
    <n v="387483317.07560003"/>
    <n v="7316140"/>
    <n v="0"/>
    <n v="0"/>
    <n v="394799457.07560003"/>
    <x v="1"/>
  </r>
  <r>
    <x v="236"/>
    <x v="38"/>
    <s v="NL0013025497"/>
    <s v="Yes"/>
    <s v="Environmental"/>
    <s v="ESG Other"/>
    <s v="FRENG"/>
    <s v="Euronext Paris"/>
    <s v="Non-significant benchmark"/>
    <n v="0"/>
    <n v="0"/>
    <n v="0"/>
    <n v="0"/>
    <n v="0"/>
    <n v="0"/>
    <n v="0"/>
    <x v="1"/>
  </r>
  <r>
    <x v="237"/>
    <x v="38"/>
    <s v="NL0013025489"/>
    <s v="Yes"/>
    <s v="Environmental"/>
    <s v="ESG Other"/>
    <s v="FRENN"/>
    <s v="Euronext Paris"/>
    <s v="Non-significant benchmark"/>
    <n v="0"/>
    <n v="0"/>
    <n v="0"/>
    <n v="0"/>
    <n v="0"/>
    <n v="0"/>
    <n v="0"/>
    <x v="1"/>
  </r>
  <r>
    <x v="238"/>
    <x v="39"/>
    <s v="FRESG0000835"/>
    <s v="Yes"/>
    <s v="Environmental"/>
    <s v="ESG Other"/>
    <s v="ENFRP"/>
    <s v="Euronext Paris"/>
    <s v="Non-significant benchmark"/>
    <n v="0"/>
    <n v="0"/>
    <n v="0"/>
    <n v="0"/>
    <n v="0"/>
    <n v="0"/>
    <n v="0"/>
    <x v="1"/>
  </r>
  <r>
    <x v="239"/>
    <x v="39"/>
    <s v="FRESG0000868"/>
    <s v="Yes"/>
    <s v="Environmental"/>
    <s v="ESG Other"/>
    <s v="ENVFR"/>
    <s v="Euronext Paris"/>
    <s v="Non-significant benchmark"/>
    <n v="0"/>
    <n v="0"/>
    <n v="191305554.39560002"/>
    <n v="145902870"/>
    <n v="0"/>
    <n v="0"/>
    <n v="337208424.39560002"/>
    <x v="1"/>
  </r>
  <r>
    <x v="240"/>
    <x v="39"/>
    <s v="FRESG0000850"/>
    <s v="Yes"/>
    <s v="Environmental"/>
    <s v="ESG Other"/>
    <s v="ENFRG"/>
    <s v="Euronext Paris"/>
    <s v="Non-significant benchmark"/>
    <n v="0"/>
    <n v="0"/>
    <n v="0"/>
    <n v="0"/>
    <n v="0"/>
    <n v="0"/>
    <n v="0"/>
    <x v="1"/>
  </r>
  <r>
    <x v="241"/>
    <x v="39"/>
    <s v="FRESG0000843"/>
    <s v="Yes"/>
    <s v="Environmental"/>
    <s v="ESG Other"/>
    <s v="ENFRN"/>
    <s v="Euronext Paris"/>
    <s v="Non-significant benchmark"/>
    <n v="0"/>
    <n v="0"/>
    <n v="0"/>
    <n v="0"/>
    <n v="0"/>
    <n v="0"/>
    <n v="0"/>
    <x v="1"/>
  </r>
  <r>
    <x v="242"/>
    <x v="40"/>
    <s v="NL00150005G1"/>
    <s v="Yes"/>
    <s v="Water;Climate"/>
    <s v="ESG Other"/>
    <s v="EZWTP"/>
    <s v="Euronext Paris"/>
    <s v="Non-significant benchmark"/>
    <n v="0"/>
    <n v="0"/>
    <n v="0"/>
    <n v="0"/>
    <n v="0"/>
    <n v="0"/>
    <n v="0"/>
    <x v="1"/>
  </r>
  <r>
    <x v="243"/>
    <x v="40"/>
    <s v="NL00150005D8"/>
    <s v="Yes"/>
    <s v="Water;Climate"/>
    <s v="ESG Other"/>
    <s v="EZWTR"/>
    <s v="Euronext Paris"/>
    <s v="Non-significant benchmark"/>
    <n v="4374823.9130419996"/>
    <n v="30000000"/>
    <n v="4862998.0608000001"/>
    <n v="0"/>
    <n v="0"/>
    <n v="0"/>
    <n v="4862998.0608000001"/>
    <x v="1"/>
  </r>
  <r>
    <x v="244"/>
    <x v="40"/>
    <s v="NL00150005E6"/>
    <s v="Yes"/>
    <s v="Water;Climate"/>
    <s v="ESG Other"/>
    <s v="EZWTG"/>
    <s v="Euronext Paris"/>
    <s v="Non-significant benchmark"/>
    <n v="0"/>
    <n v="0"/>
    <n v="0"/>
    <n v="0"/>
    <n v="0"/>
    <n v="0"/>
    <n v="0"/>
    <x v="1"/>
  </r>
  <r>
    <x v="245"/>
    <x v="40"/>
    <s v="NL00150005F3"/>
    <s v="Yes"/>
    <s v="Water;Climate"/>
    <s v="ESG Other"/>
    <s v="EZWTN"/>
    <s v="Euronext Paris"/>
    <s v="Non-significant benchmark"/>
    <n v="0"/>
    <n v="0"/>
    <n v="0"/>
    <n v="0"/>
    <n v="0"/>
    <n v="0"/>
    <n v="0"/>
    <x v="1"/>
  </r>
  <r>
    <x v="246"/>
    <x v="41"/>
    <s v="NL0011923024"/>
    <s v="Yes"/>
    <s v="Climate"/>
    <s v="ESG Other"/>
    <s v="ENCLE"/>
    <s v="Euronext Paris"/>
    <s v="Non-significant benchmark"/>
    <n v="0"/>
    <n v="0"/>
    <n v="0"/>
    <n v="0"/>
    <n v="0"/>
    <n v="0"/>
    <n v="0"/>
    <x v="1"/>
  </r>
  <r>
    <x v="247"/>
    <x v="41"/>
    <s v="NL0011923040"/>
    <s v="Yes"/>
    <s v="Climate"/>
    <s v="ESG Other"/>
    <s v="ENCEG"/>
    <s v="Euronext Paris"/>
    <s v="Non-significant benchmark"/>
    <n v="0"/>
    <n v="0"/>
    <n v="0"/>
    <n v="0"/>
    <n v="0"/>
    <n v="0"/>
    <n v="0"/>
    <x v="1"/>
  </r>
  <r>
    <x v="248"/>
    <x v="41"/>
    <s v="NL0011923032"/>
    <s v="Yes"/>
    <s v="Climate"/>
    <s v="ESG Other"/>
    <s v="ENCEN"/>
    <s v="Euronext Paris"/>
    <s v="Non-significant benchmark"/>
    <n v="0"/>
    <n v="0"/>
    <n v="0"/>
    <n v="0"/>
    <n v="0"/>
    <n v="0"/>
    <n v="0"/>
    <x v="1"/>
  </r>
  <r>
    <x v="249"/>
    <x v="42"/>
    <s v="NL0013025554"/>
    <s v="Yes"/>
    <s v="Climate"/>
    <s v="ESG Other"/>
    <s v="ECO5P"/>
    <s v="Euronext Paris"/>
    <s v="Non-significant benchmark"/>
    <n v="0"/>
    <n v="0"/>
    <n v="0"/>
    <n v="0"/>
    <n v="0"/>
    <n v="0"/>
    <n v="0"/>
    <x v="1"/>
  </r>
  <r>
    <x v="250"/>
    <x v="42"/>
    <s v="NL0013025588"/>
    <s v="Yes"/>
    <s v="Climate"/>
    <s v="ESG Other"/>
    <s v="ECO5E"/>
    <s v="Euronext Paris"/>
    <s v="Non-significant benchmark"/>
    <n v="0"/>
    <n v="288143000"/>
    <n v="1795054159.1928"/>
    <n v="0"/>
    <n v="0"/>
    <n v="0"/>
    <n v="1795054159.1928"/>
    <x v="1"/>
  </r>
  <r>
    <x v="251"/>
    <x v="42"/>
    <s v="NL0013025570"/>
    <s v="Yes"/>
    <s v="Climate"/>
    <s v="ESG Other"/>
    <s v="ECO5G"/>
    <s v="Euronext Paris"/>
    <s v="Non-significant benchmark"/>
    <n v="0"/>
    <n v="0"/>
    <n v="0"/>
    <n v="0"/>
    <n v="0"/>
    <n v="0"/>
    <n v="0"/>
    <x v="1"/>
  </r>
  <r>
    <x v="252"/>
    <x v="42"/>
    <s v="NL0013025562"/>
    <s v="Yes"/>
    <s v="Climate"/>
    <s v="ESG Other"/>
    <s v="ECO5N"/>
    <s v="Euronext Paris"/>
    <s v="Non-significant benchmark"/>
    <n v="0"/>
    <n v="0"/>
    <n v="0"/>
    <n v="0"/>
    <n v="0"/>
    <n v="0"/>
    <n v="0"/>
    <x v="1"/>
  </r>
  <r>
    <x v="253"/>
    <x v="42"/>
    <s v="FR0013493608"/>
    <s v="Yes"/>
    <s v="Climate"/>
    <s v="ESG Other"/>
    <s v="ECO4D"/>
    <s v="Euronext Paris"/>
    <s v="Non-significant benchmark"/>
    <n v="0"/>
    <n v="0"/>
    <n v="0"/>
    <n v="0"/>
    <n v="0"/>
    <n v="0"/>
    <n v="0"/>
    <x v="1"/>
  </r>
  <r>
    <x v="254"/>
    <x v="43"/>
    <s v="NL0012328843"/>
    <s v="Yes"/>
    <s v="Climate"/>
    <s v="ESG Other"/>
    <s v="ECO50"/>
    <s v="Euronext Paris"/>
    <s v="Non-significant benchmark"/>
    <n v="0"/>
    <n v="0"/>
    <n v="0"/>
    <n v="0"/>
    <n v="0"/>
    <n v="0"/>
    <n v="0"/>
    <x v="1"/>
  </r>
  <r>
    <x v="255"/>
    <x v="43"/>
    <s v="NL0012328819"/>
    <s v="Yes"/>
    <s v="Climate"/>
    <s v="ESG Other"/>
    <s v="ECOEW"/>
    <s v="Euronext Paris"/>
    <s v="Non-significant benchmark"/>
    <n v="0"/>
    <n v="0"/>
    <n v="29030624.7872"/>
    <n v="0"/>
    <n v="0"/>
    <n v="0"/>
    <n v="29030624.7872"/>
    <x v="1"/>
  </r>
  <r>
    <x v="256"/>
    <x v="43"/>
    <s v="NL0012328835"/>
    <s v="Yes"/>
    <s v="Climate"/>
    <s v="ESG Other"/>
    <s v="ECOEG"/>
    <s v="Euronext Paris"/>
    <s v="Non-significant benchmark"/>
    <n v="0"/>
    <n v="0"/>
    <n v="0"/>
    <n v="0"/>
    <n v="0"/>
    <n v="0"/>
    <n v="0"/>
    <x v="1"/>
  </r>
  <r>
    <x v="257"/>
    <x v="43"/>
    <s v="NL0012328827"/>
    <s v="Yes"/>
    <s v="Climate"/>
    <s v="ESG Other"/>
    <s v="ECOEN"/>
    <s v="Euronext Paris"/>
    <s v="Non-significant benchmark"/>
    <n v="0"/>
    <n v="0"/>
    <n v="0"/>
    <n v="0"/>
    <n v="0"/>
    <n v="0"/>
    <n v="0"/>
    <x v="1"/>
  </r>
  <r>
    <x v="258"/>
    <x v="44"/>
    <s v="NL0013474224"/>
    <s v="Yes"/>
    <s v="Climate"/>
    <s v="ESG Other"/>
    <s v="COP5D"/>
    <s v="Euronext Paris"/>
    <s v="Non-significant benchmark"/>
    <n v="0"/>
    <n v="16359475.57"/>
    <n v="0"/>
    <n v="0"/>
    <n v="0"/>
    <n v="0"/>
    <n v="16359475.57"/>
    <x v="1"/>
  </r>
  <r>
    <x v="259"/>
    <x v="44"/>
    <s v="NL0011923057"/>
    <s v="Yes"/>
    <s v="Climate"/>
    <s v="ESG Other"/>
    <s v="ECOP"/>
    <s v="Euronext Paris"/>
    <s v="Non-significant benchmark"/>
    <n v="0"/>
    <n v="11389000"/>
    <n v="421883502.2216"/>
    <n v="0"/>
    <n v="0"/>
    <n v="0"/>
    <n v="421883502.2216"/>
    <x v="1"/>
  </r>
  <r>
    <x v="260"/>
    <x v="44"/>
    <s v="NL0011923081"/>
    <s v="Yes"/>
    <s v="Climate"/>
    <s v="ESG Other"/>
    <s v="COP5E"/>
    <s v="Euronext Paris"/>
    <s v="Non-significant benchmark"/>
    <n v="0"/>
    <n v="0"/>
    <n v="0"/>
    <n v="0"/>
    <n v="0"/>
    <n v="0"/>
    <n v="0"/>
    <x v="1"/>
  </r>
  <r>
    <x v="261"/>
    <x v="44"/>
    <s v="NL0011923073"/>
    <s v="Yes"/>
    <s v="Climate"/>
    <s v="ESG Other"/>
    <s v="ECOPG"/>
    <s v="Euronext Paris"/>
    <s v="Non-significant benchmark"/>
    <n v="0"/>
    <n v="0"/>
    <n v="0"/>
    <n v="0"/>
    <n v="0"/>
    <n v="0"/>
    <n v="0"/>
    <x v="1"/>
  </r>
  <r>
    <x v="262"/>
    <x v="44"/>
    <s v="NL0011923065"/>
    <s v="Yes"/>
    <s v="Climate"/>
    <s v="ESG Other"/>
    <s v="ECOPN"/>
    <s v="Euronext Paris"/>
    <s v="Non-significant benchmark"/>
    <n v="0"/>
    <n v="0"/>
    <n v="0"/>
    <n v="0"/>
    <n v="0"/>
    <n v="0"/>
    <n v="0"/>
    <x v="1"/>
  </r>
  <r>
    <x v="263"/>
    <x v="45"/>
    <s v="FR0013533551"/>
    <s v="Yes"/>
    <s v="Climate"/>
    <s v="ESG Other"/>
    <s v="ECC5P"/>
    <s v="Euronext Paris"/>
    <s v="Non-significant benchmark"/>
    <n v="0"/>
    <n v="0"/>
    <n v="0"/>
    <n v="0"/>
    <n v="0"/>
    <n v="0"/>
    <n v="0"/>
    <x v="1"/>
  </r>
  <r>
    <x v="264"/>
    <x v="45"/>
    <s v="FR0014001178"/>
    <s v="Yes"/>
    <s v="Climate"/>
    <s v="ESG Other"/>
    <s v="ECC3D"/>
    <s v="Euronext Paris"/>
    <s v="Non-significant benchmark"/>
    <n v="0"/>
    <n v="0"/>
    <n v="0"/>
    <n v="0"/>
    <n v="0"/>
    <n v="0"/>
    <n v="0"/>
    <x v="1"/>
  </r>
  <r>
    <x v="265"/>
    <x v="45"/>
    <s v="FR0013533593"/>
    <s v="Yes"/>
    <s v="Climate"/>
    <s v="ESG Other"/>
    <s v="ECC5D"/>
    <s v="Euronext Paris"/>
    <s v="Non-significant benchmark"/>
    <n v="183449940"/>
    <n v="200000000"/>
    <n v="469196420.85480005"/>
    <n v="0"/>
    <n v="0"/>
    <n v="0"/>
    <n v="469196420.85480005"/>
    <x v="1"/>
  </r>
  <r>
    <x v="266"/>
    <x v="45"/>
    <s v="FR0013533577"/>
    <s v="Yes"/>
    <s v="Climate"/>
    <s v="ESG Other"/>
    <s v="ECC5G"/>
    <s v="Euronext Paris"/>
    <s v="Non-significant benchmark"/>
    <n v="0"/>
    <n v="0"/>
    <n v="0"/>
    <n v="0"/>
    <n v="0"/>
    <n v="0"/>
    <n v="0"/>
    <x v="1"/>
  </r>
  <r>
    <x v="267"/>
    <x v="45"/>
    <s v="FR0013533569"/>
    <s v="Yes"/>
    <s v="Climate"/>
    <s v="ESG Other"/>
    <s v="ECC5N"/>
    <s v="Euronext Paris"/>
    <s v="Non-significant benchmark"/>
    <n v="0"/>
    <n v="0"/>
    <n v="0"/>
    <n v="0"/>
    <n v="0"/>
    <n v="0"/>
    <n v="0"/>
    <x v="1"/>
  </r>
  <r>
    <x v="268"/>
    <x v="46"/>
    <s v="NL0013110257"/>
    <s v="Yes"/>
    <s v="Broad ESG"/>
    <s v="ESG Other"/>
    <s v="CESG1"/>
    <s v="Euronext Paris"/>
    <s v="Non-significant benchmark"/>
    <n v="0"/>
    <n v="0"/>
    <n v="0"/>
    <n v="0"/>
    <n v="0"/>
    <n v="0"/>
    <n v="0"/>
    <x v="1"/>
  </r>
  <r>
    <x v="269"/>
    <x v="46"/>
    <s v="NL0013110224"/>
    <s v="Yes"/>
    <s v="Broad ESG"/>
    <s v="ESG Other"/>
    <s v="CEE1P"/>
    <s v="Euronext Paris"/>
    <s v="Non-significant benchmark"/>
    <n v="0"/>
    <n v="0"/>
    <n v="0"/>
    <n v="0"/>
    <n v="0"/>
    <n v="0"/>
    <n v="0"/>
    <x v="1"/>
  </r>
  <r>
    <x v="270"/>
    <x v="46"/>
    <s v="NL0013110240"/>
    <s v="Yes"/>
    <s v="Broad ESG"/>
    <s v="ESG Other"/>
    <s v="CEE1G"/>
    <s v="Euronext Paris"/>
    <s v="Non-significant benchmark"/>
    <n v="0"/>
    <n v="0"/>
    <n v="0"/>
    <n v="0"/>
    <n v="0"/>
    <n v="0"/>
    <n v="0"/>
    <x v="1"/>
  </r>
  <r>
    <x v="271"/>
    <x v="46"/>
    <s v="NL0013110232"/>
    <s v="Yes"/>
    <s v="Broad ESG"/>
    <s v="ESG Other"/>
    <s v="CEE1N"/>
    <s v="Euronext Paris"/>
    <s v="Non-significant benchmark"/>
    <n v="0"/>
    <n v="0"/>
    <n v="0"/>
    <n v="0"/>
    <n v="0"/>
    <n v="0"/>
    <n v="0"/>
    <x v="1"/>
  </r>
  <r>
    <x v="272"/>
    <x v="47"/>
    <s v="NL0013026917"/>
    <s v="Yes"/>
    <s v="Broad ESG"/>
    <s v="ESG Other"/>
    <s v="CEE3P"/>
    <s v="Euronext Paris"/>
    <s v="Non-significant benchmark"/>
    <n v="0"/>
    <n v="0"/>
    <n v="0"/>
    <n v="0"/>
    <n v="0"/>
    <n v="0"/>
    <n v="0"/>
    <x v="1"/>
  </r>
  <r>
    <x v="273"/>
    <x v="47"/>
    <s v="NL0013026941"/>
    <s v="Yes"/>
    <s v="Broad ESG"/>
    <s v="ESG Other"/>
    <s v="CESG3"/>
    <s v="Euronext Paris"/>
    <s v="Non-significant benchmark"/>
    <n v="0"/>
    <n v="0"/>
    <n v="0"/>
    <n v="0"/>
    <n v="0"/>
    <n v="0"/>
    <n v="0"/>
    <x v="1"/>
  </r>
  <r>
    <x v="274"/>
    <x v="47"/>
    <s v="NL0013026933"/>
    <s v="Yes"/>
    <s v="Broad ESG"/>
    <s v="ESG Other"/>
    <s v="CEE3G"/>
    <s v="Euronext Paris"/>
    <s v="Non-significant benchmark"/>
    <n v="0"/>
    <n v="0"/>
    <n v="0"/>
    <n v="0"/>
    <n v="0"/>
    <n v="0"/>
    <n v="0"/>
    <x v="1"/>
  </r>
  <r>
    <x v="275"/>
    <x v="47"/>
    <s v="NL0013026925"/>
    <s v="Yes"/>
    <s v="Broad ESG"/>
    <s v="ESG Other"/>
    <s v="CEE3N"/>
    <s v="Euronext Paris"/>
    <s v="Non-significant benchmark"/>
    <n v="0"/>
    <n v="0"/>
    <n v="0"/>
    <n v="0"/>
    <n v="0"/>
    <n v="0"/>
    <n v="0"/>
    <x v="1"/>
  </r>
  <r>
    <x v="276"/>
    <x v="48"/>
    <s v="NL0012254635"/>
    <s v="No"/>
    <s v="International"/>
    <m/>
    <s v="EC1EW"/>
    <s v="Euronext Amsterdam"/>
    <s v="Non-significant benchmark"/>
    <n v="1100000"/>
    <n v="0"/>
    <n v="0"/>
    <n v="0"/>
    <n v="0"/>
    <n v="0"/>
    <n v="1100000"/>
    <x v="1"/>
  </r>
  <r>
    <x v="277"/>
    <x v="48"/>
    <s v="NL0012254650"/>
    <s v="No"/>
    <s v="International"/>
    <m/>
    <s v="EC1ED"/>
    <s v="Euronext Amsterdam"/>
    <s v="Non-significant benchmark"/>
    <n v="0"/>
    <n v="0"/>
    <n v="0"/>
    <n v="0"/>
    <n v="0"/>
    <n v="0"/>
    <n v="0"/>
    <x v="1"/>
  </r>
  <r>
    <x v="278"/>
    <x v="48"/>
    <s v="NL0012375356"/>
    <s v="No"/>
    <s v="International"/>
    <m/>
    <s v="COREU"/>
    <s v="Euronext Amsterdam"/>
    <s v="Non-significant benchmark"/>
    <n v="0"/>
    <n v="0"/>
    <n v="0"/>
    <n v="0"/>
    <n v="0"/>
    <n v="0"/>
    <n v="0"/>
    <x v="1"/>
  </r>
  <r>
    <x v="279"/>
    <x v="48"/>
    <s v="NL0012254643"/>
    <s v="No"/>
    <s v="International"/>
    <m/>
    <s v="EC1EG"/>
    <s v="Euronext Amsterdam"/>
    <s v="Non-significant benchmark"/>
    <n v="0"/>
    <n v="0"/>
    <n v="0"/>
    <n v="0"/>
    <n v="0"/>
    <n v="0"/>
    <n v="0"/>
    <x v="1"/>
  </r>
  <r>
    <x v="280"/>
    <x v="48"/>
    <s v="NL0012375349"/>
    <s v="No"/>
    <s v="International"/>
    <m/>
    <s v="COREN"/>
    <s v="Euronext Amsterdam"/>
    <s v="Non-significant benchmark"/>
    <n v="0"/>
    <n v="0"/>
    <n v="0"/>
    <n v="0"/>
    <n v="0"/>
    <n v="0"/>
    <n v="0"/>
    <x v="1"/>
  </r>
  <r>
    <x v="281"/>
    <x v="48"/>
    <s v="NL0012483903"/>
    <s v="No"/>
    <s v="International"/>
    <m/>
    <s v="COR3P"/>
    <s v="Euronext Amsterdam"/>
    <s v="Non-significant benchmark"/>
    <n v="0"/>
    <n v="0"/>
    <n v="0"/>
    <n v="0"/>
    <n v="0"/>
    <n v="0"/>
    <n v="0"/>
    <x v="1"/>
  </r>
  <r>
    <x v="282"/>
    <x v="48"/>
    <s v="NL0012483945"/>
    <s v="No"/>
    <s v="International"/>
    <m/>
    <s v="COR3D"/>
    <s v="Euronext Amsterdam"/>
    <s v="Non-significant benchmark"/>
    <n v="0"/>
    <n v="0"/>
    <n v="0"/>
    <n v="0"/>
    <n v="0"/>
    <n v="0"/>
    <n v="0"/>
    <x v="1"/>
  </r>
  <r>
    <x v="283"/>
    <x v="48"/>
    <s v="NL0012483929"/>
    <s v="No"/>
    <s v="International"/>
    <m/>
    <s v="COR30"/>
    <s v="Euronext Amsterdam"/>
    <s v="Non-significant benchmark"/>
    <n v="0"/>
    <n v="0"/>
    <n v="388321447.42320001"/>
    <n v="0"/>
    <n v="0"/>
    <n v="0"/>
    <n v="388321447.42320001"/>
    <x v="1"/>
  </r>
  <r>
    <x v="284"/>
    <x v="48"/>
    <s v="NL0012483937"/>
    <s v="No"/>
    <s v="International"/>
    <m/>
    <s v="COR3G"/>
    <s v="Euronext Amsterdam"/>
    <s v="Non-significant benchmark"/>
    <n v="0"/>
    <n v="0"/>
    <n v="0"/>
    <n v="0"/>
    <n v="0"/>
    <n v="0"/>
    <n v="0"/>
    <x v="1"/>
  </r>
  <r>
    <x v="285"/>
    <x v="48"/>
    <s v="NL0012483911"/>
    <s v="No"/>
    <s v="International"/>
    <m/>
    <s v="COR3N"/>
    <s v="Euronext Amsterdam"/>
    <s v="Non-significant benchmark"/>
    <n v="0"/>
    <n v="0"/>
    <n v="0"/>
    <n v="0"/>
    <n v="0"/>
    <n v="0"/>
    <n v="0"/>
    <x v="1"/>
  </r>
  <r>
    <x v="286"/>
    <x v="49"/>
    <s v="FR0014003PU4"/>
    <s v="Yes"/>
    <s v="Climate;PAB"/>
    <s v="PAB"/>
    <s v="CPABP"/>
    <s v="Euronext Paris"/>
    <s v="Non-significant benchmark"/>
    <n v="0"/>
    <n v="0"/>
    <n v="0"/>
    <n v="0"/>
    <n v="0"/>
    <n v="0"/>
    <n v="0"/>
    <x v="1"/>
  </r>
  <r>
    <x v="287"/>
    <x v="49"/>
    <s v="FRCLIM000015"/>
    <s v="Yes"/>
    <s v="Climate;PAB"/>
    <s v="PAB"/>
    <s v="CPAB4"/>
    <s v="Euronext Paris"/>
    <s v="Non-significant benchmark"/>
    <n v="0"/>
    <n v="0"/>
    <n v="0"/>
    <n v="0"/>
    <n v="0"/>
    <n v="0"/>
    <n v="0"/>
    <x v="1"/>
  </r>
  <r>
    <x v="288"/>
    <x v="49"/>
    <s v="FR0014003PV2"/>
    <s v="Yes"/>
    <s v="Climate;PAB"/>
    <s v="PAB"/>
    <s v="CPAB5"/>
    <s v="Euronext Paris"/>
    <s v="Non-significant benchmark"/>
    <n v="0"/>
    <n v="100000000"/>
    <n v="60059868.095599994"/>
    <n v="0"/>
    <n v="0"/>
    <n v="0"/>
    <n v="100000000"/>
    <x v="1"/>
  </r>
  <r>
    <x v="289"/>
    <x v="49"/>
    <s v="FR0014003PN9"/>
    <s v="Yes"/>
    <s v="Climate;PAB"/>
    <s v="PAB"/>
    <s v="CPABG"/>
    <s v="Euronext Paris"/>
    <s v="Non-significant benchmark"/>
    <n v="0"/>
    <n v="0"/>
    <n v="0"/>
    <n v="0"/>
    <n v="0"/>
    <n v="0"/>
    <n v="0"/>
    <x v="1"/>
  </r>
  <r>
    <x v="290"/>
    <x v="49"/>
    <s v="FR0014003PP4"/>
    <s v="Yes"/>
    <s v="Climate;PAB"/>
    <s v="PAB"/>
    <s v="CPABN"/>
    <s v="Euronext Paris"/>
    <s v="Non-significant benchmark"/>
    <n v="0"/>
    <n v="0"/>
    <n v="0"/>
    <n v="0"/>
    <n v="0"/>
    <n v="0"/>
    <n v="0"/>
    <x v="1"/>
  </r>
  <r>
    <x v="291"/>
    <x v="50"/>
    <s v="NL0015000I89"/>
    <s v="No"/>
    <s v="International"/>
    <m/>
    <s v="ENDMP"/>
    <s v="Euronext Amsterdam"/>
    <s v="Non-significant benchmark"/>
    <n v="0"/>
    <n v="0"/>
    <n v="0"/>
    <n v="0"/>
    <n v="0"/>
    <n v="0"/>
    <n v="0"/>
    <x v="1"/>
  </r>
  <r>
    <x v="292"/>
    <x v="50"/>
    <s v="NL0015000I63"/>
    <s v="No"/>
    <s v="International"/>
    <m/>
    <s v="ENDMG"/>
    <s v="Euronext Amsterdam"/>
    <s v="Non-significant benchmark"/>
    <n v="0"/>
    <n v="0"/>
    <n v="0"/>
    <n v="0"/>
    <n v="0"/>
    <n v="0"/>
    <n v="0"/>
    <x v="1"/>
  </r>
  <r>
    <x v="293"/>
    <x v="50"/>
    <s v="NLIX00000025"/>
    <s v="No"/>
    <s v="International"/>
    <m/>
    <s v="EDMGU"/>
    <s v="Euronext Amsterdam"/>
    <s v="Non-significant benchmark"/>
    <n v="0"/>
    <n v="0"/>
    <n v="0"/>
    <n v="0"/>
    <n v="0"/>
    <n v="0"/>
    <n v="0"/>
    <x v="1"/>
  </r>
  <r>
    <x v="294"/>
    <x v="50"/>
    <s v="NL0015000I71"/>
    <s v="No"/>
    <s v="International"/>
    <m/>
    <s v="ENDMN"/>
    <s v="Euronext Amsterdam"/>
    <s v="Non-significant benchmark"/>
    <n v="0"/>
    <n v="0"/>
    <n v="0"/>
    <n v="0"/>
    <n v="0"/>
    <n v="0"/>
    <n v="0"/>
    <x v="1"/>
  </r>
  <r>
    <x v="295"/>
    <x v="50"/>
    <s v="NLIX00000017"/>
    <s v="No"/>
    <s v="International"/>
    <m/>
    <s v="EDMNU"/>
    <s v="Euronext Amsterdam"/>
    <s v="Non-significant benchmark"/>
    <n v="0"/>
    <n v="0"/>
    <n v="0"/>
    <n v="0"/>
    <n v="0"/>
    <n v="0"/>
    <n v="0"/>
    <x v="1"/>
  </r>
  <r>
    <x v="296"/>
    <x v="50"/>
    <s v="NLIX00000009"/>
    <s v="No"/>
    <s v="International"/>
    <m/>
    <s v="EDMPU"/>
    <s v="Euronext Amsterdam"/>
    <s v="Non-significant benchmark"/>
    <n v="0"/>
    <n v="0"/>
    <n v="0"/>
    <n v="0"/>
    <n v="0"/>
    <n v="0"/>
    <n v="0"/>
    <x v="1"/>
  </r>
  <r>
    <x v="297"/>
    <x v="51"/>
    <s v="FRESG0000686"/>
    <s v="Yes"/>
    <s v="Environmental"/>
    <s v="ESG Other"/>
    <s v="EGSEP"/>
    <s v="Euronext Paris"/>
    <s v="Non-significant benchmark"/>
    <n v="0"/>
    <n v="0"/>
    <n v="0"/>
    <n v="0"/>
    <n v="0"/>
    <n v="0"/>
    <n v="0"/>
    <x v="1"/>
  </r>
  <r>
    <x v="298"/>
    <x v="51"/>
    <s v="FRESG0000694"/>
    <s v="Yes"/>
    <s v="Environmental"/>
    <s v="ESG Other"/>
    <s v="EGSEG"/>
    <s v="Euronext Paris"/>
    <s v="Non-significant benchmark"/>
    <n v="0"/>
    <n v="0"/>
    <n v="0"/>
    <n v="0"/>
    <n v="0"/>
    <n v="0"/>
    <n v="0"/>
    <x v="1"/>
  </r>
  <r>
    <x v="299"/>
    <x v="51"/>
    <s v="FRESG0000702"/>
    <s v="Yes"/>
    <s v="Environmental"/>
    <s v="ESG Other"/>
    <s v="EGSEN"/>
    <s v="Euronext Paris"/>
    <s v="Non-significant benchmark"/>
    <n v="0"/>
    <n v="0"/>
    <n v="0"/>
    <n v="0"/>
    <n v="0"/>
    <n v="0"/>
    <n v="0"/>
    <x v="1"/>
  </r>
  <r>
    <x v="300"/>
    <x v="52"/>
    <s v="FRESG0000652"/>
    <s v="Yes"/>
    <s v="Environmental"/>
    <s v="ESG Other"/>
    <s v="EGSW"/>
    <s v="Euronext Paris"/>
    <s v="Non-significant benchmark"/>
    <n v="0"/>
    <n v="0"/>
    <n v="0"/>
    <n v="0"/>
    <n v="0"/>
    <n v="0"/>
    <n v="0"/>
    <x v="1"/>
  </r>
  <r>
    <x v="301"/>
    <x v="52"/>
    <s v="FRESG0000660"/>
    <s v="Yes"/>
    <s v="Environmental"/>
    <s v="ESG Other"/>
    <s v="EGSWG"/>
    <s v="Euronext Paris"/>
    <s v="Non-significant benchmark"/>
    <n v="0"/>
    <n v="0"/>
    <n v="0"/>
    <n v="0"/>
    <n v="0"/>
    <n v="0"/>
    <n v="0"/>
    <x v="1"/>
  </r>
  <r>
    <x v="302"/>
    <x v="52"/>
    <s v="FRESG0000678"/>
    <s v="Yes"/>
    <s v="Environmental"/>
    <s v="ESG Other"/>
    <s v="EGSWN"/>
    <s v="Euronext Paris"/>
    <s v="Non-significant benchmark"/>
    <n v="0"/>
    <n v="0"/>
    <n v="0"/>
    <n v="0"/>
    <n v="0"/>
    <n v="0"/>
    <n v="0"/>
    <x v="1"/>
  </r>
  <r>
    <x v="303"/>
    <x v="53"/>
    <s v="FRESG0000991"/>
    <s v="Yes"/>
    <s v="Social"/>
    <s v="ESG Other"/>
    <s v="EQGEP"/>
    <s v="Euronext Paris"/>
    <s v="Non-significant benchmark"/>
    <n v="0"/>
    <n v="0"/>
    <n v="0"/>
    <n v="0"/>
    <n v="0"/>
    <n v="0"/>
    <n v="0"/>
    <x v="1"/>
  </r>
  <r>
    <x v="304"/>
    <x v="53"/>
    <s v="FRESG0001015"/>
    <s v="Yes"/>
    <s v="Social"/>
    <s v="ESG Other"/>
    <s v="EQGEG"/>
    <s v="Euronext Paris"/>
    <s v="Non-significant benchmark"/>
    <n v="0"/>
    <n v="0"/>
    <n v="0"/>
    <n v="0"/>
    <n v="0"/>
    <n v="0"/>
    <n v="0"/>
    <x v="1"/>
  </r>
  <r>
    <x v="305"/>
    <x v="53"/>
    <s v="FRESG0001007"/>
    <s v="Yes"/>
    <s v="Social"/>
    <s v="ESG Other"/>
    <s v="EQGEN"/>
    <s v="Euronext Paris"/>
    <s v="Non-significant benchmark"/>
    <n v="0"/>
    <n v="0"/>
    <n v="0"/>
    <n v="0"/>
    <n v="0"/>
    <n v="0"/>
    <n v="0"/>
    <x v="1"/>
  </r>
  <r>
    <x v="306"/>
    <x v="54"/>
    <s v="FRESG0000900"/>
    <s v="Yes"/>
    <s v="Social"/>
    <s v="ESG Other"/>
    <s v="EQGFP"/>
    <s v="Euronext Paris"/>
    <s v="Non-significant benchmark"/>
    <n v="0"/>
    <n v="0"/>
    <n v="0"/>
    <n v="0"/>
    <n v="0"/>
    <n v="0"/>
    <n v="0"/>
    <x v="1"/>
  </r>
  <r>
    <x v="307"/>
    <x v="54"/>
    <s v="FRESG0000926"/>
    <s v="Yes"/>
    <s v="Social"/>
    <s v="ESG Other"/>
    <s v="EQGFG"/>
    <s v="Euronext Paris"/>
    <s v="Non-significant benchmark"/>
    <n v="0"/>
    <n v="0"/>
    <n v="0"/>
    <n v="0"/>
    <n v="0"/>
    <n v="0"/>
    <n v="0"/>
    <x v="1"/>
  </r>
  <r>
    <x v="308"/>
    <x v="54"/>
    <s v="FRESG0000918"/>
    <s v="Yes"/>
    <s v="Social"/>
    <s v="ESG Other"/>
    <s v="EQGFN"/>
    <s v="Euronext Paris"/>
    <s v="Non-significant benchmark"/>
    <n v="0"/>
    <n v="0"/>
    <n v="0"/>
    <n v="0"/>
    <n v="0"/>
    <n v="0"/>
    <n v="0"/>
    <x v="1"/>
  </r>
  <r>
    <x v="309"/>
    <x v="55"/>
    <s v="FRESG0000090"/>
    <s v="Yes"/>
    <s v="Biodiversity"/>
    <s v="ESG Other"/>
    <s v="EBSEP"/>
    <s v="Euronext Paris"/>
    <s v="Non-significant benchmark"/>
    <n v="0"/>
    <n v="0"/>
    <n v="0"/>
    <n v="0"/>
    <n v="0"/>
    <n v="0"/>
    <n v="0"/>
    <x v="1"/>
  </r>
  <r>
    <x v="310"/>
    <x v="55"/>
    <s v="FRESG0000124"/>
    <s v="Yes"/>
    <s v="Biodiversity"/>
    <s v="ESG Other"/>
    <s v="EBSE4"/>
    <s v="Euronext Paris"/>
    <s v="Non-significant benchmark"/>
    <n v="0"/>
    <n v="0"/>
    <n v="0"/>
    <n v="0"/>
    <n v="0"/>
    <n v="0"/>
    <n v="0"/>
    <x v="1"/>
  </r>
  <r>
    <x v="311"/>
    <x v="55"/>
    <s v="FRESG0000132"/>
    <s v="Yes"/>
    <s v="Biodiversity"/>
    <s v="ESG Other"/>
    <s v="EBSE5"/>
    <s v="Euronext Paris"/>
    <s v="Non-significant benchmark"/>
    <n v="0"/>
    <n v="0"/>
    <n v="0"/>
    <n v="0"/>
    <n v="0"/>
    <n v="0"/>
    <n v="0"/>
    <x v="1"/>
  </r>
  <r>
    <x v="312"/>
    <x v="55"/>
    <s v="FRESG0000116"/>
    <s v="Yes"/>
    <s v="Biodiversity"/>
    <s v="ESG Other"/>
    <s v="EBSEG"/>
    <s v="Euronext Paris"/>
    <s v="Non-significant benchmark"/>
    <n v="0"/>
    <n v="0"/>
    <n v="0"/>
    <n v="0"/>
    <n v="0"/>
    <n v="0"/>
    <n v="0"/>
    <x v="1"/>
  </r>
  <r>
    <x v="313"/>
    <x v="55"/>
    <s v="FRESG0000108"/>
    <s v="Yes"/>
    <s v="Biodiversity"/>
    <s v="ESG Other"/>
    <s v="EBSEN"/>
    <s v="Euronext Paris"/>
    <s v="Non-significant benchmark"/>
    <n v="0"/>
    <n v="0"/>
    <n v="0"/>
    <n v="0"/>
    <n v="0"/>
    <n v="0"/>
    <n v="0"/>
    <x v="1"/>
  </r>
  <r>
    <x v="314"/>
    <x v="56"/>
    <s v="FRESG0000405"/>
    <s v="Yes"/>
    <s v="Biodiversity"/>
    <s v="ESG Other"/>
    <s v="EBSTP"/>
    <s v="Euronext Paris"/>
    <s v="Non-significant benchmark"/>
    <n v="0"/>
    <n v="0"/>
    <n v="0"/>
    <n v="0"/>
    <n v="0"/>
    <n v="0"/>
    <n v="0"/>
    <x v="1"/>
  </r>
  <r>
    <x v="315"/>
    <x v="56"/>
    <s v="FRESG0000439"/>
    <s v="Yes"/>
    <s v="Biodiversity"/>
    <s v="ESG Other"/>
    <s v="EBST4"/>
    <s v="Euronext Paris"/>
    <s v="Non-significant benchmark"/>
    <n v="0"/>
    <n v="0"/>
    <n v="0"/>
    <n v="0"/>
    <n v="0"/>
    <n v="0"/>
    <n v="0"/>
    <x v="1"/>
  </r>
  <r>
    <x v="316"/>
    <x v="56"/>
    <s v="FRESG0000447"/>
    <s v="Yes"/>
    <s v="Biodiversity"/>
    <s v="ESG Other"/>
    <s v="EBST5"/>
    <s v="Euronext Paris"/>
    <s v="Non-significant benchmark"/>
    <n v="0"/>
    <n v="0"/>
    <n v="0"/>
    <n v="0"/>
    <n v="0"/>
    <n v="0"/>
    <n v="0"/>
    <x v="1"/>
  </r>
  <r>
    <x v="317"/>
    <x v="56"/>
    <s v="FRESG0000421"/>
    <s v="Yes"/>
    <s v="Biodiversity"/>
    <s v="ESG Other"/>
    <s v="EBSTG"/>
    <s v="Euronext Paris"/>
    <s v="Non-significant benchmark"/>
    <n v="0"/>
    <n v="0"/>
    <n v="0"/>
    <n v="0"/>
    <n v="0"/>
    <n v="0"/>
    <n v="0"/>
    <x v="1"/>
  </r>
  <r>
    <x v="318"/>
    <x v="56"/>
    <s v="FRESG0000413"/>
    <s v="Yes"/>
    <s v="Biodiversity"/>
    <s v="ESG Other"/>
    <s v="EBSTN"/>
    <s v="Euronext Paris"/>
    <s v="Non-significant benchmark"/>
    <n v="0"/>
    <n v="0"/>
    <n v="0"/>
    <n v="0"/>
    <n v="0"/>
    <n v="0"/>
    <n v="0"/>
    <x v="1"/>
  </r>
  <r>
    <x v="319"/>
    <x v="57"/>
    <s v="FRESG0000066"/>
    <s v="Yes"/>
    <s v="Biodiversity"/>
    <s v="ESG Other"/>
    <s v="EBSWP"/>
    <s v="Euronext Paris"/>
    <s v="Non-significant benchmark"/>
    <n v="0"/>
    <n v="0"/>
    <n v="0"/>
    <n v="0"/>
    <n v="0"/>
    <n v="0"/>
    <n v="0"/>
    <x v="1"/>
  </r>
  <r>
    <x v="320"/>
    <x v="57"/>
    <s v="FRESG0000082"/>
    <s v="Yes"/>
    <s v="Biodiversity"/>
    <s v="ESG Other"/>
    <s v="EBSWG"/>
    <s v="Euronext Paris"/>
    <s v="Non-significant benchmark"/>
    <n v="0"/>
    <n v="0"/>
    <n v="0"/>
    <n v="0"/>
    <n v="0"/>
    <n v="0"/>
    <n v="0"/>
    <x v="1"/>
  </r>
  <r>
    <x v="321"/>
    <x v="57"/>
    <s v="FRESG0000157"/>
    <s v="Yes"/>
    <s v="Biodiversity"/>
    <s v="ESG Other"/>
    <s v="EBSGW"/>
    <s v="Euronext Paris"/>
    <s v="Non-significant benchmark"/>
    <n v="0"/>
    <n v="0"/>
    <n v="0"/>
    <n v="0"/>
    <n v="0"/>
    <n v="0"/>
    <n v="0"/>
    <x v="1"/>
  </r>
  <r>
    <x v="322"/>
    <x v="57"/>
    <s v="FRESG0000074"/>
    <s v="Yes"/>
    <s v="Biodiversity"/>
    <s v="ESG Other"/>
    <s v="EBSWN"/>
    <s v="Euronext Paris"/>
    <s v="Non-significant benchmark"/>
    <n v="0"/>
    <n v="0"/>
    <n v="0"/>
    <n v="0"/>
    <n v="0"/>
    <n v="0"/>
    <n v="0"/>
    <x v="1"/>
  </r>
  <r>
    <x v="323"/>
    <x v="57"/>
    <s v="FRESG0000165"/>
    <s v="Yes"/>
    <s v="Biodiversity"/>
    <s v="ESG Other"/>
    <s v="EBSNW"/>
    <s v="Euronext Paris"/>
    <s v="Non-significant benchmark"/>
    <n v="0"/>
    <n v="0"/>
    <n v="0"/>
    <n v="4803903.0320111997"/>
    <n v="0"/>
    <n v="0"/>
    <n v="4803903.0320111997"/>
    <x v="1"/>
  </r>
  <r>
    <x v="324"/>
    <x v="57"/>
    <s v="FRESG0000140"/>
    <s v="Yes"/>
    <s v="Biodiversity"/>
    <s v="ESG Other"/>
    <s v="EBSPW"/>
    <s v="Euronext Paris"/>
    <s v="Non-significant benchmark"/>
    <n v="0"/>
    <n v="0"/>
    <n v="0"/>
    <n v="0"/>
    <n v="0"/>
    <n v="0"/>
    <n v="0"/>
    <x v="1"/>
  </r>
  <r>
    <x v="325"/>
    <x v="58"/>
    <s v="FRESG0000371"/>
    <s v="Yes"/>
    <s v="Biodiversity;Climate;PAB"/>
    <s v="PAB"/>
    <s v="EBLPP"/>
    <s v="Euronext Paris"/>
    <s v="Non-significant benchmark"/>
    <n v="0"/>
    <n v="0"/>
    <n v="0"/>
    <n v="0"/>
    <n v="0"/>
    <n v="0"/>
    <n v="0"/>
    <x v="1"/>
  </r>
  <r>
    <x v="326"/>
    <x v="58"/>
    <s v="FRESG0000389"/>
    <s v="Yes"/>
    <s v="Biodiversity;Climate;PAB"/>
    <s v="PAB"/>
    <s v="EBLPG"/>
    <s v="Euronext Paris"/>
    <s v="Non-significant benchmark"/>
    <n v="0"/>
    <n v="0"/>
    <n v="0"/>
    <n v="0"/>
    <n v="0"/>
    <n v="0"/>
    <n v="0"/>
    <x v="1"/>
  </r>
  <r>
    <x v="327"/>
    <x v="58"/>
    <s v="FRESG0000397"/>
    <s v="Yes"/>
    <s v="Biodiversity;Climate;PAB"/>
    <s v="PAB"/>
    <s v="EBLPN"/>
    <s v="Euronext Paris"/>
    <s v="Non-significant benchmark"/>
    <n v="0"/>
    <n v="0"/>
    <n v="0"/>
    <n v="46350802"/>
    <n v="0"/>
    <n v="0"/>
    <n v="46350802"/>
    <x v="1"/>
  </r>
  <r>
    <x v="328"/>
    <x v="59"/>
    <s v="FR0013477007"/>
    <s v="Yes"/>
    <s v="Broad ESG"/>
    <s v="ESG Other"/>
    <s v="ESGEP"/>
    <s v="Euronext Paris"/>
    <s v="Non-significant benchmark"/>
    <n v="0"/>
    <n v="0"/>
    <n v="0"/>
    <n v="0"/>
    <n v="0"/>
    <n v="0"/>
    <n v="0"/>
    <x v="1"/>
  </r>
  <r>
    <x v="329"/>
    <x v="59"/>
    <s v="FR0013477056"/>
    <s v="Yes"/>
    <s v="Broad ESG"/>
    <s v="ESG Other"/>
    <s v="ESGZD"/>
    <s v="Euronext Paris"/>
    <s v="Non-significant benchmark"/>
    <n v="0"/>
    <n v="0"/>
    <n v="0"/>
    <n v="0"/>
    <n v="0"/>
    <n v="0"/>
    <n v="0"/>
    <x v="1"/>
  </r>
  <r>
    <x v="330"/>
    <x v="59"/>
    <s v="FR0013477049"/>
    <s v="Yes"/>
    <s v="Broad ESG"/>
    <s v="ESG Other"/>
    <s v="ESGEZ"/>
    <s v="Euronext Paris"/>
    <s v="Non-significant benchmark"/>
    <n v="227950381"/>
    <n v="342351000"/>
    <n v="203794617.59720001"/>
    <n v="0"/>
    <n v="0"/>
    <n v="0"/>
    <n v="227950381"/>
    <x v="1"/>
  </r>
  <r>
    <x v="331"/>
    <x v="59"/>
    <s v="FR0013477031"/>
    <s v="Yes"/>
    <s v="Broad ESG"/>
    <s v="ESG Other"/>
    <s v="ESGEG"/>
    <s v="Euronext Paris"/>
    <s v="Non-significant benchmark"/>
    <n v="0"/>
    <n v="0"/>
    <n v="0"/>
    <n v="0"/>
    <n v="0"/>
    <n v="0"/>
    <n v="0"/>
    <x v="1"/>
  </r>
  <r>
    <x v="332"/>
    <x v="59"/>
    <s v="FR0013477023"/>
    <s v="Yes"/>
    <s v="Broad ESG"/>
    <s v="ESG Other"/>
    <s v="ESGEN"/>
    <s v="Euronext Paris"/>
    <s v="Non-significant benchmark"/>
    <n v="0"/>
    <n v="0"/>
    <n v="0"/>
    <n v="0"/>
    <n v="0"/>
    <n v="0"/>
    <n v="0"/>
    <x v="1"/>
  </r>
  <r>
    <x v="333"/>
    <x v="60"/>
    <s v="NL0012481741"/>
    <s v="Yes"/>
    <s v="Broad ESG"/>
    <s v="ESG Other"/>
    <s v="ESG50"/>
    <s v="Euronext Paris"/>
    <s v="Non-significant benchmark"/>
    <n v="0"/>
    <n v="240000000"/>
    <n v="0"/>
    <n v="0"/>
    <n v="0"/>
    <n v="0"/>
    <n v="240000000"/>
    <x v="1"/>
  </r>
  <r>
    <x v="334"/>
    <x v="60"/>
    <s v="NL0012481774"/>
    <s v="Yes"/>
    <s v="Broad ESG"/>
    <s v="ESG Other"/>
    <s v="ESG5D"/>
    <s v="Euronext Paris"/>
    <s v="Non-significant benchmark"/>
    <n v="530971463.14279771"/>
    <n v="2636851700"/>
    <n v="725931403.70480001"/>
    <n v="0"/>
    <n v="0"/>
    <n v="0"/>
    <n v="725931403.70480001"/>
    <x v="1"/>
  </r>
  <r>
    <x v="335"/>
    <x v="60"/>
    <s v="NL0012481766"/>
    <s v="Yes"/>
    <s v="Broad ESG"/>
    <s v="ESG Other"/>
    <s v="ESG5G"/>
    <s v="Euronext Paris"/>
    <s v="Non-significant benchmark"/>
    <n v="0"/>
    <n v="0"/>
    <n v="0"/>
    <n v="0"/>
    <n v="0"/>
    <n v="0"/>
    <n v="0"/>
    <x v="1"/>
  </r>
  <r>
    <x v="336"/>
    <x v="60"/>
    <s v="NL0012481758"/>
    <s v="Yes"/>
    <s v="Broad ESG"/>
    <s v="ESG Other"/>
    <s v="ESG5N"/>
    <s v="Euronext Paris"/>
    <s v="Non-significant benchmark"/>
    <n v="0"/>
    <n v="0"/>
    <n v="0"/>
    <n v="0"/>
    <n v="0"/>
    <n v="0"/>
    <n v="0"/>
    <x v="1"/>
  </r>
  <r>
    <x v="337"/>
    <x v="61"/>
    <s v="NL0013400302"/>
    <s v="Yes"/>
    <s v="Social;Governance"/>
    <s v="ESG Other"/>
    <s v="SG50P"/>
    <s v="Euronext Paris"/>
    <s v="Non-significant benchmark"/>
    <n v="0"/>
    <n v="0"/>
    <n v="0"/>
    <n v="0"/>
    <n v="0"/>
    <n v="0"/>
    <n v="0"/>
    <x v="1"/>
  </r>
  <r>
    <x v="338"/>
    <x v="61"/>
    <s v="NL0013400336"/>
    <s v="Yes"/>
    <s v="Social;Governance"/>
    <s v="ESG Other"/>
    <s v="SG50D"/>
    <s v="Euronext Paris"/>
    <s v="Non-significant benchmark"/>
    <n v="0"/>
    <n v="0"/>
    <n v="0"/>
    <n v="0"/>
    <n v="0"/>
    <n v="0"/>
    <n v="0"/>
    <x v="1"/>
  </r>
  <r>
    <x v="339"/>
    <x v="61"/>
    <s v="NL0013400328"/>
    <s v="Yes"/>
    <s v="Social;Governance"/>
    <s v="ESG Other"/>
    <s v="SG50G"/>
    <s v="Euronext Paris"/>
    <s v="Non-significant benchmark"/>
    <n v="0"/>
    <n v="0"/>
    <n v="0"/>
    <n v="0"/>
    <n v="0"/>
    <n v="0"/>
    <n v="0"/>
    <x v="1"/>
  </r>
  <r>
    <x v="340"/>
    <x v="61"/>
    <s v="NL0013400310"/>
    <s v="Yes"/>
    <s v="Social;Governance"/>
    <s v="ESG Other"/>
    <s v="SG50N"/>
    <s v="Euronext Paris"/>
    <s v="Non-significant benchmark"/>
    <n v="0"/>
    <n v="0"/>
    <n v="0"/>
    <n v="0"/>
    <n v="0"/>
    <n v="0"/>
    <n v="0"/>
    <x v="1"/>
  </r>
  <r>
    <x v="341"/>
    <x v="62"/>
    <s v="FRESG0000306"/>
    <s v="Yes"/>
    <s v="Biodiversity"/>
    <s v="ESG Other"/>
    <s v="BIOEP"/>
    <s v="Euronext Paris"/>
    <s v="Non-significant benchmark"/>
    <n v="0"/>
    <n v="0"/>
    <n v="0"/>
    <n v="0"/>
    <n v="0"/>
    <n v="0"/>
    <n v="0"/>
    <x v="1"/>
  </r>
  <r>
    <x v="342"/>
    <x v="62"/>
    <s v="FRESG0000488"/>
    <s v="Yes"/>
    <s v="Biodiversity"/>
    <s v="ESG Other"/>
    <s v="BIOE4"/>
    <s v="Euronext Paris"/>
    <s v="Non-significant benchmark"/>
    <n v="0"/>
    <n v="0"/>
    <n v="0"/>
    <n v="0"/>
    <n v="0"/>
    <n v="0"/>
    <n v="0"/>
    <x v="1"/>
  </r>
  <r>
    <x v="343"/>
    <x v="62"/>
    <s v="FRESG0000330"/>
    <s v="Yes"/>
    <s v="Biodiversity"/>
    <s v="ESG Other"/>
    <s v="BIOEZ"/>
    <s v="Euronext Paris"/>
    <s v="Non-significant benchmark"/>
    <n v="29087000"/>
    <n v="0"/>
    <n v="1160488.1736000001"/>
    <n v="0"/>
    <n v="0"/>
    <n v="0"/>
    <n v="29087000"/>
    <x v="1"/>
  </r>
  <r>
    <x v="344"/>
    <x v="62"/>
    <s v="FRESG0000314"/>
    <s v="Yes"/>
    <s v="Biodiversity"/>
    <s v="ESG Other"/>
    <s v="BIOEG"/>
    <s v="Euronext Paris"/>
    <s v="Non-significant benchmark"/>
    <n v="0"/>
    <n v="0"/>
    <n v="0"/>
    <n v="0"/>
    <n v="0"/>
    <n v="0"/>
    <n v="0"/>
    <x v="1"/>
  </r>
  <r>
    <x v="345"/>
    <x v="62"/>
    <s v="FRESG0000322"/>
    <s v="Yes"/>
    <s v="Biodiversity"/>
    <s v="ESG Other"/>
    <s v="BIOEN"/>
    <s v="Euronext Paris"/>
    <s v="Non-significant benchmark"/>
    <n v="0"/>
    <n v="0"/>
    <n v="0"/>
    <n v="0"/>
    <n v="0"/>
    <n v="0"/>
    <n v="0"/>
    <x v="1"/>
  </r>
  <r>
    <x v="346"/>
    <x v="63"/>
    <s v="NL0013273014"/>
    <s v="No"/>
    <s v="International"/>
    <m/>
    <s v="EU500"/>
    <s v="Euronext Amsterdam"/>
    <s v="Non-significant benchmark"/>
    <n v="0"/>
    <n v="0"/>
    <n v="0"/>
    <n v="0"/>
    <n v="0"/>
    <n v="0"/>
    <n v="0"/>
    <x v="1"/>
  </r>
  <r>
    <x v="347"/>
    <x v="63"/>
    <s v="NL0013273030"/>
    <s v="No"/>
    <s v="International"/>
    <m/>
    <s v="EU5GR"/>
    <s v="Euronext Amsterdam"/>
    <s v="Non-significant benchmark"/>
    <n v="0"/>
    <n v="0"/>
    <n v="0"/>
    <n v="0"/>
    <n v="0"/>
    <n v="0"/>
    <n v="0"/>
    <x v="1"/>
  </r>
  <r>
    <x v="348"/>
    <x v="63"/>
    <s v="NL0013273022"/>
    <s v="No"/>
    <s v="International"/>
    <m/>
    <s v="EU5NR"/>
    <s v="Euronext Amsterdam"/>
    <s v="Non-significant benchmark"/>
    <n v="0"/>
    <n v="0"/>
    <n v="0"/>
    <n v="0"/>
    <n v="0"/>
    <n v="0"/>
    <n v="0"/>
    <x v="1"/>
  </r>
  <r>
    <x v="349"/>
    <x v="64"/>
    <s v="FR0013483278"/>
    <s v="Yes"/>
    <s v="Broad ESG"/>
    <s v="ESG Other"/>
    <s v="EPEGP"/>
    <s v="Euronext Paris"/>
    <s v="Non-significant benchmark"/>
    <n v="0"/>
    <n v="0"/>
    <n v="0"/>
    <n v="0"/>
    <n v="0"/>
    <n v="0"/>
    <n v="0"/>
    <x v="1"/>
  </r>
  <r>
    <x v="350"/>
    <x v="64"/>
    <s v="FR0013483302"/>
    <s v="Yes"/>
    <s v="Broad ESG"/>
    <s v="ESG Other"/>
    <s v="EUPE5"/>
    <s v="Euronext Paris"/>
    <s v="Non-significant benchmark"/>
    <n v="0"/>
    <n v="0"/>
    <n v="0"/>
    <n v="0"/>
    <n v="0"/>
    <n v="0"/>
    <n v="0"/>
    <x v="1"/>
  </r>
  <r>
    <x v="351"/>
    <x v="64"/>
    <s v="FR0013483294"/>
    <s v="Yes"/>
    <s v="Broad ESG"/>
    <s v="ESG Other"/>
    <s v="EPEGG"/>
    <s v="Euronext Paris"/>
    <s v="Non-significant benchmark"/>
    <n v="0"/>
    <n v="0"/>
    <n v="0"/>
    <n v="0"/>
    <n v="0"/>
    <n v="0"/>
    <n v="0"/>
    <x v="1"/>
  </r>
  <r>
    <x v="352"/>
    <x v="64"/>
    <s v="FR0013483286"/>
    <s v="Yes"/>
    <s v="Broad ESG"/>
    <s v="ESG Other"/>
    <s v="EPEGN"/>
    <s v="Euronext Paris"/>
    <s v="Non-significant benchmark"/>
    <n v="0"/>
    <n v="0"/>
    <n v="0"/>
    <n v="0"/>
    <n v="0"/>
    <n v="0"/>
    <n v="0"/>
    <x v="1"/>
  </r>
  <r>
    <x v="353"/>
    <x v="65"/>
    <s v="NL0012758627"/>
    <s v="Yes"/>
    <s v="Broad ESG"/>
    <s v="ESG Other"/>
    <s v="ES1EP"/>
    <s v="Euronext Paris"/>
    <s v="Non-significant benchmark"/>
    <n v="0"/>
    <n v="0"/>
    <n v="0"/>
    <n v="0"/>
    <n v="0"/>
    <n v="0"/>
    <n v="0"/>
    <x v="1"/>
  </r>
  <r>
    <x v="354"/>
    <x v="65"/>
    <s v="NL0012758650"/>
    <s v="Yes"/>
    <s v="Broad ESG"/>
    <s v="ESG Other"/>
    <s v="ES1ED"/>
    <s v="Euronext Paris"/>
    <s v="Non-significant benchmark"/>
    <n v="0"/>
    <n v="0"/>
    <n v="268643801.9648"/>
    <n v="0"/>
    <n v="0"/>
    <n v="0"/>
    <n v="268643801.9648"/>
    <x v="1"/>
  </r>
  <r>
    <x v="355"/>
    <x v="65"/>
    <s v="NL0012758643"/>
    <s v="Yes"/>
    <s v="Broad ESG"/>
    <s v="ESG Other"/>
    <s v="ES1EG"/>
    <s v="Euronext Paris"/>
    <s v="Non-significant benchmark"/>
    <n v="0"/>
    <n v="0"/>
    <n v="0"/>
    <n v="0"/>
    <n v="0"/>
    <n v="0"/>
    <n v="0"/>
    <x v="1"/>
  </r>
  <r>
    <x v="356"/>
    <x v="65"/>
    <s v="NL0012758635"/>
    <s v="Yes"/>
    <s v="Broad ESG"/>
    <s v="ESG Other"/>
    <s v="ES1EN"/>
    <s v="Euronext Paris"/>
    <s v="Non-significant benchmark"/>
    <n v="0"/>
    <n v="0"/>
    <n v="0"/>
    <n v="0"/>
    <n v="0"/>
    <n v="0"/>
    <n v="0"/>
    <x v="1"/>
  </r>
  <r>
    <x v="357"/>
    <x v="66"/>
    <s v="NL0013025596"/>
    <s v="Yes"/>
    <s v="Broad ESG"/>
    <s v="ESG Other"/>
    <s v="ESG1P"/>
    <s v="Euronext Paris"/>
    <s v="Non-significant benchmark"/>
    <n v="0"/>
    <n v="0"/>
    <n v="0"/>
    <n v="0"/>
    <n v="0"/>
    <n v="0"/>
    <n v="0"/>
    <x v="1"/>
  </r>
  <r>
    <x v="358"/>
    <x v="66"/>
    <s v="NL0014130411"/>
    <s v="Yes"/>
    <s v="Broad ESG"/>
    <s v="ESG Other"/>
    <s v="ESGDE"/>
    <s v="Euronext Paris"/>
    <s v="Non-significant benchmark"/>
    <n v="0"/>
    <n v="0"/>
    <n v="0"/>
    <n v="0"/>
    <n v="0"/>
    <n v="0"/>
    <n v="0"/>
    <x v="1"/>
  </r>
  <r>
    <x v="359"/>
    <x v="66"/>
    <s v="NL0013995343"/>
    <s v="Yes"/>
    <s v="Broad ESG"/>
    <s v="ESG Other"/>
    <s v="ESGED"/>
    <s v="Euronext Paris"/>
    <s v="Non-significant benchmark"/>
    <n v="0"/>
    <n v="0"/>
    <n v="0"/>
    <n v="0"/>
    <n v="0"/>
    <n v="0"/>
    <n v="0"/>
    <x v="1"/>
  </r>
  <r>
    <x v="360"/>
    <x v="66"/>
    <s v="NL0013025620"/>
    <s v="Yes"/>
    <s v="Broad ESG"/>
    <s v="ESG Other"/>
    <s v="ESG1D"/>
    <s v="Euronext Paris"/>
    <s v="Non-significant benchmark"/>
    <n v="0"/>
    <n v="0"/>
    <n v="0"/>
    <n v="0"/>
    <n v="0"/>
    <n v="0"/>
    <n v="0"/>
    <x v="1"/>
  </r>
  <r>
    <x v="361"/>
    <x v="66"/>
    <s v="NL0013025612"/>
    <s v="Yes"/>
    <s v="Broad ESG"/>
    <s v="ESG Other"/>
    <s v="ESG1G"/>
    <s v="Euronext Paris"/>
    <s v="Non-significant benchmark"/>
    <n v="0"/>
    <n v="0"/>
    <n v="0"/>
    <n v="0"/>
    <n v="0"/>
    <n v="0"/>
    <n v="0"/>
    <x v="1"/>
  </r>
  <r>
    <x v="362"/>
    <x v="66"/>
    <s v="NL0013025604"/>
    <s v="Yes"/>
    <s v="Broad ESG"/>
    <s v="ESG Other"/>
    <s v="ESG1N"/>
    <s v="Euronext Paris"/>
    <s v="Non-significant benchmark"/>
    <n v="0"/>
    <n v="0"/>
    <n v="0"/>
    <n v="0"/>
    <n v="0"/>
    <n v="0"/>
    <n v="0"/>
    <x v="1"/>
  </r>
  <r>
    <x v="363"/>
    <x v="67"/>
    <s v="NL0012949101"/>
    <s v="No"/>
    <s v="International"/>
    <m/>
    <s v="EZ15P"/>
    <s v="Euronext Amsterdam"/>
    <s v="Non-significant benchmark"/>
    <n v="0"/>
    <n v="0"/>
    <n v="0"/>
    <n v="0"/>
    <n v="0"/>
    <n v="0"/>
    <n v="0"/>
    <x v="1"/>
  </r>
  <r>
    <x v="364"/>
    <x v="67"/>
    <s v="NL0012949135"/>
    <s v="No"/>
    <s v="International"/>
    <m/>
    <s v="EZ150"/>
    <s v="Euronext Amsterdam"/>
    <s v="Non-significant benchmark"/>
    <n v="10384500"/>
    <n v="0"/>
    <n v="0"/>
    <n v="0"/>
    <n v="0"/>
    <n v="0"/>
    <n v="10384500"/>
    <x v="1"/>
  </r>
  <r>
    <x v="365"/>
    <x v="67"/>
    <s v="NL0012949127"/>
    <s v="No"/>
    <s v="International"/>
    <m/>
    <s v="EZ15G"/>
    <s v="Euronext Amsterdam"/>
    <s v="Non-significant benchmark"/>
    <n v="0"/>
    <n v="0"/>
    <n v="0"/>
    <n v="0"/>
    <n v="0"/>
    <n v="0"/>
    <n v="0"/>
    <x v="1"/>
  </r>
  <r>
    <x v="366"/>
    <x v="67"/>
    <s v="NL0012949119"/>
    <s v="No"/>
    <s v="International"/>
    <m/>
    <s v="EZ15N"/>
    <s v="Euronext Amsterdam"/>
    <s v="Non-significant benchmark"/>
    <n v="0"/>
    <n v="0"/>
    <n v="0"/>
    <n v="0"/>
    <n v="0"/>
    <n v="0"/>
    <n v="0"/>
    <x v="1"/>
  </r>
  <r>
    <x v="367"/>
    <x v="68"/>
    <s v="NL0013273048"/>
    <s v="No"/>
    <s v="International"/>
    <m/>
    <s v="EZ300"/>
    <s v="Euronext Amsterdam"/>
    <s v="Non-significant benchmark"/>
    <n v="0"/>
    <n v="0"/>
    <n v="0"/>
    <n v="0"/>
    <n v="0"/>
    <n v="0"/>
    <n v="0"/>
    <x v="1"/>
  </r>
  <r>
    <x v="368"/>
    <x v="68"/>
    <s v="NL0013273063"/>
    <s v="No"/>
    <s v="International"/>
    <m/>
    <s v="EZ3GR"/>
    <s v="Euronext Amsterdam"/>
    <s v="Non-significant benchmark"/>
    <n v="0"/>
    <n v="0"/>
    <n v="0"/>
    <n v="0"/>
    <n v="0"/>
    <n v="0"/>
    <n v="0"/>
    <x v="1"/>
  </r>
  <r>
    <x v="369"/>
    <x v="68"/>
    <s v="NL0013273055"/>
    <s v="No"/>
    <s v="International"/>
    <m/>
    <s v="EZ3NR"/>
    <s v="Euronext Amsterdam"/>
    <s v="Non-significant benchmark"/>
    <n v="0"/>
    <n v="0"/>
    <n v="0"/>
    <n v="0"/>
    <n v="0"/>
    <n v="0"/>
    <n v="0"/>
    <x v="1"/>
  </r>
  <r>
    <x v="370"/>
    <x v="69"/>
    <s v="NL0012731871"/>
    <s v="No"/>
    <s v="International"/>
    <m/>
    <s v="EZ40P"/>
    <s v="Euronext Amsterdam"/>
    <s v="Non-significant benchmark"/>
    <n v="0"/>
    <n v="0"/>
    <n v="0"/>
    <n v="0"/>
    <n v="0"/>
    <n v="0"/>
    <n v="0"/>
    <x v="1"/>
  </r>
  <r>
    <x v="371"/>
    <x v="69"/>
    <s v="NL0012731905"/>
    <s v="No"/>
    <s v="International"/>
    <m/>
    <s v="EZ40"/>
    <s v="Euronext Amsterdam"/>
    <s v="Non-significant benchmark"/>
    <n v="0"/>
    <n v="30000000"/>
    <n v="4872208.2844000002"/>
    <n v="0"/>
    <n v="0"/>
    <n v="0"/>
    <n v="30000000"/>
    <x v="1"/>
  </r>
  <r>
    <x v="372"/>
    <x v="69"/>
    <s v="NL0012731897"/>
    <s v="No"/>
    <s v="International"/>
    <m/>
    <s v="EZ40G"/>
    <s v="Euronext Amsterdam"/>
    <s v="Non-significant benchmark"/>
    <n v="0"/>
    <n v="0"/>
    <n v="0"/>
    <n v="0"/>
    <n v="0"/>
    <n v="0"/>
    <n v="0"/>
    <x v="1"/>
  </r>
  <r>
    <x v="373"/>
    <x v="69"/>
    <s v="NL0012731889"/>
    <s v="No"/>
    <s v="International"/>
    <m/>
    <s v="EZ40N"/>
    <s v="Euronext Amsterdam"/>
    <s v="Non-significant benchmark"/>
    <n v="0"/>
    <n v="0"/>
    <n v="0"/>
    <n v="0"/>
    <n v="0"/>
    <n v="0"/>
    <n v="0"/>
    <x v="1"/>
  </r>
  <r>
    <x v="374"/>
    <x v="70"/>
    <s v="NL0012846265"/>
    <s v="No"/>
    <s v="International"/>
    <m/>
    <s v="EZ60P"/>
    <s v="Euronext Amsterdam"/>
    <s v="Non-significant benchmark"/>
    <n v="0"/>
    <n v="0"/>
    <n v="0"/>
    <n v="0"/>
    <n v="0"/>
    <n v="0"/>
    <n v="0"/>
    <x v="1"/>
  </r>
  <r>
    <x v="375"/>
    <x v="70"/>
    <s v="NL0012846299"/>
    <s v="No"/>
    <s v="International"/>
    <m/>
    <s v="EZ60"/>
    <s v="Euronext Amsterdam"/>
    <s v="Non-significant benchmark"/>
    <n v="0"/>
    <n v="0"/>
    <n v="0"/>
    <n v="0"/>
    <n v="0"/>
    <n v="0"/>
    <n v="0"/>
    <x v="1"/>
  </r>
  <r>
    <x v="376"/>
    <x v="70"/>
    <s v="NL0012846281"/>
    <s v="No"/>
    <s v="International"/>
    <m/>
    <s v="EZ60G"/>
    <s v="Euronext Amsterdam"/>
    <s v="Non-significant benchmark"/>
    <n v="0"/>
    <n v="0"/>
    <n v="0"/>
    <n v="0"/>
    <n v="0"/>
    <n v="0"/>
    <n v="0"/>
    <x v="1"/>
  </r>
  <r>
    <x v="377"/>
    <x v="70"/>
    <s v="NL0012846273"/>
    <s v="No"/>
    <s v="International"/>
    <m/>
    <s v="EZ60N"/>
    <s v="Euronext Amsterdam"/>
    <s v="Non-significant benchmark"/>
    <n v="0"/>
    <n v="0"/>
    <n v="0"/>
    <n v="0"/>
    <n v="0"/>
    <n v="0"/>
    <n v="0"/>
    <x v="1"/>
  </r>
  <r>
    <x v="378"/>
    <x v="71"/>
    <s v="FRESG0000496"/>
    <s v="Yes"/>
    <s v="Climate;PAB"/>
    <s v="PAB"/>
    <s v="EZ6PP"/>
    <s v="Euronext Paris"/>
    <s v="Non-significant benchmark"/>
    <n v="0"/>
    <n v="0"/>
    <n v="0"/>
    <n v="0"/>
    <n v="0"/>
    <n v="0"/>
    <n v="0"/>
    <x v="1"/>
  </r>
  <r>
    <x v="379"/>
    <x v="71"/>
    <s v="FRESG0000520"/>
    <s v="Yes"/>
    <s v="Climate;PAB"/>
    <s v="PAB"/>
    <s v="EZ6P4"/>
    <s v="Euronext Paris"/>
    <s v="Non-significant benchmark"/>
    <n v="0"/>
    <n v="5000000"/>
    <n v="2956481.7756000003"/>
    <n v="0"/>
    <n v="0"/>
    <n v="0"/>
    <n v="5000000"/>
    <x v="1"/>
  </r>
  <r>
    <x v="380"/>
    <x v="71"/>
    <s v="FRESG0000538"/>
    <s v="Yes"/>
    <s v="Climate;PAB"/>
    <s v="PAB"/>
    <s v="EZ6P5"/>
    <s v="Euronext Paris"/>
    <s v="Non-significant benchmark"/>
    <n v="0"/>
    <n v="0"/>
    <n v="0"/>
    <n v="0"/>
    <n v="0"/>
    <n v="0"/>
    <n v="0"/>
    <x v="1"/>
  </r>
  <r>
    <x v="381"/>
    <x v="71"/>
    <s v="FRESG0000512"/>
    <s v="Yes"/>
    <s v="Climate;PAB"/>
    <s v="PAB"/>
    <s v="EZ6PG"/>
    <s v="Euronext Paris"/>
    <s v="Non-significant benchmark"/>
    <n v="0"/>
    <n v="0"/>
    <n v="0"/>
    <n v="0"/>
    <n v="0"/>
    <n v="0"/>
    <n v="0"/>
    <x v="1"/>
  </r>
  <r>
    <x v="382"/>
    <x v="71"/>
    <s v="FRESG0000504"/>
    <s v="Yes"/>
    <s v="Climate;PAB"/>
    <s v="PAB"/>
    <s v="EZ6PN"/>
    <s v="Euronext Paris"/>
    <s v="Non-significant benchmark"/>
    <n v="0"/>
    <n v="0"/>
    <n v="0"/>
    <n v="0"/>
    <n v="0"/>
    <n v="0"/>
    <n v="0"/>
    <x v="1"/>
  </r>
  <r>
    <x v="383"/>
    <x v="72"/>
    <s v="NL0012846174"/>
    <s v="No"/>
    <s v="International"/>
    <m/>
    <s v="EZ70P"/>
    <s v="Euronext Amsterdam"/>
    <s v="Non-significant benchmark"/>
    <n v="0"/>
    <n v="0"/>
    <n v="0"/>
    <n v="0"/>
    <n v="0"/>
    <n v="0"/>
    <n v="0"/>
    <x v="1"/>
  </r>
  <r>
    <x v="384"/>
    <x v="72"/>
    <s v="NL0012846208"/>
    <s v="No"/>
    <s v="International"/>
    <m/>
    <s v="EZ70"/>
    <s v="Euronext Amsterdam"/>
    <s v="Non-significant benchmark"/>
    <n v="0"/>
    <n v="0"/>
    <n v="164273548.12960002"/>
    <n v="0"/>
    <n v="0"/>
    <n v="0"/>
    <n v="164273548.12960002"/>
    <x v="1"/>
  </r>
  <r>
    <x v="385"/>
    <x v="72"/>
    <s v="NL0012846190"/>
    <s v="No"/>
    <s v="International"/>
    <m/>
    <s v="EZ70G"/>
    <s v="Euronext Amsterdam"/>
    <s v="Non-significant benchmark"/>
    <n v="0"/>
    <n v="0"/>
    <n v="0"/>
    <n v="0"/>
    <n v="0"/>
    <n v="0"/>
    <n v="0"/>
    <x v="1"/>
  </r>
  <r>
    <x v="386"/>
    <x v="72"/>
    <s v="NL0012846182"/>
    <s v="No"/>
    <s v="International"/>
    <m/>
    <s v="EZ70N"/>
    <s v="Euronext Amsterdam"/>
    <s v="Non-significant benchmark"/>
    <n v="0"/>
    <n v="0"/>
    <n v="0"/>
    <n v="0"/>
    <n v="0"/>
    <n v="0"/>
    <n v="0"/>
    <x v="1"/>
  </r>
  <r>
    <x v="387"/>
    <x v="73"/>
    <s v="NL0013025653"/>
    <s v="No"/>
    <s v="International"/>
    <m/>
    <s v="EZ80P"/>
    <s v="Euronext Amsterdam"/>
    <s v="Non-significant benchmark"/>
    <n v="0"/>
    <n v="0"/>
    <n v="0"/>
    <n v="0"/>
    <n v="0"/>
    <n v="0"/>
    <n v="0"/>
    <x v="1"/>
  </r>
  <r>
    <x v="388"/>
    <x v="73"/>
    <s v="NL0013025687"/>
    <s v="No"/>
    <s v="International"/>
    <m/>
    <s v="EZ80D"/>
    <s v="Euronext Amsterdam"/>
    <s v="Non-significant benchmark"/>
    <n v="0"/>
    <n v="0"/>
    <n v="0"/>
    <n v="0"/>
    <n v="0"/>
    <n v="0"/>
    <n v="0"/>
    <x v="1"/>
  </r>
  <r>
    <x v="389"/>
    <x v="73"/>
    <s v="NL0013025679"/>
    <s v="No"/>
    <s v="International"/>
    <m/>
    <s v="EZ80G"/>
    <s v="Euronext Amsterdam"/>
    <s v="Non-significant benchmark"/>
    <n v="0"/>
    <n v="0"/>
    <n v="0"/>
    <n v="0"/>
    <n v="0"/>
    <n v="0"/>
    <n v="0"/>
    <x v="1"/>
  </r>
  <r>
    <x v="390"/>
    <x v="73"/>
    <s v="NL0013025661"/>
    <s v="No"/>
    <s v="International"/>
    <m/>
    <s v="EZ80N"/>
    <s v="Euronext Amsterdam"/>
    <s v="Non-significant benchmark"/>
    <n v="0"/>
    <n v="0"/>
    <n v="0"/>
    <n v="0"/>
    <n v="0"/>
    <n v="0"/>
    <n v="0"/>
    <x v="1"/>
  </r>
  <r>
    <x v="391"/>
    <x v="74"/>
    <s v="NL0015000AR3"/>
    <s v="No"/>
    <s v="Industry"/>
    <m/>
    <s v="BANK"/>
    <s v="Euronext Amsterdam"/>
    <s v="Non-significant benchmark"/>
    <n v="0"/>
    <n v="0"/>
    <n v="0"/>
    <n v="0"/>
    <n v="0"/>
    <n v="0"/>
    <n v="0"/>
    <x v="1"/>
  </r>
  <r>
    <x v="392"/>
    <x v="74"/>
    <s v="NL0015000AW3"/>
    <s v="No"/>
    <s v="Industry"/>
    <m/>
    <s v="BANKD"/>
    <s v="Euronext Amsterdam"/>
    <s v="Non-significant benchmark"/>
    <n v="0"/>
    <n v="0"/>
    <n v="0"/>
    <n v="0"/>
    <n v="0"/>
    <n v="0"/>
    <n v="0"/>
    <x v="1"/>
  </r>
  <r>
    <x v="393"/>
    <x v="74"/>
    <s v="NL0015000AV5"/>
    <s v="No"/>
    <s v="Industry"/>
    <m/>
    <s v="BANKG"/>
    <s v="Euronext Amsterdam"/>
    <s v="Non-significant benchmark"/>
    <n v="0"/>
    <n v="0"/>
    <n v="0"/>
    <n v="0"/>
    <n v="0"/>
    <n v="0"/>
    <n v="0"/>
    <x v="1"/>
  </r>
  <r>
    <x v="394"/>
    <x v="74"/>
    <s v="NL0015000AT9"/>
    <s v="No"/>
    <s v="Industry"/>
    <m/>
    <s v="BANKN"/>
    <s v="Euronext Amsterdam"/>
    <s v="Non-significant benchmark"/>
    <n v="0"/>
    <n v="0"/>
    <n v="0"/>
    <n v="0"/>
    <n v="0"/>
    <n v="0"/>
    <n v="0"/>
    <x v="1"/>
  </r>
  <r>
    <x v="395"/>
    <x v="75"/>
    <s v="FRIX00000193"/>
    <s v="No"/>
    <s v="Strategy"/>
    <m/>
    <s v="EZBDI"/>
    <s v="Euronext Amsterdam"/>
    <s v="Non-significant benchmark"/>
    <n v="0"/>
    <n v="0"/>
    <n v="0"/>
    <n v="0"/>
    <n v="0"/>
    <n v="0"/>
    <n v="0"/>
    <x v="1"/>
  </r>
  <r>
    <x v="396"/>
    <x v="76"/>
    <s v="FR0014003PO7"/>
    <s v="Yes"/>
    <s v="Governance;Diversity"/>
    <s v="ESG Other"/>
    <s v="GOVEP"/>
    <s v="Euronext Paris"/>
    <s v="Non-significant benchmark"/>
    <n v="0"/>
    <n v="0"/>
    <n v="0"/>
    <n v="0"/>
    <n v="0"/>
    <n v="0"/>
    <n v="0"/>
    <x v="1"/>
  </r>
  <r>
    <x v="397"/>
    <x v="76"/>
    <s v="FR0014003PX8"/>
    <s v="Yes"/>
    <s v="Governance;Diversity"/>
    <s v="ESG Other"/>
    <s v="GOVEZ"/>
    <s v="Euronext Paris"/>
    <s v="Non-significant benchmark"/>
    <n v="58249641"/>
    <n v="74890362.311199993"/>
    <n v="65429428.454400003"/>
    <n v="0"/>
    <n v="68289100"/>
    <n v="0"/>
    <n v="133718528.4544"/>
    <x v="1"/>
  </r>
  <r>
    <x v="398"/>
    <x v="76"/>
    <s v="FR0014003PS8"/>
    <s v="Yes"/>
    <s v="Governance;Diversity"/>
    <s v="ESG Other"/>
    <s v="GOVEG"/>
    <s v="Euronext Paris"/>
    <s v="Non-significant benchmark"/>
    <n v="0"/>
    <n v="0"/>
    <n v="0"/>
    <n v="0"/>
    <n v="0"/>
    <n v="0"/>
    <n v="0"/>
    <x v="1"/>
  </r>
  <r>
    <x v="399"/>
    <x v="76"/>
    <s v="FR0014003PT6"/>
    <s v="Yes"/>
    <s v="Governance;Diversity"/>
    <s v="ESG Other"/>
    <s v="GOVEN"/>
    <s v="Euronext Paris"/>
    <s v="Non-significant benchmark"/>
    <n v="0"/>
    <n v="0"/>
    <n v="0"/>
    <n v="0"/>
    <n v="0"/>
    <n v="0"/>
    <n v="0"/>
    <x v="1"/>
  </r>
  <r>
    <x v="400"/>
    <x v="77"/>
    <s v="NL0012758585"/>
    <s v="Yes"/>
    <s v="Energy transition"/>
    <s v="ESG Other"/>
    <s v="CLE5P"/>
    <s v="Euronext Paris"/>
    <s v="Non-significant benchmark"/>
    <n v="0"/>
    <n v="0"/>
    <n v="0"/>
    <n v="0"/>
    <n v="0"/>
    <n v="0"/>
    <n v="0"/>
    <x v="1"/>
  </r>
  <r>
    <x v="401"/>
    <x v="77"/>
    <s v="NL0012758619"/>
    <s v="Yes"/>
    <s v="Energy transition"/>
    <s v="ESG Other"/>
    <s v="CLIE5"/>
    <s v="Euronext Paris"/>
    <s v="Non-significant benchmark"/>
    <n v="35533662"/>
    <n v="165137678.09999999"/>
    <n v="64803133.249600001"/>
    <n v="0"/>
    <n v="0"/>
    <n v="0"/>
    <n v="64803133.249600001"/>
    <x v="1"/>
  </r>
  <r>
    <x v="402"/>
    <x v="77"/>
    <s v="NL0012758601"/>
    <s v="Yes"/>
    <s v="Energy transition"/>
    <s v="ESG Other"/>
    <s v="CLE5G"/>
    <s v="Euronext Paris"/>
    <s v="Non-significant benchmark"/>
    <n v="0"/>
    <n v="0"/>
    <n v="0"/>
    <n v="0"/>
    <n v="0"/>
    <n v="0"/>
    <n v="0"/>
    <x v="1"/>
  </r>
  <r>
    <x v="403"/>
    <x v="77"/>
    <s v="NL0012758593"/>
    <s v="Yes"/>
    <s v="Energy transition"/>
    <s v="ESG Other"/>
    <s v="CLE5N"/>
    <s v="Euronext Paris"/>
    <s v="Non-significant benchmark"/>
    <n v="0"/>
    <n v="0"/>
    <n v="0"/>
    <n v="0"/>
    <n v="0"/>
    <n v="0"/>
    <n v="0"/>
    <x v="1"/>
  </r>
  <r>
    <x v="404"/>
    <x v="78"/>
    <s v="FR0013468832"/>
    <s v="Yes"/>
    <s v="Broad ESG"/>
    <s v="ESG Other"/>
    <s v="ENESG"/>
    <s v="Euronext Paris"/>
    <s v="Non-significant benchmark"/>
    <n v="0"/>
    <n v="0"/>
    <n v="0"/>
    <n v="0"/>
    <n v="0"/>
    <n v="0"/>
    <n v="0"/>
    <x v="0"/>
  </r>
  <r>
    <x v="405"/>
    <x v="78"/>
    <s v="FR0013468881"/>
    <s v="Yes"/>
    <s v="Broad ESG"/>
    <s v="ESG Other"/>
    <s v="ESG8D"/>
    <s v="Euronext Paris"/>
    <s v="Non-significant benchmark"/>
    <n v="0"/>
    <n v="0"/>
    <n v="0"/>
    <n v="0"/>
    <n v="0"/>
    <n v="0"/>
    <n v="0"/>
    <x v="0"/>
  </r>
  <r>
    <x v="406"/>
    <x v="78"/>
    <s v="FR0013498755"/>
    <s v="Yes"/>
    <s v="Broad ESG"/>
    <s v="ESG Other"/>
    <s v="ESGD4"/>
    <s v="Euronext Paris"/>
    <s v="Non-significant benchmark"/>
    <n v="0"/>
    <n v="0"/>
    <n v="0"/>
    <n v="0"/>
    <n v="0"/>
    <n v="0"/>
    <n v="0"/>
    <x v="0"/>
  </r>
  <r>
    <x v="407"/>
    <x v="78"/>
    <s v="FR0013498763"/>
    <s v="Yes"/>
    <s v="Broad ESG"/>
    <s v="ESG Other"/>
    <s v="ESG8E"/>
    <s v="Euronext Paris"/>
    <s v="Non-significant benchmark"/>
    <n v="0"/>
    <n v="0"/>
    <n v="0"/>
    <n v="0"/>
    <n v="0"/>
    <n v="0"/>
    <n v="0"/>
    <x v="0"/>
  </r>
  <r>
    <x v="408"/>
    <x v="78"/>
    <s v="FR0013468907"/>
    <s v="Yes"/>
    <s v="Broad ESG"/>
    <s v="ESG Other"/>
    <s v="ESGD5"/>
    <s v="Euronext Paris"/>
    <s v="Non-significant benchmark"/>
    <n v="0"/>
    <n v="0"/>
    <n v="0"/>
    <n v="0"/>
    <n v="0"/>
    <n v="0"/>
    <n v="0"/>
    <x v="0"/>
  </r>
  <r>
    <x v="409"/>
    <x v="78"/>
    <s v="FR0013468873"/>
    <s v="Yes"/>
    <s v="Broad ESG"/>
    <s v="ESG Other"/>
    <s v="ESGGR"/>
    <s v="Euronext Paris"/>
    <s v="Non-significant benchmark"/>
    <n v="0"/>
    <n v="0"/>
    <n v="0"/>
    <n v="0"/>
    <n v="0"/>
    <n v="0"/>
    <n v="0"/>
    <x v="0"/>
  </r>
  <r>
    <x v="410"/>
    <x v="78"/>
    <s v="FR0013468865"/>
    <s v="Yes"/>
    <s v="Broad ESG"/>
    <s v="ESG Other"/>
    <s v="ESGNR"/>
    <s v="Euronext Paris"/>
    <s v="Non-significant benchmark"/>
    <n v="0"/>
    <n v="0"/>
    <n v="0"/>
    <n v="0"/>
    <n v="0"/>
    <n v="0"/>
    <n v="0"/>
    <x v="0"/>
  </r>
  <r>
    <x v="411"/>
    <x v="79"/>
    <s v="NL0012758544"/>
    <s v="Yes"/>
    <s v="Broad ESG"/>
    <s v="ESG Other"/>
    <s v="ESE4P"/>
    <s v="Euronext Paris"/>
    <s v="Non-significant benchmark"/>
    <n v="0"/>
    <n v="0"/>
    <n v="0"/>
    <n v="0"/>
    <n v="0"/>
    <n v="0"/>
    <n v="0"/>
    <x v="1"/>
  </r>
  <r>
    <x v="412"/>
    <x v="79"/>
    <s v="NL0013639420"/>
    <s v="Yes"/>
    <s v="Broad ESG"/>
    <s v="ESG Other"/>
    <s v="ESGEL"/>
    <s v="Euronext Paris"/>
    <s v="Non-significant benchmark"/>
    <n v="0"/>
    <n v="0"/>
    <n v="0"/>
    <n v="0"/>
    <n v="0"/>
    <n v="0"/>
    <n v="0"/>
    <x v="1"/>
  </r>
  <r>
    <x v="413"/>
    <x v="79"/>
    <s v="FR0013478708"/>
    <s v="Yes"/>
    <s v="Broad ESG"/>
    <s v="ESG Other"/>
    <s v="ESG4E"/>
    <s v="Euronext Paris"/>
    <s v="Non-significant benchmark"/>
    <n v="73029800"/>
    <n v="90000000"/>
    <n v="44024868.807999998"/>
    <n v="0"/>
    <n v="0"/>
    <n v="0"/>
    <n v="73029800"/>
    <x v="1"/>
  </r>
  <r>
    <x v="414"/>
    <x v="79"/>
    <s v="NL0012758577"/>
    <s v="Yes"/>
    <s v="Broad ESG"/>
    <s v="ESG Other"/>
    <s v="ESGE4"/>
    <s v="Euronext Paris"/>
    <s v="Non-significant benchmark"/>
    <n v="0"/>
    <n v="304200000"/>
    <n v="177112599.82800001"/>
    <n v="0"/>
    <n v="54529200"/>
    <n v="0"/>
    <n v="358729200"/>
    <x v="1"/>
  </r>
  <r>
    <x v="415"/>
    <x v="79"/>
    <s v="NL0012758569"/>
    <s v="Yes"/>
    <s v="Broad ESG"/>
    <s v="ESG Other"/>
    <s v="ESE4G"/>
    <s v="Euronext Paris"/>
    <s v="Non-significant benchmark"/>
    <n v="0"/>
    <n v="0"/>
    <n v="0"/>
    <n v="0"/>
    <n v="0"/>
    <n v="0"/>
    <n v="0"/>
    <x v="1"/>
  </r>
  <r>
    <x v="416"/>
    <x v="79"/>
    <s v="NL0012758551"/>
    <s v="Yes"/>
    <s v="Broad ESG"/>
    <s v="ESG Other"/>
    <s v="ESE4N"/>
    <s v="Euronext Paris"/>
    <s v="Non-significant benchmark"/>
    <n v="0"/>
    <n v="0"/>
    <n v="0"/>
    <n v="0"/>
    <n v="0"/>
    <n v="0"/>
    <n v="0"/>
    <x v="1"/>
  </r>
  <r>
    <x v="417"/>
    <x v="80"/>
    <s v="FR0014004HI4"/>
    <s v="Yes"/>
    <s v="Broad ESG"/>
    <s v="ESG Other"/>
    <s v="ESGCP"/>
    <s v="Euronext Paris"/>
    <s v="Non-significant benchmark"/>
    <n v="0"/>
    <n v="0"/>
    <n v="0"/>
    <n v="0"/>
    <n v="0"/>
    <n v="0"/>
    <n v="0"/>
    <x v="1"/>
  </r>
  <r>
    <x v="418"/>
    <x v="80"/>
    <s v="FR0014004HH6"/>
    <s v="Yes"/>
    <s v="Broad ESG"/>
    <s v="ESG Other"/>
    <s v="ESGEC"/>
    <s v="Euronext Paris"/>
    <s v="Non-significant benchmark"/>
    <n v="0"/>
    <n v="0"/>
    <n v="0"/>
    <n v="0"/>
    <n v="0"/>
    <n v="0"/>
    <n v="0"/>
    <x v="1"/>
  </r>
  <r>
    <x v="419"/>
    <x v="80"/>
    <s v="FR0014004HJ2"/>
    <s v="Yes"/>
    <s v="Broad ESG"/>
    <s v="ESG Other"/>
    <s v="ESGCG"/>
    <s v="Euronext Paris"/>
    <s v="Non-significant benchmark"/>
    <n v="0"/>
    <n v="0"/>
    <n v="0"/>
    <n v="0"/>
    <n v="0"/>
    <n v="0"/>
    <n v="0"/>
    <x v="1"/>
  </r>
  <r>
    <x v="420"/>
    <x v="80"/>
    <s v="FR0014004HG8"/>
    <s v="Yes"/>
    <s v="Broad ESG"/>
    <s v="ESG Other"/>
    <s v="ESGCN"/>
    <s v="Euronext Paris"/>
    <s v="Non-significant benchmark"/>
    <n v="0"/>
    <n v="0"/>
    <n v="0"/>
    <n v="0"/>
    <n v="0"/>
    <n v="0"/>
    <n v="0"/>
    <x v="1"/>
  </r>
  <r>
    <x v="421"/>
    <x v="81"/>
    <s v="FRESG0000546"/>
    <s v="Yes"/>
    <s v="Climate;PAB"/>
    <s v="PAB"/>
    <s v="ES4PP"/>
    <s v="Euronext Paris"/>
    <s v="Non-significant benchmark"/>
    <n v="0"/>
    <n v="0"/>
    <n v="0"/>
    <n v="0"/>
    <n v="0"/>
    <n v="0"/>
    <n v="0"/>
    <x v="1"/>
  </r>
  <r>
    <x v="422"/>
    <x v="81"/>
    <s v="FRESG0000579"/>
    <s v="Yes"/>
    <s v="Climate;PAB"/>
    <s v="PAB"/>
    <s v="ES4P4"/>
    <s v="Euronext Paris"/>
    <s v="Non-significant benchmark"/>
    <n v="0"/>
    <n v="0"/>
    <n v="0"/>
    <n v="0"/>
    <n v="0"/>
    <n v="0"/>
    <n v="0"/>
    <x v="1"/>
  </r>
  <r>
    <x v="423"/>
    <x v="81"/>
    <s v="FRESG0000587"/>
    <s v="Yes"/>
    <s v="Climate;PAB"/>
    <s v="PAB"/>
    <s v="ES4P5"/>
    <s v="Euronext Paris"/>
    <s v="Non-significant benchmark"/>
    <n v="0"/>
    <n v="0"/>
    <n v="5074833.2036000006"/>
    <n v="0"/>
    <n v="0"/>
    <n v="0"/>
    <n v="5074833.2036000006"/>
    <x v="1"/>
  </r>
  <r>
    <x v="424"/>
    <x v="81"/>
    <s v="FRESG0000561"/>
    <s v="Yes"/>
    <s v="Climate;PAB"/>
    <s v="PAB"/>
    <s v="ES4PG"/>
    <s v="Euronext Paris"/>
    <s v="Non-significant benchmark"/>
    <n v="0"/>
    <n v="0"/>
    <n v="0"/>
    <n v="0"/>
    <n v="0"/>
    <n v="0"/>
    <n v="0"/>
    <x v="1"/>
  </r>
  <r>
    <x v="425"/>
    <x v="81"/>
    <s v="FRESG0000553"/>
    <s v="Yes"/>
    <s v="Climate;PAB"/>
    <s v="PAB"/>
    <s v="ES4PN"/>
    <s v="Euronext Paris"/>
    <s v="Non-significant benchmark"/>
    <n v="0"/>
    <n v="0"/>
    <n v="0"/>
    <n v="0"/>
    <n v="0"/>
    <n v="0"/>
    <n v="0"/>
    <x v="1"/>
  </r>
  <r>
    <x v="426"/>
    <x v="82"/>
    <s v="NL0013025810"/>
    <s v="No"/>
    <s v="International"/>
    <m/>
    <s v="EZMLP"/>
    <s v="Euronext Amsterdam"/>
    <s v="Non-significant benchmark"/>
    <n v="0"/>
    <n v="0"/>
    <n v="0"/>
    <n v="0"/>
    <n v="0"/>
    <n v="0"/>
    <n v="0"/>
    <x v="1"/>
  </r>
  <r>
    <x v="427"/>
    <x v="82"/>
    <s v="NL0013025844"/>
    <s v="No"/>
    <s v="International"/>
    <m/>
    <s v="EZML6"/>
    <s v="Euronext Amsterdam"/>
    <s v="Non-significant benchmark"/>
    <n v="0"/>
    <n v="0"/>
    <n v="0"/>
    <n v="0"/>
    <n v="0"/>
    <n v="0"/>
    <n v="0"/>
    <x v="1"/>
  </r>
  <r>
    <x v="428"/>
    <x v="82"/>
    <s v="NL0013025836"/>
    <s v="No"/>
    <s v="International"/>
    <m/>
    <s v="EZMLG"/>
    <s v="Euronext Amsterdam"/>
    <s v="Non-significant benchmark"/>
    <n v="0"/>
    <n v="0"/>
    <n v="0"/>
    <n v="0"/>
    <n v="0"/>
    <n v="0"/>
    <n v="0"/>
    <x v="1"/>
  </r>
  <r>
    <x v="429"/>
    <x v="82"/>
    <s v="NL0013025828"/>
    <s v="No"/>
    <s v="International"/>
    <m/>
    <s v="EZMLN"/>
    <s v="Euronext Amsterdam"/>
    <s v="Non-significant benchmark"/>
    <n v="0"/>
    <n v="0"/>
    <n v="0"/>
    <n v="0"/>
    <n v="0"/>
    <n v="0"/>
    <n v="0"/>
    <x v="1"/>
  </r>
  <r>
    <x v="430"/>
    <x v="83"/>
    <s v="NL0012949143"/>
    <s v="No"/>
    <s v="International"/>
    <m/>
    <s v="EZN1P"/>
    <s v="Euronext Amsterdam"/>
    <s v="Non-significant benchmark"/>
    <n v="0"/>
    <n v="0"/>
    <n v="0"/>
    <n v="0"/>
    <n v="0"/>
    <n v="0"/>
    <n v="0"/>
    <x v="1"/>
  </r>
  <r>
    <x v="431"/>
    <x v="83"/>
    <s v="NL0012949176"/>
    <s v="No"/>
    <s v="International"/>
    <m/>
    <s v="EZNE1"/>
    <s v="Euronext Amsterdam"/>
    <s v="Non-significant benchmark"/>
    <n v="1703256.8214201599"/>
    <n v="0"/>
    <n v="0"/>
    <n v="0"/>
    <n v="0"/>
    <n v="0"/>
    <n v="1703256.8214201599"/>
    <x v="1"/>
  </r>
  <r>
    <x v="432"/>
    <x v="83"/>
    <s v="NL0012949168"/>
    <s v="No"/>
    <s v="International"/>
    <m/>
    <s v="EZN1G"/>
    <s v="Euronext Amsterdam"/>
    <s v="Non-significant benchmark"/>
    <n v="0"/>
    <n v="0"/>
    <n v="0"/>
    <n v="0"/>
    <n v="0"/>
    <n v="0"/>
    <n v="0"/>
    <x v="1"/>
  </r>
  <r>
    <x v="433"/>
    <x v="83"/>
    <s v="NL0012949150"/>
    <s v="No"/>
    <s v="International"/>
    <m/>
    <s v="EZN1N"/>
    <s v="Euronext Amsterdam"/>
    <s v="Non-significant benchmark"/>
    <n v="0"/>
    <n v="0"/>
    <n v="0"/>
    <n v="0"/>
    <n v="0"/>
    <n v="0"/>
    <n v="0"/>
    <x v="1"/>
  </r>
  <r>
    <x v="434"/>
    <x v="84"/>
    <s v="FR0014003PR0"/>
    <s v="Yes"/>
    <s v="Climate;PAB"/>
    <s v="PAB"/>
    <s v="EPABP"/>
    <s v="Euronext Paris"/>
    <s v="Non-significant benchmark"/>
    <n v="0"/>
    <n v="0"/>
    <n v="0"/>
    <n v="0"/>
    <n v="0"/>
    <n v="0"/>
    <n v="0"/>
    <x v="1"/>
  </r>
  <r>
    <x v="435"/>
    <x v="84"/>
    <s v="FRCLIM000007"/>
    <s v="Yes"/>
    <s v="Climate;PAB"/>
    <s v="PAB"/>
    <s v="EPAB4"/>
    <s v="Euronext Paris"/>
    <s v="Non-significant benchmark"/>
    <n v="0"/>
    <n v="0"/>
    <n v="0"/>
    <n v="0"/>
    <n v="0"/>
    <n v="0"/>
    <n v="0"/>
    <x v="1"/>
  </r>
  <r>
    <x v="436"/>
    <x v="84"/>
    <s v="FR0014003PK5"/>
    <s v="Yes"/>
    <s v="Climate;PAB"/>
    <s v="PAB"/>
    <s v="EPAB5"/>
    <s v="Euronext Paris"/>
    <s v="Non-significant benchmark"/>
    <n v="0"/>
    <n v="0"/>
    <n v="0"/>
    <n v="0"/>
    <n v="0"/>
    <n v="0"/>
    <n v="0"/>
    <x v="1"/>
  </r>
  <r>
    <x v="437"/>
    <x v="84"/>
    <s v="FR0014003PL3"/>
    <s v="Yes"/>
    <s v="Climate;PAB"/>
    <s v="PAB"/>
    <s v="EPABG"/>
    <s v="Euronext Paris"/>
    <s v="Non-significant benchmark"/>
    <n v="0"/>
    <n v="0"/>
    <n v="0"/>
    <n v="0"/>
    <n v="0"/>
    <n v="0"/>
    <n v="0"/>
    <x v="1"/>
  </r>
  <r>
    <x v="438"/>
    <x v="84"/>
    <s v="FR0014003PM1"/>
    <s v="Yes"/>
    <s v="Climate;PAB"/>
    <s v="PAB"/>
    <s v="EPABN"/>
    <s v="Euronext Paris"/>
    <s v="Non-significant benchmark"/>
    <n v="0"/>
    <n v="0"/>
    <n v="0"/>
    <n v="0"/>
    <n v="0"/>
    <n v="0"/>
    <n v="0"/>
    <x v="1"/>
  </r>
  <r>
    <x v="439"/>
    <x v="85"/>
    <s v="FR0014005IK5"/>
    <s v="Yes"/>
    <s v="Climate;Environmental"/>
    <s v="ESG Other"/>
    <s v="EZCLA"/>
    <s v="Euronext Paris"/>
    <s v="Non-significant benchmark"/>
    <n v="0"/>
    <n v="0"/>
    <n v="0"/>
    <n v="0"/>
    <n v="0"/>
    <n v="0"/>
    <n v="0"/>
    <x v="1"/>
  </r>
  <r>
    <x v="440"/>
    <x v="85"/>
    <s v="FR0014005IL3"/>
    <s v="Yes"/>
    <s v="Climate;Environmental"/>
    <s v="ESG Other"/>
    <s v="EZCLG"/>
    <s v="Euronext Paris"/>
    <s v="Non-significant benchmark"/>
    <n v="0"/>
    <n v="0"/>
    <n v="0"/>
    <n v="0"/>
    <n v="0"/>
    <n v="0"/>
    <n v="0"/>
    <x v="1"/>
  </r>
  <r>
    <x v="441"/>
    <x v="85"/>
    <s v="FR0014005IN9"/>
    <s v="Yes"/>
    <s v="Climate;Environmental"/>
    <s v="ESG Other"/>
    <s v="EZCLN"/>
    <s v="Euronext Paris"/>
    <s v="Non-significant benchmark"/>
    <n v="0"/>
    <n v="0"/>
    <n v="0"/>
    <n v="0"/>
    <n v="0"/>
    <n v="0"/>
    <n v="0"/>
    <x v="1"/>
  </r>
  <r>
    <x v="442"/>
    <x v="86"/>
    <s v="FR0014004XR2"/>
    <s v="Yes"/>
    <s v="Climate"/>
    <s v="ESG Other"/>
    <s v="CLAMP"/>
    <s v="Euronext Paris"/>
    <s v="Non-significant benchmark"/>
    <n v="0"/>
    <n v="0"/>
    <n v="0"/>
    <n v="0"/>
    <n v="0"/>
    <n v="0"/>
    <n v="0"/>
    <x v="1"/>
  </r>
  <r>
    <x v="443"/>
    <x v="86"/>
    <s v="FR0014004XQ4"/>
    <s v="Yes"/>
    <s v="Climate"/>
    <s v="ESG Other"/>
    <s v="CLAMB"/>
    <s v="Euronext Paris"/>
    <s v="Non-significant benchmark"/>
    <n v="0"/>
    <n v="0"/>
    <n v="0"/>
    <n v="0"/>
    <n v="0"/>
    <n v="0"/>
    <n v="0"/>
    <x v="1"/>
  </r>
  <r>
    <x v="444"/>
    <x v="86"/>
    <s v="FR0014004XP6"/>
    <s v="Yes"/>
    <s v="Climate"/>
    <s v="ESG Other"/>
    <s v="CLAMG"/>
    <s v="Euronext Paris"/>
    <s v="Non-significant benchmark"/>
    <n v="0"/>
    <n v="0"/>
    <n v="0"/>
    <n v="0"/>
    <n v="0"/>
    <n v="0"/>
    <n v="0"/>
    <x v="1"/>
  </r>
  <r>
    <x v="445"/>
    <x v="86"/>
    <s v="FR0014004XO9"/>
    <s v="Yes"/>
    <s v="Climate"/>
    <s v="ESG Other"/>
    <s v="CLAMN"/>
    <s v="Euronext Paris"/>
    <s v="Non-significant benchmark"/>
    <n v="0"/>
    <n v="0"/>
    <n v="0"/>
    <n v="0"/>
    <n v="0"/>
    <n v="0"/>
    <n v="0"/>
    <x v="1"/>
  </r>
  <r>
    <x v="446"/>
    <x v="87"/>
    <s v="NO0010865330"/>
    <s v="No"/>
    <s v="Country"/>
    <m/>
    <s v="OAAXP"/>
    <s v="Oslo Børs"/>
    <s v="Non-significant benchmark"/>
    <n v="0"/>
    <n v="0"/>
    <n v="0"/>
    <n v="0"/>
    <n v="0"/>
    <n v="0"/>
    <n v="0"/>
    <x v="1"/>
  </r>
  <r>
    <x v="447"/>
    <x v="87"/>
    <s v="NO0007035384"/>
    <s v="No"/>
    <s v="Country"/>
    <m/>
    <s v="OAAX"/>
    <s v="Oslo Børs"/>
    <s v="Non-significant benchmark"/>
    <n v="0"/>
    <n v="0"/>
    <n v="0"/>
    <n v="0"/>
    <n v="0"/>
    <n v="0"/>
    <n v="0"/>
    <x v="1"/>
  </r>
  <r>
    <x v="448"/>
    <x v="87"/>
    <s v="NO0010865322"/>
    <s v="No"/>
    <s v="Country"/>
    <m/>
    <s v="OAAXN"/>
    <s v="Oslo Børs"/>
    <s v="Non-significant benchmark"/>
    <n v="0"/>
    <n v="0"/>
    <n v="0"/>
    <n v="0"/>
    <n v="0"/>
    <n v="0"/>
    <n v="0"/>
    <x v="1"/>
  </r>
  <r>
    <x v="449"/>
    <x v="88"/>
    <s v="NL0015000AA9"/>
    <s v="Yes"/>
    <s v="Broad ESG"/>
    <s v="ESG Other"/>
    <s v="EEEPR"/>
    <s v="Euronext Paris"/>
    <s v="Non-significant benchmark"/>
    <n v="0"/>
    <n v="0"/>
    <n v="0"/>
    <n v="0"/>
    <n v="0"/>
    <n v="0"/>
    <n v="0"/>
    <x v="1"/>
  </r>
  <r>
    <x v="450"/>
    <x v="88"/>
    <s v="NL0015000AD3"/>
    <s v="Yes"/>
    <s v="Broad ESG"/>
    <s v="ESG Other"/>
    <s v="EEED5"/>
    <s v="Euronext Paris"/>
    <s v="Non-significant benchmark"/>
    <n v="0"/>
    <n v="0"/>
    <n v="0"/>
    <n v="0"/>
    <n v="0"/>
    <n v="0"/>
    <n v="0"/>
    <x v="1"/>
  </r>
  <r>
    <x v="451"/>
    <x v="88"/>
    <s v="NL0015000AC5"/>
    <s v="Yes"/>
    <s v="Broad ESG"/>
    <s v="ESG Other"/>
    <s v="EEEGR"/>
    <s v="Euronext Paris"/>
    <s v="Non-significant benchmark"/>
    <n v="0"/>
    <n v="0"/>
    <n v="0"/>
    <n v="0"/>
    <n v="0"/>
    <n v="0"/>
    <n v="0"/>
    <x v="1"/>
  </r>
  <r>
    <x v="452"/>
    <x v="88"/>
    <s v="NL0015000AB7"/>
    <s v="Yes"/>
    <s v="Broad ESG"/>
    <s v="ESG Other"/>
    <s v="EEENR"/>
    <s v="Euronext Paris"/>
    <s v="Non-significant benchmark"/>
    <n v="0"/>
    <n v="0"/>
    <n v="0"/>
    <n v="0"/>
    <n v="0"/>
    <n v="0"/>
    <n v="0"/>
    <x v="1"/>
  </r>
  <r>
    <x v="453"/>
    <x v="89"/>
    <s v="NL0012730451"/>
    <s v="No"/>
    <s v="International"/>
    <m/>
    <s v="EFMEP"/>
    <s v="Euronext Amsterdam"/>
    <s v="Non-significant benchmark"/>
    <n v="0"/>
    <n v="0"/>
    <n v="0"/>
    <n v="0"/>
    <n v="0"/>
    <n v="0"/>
    <n v="0"/>
    <x v="1"/>
  </r>
  <r>
    <x v="454"/>
    <x v="89"/>
    <s v="NL0012730485"/>
    <s v="No"/>
    <s v="International"/>
    <m/>
    <s v="EFMED"/>
    <s v="Euronext Amsterdam"/>
    <s v="Non-significant benchmark"/>
    <n v="0"/>
    <n v="0"/>
    <n v="26239927.036400001"/>
    <n v="0"/>
    <n v="0"/>
    <n v="0"/>
    <n v="26239927.036400001"/>
    <x v="1"/>
  </r>
  <r>
    <x v="455"/>
    <x v="89"/>
    <s v="NL0012730477"/>
    <s v="No"/>
    <s v="International"/>
    <m/>
    <s v="EFMEG"/>
    <s v="Euronext Amsterdam"/>
    <s v="Non-significant benchmark"/>
    <n v="0"/>
    <n v="0"/>
    <n v="0"/>
    <n v="0"/>
    <n v="0"/>
    <n v="0"/>
    <n v="0"/>
    <x v="1"/>
  </r>
  <r>
    <x v="456"/>
    <x v="89"/>
    <s v="NL0012730469"/>
    <s v="No"/>
    <s v="International"/>
    <m/>
    <s v="EFMEN"/>
    <s v="Euronext Amsterdam"/>
    <s v="Non-significant benchmark"/>
    <n v="0"/>
    <n v="0"/>
    <n v="0"/>
    <n v="0"/>
    <n v="0"/>
    <n v="0"/>
    <n v="0"/>
    <x v="1"/>
  </r>
  <r>
    <x v="457"/>
    <x v="90"/>
    <s v="FR0013355948"/>
    <s v="No"/>
    <s v="Country"/>
    <m/>
    <s v="FR20P"/>
    <s v="Euronext Paris"/>
    <s v="Non-significant benchmark"/>
    <n v="0"/>
    <n v="0"/>
    <n v="0"/>
    <n v="0"/>
    <n v="0"/>
    <n v="0"/>
    <n v="0"/>
    <x v="1"/>
  </r>
  <r>
    <x v="458"/>
    <x v="90"/>
    <s v="FR0013355971"/>
    <s v="No"/>
    <s v="Country"/>
    <m/>
    <s v="FRA20"/>
    <s v="Euronext Paris"/>
    <s v="Non-significant benchmark"/>
    <n v="0"/>
    <n v="0"/>
    <n v="0"/>
    <n v="0"/>
    <n v="0"/>
    <n v="0"/>
    <n v="0"/>
    <x v="1"/>
  </r>
  <r>
    <x v="459"/>
    <x v="90"/>
    <s v="FR0013355963"/>
    <s v="No"/>
    <s v="Country"/>
    <m/>
    <s v="FR20G"/>
    <s v="Euronext Paris"/>
    <s v="Non-significant benchmark"/>
    <n v="0"/>
    <n v="0"/>
    <n v="0"/>
    <n v="0"/>
    <n v="0"/>
    <n v="0"/>
    <n v="0"/>
    <x v="1"/>
  </r>
  <r>
    <x v="460"/>
    <x v="90"/>
    <s v="FR0013355955"/>
    <s v="No"/>
    <s v="Country"/>
    <m/>
    <s v="FR20N"/>
    <s v="Euronext Paris"/>
    <s v="Non-significant benchmark"/>
    <n v="0"/>
    <n v="0"/>
    <n v="0"/>
    <n v="0"/>
    <n v="0"/>
    <n v="0"/>
    <n v="0"/>
    <x v="1"/>
  </r>
  <r>
    <x v="461"/>
    <x v="91"/>
    <s v="FR0013349057"/>
    <s v="No"/>
    <s v="Country"/>
    <m/>
    <s v="FRECP"/>
    <s v="Euronext Paris"/>
    <s v="Non-significant benchmark"/>
    <n v="0"/>
    <n v="0"/>
    <n v="0"/>
    <n v="0"/>
    <n v="0"/>
    <n v="0"/>
    <n v="0"/>
    <x v="1"/>
  </r>
  <r>
    <x v="462"/>
    <x v="91"/>
    <s v="FR0013349081"/>
    <s v="No"/>
    <s v="Country"/>
    <m/>
    <s v="FRECH"/>
    <s v="Euronext Paris"/>
    <s v="Non-significant benchmark"/>
    <n v="0"/>
    <n v="0"/>
    <n v="0"/>
    <n v="0"/>
    <n v="0"/>
    <n v="0"/>
    <n v="0"/>
    <x v="1"/>
  </r>
  <r>
    <x v="463"/>
    <x v="91"/>
    <s v="FR0013349073"/>
    <s v="No"/>
    <s v="Country"/>
    <m/>
    <s v="FRECG"/>
    <s v="Euronext Paris"/>
    <s v="Non-significant benchmark"/>
    <n v="0"/>
    <n v="0"/>
    <n v="0"/>
    <n v="0"/>
    <n v="0"/>
    <n v="0"/>
    <n v="0"/>
    <x v="1"/>
  </r>
  <r>
    <x v="464"/>
    <x v="91"/>
    <s v="FR0013349065"/>
    <s v="No"/>
    <s v="Country"/>
    <m/>
    <s v="FRECN"/>
    <s v="Euronext Paris"/>
    <s v="Non-significant benchmark"/>
    <n v="0"/>
    <n v="0"/>
    <n v="0"/>
    <n v="0"/>
    <n v="0"/>
    <n v="0"/>
    <n v="0"/>
    <x v="1"/>
  </r>
  <r>
    <x v="465"/>
    <x v="92"/>
    <s v="FR0013376209"/>
    <s v="Yes"/>
    <s v="Broad ESG"/>
    <s v="ESG Other"/>
    <s v="F4RIP"/>
    <s v="Euronext Paris"/>
    <s v="Non-significant benchmark"/>
    <n v="0"/>
    <n v="0"/>
    <n v="0"/>
    <n v="0"/>
    <n v="0"/>
    <n v="0"/>
    <n v="0"/>
    <x v="1"/>
  </r>
  <r>
    <x v="466"/>
    <x v="92"/>
    <s v="FR0013376241"/>
    <s v="Yes"/>
    <s v="Broad ESG"/>
    <s v="ESG Other"/>
    <s v="F4RI"/>
    <s v="Euronext Paris"/>
    <s v="Non-significant benchmark"/>
    <n v="0"/>
    <n v="0"/>
    <n v="0"/>
    <n v="0"/>
    <n v="0"/>
    <n v="0"/>
    <n v="0"/>
    <x v="1"/>
  </r>
  <r>
    <x v="467"/>
    <x v="92"/>
    <s v="FR0013376233"/>
    <s v="Yes"/>
    <s v="Broad ESG"/>
    <s v="ESG Other"/>
    <s v="F4RIG"/>
    <s v="Euronext Paris"/>
    <s v="Non-significant benchmark"/>
    <n v="0"/>
    <n v="0"/>
    <n v="0"/>
    <n v="0"/>
    <n v="0"/>
    <n v="0"/>
    <n v="0"/>
    <x v="1"/>
  </r>
  <r>
    <x v="468"/>
    <x v="92"/>
    <s v="FR0013376225"/>
    <s v="Yes"/>
    <s v="Broad ESG"/>
    <s v="ESG Other"/>
    <s v="F4RIN"/>
    <s v="Euronext Paris"/>
    <s v="Non-significant benchmark"/>
    <n v="0"/>
    <n v="0"/>
    <n v="0"/>
    <n v="0"/>
    <n v="0"/>
    <n v="0"/>
    <n v="0"/>
    <x v="1"/>
  </r>
  <r>
    <x v="469"/>
    <x v="93"/>
    <s v="FR0013422326"/>
    <s v="Yes"/>
    <s v="Energy transition"/>
    <s v="ESG Other"/>
    <s v="CLIFL"/>
    <s v="Euronext Paris"/>
    <s v="Non-significant benchmark"/>
    <n v="0"/>
    <n v="30000000"/>
    <n v="3122265.8004000001"/>
    <n v="0"/>
    <n v="0"/>
    <n v="0"/>
    <n v="30000000"/>
    <x v="1"/>
  </r>
  <r>
    <x v="470"/>
    <x v="93"/>
    <s v="FR0013317773"/>
    <s v="Yes"/>
    <s v="Energy transition"/>
    <s v="ESG Other"/>
    <s v="CLF4P"/>
    <s v="Euronext Paris"/>
    <s v="Non-significant benchmark"/>
    <n v="0"/>
    <n v="0"/>
    <n v="0"/>
    <n v="0"/>
    <n v="0"/>
    <n v="0"/>
    <n v="0"/>
    <x v="1"/>
  </r>
  <r>
    <x v="471"/>
    <x v="93"/>
    <s v="FR0013317807"/>
    <s v="Yes"/>
    <s v="Energy transition"/>
    <s v="ESG Other"/>
    <s v="CLIF4"/>
    <s v="Euronext Paris"/>
    <s v="Non-significant benchmark"/>
    <n v="102549003"/>
    <n v="512500000"/>
    <n v="173124573.00920001"/>
    <n v="0"/>
    <n v="0"/>
    <n v="0"/>
    <n v="173124573.00920001"/>
    <x v="1"/>
  </r>
  <r>
    <x v="472"/>
    <x v="93"/>
    <s v="FR0013317799"/>
    <s v="Yes"/>
    <s v="Energy transition"/>
    <s v="ESG Other"/>
    <s v="CLF4G"/>
    <s v="Euronext Paris"/>
    <s v="Non-significant benchmark"/>
    <n v="0"/>
    <n v="0"/>
    <n v="0"/>
    <n v="0"/>
    <n v="0"/>
    <n v="0"/>
    <n v="0"/>
    <x v="1"/>
  </r>
  <r>
    <x v="473"/>
    <x v="93"/>
    <s v="FR0013317781"/>
    <s v="Yes"/>
    <s v="Energy transition"/>
    <s v="ESG Other"/>
    <s v="CLF4N"/>
    <s v="Euronext Paris"/>
    <s v="Non-significant benchmark"/>
    <n v="0"/>
    <n v="0"/>
    <n v="0"/>
    <n v="0"/>
    <n v="0"/>
    <n v="0"/>
    <n v="0"/>
    <x v="1"/>
  </r>
  <r>
    <x v="474"/>
    <x v="94"/>
    <s v="FR0013317732"/>
    <s v="Yes"/>
    <s v="Broad ESG"/>
    <s v="ESG Other"/>
    <s v="ESF4P"/>
    <s v="Euronext Paris"/>
    <s v="Non-significant benchmark"/>
    <n v="0"/>
    <n v="80000000"/>
    <n v="0"/>
    <n v="0"/>
    <n v="0"/>
    <n v="0"/>
    <n v="80000000"/>
    <x v="1"/>
  </r>
  <r>
    <x v="475"/>
    <x v="94"/>
    <s v="FR0013431731"/>
    <s v="Yes"/>
    <s v="Broad ESG"/>
    <s v="ESG Other"/>
    <s v="ESGFL"/>
    <s v="Euronext Paris"/>
    <s v="Non-significant benchmark"/>
    <n v="0"/>
    <n v="0"/>
    <n v="13621920.704400001"/>
    <n v="0"/>
    <n v="0"/>
    <n v="0"/>
    <n v="13621920.704400001"/>
    <x v="1"/>
  </r>
  <r>
    <x v="476"/>
    <x v="94"/>
    <s v="FR0013317765"/>
    <s v="Yes"/>
    <s v="Broad ESG"/>
    <s v="ESG Other"/>
    <s v="ESGF4"/>
    <s v="Euronext Paris"/>
    <s v="Non-significant benchmark"/>
    <n v="0"/>
    <n v="0"/>
    <n v="0"/>
    <n v="0"/>
    <n v="0"/>
    <n v="0"/>
    <n v="0"/>
    <x v="1"/>
  </r>
  <r>
    <x v="477"/>
    <x v="94"/>
    <s v="FR0013317757"/>
    <s v="Yes"/>
    <s v="Broad ESG"/>
    <s v="ESG Other"/>
    <s v="ESF4G"/>
    <s v="Euronext Paris"/>
    <s v="Non-significant benchmark"/>
    <n v="0"/>
    <n v="0"/>
    <n v="0"/>
    <n v="0"/>
    <n v="0"/>
    <n v="0"/>
    <n v="0"/>
    <x v="1"/>
  </r>
  <r>
    <x v="478"/>
    <x v="94"/>
    <s v="FR0013317740"/>
    <s v="Yes"/>
    <s v="Broad ESG"/>
    <s v="ESG Other"/>
    <s v="ESF4N"/>
    <s v="Euronext Paris"/>
    <s v="Non-significant benchmark"/>
    <n v="0"/>
    <n v="0"/>
    <n v="0"/>
    <n v="0"/>
    <n v="0"/>
    <n v="0"/>
    <n v="0"/>
    <x v="1"/>
  </r>
  <r>
    <x v="479"/>
    <x v="95"/>
    <s v="FR0013476959"/>
    <s v="Yes"/>
    <s v="Broad ESG"/>
    <s v="ESG Other"/>
    <s v="ESGFP"/>
    <s v="Euronext Paris"/>
    <s v="Non-significant benchmark"/>
    <n v="0"/>
    <n v="0"/>
    <n v="0"/>
    <n v="0"/>
    <n v="0"/>
    <n v="0"/>
    <n v="0"/>
    <x v="1"/>
  </r>
  <r>
    <x v="480"/>
    <x v="95"/>
    <s v="FR0013476983"/>
    <s v="Yes"/>
    <s v="Broad ESG"/>
    <s v="ESG Other"/>
    <s v="ESGFR"/>
    <s v="Euronext Paris"/>
    <s v="Non-significant benchmark"/>
    <n v="0"/>
    <n v="0"/>
    <n v="0"/>
    <n v="0"/>
    <n v="0"/>
    <n v="0"/>
    <n v="0"/>
    <x v="1"/>
  </r>
  <r>
    <x v="481"/>
    <x v="95"/>
    <s v="FR0013476975"/>
    <s v="Yes"/>
    <s v="Broad ESG"/>
    <s v="ESG Other"/>
    <s v="ESGFG"/>
    <s v="Euronext Paris"/>
    <s v="Non-significant benchmark"/>
    <n v="0"/>
    <n v="0"/>
    <n v="0"/>
    <n v="0"/>
    <n v="0"/>
    <n v="0"/>
    <n v="0"/>
    <x v="1"/>
  </r>
  <r>
    <x v="482"/>
    <x v="95"/>
    <s v="FR0013476967"/>
    <s v="Yes"/>
    <s v="Broad ESG"/>
    <s v="ESG Other"/>
    <s v="ESGFN"/>
    <s v="Euronext Paris"/>
    <s v="Non-significant benchmark"/>
    <n v="0"/>
    <n v="0"/>
    <n v="0"/>
    <n v="0"/>
    <n v="0"/>
    <n v="0"/>
    <n v="0"/>
    <x v="1"/>
  </r>
  <r>
    <x v="483"/>
    <x v="96"/>
    <s v="NL0012846307"/>
    <s v="No"/>
    <s v="International"/>
    <m/>
    <s v="FEZ6P"/>
    <s v="Euronext Paris"/>
    <s v="Non-significant benchmark"/>
    <n v="0"/>
    <n v="0"/>
    <n v="0"/>
    <n v="0"/>
    <n v="0"/>
    <n v="0"/>
    <n v="0"/>
    <x v="1"/>
  </r>
  <r>
    <x v="484"/>
    <x v="96"/>
    <s v="NL0012846331"/>
    <s v="No"/>
    <s v="International"/>
    <m/>
    <s v="FEZ60"/>
    <s v="Euronext Paris"/>
    <s v="Non-significant benchmark"/>
    <n v="0"/>
    <n v="0"/>
    <n v="0"/>
    <n v="0"/>
    <n v="0"/>
    <n v="0"/>
    <n v="0"/>
    <x v="1"/>
  </r>
  <r>
    <x v="485"/>
    <x v="96"/>
    <s v="NL0012846323"/>
    <s v="No"/>
    <s v="International"/>
    <m/>
    <s v="FEZ6G"/>
    <s v="Euronext Paris"/>
    <s v="Non-significant benchmark"/>
    <n v="0"/>
    <n v="0"/>
    <n v="0"/>
    <n v="0"/>
    <n v="0"/>
    <n v="0"/>
    <n v="0"/>
    <x v="1"/>
  </r>
  <r>
    <x v="486"/>
    <x v="96"/>
    <s v="NL0012846315"/>
    <s v="No"/>
    <s v="International"/>
    <m/>
    <s v="FEZ6N"/>
    <s v="Euronext Paris"/>
    <s v="Non-significant benchmark"/>
    <n v="0"/>
    <n v="0"/>
    <n v="0"/>
    <n v="0"/>
    <n v="0"/>
    <n v="0"/>
    <n v="0"/>
    <x v="1"/>
  </r>
  <r>
    <x v="487"/>
    <x v="97"/>
    <s v="NL0012658769"/>
    <s v="No"/>
    <s v="International"/>
    <m/>
    <s v="EFGP"/>
    <s v="Euronext Paris"/>
    <s v="Non-significant benchmark"/>
    <n v="0"/>
    <n v="0"/>
    <n v="0"/>
    <n v="0"/>
    <n v="0"/>
    <n v="0"/>
    <n v="0"/>
    <x v="1"/>
  </r>
  <r>
    <x v="488"/>
    <x v="97"/>
    <s v="NL0012365035"/>
    <s v="No"/>
    <s v="International"/>
    <m/>
    <s v="EFGEW"/>
    <s v="Euronext Paris"/>
    <s v="Non-significant benchmark"/>
    <n v="0"/>
    <n v="0"/>
    <n v="0"/>
    <n v="0"/>
    <n v="0"/>
    <n v="0"/>
    <n v="0"/>
    <x v="1"/>
  </r>
  <r>
    <x v="489"/>
    <x v="97"/>
    <s v="NL0012365068"/>
    <s v="No"/>
    <s v="International"/>
    <m/>
    <s v="EFGED"/>
    <s v="Euronext Paris"/>
    <s v="Non-significant benchmark"/>
    <n v="13343483"/>
    <n v="409000000"/>
    <n v="138788859.42840001"/>
    <n v="0"/>
    <n v="0"/>
    <n v="0"/>
    <n v="138788859.42840001"/>
    <x v="1"/>
  </r>
  <r>
    <x v="490"/>
    <x v="97"/>
    <s v="NL0012365050"/>
    <s v="No"/>
    <s v="International"/>
    <m/>
    <s v="EFGEG"/>
    <s v="Euronext Paris"/>
    <s v="Non-significant benchmark"/>
    <n v="0"/>
    <n v="0"/>
    <n v="0"/>
    <n v="0"/>
    <n v="0"/>
    <n v="0"/>
    <n v="0"/>
    <x v="1"/>
  </r>
  <r>
    <x v="491"/>
    <x v="97"/>
    <s v="NL0012365043"/>
    <s v="No"/>
    <s v="International"/>
    <m/>
    <s v="EFGEN"/>
    <s v="Euronext Paris"/>
    <s v="Non-significant benchmark"/>
    <n v="0"/>
    <n v="0"/>
    <n v="0"/>
    <n v="0"/>
    <n v="0"/>
    <n v="0"/>
    <n v="0"/>
    <x v="1"/>
  </r>
  <r>
    <x v="492"/>
    <x v="97"/>
    <s v="NL0012658785"/>
    <s v="No"/>
    <s v="International"/>
    <m/>
    <s v="EFGG"/>
    <s v="Euronext Paris"/>
    <s v="Non-significant benchmark"/>
    <n v="0"/>
    <n v="0"/>
    <n v="0"/>
    <n v="0"/>
    <n v="0"/>
    <n v="0"/>
    <n v="0"/>
    <x v="1"/>
  </r>
  <r>
    <x v="493"/>
    <x v="97"/>
    <s v="NL0012658777"/>
    <s v="No"/>
    <s v="International"/>
    <m/>
    <s v="EFGN"/>
    <s v="Euronext Paris"/>
    <s v="Non-significant benchmark"/>
    <n v="0"/>
    <n v="0"/>
    <n v="0"/>
    <n v="0"/>
    <n v="0"/>
    <n v="0"/>
    <n v="0"/>
    <x v="1"/>
  </r>
  <r>
    <x v="494"/>
    <x v="98"/>
    <s v="FR0013354156"/>
    <s v="No"/>
    <s v="Country"/>
    <m/>
    <s v="FRN4P"/>
    <s v="Euronext Paris"/>
    <s v="Non-significant benchmark"/>
    <n v="0"/>
    <n v="0"/>
    <n v="0"/>
    <n v="0"/>
    <n v="0"/>
    <n v="0"/>
    <n v="0"/>
    <x v="1"/>
  </r>
  <r>
    <x v="495"/>
    <x v="98"/>
    <s v="FR0013354180"/>
    <s v="No"/>
    <s v="Country"/>
    <m/>
    <s v="FRN40"/>
    <s v="Euronext Paris"/>
    <s v="Non-significant benchmark"/>
    <n v="0"/>
    <n v="0"/>
    <n v="0"/>
    <n v="0"/>
    <n v="0"/>
    <n v="0"/>
    <n v="0"/>
    <x v="1"/>
  </r>
  <r>
    <x v="496"/>
    <x v="98"/>
    <s v="FR0013354172"/>
    <s v="No"/>
    <s v="Country"/>
    <m/>
    <s v="FRN4G"/>
    <s v="Euronext Paris"/>
    <s v="Non-significant benchmark"/>
    <n v="0"/>
    <n v="0"/>
    <n v="0"/>
    <n v="0"/>
    <n v="0"/>
    <n v="0"/>
    <n v="0"/>
    <x v="1"/>
  </r>
  <r>
    <x v="497"/>
    <x v="98"/>
    <s v="FR0013354164"/>
    <s v="No"/>
    <s v="Country"/>
    <m/>
    <s v="FRN4N"/>
    <s v="Euronext Paris"/>
    <s v="Non-significant benchmark"/>
    <n v="0"/>
    <n v="0"/>
    <n v="0"/>
    <n v="0"/>
    <n v="0"/>
    <n v="0"/>
    <n v="0"/>
    <x v="1"/>
  </r>
  <r>
    <x v="498"/>
    <x v="99"/>
    <s v="FR0014003927"/>
    <s v="Yes"/>
    <s v="Climate;PAB"/>
    <s v="PAB"/>
    <s v="FPABP"/>
    <s v="Euronext Paris"/>
    <s v="Non-significant benchmark"/>
    <n v="0"/>
    <n v="0"/>
    <n v="0"/>
    <n v="0"/>
    <n v="0"/>
    <n v="0"/>
    <n v="0"/>
    <x v="1"/>
  </r>
  <r>
    <x v="499"/>
    <x v="99"/>
    <s v="FR0014003935"/>
    <s v="Yes"/>
    <s v="Climate;PAB"/>
    <s v="PAB"/>
    <s v="FPAB5"/>
    <s v="Euronext Paris"/>
    <s v="Non-significant benchmark"/>
    <n v="0"/>
    <n v="0"/>
    <n v="0"/>
    <n v="0"/>
    <n v="0"/>
    <n v="0"/>
    <n v="0"/>
    <x v="1"/>
  </r>
  <r>
    <x v="500"/>
    <x v="99"/>
    <s v="FR0014003950"/>
    <s v="Yes"/>
    <s v="Climate;PAB"/>
    <s v="PAB"/>
    <s v="FPABG"/>
    <s v="Euronext Paris"/>
    <s v="Non-significant benchmark"/>
    <n v="0"/>
    <n v="0"/>
    <n v="0"/>
    <n v="0"/>
    <n v="0"/>
    <n v="0"/>
    <n v="0"/>
    <x v="1"/>
  </r>
  <r>
    <x v="501"/>
    <x v="99"/>
    <s v="FR0014003943"/>
    <s v="Yes"/>
    <s v="Climate;PAB"/>
    <s v="PAB"/>
    <s v="FPABN"/>
    <s v="Euronext Paris"/>
    <s v="Non-significant benchmark"/>
    <n v="0"/>
    <n v="0"/>
    <n v="0"/>
    <n v="0"/>
    <n v="0"/>
    <n v="0"/>
    <n v="0"/>
    <x v="1"/>
  </r>
  <r>
    <x v="502"/>
    <x v="100"/>
    <s v="FR0014005D77"/>
    <s v="Yes"/>
    <s v="Social"/>
    <s v="ESG Other"/>
    <s v="FRSOP"/>
    <s v="Euronext Paris"/>
    <s v="Non-significant benchmark"/>
    <n v="0"/>
    <n v="0"/>
    <n v="0"/>
    <n v="0"/>
    <n v="0"/>
    <n v="0"/>
    <n v="0"/>
    <x v="1"/>
  </r>
  <r>
    <x v="503"/>
    <x v="100"/>
    <s v="FR0014005D69"/>
    <s v="Yes"/>
    <s v="Social"/>
    <s v="ESG Other"/>
    <s v="FRSOC"/>
    <s v="Euronext Paris"/>
    <s v="Non-significant benchmark"/>
    <n v="36505000"/>
    <n v="0"/>
    <n v="224149211.75320002"/>
    <n v="79100953"/>
    <n v="0"/>
    <n v="0"/>
    <n v="303250164.75320005"/>
    <x v="1"/>
  </r>
  <r>
    <x v="504"/>
    <x v="100"/>
    <s v="FRESG0000645"/>
    <s v="Yes"/>
    <s v="Social"/>
    <s v="ESG Other"/>
    <s v="FRSO5"/>
    <s v="Euronext Paris"/>
    <s v="Non-significant benchmark"/>
    <n v="0"/>
    <n v="0"/>
    <n v="45618237.490800001"/>
    <n v="0"/>
    <n v="0"/>
    <n v="0"/>
    <n v="45618237.490800001"/>
    <x v="1"/>
  </r>
  <r>
    <x v="505"/>
    <x v="100"/>
    <s v="FR0014005D93"/>
    <s v="Yes"/>
    <s v="Social"/>
    <s v="ESG Other"/>
    <s v="FRSOG"/>
    <s v="Euronext Paris"/>
    <s v="Non-significant benchmark"/>
    <n v="0"/>
    <n v="0"/>
    <n v="0"/>
    <n v="0"/>
    <n v="0"/>
    <n v="0"/>
    <n v="0"/>
    <x v="1"/>
  </r>
  <r>
    <x v="506"/>
    <x v="100"/>
    <s v="FR0014005D85"/>
    <s v="Yes"/>
    <s v="Social"/>
    <s v="ESG Other"/>
    <s v="FRSON"/>
    <s v="Euronext Paris"/>
    <s v="Non-significant benchmark"/>
    <n v="0"/>
    <n v="0"/>
    <n v="0"/>
    <n v="0"/>
    <n v="0"/>
    <n v="0"/>
    <n v="0"/>
    <x v="1"/>
  </r>
  <r>
    <x v="507"/>
    <x v="101"/>
    <s v="FRESG0000454"/>
    <s v="Yes"/>
    <s v="Social"/>
    <s v="ESG Other"/>
    <s v="FREMP"/>
    <s v="Euronext Paris"/>
    <s v="Non-significant benchmark"/>
    <n v="0"/>
    <n v="0"/>
    <n v="0"/>
    <n v="0"/>
    <n v="0"/>
    <n v="0"/>
    <n v="0"/>
    <x v="1"/>
  </r>
  <r>
    <x v="508"/>
    <x v="101"/>
    <s v="FRESG0000470"/>
    <s v="Yes"/>
    <s v="Social"/>
    <s v="ESG Other"/>
    <s v="FREMG"/>
    <s v="Euronext Paris"/>
    <s v="Non-significant benchmark"/>
    <n v="0"/>
    <n v="0"/>
    <n v="0"/>
    <n v="0"/>
    <n v="0"/>
    <n v="0"/>
    <n v="0"/>
    <x v="1"/>
  </r>
  <r>
    <x v="509"/>
    <x v="101"/>
    <s v="FRESG0000462"/>
    <s v="Yes"/>
    <s v="Social"/>
    <s v="ESG Other"/>
    <s v="FREMN"/>
    <s v="Euronext Paris"/>
    <s v="Non-significant benchmark"/>
    <n v="0"/>
    <n v="0"/>
    <n v="0"/>
    <n v="0"/>
    <n v="0"/>
    <n v="0"/>
    <n v="0"/>
    <x v="1"/>
  </r>
  <r>
    <x v="510"/>
    <x v="102"/>
    <s v="FRESG0000009"/>
    <s v="Yes"/>
    <s v="Broad ESG"/>
    <s v="ESG Other"/>
    <s v="GHCPR"/>
    <s v="Euronext Paris"/>
    <s v="Non-significant benchmark"/>
    <n v="0"/>
    <n v="0"/>
    <n v="0"/>
    <n v="0"/>
    <n v="0"/>
    <n v="0"/>
    <n v="0"/>
    <x v="1"/>
  </r>
  <r>
    <x v="511"/>
    <x v="102"/>
    <s v="FRESG0000033"/>
    <s v="Yes"/>
    <s v="Broad ESG"/>
    <s v="ESG Other"/>
    <s v="GHCD5"/>
    <s v="Euronext Paris"/>
    <s v="Non-significant benchmark"/>
    <n v="10420000"/>
    <n v="2676000"/>
    <n v="0"/>
    <n v="0"/>
    <n v="0"/>
    <n v="0"/>
    <n v="10420000"/>
    <x v="1"/>
  </r>
  <r>
    <x v="512"/>
    <x v="102"/>
    <s v="FRESG0000025"/>
    <s v="Yes"/>
    <s v="Broad ESG"/>
    <s v="ESG Other"/>
    <s v="GHCGR"/>
    <s v="Euronext Paris"/>
    <s v="Non-significant benchmark"/>
    <n v="0"/>
    <n v="0"/>
    <n v="0"/>
    <n v="0"/>
    <n v="0"/>
    <n v="0"/>
    <n v="0"/>
    <x v="1"/>
  </r>
  <r>
    <x v="513"/>
    <x v="102"/>
    <s v="FRESG0000017"/>
    <s v="Yes"/>
    <s v="Broad ESG"/>
    <s v="ESG Other"/>
    <s v="GHCNR"/>
    <s v="Euronext Paris"/>
    <s v="Non-significant benchmark"/>
    <n v="0"/>
    <n v="0"/>
    <n v="0"/>
    <n v="0"/>
    <n v="0"/>
    <n v="0"/>
    <n v="0"/>
    <x v="1"/>
  </r>
  <r>
    <x v="514"/>
    <x v="103"/>
    <s v="FRESG0000876"/>
    <s v="Yes"/>
    <s v="Climate;Environmental"/>
    <s v="ESG Other"/>
    <s v="GSCSP"/>
    <s v="Euronext Paris"/>
    <s v="Non-significant benchmark"/>
    <n v="0"/>
    <n v="0"/>
    <n v="0"/>
    <n v="0"/>
    <n v="0"/>
    <n v="0"/>
    <n v="0"/>
    <x v="1"/>
  </r>
  <r>
    <x v="515"/>
    <x v="103"/>
    <s v="FRESG0000892"/>
    <s v="Yes"/>
    <s v="Climate;Environmental"/>
    <s v="ESG Other"/>
    <s v="GSCSD"/>
    <s v="Euronext Paris"/>
    <s v="Non-significant benchmark"/>
    <n v="0"/>
    <n v="60000000"/>
    <n v="4991941.1912000002"/>
    <n v="0"/>
    <n v="0"/>
    <n v="0"/>
    <n v="60000000"/>
    <x v="1"/>
  </r>
  <r>
    <x v="516"/>
    <x v="103"/>
    <s v="FRESG0000884"/>
    <s v="Yes"/>
    <s v="Climate;Environmental"/>
    <s v="ESG Other"/>
    <s v="GSCSG"/>
    <s v="Euronext Paris"/>
    <s v="Non-significant benchmark"/>
    <n v="0"/>
    <n v="0"/>
    <n v="0"/>
    <n v="0"/>
    <n v="0"/>
    <n v="0"/>
    <n v="0"/>
    <x v="1"/>
  </r>
  <r>
    <x v="517"/>
    <x v="104"/>
    <s v="FR0013457892"/>
    <s v="Yes"/>
    <s v="Environmental"/>
    <s v="ESG Other"/>
    <s v="GRE50"/>
    <s v="Euronext Paris"/>
    <s v="Non-significant benchmark"/>
    <n v="18393129"/>
    <n v="5000000"/>
    <n v="0"/>
    <n v="0"/>
    <n v="0"/>
    <n v="0"/>
    <n v="18393129"/>
    <x v="1"/>
  </r>
  <r>
    <x v="518"/>
    <x v="104"/>
    <s v="FR0013460060"/>
    <s v="Yes"/>
    <s v="Environmental"/>
    <s v="ESG Other"/>
    <s v="GREG5"/>
    <s v="Euronext Paris"/>
    <s v="Non-significant benchmark"/>
    <n v="0"/>
    <n v="0"/>
    <n v="0"/>
    <n v="0"/>
    <n v="0"/>
    <n v="0"/>
    <n v="0"/>
    <x v="1"/>
  </r>
  <r>
    <x v="519"/>
    <x v="104"/>
    <s v="FR0013457876"/>
    <s v="Yes"/>
    <s v="Environmental"/>
    <s v="ESG Other"/>
    <s v="GRE5G"/>
    <s v="Euronext Paris"/>
    <s v="Non-significant benchmark"/>
    <n v="0"/>
    <n v="0"/>
    <n v="0"/>
    <n v="0"/>
    <n v="0"/>
    <n v="0"/>
    <n v="0"/>
    <x v="1"/>
  </r>
  <r>
    <x v="520"/>
    <x v="104"/>
    <s v="FR0013457868"/>
    <s v="Yes"/>
    <s v="Environmental"/>
    <s v="ESG Other"/>
    <s v="GRE5N"/>
    <s v="Euronext Paris"/>
    <s v="Non-significant benchmark"/>
    <n v="0"/>
    <n v="0"/>
    <n v="0"/>
    <n v="0"/>
    <n v="0"/>
    <n v="0"/>
    <n v="0"/>
    <x v="1"/>
  </r>
  <r>
    <x v="521"/>
    <x v="104"/>
    <s v="FR0013457850"/>
    <s v="Yes"/>
    <s v="Environmental"/>
    <s v="ESG Other"/>
    <s v="GRE5P"/>
    <s v="Euronext Paris"/>
    <s v="Non-significant benchmark"/>
    <n v="0"/>
    <n v="0"/>
    <n v="0"/>
    <n v="0"/>
    <n v="0"/>
    <n v="0"/>
    <n v="0"/>
    <x v="1"/>
  </r>
  <r>
    <x v="522"/>
    <x v="105"/>
    <s v="FR0013479763"/>
    <s v="Yes"/>
    <s v="Environmental"/>
    <s v="ESG Other"/>
    <s v="GRF5P"/>
    <s v="Euronext Paris"/>
    <s v="Non-significant benchmark"/>
    <n v="0"/>
    <n v="0"/>
    <n v="0"/>
    <n v="0"/>
    <n v="0"/>
    <n v="0"/>
    <n v="0"/>
    <x v="1"/>
  </r>
  <r>
    <x v="523"/>
    <x v="105"/>
    <s v="FR0013479821"/>
    <s v="Yes"/>
    <s v="Environmental"/>
    <s v="ESG Other"/>
    <s v="GRF50"/>
    <s v="Euronext Paris"/>
    <s v="Non-significant benchmark"/>
    <n v="500000"/>
    <n v="0"/>
    <n v="0"/>
    <n v="0"/>
    <n v="0"/>
    <n v="0"/>
    <n v="500000"/>
    <x v="1"/>
  </r>
  <r>
    <x v="524"/>
    <x v="105"/>
    <s v="FR0013479797"/>
    <s v="Yes"/>
    <s v="Environmental"/>
    <s v="ESG Other"/>
    <s v="GRF5G"/>
    <s v="Euronext Paris"/>
    <s v="Non-significant benchmark"/>
    <n v="0"/>
    <n v="0"/>
    <n v="0"/>
    <n v="0"/>
    <n v="0"/>
    <n v="0"/>
    <n v="0"/>
    <x v="1"/>
  </r>
  <r>
    <x v="525"/>
    <x v="105"/>
    <s v="FR0013479789"/>
    <s v="Yes"/>
    <s v="Environmental"/>
    <s v="ESG Other"/>
    <s v="GRF5N"/>
    <s v="Euronext Paris"/>
    <s v="Non-significant benchmark"/>
    <n v="0"/>
    <n v="0"/>
    <n v="0"/>
    <n v="0"/>
    <n v="0"/>
    <n v="0"/>
    <n v="0"/>
    <x v="1"/>
  </r>
  <r>
    <x v="526"/>
    <x v="106"/>
    <s v="QS0011040902"/>
    <s v="No"/>
    <s v="International"/>
    <m/>
    <s v="ALASI"/>
    <s v="Euronext Paris"/>
    <s v="Non-significant benchmark"/>
    <n v="0"/>
    <n v="0"/>
    <n v="0"/>
    <n v="132291604"/>
    <n v="0"/>
    <n v="0"/>
    <n v="132291604"/>
    <x v="1"/>
  </r>
  <r>
    <x v="527"/>
    <x v="106"/>
    <s v="QS0011227186"/>
    <s v="No"/>
    <s v="International"/>
    <m/>
    <s v="ALASG"/>
    <s v="Euronext Paris"/>
    <s v="Non-significant benchmark"/>
    <n v="0"/>
    <n v="0"/>
    <n v="0"/>
    <n v="0"/>
    <n v="0"/>
    <n v="0"/>
    <n v="0"/>
    <x v="1"/>
  </r>
  <r>
    <x v="528"/>
    <x v="106"/>
    <s v="QS0011227178"/>
    <s v="No"/>
    <s v="International"/>
    <m/>
    <s v="ALASN"/>
    <s v="Euronext Paris"/>
    <s v="Non-significant benchmark"/>
    <n v="0"/>
    <n v="0"/>
    <n v="0"/>
    <n v="0"/>
    <n v="0"/>
    <n v="0"/>
    <n v="0"/>
    <x v="1"/>
  </r>
  <r>
    <x v="529"/>
    <x v="106"/>
    <s v="QS0011194212"/>
    <s v="No"/>
    <s v="Industry"/>
    <m/>
    <s v="NAOII"/>
    <s v="Euronext Paris"/>
    <s v="Non-significant benchmark"/>
    <n v="0"/>
    <n v="0"/>
    <n v="0"/>
    <n v="0"/>
    <n v="0"/>
    <n v="0"/>
    <n v="0"/>
    <x v="1"/>
  </r>
  <r>
    <x v="530"/>
    <x v="106"/>
    <s v="QS0011194238"/>
    <s v="No"/>
    <s v="Industry"/>
    <m/>
    <s v="NAOIG"/>
    <s v="Euronext Paris"/>
    <s v="Non-significant benchmark"/>
    <n v="0"/>
    <n v="0"/>
    <n v="0"/>
    <n v="0"/>
    <n v="0"/>
    <n v="0"/>
    <n v="0"/>
    <x v="1"/>
  </r>
  <r>
    <x v="531"/>
    <x v="106"/>
    <s v="QS0011194220"/>
    <s v="No"/>
    <s v="Industry"/>
    <m/>
    <s v="NAOIN"/>
    <s v="Euronext Paris"/>
    <s v="Non-significant benchmark"/>
    <n v="0"/>
    <n v="0"/>
    <n v="0"/>
    <n v="0"/>
    <n v="0"/>
    <n v="0"/>
    <n v="0"/>
    <x v="1"/>
  </r>
  <r>
    <x v="532"/>
    <x v="107"/>
    <s v="NLIX00000983"/>
    <s v="No"/>
    <s v="Thematic"/>
    <m/>
    <s v="HSPCP"/>
    <s v="Euronext Paris"/>
    <s v="Non-significant benchmark"/>
    <n v="0"/>
    <n v="0"/>
    <n v="0"/>
    <n v="0"/>
    <n v="0"/>
    <n v="0"/>
    <n v="0"/>
    <x v="1"/>
  </r>
  <r>
    <x v="533"/>
    <x v="107"/>
    <s v="NLIX00001007"/>
    <s v="No"/>
    <s v="Thematic"/>
    <m/>
    <s v="HSPCG"/>
    <s v="Euronext Paris"/>
    <s v="Non-significant benchmark"/>
    <n v="0"/>
    <n v="0"/>
    <n v="0"/>
    <n v="0"/>
    <n v="0"/>
    <n v="0"/>
    <n v="0"/>
    <x v="1"/>
  </r>
  <r>
    <x v="534"/>
    <x v="107"/>
    <s v="NLIX00000991"/>
    <s v="No"/>
    <s v="Thematic"/>
    <m/>
    <s v="HSPCN"/>
    <s v="Euronext Paris"/>
    <s v="Non-significant benchmark"/>
    <n v="0"/>
    <n v="0"/>
    <n v="0"/>
    <n v="0"/>
    <n v="0"/>
    <n v="0"/>
    <n v="0"/>
    <x v="1"/>
  </r>
  <r>
    <x v="535"/>
    <x v="108"/>
    <s v="NLIX00000959"/>
    <s v="No"/>
    <s v="Thematic"/>
    <m/>
    <s v="HSPAP"/>
    <s v="Euronext Paris"/>
    <s v="Non-significant benchmark"/>
    <n v="0"/>
    <n v="0"/>
    <n v="0"/>
    <n v="0"/>
    <n v="0"/>
    <n v="0"/>
    <n v="0"/>
    <x v="1"/>
  </r>
  <r>
    <x v="536"/>
    <x v="108"/>
    <s v="NLIX00000975"/>
    <s v="No"/>
    <s v="Thematic"/>
    <m/>
    <s v="HSPAG"/>
    <s v="Euronext Paris"/>
    <s v="Non-significant benchmark"/>
    <n v="0"/>
    <n v="0"/>
    <n v="0"/>
    <n v="0"/>
    <n v="0"/>
    <n v="0"/>
    <n v="0"/>
    <x v="1"/>
  </r>
  <r>
    <x v="537"/>
    <x v="108"/>
    <s v="NLIX00000967"/>
    <s v="No"/>
    <s v="Thematic"/>
    <m/>
    <s v="HSPAN"/>
    <s v="Euronext Paris"/>
    <s v="Non-significant benchmark"/>
    <n v="0"/>
    <n v="0"/>
    <n v="0"/>
    <n v="0"/>
    <n v="0"/>
    <n v="0"/>
    <n v="0"/>
    <x v="1"/>
  </r>
  <r>
    <x v="538"/>
    <x v="109"/>
    <s v="FRESG0000181"/>
    <s v="Yes"/>
    <s v="Climate;Environmental"/>
    <s v="ESG Other"/>
    <s v="JPCLA"/>
    <s v="Euronext Paris"/>
    <s v="Non-significant benchmark"/>
    <n v="0"/>
    <n v="0"/>
    <n v="0"/>
    <n v="0"/>
    <n v="0"/>
    <n v="0"/>
    <n v="0"/>
    <x v="1"/>
  </r>
  <r>
    <x v="539"/>
    <x v="109"/>
    <s v="FRESG0000215"/>
    <s v="Yes"/>
    <s v="Climate;Environmental"/>
    <s v="ESG Other"/>
    <s v="JPCLE"/>
    <s v="Euronext Paris"/>
    <s v="Non-significant benchmark"/>
    <n v="0"/>
    <n v="0"/>
    <n v="0"/>
    <n v="0"/>
    <n v="0"/>
    <n v="0"/>
    <n v="0"/>
    <x v="1"/>
  </r>
  <r>
    <x v="540"/>
    <x v="109"/>
    <s v="FRESG0000199"/>
    <s v="Yes"/>
    <s v="Climate;Environmental"/>
    <s v="ESG Other"/>
    <s v="JPCLG"/>
    <s v="Euronext Paris"/>
    <s v="Non-significant benchmark"/>
    <n v="0"/>
    <n v="0"/>
    <n v="0"/>
    <n v="0"/>
    <n v="0"/>
    <n v="0"/>
    <n v="0"/>
    <x v="1"/>
  </r>
  <r>
    <x v="541"/>
    <x v="109"/>
    <s v="FRESG0000223"/>
    <s v="Yes"/>
    <s v="Climate;Environmental"/>
    <s v="ESG Other"/>
    <s v="JPCEG"/>
    <s v="Euronext Paris"/>
    <s v="Non-significant benchmark"/>
    <n v="0"/>
    <n v="0"/>
    <n v="0"/>
    <n v="0"/>
    <n v="0"/>
    <n v="0"/>
    <n v="0"/>
    <x v="1"/>
  </r>
  <r>
    <x v="542"/>
    <x v="109"/>
    <s v="FRESG0000207"/>
    <s v="Yes"/>
    <s v="Climate;Environmental"/>
    <s v="ESG Other"/>
    <s v="JPCLN"/>
    <s v="Euronext Paris"/>
    <s v="Non-significant benchmark"/>
    <n v="0"/>
    <n v="0"/>
    <n v="0"/>
    <n v="0"/>
    <n v="0"/>
    <n v="0"/>
    <n v="0"/>
    <x v="1"/>
  </r>
  <r>
    <x v="543"/>
    <x v="109"/>
    <s v="FRESG0000231"/>
    <s v="Yes"/>
    <s v="Climate;Environmental"/>
    <s v="ESG Other"/>
    <s v="JPCEN"/>
    <s v="Euronext Paris"/>
    <s v="Non-significant benchmark"/>
    <n v="0"/>
    <n v="0"/>
    <n v="0"/>
    <n v="0"/>
    <n v="0"/>
    <n v="0"/>
    <n v="0"/>
    <x v="1"/>
  </r>
  <r>
    <x v="544"/>
    <x v="110"/>
    <s v="FR0013522554"/>
    <s v="Yes"/>
    <s v="Climate;PAB"/>
    <s v="PAB"/>
    <s v="LC1EP"/>
    <s v="Euronext Paris"/>
    <s v="Non-significant benchmark"/>
    <n v="0"/>
    <n v="0"/>
    <n v="0"/>
    <n v="0"/>
    <n v="0"/>
    <n v="0"/>
    <n v="0"/>
    <x v="1"/>
  </r>
  <r>
    <x v="545"/>
    <x v="110"/>
    <s v="FR0013522570"/>
    <s v="Yes"/>
    <s v="Climate;PAB"/>
    <s v="PAB"/>
    <s v="LC1EG"/>
    <s v="Euronext Paris"/>
    <s v="Non-significant benchmark"/>
    <n v="0"/>
    <n v="0"/>
    <n v="0"/>
    <n v="0"/>
    <n v="0"/>
    <n v="0"/>
    <n v="0"/>
    <x v="1"/>
  </r>
  <r>
    <x v="546"/>
    <x v="110"/>
    <s v="FR0013522562"/>
    <s v="Yes"/>
    <s v="Climate;PAB"/>
    <s v="PAB"/>
    <s v="LC1EZ"/>
    <s v="Euronext Paris"/>
    <s v="Non-significant benchmark"/>
    <n v="0"/>
    <n v="0"/>
    <n v="0"/>
    <n v="15660477"/>
    <n v="0"/>
    <n v="0"/>
    <n v="15660477"/>
    <x v="1"/>
  </r>
  <r>
    <x v="547"/>
    <x v="111"/>
    <s v="FRESG0000173"/>
    <s v="Yes"/>
    <s v="Climate;PAB"/>
    <s v="PAB"/>
    <s v="LC3WD"/>
    <s v="Euronext Paris"/>
    <s v="Non-significant benchmark"/>
    <n v="0"/>
    <n v="0"/>
    <n v="68524063.584000006"/>
    <n v="0"/>
    <n v="0"/>
    <n v="0"/>
    <n v="68524063.584000006"/>
    <x v="1"/>
  </r>
  <r>
    <x v="548"/>
    <x v="111"/>
    <s v="FR0013522588"/>
    <s v="Yes"/>
    <s v="Climate;PAB"/>
    <s v="PAB"/>
    <s v="LC3WP"/>
    <s v="Euronext Paris"/>
    <s v="Non-significant benchmark"/>
    <n v="0"/>
    <n v="0"/>
    <n v="0"/>
    <n v="67032997"/>
    <n v="0"/>
    <n v="0"/>
    <n v="67032997"/>
    <x v="1"/>
  </r>
  <r>
    <x v="549"/>
    <x v="111"/>
    <s v="FR0013522604"/>
    <s v="Yes"/>
    <s v="Climate;PAB"/>
    <s v="PAB"/>
    <s v="LC3WG"/>
    <s v="Euronext Paris"/>
    <s v="Non-significant benchmark"/>
    <n v="0"/>
    <n v="0"/>
    <n v="0"/>
    <n v="0"/>
    <n v="0"/>
    <n v="0"/>
    <n v="0"/>
    <x v="1"/>
  </r>
  <r>
    <x v="550"/>
    <x v="111"/>
    <s v="FR0013522596"/>
    <s v="Yes"/>
    <s v="Climate;PAB"/>
    <s v="PAB"/>
    <s v="LC3W"/>
    <s v="Euronext Paris"/>
    <s v="Non-significant benchmark"/>
    <n v="0"/>
    <n v="0"/>
    <n v="0"/>
    <n v="0"/>
    <n v="0"/>
    <n v="0"/>
    <n v="0"/>
    <x v="1"/>
  </r>
  <r>
    <x v="551"/>
    <x v="112"/>
    <s v="FRESG0000934"/>
    <s v="No"/>
    <s v="Thematic"/>
    <m/>
    <s v="NHWPR"/>
    <s v="Euronext Paris"/>
    <s v="Non-significant benchmark"/>
    <n v="0"/>
    <n v="0"/>
    <n v="0"/>
    <n v="0"/>
    <n v="0"/>
    <n v="0"/>
    <n v="0"/>
    <x v="1"/>
  </r>
  <r>
    <x v="552"/>
    <x v="112"/>
    <s v="FRESG0000959"/>
    <s v="No"/>
    <s v="Thematic"/>
    <m/>
    <s v="NHWGR"/>
    <s v="Euronext Paris"/>
    <s v="Non-significant benchmark"/>
    <n v="0"/>
    <n v="0"/>
    <n v="0"/>
    <n v="0"/>
    <n v="0"/>
    <n v="0"/>
    <n v="0"/>
    <x v="1"/>
  </r>
  <r>
    <x v="553"/>
    <x v="112"/>
    <s v="FRESG0000942"/>
    <s v="No"/>
    <s v="Thematic"/>
    <m/>
    <s v="NHWNR"/>
    <s v="Euronext Paris"/>
    <s v="Non-significant benchmark"/>
    <n v="0"/>
    <n v="0"/>
    <n v="0"/>
    <n v="0"/>
    <n v="0"/>
    <n v="0"/>
    <n v="0"/>
    <x v="1"/>
  </r>
  <r>
    <x v="554"/>
    <x v="113"/>
    <s v="FRESG0000967"/>
    <s v="No"/>
    <s v="Thematic"/>
    <m/>
    <s v="NW3WP"/>
    <s v="Euronext Paris"/>
    <s v="Non-significant benchmark"/>
    <n v="0"/>
    <n v="0"/>
    <n v="0"/>
    <n v="0"/>
    <n v="0"/>
    <n v="0"/>
    <n v="0"/>
    <x v="1"/>
  </r>
  <r>
    <x v="555"/>
    <x v="113"/>
    <s v="FRESG0000983"/>
    <s v="No"/>
    <s v="Thematic"/>
    <m/>
    <s v="NW3WG"/>
    <s v="Euronext Paris"/>
    <s v="Non-significant benchmark"/>
    <n v="0"/>
    <n v="0"/>
    <n v="0"/>
    <n v="0"/>
    <n v="0"/>
    <n v="0"/>
    <n v="0"/>
    <x v="1"/>
  </r>
  <r>
    <x v="556"/>
    <x v="113"/>
    <s v="FRESG0000975"/>
    <s v="No"/>
    <s v="Thematic"/>
    <m/>
    <s v="NW3WN"/>
    <s v="Euronext Paris"/>
    <s v="Non-significant benchmark"/>
    <n v="0"/>
    <n v="0"/>
    <n v="0"/>
    <n v="0"/>
    <n v="0"/>
    <n v="0"/>
    <n v="0"/>
    <x v="1"/>
  </r>
  <r>
    <x v="557"/>
    <x v="114"/>
    <s v="NL0015436114"/>
    <s v="No"/>
    <s v="International"/>
    <m/>
    <s v="NA500"/>
    <s v="Euronext Amsterdam"/>
    <s v="Non-significant benchmark"/>
    <n v="0"/>
    <n v="0"/>
    <n v="0"/>
    <n v="0"/>
    <n v="0"/>
    <n v="0"/>
    <n v="0"/>
    <x v="1"/>
  </r>
  <r>
    <x v="558"/>
    <x v="114"/>
    <s v="NL0015436130"/>
    <s v="No"/>
    <s v="International"/>
    <m/>
    <s v="NA5GR"/>
    <s v="Euronext Amsterdam"/>
    <s v="Non-significant benchmark"/>
    <n v="0"/>
    <n v="0"/>
    <n v="0"/>
    <n v="0"/>
    <n v="0"/>
    <n v="0"/>
    <n v="0"/>
    <x v="1"/>
  </r>
  <r>
    <x v="559"/>
    <x v="114"/>
    <s v="NL0015436122"/>
    <s v="No"/>
    <s v="International"/>
    <m/>
    <s v="NA5NR"/>
    <s v="Euronext Amsterdam"/>
    <s v="Non-significant benchmark"/>
    <n v="0"/>
    <n v="0"/>
    <n v="0"/>
    <n v="0"/>
    <n v="0"/>
    <n v="0"/>
    <n v="0"/>
    <x v="1"/>
  </r>
  <r>
    <x v="560"/>
    <x v="115"/>
    <s v="FRESG0000777"/>
    <s v="Yes"/>
    <s v="Water"/>
    <s v="ESG Other"/>
    <s v="PIWEP"/>
    <s v="Euronext Paris"/>
    <s v="Non-significant benchmark"/>
    <n v="0"/>
    <n v="0"/>
    <n v="0"/>
    <n v="0"/>
    <n v="0"/>
    <n v="0"/>
    <n v="0"/>
    <x v="1"/>
  </r>
  <r>
    <x v="561"/>
    <x v="115"/>
    <s v="FRESG0000793"/>
    <s v="Yes"/>
    <s v="Water"/>
    <s v="ESG Other"/>
    <s v="PIWEG"/>
    <s v="Euronext Paris"/>
    <s v="Non-significant benchmark"/>
    <n v="0"/>
    <n v="0"/>
    <n v="0"/>
    <n v="0"/>
    <n v="0"/>
    <n v="0"/>
    <n v="0"/>
    <x v="1"/>
  </r>
  <r>
    <x v="562"/>
    <x v="115"/>
    <s v="FRESG0000785"/>
    <s v="Yes"/>
    <s v="Water"/>
    <s v="ESG Other"/>
    <s v="PIWEN"/>
    <s v="Euronext Paris"/>
    <s v="Non-significant benchmark"/>
    <n v="0"/>
    <n v="0"/>
    <n v="0"/>
    <n v="0"/>
    <n v="0"/>
    <n v="0"/>
    <n v="0"/>
    <x v="1"/>
  </r>
  <r>
    <x v="563"/>
    <x v="116"/>
    <s v="FRESG0000801"/>
    <s v="Yes"/>
    <s v="Water"/>
    <s v="ESG Other"/>
    <s v="PIWWP"/>
    <s v="Euronext Paris"/>
    <s v="Non-significant benchmark"/>
    <n v="0"/>
    <n v="0"/>
    <n v="0"/>
    <n v="0"/>
    <n v="0"/>
    <n v="0"/>
    <n v="0"/>
    <x v="1"/>
  </r>
  <r>
    <x v="564"/>
    <x v="116"/>
    <s v="FRESG0000827"/>
    <s v="Yes"/>
    <s v="Water"/>
    <s v="ESG Other"/>
    <s v="PIWWG"/>
    <s v="Euronext Paris"/>
    <s v="Non-significant benchmark"/>
    <n v="0"/>
    <n v="0"/>
    <n v="0"/>
    <n v="0"/>
    <n v="0"/>
    <n v="0"/>
    <n v="0"/>
    <x v="1"/>
  </r>
  <r>
    <x v="565"/>
    <x v="116"/>
    <s v="FRESG0000819"/>
    <s v="Yes"/>
    <s v="Water"/>
    <s v="ESG Other"/>
    <s v="PIWWN"/>
    <s v="Euronext Paris"/>
    <s v="Non-significant benchmark"/>
    <n v="0"/>
    <n v="0"/>
    <n v="0"/>
    <n v="0"/>
    <n v="0"/>
    <n v="0"/>
    <n v="0"/>
    <x v="1"/>
  </r>
  <r>
    <x v="566"/>
    <x v="117"/>
    <s v="NL0012645253"/>
    <s v="No"/>
    <s v="International"/>
    <m/>
    <s v="ERGBD"/>
    <s v="Euronext Paris"/>
    <s v="Non-significant benchmark"/>
    <n v="0"/>
    <n v="0"/>
    <n v="0"/>
    <n v="0"/>
    <n v="0"/>
    <n v="0"/>
    <n v="0"/>
    <x v="1"/>
  </r>
  <r>
    <x v="567"/>
    <x v="117"/>
    <s v="NL0012645220"/>
    <s v="No"/>
    <s v="International"/>
    <m/>
    <s v="ERGCD"/>
    <s v="Euronext Paris"/>
    <s v="Non-significant benchmark"/>
    <n v="88.801788999999999"/>
    <n v="0"/>
    <n v="0"/>
    <n v="0"/>
    <n v="0"/>
    <n v="0"/>
    <n v="88.801788999999999"/>
    <x v="1"/>
  </r>
  <r>
    <x v="568"/>
    <x v="117"/>
    <s v="NL0012645238"/>
    <s v="No"/>
    <s v="International"/>
    <m/>
    <s v="ERGBP"/>
    <s v="Euronext Paris"/>
    <s v="Non-significant benchmark"/>
    <n v="17974689.25"/>
    <n v="38188000"/>
    <n v="0"/>
    <n v="0"/>
    <n v="0"/>
    <n v="0"/>
    <n v="17974689.25"/>
    <x v="1"/>
  </r>
  <r>
    <x v="569"/>
    <x v="117"/>
    <s v="NL0012645246"/>
    <s v="No"/>
    <s v="International"/>
    <m/>
    <s v="ERGBN"/>
    <s v="Euronext Paris"/>
    <s v="Non-significant benchmark"/>
    <n v="0"/>
    <n v="0"/>
    <n v="0"/>
    <n v="0"/>
    <n v="0"/>
    <n v="0"/>
    <n v="0"/>
    <x v="1"/>
  </r>
  <r>
    <x v="570"/>
    <x v="117"/>
    <s v="NL0012747018"/>
    <s v="No"/>
    <s v="International"/>
    <m/>
    <s v="GB10C"/>
    <s v="Euronext Paris"/>
    <s v="Non-significant benchmark"/>
    <n v="0"/>
    <n v="0"/>
    <n v="0"/>
    <n v="0"/>
    <n v="0"/>
    <n v="0"/>
    <n v="0"/>
    <x v="1"/>
  </r>
  <r>
    <x v="571"/>
    <x v="117"/>
    <s v="NL0012747026"/>
    <s v="No"/>
    <s v="International"/>
    <m/>
    <s v="GB10D"/>
    <s v="Euronext Paris"/>
    <s v="Non-significant benchmark"/>
    <n v="0"/>
    <n v="0"/>
    <n v="0"/>
    <n v="0"/>
    <n v="0"/>
    <n v="0"/>
    <n v="0"/>
    <x v="1"/>
  </r>
  <r>
    <x v="572"/>
    <x v="117"/>
    <s v="NL0012747034"/>
    <s v="No"/>
    <s v="International"/>
    <m/>
    <s v="GB12C"/>
    <s v="Euronext Paris"/>
    <s v="Non-significant benchmark"/>
    <n v="0"/>
    <n v="0"/>
    <n v="0"/>
    <n v="0"/>
    <n v="0"/>
    <n v="0"/>
    <n v="0"/>
    <x v="1"/>
  </r>
  <r>
    <x v="573"/>
    <x v="117"/>
    <s v="NL0012747042"/>
    <s v="No"/>
    <s v="International"/>
    <m/>
    <s v="GB12D"/>
    <s v="Euronext Paris"/>
    <s v="Non-significant benchmark"/>
    <n v="0"/>
    <n v="0"/>
    <n v="0"/>
    <n v="0"/>
    <n v="0"/>
    <n v="0"/>
    <n v="0"/>
    <x v="1"/>
  </r>
  <r>
    <x v="574"/>
    <x v="117"/>
    <s v="NL0012645204"/>
    <s v="No"/>
    <s v="International"/>
    <m/>
    <s v="ERGCP"/>
    <s v="Euronext Paris"/>
    <s v="Non-significant benchmark"/>
    <n v="0"/>
    <n v="0"/>
    <n v="0"/>
    <n v="0"/>
    <n v="0"/>
    <n v="0"/>
    <n v="0"/>
    <x v="1"/>
  </r>
  <r>
    <x v="575"/>
    <x v="117"/>
    <s v="NL0012645212"/>
    <s v="No"/>
    <s v="International"/>
    <m/>
    <s v="ERGCN"/>
    <s v="Euronext Paris"/>
    <s v="Non-significant benchmark"/>
    <n v="0"/>
    <n v="0"/>
    <n v="0"/>
    <n v="0"/>
    <n v="0"/>
    <n v="0"/>
    <n v="0"/>
    <x v="1"/>
  </r>
  <r>
    <x v="576"/>
    <x v="118"/>
    <s v="NL0012838809"/>
    <s v="Yes"/>
    <s v="Broad ESG"/>
    <s v="ESG Other"/>
    <s v="ERGSP"/>
    <s v="Euronext Paris"/>
    <s v="Non-significant benchmark"/>
    <n v="23295721"/>
    <n v="355813953.48799998"/>
    <n v="0"/>
    <n v="0"/>
    <n v="0"/>
    <n v="0"/>
    <n v="23295721"/>
    <x v="1"/>
  </r>
  <r>
    <x v="577"/>
    <x v="118"/>
    <s v="NL0012939078"/>
    <s v="Yes"/>
    <s v="Broad ESG"/>
    <s v="ESG Other"/>
    <s v="ERGSD"/>
    <s v="Euronext Paris"/>
    <s v="Non-significant benchmark"/>
    <n v="25877930.300000001"/>
    <n v="0"/>
    <n v="2017038.9684000001"/>
    <n v="0"/>
    <n v="0"/>
    <n v="0"/>
    <n v="25877930.300000001"/>
    <x v="1"/>
  </r>
  <r>
    <x v="578"/>
    <x v="118"/>
    <s v="NL0012939060"/>
    <s v="Yes"/>
    <s v="Broad ESG"/>
    <s v="ESG Other"/>
    <s v="ERGSN"/>
    <s v="Euronext Paris"/>
    <s v="Non-significant benchmark"/>
    <n v="0"/>
    <n v="0"/>
    <n v="0"/>
    <n v="0"/>
    <n v="0"/>
    <n v="0"/>
    <n v="0"/>
    <x v="1"/>
  </r>
  <r>
    <x v="579"/>
    <x v="119"/>
    <s v="NL0013217730"/>
    <s v="Yes"/>
    <s v="Broad ESG"/>
    <s v="ESG Other"/>
    <s v="ERI5P"/>
    <s v="Euronext Paris"/>
    <s v="Non-significant benchmark"/>
    <n v="0"/>
    <n v="0"/>
    <n v="0"/>
    <n v="0"/>
    <n v="0"/>
    <n v="0"/>
    <n v="0"/>
    <x v="1"/>
  </r>
  <r>
    <x v="580"/>
    <x v="119"/>
    <s v="NL0013217763"/>
    <s v="Yes"/>
    <s v="Broad ESG"/>
    <s v="ESG Other"/>
    <s v="ERI5E"/>
    <s v="Euronext Paris"/>
    <s v="Non-significant benchmark"/>
    <n v="0"/>
    <n v="0"/>
    <n v="0"/>
    <n v="0"/>
    <n v="0"/>
    <n v="0"/>
    <n v="0"/>
    <x v="1"/>
  </r>
  <r>
    <x v="581"/>
    <x v="119"/>
    <s v="NL0013217755"/>
    <s v="Yes"/>
    <s v="Broad ESG"/>
    <s v="ESG Other"/>
    <s v="ERI5G"/>
    <s v="Euronext Paris"/>
    <s v="Non-significant benchmark"/>
    <n v="0"/>
    <n v="0"/>
    <n v="0"/>
    <n v="0"/>
    <n v="0"/>
    <n v="0"/>
    <n v="0"/>
    <x v="1"/>
  </r>
  <r>
    <x v="582"/>
    <x v="119"/>
    <s v="NL0013217748"/>
    <s v="Yes"/>
    <s v="Broad ESG"/>
    <s v="ESG Other"/>
    <s v="ERI5N"/>
    <s v="Euronext Paris"/>
    <s v="Non-significant benchmark"/>
    <n v="0"/>
    <n v="0"/>
    <n v="0"/>
    <n v="0"/>
    <n v="0"/>
    <n v="0"/>
    <n v="0"/>
    <x v="1"/>
  </r>
  <r>
    <x v="583"/>
    <x v="120"/>
    <s v="FRIX00000516"/>
    <s v="No"/>
    <s v="Single Stock"/>
    <m/>
    <s v="SBBG"/>
    <s v="Euronext Paris"/>
    <s v="Non-significant benchmark"/>
    <n v="0"/>
    <n v="0"/>
    <n v="0"/>
    <n v="0"/>
    <n v="0"/>
    <n v="0"/>
    <n v="0"/>
    <x v="1"/>
  </r>
  <r>
    <x v="584"/>
    <x v="120"/>
    <s v="FRIX00000524"/>
    <s v="No"/>
    <s v="Single Stock"/>
    <m/>
    <s v="SBBD"/>
    <s v="Euronext Paris"/>
    <s v="Non-significant benchmark"/>
    <n v="0"/>
    <n v="0"/>
    <n v="0"/>
    <n v="0"/>
    <n v="0"/>
    <n v="0"/>
    <n v="0"/>
    <x v="1"/>
  </r>
  <r>
    <x v="585"/>
    <x v="120"/>
    <s v="FRIX00000508"/>
    <s v="No"/>
    <s v="Single Stock"/>
    <m/>
    <s v="SBBP"/>
    <s v="Euronext Paris"/>
    <s v="Non-significant benchmark"/>
    <n v="0"/>
    <n v="0"/>
    <n v="0"/>
    <n v="0"/>
    <n v="0"/>
    <n v="0"/>
    <n v="0"/>
    <x v="1"/>
  </r>
  <r>
    <x v="586"/>
    <x v="120"/>
    <s v="FRIX00000458"/>
    <s v="No"/>
    <s v="Single Stock"/>
    <m/>
    <s v="SBENG"/>
    <s v="Euronext Paris"/>
    <s v="Non-significant benchmark"/>
    <n v="0"/>
    <n v="0"/>
    <n v="0"/>
    <n v="0"/>
    <n v="0"/>
    <n v="0"/>
    <n v="0"/>
    <x v="1"/>
  </r>
  <r>
    <x v="587"/>
    <x v="120"/>
    <s v="FRIX00000466"/>
    <s v="No"/>
    <s v="Single Stock"/>
    <m/>
    <s v="SBEND"/>
    <s v="Euronext Paris"/>
    <s v="Non-significant benchmark"/>
    <n v="0"/>
    <n v="0"/>
    <n v="0"/>
    <n v="0"/>
    <n v="0"/>
    <n v="0"/>
    <n v="0"/>
    <x v="1"/>
  </r>
  <r>
    <x v="588"/>
    <x v="120"/>
    <s v="FRIX00000441"/>
    <s v="No"/>
    <s v="Single Stock"/>
    <m/>
    <s v="SBENP"/>
    <s v="Euronext Paris"/>
    <s v="Non-significant benchmark"/>
    <n v="0"/>
    <n v="0"/>
    <n v="0"/>
    <n v="0"/>
    <n v="0"/>
    <n v="0"/>
    <n v="0"/>
    <x v="1"/>
  </r>
  <r>
    <x v="589"/>
    <x v="120"/>
    <s v="FRIX00000482"/>
    <s v="No"/>
    <s v="Single Stock"/>
    <m/>
    <s v="SBO1G"/>
    <s v="Euronext Paris"/>
    <s v="Non-significant benchmark"/>
    <n v="0"/>
    <n v="0"/>
    <n v="0"/>
    <n v="0"/>
    <n v="0"/>
    <n v="0"/>
    <n v="0"/>
    <x v="1"/>
  </r>
  <r>
    <x v="590"/>
    <x v="120"/>
    <s v="FRIX00000490"/>
    <s v="No"/>
    <s v="Single Stock"/>
    <m/>
    <s v="SBO1D"/>
    <s v="Euronext Paris"/>
    <s v="Non-significant benchmark"/>
    <n v="0"/>
    <n v="0"/>
    <n v="0"/>
    <n v="0"/>
    <n v="0"/>
    <n v="0"/>
    <n v="0"/>
    <x v="1"/>
  </r>
  <r>
    <x v="591"/>
    <x v="120"/>
    <s v="FRIX00000474"/>
    <s v="No"/>
    <s v="Single Stock"/>
    <m/>
    <s v="SBO1P"/>
    <s v="Euronext Paris"/>
    <s v="Non-significant benchmark"/>
    <n v="0"/>
    <n v="0"/>
    <n v="0"/>
    <n v="0"/>
    <n v="0"/>
    <n v="0"/>
    <n v="0"/>
    <x v="1"/>
  </r>
  <r>
    <x v="592"/>
    <x v="120"/>
    <s v="FRIX00000367"/>
    <s v="No"/>
    <s v="Single Stock"/>
    <m/>
    <s v="SCS1G"/>
    <s v="Euronext Paris"/>
    <s v="Non-significant benchmark"/>
    <n v="0"/>
    <n v="0"/>
    <n v="0"/>
    <n v="0"/>
    <n v="0"/>
    <n v="0"/>
    <n v="0"/>
    <x v="1"/>
  </r>
  <r>
    <x v="593"/>
    <x v="120"/>
    <s v="FRIX00000375"/>
    <s v="No"/>
    <s v="Single Stock"/>
    <m/>
    <s v="SCS1D"/>
    <s v="Euronext Paris"/>
    <s v="Non-significant benchmark"/>
    <n v="0"/>
    <n v="0"/>
    <n v="0"/>
    <n v="0"/>
    <n v="0"/>
    <n v="0"/>
    <n v="0"/>
    <x v="1"/>
  </r>
  <r>
    <x v="594"/>
    <x v="120"/>
    <s v="FRIX00000359"/>
    <s v="No"/>
    <s v="Single Stock"/>
    <m/>
    <s v="SCS1P"/>
    <s v="Euronext Paris"/>
    <s v="Non-significant benchmark"/>
    <n v="0"/>
    <n v="0"/>
    <n v="0"/>
    <n v="0"/>
    <n v="0"/>
    <n v="0"/>
    <n v="0"/>
    <x v="1"/>
  </r>
  <r>
    <x v="595"/>
    <x v="120"/>
    <s v="FRIX00000219"/>
    <s v="No"/>
    <s v="Single Stock"/>
    <m/>
    <s v="SGA1G"/>
    <s v="Euronext Paris"/>
    <s v="Non-significant benchmark"/>
    <n v="0"/>
    <n v="0"/>
    <n v="0"/>
    <n v="0"/>
    <n v="0"/>
    <n v="0"/>
    <n v="0"/>
    <x v="1"/>
  </r>
  <r>
    <x v="596"/>
    <x v="120"/>
    <s v="FRIX00000227"/>
    <s v="No"/>
    <s v="Single Stock"/>
    <m/>
    <s v="SGA1D"/>
    <s v="Euronext Paris"/>
    <s v="Non-significant benchmark"/>
    <n v="559137.69999999995"/>
    <n v="0"/>
    <n v="4973520.7439999999"/>
    <n v="0"/>
    <n v="0"/>
    <n v="0"/>
    <n v="4973520.7439999999"/>
    <x v="1"/>
  </r>
  <r>
    <x v="597"/>
    <x v="120"/>
    <s v="FRIX00000201"/>
    <s v="No"/>
    <s v="Single Stock"/>
    <m/>
    <s v="SGA1P"/>
    <s v="Euronext Paris"/>
    <s v="Non-significant benchmark"/>
    <n v="0"/>
    <n v="0"/>
    <n v="0"/>
    <n v="0"/>
    <n v="0"/>
    <n v="0"/>
    <n v="0"/>
    <x v="1"/>
  </r>
  <r>
    <x v="598"/>
    <x v="120"/>
    <s v="FRIX00000276"/>
    <s v="No"/>
    <s v="Single Stock"/>
    <m/>
    <s v="SGB2G"/>
    <s v="Euronext Paris"/>
    <s v="Non-significant benchmark"/>
    <n v="0"/>
    <n v="0"/>
    <n v="0"/>
    <n v="0"/>
    <n v="0"/>
    <n v="0"/>
    <n v="0"/>
    <x v="1"/>
  </r>
  <r>
    <x v="599"/>
    <x v="120"/>
    <s v="FRIX00000243"/>
    <s v="No"/>
    <s v="Single Stock"/>
    <m/>
    <s v="SGB1G"/>
    <s v="Euronext Paris"/>
    <s v="Non-significant benchmark"/>
    <n v="0"/>
    <n v="0"/>
    <n v="0"/>
    <n v="0"/>
    <n v="0"/>
    <n v="0"/>
    <n v="0"/>
    <x v="1"/>
  </r>
  <r>
    <x v="600"/>
    <x v="120"/>
    <s v="FRIX00000284"/>
    <s v="No"/>
    <s v="Single Stock"/>
    <m/>
    <s v="SGB2D"/>
    <s v="Euronext Paris"/>
    <s v="Non-significant benchmark"/>
    <n v="3525015.3997670002"/>
    <n v="90000000"/>
    <n v="22390053.571600001"/>
    <n v="0"/>
    <n v="0"/>
    <n v="0"/>
    <n v="22390053.571600001"/>
    <x v="1"/>
  </r>
  <r>
    <x v="601"/>
    <x v="120"/>
    <s v="FRIX00000250"/>
    <s v="No"/>
    <s v="Single Stock"/>
    <m/>
    <s v="SGB1D"/>
    <s v="Euronext Paris"/>
    <s v="Non-significant benchmark"/>
    <n v="1963827.5"/>
    <n v="35000000"/>
    <n v="25153120.6516"/>
    <n v="0"/>
    <n v="0"/>
    <n v="0"/>
    <n v="25153120.6516"/>
    <x v="1"/>
  </r>
  <r>
    <x v="602"/>
    <x v="120"/>
    <s v="FRIX00000268"/>
    <s v="No"/>
    <s v="Single Stock"/>
    <m/>
    <s v="SGB2P"/>
    <s v="Euronext Paris"/>
    <s v="Non-significant benchmark"/>
    <n v="0"/>
    <n v="0"/>
    <n v="0"/>
    <n v="0"/>
    <n v="0"/>
    <n v="0"/>
    <n v="0"/>
    <x v="1"/>
  </r>
  <r>
    <x v="603"/>
    <x v="120"/>
    <s v="FRIX00000235"/>
    <s v="No"/>
    <s v="Single Stock"/>
    <m/>
    <s v="SGB1P"/>
    <s v="Euronext Paris"/>
    <s v="Non-significant benchmark"/>
    <n v="0"/>
    <n v="0"/>
    <n v="0"/>
    <n v="0"/>
    <n v="0"/>
    <n v="0"/>
    <n v="0"/>
    <x v="1"/>
  </r>
  <r>
    <x v="604"/>
    <x v="120"/>
    <s v="FRIX00002421"/>
    <s v="No"/>
    <s v="Single Stock"/>
    <m/>
    <s v="SGB4D"/>
    <s v="Euronext Paris"/>
    <s v="Non-significant benchmark"/>
    <n v="29863515.700463999"/>
    <n v="360000000"/>
    <n v="59930924.965199992"/>
    <n v="0"/>
    <n v="0"/>
    <n v="0"/>
    <n v="59930924.965199992"/>
    <x v="1"/>
  </r>
  <r>
    <x v="605"/>
    <x v="120"/>
    <s v="FRIX00002488"/>
    <s v="No"/>
    <s v="Single Stock"/>
    <m/>
    <s v="SGB5D"/>
    <s v="Euronext Paris"/>
    <s v="Non-significant benchmark"/>
    <n v="7440312.5"/>
    <n v="155000000"/>
    <n v="38213217.716400005"/>
    <m/>
    <m/>
    <m/>
    <m/>
    <x v="3"/>
  </r>
  <r>
    <x v="606"/>
    <x v="120"/>
    <s v="FRIX00000177"/>
    <s v="No"/>
    <s v="Single Stock"/>
    <m/>
    <s v="SGBG"/>
    <s v="Euronext Paris"/>
    <s v="Non-significant benchmark"/>
    <n v="0"/>
    <n v="0"/>
    <n v="0"/>
    <n v="0"/>
    <n v="0"/>
    <n v="0"/>
    <n v="0"/>
    <x v="1"/>
  </r>
  <r>
    <x v="607"/>
    <x v="120"/>
    <s v="FRIX00000185"/>
    <s v="No"/>
    <s v="Single Stock"/>
    <m/>
    <s v="SGBD"/>
    <s v="Euronext Paris"/>
    <s v="Non-significant benchmark"/>
    <n v="187700"/>
    <n v="30000000"/>
    <n v="3030163.5644"/>
    <n v="0"/>
    <n v="0"/>
    <n v="0"/>
    <n v="3030163.5644"/>
    <x v="1"/>
  </r>
  <r>
    <x v="608"/>
    <x v="120"/>
    <s v="FRIX00000169"/>
    <s v="No"/>
    <s v="Single Stock"/>
    <m/>
    <s v="SGBP"/>
    <s v="Euronext Paris"/>
    <s v="Non-significant benchmark"/>
    <n v="0"/>
    <n v="0"/>
    <n v="0"/>
    <n v="0"/>
    <n v="0"/>
    <n v="0"/>
    <n v="0"/>
    <x v="1"/>
  </r>
  <r>
    <x v="609"/>
    <x v="120"/>
    <s v="FRIX00000573"/>
    <s v="No"/>
    <s v="Single Stock"/>
    <m/>
    <s v="SGCAG"/>
    <s v="Euronext Paris"/>
    <s v="Non-significant benchmark"/>
    <n v="0"/>
    <n v="0"/>
    <n v="0"/>
    <n v="0"/>
    <n v="0"/>
    <n v="0"/>
    <n v="0"/>
    <x v="1"/>
  </r>
  <r>
    <x v="610"/>
    <x v="120"/>
    <s v="FRIX00000581"/>
    <s v="No"/>
    <s v="Single Stock"/>
    <m/>
    <s v="SGCAD"/>
    <s v="Euronext Paris"/>
    <s v="Non-significant benchmark"/>
    <n v="40044619.100000001"/>
    <n v="15000000"/>
    <n v="102215061.51280001"/>
    <n v="0"/>
    <n v="0"/>
    <n v="0"/>
    <n v="102215061.51280001"/>
    <x v="1"/>
  </r>
  <r>
    <x v="611"/>
    <x v="120"/>
    <s v="FRIX00000565"/>
    <s v="No"/>
    <s v="Single Stock"/>
    <m/>
    <s v="SGCAP"/>
    <s v="Euronext Paris"/>
    <s v="Non-significant benchmark"/>
    <n v="0"/>
    <n v="600000000"/>
    <n v="0"/>
    <n v="0"/>
    <n v="0"/>
    <n v="0"/>
    <n v="600000000"/>
    <x v="1"/>
  </r>
  <r>
    <x v="612"/>
    <x v="120"/>
    <s v="FRIX00001019"/>
    <s v="No"/>
    <s v="Single Stock"/>
    <m/>
    <s v="SGC1G"/>
    <s v="Euronext Paris"/>
    <s v="Non-significant benchmark"/>
    <n v="0"/>
    <n v="0"/>
    <n v="0"/>
    <n v="0"/>
    <n v="0"/>
    <n v="0"/>
    <n v="0"/>
    <x v="1"/>
  </r>
  <r>
    <x v="613"/>
    <x v="120"/>
    <s v="FRIX00001027"/>
    <s v="No"/>
    <s v="Single Stock"/>
    <m/>
    <s v="SGC1D"/>
    <s v="Euronext Paris"/>
    <s v="Non-significant benchmark"/>
    <n v="32313528.788723998"/>
    <n v="85000000"/>
    <n v="76444855.88000001"/>
    <n v="0"/>
    <n v="0"/>
    <n v="0"/>
    <n v="76444855.88000001"/>
    <x v="1"/>
  </r>
  <r>
    <x v="614"/>
    <x v="120"/>
    <s v="FRIX00001001"/>
    <s v="No"/>
    <s v="Single Stock"/>
    <m/>
    <s v="SGC1P"/>
    <s v="Euronext Paris"/>
    <s v="Non-significant benchmark"/>
    <n v="0"/>
    <n v="0"/>
    <n v="0"/>
    <n v="0"/>
    <n v="0"/>
    <n v="0"/>
    <n v="0"/>
    <x v="1"/>
  </r>
  <r>
    <x v="615"/>
    <x v="120"/>
    <s v="FRIX00002546"/>
    <s v="No"/>
    <s v="Single Stock"/>
    <m/>
    <s v="SGA4D"/>
    <s v="Euronext Paris"/>
    <s v="Non-significant benchmark"/>
    <n v="187884319.36952901"/>
    <n v="1205000000"/>
    <n v="283656466.43279999"/>
    <n v="0"/>
    <n v="0"/>
    <n v="0"/>
    <n v="283656466.43279999"/>
    <x v="1"/>
  </r>
  <r>
    <x v="616"/>
    <x v="120"/>
    <s v="FRIX00000433"/>
    <s v="No"/>
    <e v="#N/A"/>
    <m/>
    <s v="SGE2D"/>
    <s v="Euronext Paris"/>
    <s v="Non-significant benchmark"/>
    <n v="0"/>
    <n v="0"/>
    <n v="0"/>
    <n v="0"/>
    <n v="0"/>
    <n v="0"/>
    <n v="0"/>
    <x v="2"/>
  </r>
  <r>
    <x v="617"/>
    <x v="120"/>
    <s v="FRIX00000425"/>
    <s v="No"/>
    <e v="#N/A"/>
    <m/>
    <s v="SGE2G"/>
    <s v="Euronext Paris"/>
    <s v="Non-significant benchmark"/>
    <n v="0"/>
    <n v="0"/>
    <n v="0"/>
    <n v="0"/>
    <n v="0"/>
    <n v="0"/>
    <n v="0"/>
    <x v="2"/>
  </r>
  <r>
    <x v="618"/>
    <x v="120"/>
    <s v="FRIX00000417"/>
    <s v="No"/>
    <e v="#N/A"/>
    <m/>
    <s v="SGE2P"/>
    <s v="Euronext Paris"/>
    <s v="Non-significant benchmark"/>
    <n v="0"/>
    <n v="0"/>
    <n v="0"/>
    <n v="0"/>
    <n v="0"/>
    <n v="0"/>
    <n v="0"/>
    <x v="2"/>
  </r>
  <r>
    <x v="619"/>
    <x v="120"/>
    <s v="FRIX00000300"/>
    <s v="No"/>
    <e v="#N/A"/>
    <m/>
    <s v="SGE1G"/>
    <s v="Euronext Paris"/>
    <s v="Non-significant benchmark"/>
    <n v="0"/>
    <n v="0"/>
    <n v="0"/>
    <n v="0"/>
    <n v="0"/>
    <n v="0"/>
    <n v="0"/>
    <x v="2"/>
  </r>
  <r>
    <x v="620"/>
    <x v="120"/>
    <s v="FRIX00000318"/>
    <s v="No"/>
    <e v="#N/A"/>
    <m/>
    <s v="SGE1D"/>
    <s v="Euronext Paris"/>
    <s v="Non-significant benchmark"/>
    <n v="0"/>
    <n v="0"/>
    <n v="0"/>
    <n v="0"/>
    <n v="0"/>
    <n v="0"/>
    <n v="0"/>
    <x v="2"/>
  </r>
  <r>
    <x v="621"/>
    <x v="120"/>
    <s v="FRIX00000292"/>
    <s v="No"/>
    <e v="#N/A"/>
    <m/>
    <s v="SGE1P"/>
    <s v="Euronext Paris"/>
    <s v="Non-significant benchmark"/>
    <n v="0"/>
    <n v="0"/>
    <n v="0"/>
    <n v="0"/>
    <n v="0"/>
    <n v="0"/>
    <n v="0"/>
    <x v="2"/>
  </r>
  <r>
    <x v="622"/>
    <x v="120"/>
    <s v="FRIX00000086"/>
    <s v="No"/>
    <s v="Single Stock"/>
    <m/>
    <s v="SGENG"/>
    <s v="Euronext Paris"/>
    <s v="Non-significant benchmark"/>
    <n v="0"/>
    <n v="0"/>
    <n v="0"/>
    <n v="0"/>
    <n v="0"/>
    <n v="0"/>
    <n v="0"/>
    <x v="1"/>
  </r>
  <r>
    <x v="623"/>
    <x v="120"/>
    <s v="FRIX00000094"/>
    <s v="No"/>
    <s v="Single Stock"/>
    <m/>
    <s v="SGEND"/>
    <s v="Euronext Paris"/>
    <s v="Non-significant benchmark"/>
    <n v="0"/>
    <n v="30000000"/>
    <n v="10195717.5252"/>
    <n v="0"/>
    <n v="0"/>
    <n v="0"/>
    <n v="30000000"/>
    <x v="1"/>
  </r>
  <r>
    <x v="624"/>
    <x v="120"/>
    <s v="FRIX00000078"/>
    <s v="No"/>
    <s v="Single Stock"/>
    <m/>
    <s v="SGENP"/>
    <s v="Euronext Paris"/>
    <s v="Non-significant benchmark"/>
    <n v="0"/>
    <n v="0"/>
    <n v="0"/>
    <n v="0"/>
    <n v="0"/>
    <n v="0"/>
    <n v="0"/>
    <x v="1"/>
  </r>
  <r>
    <x v="625"/>
    <x v="120"/>
    <s v="FRIX00002579"/>
    <s v="No"/>
    <s v="Single Stock"/>
    <m/>
    <s v="SGEED"/>
    <s v="Euronext Paris"/>
    <s v="Non-significant benchmark"/>
    <n v="27013476.900000002"/>
    <n v="115000000"/>
    <n v="5019571.8620000007"/>
    <n v="0"/>
    <n v="0"/>
    <n v="0"/>
    <n v="27013476.900000002"/>
    <x v="1"/>
  </r>
  <r>
    <x v="626"/>
    <x v="120"/>
    <s v="FRIX00000409"/>
    <s v="No"/>
    <s v="Single Stock"/>
    <m/>
    <s v="SG01D"/>
    <s v="Euronext Paris"/>
    <s v="Non-significant benchmark"/>
    <n v="52079929.199999996"/>
    <n v="415000000"/>
    <n v="110467421.8584"/>
    <n v="0"/>
    <n v="0"/>
    <n v="0"/>
    <n v="110467421.8584"/>
    <x v="1"/>
  </r>
  <r>
    <x v="627"/>
    <x v="120"/>
    <s v="FRIX00000540"/>
    <s v="No"/>
    <s v="Single Stock"/>
    <m/>
    <s v="SG02G"/>
    <s v="Euronext Paris"/>
    <s v="Non-significant benchmark"/>
    <n v="0"/>
    <n v="0"/>
    <n v="0"/>
    <n v="0"/>
    <n v="0"/>
    <n v="0"/>
    <n v="0"/>
    <x v="1"/>
  </r>
  <r>
    <x v="628"/>
    <x v="120"/>
    <s v="FRIX00000391"/>
    <s v="No"/>
    <s v="Single Stock"/>
    <m/>
    <s v="SG01G"/>
    <s v="Euronext Paris"/>
    <s v="Non-significant benchmark"/>
    <n v="0"/>
    <n v="0"/>
    <n v="0"/>
    <n v="0"/>
    <n v="0"/>
    <n v="0"/>
    <n v="0"/>
    <x v="1"/>
  </r>
  <r>
    <x v="629"/>
    <x v="120"/>
    <s v="FRIX00000557"/>
    <s v="No"/>
    <s v="Single Stock"/>
    <m/>
    <s v="SG02D"/>
    <s v="Euronext Paris"/>
    <s v="Non-significant benchmark"/>
    <n v="0"/>
    <n v="0"/>
    <n v="0"/>
    <n v="0"/>
    <n v="0"/>
    <n v="0"/>
    <n v="0"/>
    <x v="1"/>
  </r>
  <r>
    <x v="630"/>
    <x v="120"/>
    <s v="FRIX00000532"/>
    <s v="No"/>
    <s v="Single Stock"/>
    <m/>
    <s v="SG02P"/>
    <s v="Euronext Paris"/>
    <s v="Non-significant benchmark"/>
    <n v="0"/>
    <n v="0"/>
    <n v="0"/>
    <n v="0"/>
    <n v="0"/>
    <n v="0"/>
    <n v="0"/>
    <x v="1"/>
  </r>
  <r>
    <x v="631"/>
    <x v="120"/>
    <s v="FRIX00000383"/>
    <s v="No"/>
    <s v="Single Stock"/>
    <m/>
    <s v="SG01P"/>
    <s v="Euronext Paris"/>
    <s v="Non-significant benchmark"/>
    <n v="0"/>
    <n v="0"/>
    <n v="0"/>
    <n v="0"/>
    <n v="0"/>
    <n v="0"/>
    <n v="0"/>
    <x v="1"/>
  </r>
  <r>
    <x v="632"/>
    <x v="120"/>
    <s v="FRIX00000110"/>
    <s v="No"/>
    <s v="Single Stock"/>
    <m/>
    <s v="SGORG"/>
    <s v="Euronext Paris"/>
    <s v="Non-significant benchmark"/>
    <n v="0"/>
    <n v="0"/>
    <n v="0"/>
    <n v="0"/>
    <n v="0"/>
    <n v="0"/>
    <n v="0"/>
    <x v="1"/>
  </r>
  <r>
    <x v="633"/>
    <x v="120"/>
    <s v="FRIX00000128"/>
    <s v="No"/>
    <s v="Single Stock"/>
    <m/>
    <s v="SGORD"/>
    <s v="Euronext Paris"/>
    <s v="Non-significant benchmark"/>
    <n v="7059793.8669409994"/>
    <n v="115000000"/>
    <n v="32742344.898000002"/>
    <n v="0"/>
    <n v="0"/>
    <n v="0"/>
    <n v="32742344.898000002"/>
    <x v="1"/>
  </r>
  <r>
    <x v="634"/>
    <x v="120"/>
    <s v="FRIX00000102"/>
    <s v="No"/>
    <s v="Single Stock"/>
    <m/>
    <s v="SGORP"/>
    <s v="Euronext Paris"/>
    <s v="Non-significant benchmark"/>
    <n v="0"/>
    <n v="0"/>
    <n v="0"/>
    <n v="0"/>
    <n v="0"/>
    <n v="0"/>
    <n v="0"/>
    <x v="1"/>
  </r>
  <r>
    <x v="635"/>
    <x v="120"/>
    <s v="FRIX00002991"/>
    <s v="No"/>
    <s v="Single Stock"/>
    <m/>
    <s v="SGSCR"/>
    <s v="Euronext Paris"/>
    <s v="Non-significant benchmark"/>
    <n v="5736564"/>
    <n v="30000000"/>
    <n v="5019571.8620000007"/>
    <n v="0"/>
    <n v="0"/>
    <n v="0"/>
    <m/>
    <x v="3"/>
  </r>
  <r>
    <x v="636"/>
    <x v="120"/>
    <s v="FRIX00000334"/>
    <s v="No"/>
    <s v="Single Stock"/>
    <m/>
    <s v="SGSGG"/>
    <s v="Euronext Paris"/>
    <s v="Non-significant benchmark"/>
    <n v="0"/>
    <n v="0"/>
    <n v="0"/>
    <n v="0"/>
    <n v="0"/>
    <n v="0"/>
    <n v="0"/>
    <x v="1"/>
  </r>
  <r>
    <x v="637"/>
    <x v="120"/>
    <s v="FRIX00000342"/>
    <s v="No"/>
    <s v="Single Stock"/>
    <m/>
    <s v="SGSGD"/>
    <s v="Euronext Paris"/>
    <s v="Non-significant benchmark"/>
    <n v="6094223"/>
    <n v="0"/>
    <n v="42090721.852000006"/>
    <n v="0"/>
    <n v="0"/>
    <n v="0"/>
    <n v="42090721.852000006"/>
    <x v="1"/>
  </r>
  <r>
    <x v="638"/>
    <x v="120"/>
    <s v="FRIX00000326"/>
    <s v="No"/>
    <s v="Single Stock"/>
    <m/>
    <s v="SGSGP"/>
    <s v="Euronext Paris"/>
    <s v="Non-significant benchmark"/>
    <n v="0"/>
    <n v="30000000"/>
    <n v="0"/>
    <n v="0"/>
    <n v="0"/>
    <n v="0"/>
    <n v="30000000"/>
    <x v="1"/>
  </r>
  <r>
    <x v="639"/>
    <x v="120"/>
    <s v="FRIX00003155"/>
    <s v="No"/>
    <s v="Single Stock"/>
    <m/>
    <s v="SGG5D"/>
    <s v="Euronext Paris"/>
    <s v="Non-significant benchmark"/>
    <n v="0"/>
    <n v="0"/>
    <n v="5102463.8744000001"/>
    <n v="0"/>
    <n v="0"/>
    <n v="0"/>
    <n v="5102463.8744000001"/>
    <x v="1"/>
  </r>
  <r>
    <x v="640"/>
    <x v="120"/>
    <s v="FRIX00002512"/>
    <s v="No"/>
    <s v="Single Stock"/>
    <m/>
    <s v="SGG3D"/>
    <s v="Euronext Paris"/>
    <s v="Non-significant benchmark"/>
    <n v="19821405.599999998"/>
    <n v="180000000"/>
    <n v="54616625.947999999"/>
    <n v="0"/>
    <n v="0"/>
    <n v="0"/>
    <n v="54616625.947999999"/>
    <x v="1"/>
  </r>
  <r>
    <x v="641"/>
    <x v="120"/>
    <s v="FRIX00001084"/>
    <s v="No"/>
    <s v="Single Stock"/>
    <m/>
    <s v="SGSTD"/>
    <s v="Euronext Paris"/>
    <s v="Non-significant benchmark"/>
    <n v="8543791.5999999996"/>
    <n v="165000000"/>
    <n v="47193185.726400003"/>
    <n v="0"/>
    <n v="0"/>
    <n v="0"/>
    <n v="47193185.726400003"/>
    <x v="1"/>
  </r>
  <r>
    <x v="642"/>
    <x v="120"/>
    <s v="FRIX00001076"/>
    <s v="No"/>
    <s v="Single Stock"/>
    <m/>
    <s v="SGSTG"/>
    <s v="Euronext Paris"/>
    <s v="Non-significant benchmark"/>
    <n v="0"/>
    <n v="0"/>
    <n v="0"/>
    <n v="0"/>
    <n v="0"/>
    <n v="0"/>
    <n v="0"/>
    <x v="1"/>
  </r>
  <r>
    <x v="643"/>
    <x v="120"/>
    <s v="FRIX00001068"/>
    <s v="No"/>
    <s v="Single Stock"/>
    <m/>
    <s v="SGSTP"/>
    <s v="Euronext Paris"/>
    <s v="Non-significant benchmark"/>
    <n v="0"/>
    <n v="0"/>
    <n v="0"/>
    <n v="0"/>
    <n v="0"/>
    <n v="0"/>
    <n v="0"/>
    <x v="1"/>
  </r>
  <r>
    <x v="644"/>
    <x v="120"/>
    <s v="FRIX00003015"/>
    <s v="No"/>
    <s v="Single Stock"/>
    <m/>
    <s v="SGS4G"/>
    <s v="Euronext Paris"/>
    <s v="Non-significant benchmark"/>
    <n v="0"/>
    <n v="0"/>
    <n v="9993092.6060000006"/>
    <n v="0"/>
    <n v="0"/>
    <n v="0"/>
    <n v="9993092.6060000006"/>
    <x v="1"/>
  </r>
  <r>
    <x v="645"/>
    <x v="120"/>
    <s v="FRIX00002868"/>
    <s v="No"/>
    <s v="Single Stock"/>
    <m/>
    <s v="SGS3D"/>
    <s v="Euronext Paris"/>
    <s v="Non-significant benchmark"/>
    <n v="81003529.5"/>
    <n v="380000000"/>
    <n v="111084506.83960001"/>
    <n v="0"/>
    <n v="0"/>
    <n v="0"/>
    <n v="111084506.83960001"/>
    <x v="1"/>
  </r>
  <r>
    <x v="646"/>
    <x v="120"/>
    <s v="FRIX00000144"/>
    <s v="No"/>
    <s v="Single Stock"/>
    <m/>
    <s v="SGT1G"/>
    <s v="Euronext Paris"/>
    <s v="Non-significant benchmark"/>
    <n v="0"/>
    <n v="0"/>
    <n v="0"/>
    <n v="0"/>
    <n v="0"/>
    <n v="0"/>
    <n v="0"/>
    <x v="1"/>
  </r>
  <r>
    <x v="647"/>
    <x v="120"/>
    <s v="FRIX00000052"/>
    <s v="No"/>
    <s v="Single Stock"/>
    <m/>
    <s v="SGTEG"/>
    <s v="Euronext Paris"/>
    <s v="Non-significant benchmark"/>
    <n v="0"/>
    <n v="0"/>
    <n v="0"/>
    <n v="0"/>
    <n v="0"/>
    <n v="0"/>
    <n v="0"/>
    <x v="1"/>
  </r>
  <r>
    <x v="648"/>
    <x v="120"/>
    <s v="FRIX00000151"/>
    <s v="No"/>
    <s v="Single Stock"/>
    <m/>
    <s v="SGT1D"/>
    <s v="Euronext Paris"/>
    <s v="Non-significant benchmark"/>
    <n v="590663.19999999995"/>
    <n v="5000000"/>
    <n v="5010361.6384000005"/>
    <n v="0"/>
    <n v="0"/>
    <n v="0"/>
    <n v="5010361.6384000005"/>
    <x v="1"/>
  </r>
  <r>
    <x v="649"/>
    <x v="120"/>
    <s v="FRIX00000060"/>
    <s v="No"/>
    <s v="Single Stock"/>
    <m/>
    <s v="SGTED"/>
    <s v="Euronext Paris"/>
    <s v="Non-significant benchmark"/>
    <n v="0"/>
    <n v="0"/>
    <n v="22997928.3292"/>
    <n v="0"/>
    <n v="0"/>
    <n v="0"/>
    <n v="22997928.3292"/>
    <x v="1"/>
  </r>
  <r>
    <x v="650"/>
    <x v="120"/>
    <s v="FRIX00000136"/>
    <s v="No"/>
    <s v="Single Stock"/>
    <m/>
    <s v="SGT1P"/>
    <s v="Euronext Paris"/>
    <s v="Non-significant benchmark"/>
    <n v="0"/>
    <n v="0"/>
    <n v="0"/>
    <n v="0"/>
    <n v="0"/>
    <n v="0"/>
    <n v="0"/>
    <x v="1"/>
  </r>
  <r>
    <x v="651"/>
    <x v="120"/>
    <s v="FRIX00000045"/>
    <s v="No"/>
    <s v="Single Stock"/>
    <m/>
    <s v="SGTEP"/>
    <s v="Euronext Paris"/>
    <s v="Non-significant benchmark"/>
    <n v="0"/>
    <n v="0"/>
    <n v="0"/>
    <n v="0"/>
    <n v="0"/>
    <n v="0"/>
    <n v="0"/>
    <x v="1"/>
  </r>
  <r>
    <x v="652"/>
    <x v="120"/>
    <s v="FRIX00002710"/>
    <s v="No"/>
    <s v="Single Stock"/>
    <m/>
    <s v="SGU2D"/>
    <s v="Euronext Paris"/>
    <s v="Non-significant benchmark"/>
    <n v="4248750"/>
    <n v="30000000"/>
    <n v="4890628.7316000005"/>
    <n v="0"/>
    <n v="0"/>
    <n v="0"/>
    <n v="4890628.7316000005"/>
    <x v="1"/>
  </r>
  <r>
    <x v="653"/>
    <x v="120"/>
    <s v="FRIX00000789"/>
    <s v="No"/>
    <s v="Single Stock"/>
    <m/>
    <s v="SSMTG"/>
    <s v="Euronext Paris"/>
    <s v="Non-significant benchmark"/>
    <n v="0"/>
    <n v="0"/>
    <n v="0"/>
    <n v="0"/>
    <n v="0"/>
    <n v="0"/>
    <n v="0"/>
    <x v="1"/>
  </r>
  <r>
    <x v="654"/>
    <x v="120"/>
    <s v="FRIX00000797"/>
    <s v="No"/>
    <s v="Single Stock"/>
    <m/>
    <s v="SSMTD"/>
    <s v="Euronext Paris"/>
    <s v="Non-significant benchmark"/>
    <n v="0"/>
    <n v="0"/>
    <n v="0"/>
    <n v="0"/>
    <n v="0"/>
    <n v="0"/>
    <n v="0"/>
    <x v="1"/>
  </r>
  <r>
    <x v="655"/>
    <x v="120"/>
    <s v="FRIX00000771"/>
    <s v="No"/>
    <s v="Single Stock"/>
    <m/>
    <s v="SSMTP"/>
    <s v="Euronext Paris"/>
    <s v="Non-significant benchmark"/>
    <n v="0"/>
    <n v="0"/>
    <n v="0"/>
    <n v="0"/>
    <n v="0"/>
    <n v="0"/>
    <n v="0"/>
    <x v="1"/>
  </r>
  <r>
    <x v="656"/>
    <x v="120"/>
    <s v="FRIX00000631"/>
    <s v="No"/>
    <s v="Single Stock"/>
    <m/>
    <s v="SSAXG"/>
    <s v="Euronext Paris"/>
    <s v="Non-significant benchmark"/>
    <n v="0"/>
    <n v="0"/>
    <n v="0"/>
    <n v="0"/>
    <n v="0"/>
    <n v="0"/>
    <n v="0"/>
    <x v="1"/>
  </r>
  <r>
    <x v="657"/>
    <x v="120"/>
    <s v="FRIX00000649"/>
    <s v="No"/>
    <s v="Single Stock"/>
    <m/>
    <s v="SSAXD"/>
    <s v="Euronext Paris"/>
    <s v="Non-significant benchmark"/>
    <n v="0"/>
    <n v="0"/>
    <n v="0"/>
    <n v="0"/>
    <n v="0"/>
    <n v="0"/>
    <n v="0"/>
    <x v="1"/>
  </r>
  <r>
    <x v="658"/>
    <x v="120"/>
    <s v="FRIX00000623"/>
    <s v="No"/>
    <s v="Single Stock"/>
    <m/>
    <s v="SSAXP"/>
    <s v="Euronext Paris"/>
    <s v="Non-significant benchmark"/>
    <n v="0"/>
    <n v="0"/>
    <n v="0"/>
    <n v="0"/>
    <n v="0"/>
    <n v="0"/>
    <n v="0"/>
    <x v="1"/>
  </r>
  <r>
    <x v="659"/>
    <x v="120"/>
    <s v="FRIX00000987"/>
    <s v="No"/>
    <s v="Single Stock"/>
    <m/>
    <s v="SSBNG"/>
    <s v="Euronext Paris"/>
    <s v="Non-significant benchmark"/>
    <n v="0"/>
    <n v="0"/>
    <n v="0"/>
    <n v="0"/>
    <n v="0"/>
    <n v="0"/>
    <n v="0"/>
    <x v="1"/>
  </r>
  <r>
    <x v="660"/>
    <x v="120"/>
    <s v="FRIX00000995"/>
    <s v="No"/>
    <s v="Single Stock"/>
    <m/>
    <s v="SSBND"/>
    <s v="Euronext Paris"/>
    <s v="Non-significant benchmark"/>
    <n v="0"/>
    <n v="0"/>
    <n v="0"/>
    <n v="0"/>
    <n v="0"/>
    <n v="0"/>
    <n v="0"/>
    <x v="1"/>
  </r>
  <r>
    <x v="661"/>
    <x v="120"/>
    <s v="FRIX00000979"/>
    <s v="No"/>
    <s v="Single Stock"/>
    <m/>
    <s v="SSBNP"/>
    <s v="Euronext Paris"/>
    <s v="Non-significant benchmark"/>
    <n v="0"/>
    <n v="0"/>
    <n v="0"/>
    <n v="0"/>
    <n v="0"/>
    <n v="0"/>
    <n v="0"/>
    <x v="1"/>
  </r>
  <r>
    <x v="662"/>
    <x v="120"/>
    <s v="FRIX00000870"/>
    <s v="No"/>
    <s v="Single Stock"/>
    <m/>
    <s v="SSCAG"/>
    <s v="Euronext Paris"/>
    <s v="Non-significant benchmark"/>
    <n v="0"/>
    <n v="0"/>
    <n v="0"/>
    <n v="0"/>
    <n v="0"/>
    <n v="0"/>
    <n v="0"/>
    <x v="1"/>
  </r>
  <r>
    <x v="663"/>
    <x v="120"/>
    <s v="FRIX00000888"/>
    <s v="No"/>
    <s v="Single Stock"/>
    <m/>
    <s v="SSCAD"/>
    <s v="Euronext Paris"/>
    <s v="Non-significant benchmark"/>
    <n v="0"/>
    <n v="0"/>
    <n v="0"/>
    <n v="0"/>
    <n v="0"/>
    <n v="0"/>
    <n v="0"/>
    <x v="1"/>
  </r>
  <r>
    <x v="664"/>
    <x v="120"/>
    <s v="FRIX00000862"/>
    <s v="No"/>
    <s v="Single Stock"/>
    <m/>
    <s v="SSCAP"/>
    <s v="Euronext Paris"/>
    <s v="Non-significant benchmark"/>
    <n v="0"/>
    <n v="0"/>
    <n v="0"/>
    <n v="0"/>
    <n v="0"/>
    <n v="0"/>
    <n v="0"/>
    <x v="1"/>
  </r>
  <r>
    <x v="665"/>
    <x v="120"/>
    <s v="FRIX00000607"/>
    <s v="No"/>
    <s v="Single Stock"/>
    <m/>
    <s v="SSACG"/>
    <s v="Euronext Paris"/>
    <s v="Non-significant benchmark"/>
    <n v="0"/>
    <n v="0"/>
    <n v="0"/>
    <n v="0"/>
    <n v="0"/>
    <n v="0"/>
    <n v="0"/>
    <x v="1"/>
  </r>
  <r>
    <x v="666"/>
    <x v="120"/>
    <s v="FRIX00000615"/>
    <s v="No"/>
    <s v="Single Stock"/>
    <m/>
    <s v="SSACD"/>
    <s v="Euronext Paris"/>
    <s v="Non-significant benchmark"/>
    <n v="0"/>
    <n v="63500000"/>
    <n v="36656689.928000003"/>
    <n v="0"/>
    <n v="0"/>
    <n v="0"/>
    <n v="63500000"/>
    <x v="1"/>
  </r>
  <r>
    <x v="667"/>
    <x v="120"/>
    <s v="FRIX00000599"/>
    <s v="No"/>
    <s v="Single Stock"/>
    <m/>
    <s v="SSACP"/>
    <s v="Euronext Paris"/>
    <s v="Non-significant benchmark"/>
    <n v="0"/>
    <n v="0"/>
    <n v="0"/>
    <n v="0"/>
    <n v="0"/>
    <n v="0"/>
    <n v="0"/>
    <x v="1"/>
  </r>
  <r>
    <x v="668"/>
    <x v="120"/>
    <s v="FRIX00000755"/>
    <s v="No"/>
    <s v="Single Stock"/>
    <m/>
    <s v="SSENG"/>
    <s v="Euronext Paris"/>
    <s v="Non-significant benchmark"/>
    <n v="0"/>
    <n v="0"/>
    <n v="0"/>
    <n v="0"/>
    <n v="0"/>
    <n v="0"/>
    <n v="0"/>
    <x v="1"/>
  </r>
  <r>
    <x v="669"/>
    <x v="120"/>
    <s v="FRIX00000763"/>
    <s v="No"/>
    <s v="Single Stock"/>
    <m/>
    <s v="SSEND"/>
    <s v="Euronext Paris"/>
    <s v="Non-significant benchmark"/>
    <n v="0"/>
    <n v="0"/>
    <n v="0"/>
    <n v="0"/>
    <n v="0"/>
    <n v="0"/>
    <n v="0"/>
    <x v="1"/>
  </r>
  <r>
    <x v="670"/>
    <x v="120"/>
    <s v="FRIX00000748"/>
    <s v="No"/>
    <s v="Single Stock"/>
    <m/>
    <s v="SSENI"/>
    <s v="Euronext Paris"/>
    <s v="Non-significant benchmark"/>
    <n v="0"/>
    <n v="0"/>
    <n v="0"/>
    <n v="0"/>
    <n v="0"/>
    <n v="0"/>
    <n v="0"/>
    <x v="1"/>
  </r>
  <r>
    <x v="671"/>
    <x v="120"/>
    <s v="FRIX00000938"/>
    <s v="No"/>
    <s v="Single Stock"/>
    <m/>
    <s v="SSING"/>
    <s v="Euronext Paris"/>
    <s v="Non-significant benchmark"/>
    <n v="0"/>
    <n v="0"/>
    <n v="0"/>
    <n v="0"/>
    <n v="0"/>
    <n v="0"/>
    <n v="0"/>
    <x v="1"/>
  </r>
  <r>
    <x v="672"/>
    <x v="120"/>
    <s v="FRIX00000946"/>
    <s v="No"/>
    <s v="Single Stock"/>
    <m/>
    <s v="SSIND"/>
    <s v="Euronext Paris"/>
    <s v="Non-significant benchmark"/>
    <n v="0"/>
    <n v="0"/>
    <n v="0"/>
    <n v="0"/>
    <n v="0"/>
    <n v="0"/>
    <n v="0"/>
    <x v="1"/>
  </r>
  <r>
    <x v="673"/>
    <x v="120"/>
    <s v="FRIX00000920"/>
    <s v="No"/>
    <s v="Single Stock"/>
    <m/>
    <s v="SSINP"/>
    <s v="Euronext Paris"/>
    <s v="Non-significant benchmark"/>
    <n v="0"/>
    <n v="0"/>
    <n v="0"/>
    <n v="0"/>
    <n v="0"/>
    <n v="0"/>
    <n v="0"/>
    <x v="1"/>
  </r>
  <r>
    <x v="674"/>
    <x v="120"/>
    <s v="FRIX00000904"/>
    <s v="No"/>
    <s v="Single Stock"/>
    <m/>
    <s v="SSKEG"/>
    <s v="Euronext Paris"/>
    <s v="Non-significant benchmark"/>
    <n v="0"/>
    <n v="0"/>
    <n v="0"/>
    <n v="0"/>
    <n v="0"/>
    <n v="0"/>
    <n v="0"/>
    <x v="1"/>
  </r>
  <r>
    <x v="675"/>
    <x v="120"/>
    <s v="FRIX00000912"/>
    <s v="No"/>
    <s v="Single Stock"/>
    <m/>
    <s v="SSKED"/>
    <s v="Euronext Paris"/>
    <s v="Non-significant benchmark"/>
    <n v="0"/>
    <n v="0"/>
    <n v="1427584.6580000001"/>
    <n v="0"/>
    <n v="0"/>
    <n v="0"/>
    <n v="1427584.6580000001"/>
    <x v="1"/>
  </r>
  <r>
    <x v="676"/>
    <x v="120"/>
    <s v="FRIX00000896"/>
    <s v="No"/>
    <s v="Single Stock"/>
    <m/>
    <s v="SSKEP"/>
    <s v="Euronext Paris"/>
    <s v="Non-significant benchmark"/>
    <n v="0"/>
    <n v="0"/>
    <n v="0"/>
    <n v="0"/>
    <n v="0"/>
    <n v="0"/>
    <n v="0"/>
    <x v="1"/>
  </r>
  <r>
    <x v="677"/>
    <x v="120"/>
    <s v="FRIX00000698"/>
    <s v="No"/>
    <s v="Single Stock"/>
    <m/>
    <s v="SSSAG"/>
    <s v="Euronext Paris"/>
    <s v="Non-significant benchmark"/>
    <n v="0"/>
    <n v="0"/>
    <n v="0"/>
    <n v="0"/>
    <n v="0"/>
    <n v="0"/>
    <n v="0"/>
    <x v="1"/>
  </r>
  <r>
    <x v="678"/>
    <x v="120"/>
    <s v="FRIX00000706"/>
    <s v="No"/>
    <s v="Single Stock"/>
    <m/>
    <s v="SSSAD"/>
    <s v="Euronext Paris"/>
    <s v="Non-significant benchmark"/>
    <n v="0"/>
    <n v="0"/>
    <n v="0"/>
    <n v="0"/>
    <n v="0"/>
    <n v="0"/>
    <n v="0"/>
    <x v="1"/>
  </r>
  <r>
    <x v="679"/>
    <x v="120"/>
    <s v="FRIX00000680"/>
    <s v="No"/>
    <s v="Single Stock"/>
    <m/>
    <s v="SSSAP"/>
    <s v="Euronext Paris"/>
    <s v="Non-significant benchmark"/>
    <n v="0"/>
    <n v="0"/>
    <n v="0"/>
    <n v="0"/>
    <n v="0"/>
    <n v="0"/>
    <n v="0"/>
    <x v="1"/>
  </r>
  <r>
    <x v="680"/>
    <x v="120"/>
    <s v="FRIX00000722"/>
    <s v="No"/>
    <s v="Single Stock"/>
    <m/>
    <s v="SSSNG"/>
    <s v="Euronext Paris"/>
    <s v="Non-significant benchmark"/>
    <n v="0"/>
    <n v="0"/>
    <n v="0"/>
    <n v="0"/>
    <n v="0"/>
    <n v="0"/>
    <n v="0"/>
    <x v="1"/>
  </r>
  <r>
    <x v="681"/>
    <x v="120"/>
    <s v="FRIX00000730"/>
    <s v="No"/>
    <s v="Single Stock"/>
    <m/>
    <s v="SSSND"/>
    <s v="Euronext Paris"/>
    <s v="Non-significant benchmark"/>
    <n v="0"/>
    <n v="0"/>
    <n v="0"/>
    <n v="0"/>
    <n v="0"/>
    <n v="0"/>
    <n v="0"/>
    <x v="1"/>
  </r>
  <r>
    <x v="682"/>
    <x v="120"/>
    <s v="FRIX00000714"/>
    <s v="No"/>
    <s v="Single Stock"/>
    <m/>
    <s v="SSSNP"/>
    <s v="Euronext Paris"/>
    <s v="Non-significant benchmark"/>
    <n v="0"/>
    <n v="0"/>
    <n v="0"/>
    <n v="0"/>
    <n v="0"/>
    <n v="0"/>
    <n v="0"/>
    <x v="1"/>
  </r>
  <r>
    <x v="683"/>
    <x v="120"/>
    <s v="FRIX00000664"/>
    <s v="No"/>
    <s v="Single Stock"/>
    <m/>
    <s v="SSSHG"/>
    <s v="Euronext Paris"/>
    <s v="Non-significant benchmark"/>
    <n v="0"/>
    <n v="0"/>
    <n v="0"/>
    <n v="0"/>
    <n v="0"/>
    <n v="0"/>
    <n v="0"/>
    <x v="1"/>
  </r>
  <r>
    <x v="684"/>
    <x v="120"/>
    <s v="FRIX00000672"/>
    <s v="No"/>
    <s v="Single Stock"/>
    <m/>
    <s v="SSSHD"/>
    <s v="Euronext Paris"/>
    <s v="Non-significant benchmark"/>
    <n v="0"/>
    <n v="0"/>
    <n v="0"/>
    <n v="0"/>
    <n v="0"/>
    <n v="0"/>
    <n v="0"/>
    <x v="1"/>
  </r>
  <r>
    <x v="685"/>
    <x v="120"/>
    <s v="FRIX00000656"/>
    <s v="No"/>
    <s v="Single Stock"/>
    <m/>
    <s v="SSS1P"/>
    <s v="Euronext Paris"/>
    <s v="Non-significant benchmark"/>
    <n v="0"/>
    <n v="0"/>
    <n v="0"/>
    <n v="0"/>
    <n v="0"/>
    <n v="0"/>
    <n v="0"/>
    <x v="1"/>
  </r>
  <r>
    <x v="686"/>
    <x v="120"/>
    <s v="FRIX00000813"/>
    <s v="No"/>
    <s v="Single Stock"/>
    <m/>
    <s v="SSSTG"/>
    <s v="Euronext Paris"/>
    <s v="Non-significant benchmark"/>
    <n v="0"/>
    <n v="0"/>
    <n v="0"/>
    <n v="0"/>
    <n v="0"/>
    <n v="0"/>
    <n v="0"/>
    <x v="1"/>
  </r>
  <r>
    <x v="687"/>
    <x v="120"/>
    <s v="FRIX00000821"/>
    <s v="No"/>
    <s v="Single Stock"/>
    <m/>
    <s v="SSSTD"/>
    <s v="Euronext Paris"/>
    <s v="Non-significant benchmark"/>
    <n v="0"/>
    <n v="0"/>
    <n v="6557679.2032000003"/>
    <n v="0"/>
    <n v="0"/>
    <n v="0"/>
    <n v="6557679.2032000003"/>
    <x v="1"/>
  </r>
  <r>
    <x v="688"/>
    <x v="120"/>
    <s v="FRIX00000805"/>
    <s v="No"/>
    <s v="Single Stock"/>
    <m/>
    <s v="SSSTP"/>
    <s v="Euronext Paris"/>
    <s v="Non-significant benchmark"/>
    <n v="0"/>
    <n v="0"/>
    <n v="0"/>
    <n v="0"/>
    <n v="0"/>
    <n v="0"/>
    <n v="0"/>
    <x v="1"/>
  </r>
  <r>
    <x v="689"/>
    <x v="121"/>
    <s v="FRESG0000744"/>
    <s v="Yes"/>
    <s v="Social"/>
    <s v="ESG Other"/>
    <s v="SGSPE"/>
    <s v="Euronext Paris"/>
    <s v="Non-significant benchmark"/>
    <n v="0"/>
    <n v="0"/>
    <n v="0"/>
    <n v="0"/>
    <n v="0"/>
    <n v="0"/>
    <n v="0"/>
    <x v="1"/>
  </r>
  <r>
    <x v="690"/>
    <x v="121"/>
    <s v="FRESG0000751"/>
    <s v="Yes"/>
    <s v="Social"/>
    <s v="ESG Other"/>
    <s v="SGSGE"/>
    <s v="Euronext Paris"/>
    <s v="Non-significant benchmark"/>
    <n v="0"/>
    <n v="0"/>
    <n v="0"/>
    <n v="0"/>
    <n v="0"/>
    <n v="0"/>
    <n v="0"/>
    <x v="1"/>
  </r>
  <r>
    <x v="691"/>
    <x v="121"/>
    <s v="FRESG0000769"/>
    <s v="Yes"/>
    <s v="Social"/>
    <s v="ESG Other"/>
    <s v="SGSNE"/>
    <s v="Euronext Paris"/>
    <s v="Non-significant benchmark"/>
    <n v="0"/>
    <n v="0"/>
    <n v="0"/>
    <n v="0"/>
    <n v="0"/>
    <n v="0"/>
    <n v="0"/>
    <x v="1"/>
  </r>
  <r>
    <x v="692"/>
    <x v="122"/>
    <s v="FRESG0000710"/>
    <s v="Yes"/>
    <s v="Social"/>
    <s v="ESG Other"/>
    <s v="SGSWP"/>
    <s v="Euronext Paris"/>
    <s v="Non-significant benchmark"/>
    <n v="0"/>
    <n v="0"/>
    <n v="0"/>
    <n v="0"/>
    <n v="0"/>
    <n v="0"/>
    <n v="0"/>
    <x v="1"/>
  </r>
  <r>
    <x v="693"/>
    <x v="122"/>
    <s v="FRESG0000728"/>
    <s v="Yes"/>
    <s v="Social"/>
    <s v="ESG Other"/>
    <s v="SGSWG"/>
    <s v="Euronext Paris"/>
    <s v="Non-significant benchmark"/>
    <n v="0"/>
    <n v="0"/>
    <n v="0"/>
    <n v="0"/>
    <n v="0"/>
    <n v="0"/>
    <n v="0"/>
    <x v="1"/>
  </r>
  <r>
    <x v="694"/>
    <x v="122"/>
    <s v="FRESG0000736"/>
    <s v="Yes"/>
    <s v="Social"/>
    <s v="ESG Other"/>
    <s v="SGSWN"/>
    <s v="Euronext Paris"/>
    <s v="Non-significant benchmark"/>
    <n v="0"/>
    <n v="0"/>
    <n v="0"/>
    <n v="0"/>
    <n v="0"/>
    <n v="0"/>
    <n v="0"/>
    <x v="1"/>
  </r>
  <r>
    <x v="695"/>
    <x v="123"/>
    <s v="NL0015000EC7"/>
    <s v="No"/>
    <s v="International"/>
    <m/>
    <s v="SES5G"/>
    <s v="Euronext Amsterdam"/>
    <s v="Non-significant benchmark"/>
    <n v="0"/>
    <n v="0"/>
    <n v="0"/>
    <n v="0"/>
    <n v="0"/>
    <n v="0"/>
    <n v="0"/>
    <x v="1"/>
  </r>
  <r>
    <x v="696"/>
    <x v="123"/>
    <s v="NL0015000EE3"/>
    <s v="No"/>
    <s v="International"/>
    <m/>
    <s v="SES5N"/>
    <s v="Euronext Amsterdam"/>
    <s v="Non-significant benchmark"/>
    <n v="0"/>
    <n v="0"/>
    <n v="0"/>
    <n v="0"/>
    <n v="0"/>
    <n v="0"/>
    <n v="0"/>
    <x v="1"/>
  </r>
  <r>
    <x v="697"/>
    <x v="123"/>
    <s v="NL0015000EF0"/>
    <s v="No"/>
    <s v="International"/>
    <m/>
    <s v="SES5P"/>
    <s v="Euronext Amsterdam"/>
    <s v="Non-significant benchmark"/>
    <n v="0"/>
    <n v="0"/>
    <n v="0"/>
    <n v="0"/>
    <n v="0"/>
    <n v="0"/>
    <n v="0"/>
    <x v="1"/>
  </r>
  <r>
    <x v="698"/>
    <x v="123"/>
    <s v="NL0015000E83"/>
    <s v="No"/>
    <s v="International"/>
    <m/>
    <s v="SES50"/>
    <s v="Euronext Amsterdam"/>
    <s v="Non-significant benchmark"/>
    <n v="0"/>
    <n v="40000000"/>
    <n v="6714253.0044"/>
    <n v="0"/>
    <n v="0"/>
    <n v="0"/>
    <n v="40000000"/>
    <x v="1"/>
  </r>
  <r>
    <x v="699"/>
    <x v="124"/>
    <s v="FRESG0000595"/>
    <s v="Yes"/>
    <s v="Climate;PAB"/>
    <s v="PAB"/>
    <s v="S2PPR"/>
    <s v="Euronext Paris"/>
    <s v="Non-significant benchmark"/>
    <n v="0"/>
    <n v="0"/>
    <n v="0"/>
    <n v="0"/>
    <n v="0"/>
    <n v="0"/>
    <n v="0"/>
    <x v="1"/>
  </r>
  <r>
    <x v="700"/>
    <x v="124"/>
    <s v="FRESG0000629"/>
    <s v="Yes"/>
    <s v="Climate;PAB"/>
    <s v="PAB"/>
    <s v="S2PD3"/>
    <s v="Euronext Paris"/>
    <s v="Non-significant benchmark"/>
    <n v="0"/>
    <n v="0"/>
    <n v="0"/>
    <n v="0"/>
    <n v="0"/>
    <n v="0"/>
    <n v="0"/>
    <x v="1"/>
  </r>
  <r>
    <x v="701"/>
    <x v="124"/>
    <s v="FRESG0000637"/>
    <s v="Yes"/>
    <s v="Climate;PAB"/>
    <s v="PAB"/>
    <s v="S2PD4"/>
    <s v="Euronext Paris"/>
    <s v="Non-significant benchmark"/>
    <n v="0"/>
    <n v="0"/>
    <n v="0"/>
    <n v="0"/>
    <n v="0"/>
    <n v="0"/>
    <n v="0"/>
    <x v="1"/>
  </r>
  <r>
    <x v="702"/>
    <x v="124"/>
    <s v="FRESG0000611"/>
    <s v="Yes"/>
    <s v="Climate;PAB"/>
    <s v="PAB"/>
    <s v="S2PGR"/>
    <s v="Euronext Paris"/>
    <s v="Non-significant benchmark"/>
    <n v="0"/>
    <n v="0"/>
    <n v="0"/>
    <n v="0"/>
    <n v="0"/>
    <n v="0"/>
    <n v="0"/>
    <x v="1"/>
  </r>
  <r>
    <x v="703"/>
    <x v="124"/>
    <s v="FRESG0000603"/>
    <s v="Yes"/>
    <s v="Climate;PAB"/>
    <s v="PAB"/>
    <s v="S2PNR"/>
    <s v="Euronext Paris"/>
    <s v="Non-significant benchmark"/>
    <n v="0"/>
    <n v="0"/>
    <n v="0"/>
    <n v="0"/>
    <n v="0"/>
    <n v="0"/>
    <n v="0"/>
    <x v="1"/>
  </r>
  <r>
    <x v="704"/>
    <x v="125"/>
    <s v="FR0013425352"/>
    <s v="No"/>
    <s v="Country"/>
    <m/>
    <s v="FRTPR"/>
    <s v="Euronext Paris"/>
    <s v="Non-significant benchmark"/>
    <n v="199938017.53999999"/>
    <n v="0"/>
    <n v="0"/>
    <n v="0"/>
    <n v="0"/>
    <n v="0"/>
    <n v="199938017.53999999"/>
    <x v="1"/>
  </r>
  <r>
    <x v="705"/>
    <x v="125"/>
    <s v="FR0013425386"/>
    <s v="No"/>
    <s v="Country"/>
    <m/>
    <s v="FRTGR"/>
    <s v="Euronext Paris"/>
    <s v="Non-significant benchmark"/>
    <n v="0"/>
    <n v="0"/>
    <n v="0"/>
    <n v="0"/>
    <n v="0"/>
    <n v="0"/>
    <n v="0"/>
    <x v="1"/>
  </r>
  <r>
    <x v="706"/>
    <x v="125"/>
    <s v="FR0013425360"/>
    <s v="No"/>
    <s v="Country"/>
    <m/>
    <s v="FRTEK"/>
    <s v="Euronext Paris"/>
    <s v="Non-significant benchmark"/>
    <n v="0"/>
    <n v="0"/>
    <n v="0"/>
    <n v="0"/>
    <n v="0"/>
    <n v="0"/>
    <n v="0"/>
    <x v="1"/>
  </r>
  <r>
    <x v="707"/>
    <x v="126"/>
    <s v="NLIX00000256"/>
    <s v="No"/>
    <s v="Thematic"/>
    <m/>
    <s v="TECLP"/>
    <s v="Euronext Amsterdam"/>
    <s v="Non-significant benchmark"/>
    <n v="0"/>
    <n v="0"/>
    <n v="0"/>
    <n v="0"/>
    <n v="0"/>
    <n v="0"/>
    <n v="0"/>
    <x v="0"/>
  </r>
  <r>
    <x v="708"/>
    <x v="126"/>
    <s v="NLIX00000272"/>
    <s v="No"/>
    <s v="Thematic"/>
    <m/>
    <s v="TECLG"/>
    <s v="Euronext Amsterdam"/>
    <s v="Non-significant benchmark"/>
    <n v="0"/>
    <n v="0"/>
    <n v="0"/>
    <n v="0"/>
    <n v="0"/>
    <n v="0"/>
    <n v="0"/>
    <x v="0"/>
  </r>
  <r>
    <x v="709"/>
    <x v="126"/>
    <s v="NLIX00000264"/>
    <s v="No"/>
    <s v="Thematic"/>
    <m/>
    <s v="TECLN"/>
    <s v="Euronext Amsterdam"/>
    <s v="Non-significant benchmark"/>
    <n v="0"/>
    <n v="0"/>
    <n v="0"/>
    <n v="0"/>
    <n v="0"/>
    <n v="0"/>
    <n v="0"/>
    <x v="0"/>
  </r>
  <r>
    <x v="710"/>
    <x v="127"/>
    <s v="NL0012730634"/>
    <s v="No"/>
    <s v="International"/>
    <m/>
    <s v="FGINP"/>
    <s v="Euronext Paris"/>
    <s v="Non-significant benchmark"/>
    <n v="0"/>
    <n v="0"/>
    <n v="0"/>
    <n v="0"/>
    <n v="0"/>
    <n v="0"/>
    <n v="0"/>
    <x v="1"/>
  </r>
  <r>
    <x v="711"/>
    <x v="127"/>
    <s v="NL0012730667"/>
    <s v="No"/>
    <s v="International"/>
    <m/>
    <s v="FGIND"/>
    <s v="Euronext Paris"/>
    <s v="Non-significant benchmark"/>
    <n v="0"/>
    <n v="0"/>
    <n v="0"/>
    <n v="0"/>
    <n v="0"/>
    <n v="0"/>
    <n v="0"/>
    <x v="1"/>
  </r>
  <r>
    <x v="712"/>
    <x v="127"/>
    <s v="NL0012730659"/>
    <s v="No"/>
    <s v="International"/>
    <m/>
    <s v="FGING"/>
    <s v="Euronext Paris"/>
    <s v="Non-significant benchmark"/>
    <n v="0"/>
    <n v="0"/>
    <n v="0"/>
    <n v="0"/>
    <n v="0"/>
    <n v="0"/>
    <n v="0"/>
    <x v="1"/>
  </r>
  <r>
    <x v="713"/>
    <x v="127"/>
    <s v="NL0012730642"/>
    <s v="No"/>
    <s v="International"/>
    <m/>
    <s v="FGINN"/>
    <s v="Euronext Paris"/>
    <s v="Non-significant benchmark"/>
    <n v="0"/>
    <n v="0"/>
    <n v="0"/>
    <n v="0"/>
    <n v="0"/>
    <n v="0"/>
    <n v="0"/>
    <x v="1"/>
  </r>
  <r>
    <x v="714"/>
    <x v="128"/>
    <s v="NLIX00000926"/>
    <s v="No"/>
    <s v="International"/>
    <m/>
    <s v="ENTP"/>
    <s v="Euronext Amsterdam"/>
    <s v="Non-significant benchmark"/>
    <n v="0"/>
    <n v="0"/>
    <n v="0"/>
    <n v="0"/>
    <n v="0"/>
    <n v="0"/>
    <n v="0"/>
    <x v="1"/>
  </r>
  <r>
    <x v="715"/>
    <x v="128"/>
    <s v="NLIX00000942"/>
    <s v="No"/>
    <s v="International"/>
    <m/>
    <s v="ENTG"/>
    <s v="Euronext Amsterdam"/>
    <s v="Non-significant benchmark"/>
    <n v="0"/>
    <n v="0"/>
    <n v="0"/>
    <n v="0"/>
    <n v="0"/>
    <n v="0"/>
    <n v="0"/>
    <x v="1"/>
  </r>
  <r>
    <x v="716"/>
    <x v="128"/>
    <s v="NLIX00000934"/>
    <s v="No"/>
    <s v="International"/>
    <m/>
    <s v="ENTN"/>
    <s v="Euronext Amsterdam"/>
    <s v="Non-significant benchmark"/>
    <n v="0"/>
    <n v="0"/>
    <n v="0"/>
    <n v="0"/>
    <n v="0"/>
    <n v="0"/>
    <n v="0"/>
    <x v="1"/>
  </r>
  <r>
    <x v="717"/>
    <x v="129"/>
    <s v="NL0013216468"/>
    <s v="No"/>
    <s v="International"/>
    <m/>
    <s v="EUS5P"/>
    <s v="Euronext Amsterdam"/>
    <s v="Non-significant benchmark"/>
    <n v="0"/>
    <n v="0"/>
    <n v="0"/>
    <n v="0"/>
    <n v="0"/>
    <n v="0"/>
    <n v="0"/>
    <x v="1"/>
  </r>
  <r>
    <x v="718"/>
    <x v="129"/>
    <s v="NL0013216492"/>
    <s v="No"/>
    <s v="International"/>
    <m/>
    <s v="EUS5D"/>
    <s v="Euronext Amsterdam"/>
    <s v="Non-significant benchmark"/>
    <n v="0"/>
    <n v="0"/>
    <n v="0"/>
    <n v="0"/>
    <n v="0"/>
    <n v="0"/>
    <n v="0"/>
    <x v="1"/>
  </r>
  <r>
    <x v="719"/>
    <x v="129"/>
    <s v="NL0013216484"/>
    <s v="No"/>
    <s v="International"/>
    <m/>
    <s v="EUS5G"/>
    <s v="Euronext Amsterdam"/>
    <s v="Non-significant benchmark"/>
    <n v="0"/>
    <n v="0"/>
    <n v="0"/>
    <n v="0"/>
    <n v="0"/>
    <n v="0"/>
    <n v="0"/>
    <x v="1"/>
  </r>
  <r>
    <x v="720"/>
    <x v="129"/>
    <s v="NL0013216476"/>
    <s v="No"/>
    <s v="International"/>
    <m/>
    <s v="EUS5N"/>
    <s v="Euronext Amsterdam"/>
    <s v="Non-significant benchmark"/>
    <n v="0"/>
    <n v="0"/>
    <n v="0"/>
    <n v="0"/>
    <n v="0"/>
    <n v="0"/>
    <n v="0"/>
    <x v="1"/>
  </r>
  <r>
    <x v="721"/>
    <x v="130"/>
    <s v="FR0014003BU4"/>
    <s v="Yes"/>
    <s v="Circular Economy"/>
    <s v="ESG Other"/>
    <s v="TCEPR"/>
    <s v="Euronext Paris"/>
    <s v="Non-significant benchmark"/>
    <n v="0"/>
    <n v="0"/>
    <n v="0"/>
    <n v="0"/>
    <n v="0"/>
    <n v="0"/>
    <n v="0"/>
    <x v="1"/>
  </r>
  <r>
    <x v="722"/>
    <x v="130"/>
    <s v="FR0014003BY6"/>
    <s v="Yes"/>
    <s v="Circular Economy"/>
    <s v="ESG Other"/>
    <s v="TCED5"/>
    <s v="Euronext Paris"/>
    <s v="Non-significant benchmark"/>
    <n v="0"/>
    <n v="0"/>
    <n v="0"/>
    <n v="0"/>
    <n v="0"/>
    <n v="0"/>
    <n v="0"/>
    <x v="1"/>
  </r>
  <r>
    <x v="723"/>
    <x v="130"/>
    <s v="FR0014003BX8"/>
    <s v="Yes"/>
    <s v="Circular Economy"/>
    <s v="ESG Other"/>
    <s v="TCEGR"/>
    <s v="Euronext Paris"/>
    <s v="Non-significant benchmark"/>
    <n v="0"/>
    <n v="0"/>
    <n v="0"/>
    <n v="0"/>
    <n v="0"/>
    <n v="0"/>
    <n v="0"/>
    <x v="1"/>
  </r>
  <r>
    <x v="724"/>
    <x v="130"/>
    <s v="FR0014003BV2"/>
    <s v="Yes"/>
    <s v="Circular Economy"/>
    <s v="ESG Other"/>
    <s v="TCENR"/>
    <s v="Euronext Paris"/>
    <s v="Non-significant benchmark"/>
    <n v="0"/>
    <n v="0"/>
    <n v="0"/>
    <n v="0"/>
    <n v="0"/>
    <n v="0"/>
    <n v="0"/>
    <x v="1"/>
  </r>
  <r>
    <x v="725"/>
    <x v="131"/>
    <s v="NL0015000BX9"/>
    <s v="Yes"/>
    <s v="Environmental"/>
    <s v="ESG Other"/>
    <s v="ETE5P"/>
    <s v="Euronext Paris"/>
    <s v="Non-significant benchmark"/>
    <n v="0"/>
    <n v="0"/>
    <n v="0"/>
    <n v="0"/>
    <n v="0"/>
    <n v="0"/>
    <n v="0"/>
    <x v="1"/>
  </r>
  <r>
    <x v="726"/>
    <x v="131"/>
    <s v="NL0015000BW1"/>
    <s v="Yes"/>
    <s v="Environmental"/>
    <s v="ESG Other"/>
    <s v="ETE5D"/>
    <s v="Euronext Paris"/>
    <s v="Non-significant benchmark"/>
    <n v="0"/>
    <n v="260000000"/>
    <n v="83822244.983600006"/>
    <n v="0"/>
    <n v="0"/>
    <n v="0"/>
    <n v="260000000"/>
    <x v="1"/>
  </r>
  <r>
    <x v="727"/>
    <x v="131"/>
    <s v="NL0015000BV3"/>
    <s v="Yes"/>
    <s v="Environmental"/>
    <s v="ESG Other"/>
    <s v="ETE5G"/>
    <s v="Euronext Paris"/>
    <s v="Non-significant benchmark"/>
    <n v="0"/>
    <n v="0"/>
    <n v="0"/>
    <n v="0"/>
    <n v="0"/>
    <n v="0"/>
    <n v="0"/>
    <x v="1"/>
  </r>
  <r>
    <x v="728"/>
    <x v="131"/>
    <s v="NL0015000BQ3"/>
    <s v="Yes"/>
    <s v="Environmental"/>
    <s v="ESG Other"/>
    <s v="ETEGN"/>
    <s v="Euronext Paris"/>
    <s v="Non-significant benchmark"/>
    <n v="0"/>
    <n v="0"/>
    <n v="0"/>
    <n v="0"/>
    <n v="0"/>
    <n v="0"/>
    <n v="0"/>
    <x v="1"/>
  </r>
  <r>
    <x v="729"/>
    <x v="132"/>
    <s v="NL0013908775"/>
    <s v="Yes"/>
    <s v="Broad ESG"/>
    <s v="ESG Other"/>
    <s v="ESGTP"/>
    <s v="Euronext Paris"/>
    <s v="Non-significant benchmark"/>
    <n v="0"/>
    <n v="0"/>
    <n v="0"/>
    <n v="0"/>
    <n v="0"/>
    <n v="0"/>
    <n v="0"/>
    <x v="1"/>
  </r>
  <r>
    <x v="730"/>
    <x v="132"/>
    <s v="NL0013908809"/>
    <s v="Yes"/>
    <s v="Broad ESG"/>
    <s v="ESG Other"/>
    <s v="ESGTL"/>
    <s v="Euronext Paris"/>
    <s v="Non-significant benchmark"/>
    <n v="205112150"/>
    <n v="547415771.56799996"/>
    <n v="461054583.19240004"/>
    <n v="0"/>
    <n v="0"/>
    <n v="0"/>
    <n v="461054583.19240004"/>
    <x v="1"/>
  </r>
  <r>
    <x v="731"/>
    <x v="132"/>
    <s v="NL0013908791"/>
    <s v="Yes"/>
    <s v="Broad ESG"/>
    <s v="ESG Other"/>
    <s v="ESGTG"/>
    <s v="Euronext Paris"/>
    <s v="Non-significant benchmark"/>
    <n v="0"/>
    <n v="0"/>
    <n v="0"/>
    <n v="0"/>
    <n v="0"/>
    <n v="0"/>
    <n v="0"/>
    <x v="1"/>
  </r>
  <r>
    <x v="732"/>
    <x v="132"/>
    <s v="NL0013908783"/>
    <s v="Yes"/>
    <s v="Broad ESG"/>
    <s v="ESG Other"/>
    <s v="ESGTN"/>
    <s v="Euronext Paris"/>
    <s v="Non-significant benchmark"/>
    <n v="0"/>
    <n v="0"/>
    <n v="0"/>
    <n v="0"/>
    <n v="0"/>
    <n v="0"/>
    <n v="0"/>
    <x v="1"/>
  </r>
  <r>
    <x v="733"/>
    <x v="133"/>
    <s v="FR0014005GI3"/>
    <s v="Yes"/>
    <s v="Climate;Environmental"/>
    <s v="ESG Other"/>
    <s v="TCAMP"/>
    <s v="Euronext Paris"/>
    <s v="Non-significant benchmark"/>
    <n v="0"/>
    <n v="0"/>
    <n v="0"/>
    <n v="0"/>
    <n v="0"/>
    <n v="0"/>
    <n v="0"/>
    <x v="1"/>
  </r>
  <r>
    <x v="734"/>
    <x v="133"/>
    <s v="FR0014005GF9"/>
    <s v="Yes"/>
    <s v="Climate;Environmental"/>
    <s v="ESG Other"/>
    <s v="TCAMB"/>
    <s v="Euronext Paris"/>
    <s v="Non-significant benchmark"/>
    <n v="0"/>
    <n v="240000000"/>
    <n v="113516005.87"/>
    <n v="0"/>
    <n v="0"/>
    <n v="0"/>
    <n v="240000000"/>
    <x v="1"/>
  </r>
  <r>
    <x v="735"/>
    <x v="133"/>
    <s v="FR0014005GG7"/>
    <s v="Yes"/>
    <s v="Climate;Environmental"/>
    <s v="ESG Other"/>
    <s v="TCAMG"/>
    <s v="Euronext Paris"/>
    <s v="Non-significant benchmark"/>
    <n v="0"/>
    <n v="0"/>
    <n v="0"/>
    <n v="0"/>
    <n v="0"/>
    <n v="0"/>
    <n v="0"/>
    <x v="1"/>
  </r>
  <r>
    <x v="736"/>
    <x v="134"/>
    <s v="NL0015000A61"/>
    <s v="Yes"/>
    <s v="Broad ESG"/>
    <s v="ESG Other"/>
    <s v="EUEPR"/>
    <s v="Euronext Paris"/>
    <s v="Non-significant benchmark"/>
    <n v="0"/>
    <n v="0"/>
    <n v="0"/>
    <n v="0"/>
    <n v="0"/>
    <n v="0"/>
    <n v="0"/>
    <x v="1"/>
  </r>
  <r>
    <x v="737"/>
    <x v="134"/>
    <s v="NL0015000A95"/>
    <s v="Yes"/>
    <s v="Broad ESG"/>
    <s v="ESG Other"/>
    <s v="EUED5"/>
    <s v="Euronext Paris"/>
    <s v="Non-significant benchmark"/>
    <n v="0"/>
    <n v="0"/>
    <n v="0"/>
    <n v="0"/>
    <n v="0"/>
    <n v="0"/>
    <n v="0"/>
    <x v="1"/>
  </r>
  <r>
    <x v="738"/>
    <x v="134"/>
    <s v="NL0015000A87"/>
    <s v="Yes"/>
    <s v="Broad ESG"/>
    <s v="ESG Other"/>
    <s v="EUEGR"/>
    <s v="Euronext Paris"/>
    <s v="Non-significant benchmark"/>
    <n v="0"/>
    <n v="0"/>
    <n v="0"/>
    <n v="0"/>
    <n v="0"/>
    <n v="0"/>
    <n v="0"/>
    <x v="1"/>
  </r>
  <r>
    <x v="739"/>
    <x v="134"/>
    <s v="NL0015000A79"/>
    <s v="Yes"/>
    <s v="Broad ESG"/>
    <s v="ESG Other"/>
    <s v="EUENR"/>
    <s v="Euronext Paris"/>
    <s v="Non-significant benchmark"/>
    <n v="0"/>
    <n v="0"/>
    <n v="0"/>
    <n v="0"/>
    <n v="0"/>
    <n v="0"/>
    <n v="0"/>
    <x v="1"/>
  </r>
  <r>
    <x v="740"/>
    <x v="135"/>
    <s v="FR0014005GE2"/>
    <s v="Yes"/>
    <s v="Climate;Environmental"/>
    <s v="ESG Other"/>
    <s v="USCLA"/>
    <s v="Euronext Paris"/>
    <s v="Non-significant benchmark"/>
    <n v="0"/>
    <n v="0"/>
    <n v="0"/>
    <n v="0"/>
    <n v="0"/>
    <n v="0"/>
    <n v="0"/>
    <x v="1"/>
  </r>
  <r>
    <x v="741"/>
    <x v="135"/>
    <s v="FR0014005IJ7"/>
    <s v="Yes"/>
    <s v="Climate;Environmental"/>
    <s v="ESG Other"/>
    <s v="USCLE"/>
    <s v="Euronext Paris"/>
    <s v="Non-significant benchmark"/>
    <n v="0"/>
    <n v="0"/>
    <n v="0"/>
    <n v="0"/>
    <n v="0"/>
    <n v="0"/>
    <n v="0"/>
    <x v="1"/>
  </r>
  <r>
    <x v="742"/>
    <x v="135"/>
    <s v="FR0014005GK9"/>
    <s v="Yes"/>
    <s v="Climate;Environmental"/>
    <s v="ESG Other"/>
    <s v="USCLG"/>
    <s v="Euronext Paris"/>
    <s v="Non-significant benchmark"/>
    <n v="0"/>
    <n v="0"/>
    <n v="0"/>
    <n v="0"/>
    <n v="0"/>
    <n v="0"/>
    <n v="0"/>
    <x v="1"/>
  </r>
  <r>
    <x v="743"/>
    <x v="135"/>
    <s v="FR0014005II9"/>
    <s v="Yes"/>
    <s v="Climate;Environmental"/>
    <s v="ESG Other"/>
    <s v="USCEG"/>
    <s v="Euronext Paris"/>
    <s v="Non-significant benchmark"/>
    <n v="0"/>
    <n v="0"/>
    <n v="0"/>
    <n v="0"/>
    <n v="0"/>
    <n v="0"/>
    <n v="0"/>
    <x v="1"/>
  </r>
  <r>
    <x v="744"/>
    <x v="135"/>
    <s v="FR0014005GH5"/>
    <s v="Yes"/>
    <s v="Climate;Environmental"/>
    <s v="ESG Other"/>
    <s v="USCLN"/>
    <s v="Euronext Paris"/>
    <s v="Non-significant benchmark"/>
    <n v="0"/>
    <n v="0"/>
    <n v="0"/>
    <n v="0"/>
    <n v="0"/>
    <n v="0"/>
    <n v="0"/>
    <x v="1"/>
  </r>
  <r>
    <x v="745"/>
    <x v="135"/>
    <s v="FR0014005IM1"/>
    <s v="Yes"/>
    <s v="Climate;Environmental"/>
    <s v="ESG Other"/>
    <s v="USCEN"/>
    <s v="Euronext Paris"/>
    <s v="Non-significant benchmark"/>
    <n v="0"/>
    <n v="0"/>
    <n v="0"/>
    <n v="0"/>
    <n v="0"/>
    <n v="0"/>
    <n v="0"/>
    <x v="1"/>
  </r>
  <r>
    <x v="746"/>
    <x v="136"/>
    <s v="FRESG0000249"/>
    <s v="Yes"/>
    <s v="Climate;Environmental"/>
    <s v="ESG Other"/>
    <s v="USC3P"/>
    <s v="Euronext Paris"/>
    <s v="Non-significant benchmark"/>
    <n v="0"/>
    <n v="0"/>
    <n v="0"/>
    <n v="0"/>
    <n v="0"/>
    <n v="0"/>
    <n v="0"/>
    <x v="1"/>
  </r>
  <r>
    <x v="747"/>
    <x v="136"/>
    <s v="FRESG0000272"/>
    <s v="Yes"/>
    <s v="Climate;Environmental"/>
    <s v="ESG Other"/>
    <s v="UC3PE"/>
    <s v="Euronext Paris"/>
    <s v="Non-significant benchmark"/>
    <n v="0"/>
    <n v="0"/>
    <n v="0"/>
    <n v="0"/>
    <n v="0"/>
    <n v="0"/>
    <n v="0"/>
    <x v="1"/>
  </r>
  <r>
    <x v="748"/>
    <x v="136"/>
    <s v="FRESG0000256"/>
    <s v="Yes"/>
    <s v="Climate;Environmental"/>
    <s v="ESG Other"/>
    <s v="USC3G"/>
    <s v="Euronext Paris"/>
    <s v="Non-significant benchmark"/>
    <n v="0"/>
    <n v="0"/>
    <n v="0"/>
    <n v="0"/>
    <n v="0"/>
    <n v="0"/>
    <n v="0"/>
    <x v="1"/>
  </r>
  <r>
    <x v="749"/>
    <x v="136"/>
    <s v="FRESG0000280"/>
    <s v="Yes"/>
    <s v="Climate;Environmental"/>
    <s v="ESG Other"/>
    <s v="UC3EG"/>
    <s v="Euronext Paris"/>
    <s v="Non-significant benchmark"/>
    <n v="0"/>
    <n v="0"/>
    <n v="0"/>
    <n v="0"/>
    <n v="0"/>
    <n v="0"/>
    <n v="0"/>
    <x v="1"/>
  </r>
  <r>
    <x v="750"/>
    <x v="136"/>
    <s v="FRESG0000264"/>
    <s v="Yes"/>
    <s v="Climate;Environmental"/>
    <s v="ESG Other"/>
    <s v="USC3N"/>
    <s v="Euronext Paris"/>
    <s v="Non-significant benchmark"/>
    <n v="0"/>
    <n v="0"/>
    <n v="0"/>
    <n v="0"/>
    <n v="0"/>
    <n v="0"/>
    <n v="0"/>
    <x v="1"/>
  </r>
  <r>
    <x v="751"/>
    <x v="136"/>
    <s v="FRESG0000298"/>
    <s v="Yes"/>
    <s v="Climate;Environmental"/>
    <s v="ESG Other"/>
    <s v="UC3EN"/>
    <s v="Euronext Paris"/>
    <s v="Non-significant benchmark"/>
    <n v="0"/>
    <n v="0"/>
    <n v="0"/>
    <n v="0"/>
    <n v="0"/>
    <n v="0"/>
    <n v="0"/>
    <x v="1"/>
  </r>
  <r>
    <x v="752"/>
    <x v="137"/>
    <s v="NL0015000ED5"/>
    <s v="Yes"/>
    <s v="Climate;CTB"/>
    <s v="CTB"/>
    <s v="EVEWP"/>
    <s v="Euronext Paris"/>
    <s v="Non-significant benchmark"/>
    <n v="5262516339"/>
    <n v="0"/>
    <n v="0"/>
    <n v="0"/>
    <n v="0"/>
    <n v="0"/>
    <n v="5262516339"/>
    <x v="1"/>
  </r>
  <r>
    <x v="753"/>
    <x v="137"/>
    <s v="NL0015000EA1"/>
    <s v="Yes"/>
    <s v="Climate;CTB"/>
    <s v="CTB"/>
    <s v="EVEWG"/>
    <s v="Euronext Paris"/>
    <s v="Non-significant benchmark"/>
    <n v="0"/>
    <n v="0"/>
    <n v="0"/>
    <n v="0"/>
    <n v="0"/>
    <n v="0"/>
    <n v="0"/>
    <x v="1"/>
  </r>
  <r>
    <x v="754"/>
    <x v="137"/>
    <s v="NL0015000EG8"/>
    <s v="Yes"/>
    <s v="Climate;CTB"/>
    <s v="CTB"/>
    <s v="EVEWN"/>
    <s v="Euronext Paris"/>
    <s v="Non-significant benchmark"/>
    <n v="0"/>
    <n v="0"/>
    <n v="0"/>
    <n v="0"/>
    <n v="0"/>
    <n v="0"/>
    <n v="0"/>
    <x v="1"/>
  </r>
  <r>
    <x v="755"/>
    <x v="138"/>
    <s v="FR0014004FP3"/>
    <s v="Yes"/>
    <s v="Social"/>
    <s v="ESG Other"/>
    <s v="EZSFP"/>
    <s v="Euronext Paris"/>
    <s v="Non-significant benchmark"/>
    <n v="0"/>
    <n v="0"/>
    <n v="0"/>
    <n v="0"/>
    <n v="0"/>
    <n v="0"/>
    <n v="0"/>
    <x v="1"/>
  </r>
  <r>
    <x v="756"/>
    <x v="138"/>
    <s v="FR0014004FM0"/>
    <s v="Yes"/>
    <s v="Social"/>
    <s v="ESG Other"/>
    <s v="EZSFD"/>
    <s v="Euronext Paris"/>
    <s v="Non-significant benchmark"/>
    <n v="0"/>
    <n v="30000000"/>
    <n v="100759846.184"/>
    <n v="0"/>
    <n v="0"/>
    <n v="0"/>
    <n v="100759846.184"/>
    <x v="1"/>
  </r>
  <r>
    <x v="757"/>
    <x v="138"/>
    <s v="FR0014004FN8"/>
    <s v="Yes"/>
    <s v="Social"/>
    <s v="ESG Other"/>
    <s v="EZSFG"/>
    <s v="Euronext Paris"/>
    <s v="Non-significant benchmark"/>
    <n v="0"/>
    <n v="0"/>
    <n v="0"/>
    <n v="0"/>
    <n v="0"/>
    <n v="0"/>
    <n v="0"/>
    <x v="1"/>
  </r>
  <r>
    <x v="758"/>
    <x v="138"/>
    <s v="FR0014004FO6"/>
    <s v="Yes"/>
    <s v="Social"/>
    <s v="ESG Other"/>
    <s v="EZSFN"/>
    <s v="Euronext Paris"/>
    <s v="Non-significant benchmark"/>
    <n v="0"/>
    <n v="0"/>
    <n v="0"/>
    <n v="0"/>
    <n v="0"/>
    <n v="0"/>
    <n v="0"/>
    <x v="1"/>
  </r>
  <r>
    <x v="759"/>
    <x v="139"/>
    <s v="QS0011256250"/>
    <s v="Yes"/>
    <s v="Broad ESG"/>
    <s v="ESG Other"/>
    <s v="ENVBG"/>
    <s v="Euronext Paris"/>
    <s v="Non-significant benchmark"/>
    <n v="0"/>
    <n v="0"/>
    <n v="0"/>
    <n v="0"/>
    <n v="0"/>
    <n v="0"/>
    <n v="0"/>
    <x v="1"/>
  </r>
  <r>
    <x v="760"/>
    <x v="139"/>
    <s v="QS0011256235"/>
    <s v="Yes"/>
    <s v="Broad ESG"/>
    <s v="ESG Other"/>
    <s v="ENVB"/>
    <s v="Euronext Paris"/>
    <s v="Non-significant benchmark"/>
    <n v="0"/>
    <n v="0"/>
    <n v="0"/>
    <n v="0"/>
    <n v="0"/>
    <n v="0"/>
    <n v="0"/>
    <x v="1"/>
  </r>
  <r>
    <x v="761"/>
    <x v="139"/>
    <s v="QS0011256243"/>
    <s v="Yes"/>
    <s v="Broad ESG"/>
    <s v="ESG Other"/>
    <s v="ENVBN"/>
    <s v="Euronext Paris"/>
    <s v="Non-significant benchmark"/>
    <n v="0"/>
    <n v="0"/>
    <n v="0"/>
    <n v="0"/>
    <n v="0"/>
    <n v="0"/>
    <n v="0"/>
    <x v="1"/>
  </r>
  <r>
    <x v="762"/>
    <x v="140"/>
    <s v="QS0011256227"/>
    <s v="Yes"/>
    <s v="Broad ESG"/>
    <s v="ESG Other"/>
    <s v="ENVOG"/>
    <s v="Euronext Paris"/>
    <s v="Non-significant benchmark"/>
    <n v="0"/>
    <n v="0"/>
    <n v="0"/>
    <n v="0"/>
    <n v="0"/>
    <n v="0"/>
    <n v="0"/>
    <x v="1"/>
  </r>
  <r>
    <x v="763"/>
    <x v="140"/>
    <s v="QS0011256201"/>
    <s v="Yes"/>
    <s v="Broad ESG"/>
    <s v="ESG Other"/>
    <s v="ENVEO"/>
    <s v="Euronext Paris"/>
    <s v="Non-significant benchmark"/>
    <n v="0"/>
    <n v="0"/>
    <n v="0"/>
    <n v="0"/>
    <n v="0"/>
    <n v="0"/>
    <n v="0"/>
    <x v="1"/>
  </r>
  <r>
    <x v="764"/>
    <x v="140"/>
    <s v="QS0011256219"/>
    <s v="Yes"/>
    <s v="Broad ESG"/>
    <s v="ESG Other"/>
    <s v="ENVON"/>
    <s v="Euronext Paris"/>
    <s v="Non-significant benchmark"/>
    <n v="0"/>
    <n v="0"/>
    <n v="0"/>
    <n v="0"/>
    <n v="0"/>
    <n v="0"/>
    <n v="0"/>
    <x v="1"/>
  </r>
  <r>
    <x v="765"/>
    <x v="141"/>
    <s v="QS0011250899"/>
    <s v="Yes"/>
    <s v="Broad ESG"/>
    <s v="ESG Other"/>
    <s v="ENVEG"/>
    <s v="Euronext Paris"/>
    <s v="Non-significant benchmark"/>
    <n v="0"/>
    <n v="0"/>
    <n v="0"/>
    <n v="0"/>
    <n v="0"/>
    <n v="0"/>
    <n v="0"/>
    <x v="1"/>
  </r>
  <r>
    <x v="766"/>
    <x v="141"/>
    <s v="QS0011250873"/>
    <s v="Yes"/>
    <s v="Broad ESG"/>
    <s v="ESG Other"/>
    <s v="ENVEU"/>
    <s v="Euronext Paris"/>
    <s v="Non-significant benchmark"/>
    <n v="0"/>
    <n v="0"/>
    <n v="0"/>
    <n v="0"/>
    <n v="0"/>
    <n v="0"/>
    <n v="0"/>
    <x v="1"/>
  </r>
  <r>
    <x v="767"/>
    <x v="141"/>
    <s v="QS0011250881"/>
    <s v="Yes"/>
    <s v="Broad ESG"/>
    <s v="ESG Other"/>
    <s v="ENVEN"/>
    <s v="Euronext Paris"/>
    <s v="Non-significant benchmark"/>
    <n v="0"/>
    <n v="0"/>
    <n v="0"/>
    <n v="0"/>
    <n v="0"/>
    <n v="0"/>
    <n v="0"/>
    <x v="1"/>
  </r>
  <r>
    <x v="768"/>
    <x v="142"/>
    <s v="QS0011250923"/>
    <s v="Yes"/>
    <s v="Broad ESG"/>
    <s v="ESG Other"/>
    <s v="ENVFG"/>
    <s v="Euronext Paris"/>
    <s v="Non-significant benchmark"/>
    <n v="0"/>
    <n v="0"/>
    <n v="0"/>
    <n v="0"/>
    <n v="0"/>
    <n v="0"/>
    <n v="0"/>
    <x v="1"/>
  </r>
  <r>
    <x v="769"/>
    <x v="142"/>
    <s v="QS0011250907"/>
    <s v="Yes"/>
    <s v="Broad ESG"/>
    <s v="ESG Other"/>
    <s v="ENVF"/>
    <s v="Euronext Paris"/>
    <s v="Non-significant benchmark"/>
    <n v="0"/>
    <n v="0"/>
    <n v="0"/>
    <n v="0"/>
    <n v="0"/>
    <n v="0"/>
    <n v="0"/>
    <x v="1"/>
  </r>
  <r>
    <x v="770"/>
    <x v="142"/>
    <s v="QS0011250915"/>
    <s v="Yes"/>
    <s v="Broad ESG"/>
    <s v="ESG Other"/>
    <s v="ENVFN"/>
    <s v="Euronext Paris"/>
    <s v="Non-significant benchmark"/>
    <n v="0"/>
    <n v="0"/>
    <n v="0"/>
    <n v="0"/>
    <n v="0"/>
    <n v="0"/>
    <n v="0"/>
    <x v="1"/>
  </r>
  <r>
    <x v="771"/>
    <x v="143"/>
    <s v="QS0011250956"/>
    <s v="Yes"/>
    <s v="Broad ESG"/>
    <s v="ESG Other"/>
    <s v="ENVUG"/>
    <s v="Euronext Paris"/>
    <s v="Non-significant benchmark"/>
    <n v="0"/>
    <n v="0"/>
    <n v="0"/>
    <n v="0"/>
    <n v="0"/>
    <n v="0"/>
    <n v="0"/>
    <x v="1"/>
  </r>
  <r>
    <x v="772"/>
    <x v="143"/>
    <s v="QS0011250931"/>
    <s v="Yes"/>
    <s v="Broad ESG"/>
    <s v="ESG Other"/>
    <s v="ENVUK"/>
    <s v="Euronext Paris"/>
    <s v="Non-significant benchmark"/>
    <n v="0"/>
    <n v="0"/>
    <n v="0"/>
    <n v="0"/>
    <n v="0"/>
    <n v="0"/>
    <n v="0"/>
    <x v="1"/>
  </r>
  <r>
    <x v="773"/>
    <x v="143"/>
    <s v="QS0011250949"/>
    <s v="Yes"/>
    <s v="Broad ESG"/>
    <s v="ESG Other"/>
    <s v="ENVUN"/>
    <s v="Euronext Paris"/>
    <s v="Non-significant benchmark"/>
    <n v="0"/>
    <n v="0"/>
    <n v="0"/>
    <n v="0"/>
    <n v="0"/>
    <n v="0"/>
    <n v="0"/>
    <x v="1"/>
  </r>
  <r>
    <x v="774"/>
    <x v="144"/>
    <s v="QS0011256169"/>
    <s v="Yes"/>
    <s v="Broad ESG"/>
    <s v="ESG Other"/>
    <s v="ENVU"/>
    <s v="Euronext Paris"/>
    <s v="Non-significant benchmark"/>
    <n v="0"/>
    <n v="0"/>
    <n v="0"/>
    <n v="0"/>
    <n v="0"/>
    <n v="0"/>
    <n v="0"/>
    <x v="1"/>
  </r>
  <r>
    <x v="775"/>
    <x v="144"/>
    <s v="QS0011256193"/>
    <s v="Yes"/>
    <s v="Broad ESG"/>
    <s v="ESG Other"/>
    <s v="ENVG"/>
    <s v="Euronext Paris"/>
    <s v="Non-significant benchmark"/>
    <n v="0"/>
    <n v="0"/>
    <n v="0"/>
    <n v="0"/>
    <n v="0"/>
    <n v="0"/>
    <n v="0"/>
    <x v="1"/>
  </r>
  <r>
    <x v="776"/>
    <x v="144"/>
    <s v="QS0011256185"/>
    <s v="Yes"/>
    <s v="Broad ESG"/>
    <s v="ESG Other"/>
    <s v="ENVN"/>
    <s v="Euronext Paris"/>
    <s v="Non-significant benchmark"/>
    <n v="0"/>
    <n v="0"/>
    <n v="0"/>
    <n v="0"/>
    <n v="0"/>
    <n v="0"/>
    <n v="0"/>
    <x v="1"/>
  </r>
  <r>
    <x v="777"/>
    <x v="145"/>
    <s v="QS0011250865"/>
    <s v="Yes"/>
    <s v="Broad ESG"/>
    <s v="ESG Other"/>
    <s v="ENVWG"/>
    <s v="Euronext Paris"/>
    <s v="Non-significant benchmark"/>
    <n v="0"/>
    <n v="0"/>
    <n v="0"/>
    <n v="0"/>
    <n v="0"/>
    <n v="0"/>
    <n v="0"/>
    <x v="1"/>
  </r>
  <r>
    <x v="778"/>
    <x v="145"/>
    <s v="QS0011250857"/>
    <s v="Yes"/>
    <s v="Broad ESG"/>
    <s v="ESG Other"/>
    <s v="ENVWN"/>
    <s v="Euronext Paris"/>
    <s v="Non-significant benchmark"/>
    <n v="0"/>
    <n v="0"/>
    <n v="0"/>
    <n v="0"/>
    <n v="0"/>
    <n v="0"/>
    <n v="0"/>
    <x v="1"/>
  </r>
  <r>
    <x v="779"/>
    <x v="145"/>
    <s v="QS0011250840"/>
    <s v="Yes"/>
    <s v="Broad ESG"/>
    <s v="ESG Other"/>
    <s v="ENVW"/>
    <s v="Euronext Paris"/>
    <s v="Non-significant benchmark"/>
    <n v="0"/>
    <n v="0"/>
    <n v="0"/>
    <n v="0"/>
    <n v="0"/>
    <n v="0"/>
    <n v="0"/>
    <x v="1"/>
  </r>
  <r>
    <x v="780"/>
    <x v="146"/>
    <s v="NL0013908866"/>
    <s v="Yes"/>
    <s v="Water;Ocean"/>
    <s v="ESG Other"/>
    <s v="WAT4D"/>
    <s v="Euronext Paris"/>
    <s v="Non-significant benchmark"/>
    <n v="0"/>
    <n v="31500000"/>
    <n v="524982.7452"/>
    <n v="0"/>
    <n v="0"/>
    <n v="0"/>
    <n v="31500000"/>
    <x v="1"/>
  </r>
  <r>
    <x v="781"/>
    <x v="146"/>
    <s v="NL0013908858"/>
    <s v="Yes"/>
    <s v="Water;Ocean"/>
    <s v="ESG Other"/>
    <s v="WAT5D"/>
    <s v="Euronext Paris"/>
    <s v="Non-significant benchmark"/>
    <n v="0"/>
    <n v="90500000"/>
    <n v="457831004.93240005"/>
    <n v="0"/>
    <n v="0"/>
    <n v="0"/>
    <n v="457831004.93240005"/>
    <x v="1"/>
  </r>
  <r>
    <x v="782"/>
    <x v="146"/>
    <s v="NL0013908841"/>
    <s v="Yes"/>
    <s v="Water;Ocean"/>
    <s v="ESG Other"/>
    <s v="WATGR"/>
    <s v="Euronext Paris"/>
    <s v="Non-significant benchmark"/>
    <n v="0"/>
    <n v="0"/>
    <n v="0"/>
    <n v="0"/>
    <n v="0"/>
    <n v="0"/>
    <n v="0"/>
    <x v="1"/>
  </r>
  <r>
    <x v="783"/>
    <x v="146"/>
    <s v="NL0013908833"/>
    <s v="Yes"/>
    <s v="Water;Ocean"/>
    <s v="ESG Other"/>
    <s v="WATNR"/>
    <s v="Euronext Paris"/>
    <s v="Non-significant benchmark"/>
    <n v="0"/>
    <n v="0"/>
    <n v="0"/>
    <n v="0"/>
    <n v="0"/>
    <n v="0"/>
    <n v="0"/>
    <x v="1"/>
  </r>
  <r>
    <x v="784"/>
    <x v="146"/>
    <s v="NL0013908825"/>
    <s v="Yes"/>
    <s v="Water;Ocean"/>
    <s v="ESG Other"/>
    <s v="WATPR"/>
    <s v="Euronext Paris"/>
    <s v="Non-significant benchmark"/>
    <n v="0"/>
    <n v="0"/>
    <n v="0"/>
    <n v="0"/>
    <n v="0"/>
    <n v="0"/>
    <n v="0"/>
    <x v="1"/>
  </r>
  <r>
    <x v="785"/>
    <x v="147"/>
    <s v="NL0015000IB0"/>
    <s v="No"/>
    <s v="International"/>
    <m/>
    <s v="ENWP"/>
    <s v="Euronext Amsterdam"/>
    <s v="Non-significant benchmark"/>
    <n v="0"/>
    <n v="0"/>
    <n v="0"/>
    <n v="0"/>
    <n v="0"/>
    <n v="0"/>
    <n v="0"/>
    <x v="1"/>
  </r>
  <r>
    <x v="786"/>
    <x v="147"/>
    <s v="NL0015000I97"/>
    <s v="No"/>
    <s v="International"/>
    <m/>
    <s v="ENWG"/>
    <s v="Euronext Amsterdam"/>
    <s v="Non-significant benchmark"/>
    <n v="0"/>
    <n v="0"/>
    <n v="0"/>
    <n v="0"/>
    <n v="0"/>
    <n v="0"/>
    <n v="0"/>
    <x v="1"/>
  </r>
  <r>
    <x v="787"/>
    <x v="147"/>
    <s v="NL0015000IA2"/>
    <s v="No"/>
    <s v="International"/>
    <m/>
    <s v="ENWN"/>
    <s v="Euronext Amsterdam"/>
    <s v="Non-significant benchmark"/>
    <n v="0"/>
    <n v="0"/>
    <n v="0"/>
    <n v="0"/>
    <n v="0"/>
    <n v="0"/>
    <n v="0"/>
    <x v="1"/>
  </r>
  <r>
    <x v="788"/>
    <x v="148"/>
    <s v="NL0015000E91"/>
    <s v="No"/>
    <s v="International"/>
    <m/>
    <s v="EWCSP"/>
    <s v="Euronext Amsterdam"/>
    <s v="Non-significant benchmark"/>
    <n v="0"/>
    <n v="0"/>
    <n v="0"/>
    <n v="0"/>
    <n v="0"/>
    <n v="0"/>
    <n v="0"/>
    <x v="1"/>
  </r>
  <r>
    <x v="789"/>
    <x v="148"/>
    <s v="NL0015000E75"/>
    <s v="No"/>
    <s v="International"/>
    <m/>
    <s v="EWCSG"/>
    <s v="Euronext Amsterdam"/>
    <s v="Non-significant benchmark"/>
    <n v="0"/>
    <n v="0"/>
    <n v="0"/>
    <n v="0"/>
    <n v="0"/>
    <n v="0"/>
    <n v="0"/>
    <x v="1"/>
  </r>
  <r>
    <x v="790"/>
    <x v="148"/>
    <s v="NL0015000EB9"/>
    <s v="No"/>
    <s v="International"/>
    <m/>
    <s v="EWCSN"/>
    <s v="Euronext Amsterdam"/>
    <s v="Non-significant benchmark"/>
    <n v="0"/>
    <n v="0"/>
    <n v="0"/>
    <n v="0"/>
    <n v="0"/>
    <n v="0"/>
    <n v="0"/>
    <x v="1"/>
  </r>
  <r>
    <x v="791"/>
    <x v="149"/>
    <s v="FRESG0000348"/>
    <s v="Yes"/>
    <s v="Climate;Environmental"/>
    <s v="ESG Other"/>
    <s v="WCAMP"/>
    <s v="Euronext Paris"/>
    <s v="Non-significant benchmark"/>
    <n v="0"/>
    <n v="0"/>
    <n v="0"/>
    <n v="0"/>
    <n v="0"/>
    <n v="0"/>
    <n v="0"/>
    <x v="1"/>
  </r>
  <r>
    <x v="792"/>
    <x v="149"/>
    <s v="FRESG0000363"/>
    <s v="Yes"/>
    <s v="Climate;Environmental"/>
    <s v="ESG Other"/>
    <s v="WCAMB"/>
    <s v="Euronext Paris"/>
    <s v="Non-significant benchmark"/>
    <n v="304810000"/>
    <n v="0"/>
    <n v="205203781.808"/>
    <n v="0"/>
    <n v="0"/>
    <n v="0"/>
    <n v="304810000"/>
    <x v="1"/>
  </r>
  <r>
    <x v="793"/>
    <x v="149"/>
    <s v="FRESG0000355"/>
    <s v="Yes"/>
    <s v="Climate;Environmental"/>
    <s v="ESG Other"/>
    <s v="WCAMG"/>
    <s v="Euronext Paris"/>
    <s v="Non-significant benchmark"/>
    <n v="0"/>
    <n v="0"/>
    <n v="0"/>
    <n v="0"/>
    <n v="0"/>
    <n v="0"/>
    <n v="0"/>
    <x v="1"/>
  </r>
  <r>
    <x v="794"/>
    <x v="3"/>
    <s v="IE00B2QF4Z54"/>
    <s v="No"/>
    <s v="Country"/>
    <m/>
    <s v="ISECA"/>
    <s v="Euronext Dublin"/>
    <s v="Non-significant benchmark"/>
    <n v="0"/>
    <n v="0"/>
    <n v="0"/>
    <n v="0"/>
    <n v="0"/>
    <n v="0"/>
    <n v="0"/>
    <x v="1"/>
  </r>
  <r>
    <x v="795"/>
    <x v="3"/>
    <s v="IE00B2QF5075"/>
    <s v="No"/>
    <s v="Country"/>
    <m/>
    <s v="ISECG"/>
    <s v="Euronext Dublin"/>
    <s v="Non-significant benchmark"/>
    <n v="0"/>
    <n v="0"/>
    <n v="0"/>
    <n v="0"/>
    <n v="0"/>
    <n v="0"/>
    <n v="0"/>
    <x v="1"/>
  </r>
  <r>
    <x v="796"/>
    <x v="3"/>
    <s v="IE0000506299"/>
    <s v="No"/>
    <s v="Country"/>
    <m/>
    <s v="ISESM"/>
    <s v="Euronext Dublin"/>
    <s v="Non-significant benchmark"/>
    <n v="0"/>
    <n v="0"/>
    <n v="0"/>
    <n v="0"/>
    <n v="0"/>
    <n v="0"/>
    <n v="0"/>
    <x v="1"/>
  </r>
  <r>
    <x v="797"/>
    <x v="3"/>
    <s v="IE0000506745"/>
    <s v="No"/>
    <s v="Country"/>
    <m/>
    <s v="ISESG"/>
    <s v="Euronext Dublin"/>
    <s v="Non-significant benchmark"/>
    <n v="0"/>
    <n v="0"/>
    <n v="0"/>
    <n v="0"/>
    <n v="0"/>
    <n v="0"/>
    <n v="0"/>
    <x v="1"/>
  </r>
  <r>
    <x v="798"/>
    <x v="150"/>
    <s v="IE0001477250"/>
    <s v="No"/>
    <s v="Country"/>
    <m/>
    <s v="ISEQ"/>
    <s v="Euronext Dublin"/>
    <s v="Non-significant benchmark"/>
    <n v="0"/>
    <n v="0"/>
    <n v="0"/>
    <n v="0"/>
    <n v="0"/>
    <n v="0"/>
    <n v="0"/>
    <x v="1"/>
  </r>
  <r>
    <x v="799"/>
    <x v="150"/>
    <s v="IE0000506851"/>
    <s v="No"/>
    <s v="Country"/>
    <m/>
    <s v="ISEQG"/>
    <s v="Euronext Dublin"/>
    <s v="Non-significant benchmark"/>
    <n v="0"/>
    <n v="0"/>
    <n v="0"/>
    <n v="0"/>
    <n v="0"/>
    <n v="0"/>
    <n v="0"/>
    <x v="1"/>
  </r>
  <r>
    <x v="800"/>
    <x v="150"/>
    <s v="IE00BL6TX318"/>
    <s v="No"/>
    <s v="Industry"/>
    <m/>
    <s v="ISEBM"/>
    <s v="Euronext Dublin"/>
    <s v="Non-significant benchmark"/>
    <n v="0"/>
    <n v="0"/>
    <n v="0"/>
    <n v="0"/>
    <n v="0"/>
    <n v="0"/>
    <n v="0"/>
    <x v="1"/>
  </r>
  <r>
    <x v="801"/>
    <x v="150"/>
    <s v="IE00BL6TX425"/>
    <s v="No"/>
    <s v="Industry"/>
    <m/>
    <s v="ISEBG"/>
    <s v="Euronext Dublin"/>
    <s v="Non-significant benchmark"/>
    <n v="0"/>
    <n v="0"/>
    <n v="0"/>
    <n v="0"/>
    <n v="0"/>
    <n v="0"/>
    <n v="0"/>
    <x v="1"/>
  </r>
  <r>
    <x v="802"/>
    <x v="150"/>
    <s v="IE00BL6TX532"/>
    <s v="No"/>
    <s v="Industry"/>
    <m/>
    <s v="ISCG"/>
    <s v="Euronext Dublin"/>
    <s v="Non-significant benchmark"/>
    <n v="0"/>
    <n v="0"/>
    <n v="0"/>
    <n v="0"/>
    <n v="0"/>
    <n v="0"/>
    <n v="0"/>
    <x v="1"/>
  </r>
  <r>
    <x v="803"/>
    <x v="150"/>
    <s v="IE00BL6TX649"/>
    <s v="No"/>
    <s v="Industry"/>
    <m/>
    <s v="ISCGG"/>
    <s v="Euronext Dublin"/>
    <s v="Non-significant benchmark"/>
    <n v="0"/>
    <n v="0"/>
    <n v="0"/>
    <n v="0"/>
    <n v="0"/>
    <n v="0"/>
    <n v="0"/>
    <x v="1"/>
  </r>
  <r>
    <x v="804"/>
    <x v="150"/>
    <s v="IE00BL6TX755"/>
    <s v="No"/>
    <s v="Industry"/>
    <m/>
    <s v="ISECS"/>
    <s v="Euronext Dublin"/>
    <s v="Non-significant benchmark"/>
    <n v="0"/>
    <n v="0"/>
    <n v="0"/>
    <n v="0"/>
    <n v="0"/>
    <n v="0"/>
    <n v="0"/>
    <x v="1"/>
  </r>
  <r>
    <x v="805"/>
    <x v="150"/>
    <s v="IE00BL6TX862"/>
    <s v="No"/>
    <s v="Industry"/>
    <m/>
    <s v="ISCSG"/>
    <s v="Euronext Dublin"/>
    <s v="Non-significant benchmark"/>
    <n v="0"/>
    <n v="0"/>
    <n v="0"/>
    <n v="0"/>
    <n v="0"/>
    <n v="0"/>
    <n v="0"/>
    <x v="1"/>
  </r>
  <r>
    <x v="806"/>
    <x v="150"/>
    <s v="IE00BL6TXF35"/>
    <s v="No"/>
    <s v="Industry"/>
    <m/>
    <s v="ISEOG"/>
    <s v="Euronext Dublin"/>
    <s v="Non-significant benchmark"/>
    <n v="0"/>
    <n v="0"/>
    <n v="0"/>
    <n v="0"/>
    <n v="0"/>
    <n v="0"/>
    <n v="0"/>
    <x v="1"/>
  </r>
  <r>
    <x v="807"/>
    <x v="150"/>
    <s v="IE00BL6TXG42"/>
    <s v="No"/>
    <s v="Industry"/>
    <m/>
    <s v="ISOGG"/>
    <s v="Euronext Dublin"/>
    <s v="Non-significant benchmark"/>
    <n v="0"/>
    <n v="0"/>
    <n v="0"/>
    <n v="0"/>
    <n v="0"/>
    <n v="0"/>
    <n v="0"/>
    <x v="1"/>
  </r>
  <r>
    <x v="808"/>
    <x v="150"/>
    <s v="IE0000516009"/>
    <s v="No"/>
    <s v="Industry"/>
    <m/>
    <s v="ISEFI"/>
    <s v="Euronext Dublin"/>
    <s v="Non-significant benchmark"/>
    <n v="0"/>
    <n v="0"/>
    <n v="0"/>
    <n v="0"/>
    <n v="0"/>
    <n v="0"/>
    <n v="0"/>
    <x v="1"/>
  </r>
  <r>
    <x v="809"/>
    <x v="150"/>
    <s v="IE0000511505"/>
    <s v="No"/>
    <s v="Industry"/>
    <m/>
    <s v="ISEFG"/>
    <s v="Euronext Dublin"/>
    <s v="Non-significant benchmark"/>
    <n v="0"/>
    <n v="0"/>
    <n v="0"/>
    <n v="0"/>
    <n v="0"/>
    <n v="0"/>
    <n v="0"/>
    <x v="1"/>
  </r>
  <r>
    <x v="810"/>
    <x v="150"/>
    <s v="IE00BL6TX979"/>
    <s v="No"/>
    <s v="Industry"/>
    <m/>
    <s v="ISEHC"/>
    <s v="Euronext Dublin"/>
    <s v="Non-significant benchmark"/>
    <n v="0"/>
    <n v="0"/>
    <n v="0"/>
    <n v="0"/>
    <n v="0"/>
    <n v="0"/>
    <n v="0"/>
    <x v="1"/>
  </r>
  <r>
    <x v="811"/>
    <x v="150"/>
    <s v="IE00BL6TXB96"/>
    <s v="No"/>
    <s v="Industry"/>
    <m/>
    <s v="ISHCG"/>
    <s v="Euronext Dublin"/>
    <s v="Non-significant benchmark"/>
    <n v="0"/>
    <n v="0"/>
    <n v="0"/>
    <n v="0"/>
    <n v="0"/>
    <n v="0"/>
    <n v="0"/>
    <x v="1"/>
  </r>
  <r>
    <x v="812"/>
    <x v="150"/>
    <s v="IE00BL6TXC04"/>
    <s v="No"/>
    <s v="Industry"/>
    <m/>
    <s v="ISEIN"/>
    <s v="Euronext Dublin"/>
    <s v="Non-significant benchmark"/>
    <n v="0"/>
    <n v="0"/>
    <n v="0"/>
    <n v="0"/>
    <n v="0"/>
    <n v="0"/>
    <n v="0"/>
    <x v="1"/>
  </r>
  <r>
    <x v="813"/>
    <x v="150"/>
    <s v="IE00BL6TXD11"/>
    <s v="No"/>
    <s v="Industry"/>
    <m/>
    <s v="ISING"/>
    <s v="Euronext Dublin"/>
    <s v="Non-significant benchmark"/>
    <n v="0"/>
    <n v="0"/>
    <n v="0"/>
    <n v="0"/>
    <n v="0"/>
    <n v="0"/>
    <n v="0"/>
    <x v="1"/>
  </r>
  <r>
    <x v="814"/>
    <x v="150"/>
    <s v="IE00BM7VR644"/>
    <s v="No"/>
    <s v="Industry"/>
    <m/>
    <s v="ISRE"/>
    <s v="Euronext Dublin"/>
    <s v="Non-significant benchmark"/>
    <n v="0"/>
    <n v="0"/>
    <n v="0"/>
    <n v="0"/>
    <n v="0"/>
    <n v="0"/>
    <n v="0"/>
    <x v="1"/>
  </r>
  <r>
    <x v="815"/>
    <x v="150"/>
    <s v="IE00BM7VR750"/>
    <s v="No"/>
    <s v="Industry"/>
    <m/>
    <s v="ISREG"/>
    <s v="Euronext Dublin"/>
    <s v="Non-significant benchmark"/>
    <n v="0"/>
    <n v="0"/>
    <n v="0"/>
    <n v="0"/>
    <n v="0"/>
    <n v="0"/>
    <n v="0"/>
    <x v="1"/>
  </r>
  <r>
    <x v="816"/>
    <x v="150"/>
    <s v="IE00BL6TXH58"/>
    <s v="No"/>
    <s v="Industry"/>
    <m/>
    <s v="ISETE"/>
    <s v="Euronext Dublin"/>
    <s v="Non-significant benchmark"/>
    <n v="0"/>
    <n v="0"/>
    <n v="0"/>
    <n v="0"/>
    <n v="0"/>
    <n v="0"/>
    <n v="0"/>
    <x v="1"/>
  </r>
  <r>
    <x v="817"/>
    <x v="150"/>
    <s v="IE00BL6TXJ72"/>
    <s v="No"/>
    <s v="Industry"/>
    <m/>
    <s v="ISETG"/>
    <s v="Euronext Dublin"/>
    <s v="Non-significant benchmark"/>
    <n v="0"/>
    <n v="0"/>
    <n v="0"/>
    <n v="0"/>
    <n v="0"/>
    <n v="0"/>
    <n v="0"/>
    <x v="1"/>
  </r>
  <r>
    <x v="818"/>
    <x v="150"/>
    <s v="IE00BMT9LK88"/>
    <s v="No"/>
    <s v="Industry"/>
    <m/>
    <s v="ISUT"/>
    <s v="Euronext Dublin"/>
    <s v="Non-significant benchmark"/>
    <n v="0"/>
    <n v="0"/>
    <n v="0"/>
    <n v="0"/>
    <n v="0"/>
    <n v="0"/>
    <n v="0"/>
    <x v="1"/>
  </r>
  <r>
    <x v="819"/>
    <x v="150"/>
    <s v="IE00BMT9LL95"/>
    <s v="No"/>
    <s v="Industry"/>
    <m/>
    <s v="ISUTG"/>
    <s v="Euronext Dublin"/>
    <s v="Non-significant benchmark"/>
    <n v="0"/>
    <n v="0"/>
    <n v="0"/>
    <n v="0"/>
    <n v="0"/>
    <n v="0"/>
    <n v="0"/>
    <x v="1"/>
  </r>
  <r>
    <x v="820"/>
    <x v="151"/>
    <s v="NL0010661898"/>
    <s v="No"/>
    <s v="Strategy"/>
    <m/>
    <s v="ITX7L"/>
    <s v="Euronext Paris"/>
    <s v="Non-significant benchmark"/>
    <n v="0"/>
    <n v="0"/>
    <n v="0"/>
    <n v="0"/>
    <n v="0"/>
    <n v="0"/>
    <n v="0"/>
    <x v="1"/>
  </r>
  <r>
    <x v="821"/>
    <x v="151"/>
    <s v="NL0010661906"/>
    <s v="No"/>
    <s v="Strategy"/>
    <m/>
    <s v="ITX7S"/>
    <s v="Euronext Paris"/>
    <s v="Non-significant benchmark"/>
    <n v="0"/>
    <n v="0"/>
    <n v="0"/>
    <n v="0"/>
    <n v="0"/>
    <n v="0"/>
    <n v="0"/>
    <x v="1"/>
  </r>
  <r>
    <x v="822"/>
    <x v="152"/>
    <s v="QS0011095898"/>
    <s v="No"/>
    <s v="Strategy"/>
    <m/>
    <s v="AEXLV"/>
    <s v="Euronext Paris"/>
    <s v="Non-significant benchmark"/>
    <n v="0"/>
    <n v="0"/>
    <n v="0"/>
    <n v="0"/>
    <n v="0"/>
    <n v="0"/>
    <n v="0"/>
    <x v="1"/>
  </r>
  <r>
    <x v="823"/>
    <x v="152"/>
    <s v="QS0011179239"/>
    <s v="No"/>
    <s v="Strategy"/>
    <m/>
    <s v="AEXTL"/>
    <s v="Euronext Paris"/>
    <s v="Non-significant benchmark"/>
    <n v="0"/>
    <n v="0"/>
    <n v="0"/>
    <n v="0"/>
    <n v="0"/>
    <n v="0"/>
    <n v="0"/>
    <x v="1"/>
  </r>
  <r>
    <x v="824"/>
    <x v="152"/>
    <s v="QS0011216205"/>
    <s v="No"/>
    <s v="Strategy"/>
    <m/>
    <s v="AEXNL"/>
    <s v="Euronext Paris"/>
    <s v="Non-significant benchmark"/>
    <n v="0"/>
    <n v="0"/>
    <n v="0"/>
    <n v="0"/>
    <n v="0"/>
    <n v="0"/>
    <n v="0"/>
    <x v="1"/>
  </r>
  <r>
    <x v="825"/>
    <x v="152"/>
    <s v="QS0011095914"/>
    <s v="No"/>
    <s v="Strategy"/>
    <m/>
    <s v="AEXSH"/>
    <s v="Euronext Paris"/>
    <s v="Non-significant benchmark"/>
    <n v="0"/>
    <n v="0"/>
    <n v="0"/>
    <n v="0"/>
    <n v="0"/>
    <n v="0"/>
    <n v="0"/>
    <x v="1"/>
  </r>
  <r>
    <x v="826"/>
    <x v="152"/>
    <s v="FR0013504768"/>
    <s v="No"/>
    <s v="Strategy"/>
    <m/>
    <s v="ALE10"/>
    <s v="Euronext Paris"/>
    <s v="Non-significant benchmark"/>
    <n v="0"/>
    <n v="0"/>
    <n v="0"/>
    <n v="0"/>
    <n v="0"/>
    <n v="0"/>
    <n v="0"/>
    <x v="1"/>
  </r>
  <r>
    <x v="827"/>
    <x v="152"/>
    <s v="NL0011515390"/>
    <s v="No"/>
    <s v="Strategy"/>
    <m/>
    <s v="AE10S"/>
    <s v="Euronext Paris"/>
    <s v="Non-significant benchmark"/>
    <n v="0"/>
    <n v="0"/>
    <n v="0"/>
    <n v="0"/>
    <n v="0"/>
    <n v="0"/>
    <n v="0"/>
    <x v="1"/>
  </r>
  <r>
    <x v="828"/>
    <x v="152"/>
    <s v="NL0011936141"/>
    <s v="No"/>
    <s v="Strategy"/>
    <m/>
    <s v="A12LE"/>
    <s v="Euronext Paris"/>
    <s v="Non-significant benchmark"/>
    <n v="0"/>
    <n v="0"/>
    <n v="0"/>
    <n v="0"/>
    <n v="0"/>
    <n v="0"/>
    <n v="0"/>
    <x v="1"/>
  </r>
  <r>
    <x v="829"/>
    <x v="152"/>
    <s v="NL0011515408"/>
    <s v="No"/>
    <s v="Strategy"/>
    <m/>
    <s v="AE12S"/>
    <s v="Euronext Paris"/>
    <s v="Non-significant benchmark"/>
    <n v="0"/>
    <n v="0"/>
    <n v="0"/>
    <n v="0"/>
    <n v="0"/>
    <n v="0"/>
    <n v="0"/>
    <x v="1"/>
  </r>
  <r>
    <x v="830"/>
    <x v="152"/>
    <s v="FR0013504743"/>
    <s v="No"/>
    <s v="Strategy"/>
    <m/>
    <s v="ALE15"/>
    <s v="Euronext Paris"/>
    <s v="Non-significant benchmark"/>
    <n v="0"/>
    <n v="0"/>
    <n v="0"/>
    <n v="0"/>
    <n v="0"/>
    <n v="0"/>
    <n v="0"/>
    <x v="1"/>
  </r>
  <r>
    <x v="831"/>
    <x v="152"/>
    <s v="NL0011515416"/>
    <s v="No"/>
    <s v="Strategy"/>
    <m/>
    <s v="AE15S"/>
    <s v="Euronext Paris"/>
    <s v="Non-significant benchmark"/>
    <n v="0"/>
    <n v="0"/>
    <n v="0"/>
    <n v="0"/>
    <n v="0"/>
    <n v="0"/>
    <n v="0"/>
    <x v="1"/>
  </r>
  <r>
    <x v="832"/>
    <x v="152"/>
    <s v="QS0011146899"/>
    <s v="No"/>
    <s v="Strategy"/>
    <m/>
    <s v="AEX2S"/>
    <s v="Euronext Paris"/>
    <s v="Non-significant benchmark"/>
    <n v="0"/>
    <n v="0"/>
    <n v="0"/>
    <n v="0"/>
    <n v="0"/>
    <n v="0"/>
    <n v="0"/>
    <x v="1"/>
  </r>
  <r>
    <x v="833"/>
    <x v="152"/>
    <s v="QS0011230115"/>
    <s v="No"/>
    <s v="Strategy"/>
    <m/>
    <s v="AEX3L"/>
    <s v="Euronext Paris"/>
    <s v="Non-significant benchmark"/>
    <n v="0"/>
    <n v="0"/>
    <n v="0"/>
    <n v="0"/>
    <n v="0"/>
    <n v="0"/>
    <n v="0"/>
    <x v="1"/>
  </r>
  <r>
    <x v="834"/>
    <x v="152"/>
    <s v="QS0011230198"/>
    <s v="No"/>
    <e v="#N/A"/>
    <m/>
    <s v="AEX3S"/>
    <s v="Euronext Paris"/>
    <s v="Non-significant benchmark"/>
    <n v="0"/>
    <n v="0"/>
    <n v="0"/>
    <n v="0"/>
    <n v="0"/>
    <n v="0"/>
    <n v="0"/>
    <x v="2"/>
  </r>
  <r>
    <x v="835"/>
    <x v="152"/>
    <s v="QS0011230156"/>
    <s v="No"/>
    <s v="Strategy"/>
    <m/>
    <s v="AEX4L"/>
    <s v="Euronext Paris"/>
    <s v="Non-significant benchmark"/>
    <n v="0"/>
    <n v="0"/>
    <n v="0"/>
    <n v="0"/>
    <n v="0"/>
    <n v="0"/>
    <n v="0"/>
    <x v="1"/>
  </r>
  <r>
    <x v="836"/>
    <x v="152"/>
    <s v="QS0011230206"/>
    <s v="No"/>
    <s v="Strategy"/>
    <m/>
    <s v="AEX4S"/>
    <s v="Euronext Paris"/>
    <s v="Non-significant benchmark"/>
    <n v="0"/>
    <n v="0"/>
    <n v="0"/>
    <n v="0"/>
    <n v="0"/>
    <n v="0"/>
    <n v="0"/>
    <x v="1"/>
  </r>
  <r>
    <x v="837"/>
    <x v="152"/>
    <s v="QS0011230164"/>
    <s v="No"/>
    <s v="Strategy"/>
    <m/>
    <s v="AEX5L"/>
    <s v="Euronext Paris"/>
    <s v="Non-significant benchmark"/>
    <n v="0"/>
    <n v="0"/>
    <n v="0"/>
    <n v="0"/>
    <n v="0"/>
    <n v="0"/>
    <n v="0"/>
    <x v="1"/>
  </r>
  <r>
    <x v="838"/>
    <x v="152"/>
    <s v="QS0011230214"/>
    <s v="No"/>
    <s v="Strategy"/>
    <m/>
    <s v="AEX5S"/>
    <s v="Euronext Paris"/>
    <s v="Non-significant benchmark"/>
    <n v="0"/>
    <n v="0"/>
    <n v="0"/>
    <n v="0"/>
    <n v="0"/>
    <n v="0"/>
    <n v="0"/>
    <x v="1"/>
  </r>
  <r>
    <x v="839"/>
    <x v="152"/>
    <s v="QS0011230172"/>
    <s v="No"/>
    <s v="Strategy"/>
    <m/>
    <s v="AEX6L"/>
    <s v="Euronext Paris"/>
    <s v="Non-significant benchmark"/>
    <n v="0"/>
    <n v="0"/>
    <n v="0"/>
    <n v="0"/>
    <n v="0"/>
    <n v="0"/>
    <n v="0"/>
    <x v="1"/>
  </r>
  <r>
    <x v="840"/>
    <x v="152"/>
    <s v="QS0011230222"/>
    <s v="No"/>
    <s v="Strategy"/>
    <m/>
    <s v="AEX6S"/>
    <s v="Euronext Paris"/>
    <s v="Non-significant benchmark"/>
    <n v="0"/>
    <n v="0"/>
    <n v="0"/>
    <n v="0"/>
    <n v="0"/>
    <n v="0"/>
    <n v="0"/>
    <x v="1"/>
  </r>
  <r>
    <x v="841"/>
    <x v="152"/>
    <s v="QS0011230180"/>
    <s v="No"/>
    <e v="#N/A"/>
    <m/>
    <s v="AEX7L"/>
    <s v="Euronext Paris"/>
    <s v="Non-significant benchmark"/>
    <n v="0"/>
    <n v="0"/>
    <n v="0"/>
    <n v="0"/>
    <n v="0"/>
    <n v="0"/>
    <n v="0"/>
    <x v="2"/>
  </r>
  <r>
    <x v="842"/>
    <x v="152"/>
    <s v="FR0013362985"/>
    <s v="No"/>
    <s v="Strategy"/>
    <m/>
    <s v="AEX7S"/>
    <s v="Euronext Paris"/>
    <s v="Non-significant benchmark"/>
    <n v="0"/>
    <n v="0"/>
    <n v="0"/>
    <n v="0"/>
    <n v="0"/>
    <n v="0"/>
    <n v="0"/>
    <x v="1"/>
  </r>
  <r>
    <x v="843"/>
    <x v="152"/>
    <s v="QS0011100854"/>
    <s v="No"/>
    <s v="Strategy"/>
    <m/>
    <s v="AEXXB"/>
    <s v="Euronext Paris"/>
    <s v="Non-significant benchmark"/>
    <n v="0"/>
    <n v="0"/>
    <n v="0"/>
    <n v="0"/>
    <n v="0"/>
    <n v="0"/>
    <n v="0"/>
    <x v="1"/>
  </r>
  <r>
    <x v="844"/>
    <x v="152"/>
    <s v="QS0011095864"/>
    <s v="No"/>
    <s v="Strategy"/>
    <m/>
    <s v="BELLV"/>
    <s v="Euronext Paris"/>
    <s v="Non-significant benchmark"/>
    <n v="0"/>
    <n v="0"/>
    <n v="0"/>
    <n v="0"/>
    <n v="0"/>
    <n v="0"/>
    <n v="0"/>
    <x v="1"/>
  </r>
  <r>
    <x v="845"/>
    <x v="152"/>
    <s v="QS0011179247"/>
    <s v="No"/>
    <s v="Strategy"/>
    <m/>
    <s v="BELTL"/>
    <s v="Euronext Paris"/>
    <s v="Non-significant benchmark"/>
    <n v="0"/>
    <n v="0"/>
    <n v="0"/>
    <n v="0"/>
    <n v="0"/>
    <n v="0"/>
    <n v="0"/>
    <x v="1"/>
  </r>
  <r>
    <x v="846"/>
    <x v="152"/>
    <s v="QS0011095880"/>
    <s v="No"/>
    <s v="Strategy"/>
    <m/>
    <s v="BELSH"/>
    <s v="Euronext Paris"/>
    <s v="Non-significant benchmark"/>
    <n v="0"/>
    <n v="0"/>
    <n v="0"/>
    <n v="0"/>
    <n v="0"/>
    <n v="0"/>
    <n v="0"/>
    <x v="1"/>
  </r>
  <r>
    <x v="847"/>
    <x v="152"/>
    <s v="QS0011146915"/>
    <s v="No"/>
    <s v="Strategy"/>
    <m/>
    <s v="BEL3L"/>
    <s v="Euronext Paris"/>
    <s v="Non-significant benchmark"/>
    <n v="0"/>
    <n v="0"/>
    <n v="0"/>
    <n v="0"/>
    <n v="0"/>
    <n v="0"/>
    <n v="0"/>
    <x v="1"/>
  </r>
  <r>
    <x v="848"/>
    <x v="152"/>
    <s v="QS0011146923"/>
    <s v="No"/>
    <s v="Strategy"/>
    <m/>
    <s v="BEL2S"/>
    <s v="Euronext Paris"/>
    <s v="Non-significant benchmark"/>
    <n v="0"/>
    <n v="0"/>
    <n v="0"/>
    <n v="0"/>
    <n v="0"/>
    <n v="0"/>
    <n v="0"/>
    <x v="1"/>
  </r>
  <r>
    <x v="849"/>
    <x v="152"/>
    <s v="BE0389916736"/>
    <s v="No"/>
    <s v="Strategy"/>
    <m/>
    <s v="BE3LN"/>
    <s v="Euronext Paris"/>
    <s v="Non-significant benchmark"/>
    <n v="0"/>
    <n v="0"/>
    <n v="0"/>
    <n v="0"/>
    <n v="0"/>
    <n v="0"/>
    <n v="0"/>
    <x v="1"/>
  </r>
  <r>
    <x v="850"/>
    <x v="152"/>
    <s v="QS0011146931"/>
    <s v="No"/>
    <s v="Strategy"/>
    <m/>
    <s v="BEL3S"/>
    <s v="Euronext Paris"/>
    <s v="Non-significant benchmark"/>
    <n v="0"/>
    <n v="0"/>
    <n v="0"/>
    <n v="0"/>
    <n v="0"/>
    <n v="0"/>
    <n v="0"/>
    <x v="1"/>
  </r>
  <r>
    <x v="851"/>
    <x v="152"/>
    <s v="BE0389914715"/>
    <s v="No"/>
    <s v="Strategy"/>
    <m/>
    <s v="BEL5L"/>
    <s v="Euronext Paris"/>
    <s v="Non-significant benchmark"/>
    <n v="0"/>
    <n v="0"/>
    <n v="0"/>
    <n v="0"/>
    <n v="0"/>
    <n v="0"/>
    <n v="0"/>
    <x v="1"/>
  </r>
  <r>
    <x v="852"/>
    <x v="152"/>
    <s v="BE0389915720"/>
    <s v="No"/>
    <s v="Strategy"/>
    <m/>
    <s v="BEL5S"/>
    <s v="Euronext Paris"/>
    <s v="Non-significant benchmark"/>
    <n v="0"/>
    <n v="0"/>
    <n v="0"/>
    <n v="0"/>
    <n v="0"/>
    <n v="0"/>
    <n v="0"/>
    <x v="1"/>
  </r>
  <r>
    <x v="853"/>
    <x v="152"/>
    <s v="QS0011100847"/>
    <s v="No"/>
    <s v="Strategy"/>
    <m/>
    <s v="BELXB"/>
    <s v="Euronext Paris"/>
    <s v="Non-significant benchmark"/>
    <n v="0"/>
    <n v="0"/>
    <n v="0"/>
    <n v="0"/>
    <n v="0"/>
    <n v="0"/>
    <n v="0"/>
    <x v="1"/>
  </r>
  <r>
    <x v="854"/>
    <x v="152"/>
    <s v="QS0011095815"/>
    <s v="No"/>
    <s v="Strategy"/>
    <m/>
    <s v="CACLV"/>
    <s v="Euronext Paris"/>
    <s v="Non-significant benchmark"/>
    <n v="0"/>
    <n v="0"/>
    <n v="0"/>
    <n v="0"/>
    <n v="0"/>
    <n v="0"/>
    <n v="0"/>
    <x v="1"/>
  </r>
  <r>
    <x v="855"/>
    <x v="152"/>
    <s v="QS0011216213"/>
    <s v="No"/>
    <s v="Strategy"/>
    <m/>
    <s v="CACGL"/>
    <s v="Euronext Paris"/>
    <s v="Non-significant benchmark"/>
    <n v="0"/>
    <n v="0"/>
    <n v="0"/>
    <n v="251531094"/>
    <n v="0"/>
    <n v="0"/>
    <n v="251531094"/>
    <x v="1"/>
  </r>
  <r>
    <x v="856"/>
    <x v="152"/>
    <s v="QS0011179221"/>
    <s v="No"/>
    <s v="Strategy"/>
    <m/>
    <s v="CACTL"/>
    <s v="Euronext Paris"/>
    <s v="Non-significant benchmark"/>
    <n v="0"/>
    <n v="0"/>
    <n v="0"/>
    <n v="0"/>
    <n v="0"/>
    <n v="0"/>
    <n v="0"/>
    <x v="1"/>
  </r>
  <r>
    <x v="857"/>
    <x v="152"/>
    <s v="QS0011095831"/>
    <s v="No"/>
    <s v="Strategy"/>
    <m/>
    <s v="CACSH"/>
    <s v="Euronext Paris"/>
    <s v="Non-significant benchmark"/>
    <n v="0"/>
    <n v="0"/>
    <n v="0"/>
    <n v="175119088"/>
    <n v="0"/>
    <n v="0"/>
    <n v="175119088"/>
    <x v="1"/>
  </r>
  <r>
    <x v="858"/>
    <x v="152"/>
    <s v="FR0013362993"/>
    <s v="No"/>
    <s v="Strategy"/>
    <m/>
    <s v="CA10L"/>
    <s v="Euronext Paris"/>
    <s v="Non-significant benchmark"/>
    <n v="0"/>
    <n v="0"/>
    <n v="0"/>
    <n v="0"/>
    <n v="0"/>
    <n v="0"/>
    <n v="0"/>
    <x v="1"/>
  </r>
  <r>
    <x v="859"/>
    <x v="152"/>
    <s v="FR0013361573"/>
    <s v="No"/>
    <s v="Strategy"/>
    <m/>
    <s v="CA10S"/>
    <s v="Euronext Paris"/>
    <s v="Non-significant benchmark"/>
    <n v="0"/>
    <n v="0"/>
    <n v="0"/>
    <n v="0"/>
    <n v="108000"/>
    <n v="0"/>
    <n v="108000"/>
    <x v="1"/>
  </r>
  <r>
    <x v="860"/>
    <x v="152"/>
    <s v="FR0013186939"/>
    <s v="No"/>
    <s v="Strategy"/>
    <m/>
    <s v="C12LE"/>
    <s v="Euronext Paris"/>
    <s v="Non-significant benchmark"/>
    <n v="0"/>
    <n v="0"/>
    <n v="0"/>
    <n v="0"/>
    <n v="0"/>
    <n v="0"/>
    <n v="0"/>
    <x v="1"/>
  </r>
  <r>
    <x v="861"/>
    <x v="152"/>
    <s v="FR0013361649"/>
    <s v="No"/>
    <s v="Strategy"/>
    <m/>
    <s v="CA12S"/>
    <s v="Euronext Paris"/>
    <s v="Non-significant benchmark"/>
    <n v="0"/>
    <n v="0"/>
    <n v="0"/>
    <n v="0"/>
    <n v="0"/>
    <n v="0"/>
    <n v="0"/>
    <x v="1"/>
  </r>
  <r>
    <x v="862"/>
    <x v="152"/>
    <s v="FR0013504735"/>
    <s v="No"/>
    <s v="Strategy"/>
    <m/>
    <s v="CLE15"/>
    <s v="Euronext Paris"/>
    <s v="Non-significant benchmark"/>
    <n v="0"/>
    <n v="0"/>
    <n v="0"/>
    <n v="0"/>
    <n v="68400"/>
    <n v="0"/>
    <n v="68400"/>
    <x v="1"/>
  </r>
  <r>
    <x v="863"/>
    <x v="152"/>
    <s v="FR0013504776"/>
    <s v="No"/>
    <s v="Strategy"/>
    <m/>
    <s v="CSH15"/>
    <s v="Euronext Paris"/>
    <s v="Non-significant benchmark"/>
    <n v="0"/>
    <n v="0"/>
    <n v="0"/>
    <n v="0"/>
    <n v="16050"/>
    <n v="0"/>
    <n v="16050"/>
    <x v="1"/>
  </r>
  <r>
    <x v="864"/>
    <x v="152"/>
    <s v="QS0011146865"/>
    <s v="No"/>
    <s v="Strategy"/>
    <m/>
    <s v="CAC2S"/>
    <s v="Euronext Paris"/>
    <s v="Non-significant benchmark"/>
    <n v="0"/>
    <n v="0"/>
    <n v="0"/>
    <n v="228116963"/>
    <n v="4130000"/>
    <n v="0"/>
    <n v="232246963"/>
    <x v="1"/>
  </r>
  <r>
    <x v="865"/>
    <x v="152"/>
    <s v="FR0013362662"/>
    <s v="No"/>
    <s v="Strategy"/>
    <m/>
    <s v="CAC3L"/>
    <s v="Euronext Paris"/>
    <s v="Non-significant benchmark"/>
    <n v="0"/>
    <n v="0"/>
    <n v="0"/>
    <n v="984767"/>
    <n v="38880000"/>
    <n v="0"/>
    <n v="39864767"/>
    <x v="1"/>
  </r>
  <r>
    <x v="866"/>
    <x v="152"/>
    <s v="FR0013362688"/>
    <s v="No"/>
    <s v="Strategy"/>
    <m/>
    <s v="CAC3S"/>
    <s v="Euronext Paris"/>
    <s v="Non-significant benchmark"/>
    <n v="0"/>
    <n v="0"/>
    <n v="0"/>
    <n v="976967"/>
    <n v="0"/>
    <n v="0"/>
    <n v="976967"/>
    <x v="1"/>
  </r>
  <r>
    <x v="867"/>
    <x v="152"/>
    <s v="FR0013362811"/>
    <s v="No"/>
    <s v="Strategy"/>
    <m/>
    <s v="CAC4L"/>
    <s v="Euronext Paris"/>
    <s v="Non-significant benchmark"/>
    <n v="0"/>
    <n v="0"/>
    <n v="0"/>
    <n v="0"/>
    <n v="27640000"/>
    <n v="0"/>
    <n v="27640000"/>
    <x v="1"/>
  </r>
  <r>
    <x v="868"/>
    <x v="152"/>
    <s v="FR0013362837"/>
    <s v="No"/>
    <s v="Strategy"/>
    <m/>
    <s v="CAC4S"/>
    <s v="Euronext Paris"/>
    <s v="Non-significant benchmark"/>
    <n v="0"/>
    <n v="0"/>
    <n v="0"/>
    <n v="0"/>
    <n v="288110"/>
    <n v="0"/>
    <n v="288110"/>
    <x v="1"/>
  </r>
  <r>
    <x v="869"/>
    <x v="152"/>
    <s v="FR0013361359"/>
    <s v="No"/>
    <s v="Strategy"/>
    <m/>
    <s v="CAC5L"/>
    <s v="Euronext Paris"/>
    <s v="Non-significant benchmark"/>
    <n v="0"/>
    <n v="0"/>
    <n v="0"/>
    <n v="0"/>
    <n v="127145000"/>
    <n v="0"/>
    <n v="127145000"/>
    <x v="1"/>
  </r>
  <r>
    <x v="870"/>
    <x v="152"/>
    <s v="FR0013360666"/>
    <s v="No"/>
    <s v="Strategy"/>
    <m/>
    <s v="CAC5S"/>
    <s v="Euronext Paris"/>
    <s v="Non-significant benchmark"/>
    <n v="0"/>
    <n v="0"/>
    <n v="0"/>
    <n v="0"/>
    <n v="2160"/>
    <n v="0"/>
    <n v="2160"/>
    <x v="1"/>
  </r>
  <r>
    <x v="871"/>
    <x v="152"/>
    <s v="FR0013362852"/>
    <s v="No"/>
    <s v="Strategy"/>
    <m/>
    <s v="CAC6L"/>
    <s v="Euronext Paris"/>
    <s v="Non-significant benchmark"/>
    <n v="0"/>
    <n v="0"/>
    <n v="0"/>
    <n v="0"/>
    <n v="0"/>
    <n v="0"/>
    <n v="0"/>
    <x v="1"/>
  </r>
  <r>
    <x v="872"/>
    <x v="152"/>
    <s v="FR0013362878"/>
    <s v="No"/>
    <s v="Strategy"/>
    <m/>
    <s v="CAC6S"/>
    <s v="Euronext Paris"/>
    <s v="Non-significant benchmark"/>
    <n v="0"/>
    <n v="0"/>
    <n v="0"/>
    <n v="0"/>
    <n v="0"/>
    <n v="0"/>
    <n v="0"/>
    <x v="1"/>
  </r>
  <r>
    <x v="873"/>
    <x v="152"/>
    <s v="FR0013362860"/>
    <s v="No"/>
    <s v="Strategy"/>
    <m/>
    <s v="CAC7L"/>
    <s v="Euronext Paris"/>
    <s v="Non-significant benchmark"/>
    <n v="0"/>
    <n v="0"/>
    <n v="0"/>
    <n v="0"/>
    <n v="2349100"/>
    <n v="0"/>
    <n v="2349100"/>
    <x v="1"/>
  </r>
  <r>
    <x v="874"/>
    <x v="152"/>
    <s v="FR0013364395"/>
    <s v="No"/>
    <s v="Strategy"/>
    <m/>
    <s v="CAC7S"/>
    <s v="Euronext Paris"/>
    <s v="Non-significant benchmark"/>
    <n v="0"/>
    <n v="0"/>
    <n v="0"/>
    <n v="0"/>
    <n v="1050"/>
    <n v="0"/>
    <n v="1050"/>
    <x v="1"/>
  </r>
  <r>
    <x v="875"/>
    <x v="152"/>
    <s v="QS0011095856"/>
    <s v="No"/>
    <s v="Strategy"/>
    <m/>
    <s v="CACXB"/>
    <s v="Euronext Paris"/>
    <s v="Non-significant benchmark"/>
    <n v="0"/>
    <n v="0"/>
    <n v="0"/>
    <n v="0"/>
    <n v="0"/>
    <n v="0"/>
    <n v="0"/>
    <x v="1"/>
  </r>
  <r>
    <x v="876"/>
    <x v="152"/>
    <s v="IE00B2QF4Y48"/>
    <s v="No"/>
    <s v="Strategy"/>
    <m/>
    <s v="ISELV"/>
    <s v="Euronext Paris"/>
    <s v="Non-significant benchmark"/>
    <n v="0"/>
    <n v="0"/>
    <n v="0"/>
    <n v="0"/>
    <n v="0"/>
    <n v="0"/>
    <n v="0"/>
    <x v="1"/>
  </r>
  <r>
    <x v="877"/>
    <x v="152"/>
    <s v="QS0011095922"/>
    <s v="No"/>
    <s v="Strategy"/>
    <m/>
    <s v="PSILV"/>
    <s v="Euronext Paris"/>
    <s v="Non-significant benchmark"/>
    <n v="0"/>
    <n v="0"/>
    <n v="0"/>
    <n v="0"/>
    <n v="0"/>
    <n v="0"/>
    <n v="0"/>
    <x v="1"/>
  </r>
  <r>
    <x v="878"/>
    <x v="152"/>
    <s v="QS0011179254"/>
    <s v="No"/>
    <s v="Strategy"/>
    <m/>
    <s v="PSITL"/>
    <s v="Euronext Paris"/>
    <s v="Non-significant benchmark"/>
    <n v="0"/>
    <n v="0"/>
    <n v="0"/>
    <n v="0"/>
    <n v="0"/>
    <n v="0"/>
    <n v="0"/>
    <x v="1"/>
  </r>
  <r>
    <x v="879"/>
    <x v="152"/>
    <s v="QS0011095948"/>
    <s v="No"/>
    <s v="Strategy"/>
    <m/>
    <s v="PSISH"/>
    <s v="Euronext Paris"/>
    <s v="Non-significant benchmark"/>
    <n v="0"/>
    <n v="0"/>
    <n v="0"/>
    <n v="0"/>
    <n v="0"/>
    <n v="0"/>
    <n v="0"/>
    <x v="1"/>
  </r>
  <r>
    <x v="880"/>
    <x v="152"/>
    <s v="QS0011146949"/>
    <s v="No"/>
    <s v="Strategy"/>
    <m/>
    <s v="PSI3L"/>
    <s v="Euronext Paris"/>
    <s v="Non-significant benchmark"/>
    <n v="0"/>
    <n v="0"/>
    <n v="0"/>
    <n v="0"/>
    <n v="0"/>
    <n v="0"/>
    <n v="0"/>
    <x v="1"/>
  </r>
  <r>
    <x v="881"/>
    <x v="152"/>
    <s v="QS0011146956"/>
    <s v="No"/>
    <s v="Strategy"/>
    <m/>
    <s v="PSI2S"/>
    <s v="Euronext Paris"/>
    <s v="Non-significant benchmark"/>
    <n v="0"/>
    <n v="0"/>
    <n v="0"/>
    <n v="0"/>
    <n v="0"/>
    <n v="0"/>
    <n v="0"/>
    <x v="1"/>
  </r>
  <r>
    <x v="882"/>
    <x v="152"/>
    <s v="PTINO0220004"/>
    <s v="No"/>
    <s v="Strategy"/>
    <m/>
    <s v="PS3LN"/>
    <s v="Euronext Paris"/>
    <s v="Non-significant benchmark"/>
    <n v="0"/>
    <n v="0"/>
    <n v="0"/>
    <n v="0"/>
    <n v="0"/>
    <n v="0"/>
    <n v="0"/>
    <x v="1"/>
  </r>
  <r>
    <x v="883"/>
    <x v="152"/>
    <s v="QS0011146964"/>
    <s v="No"/>
    <s v="Strategy"/>
    <m/>
    <s v="PSI3S"/>
    <s v="Euronext Paris"/>
    <s v="Non-significant benchmark"/>
    <n v="0"/>
    <n v="0"/>
    <n v="0"/>
    <n v="0"/>
    <n v="0"/>
    <n v="0"/>
    <n v="0"/>
    <x v="1"/>
  </r>
  <r>
    <x v="884"/>
    <x v="152"/>
    <s v="QS0011100862"/>
    <s v="No"/>
    <s v="Strategy"/>
    <m/>
    <s v="PSIXB"/>
    <s v="Euronext Paris"/>
    <s v="Non-significant benchmark"/>
    <n v="0"/>
    <n v="0"/>
    <n v="0"/>
    <n v="0"/>
    <n v="0"/>
    <n v="0"/>
    <n v="0"/>
    <x v="1"/>
  </r>
  <r>
    <x v="885"/>
    <x v="153"/>
    <s v="FR0013519691"/>
    <s v="No"/>
    <e v="#N/A"/>
    <m/>
    <s v="CAC3V"/>
    <s v="Euronext Paris"/>
    <s v="Non-significant benchmark"/>
    <n v="0"/>
    <n v="0"/>
    <n v="0"/>
    <n v="0"/>
    <n v="0"/>
    <n v="0"/>
    <n v="0"/>
    <x v="2"/>
  </r>
  <r>
    <x v="886"/>
    <x v="154"/>
    <s v="QS0011131735"/>
    <s v="Yes"/>
    <s v="Climate;PAB"/>
    <s v="PAB"/>
    <s v="LC100"/>
    <s v="Euronext Paris"/>
    <s v="Non-significant benchmark"/>
    <n v="0"/>
    <n v="0"/>
    <n v="0"/>
    <n v="0"/>
    <n v="0"/>
    <n v="0"/>
    <n v="0"/>
    <x v="1"/>
  </r>
  <r>
    <x v="887"/>
    <x v="154"/>
    <s v="QS0011131750"/>
    <s v="Yes"/>
    <s v="Climate;PAB"/>
    <s v="PAB"/>
    <s v="LC1GR"/>
    <s v="Euronext Paris"/>
    <s v="Non-significant benchmark"/>
    <n v="0"/>
    <n v="0"/>
    <n v="0"/>
    <n v="0"/>
    <n v="0"/>
    <n v="0"/>
    <n v="0"/>
    <x v="1"/>
  </r>
  <r>
    <x v="888"/>
    <x v="154"/>
    <s v="QS0011131743"/>
    <s v="Yes"/>
    <s v="Climate;PAB"/>
    <s v="PAB"/>
    <s v="LC1NR"/>
    <s v="Euronext Paris"/>
    <s v="Non-significant benchmark"/>
    <n v="0"/>
    <n v="0"/>
    <n v="0"/>
    <n v="1386268710"/>
    <n v="0"/>
    <n v="0"/>
    <n v="1386268710"/>
    <x v="1"/>
  </r>
  <r>
    <x v="889"/>
    <x v="155"/>
    <s v="FR0014005WN0"/>
    <s v="Yes"/>
    <s v="Broad ESG"/>
    <s v="ESG Other"/>
    <s v="MESGP"/>
    <s v="Euronext Paris"/>
    <s v="Non-significant benchmark"/>
    <n v="0"/>
    <n v="0"/>
    <n v="0"/>
    <n v="0"/>
    <n v="0"/>
    <n v="0"/>
    <n v="0"/>
    <x v="0"/>
  </r>
  <r>
    <x v="890"/>
    <x v="155"/>
    <s v="FRESG0000041"/>
    <s v="Yes"/>
    <s v="Broad ESG"/>
    <s v="ESG Other"/>
    <s v="MED37"/>
    <s v="Euronext Paris"/>
    <s v="Non-significant benchmark"/>
    <n v="0"/>
    <n v="0"/>
    <n v="0"/>
    <n v="0"/>
    <n v="0"/>
    <n v="0"/>
    <n v="0"/>
    <x v="0"/>
  </r>
  <r>
    <x v="891"/>
    <x v="155"/>
    <s v="FRESG0000058"/>
    <s v="Yes"/>
    <s v="Broad ESG"/>
    <s v="ESG Other"/>
    <s v="MED5"/>
    <s v="Euronext Paris"/>
    <s v="Non-significant benchmark"/>
    <n v="0"/>
    <n v="0"/>
    <n v="0"/>
    <n v="0"/>
    <n v="0"/>
    <n v="0"/>
    <n v="0"/>
    <x v="0"/>
  </r>
  <r>
    <x v="892"/>
    <x v="155"/>
    <s v="FR0014005WM2"/>
    <s v="Yes"/>
    <s v="Broad ESG"/>
    <s v="ESG Other"/>
    <s v="MESGG"/>
    <s v="Euronext Paris"/>
    <s v="Non-significant benchmark"/>
    <n v="0"/>
    <n v="0"/>
    <n v="0"/>
    <n v="0"/>
    <n v="0"/>
    <n v="0"/>
    <n v="0"/>
    <x v="0"/>
  </r>
  <r>
    <x v="893"/>
    <x v="155"/>
    <s v="FR0014005WL4"/>
    <s v="Yes"/>
    <s v="Broad ESG"/>
    <s v="ESG Other"/>
    <s v="MESGN"/>
    <s v="Euronext Paris"/>
    <s v="Non-significant benchmark"/>
    <n v="0"/>
    <n v="0"/>
    <n v="0"/>
    <n v="72633454"/>
    <n v="0"/>
    <n v="0"/>
    <n v="72633454"/>
    <x v="0"/>
  </r>
  <r>
    <x v="894"/>
    <x v="156"/>
    <s v="QS0011095955"/>
    <s v="No"/>
    <s v="Industry"/>
    <m/>
    <s v="BIOTK"/>
    <s v="Euronext Paris"/>
    <s v="Non-significant benchmark"/>
    <n v="0"/>
    <n v="0"/>
    <n v="0"/>
    <n v="351869"/>
    <n v="0"/>
    <n v="0"/>
    <n v="351869"/>
    <x v="1"/>
  </r>
  <r>
    <x v="895"/>
    <x v="157"/>
    <s v="NO0007035376"/>
    <s v="No"/>
    <s v="Country"/>
    <m/>
    <s v="OBXP"/>
    <s v="Oslo Børs"/>
    <s v="Non-significant benchmark"/>
    <n v="0"/>
    <n v="0"/>
    <n v="0"/>
    <n v="0"/>
    <n v="0"/>
    <n v="0"/>
    <n v="0"/>
    <x v="0"/>
  </r>
  <r>
    <x v="896"/>
    <x v="157"/>
    <s v="NO0000000021"/>
    <s v="No"/>
    <s v="Country"/>
    <m/>
    <s v="OBX"/>
    <s v="Oslo Børs"/>
    <s v="Non-significant benchmark"/>
    <n v="0"/>
    <n v="0"/>
    <n v="0"/>
    <n v="486277954.87880766"/>
    <n v="0"/>
    <n v="111689425.44778201"/>
    <n v="597967380.3265897"/>
    <x v="0"/>
  </r>
  <r>
    <x v="897"/>
    <x v="157"/>
    <s v="NO0010892151"/>
    <s v="No"/>
    <s v="Country"/>
    <m/>
    <s v="OBXUP"/>
    <s v="Oslo Børs"/>
    <s v="Non-significant benchmark"/>
    <n v="0"/>
    <n v="0"/>
    <n v="0"/>
    <n v="0"/>
    <n v="0"/>
    <n v="0"/>
    <n v="0"/>
    <x v="1"/>
  </r>
  <r>
    <x v="898"/>
    <x v="157"/>
    <s v="NO0010865173"/>
    <s v="No"/>
    <s v="Country"/>
    <m/>
    <s v="OBXU"/>
    <s v="Oslo Børs"/>
    <s v="Non-significant benchmark"/>
    <n v="0"/>
    <n v="0"/>
    <n v="0"/>
    <n v="0"/>
    <n v="0"/>
    <n v="0"/>
    <n v="0"/>
    <x v="1"/>
  </r>
  <r>
    <x v="899"/>
    <x v="157"/>
    <s v="NO0010865280"/>
    <s v="No"/>
    <s v="Country"/>
    <m/>
    <s v="OSEMN"/>
    <s v="Oslo Børs"/>
    <s v="Non-significant benchmark"/>
    <n v="0"/>
    <n v="0"/>
    <n v="0"/>
    <n v="0"/>
    <n v="0"/>
    <n v="0"/>
    <n v="0"/>
    <x v="1"/>
  </r>
  <r>
    <x v="900"/>
    <x v="157"/>
    <s v="NO0010865298"/>
    <s v="No"/>
    <s v="Country"/>
    <m/>
    <s v="OSEMP"/>
    <s v="Oslo Børs"/>
    <s v="Non-significant benchmark"/>
    <n v="0"/>
    <n v="0"/>
    <n v="0"/>
    <n v="0"/>
    <n v="0"/>
    <n v="0"/>
    <n v="0"/>
    <x v="1"/>
  </r>
  <r>
    <x v="901"/>
    <x v="157"/>
    <s v="NO0010865306"/>
    <s v="No"/>
    <s v="Country"/>
    <m/>
    <s v="OSESN"/>
    <s v="Oslo Børs"/>
    <s v="Non-significant benchmark"/>
    <n v="0"/>
    <n v="0"/>
    <n v="0"/>
    <n v="0"/>
    <n v="0"/>
    <n v="0"/>
    <n v="0"/>
    <x v="1"/>
  </r>
  <r>
    <x v="902"/>
    <x v="157"/>
    <s v="NO0010865314"/>
    <s v="No"/>
    <s v="Country"/>
    <m/>
    <s v="OSESP"/>
    <s v="Oslo Børs"/>
    <s v="Non-significant benchmark"/>
    <n v="0"/>
    <n v="0"/>
    <n v="0"/>
    <n v="0"/>
    <n v="0"/>
    <n v="0"/>
    <n v="0"/>
    <x v="1"/>
  </r>
  <r>
    <x v="903"/>
    <x v="157"/>
    <s v="NO0010735640"/>
    <s v="No"/>
    <s v="Country"/>
    <m/>
    <s v="OSEMX"/>
    <s v="Oslo Børs"/>
    <s v="Non-significant benchmark"/>
    <n v="0"/>
    <n v="0"/>
    <n v="0"/>
    <n v="0"/>
    <n v="0"/>
    <n v="0"/>
    <n v="0"/>
    <x v="1"/>
  </r>
  <r>
    <x v="904"/>
    <x v="157"/>
    <s v="NO0007035343"/>
    <s v="No"/>
    <s v="Country"/>
    <m/>
    <s v="OSESX"/>
    <s v="Oslo Børs"/>
    <s v="Non-significant benchmark"/>
    <n v="0"/>
    <n v="0"/>
    <n v="0"/>
    <n v="340523656.12192625"/>
    <n v="0"/>
    <n v="0"/>
    <n v="340523656.12192625"/>
    <x v="1"/>
  </r>
  <r>
    <x v="905"/>
    <x v="158"/>
    <s v="NO0012513474"/>
    <s v="Yes"/>
    <s v="Broad ESG"/>
    <s v="ESG Other"/>
    <s v="OBXES"/>
    <s v="Oslo Børs"/>
    <s v="Non-significant benchmark"/>
    <n v="0"/>
    <n v="0"/>
    <n v="0"/>
    <n v="0"/>
    <n v="0"/>
    <n v="0"/>
    <n v="0"/>
    <x v="0"/>
  </r>
  <r>
    <x v="906"/>
    <x v="158"/>
    <s v="NO0012513490"/>
    <s v="Yes"/>
    <s v="Broad ESG"/>
    <s v="ESG Other"/>
    <s v="OBXEN"/>
    <s v="Oslo Børs"/>
    <s v="Non-significant benchmark"/>
    <n v="0"/>
    <n v="0"/>
    <n v="0"/>
    <n v="0"/>
    <n v="0"/>
    <n v="0"/>
    <n v="0"/>
    <x v="0"/>
  </r>
  <r>
    <x v="907"/>
    <x v="158"/>
    <s v="NO0012513482"/>
    <s v="Yes"/>
    <s v="Broad ESG"/>
    <s v="ESG Other"/>
    <s v="OBXEP"/>
    <s v="Oslo Børs"/>
    <s v="Non-significant benchmark"/>
    <n v="0"/>
    <n v="0"/>
    <n v="0"/>
    <n v="0"/>
    <n v="0"/>
    <n v="0"/>
    <n v="0"/>
    <x v="0"/>
  </r>
  <r>
    <x v="908"/>
    <x v="159"/>
    <s v="NO0012513508"/>
    <s v="Yes"/>
    <s v="Broad ESG"/>
    <s v="ESG Other"/>
    <s v="OEXOG"/>
    <s v="Oslo Børs"/>
    <s v="Non-significant benchmark"/>
    <n v="0"/>
    <n v="0"/>
    <n v="0"/>
    <n v="0"/>
    <n v="0"/>
    <n v="0"/>
    <n v="0"/>
    <x v="1"/>
  </r>
  <r>
    <x v="909"/>
    <x v="159"/>
    <s v="NO0012513524"/>
    <s v="Yes"/>
    <s v="Broad ESG"/>
    <s v="ESG Other"/>
    <s v="OEXON"/>
    <s v="Oslo Børs"/>
    <s v="Non-significant benchmark"/>
    <n v="0"/>
    <n v="0"/>
    <n v="0"/>
    <n v="0"/>
    <n v="0"/>
    <n v="0"/>
    <n v="0"/>
    <x v="1"/>
  </r>
  <r>
    <x v="910"/>
    <x v="159"/>
    <s v="NO0012513516"/>
    <s v="Yes"/>
    <s v="Broad ESG"/>
    <s v="ESG Other"/>
    <s v="OEXOP"/>
    <s v="Oslo Børs"/>
    <s v="Non-significant benchmark"/>
    <n v="0"/>
    <n v="0"/>
    <n v="0"/>
    <n v="0"/>
    <n v="0"/>
    <n v="0"/>
    <n v="0"/>
    <x v="1"/>
  </r>
  <r>
    <x v="911"/>
    <x v="160"/>
    <s v="NO0010865249"/>
    <s v="No"/>
    <s v="Country"/>
    <m/>
    <s v="OSEBN"/>
    <s v="Oslo Børs"/>
    <s v="Non-significant benchmark"/>
    <n v="0"/>
    <n v="0"/>
    <n v="0"/>
    <n v="0"/>
    <n v="0"/>
    <n v="0"/>
    <n v="0"/>
    <x v="1"/>
  </r>
  <r>
    <x v="912"/>
    <x v="160"/>
    <s v="NO0010865256"/>
    <s v="No"/>
    <s v="Country"/>
    <m/>
    <s v="OSEBP"/>
    <s v="Oslo Børs"/>
    <s v="Non-significant benchmark"/>
    <n v="0"/>
    <n v="0"/>
    <n v="0"/>
    <n v="0"/>
    <n v="0"/>
    <n v="0"/>
    <n v="0"/>
    <x v="1"/>
  </r>
  <r>
    <x v="913"/>
    <x v="160"/>
    <s v="NO0010865264"/>
    <s v="No"/>
    <s v="Country"/>
    <m/>
    <s v="OSEFN"/>
    <s v="Oslo Børs"/>
    <s v="Non-significant benchmark"/>
    <n v="0"/>
    <n v="0"/>
    <n v="0"/>
    <n v="0"/>
    <n v="0"/>
    <n v="0"/>
    <n v="0"/>
    <x v="1"/>
  </r>
  <r>
    <x v="914"/>
    <x v="160"/>
    <s v="NO0010865272"/>
    <s v="No"/>
    <s v="Country"/>
    <m/>
    <s v="OSEFP"/>
    <s v="Oslo Børs"/>
    <s v="Non-significant benchmark"/>
    <n v="0"/>
    <n v="0"/>
    <n v="0"/>
    <n v="0"/>
    <n v="0"/>
    <n v="0"/>
    <n v="0"/>
    <x v="1"/>
  </r>
  <r>
    <x v="915"/>
    <x v="160"/>
    <s v="NO0007035327"/>
    <s v="No"/>
    <s v="Country"/>
    <m/>
    <s v="OSEBX"/>
    <s v="Oslo Børs"/>
    <s v="Non-significant benchmark"/>
    <n v="0"/>
    <n v="0"/>
    <n v="0"/>
    <n v="8790557471.6180553"/>
    <n v="0"/>
    <n v="0"/>
    <n v="8790557471.6180553"/>
    <x v="1"/>
  </r>
  <r>
    <x v="916"/>
    <x v="160"/>
    <s v="NO0007035335"/>
    <s v="No"/>
    <s v="Country"/>
    <m/>
    <s v="OSEFX"/>
    <s v="Oslo Børs"/>
    <s v="Non-significant benchmark"/>
    <n v="0"/>
    <n v="0"/>
    <n v="0"/>
    <n v="12522008119.518494"/>
    <n v="0"/>
    <n v="0"/>
    <n v="12522008119.518494"/>
    <x v="1"/>
  </r>
  <r>
    <x v="917"/>
    <x v="161"/>
    <s v="NO0010865355"/>
    <s v="No"/>
    <s v="Country"/>
    <m/>
    <s v="OSEBS"/>
    <s v="Oslo Børs"/>
    <s v="Non-significant benchmark"/>
    <n v="0"/>
    <n v="0"/>
    <n v="0"/>
    <n v="0"/>
    <n v="0"/>
    <n v="0"/>
    <n v="0"/>
    <x v="1"/>
  </r>
  <r>
    <x v="918"/>
    <x v="161"/>
    <s v="NO0010892227"/>
    <s v="No"/>
    <s v="Country"/>
    <m/>
    <s v="OSEPB"/>
    <s v="Oslo Børs"/>
    <s v="Non-significant benchmark"/>
    <n v="0"/>
    <n v="0"/>
    <n v="0"/>
    <n v="0"/>
    <n v="0"/>
    <n v="0"/>
    <n v="0"/>
    <x v="1"/>
  </r>
  <r>
    <x v="919"/>
    <x v="161"/>
    <s v="NO0010865363"/>
    <s v="No"/>
    <s v="Country"/>
    <m/>
    <s v="OSEBG"/>
    <s v="Oslo Børs"/>
    <s v="Non-significant benchmark"/>
    <n v="0"/>
    <n v="0"/>
    <n v="0"/>
    <n v="0"/>
    <n v="0"/>
    <n v="0"/>
    <n v="0"/>
    <x v="1"/>
  </r>
  <r>
    <x v="920"/>
    <x v="161"/>
    <s v="NO0010892193"/>
    <s v="No"/>
    <s v="Country"/>
    <m/>
    <s v="OSEPX"/>
    <s v="Oslo Børs"/>
    <s v="Non-significant benchmark"/>
    <n v="0"/>
    <n v="0"/>
    <n v="0"/>
    <n v="0"/>
    <n v="0"/>
    <n v="0"/>
    <n v="0"/>
    <x v="1"/>
  </r>
  <r>
    <x v="921"/>
    <x v="162"/>
    <s v="NO0010865371"/>
    <s v="No"/>
    <s v="Country"/>
    <m/>
    <s v="OSEER"/>
    <s v="Oslo Børs"/>
    <s v="Non-significant benchmark"/>
    <n v="0"/>
    <n v="0"/>
    <n v="0"/>
    <n v="0"/>
    <n v="0"/>
    <n v="0"/>
    <n v="0"/>
    <x v="1"/>
  </r>
  <r>
    <x v="922"/>
    <x v="162"/>
    <s v="NO0010892201"/>
    <s v="No"/>
    <s v="Country"/>
    <m/>
    <s v="OSEXP"/>
    <s v="Oslo Børs"/>
    <s v="Non-significant benchmark"/>
    <n v="0"/>
    <n v="0"/>
    <n v="0"/>
    <n v="0"/>
    <n v="0"/>
    <n v="0"/>
    <n v="0"/>
    <x v="1"/>
  </r>
  <r>
    <x v="923"/>
    <x v="162"/>
    <s v="NO0000000062"/>
    <s v="No"/>
    <s v="Country"/>
    <m/>
    <s v="OSEEX"/>
    <s v="Oslo Børs"/>
    <s v="Non-significant benchmark"/>
    <n v="0"/>
    <n v="0"/>
    <n v="0"/>
    <n v="617967374.32240248"/>
    <n v="0"/>
    <n v="0"/>
    <n v="617967374.32240248"/>
    <x v="1"/>
  </r>
  <r>
    <x v="924"/>
    <x v="162"/>
    <s v="NO0010890668"/>
    <s v="No"/>
    <s v="Country"/>
    <m/>
    <s v="OSEEP"/>
    <s v="Oslo Børs"/>
    <s v="Non-significant benchmark"/>
    <n v="0"/>
    <n v="0"/>
    <n v="0"/>
    <n v="0"/>
    <n v="0"/>
    <n v="0"/>
    <n v="0"/>
    <x v="1"/>
  </r>
  <r>
    <x v="925"/>
    <x v="163"/>
    <s v="NO0010890650"/>
    <s v="No"/>
    <s v="Industry"/>
    <m/>
    <s v="OBOSP"/>
    <s v="Oslo Børs"/>
    <s v="Non-significant benchmark"/>
    <n v="0"/>
    <n v="0"/>
    <n v="0"/>
    <n v="0"/>
    <n v="0"/>
    <n v="0"/>
    <n v="0"/>
    <x v="1"/>
  </r>
  <r>
    <x v="926"/>
    <x v="163"/>
    <s v="NO0010865181"/>
    <s v="No"/>
    <s v="Industry"/>
    <m/>
    <s v="OBSFN"/>
    <s v="Oslo Børs"/>
    <s v="Non-significant benchmark"/>
    <n v="0"/>
    <n v="0"/>
    <n v="0"/>
    <n v="0"/>
    <n v="0"/>
    <n v="0"/>
    <n v="0"/>
    <x v="1"/>
  </r>
  <r>
    <x v="927"/>
    <x v="163"/>
    <s v="NO0010865199"/>
    <s v="No"/>
    <s v="Industry"/>
    <m/>
    <s v="OBSFP"/>
    <s v="Oslo Børs"/>
    <s v="Non-significant benchmark"/>
    <n v="0"/>
    <n v="0"/>
    <n v="0"/>
    <n v="0"/>
    <n v="0"/>
    <n v="0"/>
    <n v="0"/>
    <x v="1"/>
  </r>
  <r>
    <x v="928"/>
    <x v="163"/>
    <s v="NO0010865207"/>
    <s v="No"/>
    <s v="Industry"/>
    <m/>
    <s v="OBSHN"/>
    <s v="Oslo Børs"/>
    <s v="Non-significant benchmark"/>
    <n v="0"/>
    <n v="0"/>
    <n v="0"/>
    <n v="0"/>
    <n v="0"/>
    <n v="0"/>
    <n v="0"/>
    <x v="1"/>
  </r>
  <r>
    <x v="929"/>
    <x v="163"/>
    <s v="NO0010865215"/>
    <s v="No"/>
    <s v="Industry"/>
    <m/>
    <s v="OBSHP"/>
    <s v="Oslo Børs"/>
    <s v="Non-significant benchmark"/>
    <n v="0"/>
    <n v="0"/>
    <n v="0"/>
    <n v="0"/>
    <n v="0"/>
    <n v="0"/>
    <n v="0"/>
    <x v="1"/>
  </r>
  <r>
    <x v="930"/>
    <x v="163"/>
    <s v="NO0010590086"/>
    <s v="No"/>
    <s v="Industry"/>
    <m/>
    <s v="OBOSX"/>
    <s v="Oslo Børs"/>
    <s v="Non-significant benchmark"/>
    <n v="0"/>
    <n v="0"/>
    <n v="0"/>
    <n v="0"/>
    <n v="0"/>
    <n v="0"/>
    <n v="0"/>
    <x v="1"/>
  </r>
  <r>
    <x v="931"/>
    <x v="163"/>
    <s v="NO0010760663"/>
    <s v="No"/>
    <s v="Industry"/>
    <m/>
    <s v="OBSFX"/>
    <s v="Oslo Børs"/>
    <s v="Non-significant benchmark"/>
    <n v="0"/>
    <n v="0"/>
    <n v="0"/>
    <n v="0"/>
    <n v="0"/>
    <n v="0"/>
    <n v="0"/>
    <x v="1"/>
  </r>
  <r>
    <x v="932"/>
    <x v="163"/>
    <s v="NO0010771934"/>
    <s v="No"/>
    <s v="Industry"/>
    <m/>
    <s v="OBSHX"/>
    <s v="Oslo Børs"/>
    <s v="Non-significant benchmark"/>
    <n v="0"/>
    <n v="0"/>
    <n v="0"/>
    <n v="0"/>
    <n v="0"/>
    <n v="0"/>
    <n v="0"/>
    <x v="1"/>
  </r>
  <r>
    <x v="933"/>
    <x v="164"/>
    <s v="NO0010890569"/>
    <s v="No"/>
    <s v="Industry"/>
    <m/>
    <s v="OBMG"/>
    <s v="Oslo Børs"/>
    <s v="Non-significant benchmark"/>
    <n v="0"/>
    <n v="0"/>
    <n v="0"/>
    <n v="0"/>
    <n v="0"/>
    <n v="0"/>
    <n v="0"/>
    <x v="1"/>
  </r>
  <r>
    <x v="934"/>
    <x v="164"/>
    <s v="NO0010890577"/>
    <s v="No"/>
    <s v="Industry"/>
    <m/>
    <s v="OBMN"/>
    <s v="Oslo Børs"/>
    <s v="Non-significant benchmark"/>
    <n v="0"/>
    <n v="0"/>
    <n v="0"/>
    <n v="0"/>
    <n v="0"/>
    <n v="0"/>
    <n v="0"/>
    <x v="1"/>
  </r>
  <r>
    <x v="935"/>
    <x v="164"/>
    <s v="NO0010890585"/>
    <s v="No"/>
    <s v="Industry"/>
    <m/>
    <s v="OBMP"/>
    <s v="Oslo Børs"/>
    <s v="Non-significant benchmark"/>
    <n v="0"/>
    <n v="0"/>
    <n v="0"/>
    <n v="0"/>
    <n v="0"/>
    <n v="0"/>
    <n v="0"/>
    <x v="1"/>
  </r>
  <r>
    <x v="936"/>
    <x v="164"/>
    <s v="NO0010890478"/>
    <s v="No"/>
    <s v="Industry"/>
    <m/>
    <s v="OCDG"/>
    <s v="Oslo Børs"/>
    <s v="Non-significant benchmark"/>
    <n v="0"/>
    <n v="0"/>
    <n v="0"/>
    <n v="0"/>
    <n v="0"/>
    <n v="0"/>
    <n v="0"/>
    <x v="1"/>
  </r>
  <r>
    <x v="937"/>
    <x v="164"/>
    <s v="NO0010890486"/>
    <s v="No"/>
    <s v="Industry"/>
    <m/>
    <s v="OCDN"/>
    <s v="Oslo Børs"/>
    <s v="Non-significant benchmark"/>
    <n v="0"/>
    <n v="0"/>
    <n v="0"/>
    <n v="0"/>
    <n v="0"/>
    <n v="0"/>
    <n v="0"/>
    <x v="1"/>
  </r>
  <r>
    <x v="938"/>
    <x v="164"/>
    <s v="NO0010890494"/>
    <s v="No"/>
    <s v="Industry"/>
    <m/>
    <s v="OCDP"/>
    <s v="Oslo Børs"/>
    <s v="Non-significant benchmark"/>
    <n v="0"/>
    <n v="0"/>
    <n v="0"/>
    <n v="0"/>
    <n v="0"/>
    <n v="0"/>
    <n v="0"/>
    <x v="1"/>
  </r>
  <r>
    <x v="939"/>
    <x v="164"/>
    <s v="NO0010890502"/>
    <s v="No"/>
    <s v="Industry"/>
    <m/>
    <s v="OCSG"/>
    <s v="Oslo Børs"/>
    <s v="Non-significant benchmark"/>
    <n v="0"/>
    <n v="0"/>
    <n v="0"/>
    <n v="0"/>
    <n v="0"/>
    <n v="0"/>
    <n v="0"/>
    <x v="1"/>
  </r>
  <r>
    <x v="940"/>
    <x v="164"/>
    <s v="NO0010890510"/>
    <s v="No"/>
    <s v="Industry"/>
    <m/>
    <s v="OCSN"/>
    <s v="Oslo Børs"/>
    <s v="Non-significant benchmark"/>
    <n v="0"/>
    <n v="0"/>
    <n v="0"/>
    <n v="0"/>
    <n v="0"/>
    <n v="0"/>
    <n v="0"/>
    <x v="1"/>
  </r>
  <r>
    <x v="941"/>
    <x v="164"/>
    <s v="NO0010890528"/>
    <s v="No"/>
    <s v="Industry"/>
    <m/>
    <s v="OCSP"/>
    <s v="Oslo Børs"/>
    <s v="Non-significant benchmark"/>
    <n v="0"/>
    <n v="0"/>
    <n v="0"/>
    <n v="0"/>
    <n v="0"/>
    <n v="0"/>
    <n v="0"/>
    <x v="1"/>
  </r>
  <r>
    <x v="942"/>
    <x v="164"/>
    <s v="NO0010890593"/>
    <s v="No"/>
    <s v="Industry"/>
    <m/>
    <s v="OENG"/>
    <s v="Oslo Børs"/>
    <s v="Non-significant benchmark"/>
    <n v="0"/>
    <n v="0"/>
    <n v="0"/>
    <n v="0"/>
    <n v="0"/>
    <n v="0"/>
    <n v="0"/>
    <x v="1"/>
  </r>
  <r>
    <x v="943"/>
    <x v="164"/>
    <s v="NO0010890601"/>
    <s v="No"/>
    <s v="Industry"/>
    <m/>
    <s v="OENN"/>
    <s v="Oslo Børs"/>
    <s v="Non-significant benchmark"/>
    <n v="0"/>
    <n v="0"/>
    <n v="0"/>
    <n v="0"/>
    <n v="0"/>
    <n v="0"/>
    <n v="0"/>
    <x v="1"/>
  </r>
  <r>
    <x v="944"/>
    <x v="164"/>
    <s v="NO0010890619"/>
    <s v="No"/>
    <s v="Industry"/>
    <m/>
    <s v="OENP"/>
    <s v="Oslo Børs"/>
    <s v="Non-significant benchmark"/>
    <n v="0"/>
    <n v="0"/>
    <n v="0"/>
    <n v="0"/>
    <n v="0"/>
    <n v="0"/>
    <n v="0"/>
    <x v="1"/>
  </r>
  <r>
    <x v="945"/>
    <x v="164"/>
    <s v="NO0010890411"/>
    <s v="No"/>
    <s v="Industry"/>
    <m/>
    <s v="OFING"/>
    <s v="Oslo Børs"/>
    <s v="Non-significant benchmark"/>
    <n v="0"/>
    <n v="0"/>
    <n v="0"/>
    <n v="0"/>
    <n v="0"/>
    <n v="0"/>
    <n v="0"/>
    <x v="1"/>
  </r>
  <r>
    <x v="946"/>
    <x v="164"/>
    <s v="NO0010890429"/>
    <s v="No"/>
    <s v="Industry"/>
    <m/>
    <s v="OFINN"/>
    <s v="Oslo Børs"/>
    <s v="Non-significant benchmark"/>
    <n v="0"/>
    <n v="0"/>
    <n v="0"/>
    <n v="0"/>
    <n v="0"/>
    <n v="0"/>
    <n v="0"/>
    <x v="1"/>
  </r>
  <r>
    <x v="947"/>
    <x v="164"/>
    <s v="NO0010890437"/>
    <s v="No"/>
    <s v="Industry"/>
    <m/>
    <s v="OFINP"/>
    <s v="Oslo Børs"/>
    <s v="Non-significant benchmark"/>
    <n v="0"/>
    <n v="0"/>
    <n v="0"/>
    <n v="0"/>
    <n v="0"/>
    <n v="0"/>
    <n v="0"/>
    <x v="1"/>
  </r>
  <r>
    <x v="948"/>
    <x v="164"/>
    <s v="NO0010890387"/>
    <s v="No"/>
    <s v="Industry"/>
    <m/>
    <s v="OHCG"/>
    <s v="Oslo Børs"/>
    <s v="Non-significant benchmark"/>
    <n v="0"/>
    <n v="0"/>
    <n v="0"/>
    <n v="0"/>
    <n v="0"/>
    <n v="0"/>
    <n v="0"/>
    <x v="1"/>
  </r>
  <r>
    <x v="949"/>
    <x v="164"/>
    <s v="NO0010890395"/>
    <s v="No"/>
    <s v="Industry"/>
    <m/>
    <s v="OHCN"/>
    <s v="Oslo Børs"/>
    <s v="Non-significant benchmark"/>
    <n v="0"/>
    <n v="0"/>
    <n v="0"/>
    <n v="0"/>
    <n v="0"/>
    <n v="0"/>
    <n v="0"/>
    <x v="1"/>
  </r>
  <r>
    <x v="950"/>
    <x v="164"/>
    <s v="NO0010890403"/>
    <s v="No"/>
    <s v="Industry"/>
    <m/>
    <s v="OHCP"/>
    <s v="Oslo Børs"/>
    <s v="Non-significant benchmark"/>
    <n v="0"/>
    <n v="0"/>
    <n v="0"/>
    <n v="0"/>
    <n v="0"/>
    <n v="0"/>
    <n v="0"/>
    <x v="1"/>
  </r>
  <r>
    <x v="951"/>
    <x v="164"/>
    <s v="NO0010890536"/>
    <s v="No"/>
    <s v="Industry"/>
    <m/>
    <s v="OING"/>
    <s v="Oslo Børs"/>
    <s v="Non-significant benchmark"/>
    <n v="0"/>
    <n v="0"/>
    <n v="0"/>
    <n v="0"/>
    <n v="0"/>
    <n v="0"/>
    <n v="0"/>
    <x v="1"/>
  </r>
  <r>
    <x v="952"/>
    <x v="164"/>
    <s v="NO0010890544"/>
    <s v="No"/>
    <s v="Industry"/>
    <m/>
    <s v="OINN"/>
    <s v="Oslo Børs"/>
    <s v="Non-significant benchmark"/>
    <n v="0"/>
    <n v="0"/>
    <n v="0"/>
    <n v="0"/>
    <n v="0"/>
    <n v="0"/>
    <n v="0"/>
    <x v="1"/>
  </r>
  <r>
    <x v="953"/>
    <x v="164"/>
    <s v="NO0010890551"/>
    <s v="No"/>
    <s v="Industry"/>
    <m/>
    <s v="OINP"/>
    <s v="Oslo Børs"/>
    <s v="Non-significant benchmark"/>
    <n v="0"/>
    <n v="0"/>
    <n v="0"/>
    <n v="0"/>
    <n v="0"/>
    <n v="0"/>
    <n v="0"/>
    <x v="1"/>
  </r>
  <r>
    <x v="954"/>
    <x v="164"/>
    <s v="NO0010890445"/>
    <s v="No"/>
    <s v="Industry"/>
    <m/>
    <s v="OREG"/>
    <s v="Oslo Børs"/>
    <s v="Non-significant benchmark"/>
    <n v="0"/>
    <n v="0"/>
    <n v="0"/>
    <n v="0"/>
    <n v="0"/>
    <n v="0"/>
    <n v="0"/>
    <x v="1"/>
  </r>
  <r>
    <x v="955"/>
    <x v="164"/>
    <s v="NO0010890452"/>
    <s v="No"/>
    <s v="Industry"/>
    <m/>
    <s v="OREN"/>
    <s v="Oslo Børs"/>
    <s v="Non-significant benchmark"/>
    <n v="0"/>
    <n v="0"/>
    <n v="0"/>
    <n v="0"/>
    <n v="0"/>
    <n v="0"/>
    <n v="0"/>
    <x v="1"/>
  </r>
  <r>
    <x v="956"/>
    <x v="164"/>
    <s v="NO0010890460"/>
    <s v="No"/>
    <s v="Industry"/>
    <m/>
    <s v="OREP"/>
    <s v="Oslo Børs"/>
    <s v="Non-significant benchmark"/>
    <n v="0"/>
    <n v="0"/>
    <n v="0"/>
    <n v="0"/>
    <n v="0"/>
    <n v="0"/>
    <n v="0"/>
    <x v="1"/>
  </r>
  <r>
    <x v="957"/>
    <x v="164"/>
    <s v="NO0010890320"/>
    <s v="No"/>
    <s v="Industry"/>
    <m/>
    <s v="OTECG"/>
    <s v="Oslo Børs"/>
    <s v="Non-significant benchmark"/>
    <n v="0"/>
    <n v="0"/>
    <n v="0"/>
    <n v="0"/>
    <n v="0"/>
    <n v="0"/>
    <n v="0"/>
    <x v="1"/>
  </r>
  <r>
    <x v="958"/>
    <x v="164"/>
    <s v="NO0010890338"/>
    <s v="No"/>
    <s v="Industry"/>
    <m/>
    <s v="OTECN"/>
    <s v="Oslo Børs"/>
    <s v="Non-significant benchmark"/>
    <n v="0"/>
    <n v="0"/>
    <n v="0"/>
    <n v="0"/>
    <n v="0"/>
    <n v="0"/>
    <n v="0"/>
    <x v="1"/>
  </r>
  <r>
    <x v="959"/>
    <x v="164"/>
    <s v="NO0010890346"/>
    <s v="No"/>
    <s v="Industry"/>
    <m/>
    <s v="OTECP"/>
    <s v="Oslo Børs"/>
    <s v="Non-significant benchmark"/>
    <n v="0"/>
    <n v="0"/>
    <n v="0"/>
    <n v="0"/>
    <n v="0"/>
    <n v="0"/>
    <n v="0"/>
    <x v="1"/>
  </r>
  <r>
    <x v="960"/>
    <x v="164"/>
    <s v="NO0010890353"/>
    <s v="No"/>
    <s v="Industry"/>
    <m/>
    <s v="OTELG"/>
    <s v="Oslo Børs"/>
    <s v="Non-significant benchmark"/>
    <n v="0"/>
    <n v="0"/>
    <n v="0"/>
    <n v="0"/>
    <n v="0"/>
    <n v="0"/>
    <n v="0"/>
    <x v="1"/>
  </r>
  <r>
    <x v="961"/>
    <x v="164"/>
    <s v="NO0010890361"/>
    <s v="No"/>
    <s v="Industry"/>
    <m/>
    <s v="OTELN"/>
    <s v="Oslo Børs"/>
    <s v="Non-significant benchmark"/>
    <n v="0"/>
    <n v="0"/>
    <n v="0"/>
    <n v="0"/>
    <n v="0"/>
    <n v="0"/>
    <n v="0"/>
    <x v="1"/>
  </r>
  <r>
    <x v="962"/>
    <x v="164"/>
    <s v="NO0010890379"/>
    <s v="No"/>
    <s v="Industry"/>
    <m/>
    <s v="OTELP"/>
    <s v="Oslo Børs"/>
    <s v="Non-significant benchmark"/>
    <n v="0"/>
    <n v="0"/>
    <n v="0"/>
    <n v="0"/>
    <n v="0"/>
    <n v="0"/>
    <n v="0"/>
    <x v="1"/>
  </r>
  <r>
    <x v="963"/>
    <x v="164"/>
    <s v="NO0010890627"/>
    <s v="No"/>
    <s v="Industry"/>
    <m/>
    <s v="OUTG"/>
    <s v="Oslo Børs"/>
    <s v="Non-significant benchmark"/>
    <n v="0"/>
    <n v="0"/>
    <n v="0"/>
    <n v="0"/>
    <n v="0"/>
    <n v="0"/>
    <n v="0"/>
    <x v="1"/>
  </r>
  <r>
    <x v="964"/>
    <x v="164"/>
    <s v="NO0010890635"/>
    <s v="No"/>
    <s v="Industry"/>
    <m/>
    <s v="OUTN"/>
    <s v="Oslo Børs"/>
    <s v="Non-significant benchmark"/>
    <n v="0"/>
    <n v="0"/>
    <n v="0"/>
    <n v="0"/>
    <n v="0"/>
    <n v="0"/>
    <n v="0"/>
    <x v="1"/>
  </r>
  <r>
    <x v="965"/>
    <x v="164"/>
    <s v="NO0010890643"/>
    <s v="No"/>
    <s v="Industry"/>
    <m/>
    <s v="OUTP"/>
    <s v="Oslo Børs"/>
    <s v="Non-significant benchmark"/>
    <n v="0"/>
    <n v="0"/>
    <n v="0"/>
    <n v="0"/>
    <n v="0"/>
    <n v="0"/>
    <n v="0"/>
    <x v="1"/>
  </r>
  <r>
    <x v="966"/>
    <x v="164"/>
    <s v="NO0010865223"/>
    <s v="No"/>
    <s v="Country"/>
    <m/>
    <s v="OSEAN"/>
    <s v="Oslo Børs"/>
    <s v="Non-significant benchmark"/>
    <n v="0"/>
    <n v="0"/>
    <n v="0"/>
    <n v="0"/>
    <n v="0"/>
    <n v="0"/>
    <n v="0"/>
    <x v="1"/>
  </r>
  <r>
    <x v="967"/>
    <x v="164"/>
    <s v="NO0010865231"/>
    <s v="No"/>
    <s v="Country"/>
    <m/>
    <s v="OSEAP"/>
    <s v="Oslo Børs"/>
    <s v="Non-significant benchmark"/>
    <n v="0"/>
    <n v="0"/>
    <n v="0"/>
    <n v="0"/>
    <n v="0"/>
    <n v="0"/>
    <n v="0"/>
    <x v="1"/>
  </r>
  <r>
    <x v="968"/>
    <x v="164"/>
    <s v="NO0007033900"/>
    <s v="No"/>
    <s v="Country"/>
    <m/>
    <s v="OSEAX"/>
    <s v="Oslo Børs"/>
    <s v="Non-significant benchmark"/>
    <n v="0"/>
    <n v="0"/>
    <n v="0"/>
    <n v="0"/>
    <n v="0"/>
    <n v="0"/>
    <n v="0"/>
    <x v="1"/>
  </r>
  <r>
    <x v="969"/>
    <x v="165"/>
    <s v="NO0010580590"/>
    <s v="No"/>
    <s v="Industry"/>
    <m/>
    <s v="SSENX"/>
    <s v="Oslo Børs"/>
    <s v="Non-significant benchmark"/>
    <n v="0"/>
    <n v="0"/>
    <n v="0"/>
    <n v="0"/>
    <n v="0"/>
    <n v="0"/>
    <n v="0"/>
    <x v="1"/>
  </r>
  <r>
    <x v="970"/>
    <x v="165"/>
    <s v="NO0010892169"/>
    <s v="No"/>
    <s v="Industry"/>
    <m/>
    <s v="SSENP"/>
    <s v="Oslo Børs"/>
    <s v="Non-significant benchmark"/>
    <n v="0"/>
    <n v="0"/>
    <n v="0"/>
    <n v="0"/>
    <n v="0"/>
    <n v="0"/>
    <n v="0"/>
    <x v="1"/>
  </r>
  <r>
    <x v="971"/>
    <x v="165"/>
    <s v="NO0010580624"/>
    <s v="No"/>
    <s v="Industry"/>
    <m/>
    <s v="SSSFX"/>
    <s v="Oslo Børs"/>
    <s v="Non-significant benchmark"/>
    <n v="0"/>
    <n v="0"/>
    <n v="0"/>
    <n v="0"/>
    <n v="0"/>
    <n v="0"/>
    <n v="0"/>
    <x v="1"/>
  </r>
  <r>
    <x v="972"/>
    <x v="165"/>
    <s v="NO0010892177"/>
    <s v="No"/>
    <s v="Industry"/>
    <m/>
    <s v="SSSFP"/>
    <s v="Oslo Børs"/>
    <s v="Non-significant benchmark"/>
    <n v="0"/>
    <n v="0"/>
    <n v="0"/>
    <n v="0"/>
    <n v="0"/>
    <n v="0"/>
    <n v="0"/>
    <x v="1"/>
  </r>
  <r>
    <x v="973"/>
    <x v="165"/>
    <s v="NO0010580640"/>
    <s v="No"/>
    <s v="Industry"/>
    <m/>
    <s v="SSSHX"/>
    <s v="Oslo Børs"/>
    <s v="Non-significant benchmark"/>
    <n v="0"/>
    <n v="0"/>
    <n v="0"/>
    <n v="0"/>
    <n v="0"/>
    <n v="0"/>
    <n v="0"/>
    <x v="1"/>
  </r>
  <r>
    <x v="974"/>
    <x v="165"/>
    <s v="NO0010892185"/>
    <s v="No"/>
    <s v="Industry"/>
    <m/>
    <s v="SSSHP"/>
    <s v="Oslo Børs"/>
    <s v="Non-significant benchmark"/>
    <n v="0"/>
    <n v="0"/>
    <n v="0"/>
    <n v="0"/>
    <n v="0"/>
    <n v="0"/>
    <n v="0"/>
    <x v="1"/>
  </r>
  <r>
    <x v="975"/>
    <x v="4"/>
    <s v="PTINO0390005"/>
    <s v="No"/>
    <s v="Country"/>
    <m/>
    <s v="PTEB"/>
    <s v="Euronext Lisbon"/>
    <s v="Non-significant benchmark"/>
    <n v="0"/>
    <n v="0"/>
    <n v="0"/>
    <n v="0"/>
    <n v="0"/>
    <n v="0"/>
    <n v="0"/>
    <x v="1"/>
  </r>
  <r>
    <x v="976"/>
    <x v="4"/>
    <s v="PTINO0410001"/>
    <s v="No"/>
    <s v="Country"/>
    <m/>
    <s v="PTEBG"/>
    <s v="Euronext Lisbon"/>
    <s v="Non-significant benchmark"/>
    <n v="0"/>
    <n v="0"/>
    <n v="0"/>
    <n v="0"/>
    <n v="0"/>
    <n v="0"/>
    <n v="0"/>
    <x v="1"/>
  </r>
  <r>
    <x v="977"/>
    <x v="4"/>
    <s v="PTINO0400002"/>
    <s v="No"/>
    <s v="Country"/>
    <m/>
    <s v="PTEBN"/>
    <s v="Euronext Lisbon"/>
    <s v="Non-significant benchmark"/>
    <n v="0"/>
    <n v="0"/>
    <n v="0"/>
    <n v="0"/>
    <n v="0"/>
    <n v="0"/>
    <n v="0"/>
    <x v="1"/>
  </r>
  <r>
    <x v="978"/>
    <x v="166"/>
    <s v="QS0011224308"/>
    <s v="No"/>
    <s v="Country"/>
    <m/>
    <s v="BVL"/>
    <s v="Euronext Lisbon"/>
    <s v="Non-significant benchmark"/>
    <n v="0"/>
    <n v="0"/>
    <n v="0"/>
    <n v="0"/>
    <n v="0"/>
    <n v="0"/>
    <n v="0"/>
    <x v="1"/>
  </r>
  <r>
    <x v="979"/>
    <x v="166"/>
    <s v="PTING1000005"/>
    <s v="No"/>
    <s v="Country"/>
    <m/>
    <s v="BVLGR"/>
    <s v="Euronext Lisbon"/>
    <s v="Non-significant benchmark"/>
    <n v="0"/>
    <n v="0"/>
    <n v="0"/>
    <n v="0"/>
    <n v="0"/>
    <n v="0"/>
    <n v="0"/>
    <x v="1"/>
  </r>
  <r>
    <x v="980"/>
    <x v="166"/>
    <s v="QS0011224993"/>
    <s v="No"/>
    <s v="Industry"/>
    <m/>
    <s v="PTBMP"/>
    <s v="Euronext Lisbon"/>
    <s v="Non-significant benchmark"/>
    <n v="0"/>
    <n v="0"/>
    <n v="0"/>
    <n v="0"/>
    <n v="0"/>
    <n v="0"/>
    <n v="0"/>
    <x v="1"/>
  </r>
  <r>
    <x v="981"/>
    <x v="166"/>
    <s v="QS0011016514"/>
    <s v="No"/>
    <s v="Industry"/>
    <m/>
    <s v="PTBM"/>
    <s v="Euronext Lisbon"/>
    <s v="Non-significant benchmark"/>
    <n v="0"/>
    <n v="0"/>
    <n v="0"/>
    <n v="0"/>
    <n v="0"/>
    <n v="0"/>
    <n v="0"/>
    <x v="1"/>
  </r>
  <r>
    <x v="982"/>
    <x v="166"/>
    <s v="QS0011225016"/>
    <s v="No"/>
    <s v="Industry"/>
    <m/>
    <s v="PTCGP"/>
    <s v="Euronext Lisbon"/>
    <s v="Non-significant benchmark"/>
    <n v="0"/>
    <n v="0"/>
    <n v="0"/>
    <n v="0"/>
    <n v="0"/>
    <n v="0"/>
    <n v="0"/>
    <x v="1"/>
  </r>
  <r>
    <x v="983"/>
    <x v="166"/>
    <s v="QS0011016571"/>
    <s v="No"/>
    <s v="Industry"/>
    <m/>
    <s v="PTCG"/>
    <s v="Euronext Lisbon"/>
    <s v="Non-significant benchmark"/>
    <n v="0"/>
    <n v="0"/>
    <n v="0"/>
    <n v="0"/>
    <n v="0"/>
    <n v="0"/>
    <n v="0"/>
    <x v="1"/>
  </r>
  <r>
    <x v="984"/>
    <x v="166"/>
    <s v="QS0011225024"/>
    <s v="No"/>
    <s v="Industry"/>
    <m/>
    <s v="PTCSP"/>
    <s v="Euronext Lisbon"/>
    <s v="Non-significant benchmark"/>
    <n v="0"/>
    <n v="0"/>
    <n v="0"/>
    <n v="0"/>
    <n v="0"/>
    <n v="0"/>
    <n v="0"/>
    <x v="1"/>
  </r>
  <r>
    <x v="985"/>
    <x v="166"/>
    <s v="QS0011016597"/>
    <s v="No"/>
    <s v="Industry"/>
    <m/>
    <s v="PTCS"/>
    <s v="Euronext Lisbon"/>
    <s v="Non-significant benchmark"/>
    <n v="0"/>
    <n v="0"/>
    <n v="0"/>
    <n v="0"/>
    <n v="0"/>
    <n v="0"/>
    <n v="0"/>
    <x v="1"/>
  </r>
  <r>
    <x v="986"/>
    <x v="166"/>
    <s v="QS0011249503"/>
    <s v="No"/>
    <s v="Industry"/>
    <m/>
    <s v="PTOGP"/>
    <s v="Euronext Lisbon"/>
    <s v="Non-significant benchmark"/>
    <n v="0"/>
    <n v="0"/>
    <n v="0"/>
    <n v="0"/>
    <n v="0"/>
    <n v="0"/>
    <n v="0"/>
    <x v="1"/>
  </r>
  <r>
    <x v="987"/>
    <x v="166"/>
    <s v="QS0011249495"/>
    <s v="No"/>
    <s v="Industry"/>
    <m/>
    <s v="PTOG"/>
    <s v="Euronext Lisbon"/>
    <s v="Non-significant benchmark"/>
    <n v="0"/>
    <n v="0"/>
    <n v="0"/>
    <n v="0"/>
    <n v="0"/>
    <n v="0"/>
    <n v="0"/>
    <x v="1"/>
  </r>
  <r>
    <x v="988"/>
    <x v="166"/>
    <s v="QS0011225057"/>
    <s v="No"/>
    <s v="Industry"/>
    <m/>
    <s v="PTFIP"/>
    <s v="Euronext Lisbon"/>
    <s v="Non-significant benchmark"/>
    <n v="0"/>
    <n v="0"/>
    <n v="0"/>
    <n v="0"/>
    <n v="0"/>
    <n v="0"/>
    <n v="0"/>
    <x v="1"/>
  </r>
  <r>
    <x v="989"/>
    <x v="166"/>
    <s v="QS0011016662"/>
    <s v="No"/>
    <s v="Industry"/>
    <m/>
    <s v="PTFIN"/>
    <s v="Euronext Lisbon"/>
    <s v="Non-significant benchmark"/>
    <n v="0"/>
    <n v="0"/>
    <n v="0"/>
    <n v="0"/>
    <n v="0"/>
    <n v="0"/>
    <n v="0"/>
    <x v="1"/>
  </r>
  <r>
    <x v="990"/>
    <x v="166"/>
    <s v="QS0011225008"/>
    <s v="No"/>
    <s v="Industry"/>
    <m/>
    <s v="PTINP"/>
    <s v="Euronext Lisbon"/>
    <s v="Non-significant benchmark"/>
    <n v="0"/>
    <n v="0"/>
    <n v="0"/>
    <n v="0"/>
    <n v="0"/>
    <n v="0"/>
    <n v="0"/>
    <x v="1"/>
  </r>
  <r>
    <x v="991"/>
    <x v="166"/>
    <s v="QS0011016522"/>
    <s v="No"/>
    <s v="Industry"/>
    <m/>
    <s v="PTIN"/>
    <s v="Euronext Lisbon"/>
    <s v="Non-significant benchmark"/>
    <n v="0"/>
    <n v="0"/>
    <n v="0"/>
    <n v="0"/>
    <n v="0"/>
    <n v="0"/>
    <n v="0"/>
    <x v="1"/>
  </r>
  <r>
    <x v="992"/>
    <x v="166"/>
    <s v="QS0011225065"/>
    <s v="No"/>
    <s v="Industry"/>
    <m/>
    <s v="PTTEP"/>
    <s v="Euronext Lisbon"/>
    <s v="Non-significant benchmark"/>
    <n v="0"/>
    <n v="0"/>
    <n v="0"/>
    <n v="0"/>
    <n v="0"/>
    <n v="0"/>
    <n v="0"/>
    <x v="1"/>
  </r>
  <r>
    <x v="993"/>
    <x v="166"/>
    <s v="QS0011016688"/>
    <s v="No"/>
    <s v="Industry"/>
    <m/>
    <s v="PTTEC"/>
    <s v="Euronext Lisbon"/>
    <s v="Non-significant benchmark"/>
    <n v="0"/>
    <n v="0"/>
    <n v="0"/>
    <n v="0"/>
    <n v="0"/>
    <n v="0"/>
    <n v="0"/>
    <x v="1"/>
  </r>
  <r>
    <x v="994"/>
    <x v="166"/>
    <s v="QS0011225032"/>
    <s v="No"/>
    <s v="Industry"/>
    <m/>
    <s v="PTTLP"/>
    <s v="Euronext Lisbon"/>
    <s v="Non-significant benchmark"/>
    <n v="0"/>
    <n v="0"/>
    <n v="0"/>
    <n v="0"/>
    <n v="0"/>
    <n v="0"/>
    <n v="0"/>
    <x v="1"/>
  </r>
  <r>
    <x v="995"/>
    <x v="166"/>
    <s v="QS0011016621"/>
    <s v="No"/>
    <s v="Industry"/>
    <m/>
    <s v="PTTEL"/>
    <s v="Euronext Lisbon"/>
    <s v="Non-significant benchmark"/>
    <n v="0"/>
    <n v="0"/>
    <n v="0"/>
    <n v="0"/>
    <n v="0"/>
    <n v="0"/>
    <n v="0"/>
    <x v="1"/>
  </r>
  <r>
    <x v="996"/>
    <x v="166"/>
    <s v="QS0011225040"/>
    <s v="No"/>
    <s v="Industry"/>
    <m/>
    <s v="PTUTP"/>
    <s v="Euronext Lisbon"/>
    <s v="Non-significant benchmark"/>
    <n v="0"/>
    <n v="0"/>
    <n v="0"/>
    <n v="0"/>
    <n v="0"/>
    <n v="0"/>
    <n v="0"/>
    <x v="1"/>
  </r>
  <r>
    <x v="997"/>
    <x v="166"/>
    <s v="QS0011016647"/>
    <s v="No"/>
    <s v="Industry"/>
    <m/>
    <s v="PTUT"/>
    <s v="Euronext Lisbon"/>
    <s v="Non-significant benchmark"/>
    <n v="0"/>
    <n v="0"/>
    <n v="0"/>
    <n v="0"/>
    <n v="0"/>
    <n v="0"/>
    <n v="0"/>
    <x v="1"/>
  </r>
  <r>
    <x v="998"/>
    <x v="167"/>
    <s v="QS0011070230"/>
    <s v="No"/>
    <s v="International"/>
    <m/>
    <s v="REITE"/>
    <s v="Euronext Paris"/>
    <s v="Non-significant benchmark"/>
    <n v="0"/>
    <n v="0"/>
    <n v="0"/>
    <n v="2146044.5"/>
    <n v="0"/>
    <n v="0"/>
    <n v="2146044.5"/>
    <x v="1"/>
  </r>
  <r>
    <x v="999"/>
    <x v="167"/>
    <s v="QS0011176854"/>
    <s v="No"/>
    <s v="International"/>
    <m/>
    <s v="REITG"/>
    <s v="Euronext Paris"/>
    <s v="Non-significant benchmark"/>
    <n v="0"/>
    <n v="0"/>
    <n v="0"/>
    <n v="0"/>
    <n v="0"/>
    <n v="0"/>
    <n v="0"/>
    <x v="1"/>
  </r>
  <r>
    <x v="1000"/>
    <x v="167"/>
    <s v="QS0011176847"/>
    <s v="No"/>
    <s v="International"/>
    <m/>
    <s v="REITN"/>
    <s v="Euronext Paris"/>
    <s v="Non-significant benchmark"/>
    <n v="0"/>
    <n v="0"/>
    <n v="0"/>
    <n v="0"/>
    <n v="0"/>
    <n v="0"/>
    <n v="0"/>
    <x v="1"/>
  </r>
  <r>
    <x v="1001"/>
    <x v="168"/>
    <s v="FR0013371416"/>
    <s v="Yes"/>
    <s v="Broad ESG"/>
    <s v="ESG Other"/>
    <s v="ESF5P"/>
    <s v="Euronext Paris"/>
    <s v="Non-significant benchmark"/>
    <n v="0"/>
    <n v="516600000"/>
    <n v="0"/>
    <n v="0"/>
    <n v="0"/>
    <n v="0"/>
    <n v="516600000"/>
    <x v="1"/>
  </r>
  <r>
    <x v="1002"/>
    <x v="168"/>
    <s v="FR0013371440"/>
    <s v="Yes"/>
    <s v="Broad ESG"/>
    <s v="ESG Other"/>
    <s v="ESF5D"/>
    <s v="Euronext Paris"/>
    <s v="Non-significant benchmark"/>
    <n v="609502131.51199996"/>
    <n v="2877023933.1199999"/>
    <n v="915072555.55440009"/>
    <n v="0"/>
    <n v="0"/>
    <n v="0"/>
    <n v="915072555.55440009"/>
    <x v="1"/>
  </r>
  <r>
    <x v="1003"/>
    <x v="168"/>
    <s v="FR0013371432"/>
    <s v="Yes"/>
    <s v="Broad ESG"/>
    <s v="ESG Other"/>
    <s v="ESF5G"/>
    <s v="Euronext Paris"/>
    <s v="Non-significant benchmark"/>
    <n v="0"/>
    <n v="0"/>
    <n v="0"/>
    <n v="0"/>
    <n v="0"/>
    <n v="0"/>
    <n v="0"/>
    <x v="1"/>
  </r>
  <r>
    <x v="1004"/>
    <x v="168"/>
    <s v="FR0013371424"/>
    <s v="Yes"/>
    <s v="Broad ESG"/>
    <s v="ESG Other"/>
    <s v="ESF5N"/>
    <s v="Euronext Paris"/>
    <s v="Non-significant benchmark"/>
    <n v="0"/>
    <n v="0"/>
    <n v="0"/>
    <n v="0"/>
    <n v="0"/>
    <n v="0"/>
    <n v="0"/>
    <x v="1"/>
  </r>
  <r>
    <x v="1005"/>
    <x v="169"/>
    <s v="FR0013017936"/>
    <s v="No"/>
    <s v="Country"/>
    <m/>
    <s v="SBF80"/>
    <s v="Euronext Paris"/>
    <s v="Non-significant benchmark"/>
    <n v="0"/>
    <n v="0"/>
    <n v="0"/>
    <n v="0"/>
    <n v="0"/>
    <n v="0"/>
    <n v="0"/>
    <x v="1"/>
  </r>
  <r>
    <x v="1006"/>
    <x v="169"/>
    <s v="FR0013017969"/>
    <s v="No"/>
    <s v="Country"/>
    <m/>
    <s v="SBF8D"/>
    <s v="Euronext Paris"/>
    <s v="Non-significant benchmark"/>
    <n v="0"/>
    <n v="2738000000"/>
    <n v="440018432.49000001"/>
    <n v="0"/>
    <n v="0"/>
    <n v="0"/>
    <n v="2738000000"/>
    <x v="1"/>
  </r>
  <r>
    <x v="1007"/>
    <x v="169"/>
    <s v="FR0013017951"/>
    <s v="No"/>
    <s v="Country"/>
    <m/>
    <s v="SBF8G"/>
    <s v="Euronext Paris"/>
    <s v="Non-significant benchmark"/>
    <n v="0"/>
    <n v="0"/>
    <n v="0"/>
    <n v="0"/>
    <n v="0"/>
    <n v="0"/>
    <n v="0"/>
    <x v="1"/>
  </r>
  <r>
    <x v="1008"/>
    <x v="169"/>
    <s v="FR0013017944"/>
    <s v="No"/>
    <s v="Country"/>
    <m/>
    <s v="SBF8N"/>
    <s v="Euronext Paris"/>
    <s v="Non-significant benchmark"/>
    <n v="0"/>
    <n v="0"/>
    <n v="0"/>
    <n v="0"/>
    <n v="0"/>
    <n v="0"/>
    <n v="0"/>
    <x v="1"/>
  </r>
  <r>
    <x v="1009"/>
    <x v="170"/>
    <s v="BE0004645868"/>
    <s v="Yes"/>
    <s v="Broad ESG"/>
    <s v="ESG Other"/>
    <s v="ESGBP"/>
    <s v="Euronext Brussels"/>
    <s v="Non-significant benchmark"/>
    <n v="0"/>
    <n v="0"/>
    <n v="0"/>
    <n v="0"/>
    <n v="0"/>
    <n v="0"/>
    <n v="0"/>
    <x v="0"/>
  </r>
  <r>
    <x v="1010"/>
    <x v="170"/>
    <s v="BE0004647880"/>
    <s v="Yes"/>
    <s v="Broad ESG"/>
    <s v="ESG Other"/>
    <s v="ESGBG"/>
    <s v="Euronext Brussels"/>
    <s v="Non-significant benchmark"/>
    <n v="0"/>
    <n v="0"/>
    <n v="0"/>
    <n v="0"/>
    <n v="0"/>
    <n v="0"/>
    <n v="0"/>
    <x v="0"/>
  </r>
  <r>
    <x v="1011"/>
    <x v="170"/>
    <s v="BE0004646874"/>
    <s v="Yes"/>
    <s v="Broad ESG"/>
    <s v="ESG Other"/>
    <s v="ESGBN"/>
    <s v="Euronext Brussels"/>
    <s v="Non-significant benchmark"/>
    <n v="0"/>
    <n v="0"/>
    <n v="0"/>
    <n v="0"/>
    <n v="0"/>
    <n v="0"/>
    <n v="0"/>
    <x v="0"/>
  </r>
  <r>
    <x v="1012"/>
    <x v="171"/>
    <s v="FRESG0001163"/>
    <s v="Yes"/>
    <s v="International"/>
    <s v="ESG Other"/>
    <s v="EETPR"/>
    <s v="Euronext Paris"/>
    <s v="Non-significant benchmark"/>
    <n v="0"/>
    <n v="0"/>
    <n v="0"/>
    <n v="0"/>
    <n v="0"/>
    <n v="0"/>
    <n v="0"/>
    <x v="1"/>
  </r>
  <r>
    <x v="1013"/>
    <x v="171"/>
    <s v="FRESG0001197"/>
    <s v="Yes"/>
    <s v="International"/>
    <s v="ESG Other"/>
    <s v="EET4D"/>
    <s v="Euronext Paris"/>
    <s v="Non-significant benchmark"/>
    <n v="0"/>
    <n v="0"/>
    <n v="0"/>
    <n v="0"/>
    <n v="0"/>
    <n v="0"/>
    <n v="0"/>
    <x v="1"/>
  </r>
  <r>
    <x v="1014"/>
    <x v="171"/>
    <s v="FRESG0001205"/>
    <s v="Yes"/>
    <s v="International"/>
    <s v="ESG Other"/>
    <s v="EET5D"/>
    <s v="Euronext Paris"/>
    <s v="Non-significant benchmark"/>
    <n v="0"/>
    <n v="0"/>
    <n v="0"/>
    <n v="0"/>
    <n v="0"/>
    <n v="0"/>
    <n v="0"/>
    <x v="1"/>
  </r>
  <r>
    <x v="1015"/>
    <x v="171"/>
    <s v="FRESG0001189"/>
    <s v="Yes"/>
    <s v="International"/>
    <s v="ESG Other"/>
    <s v="EETGR"/>
    <s v="Euronext Paris"/>
    <s v="Non-significant benchmark"/>
    <n v="0"/>
    <n v="0"/>
    <n v="0"/>
    <n v="0"/>
    <n v="0"/>
    <n v="0"/>
    <n v="0"/>
    <x v="1"/>
  </r>
  <r>
    <x v="1016"/>
    <x v="171"/>
    <s v="FRESG0001171"/>
    <s v="Yes"/>
    <s v="International"/>
    <s v="ESG Other"/>
    <s v="EETNR"/>
    <s v="Euronext Paris"/>
    <s v="Non-significant benchmark"/>
    <n v="0"/>
    <n v="0"/>
    <n v="0"/>
    <n v="0"/>
    <n v="0"/>
    <n v="0"/>
    <n v="0"/>
    <x v="1"/>
  </r>
  <r>
    <x v="1017"/>
    <x v="172"/>
    <s v="NLIX00001015"/>
    <s v="No"/>
    <s v="International"/>
    <m/>
    <s v="ENZTP"/>
    <s v="Euronext Amsterdam"/>
    <s v="Non-significant benchmark"/>
    <n v="0"/>
    <n v="0"/>
    <n v="0"/>
    <n v="0"/>
    <n v="0"/>
    <n v="0"/>
    <n v="0"/>
    <x v="1"/>
  </r>
  <r>
    <x v="1018"/>
    <x v="172"/>
    <s v="NLIX00001031"/>
    <s v="No"/>
    <s v="International"/>
    <m/>
    <s v="ENZTG"/>
    <s v="Euronext Amsterdam"/>
    <s v="Non-significant benchmark"/>
    <n v="0"/>
    <n v="0"/>
    <n v="0"/>
    <n v="0"/>
    <n v="0"/>
    <n v="0"/>
    <n v="0"/>
    <x v="1"/>
  </r>
  <r>
    <x v="1019"/>
    <x v="172"/>
    <s v="NLIX00001023"/>
    <s v="No"/>
    <s v="International"/>
    <m/>
    <s v="ENZTN"/>
    <s v="Euronext Amsterdam"/>
    <s v="Non-significant benchmark"/>
    <n v="0"/>
    <n v="0"/>
    <n v="0"/>
    <n v="0"/>
    <n v="0"/>
    <n v="0"/>
    <n v="0"/>
    <x v="1"/>
  </r>
  <r>
    <x v="1020"/>
    <x v="120"/>
    <s v="FRIX00001191"/>
    <s v="No"/>
    <s v="Single Stock"/>
    <m/>
    <s v="SBCAG"/>
    <s v="Euronext Paris"/>
    <s v="Non-significant benchmark"/>
    <n v="0"/>
    <n v="0"/>
    <n v="0"/>
    <n v="0"/>
    <n v="0"/>
    <n v="0"/>
    <n v="0"/>
    <x v="1"/>
  </r>
  <r>
    <x v="1021"/>
    <x v="120"/>
    <s v="FRIX00001209"/>
    <s v="No"/>
    <s v="Single Stock"/>
    <m/>
    <s v="SBCAD"/>
    <s v="Euronext Paris"/>
    <s v="Non-significant benchmark"/>
    <n v="0"/>
    <n v="0"/>
    <n v="21155883.609200001"/>
    <n v="0"/>
    <n v="0"/>
    <n v="0"/>
    <n v="21155883.609200001"/>
    <x v="1"/>
  </r>
  <r>
    <x v="1022"/>
    <x v="120"/>
    <s v="FRIX00001183"/>
    <s v="No"/>
    <s v="Single Stock"/>
    <m/>
    <s v="SBCAP"/>
    <s v="Euronext Paris"/>
    <s v="Non-significant benchmark"/>
    <n v="0"/>
    <n v="0"/>
    <n v="0"/>
    <n v="0"/>
    <n v="0"/>
    <n v="0"/>
    <n v="0"/>
    <x v="1"/>
  </r>
  <r>
    <x v="1023"/>
    <x v="120"/>
    <s v="FRIX00001175"/>
    <s v="No"/>
    <s v="Single Stock"/>
    <m/>
    <s v="SBSTD"/>
    <s v="Euronext Paris"/>
    <s v="Non-significant benchmark"/>
    <n v="0"/>
    <n v="0"/>
    <n v="15178448.492800001"/>
    <n v="0"/>
    <n v="0"/>
    <n v="0"/>
    <n v="15178448.492800001"/>
    <x v="1"/>
  </r>
  <r>
    <x v="1024"/>
    <x v="120"/>
    <s v="FRIX00001167"/>
    <s v="No"/>
    <s v="Single Stock"/>
    <m/>
    <s v="SBSTG"/>
    <s v="Euronext Paris"/>
    <s v="Non-significant benchmark"/>
    <n v="0"/>
    <n v="0"/>
    <n v="0"/>
    <n v="0"/>
    <n v="0"/>
    <n v="0"/>
    <n v="0"/>
    <x v="1"/>
  </r>
  <r>
    <x v="1025"/>
    <x v="120"/>
    <s v="FRIX00001159"/>
    <s v="No"/>
    <s v="Single Stock"/>
    <m/>
    <s v="SBSTP"/>
    <s v="Euronext Paris"/>
    <s v="Non-significant benchmark"/>
    <n v="0"/>
    <n v="0"/>
    <n v="0"/>
    <n v="0"/>
    <n v="0"/>
    <n v="0"/>
    <n v="0"/>
    <x v="1"/>
  </r>
  <r>
    <x v="1026"/>
    <x v="120"/>
    <s v="FRIX00001357"/>
    <s v="No"/>
    <s v="Single Stock"/>
    <m/>
    <s v="SGED1"/>
    <s v="Euronext Paris"/>
    <s v="Non-significant benchmark"/>
    <n v="26019534.483048998"/>
    <n v="272500000"/>
    <n v="52967995.923600003"/>
    <n v="0"/>
    <n v="0"/>
    <n v="0"/>
    <n v="52967995.923600003"/>
    <x v="1"/>
  </r>
  <r>
    <x v="1027"/>
    <x v="120"/>
    <s v="FRIX00001340"/>
    <s v="No"/>
    <s v="Single Stock"/>
    <m/>
    <s v="SGEG1"/>
    <s v="Euronext Paris"/>
    <s v="Non-significant benchmark"/>
    <n v="0"/>
    <n v="0"/>
    <n v="0"/>
    <n v="0"/>
    <n v="0"/>
    <n v="0"/>
    <n v="0"/>
    <x v="1"/>
  </r>
  <r>
    <x v="1028"/>
    <x v="120"/>
    <s v="FRIX00001332"/>
    <s v="No"/>
    <s v="Single Stock"/>
    <m/>
    <s v="SGEP1"/>
    <s v="Euronext Paris"/>
    <s v="Non-significant benchmark"/>
    <n v="0"/>
    <n v="0"/>
    <n v="0"/>
    <n v="0"/>
    <n v="0"/>
    <n v="0"/>
    <n v="0"/>
    <x v="1"/>
  </r>
  <r>
    <x v="1029"/>
    <x v="120"/>
    <s v="FRIX00001324"/>
    <s v="No"/>
    <s v="Single Stock"/>
    <m/>
    <s v="SGEID"/>
    <s v="Euronext Paris"/>
    <s v="Non-significant benchmark"/>
    <n v="47525655.899999999"/>
    <n v="298000000"/>
    <n v="87303709.5044"/>
    <n v="0"/>
    <n v="0"/>
    <n v="0"/>
    <n v="87303709.5044"/>
    <x v="1"/>
  </r>
  <r>
    <x v="1030"/>
    <x v="120"/>
    <s v="FRIX00001316"/>
    <s v="No"/>
    <s v="Single Stock"/>
    <m/>
    <s v="SGEIG"/>
    <s v="Euronext Paris"/>
    <s v="Non-significant benchmark"/>
    <n v="0"/>
    <n v="0"/>
    <n v="0"/>
    <n v="0"/>
    <n v="0"/>
    <n v="0"/>
    <n v="0"/>
    <x v="1"/>
  </r>
  <r>
    <x v="1031"/>
    <x v="120"/>
    <s v="FRIX00001308"/>
    <s v="No"/>
    <s v="Single Stock"/>
    <m/>
    <s v="SGEIP"/>
    <s v="Euronext Paris"/>
    <s v="Non-significant benchmark"/>
    <n v="0"/>
    <n v="0"/>
    <n v="0"/>
    <n v="0"/>
    <n v="0"/>
    <n v="0"/>
    <n v="0"/>
    <x v="1"/>
  </r>
  <r>
    <x v="1032"/>
    <x v="120"/>
    <s v="FRIX00001290"/>
    <s v="No"/>
    <s v="Single Stock"/>
    <m/>
    <s v="SGIGD"/>
    <s v="Euronext Paris"/>
    <s v="Non-significant benchmark"/>
    <n v="0"/>
    <n v="0"/>
    <n v="0"/>
    <n v="0"/>
    <n v="0"/>
    <n v="0"/>
    <n v="0"/>
    <x v="1"/>
  </r>
  <r>
    <x v="1033"/>
    <x v="120"/>
    <s v="FRIX00001282"/>
    <s v="No"/>
    <s v="Single Stock"/>
    <m/>
    <s v="SGIGG"/>
    <s v="Euronext Paris"/>
    <s v="Non-significant benchmark"/>
    <n v="0"/>
    <n v="0"/>
    <n v="0"/>
    <n v="0"/>
    <n v="0"/>
    <n v="0"/>
    <n v="0"/>
    <x v="1"/>
  </r>
  <r>
    <x v="1034"/>
    <x v="120"/>
    <s v="FRIX00001274"/>
    <s v="No"/>
    <s v="Single Stock"/>
    <m/>
    <s v="SGIGP"/>
    <s v="Euronext Paris"/>
    <s v="Non-significant benchmark"/>
    <n v="0"/>
    <n v="0"/>
    <n v="0"/>
    <n v="0"/>
    <n v="0"/>
    <n v="0"/>
    <n v="0"/>
    <x v="1"/>
  </r>
  <r>
    <x v="1035"/>
    <x v="120"/>
    <s v="FRIX00001118"/>
    <s v="No"/>
    <s v="Single Stock"/>
    <m/>
    <s v="SGLID"/>
    <s v="Euronext Paris"/>
    <s v="Non-significant benchmark"/>
    <n v="18975665.399999999"/>
    <n v="155000000"/>
    <n v="40193415.790399998"/>
    <n v="0"/>
    <n v="0"/>
    <n v="0"/>
    <n v="40193415.790399998"/>
    <x v="1"/>
  </r>
  <r>
    <x v="1036"/>
    <x v="120"/>
    <s v="FRIX00001100"/>
    <s v="No"/>
    <s v="Single Stock"/>
    <m/>
    <s v="SGLIG"/>
    <s v="Euronext Paris"/>
    <s v="Non-significant benchmark"/>
    <n v="0"/>
    <n v="0"/>
    <n v="0"/>
    <n v="0"/>
    <n v="0"/>
    <n v="0"/>
    <n v="0"/>
    <x v="1"/>
  </r>
  <r>
    <x v="1037"/>
    <x v="120"/>
    <s v="FRIX00001092"/>
    <s v="No"/>
    <s v="Single Stock"/>
    <m/>
    <s v="SGLIP"/>
    <s v="Euronext Paris"/>
    <s v="Non-significant benchmark"/>
    <n v="0"/>
    <n v="0"/>
    <n v="0"/>
    <n v="0"/>
    <n v="0"/>
    <n v="0"/>
    <n v="0"/>
    <x v="1"/>
  </r>
  <r>
    <x v="1038"/>
    <x v="120"/>
    <s v="FRIX00001530"/>
    <s v="No"/>
    <s v="Single Stock"/>
    <m/>
    <s v="SGGD1"/>
    <s v="Euronext Paris"/>
    <s v="Non-significant benchmark"/>
    <n v="172073769.579759"/>
    <n v="275000000"/>
    <n v="375961327.35200006"/>
    <n v="0"/>
    <n v="0"/>
    <n v="0"/>
    <n v="375961327.35200006"/>
    <x v="1"/>
  </r>
  <r>
    <x v="1039"/>
    <x v="120"/>
    <s v="FRIX00001233"/>
    <s v="No"/>
    <s v="Single Stock"/>
    <m/>
    <s v="SGG1D"/>
    <s v="Euronext Paris"/>
    <s v="Non-significant benchmark"/>
    <n v="0"/>
    <n v="0"/>
    <n v="0"/>
    <n v="0"/>
    <n v="0"/>
    <n v="0"/>
    <n v="0"/>
    <x v="1"/>
  </r>
  <r>
    <x v="1040"/>
    <x v="120"/>
    <s v="FRIX00001522"/>
    <s v="No"/>
    <s v="Single Stock"/>
    <m/>
    <s v="SGGG1"/>
    <s v="Euronext Paris"/>
    <s v="Non-significant benchmark"/>
    <n v="0"/>
    <n v="0"/>
    <n v="0"/>
    <n v="0"/>
    <n v="0"/>
    <n v="0"/>
    <n v="0"/>
    <x v="1"/>
  </r>
  <r>
    <x v="1041"/>
    <x v="120"/>
    <s v="FRIX00001225"/>
    <s v="No"/>
    <s v="Single Stock"/>
    <m/>
    <s v="SGG1G"/>
    <s v="Euronext Paris"/>
    <s v="Non-significant benchmark"/>
    <n v="0"/>
    <n v="0"/>
    <n v="0"/>
    <n v="0"/>
    <n v="0"/>
    <n v="0"/>
    <n v="0"/>
    <x v="1"/>
  </r>
  <r>
    <x v="1042"/>
    <x v="120"/>
    <s v="FRIX00001514"/>
    <s v="No"/>
    <s v="Single Stock"/>
    <m/>
    <s v="SGGP1"/>
    <s v="Euronext Paris"/>
    <s v="Non-significant benchmark"/>
    <n v="0"/>
    <n v="0"/>
    <n v="0"/>
    <n v="0"/>
    <n v="0"/>
    <n v="0"/>
    <n v="0"/>
    <x v="1"/>
  </r>
  <r>
    <x v="1043"/>
    <x v="120"/>
    <s v="FRIX00001217"/>
    <s v="No"/>
    <s v="Single Stock"/>
    <m/>
    <s v="SGG1P"/>
    <s v="Euronext Paris"/>
    <s v="Non-significant benchmark"/>
    <n v="0"/>
    <n v="0"/>
    <n v="0"/>
    <n v="0"/>
    <n v="0"/>
    <n v="0"/>
    <n v="0"/>
    <x v="1"/>
  </r>
  <r>
    <x v="1044"/>
    <x v="120"/>
    <s v="FRIX00001142"/>
    <s v="No"/>
    <s v="Single Stock"/>
    <m/>
    <s v="SGS2D"/>
    <s v="Euronext Paris"/>
    <s v="Non-significant benchmark"/>
    <n v="103660122.5"/>
    <n v="1045000000"/>
    <n v="213667977.29640001"/>
    <n v="0"/>
    <n v="0"/>
    <n v="0"/>
    <n v="213667977.29640001"/>
    <x v="1"/>
  </r>
  <r>
    <x v="1045"/>
    <x v="120"/>
    <s v="FRIX00001134"/>
    <s v="No"/>
    <s v="Single Stock"/>
    <m/>
    <s v="SGS2G"/>
    <s v="Euronext Paris"/>
    <s v="Non-significant benchmark"/>
    <n v="0"/>
    <n v="0"/>
    <n v="0"/>
    <n v="0"/>
    <n v="0"/>
    <n v="0"/>
    <n v="0"/>
    <x v="1"/>
  </r>
  <r>
    <x v="1046"/>
    <x v="120"/>
    <s v="FRIX00001126"/>
    <s v="No"/>
    <s v="Single Stock"/>
    <m/>
    <s v="SGS2P"/>
    <s v="Euronext Paris"/>
    <s v="Non-significant benchmark"/>
    <n v="0"/>
    <n v="0"/>
    <n v="0"/>
    <n v="0"/>
    <n v="0"/>
    <n v="0"/>
    <n v="0"/>
    <x v="1"/>
  </r>
  <r>
    <x v="1047"/>
    <x v="120"/>
    <s v="FRIX00001266"/>
    <s v="No"/>
    <s v="Single Stock"/>
    <m/>
    <s v="SGURD"/>
    <s v="Euronext Paris"/>
    <s v="Non-significant benchmark"/>
    <n v="15786278.700000001"/>
    <n v="40000000"/>
    <n v="25411006.9124"/>
    <n v="0"/>
    <n v="0"/>
    <n v="0"/>
    <n v="25411006.9124"/>
    <x v="1"/>
  </r>
  <r>
    <x v="1048"/>
    <x v="120"/>
    <s v="FRIX00001258"/>
    <s v="No"/>
    <s v="Single Stock"/>
    <m/>
    <s v="SGURG"/>
    <s v="Euronext Paris"/>
    <s v="Non-significant benchmark"/>
    <n v="0"/>
    <n v="0"/>
    <n v="0"/>
    <n v="0"/>
    <n v="0"/>
    <n v="0"/>
    <n v="0"/>
    <x v="1"/>
  </r>
  <r>
    <x v="1049"/>
    <x v="120"/>
    <s v="FRIX00001241"/>
    <s v="No"/>
    <s v="Single Stock"/>
    <m/>
    <s v="SGURP"/>
    <s v="Euronext Paris"/>
    <s v="Non-significant benchmark"/>
    <n v="0"/>
    <n v="0"/>
    <n v="0"/>
    <n v="0"/>
    <n v="0"/>
    <n v="0"/>
    <n v="0"/>
    <x v="1"/>
  </r>
  <r>
    <x v="1050"/>
    <x v="120"/>
    <s v="FRIX00001498"/>
    <s v="No"/>
    <s v="Single Stock"/>
    <m/>
    <s v="SSA1G"/>
    <s v="Euronext Paris"/>
    <s v="Non-significant benchmark"/>
    <n v="0"/>
    <n v="0"/>
    <n v="0"/>
    <n v="0"/>
    <n v="0"/>
    <n v="0"/>
    <n v="0"/>
    <x v="1"/>
  </r>
  <r>
    <x v="1051"/>
    <x v="120"/>
    <s v="FRIX00001506"/>
    <s v="No"/>
    <s v="Single Stock"/>
    <m/>
    <s v="SSA1D"/>
    <s v="Euronext Paris"/>
    <s v="Non-significant benchmark"/>
    <n v="0"/>
    <n v="0"/>
    <n v="0"/>
    <n v="0"/>
    <n v="0"/>
    <n v="0"/>
    <n v="0"/>
    <x v="1"/>
  </r>
  <r>
    <x v="1052"/>
    <x v="120"/>
    <s v="FRIX00001480"/>
    <s v="No"/>
    <s v="Single Stock"/>
    <m/>
    <s v="SSA1P"/>
    <s v="Euronext Paris"/>
    <s v="Non-significant benchmark"/>
    <n v="0"/>
    <n v="0"/>
    <n v="0"/>
    <n v="0"/>
    <n v="0"/>
    <n v="0"/>
    <n v="0"/>
    <x v="1"/>
  </r>
  <r>
    <x v="1053"/>
    <x v="120"/>
    <s v="FRIX00001373"/>
    <s v="No"/>
    <s v="Single Stock"/>
    <m/>
    <s v="SSB3G"/>
    <s v="Euronext Paris"/>
    <s v="Non-significant benchmark"/>
    <n v="0"/>
    <n v="0"/>
    <n v="0"/>
    <n v="0"/>
    <n v="0"/>
    <n v="0"/>
    <n v="0"/>
    <x v="1"/>
  </r>
  <r>
    <x v="1054"/>
    <x v="120"/>
    <s v="FRIX00001381"/>
    <s v="No"/>
    <s v="Single Stock"/>
    <m/>
    <s v="SSB3D"/>
    <s v="Euronext Paris"/>
    <s v="Non-significant benchmark"/>
    <n v="0"/>
    <n v="0"/>
    <n v="0"/>
    <n v="0"/>
    <n v="0"/>
    <n v="0"/>
    <n v="0"/>
    <x v="1"/>
  </r>
  <r>
    <x v="1055"/>
    <x v="120"/>
    <s v="FRIX00001365"/>
    <s v="No"/>
    <s v="Single Stock"/>
    <m/>
    <s v="SSB3P"/>
    <s v="Euronext Paris"/>
    <s v="Non-significant benchmark"/>
    <n v="0"/>
    <n v="0"/>
    <n v="0"/>
    <n v="0"/>
    <n v="0"/>
    <n v="0"/>
    <n v="0"/>
    <x v="1"/>
  </r>
  <r>
    <x v="1056"/>
    <x v="120"/>
    <s v="FRIX00001464"/>
    <s v="No"/>
    <s v="Single Stock"/>
    <m/>
    <s v="SSBOG"/>
    <s v="Euronext Paris"/>
    <s v="Non-significant benchmark"/>
    <n v="0"/>
    <n v="0"/>
    <n v="0"/>
    <n v="0"/>
    <n v="0"/>
    <n v="0"/>
    <n v="0"/>
    <x v="1"/>
  </r>
  <r>
    <x v="1057"/>
    <x v="120"/>
    <s v="FRIX00001472"/>
    <s v="No"/>
    <s v="Single Stock"/>
    <m/>
    <s v="SSBOD"/>
    <s v="Euronext Paris"/>
    <s v="Non-significant benchmark"/>
    <n v="0"/>
    <n v="0"/>
    <n v="0"/>
    <n v="0"/>
    <n v="0"/>
    <n v="0"/>
    <n v="0"/>
    <x v="1"/>
  </r>
  <r>
    <x v="1058"/>
    <x v="120"/>
    <s v="FRIX00001456"/>
    <s v="No"/>
    <s v="Single Stock"/>
    <m/>
    <s v="SSBOP"/>
    <s v="Euronext Paris"/>
    <s v="Non-significant benchmark"/>
    <n v="0"/>
    <n v="0"/>
    <n v="0"/>
    <n v="0"/>
    <n v="0"/>
    <n v="0"/>
    <n v="0"/>
    <x v="1"/>
  </r>
  <r>
    <x v="1059"/>
    <x v="120"/>
    <s v="FRIX00001407"/>
    <s v="No"/>
    <s v="Single Stock"/>
    <m/>
    <s v="SSS2G"/>
    <s v="Euronext Paris"/>
    <s v="Non-significant benchmark"/>
    <n v="0"/>
    <n v="0"/>
    <n v="0"/>
    <n v="0"/>
    <n v="0"/>
    <n v="0"/>
    <n v="0"/>
    <x v="1"/>
  </r>
  <r>
    <x v="1060"/>
    <x v="120"/>
    <s v="FRIX00001415"/>
    <s v="No"/>
    <s v="Single Stock"/>
    <m/>
    <s v="SSS2D"/>
    <s v="Euronext Paris"/>
    <s v="Non-significant benchmark"/>
    <n v="0"/>
    <n v="63500000"/>
    <n v="9145752.0348000005"/>
    <n v="0"/>
    <n v="0"/>
    <n v="0"/>
    <n v="63500000"/>
    <x v="1"/>
  </r>
  <r>
    <x v="1061"/>
    <x v="120"/>
    <s v="FRIX00001399"/>
    <s v="No"/>
    <s v="Single Stock"/>
    <m/>
    <s v="SSS2P"/>
    <s v="Euronext Paris"/>
    <s v="Non-significant benchmark"/>
    <n v="0"/>
    <n v="0"/>
    <n v="0"/>
    <n v="0"/>
    <n v="0"/>
    <n v="0"/>
    <n v="0"/>
    <x v="1"/>
  </r>
  <r>
    <x v="1062"/>
    <x v="120"/>
    <s v="FRIX00001431"/>
    <s v="No"/>
    <s v="Single Stock"/>
    <m/>
    <s v="SSTEG"/>
    <s v="Euronext Paris"/>
    <s v="Non-significant benchmark"/>
    <n v="0"/>
    <n v="0"/>
    <n v="0"/>
    <n v="0"/>
    <n v="0"/>
    <n v="0"/>
    <n v="0"/>
    <x v="1"/>
  </r>
  <r>
    <x v="1063"/>
    <x v="120"/>
    <s v="FRIX00001449"/>
    <s v="No"/>
    <s v="Single Stock"/>
    <m/>
    <s v="SSTED"/>
    <s v="Euronext Paris"/>
    <s v="Non-significant benchmark"/>
    <n v="0"/>
    <n v="0"/>
    <n v="0"/>
    <n v="0"/>
    <n v="0"/>
    <n v="0"/>
    <n v="0"/>
    <x v="1"/>
  </r>
  <r>
    <x v="1064"/>
    <x v="120"/>
    <s v="FRIX00001423"/>
    <s v="No"/>
    <s v="Single Stock"/>
    <m/>
    <s v="SSTEP"/>
    <s v="Euronext Paris"/>
    <s v="Non-significant benchmark"/>
    <n v="0"/>
    <n v="0"/>
    <n v="0"/>
    <n v="0"/>
    <n v="0"/>
    <n v="0"/>
    <n v="0"/>
    <x v="1"/>
  </r>
  <r>
    <x v="1065"/>
    <x v="173"/>
    <s v="FRESG0001064"/>
    <s v="No"/>
    <s v="Thematic"/>
    <m/>
    <s v="NWSWP"/>
    <s v="Euronext Paris"/>
    <s v="Non-significant benchmark"/>
    <n v="0"/>
    <n v="0"/>
    <n v="0"/>
    <n v="0"/>
    <n v="0"/>
    <n v="0"/>
    <n v="0"/>
    <x v="1"/>
  </r>
  <r>
    <x v="1066"/>
    <x v="173"/>
    <s v="FRESG0001080"/>
    <s v="No"/>
    <s v="Thematic"/>
    <m/>
    <s v="NWSWG"/>
    <s v="Euronext Paris"/>
    <s v="Non-significant benchmark"/>
    <n v="0"/>
    <n v="0"/>
    <n v="0"/>
    <n v="0"/>
    <n v="0"/>
    <n v="0"/>
    <n v="0"/>
    <x v="1"/>
  </r>
  <r>
    <x v="1067"/>
    <x v="173"/>
    <s v="FRESG0001072"/>
    <s v="No"/>
    <s v="Thematic"/>
    <m/>
    <s v="NWSWN"/>
    <s v="Euronext Paris"/>
    <s v="Non-significant benchmark"/>
    <n v="0"/>
    <n v="0"/>
    <n v="0"/>
    <n v="0"/>
    <n v="0"/>
    <n v="0"/>
    <n v="0"/>
    <x v="1"/>
  </r>
  <r>
    <x v="1068"/>
    <x v="174"/>
    <s v="FRIX00001845"/>
    <s v="Yes"/>
    <s v="Thematic"/>
    <s v="ESG Other"/>
    <s v="EAIWP"/>
    <s v="Euronext Paris"/>
    <s v="Non-significant benchmark"/>
    <n v="0"/>
    <n v="0"/>
    <n v="0"/>
    <n v="0"/>
    <n v="0"/>
    <n v="0"/>
    <n v="0"/>
    <x v="1"/>
  </r>
  <r>
    <x v="1069"/>
    <x v="174"/>
    <s v="FRIX00001860"/>
    <s v="Yes"/>
    <s v="Thematic"/>
    <s v="ESG Other"/>
    <s v="EAIWG"/>
    <s v="Euronext Paris"/>
    <s v="Non-significant benchmark"/>
    <n v="0"/>
    <n v="0"/>
    <n v="0"/>
    <n v="0"/>
    <n v="0"/>
    <n v="0"/>
    <n v="0"/>
    <x v="1"/>
  </r>
  <r>
    <x v="1070"/>
    <x v="174"/>
    <s v="FRIX00001852"/>
    <s v="Yes"/>
    <s v="Thematic"/>
    <s v="ESG Other"/>
    <s v="EAIWN"/>
    <s v="Euronext Paris"/>
    <s v="Non-significant benchmark"/>
    <n v="0"/>
    <n v="0"/>
    <n v="0"/>
    <n v="0"/>
    <n v="0"/>
    <n v="0"/>
    <n v="0"/>
    <x v="1"/>
  </r>
  <r>
    <x v="1071"/>
    <x v="175"/>
    <s v="FRESG0001304"/>
    <s v="Yes"/>
    <s v="Climate;Environmental"/>
    <s v="ESG Other"/>
    <s v="ESBTP"/>
    <s v="Euronext Paris"/>
    <s v="Non-significant benchmark"/>
    <n v="0"/>
    <n v="0"/>
    <n v="0"/>
    <n v="0"/>
    <n v="0"/>
    <n v="0"/>
    <n v="0"/>
    <x v="0"/>
  </r>
  <r>
    <x v="1072"/>
    <x v="175"/>
    <s v="FRESG0001320"/>
    <s v="Yes"/>
    <s v="Climate;Environmental"/>
    <s v="ESG Other"/>
    <s v="ESBTG"/>
    <s v="Euronext Paris"/>
    <s v="Non-significant benchmark"/>
    <n v="0"/>
    <n v="0"/>
    <n v="0"/>
    <n v="0"/>
    <n v="0"/>
    <n v="0"/>
    <n v="0"/>
    <x v="0"/>
  </r>
  <r>
    <x v="1073"/>
    <x v="175"/>
    <s v="FRESG0001361"/>
    <s v="Yes"/>
    <s v="Climate;Environmental"/>
    <s v="ESG Other"/>
    <s v="ESDG3"/>
    <s v="Euronext Paris"/>
    <s v="Non-significant benchmark"/>
    <n v="0"/>
    <n v="0"/>
    <n v="0"/>
    <n v="0"/>
    <n v="0"/>
    <n v="0"/>
    <n v="0"/>
    <x v="0"/>
  </r>
  <r>
    <x v="1074"/>
    <x v="175"/>
    <s v="FRESG0001379"/>
    <s v="Yes"/>
    <s v="Climate;Environmental"/>
    <s v="ESG Other"/>
    <s v="ESDG4"/>
    <s v="Euronext Paris"/>
    <s v="Non-significant benchmark"/>
    <n v="0"/>
    <n v="0"/>
    <n v="0"/>
    <n v="0"/>
    <n v="0"/>
    <n v="0"/>
    <n v="0"/>
    <x v="0"/>
  </r>
  <r>
    <x v="1075"/>
    <x v="175"/>
    <s v="FRESG0001387"/>
    <s v="Yes"/>
    <s v="Climate;Environmental"/>
    <s v="ESG Other"/>
    <s v="ESDG5"/>
    <s v="Euronext Paris"/>
    <s v="Non-significant benchmark"/>
    <n v="0"/>
    <n v="0"/>
    <n v="0"/>
    <n v="0"/>
    <n v="0"/>
    <n v="0"/>
    <n v="0"/>
    <x v="0"/>
  </r>
  <r>
    <x v="1076"/>
    <x v="175"/>
    <s v="FRESG0001312"/>
    <s v="Yes"/>
    <s v="Climate;Environmental"/>
    <s v="ESG Other"/>
    <s v="ESBTN"/>
    <s v="Euronext Paris"/>
    <s v="Non-significant benchmark"/>
    <n v="0"/>
    <n v="0"/>
    <n v="0"/>
    <n v="0"/>
    <n v="0"/>
    <n v="0"/>
    <n v="0"/>
    <x v="0"/>
  </r>
  <r>
    <x v="1077"/>
    <x v="175"/>
    <s v="FRESG0001338"/>
    <s v="Yes"/>
    <s v="Climate;Environmental"/>
    <s v="ESG Other"/>
    <s v="ESN3D"/>
    <s v="Euronext Paris"/>
    <s v="Non-significant benchmark"/>
    <n v="0"/>
    <n v="0"/>
    <n v="0"/>
    <n v="0"/>
    <n v="0"/>
    <n v="0"/>
    <n v="0"/>
    <x v="0"/>
  </r>
  <r>
    <x v="1078"/>
    <x v="175"/>
    <s v="FRESG0001346"/>
    <s v="Yes"/>
    <s v="Climate;Environmental"/>
    <s v="ESG Other"/>
    <s v="ESN4D"/>
    <s v="Euronext Paris"/>
    <s v="Non-significant benchmark"/>
    <n v="0"/>
    <n v="0"/>
    <n v="0"/>
    <n v="0"/>
    <n v="0"/>
    <n v="0"/>
    <n v="0"/>
    <x v="0"/>
  </r>
  <r>
    <x v="1079"/>
    <x v="175"/>
    <s v="FRESG0001353"/>
    <s v="Yes"/>
    <s v="Climate;Environmental"/>
    <s v="ESG Other"/>
    <s v="ESN5D"/>
    <s v="Euronext Paris"/>
    <s v="Non-significant benchmark"/>
    <n v="0"/>
    <n v="0"/>
    <n v="0"/>
    <n v="0"/>
    <n v="0"/>
    <n v="0"/>
    <n v="0"/>
    <x v="0"/>
  </r>
  <r>
    <x v="1080"/>
    <x v="176"/>
    <s v="FRESG0001213"/>
    <s v="Yes"/>
    <s v="Climate;Environmental"/>
    <s v="ESG Other"/>
    <s v="ZSBTP"/>
    <s v="Euronext Paris"/>
    <s v="Non-significant benchmark"/>
    <n v="0"/>
    <n v="0"/>
    <n v="0"/>
    <n v="0"/>
    <n v="0"/>
    <n v="0"/>
    <n v="0"/>
    <x v="0"/>
  </r>
  <r>
    <x v="1081"/>
    <x v="176"/>
    <s v="FRESG0001239"/>
    <s v="Yes"/>
    <s v="Climate;Environmental"/>
    <s v="ESG Other"/>
    <s v="ZSBTG"/>
    <s v="Euronext Paris"/>
    <s v="Non-significant benchmark"/>
    <n v="0"/>
    <n v="0"/>
    <n v="0"/>
    <n v="0"/>
    <n v="0"/>
    <n v="0"/>
    <n v="0"/>
    <x v="0"/>
  </r>
  <r>
    <x v="1082"/>
    <x v="176"/>
    <s v="FRESG0001270"/>
    <s v="Yes"/>
    <s v="Climate;Environmental"/>
    <s v="ESG Other"/>
    <s v="ZSG3D"/>
    <s v="Euronext Paris"/>
    <s v="Non-significant benchmark"/>
    <n v="0"/>
    <n v="0"/>
    <n v="0"/>
    <n v="0"/>
    <n v="0"/>
    <n v="0"/>
    <n v="0"/>
    <x v="0"/>
  </r>
  <r>
    <x v="1083"/>
    <x v="176"/>
    <s v="FRESG0001288"/>
    <s v="Yes"/>
    <s v="Climate;Environmental"/>
    <s v="ESG Other"/>
    <s v="ZSG4D"/>
    <s v="Euronext Paris"/>
    <s v="Non-significant benchmark"/>
    <n v="0"/>
    <n v="0"/>
    <n v="0"/>
    <n v="0"/>
    <n v="0"/>
    <n v="0"/>
    <n v="0"/>
    <x v="0"/>
  </r>
  <r>
    <x v="1084"/>
    <x v="176"/>
    <s v="FRESG0001296"/>
    <s v="Yes"/>
    <s v="Climate;Environmental"/>
    <s v="ESG Other"/>
    <s v="ZSG5D"/>
    <s v="Euronext Paris"/>
    <s v="Non-significant benchmark"/>
    <n v="0"/>
    <n v="0"/>
    <n v="0"/>
    <n v="0"/>
    <n v="0"/>
    <n v="0"/>
    <n v="0"/>
    <x v="0"/>
  </r>
  <r>
    <x v="1085"/>
    <x v="176"/>
    <s v="FRESG0001221"/>
    <s v="Yes"/>
    <s v="Climate;Environmental"/>
    <s v="ESG Other"/>
    <s v="ZSBTN"/>
    <s v="Euronext Paris"/>
    <s v="Non-significant benchmark"/>
    <n v="0"/>
    <n v="0"/>
    <n v="0"/>
    <n v="0"/>
    <n v="0"/>
    <n v="0"/>
    <n v="0"/>
    <x v="0"/>
  </r>
  <r>
    <x v="1086"/>
    <x v="176"/>
    <s v="FRESG0001247"/>
    <s v="Yes"/>
    <s v="Climate;Environmental"/>
    <s v="ESG Other"/>
    <s v="ZSN3D"/>
    <s v="Euronext Paris"/>
    <s v="Non-significant benchmark"/>
    <n v="0"/>
    <n v="0"/>
    <n v="0"/>
    <n v="0"/>
    <n v="0"/>
    <n v="0"/>
    <n v="0"/>
    <x v="0"/>
  </r>
  <r>
    <x v="1087"/>
    <x v="176"/>
    <s v="FRESG0001254"/>
    <s v="Yes"/>
    <s v="Climate;Environmental"/>
    <s v="ESG Other"/>
    <s v="ZSN4D"/>
    <s v="Euronext Paris"/>
    <s v="Non-significant benchmark"/>
    <n v="0"/>
    <n v="0"/>
    <n v="0"/>
    <n v="0"/>
    <n v="0"/>
    <n v="0"/>
    <n v="0"/>
    <x v="0"/>
  </r>
  <r>
    <x v="1088"/>
    <x v="176"/>
    <s v="FRESG0001262"/>
    <s v="Yes"/>
    <s v="Climate;Environmental"/>
    <s v="ESG Other"/>
    <s v="ZSN5D"/>
    <s v="Euronext Paris"/>
    <s v="Non-significant benchmark"/>
    <n v="0"/>
    <n v="0"/>
    <n v="0"/>
    <n v="0"/>
    <n v="0"/>
    <n v="0"/>
    <n v="0"/>
    <x v="0"/>
  </r>
  <r>
    <x v="1089"/>
    <x v="103"/>
    <s v="FRESG0001395"/>
    <s v="Yes"/>
    <s v="Climate;Environmental"/>
    <s v="ESG Other"/>
    <s v="GCSSD"/>
    <s v="Euronext Paris"/>
    <s v="Non-significant benchmark"/>
    <n v="0"/>
    <n v="0"/>
    <n v="0"/>
    <n v="0"/>
    <n v="0"/>
    <n v="0"/>
    <n v="0"/>
    <x v="1"/>
  </r>
  <r>
    <x v="1090"/>
    <x v="177"/>
    <s v="FRIX00001811"/>
    <s v="Yes"/>
    <s v="Thematic"/>
    <s v="ESG Other"/>
    <s v="EMWPR"/>
    <s v="Euronext Paris"/>
    <s v="Non-significant benchmark"/>
    <n v="0"/>
    <n v="0"/>
    <n v="0"/>
    <n v="0"/>
    <n v="0"/>
    <n v="0"/>
    <n v="0"/>
    <x v="1"/>
  </r>
  <r>
    <x v="1091"/>
    <x v="177"/>
    <s v="FRIX00001837"/>
    <s v="Yes"/>
    <s v="Thematic"/>
    <s v="ESG Other"/>
    <s v="EMWGR"/>
    <s v="Euronext Paris"/>
    <s v="Non-significant benchmark"/>
    <n v="0"/>
    <n v="0"/>
    <n v="0"/>
    <n v="0"/>
    <n v="0"/>
    <n v="0"/>
    <n v="0"/>
    <x v="1"/>
  </r>
  <r>
    <x v="1092"/>
    <x v="177"/>
    <s v="FRIX00001829"/>
    <s v="Yes"/>
    <s v="Thematic"/>
    <s v="ESG Other"/>
    <s v="EMWNR"/>
    <s v="Euronext Paris"/>
    <s v="Non-significant benchmark"/>
    <n v="0"/>
    <n v="0"/>
    <n v="0"/>
    <n v="0"/>
    <n v="0"/>
    <n v="0"/>
    <n v="0"/>
    <x v="1"/>
  </r>
  <r>
    <x v="1093"/>
    <x v="120"/>
    <s v="FRIX00001597"/>
    <s v="No"/>
    <s v="Single Stock"/>
    <m/>
    <s v="SGAD1"/>
    <s v="Euronext Paris"/>
    <s v="Non-significant benchmark"/>
    <n v="0"/>
    <n v="0"/>
    <n v="0"/>
    <n v="0"/>
    <n v="0"/>
    <n v="0"/>
    <n v="0"/>
    <x v="1"/>
  </r>
  <r>
    <x v="1094"/>
    <x v="120"/>
    <s v="FRIX00001589"/>
    <s v="No"/>
    <s v="Single Stock"/>
    <m/>
    <s v="SGAG1"/>
    <s v="Euronext Paris"/>
    <s v="Non-significant benchmark"/>
    <n v="0"/>
    <n v="0"/>
    <n v="0"/>
    <n v="0"/>
    <n v="0"/>
    <n v="0"/>
    <n v="0"/>
    <x v="1"/>
  </r>
  <r>
    <x v="1095"/>
    <x v="120"/>
    <s v="FRIX00001571"/>
    <s v="No"/>
    <s v="Single Stock"/>
    <m/>
    <s v="SGAP1"/>
    <s v="Euronext Paris"/>
    <s v="Non-significant benchmark"/>
    <n v="0"/>
    <n v="0"/>
    <n v="0"/>
    <n v="0"/>
    <n v="0"/>
    <n v="0"/>
    <n v="0"/>
    <x v="1"/>
  </r>
  <r>
    <x v="1096"/>
    <x v="120"/>
    <s v="FRIX00001563"/>
    <s v="No"/>
    <s v="Single Stock"/>
    <m/>
    <s v="SGBD3"/>
    <s v="Euronext Paris"/>
    <s v="Non-significant benchmark"/>
    <n v="0"/>
    <n v="1392500000"/>
    <n v="322173621.52800006"/>
    <n v="0"/>
    <n v="0"/>
    <n v="0"/>
    <n v="1392500000"/>
    <x v="1"/>
  </r>
  <r>
    <x v="1097"/>
    <x v="120"/>
    <s v="FRIX00001555"/>
    <s v="No"/>
    <s v="Single Stock"/>
    <m/>
    <s v="SGBG3"/>
    <s v="Euronext Paris"/>
    <s v="Non-significant benchmark"/>
    <n v="0"/>
    <n v="5000000"/>
    <n v="0"/>
    <n v="0"/>
    <n v="0"/>
    <n v="0"/>
    <n v="5000000"/>
    <x v="1"/>
  </r>
  <r>
    <x v="1098"/>
    <x v="120"/>
    <s v="FRIX00001548"/>
    <s v="No"/>
    <s v="Single Stock"/>
    <m/>
    <s v="SGBP3"/>
    <s v="Euronext Paris"/>
    <s v="Non-significant benchmark"/>
    <n v="0"/>
    <n v="0"/>
    <n v="0"/>
    <n v="0"/>
    <n v="0"/>
    <n v="0"/>
    <n v="0"/>
    <x v="1"/>
  </r>
  <r>
    <x v="1099"/>
    <x v="120"/>
    <s v="FRIX00021959"/>
    <s v="No"/>
    <s v="Single Stock"/>
    <m/>
    <s v="SGACG"/>
    <s v="Euronext Paris"/>
    <s v="Non-significant benchmark"/>
    <n v="0"/>
    <n v="0"/>
    <n v="0"/>
    <n v="0"/>
    <n v="0"/>
    <n v="0"/>
    <n v="0"/>
    <x v="1"/>
  </r>
  <r>
    <x v="1100"/>
    <x v="120"/>
    <s v="FRIX00031966"/>
    <s v="No"/>
    <s v="Single Stock"/>
    <m/>
    <s v="SGACD"/>
    <s v="Euronext Paris"/>
    <s v="Non-significant benchmark"/>
    <n v="77210560.133622006"/>
    <n v="0"/>
    <n v="100769056.4076"/>
    <n v="0"/>
    <n v="0"/>
    <n v="0"/>
    <n v="100769056.4076"/>
    <x v="1"/>
  </r>
  <r>
    <x v="1101"/>
    <x v="120"/>
    <s v="FRIX00011943"/>
    <s v="No"/>
    <s v="Single Stock"/>
    <m/>
    <s v="SGACP"/>
    <s v="Euronext Paris"/>
    <s v="Non-significant benchmark"/>
    <n v="0"/>
    <n v="0"/>
    <n v="0"/>
    <n v="0"/>
    <n v="0"/>
    <n v="0"/>
    <n v="0"/>
    <x v="1"/>
  </r>
  <r>
    <x v="1102"/>
    <x v="120"/>
    <s v="FRIX00001985"/>
    <s v="No"/>
    <s v="Single Stock"/>
    <m/>
    <s v="SGED2"/>
    <s v="Euronext Paris"/>
    <s v="Non-significant benchmark"/>
    <n v="229622789.42052099"/>
    <n v="790000000"/>
    <n v="0"/>
    <n v="0"/>
    <n v="0"/>
    <n v="0"/>
    <n v="229622789.42052099"/>
    <x v="1"/>
  </r>
  <r>
    <x v="1103"/>
    <x v="120"/>
    <s v="FRIX00001977"/>
    <s v="No"/>
    <s v="Single Stock"/>
    <m/>
    <s v="SGEG2"/>
    <s v="Euronext Paris"/>
    <s v="Non-significant benchmark"/>
    <n v="0"/>
    <n v="370000000"/>
    <n v="304241316.17879999"/>
    <n v="0"/>
    <n v="0"/>
    <n v="0"/>
    <n v="370000000"/>
    <x v="1"/>
  </r>
  <r>
    <x v="1104"/>
    <x v="120"/>
    <s v="FRIX00001969"/>
    <s v="No"/>
    <s v="Single Stock"/>
    <m/>
    <s v="SGEP2"/>
    <s v="Euronext Paris"/>
    <s v="Non-significant benchmark"/>
    <n v="0"/>
    <n v="0"/>
    <n v="0"/>
    <n v="0"/>
    <n v="0"/>
    <n v="0"/>
    <n v="0"/>
    <x v="1"/>
  </r>
  <r>
    <x v="1105"/>
    <x v="120"/>
    <s v="FRIX00001894"/>
    <s v="No"/>
    <s v="Single Stock"/>
    <m/>
    <s v="SGKED"/>
    <s v="Euronext Paris"/>
    <s v="Non-significant benchmark"/>
    <n v="0"/>
    <n v="30000000"/>
    <n v="7976053.6376"/>
    <n v="0"/>
    <n v="0"/>
    <n v="0"/>
    <n v="30000000"/>
    <x v="1"/>
  </r>
  <r>
    <x v="1106"/>
    <x v="120"/>
    <s v="FRIX00001886"/>
    <s v="No"/>
    <s v="Single Stock"/>
    <m/>
    <s v="SGKEG"/>
    <s v="Euronext Paris"/>
    <s v="Non-significant benchmark"/>
    <n v="0"/>
    <n v="0"/>
    <n v="0"/>
    <n v="0"/>
    <n v="0"/>
    <n v="0"/>
    <n v="0"/>
    <x v="1"/>
  </r>
  <r>
    <x v="1107"/>
    <x v="120"/>
    <s v="FRIX00001878"/>
    <s v="No"/>
    <s v="Single Stock"/>
    <m/>
    <s v="SGKEP"/>
    <s v="Euronext Paris"/>
    <s v="Non-significant benchmark"/>
    <n v="0"/>
    <n v="0"/>
    <n v="0"/>
    <n v="0"/>
    <n v="0"/>
    <n v="0"/>
    <n v="0"/>
    <x v="1"/>
  </r>
  <r>
    <x v="1108"/>
    <x v="120"/>
    <s v="FRIX00001712"/>
    <s v="No"/>
    <s v="Single Stock"/>
    <m/>
    <s v="SGSD1"/>
    <s v="Euronext Paris"/>
    <s v="Non-significant benchmark"/>
    <n v="0"/>
    <n v="0"/>
    <n v="5176145.6632000003"/>
    <n v="0"/>
    <n v="0"/>
    <n v="0"/>
    <n v="5176145.6632000003"/>
    <x v="1"/>
  </r>
  <r>
    <x v="1109"/>
    <x v="120"/>
    <s v="FRIX00001704"/>
    <s v="No"/>
    <s v="Single Stock"/>
    <m/>
    <s v="SGSG1"/>
    <s v="Euronext Paris"/>
    <s v="Non-significant benchmark"/>
    <n v="0"/>
    <n v="0"/>
    <n v="0"/>
    <n v="0"/>
    <n v="0"/>
    <n v="0"/>
    <n v="0"/>
    <x v="1"/>
  </r>
  <r>
    <x v="1110"/>
    <x v="120"/>
    <s v="FRIX00001696"/>
    <s v="No"/>
    <s v="Single Stock"/>
    <m/>
    <s v="SGSP1"/>
    <s v="Euronext Paris"/>
    <s v="Non-significant benchmark"/>
    <n v="0"/>
    <n v="0"/>
    <n v="0"/>
    <n v="0"/>
    <n v="0"/>
    <n v="0"/>
    <n v="0"/>
    <x v="1"/>
  </r>
  <r>
    <x v="1111"/>
    <x v="120"/>
    <s v="FRIX00001621"/>
    <s v="No"/>
    <s v="Single Stock"/>
    <m/>
    <s v="SGTD2"/>
    <s v="Euronext Paris"/>
    <s v="Non-significant benchmark"/>
    <n v="0"/>
    <n v="0"/>
    <n v="0"/>
    <n v="0"/>
    <n v="0"/>
    <n v="0"/>
    <n v="0"/>
    <x v="1"/>
  </r>
  <r>
    <x v="1112"/>
    <x v="120"/>
    <s v="FRIX00001613"/>
    <s v="No"/>
    <s v="Single Stock"/>
    <m/>
    <s v="SGTG2"/>
    <s v="Euronext Paris"/>
    <s v="Non-significant benchmark"/>
    <n v="0"/>
    <n v="0"/>
    <n v="0"/>
    <n v="0"/>
    <n v="0"/>
    <n v="0"/>
    <n v="0"/>
    <x v="1"/>
  </r>
  <r>
    <x v="1113"/>
    <x v="120"/>
    <s v="FRIX00001605"/>
    <s v="No"/>
    <s v="Single Stock"/>
    <m/>
    <s v="SGTP2"/>
    <s v="Euronext Paris"/>
    <s v="Non-significant benchmark"/>
    <n v="0"/>
    <n v="0"/>
    <n v="0"/>
    <n v="0"/>
    <n v="0"/>
    <n v="0"/>
    <n v="0"/>
    <x v="1"/>
  </r>
  <r>
    <x v="1114"/>
    <x v="120"/>
    <s v="FRIX00001803"/>
    <s v="No"/>
    <s v="Single Stock"/>
    <m/>
    <s v="SGURW"/>
    <s v="Euronext Paris"/>
    <s v="Non-significant benchmark"/>
    <n v="0"/>
    <n v="0"/>
    <n v="0"/>
    <n v="0"/>
    <n v="0"/>
    <n v="0"/>
    <n v="0"/>
    <x v="1"/>
  </r>
  <r>
    <x v="1115"/>
    <x v="120"/>
    <s v="FRIX00001795"/>
    <s v="No"/>
    <s v="Single Stock"/>
    <m/>
    <s v="SGU1G"/>
    <s v="Euronext Paris"/>
    <s v="Non-significant benchmark"/>
    <n v="0"/>
    <n v="0"/>
    <n v="0"/>
    <n v="0"/>
    <n v="0"/>
    <n v="0"/>
    <n v="0"/>
    <x v="1"/>
  </r>
  <r>
    <x v="1116"/>
    <x v="120"/>
    <s v="FRIX00001787"/>
    <s v="No"/>
    <s v="Single Stock"/>
    <m/>
    <s v="SGU1P"/>
    <s v="Euronext Paris"/>
    <s v="Non-significant benchmark"/>
    <n v="0"/>
    <n v="0"/>
    <n v="0"/>
    <n v="0"/>
    <n v="0"/>
    <n v="0"/>
    <n v="0"/>
    <x v="1"/>
  </r>
  <r>
    <x v="1117"/>
    <x v="120"/>
    <s v="FRIX00001928"/>
    <s v="No"/>
    <s v="Single Stock"/>
    <m/>
    <s v="SGVID"/>
    <s v="Euronext Paris"/>
    <s v="Non-significant benchmark"/>
    <n v="0"/>
    <n v="0"/>
    <n v="2993322.67"/>
    <n v="0"/>
    <n v="0"/>
    <n v="0"/>
    <n v="2993322.67"/>
    <x v="1"/>
  </r>
  <r>
    <x v="1118"/>
    <x v="120"/>
    <s v="FRIX00001910"/>
    <s v="No"/>
    <s v="Single Stock"/>
    <m/>
    <s v="SGVIG"/>
    <s v="Euronext Paris"/>
    <s v="Non-significant benchmark"/>
    <n v="0"/>
    <n v="0"/>
    <n v="0"/>
    <n v="0"/>
    <n v="0"/>
    <n v="0"/>
    <n v="0"/>
    <x v="1"/>
  </r>
  <r>
    <x v="1119"/>
    <x v="120"/>
    <s v="FRIX00001902"/>
    <s v="No"/>
    <s v="Single Stock"/>
    <m/>
    <s v="SGVIP"/>
    <s v="Euronext Paris"/>
    <s v="Non-significant benchmark"/>
    <n v="0"/>
    <n v="0"/>
    <n v="0"/>
    <n v="0"/>
    <n v="0"/>
    <n v="0"/>
    <n v="0"/>
    <x v="1"/>
  </r>
  <r>
    <x v="1120"/>
    <x v="120"/>
    <s v="FRIX00001670"/>
    <s v="No"/>
    <s v="Single Stock"/>
    <m/>
    <s v="SMEG1"/>
    <s v="Euronext Paris"/>
    <s v="Non-significant benchmark"/>
    <n v="0"/>
    <n v="0"/>
    <n v="0"/>
    <n v="0"/>
    <n v="0"/>
    <n v="0"/>
    <n v="0"/>
    <x v="1"/>
  </r>
  <r>
    <x v="1121"/>
    <x v="120"/>
    <s v="FRIX00001688"/>
    <s v="No"/>
    <s v="Single Stock"/>
    <m/>
    <s v="SMED1"/>
    <s v="Euronext Paris"/>
    <s v="Non-significant benchmark"/>
    <n v="0"/>
    <n v="0"/>
    <n v="0"/>
    <n v="0"/>
    <n v="0"/>
    <n v="0"/>
    <n v="0"/>
    <x v="1"/>
  </r>
  <r>
    <x v="1122"/>
    <x v="120"/>
    <s v="FRIX00001662"/>
    <s v="No"/>
    <s v="Single Stock"/>
    <m/>
    <s v="SMEP1"/>
    <s v="Euronext Paris"/>
    <s v="Non-significant benchmark"/>
    <n v="0"/>
    <n v="0"/>
    <n v="0"/>
    <n v="0"/>
    <n v="0"/>
    <n v="0"/>
    <n v="0"/>
    <x v="1"/>
  </r>
  <r>
    <x v="1123"/>
    <x v="120"/>
    <s v="FRIX00001761"/>
    <s v="No"/>
    <s v="Single Stock"/>
    <m/>
    <s v="SMMLG"/>
    <s v="Euronext Paris"/>
    <s v="Non-significant benchmark"/>
    <n v="0"/>
    <n v="0"/>
    <n v="0"/>
    <n v="0"/>
    <n v="0"/>
    <n v="0"/>
    <n v="0"/>
    <x v="1"/>
  </r>
  <r>
    <x v="1124"/>
    <x v="120"/>
    <s v="FRIX00001779"/>
    <s v="No"/>
    <s v="Single Stock"/>
    <m/>
    <s v="SMMLD"/>
    <s v="Euronext Paris"/>
    <s v="Non-significant benchmark"/>
    <n v="0"/>
    <n v="0"/>
    <n v="0"/>
    <n v="0"/>
    <n v="0"/>
    <n v="0"/>
    <n v="0"/>
    <x v="1"/>
  </r>
  <r>
    <x v="1125"/>
    <x v="120"/>
    <s v="FRIX00001753"/>
    <s v="No"/>
    <s v="Single Stock"/>
    <m/>
    <s v="SMMLP"/>
    <s v="Euronext Paris"/>
    <s v="Non-significant benchmark"/>
    <n v="0"/>
    <n v="0"/>
    <n v="0"/>
    <n v="0"/>
    <n v="0"/>
    <n v="0"/>
    <n v="0"/>
    <x v="1"/>
  </r>
  <r>
    <x v="1126"/>
    <x v="120"/>
    <s v="FRIX00001738"/>
    <s v="No"/>
    <s v="Single Stock"/>
    <m/>
    <s v="SMSGG"/>
    <s v="Euronext Paris"/>
    <s v="Non-significant benchmark"/>
    <n v="0"/>
    <n v="0"/>
    <n v="0"/>
    <n v="0"/>
    <n v="0"/>
    <n v="0"/>
    <n v="0"/>
    <x v="1"/>
  </r>
  <r>
    <x v="1127"/>
    <x v="120"/>
    <s v="FRIX00001746"/>
    <s v="No"/>
    <s v="Single Stock"/>
    <m/>
    <s v="SMSGD"/>
    <s v="Euronext Paris"/>
    <s v="Non-significant benchmark"/>
    <n v="0"/>
    <n v="0"/>
    <n v="0"/>
    <n v="0"/>
    <n v="0"/>
    <n v="0"/>
    <n v="0"/>
    <x v="1"/>
  </r>
  <r>
    <x v="1128"/>
    <x v="120"/>
    <s v="FRIX00001720"/>
    <s v="No"/>
    <s v="Single Stock"/>
    <m/>
    <s v="SMSGP"/>
    <s v="Euronext Paris"/>
    <s v="Non-significant benchmark"/>
    <n v="0"/>
    <n v="0"/>
    <n v="0"/>
    <n v="0"/>
    <n v="0"/>
    <n v="0"/>
    <n v="0"/>
    <x v="1"/>
  </r>
  <r>
    <x v="1129"/>
    <x v="120"/>
    <s v="FRIX00001647"/>
    <s v="No"/>
    <s v="Single Stock"/>
    <m/>
    <s v="SSEG1"/>
    <s v="Euronext Paris"/>
    <s v="Non-significant benchmark"/>
    <n v="0"/>
    <n v="0"/>
    <n v="0"/>
    <n v="0"/>
    <n v="0"/>
    <n v="0"/>
    <n v="0"/>
    <x v="1"/>
  </r>
  <r>
    <x v="1130"/>
    <x v="120"/>
    <s v="FRIX00001654"/>
    <s v="No"/>
    <s v="Single Stock"/>
    <m/>
    <s v="SSED1"/>
    <s v="Euronext Paris"/>
    <s v="Non-significant benchmark"/>
    <n v="0"/>
    <n v="0"/>
    <n v="0"/>
    <n v="0"/>
    <n v="0"/>
    <n v="0"/>
    <n v="0"/>
    <x v="1"/>
  </r>
  <r>
    <x v="1131"/>
    <x v="120"/>
    <s v="FRIX00001639"/>
    <s v="No"/>
    <s v="Single Stock"/>
    <m/>
    <s v="SSEP1"/>
    <s v="Euronext Paris"/>
    <s v="Non-significant benchmark"/>
    <n v="0"/>
    <n v="0"/>
    <n v="0"/>
    <n v="0"/>
    <n v="0"/>
    <n v="0"/>
    <n v="0"/>
    <x v="1"/>
  </r>
  <r>
    <x v="1132"/>
    <x v="178"/>
    <s v="FRIX00001936"/>
    <s v="No"/>
    <s v="Strategy"/>
    <m/>
    <s v="CAFME"/>
    <s v="Euronext Paris"/>
    <s v="Non-significant benchmark"/>
    <n v="0"/>
    <n v="0"/>
    <n v="0"/>
    <n v="0"/>
    <n v="0"/>
    <n v="0"/>
    <n v="0"/>
    <x v="1"/>
  </r>
  <r>
    <x v="1133"/>
    <x v="179"/>
    <s v="FRIX00001993"/>
    <s v="No"/>
    <s v="Strategy"/>
    <m/>
    <s v="CTRFD"/>
    <s v="Euronext Paris"/>
    <s v="Non-significant benchmark"/>
    <n v="0"/>
    <n v="0"/>
    <n v="0"/>
    <n v="0"/>
    <n v="0"/>
    <n v="0"/>
    <n v="0"/>
    <x v="1"/>
  </r>
  <r>
    <x v="1134"/>
    <x v="180"/>
    <s v="FRESG0001411"/>
    <s v="Yes"/>
    <s v="Biodiversity;Environmental"/>
    <s v="ESG Other"/>
    <s v="EBEWP"/>
    <s v="Euronext Paris"/>
    <s v="Non-significant benchmark"/>
    <n v="0"/>
    <n v="0"/>
    <n v="0"/>
    <n v="0"/>
    <n v="0"/>
    <n v="0"/>
    <n v="0"/>
    <x v="1"/>
  </r>
  <r>
    <x v="1135"/>
    <x v="180"/>
    <s v="FRESG0001437"/>
    <s v="Yes"/>
    <s v="Biodiversity;Environmental"/>
    <s v="ESG Other"/>
    <s v="EBEWG"/>
    <s v="Euronext Paris"/>
    <s v="Non-significant benchmark"/>
    <n v="0"/>
    <n v="0"/>
    <n v="0"/>
    <n v="0"/>
    <n v="0"/>
    <n v="0"/>
    <n v="0"/>
    <x v="1"/>
  </r>
  <r>
    <x v="1136"/>
    <x v="180"/>
    <s v="FRESG0001429"/>
    <s v="Yes"/>
    <s v="Biodiversity;Environmental"/>
    <s v="ESG Other"/>
    <s v="EBEWN"/>
    <s v="Euronext Paris"/>
    <s v="Non-significant benchmark"/>
    <n v="0"/>
    <n v="0"/>
    <n v="0"/>
    <n v="0"/>
    <n v="0"/>
    <n v="0"/>
    <n v="0"/>
    <x v="1"/>
  </r>
  <r>
    <x v="1137"/>
    <x v="181"/>
    <s v="FRESG0001445"/>
    <s v="Yes"/>
    <s v="Biodiversity;Environmental"/>
    <s v="ESG Other"/>
    <s v="BISWP"/>
    <s v="Euronext Paris"/>
    <s v="Non-significant benchmark"/>
    <n v="0"/>
    <n v="0"/>
    <n v="0"/>
    <n v="0"/>
    <n v="0"/>
    <n v="0"/>
    <n v="0"/>
    <x v="1"/>
  </r>
  <r>
    <x v="1138"/>
    <x v="181"/>
    <s v="FRESG0001460"/>
    <s v="Yes"/>
    <s v="Biodiversity;Environmental"/>
    <s v="ESG Other"/>
    <s v="BISWG"/>
    <s v="Euronext Paris"/>
    <s v="Non-significant benchmark"/>
    <n v="0"/>
    <n v="0"/>
    <n v="0"/>
    <n v="0"/>
    <n v="0"/>
    <n v="0"/>
    <n v="0"/>
    <x v="1"/>
  </r>
  <r>
    <x v="1139"/>
    <x v="181"/>
    <s v="FRESG0001452"/>
    <s v="Yes"/>
    <s v="Biodiversity;Environmental"/>
    <s v="ESG Other"/>
    <s v="BISWN"/>
    <s v="Euronext Paris"/>
    <s v="Non-significant benchmark"/>
    <n v="0"/>
    <n v="0"/>
    <n v="0"/>
    <n v="0"/>
    <n v="0"/>
    <n v="0"/>
    <n v="0"/>
    <x v="1"/>
  </r>
  <r>
    <x v="1140"/>
    <x v="182"/>
    <s v="FRIX00002017"/>
    <s v="Yes"/>
    <s v="Thematic"/>
    <s v="ESG Other"/>
    <s v="ECWPR"/>
    <s v="Euronext Paris"/>
    <s v="Non-significant benchmark"/>
    <n v="0"/>
    <n v="0"/>
    <n v="0"/>
    <n v="0"/>
    <n v="0"/>
    <n v="0"/>
    <n v="0"/>
    <x v="1"/>
  </r>
  <r>
    <x v="1141"/>
    <x v="182"/>
    <s v="FRIX00002033"/>
    <s v="Yes"/>
    <s v="Thematic"/>
    <s v="ESG Other"/>
    <s v="ECWGR"/>
    <s v="Euronext Paris"/>
    <s v="Non-significant benchmark"/>
    <n v="0"/>
    <n v="0"/>
    <n v="0"/>
    <n v="0"/>
    <n v="0"/>
    <n v="0"/>
    <n v="0"/>
    <x v="1"/>
  </r>
  <r>
    <x v="1142"/>
    <x v="182"/>
    <s v="FRIX00002025"/>
    <s v="Yes"/>
    <s v="Thematic"/>
    <s v="ESG Other"/>
    <s v="ECWNR"/>
    <s v="Euronext Paris"/>
    <s v="Non-significant benchmark"/>
    <n v="0"/>
    <n v="0"/>
    <n v="0"/>
    <n v="0"/>
    <n v="0"/>
    <n v="0"/>
    <n v="0"/>
    <x v="1"/>
  </r>
  <r>
    <x v="1143"/>
    <x v="58"/>
    <s v="FRESG0001403"/>
    <s v="Yes"/>
    <s v="Biodiversity;Climate;PAB"/>
    <s v="PAB"/>
    <s v="EBLPD"/>
    <s v="Euronext Paris"/>
    <s v="Non-significant benchmark"/>
    <n v="0"/>
    <n v="0"/>
    <n v="67731984.354400009"/>
    <n v="0"/>
    <n v="0"/>
    <n v="0"/>
    <n v="67731984.354400009"/>
    <x v="1"/>
  </r>
  <r>
    <x v="1144"/>
    <x v="183"/>
    <s v="FRESG0001478"/>
    <s v="Yes"/>
    <s v="Climate;Environmental"/>
    <s v="ESG Other"/>
    <s v="FCLSP"/>
    <s v="Euronext Paris"/>
    <s v="Non-significant benchmark"/>
    <n v="0"/>
    <n v="0"/>
    <n v="0"/>
    <n v="0"/>
    <n v="0"/>
    <n v="0"/>
    <n v="0"/>
    <x v="1"/>
  </r>
  <r>
    <x v="1145"/>
    <x v="183"/>
    <s v="FRESG0001502"/>
    <s v="Yes"/>
    <s v="Climate;Environmental"/>
    <s v="ESG Other"/>
    <s v="FCLSD"/>
    <s v="Euronext Paris"/>
    <s v="Non-significant benchmark"/>
    <n v="0"/>
    <n v="60500000"/>
    <n v="35302787.058800004"/>
    <n v="0"/>
    <n v="0"/>
    <n v="0"/>
    <n v="60500000"/>
    <x v="1"/>
  </r>
  <r>
    <x v="1146"/>
    <x v="183"/>
    <s v="FRESG0001486"/>
    <s v="Yes"/>
    <s v="Climate;Environmental"/>
    <s v="ESG Other"/>
    <s v="FCLSG"/>
    <s v="Euronext Paris"/>
    <s v="Non-significant benchmark"/>
    <n v="0"/>
    <n v="0"/>
    <n v="0"/>
    <n v="0"/>
    <n v="0"/>
    <n v="0"/>
    <n v="0"/>
    <x v="1"/>
  </r>
  <r>
    <x v="1147"/>
    <x v="183"/>
    <s v="FRESG0001494"/>
    <s v="Yes"/>
    <s v="Climate;Environmental"/>
    <s v="ESG Other"/>
    <s v="FCLSN"/>
    <s v="Euronext Paris"/>
    <s v="Non-significant benchmark"/>
    <n v="0"/>
    <n v="0"/>
    <n v="0"/>
    <n v="0"/>
    <n v="0"/>
    <n v="0"/>
    <n v="0"/>
    <x v="1"/>
  </r>
  <r>
    <x v="1148"/>
    <x v="184"/>
    <s v="FRCLIM000148"/>
    <s v="Yes"/>
    <s v="Climate;PAB"/>
    <s v="PAB"/>
    <s v="PABUP"/>
    <s v="Euronext Paris"/>
    <s v="Non-significant benchmark"/>
    <n v="0"/>
    <n v="0"/>
    <n v="0"/>
    <n v="0"/>
    <n v="0"/>
    <n v="0"/>
    <n v="0"/>
    <x v="1"/>
  </r>
  <r>
    <x v="1149"/>
    <x v="184"/>
    <s v="FRCLIM000171"/>
    <s v="Yes"/>
    <s v="Climate;PAB"/>
    <s v="PAB"/>
    <s v="PABU5"/>
    <s v="Euronext Paris"/>
    <s v="Non-significant benchmark"/>
    <n v="0"/>
    <n v="0"/>
    <n v="0"/>
    <n v="0"/>
    <n v="0"/>
    <n v="0"/>
    <n v="0"/>
    <x v="1"/>
  </r>
  <r>
    <x v="1150"/>
    <x v="184"/>
    <s v="FRCLIM000163"/>
    <s v="Yes"/>
    <s v="Climate;PAB"/>
    <s v="PAB"/>
    <s v="PABUG"/>
    <s v="Euronext Paris"/>
    <s v="Non-significant benchmark"/>
    <n v="0"/>
    <n v="0"/>
    <n v="0"/>
    <n v="0"/>
    <n v="0"/>
    <n v="0"/>
    <n v="0"/>
    <x v="1"/>
  </r>
  <r>
    <x v="1151"/>
    <x v="184"/>
    <s v="FRCLIM000155"/>
    <s v="Yes"/>
    <s v="Climate;PAB"/>
    <s v="PAB"/>
    <s v="PABUN"/>
    <s v="Euronext Paris"/>
    <s v="Non-significant benchmark"/>
    <n v="0"/>
    <n v="0"/>
    <n v="0"/>
    <n v="0"/>
    <n v="0"/>
    <n v="0"/>
    <n v="0"/>
    <x v="1"/>
  </r>
  <r>
    <x v="1152"/>
    <x v="185"/>
    <s v="FRCLIM000205"/>
    <s v="Yes"/>
    <s v="PAB"/>
    <s v="PAB"/>
    <s v="PABTP"/>
    <s v="Euronext Paris"/>
    <s v="Non-significant benchmark"/>
    <n v="0"/>
    <n v="0"/>
    <n v="0"/>
    <n v="0"/>
    <n v="0"/>
    <n v="0"/>
    <n v="0"/>
    <x v="1"/>
  </r>
  <r>
    <x v="1153"/>
    <x v="185"/>
    <s v="FRCLIM000221"/>
    <s v="Yes"/>
    <s v="PAB"/>
    <s v="PAB"/>
    <s v="PABTG"/>
    <s v="Euronext Paris"/>
    <s v="Non-significant benchmark"/>
    <n v="0"/>
    <n v="0"/>
    <n v="0"/>
    <n v="0"/>
    <n v="0"/>
    <n v="0"/>
    <n v="0"/>
    <x v="1"/>
  </r>
  <r>
    <x v="1154"/>
    <x v="185"/>
    <s v="FRCLIM000213"/>
    <s v="Yes"/>
    <s v="PAB"/>
    <s v="PAB"/>
    <s v="PABTN"/>
    <s v="Euronext Paris"/>
    <s v="Non-significant benchmark"/>
    <n v="0"/>
    <n v="0"/>
    <n v="0"/>
    <n v="0"/>
    <n v="0"/>
    <n v="0"/>
    <n v="0"/>
    <x v="1"/>
  </r>
  <r>
    <x v="1155"/>
    <x v="186"/>
    <s v="FRCLIM000106"/>
    <s v="Yes"/>
    <s v="Climate;PAB"/>
    <s v="PAB"/>
    <s v="TPABP"/>
    <s v="Euronext Paris"/>
    <s v="Non-significant benchmark"/>
    <n v="0"/>
    <n v="0"/>
    <n v="0"/>
    <n v="0"/>
    <n v="0"/>
    <n v="0"/>
    <n v="0"/>
    <x v="1"/>
  </r>
  <r>
    <x v="1156"/>
    <x v="186"/>
    <s v="FRCLIM000130"/>
    <s v="Yes"/>
    <s v="Climate;PAB"/>
    <s v="PAB"/>
    <s v="TPAB5"/>
    <s v="Euronext Paris"/>
    <s v="Non-significant benchmark"/>
    <n v="0"/>
    <n v="1502340.875"/>
    <n v="0"/>
    <n v="0"/>
    <n v="0"/>
    <n v="0"/>
    <n v="1502340.875"/>
    <x v="1"/>
  </r>
  <r>
    <x v="1157"/>
    <x v="186"/>
    <s v="FRCLIM000122"/>
    <s v="Yes"/>
    <s v="Climate;PAB"/>
    <s v="PAB"/>
    <s v="TPABG"/>
    <s v="Euronext Paris"/>
    <s v="Non-significant benchmark"/>
    <n v="0"/>
    <n v="0"/>
    <n v="0"/>
    <n v="0"/>
    <n v="0"/>
    <n v="0"/>
    <n v="0"/>
    <x v="1"/>
  </r>
  <r>
    <x v="1158"/>
    <x v="186"/>
    <s v="FRCLIM000114"/>
    <s v="Yes"/>
    <s v="Climate;PAB"/>
    <s v="PAB"/>
    <s v="TPABN"/>
    <s v="Euronext Paris"/>
    <s v="Non-significant benchmark"/>
    <n v="0"/>
    <n v="0"/>
    <n v="0"/>
    <n v="0"/>
    <n v="0"/>
    <n v="0"/>
    <n v="0"/>
    <x v="1"/>
  </r>
  <r>
    <x v="1159"/>
    <x v="187"/>
    <s v="FRIX00002298"/>
    <s v="No"/>
    <s v="Country"/>
    <m/>
    <s v="CACVB"/>
    <s v="Euronext Paris"/>
    <s v="Non-significant benchmark"/>
    <n v="0"/>
    <n v="0"/>
    <n v="0"/>
    <n v="0"/>
    <n v="0"/>
    <n v="0"/>
    <n v="0"/>
    <x v="1"/>
  </r>
  <r>
    <x v="1160"/>
    <x v="188"/>
    <s v="NLIX00001874"/>
    <s v="No"/>
    <s v="Country"/>
    <m/>
    <s v="CANP"/>
    <s v="Euronext Paris"/>
    <s v="Non-significant benchmark"/>
    <n v="0"/>
    <n v="0"/>
    <n v="0"/>
    <n v="0"/>
    <n v="0"/>
    <n v="0"/>
    <n v="0"/>
    <x v="1"/>
  </r>
  <r>
    <x v="1161"/>
    <x v="188"/>
    <s v="NLIX00001890"/>
    <s v="No"/>
    <s v="Country"/>
    <m/>
    <s v="CANG"/>
    <s v="Euronext Paris"/>
    <s v="Non-significant benchmark"/>
    <n v="0"/>
    <n v="0"/>
    <n v="0"/>
    <n v="0"/>
    <n v="0"/>
    <n v="0"/>
    <n v="0"/>
    <x v="1"/>
  </r>
  <r>
    <x v="1162"/>
    <x v="188"/>
    <s v="NLIX00001882"/>
    <s v="No"/>
    <s v="Country"/>
    <m/>
    <s v="CANN"/>
    <s v="Euronext Paris"/>
    <s v="Non-significant benchmark"/>
    <n v="0"/>
    <n v="0"/>
    <n v="0"/>
    <n v="0"/>
    <n v="0"/>
    <n v="0"/>
    <n v="0"/>
    <x v="1"/>
  </r>
  <r>
    <x v="1163"/>
    <x v="189"/>
    <s v="NLIX00001726"/>
    <s v="No"/>
    <s v="International"/>
    <m/>
    <s v="DASP"/>
    <s v="Euronext Paris"/>
    <s v="Non-significant benchmark"/>
    <n v="0"/>
    <n v="0"/>
    <n v="0"/>
    <n v="0"/>
    <n v="0"/>
    <n v="0"/>
    <n v="0"/>
    <x v="1"/>
  </r>
  <r>
    <x v="1164"/>
    <x v="189"/>
    <s v="NLIX00001742"/>
    <s v="No"/>
    <s v="International"/>
    <m/>
    <s v="DASG"/>
    <s v="Euronext Paris"/>
    <s v="Non-significant benchmark"/>
    <n v="0"/>
    <n v="0"/>
    <n v="0"/>
    <n v="0"/>
    <n v="0"/>
    <n v="0"/>
    <n v="0"/>
    <x v="1"/>
  </r>
  <r>
    <x v="1165"/>
    <x v="189"/>
    <s v="NLIX00001734"/>
    <s v="No"/>
    <s v="International"/>
    <m/>
    <s v="DASN"/>
    <s v="Euronext Paris"/>
    <s v="Non-significant benchmark"/>
    <n v="0"/>
    <n v="0"/>
    <n v="0"/>
    <n v="0"/>
    <n v="0"/>
    <n v="0"/>
    <n v="0"/>
    <x v="1"/>
  </r>
  <r>
    <x v="1166"/>
    <x v="190"/>
    <s v="NLIX00001692"/>
    <s v="No"/>
    <s v="International"/>
    <m/>
    <s v="DAPPR"/>
    <s v="Euronext Paris"/>
    <s v="Non-significant benchmark"/>
    <n v="0"/>
    <n v="0"/>
    <n v="0"/>
    <n v="0"/>
    <n v="0"/>
    <n v="0"/>
    <n v="0"/>
    <x v="1"/>
  </r>
  <r>
    <x v="1167"/>
    <x v="190"/>
    <s v="NLIX00001718"/>
    <s v="No"/>
    <s v="International"/>
    <m/>
    <s v="DAPG"/>
    <s v="Euronext Paris"/>
    <s v="Non-significant benchmark"/>
    <n v="0"/>
    <n v="0"/>
    <n v="0"/>
    <n v="0"/>
    <n v="0"/>
    <n v="0"/>
    <n v="0"/>
    <x v="1"/>
  </r>
  <r>
    <x v="1168"/>
    <x v="190"/>
    <s v="NLIX00001700"/>
    <s v="No"/>
    <s v="International"/>
    <m/>
    <s v="DAPN"/>
    <s v="Euronext Paris"/>
    <s v="Non-significant benchmark"/>
    <n v="0"/>
    <n v="0"/>
    <n v="0"/>
    <n v="0"/>
    <n v="0"/>
    <n v="0"/>
    <n v="0"/>
    <x v="1"/>
  </r>
  <r>
    <x v="1169"/>
    <x v="191"/>
    <s v="NLIX00001601"/>
    <s v="No"/>
    <s v="International"/>
    <m/>
    <s v="DEUP"/>
    <s v="Euronext Paris"/>
    <s v="Non-significant benchmark"/>
    <n v="0"/>
    <n v="0"/>
    <n v="0"/>
    <n v="0"/>
    <n v="0"/>
    <n v="0"/>
    <n v="0"/>
    <x v="1"/>
  </r>
  <r>
    <x v="1170"/>
    <x v="191"/>
    <s v="NLIX00001627"/>
    <s v="No"/>
    <s v="International"/>
    <m/>
    <s v="DEUG"/>
    <s v="Euronext Paris"/>
    <s v="Non-significant benchmark"/>
    <n v="0"/>
    <n v="0"/>
    <n v="0"/>
    <n v="0"/>
    <n v="0"/>
    <n v="0"/>
    <n v="0"/>
    <x v="1"/>
  </r>
  <r>
    <x v="1171"/>
    <x v="191"/>
    <s v="NLIX00001619"/>
    <s v="No"/>
    <s v="International"/>
    <m/>
    <s v="DEUN"/>
    <s v="Euronext Paris"/>
    <s v="Non-significant benchmark"/>
    <n v="0"/>
    <n v="0"/>
    <n v="0"/>
    <n v="0"/>
    <n v="0"/>
    <n v="0"/>
    <n v="0"/>
    <x v="1"/>
  </r>
  <r>
    <x v="1172"/>
    <x v="192"/>
    <s v="NLIX00001635"/>
    <s v="No"/>
    <s v="International"/>
    <m/>
    <s v="DEZP"/>
    <s v="Euronext Paris"/>
    <s v="Non-significant benchmark"/>
    <n v="0"/>
    <n v="0"/>
    <n v="0"/>
    <n v="0"/>
    <n v="0"/>
    <n v="0"/>
    <n v="0"/>
    <x v="1"/>
  </r>
  <r>
    <x v="1173"/>
    <x v="192"/>
    <s v="NLIX00001650"/>
    <s v="No"/>
    <s v="International"/>
    <m/>
    <s v="DEZG"/>
    <s v="Euronext Paris"/>
    <s v="Non-significant benchmark"/>
    <n v="0"/>
    <n v="0"/>
    <n v="0"/>
    <n v="0"/>
    <n v="0"/>
    <n v="0"/>
    <n v="0"/>
    <x v="1"/>
  </r>
  <r>
    <x v="1174"/>
    <x v="192"/>
    <s v="NLIX00001643"/>
    <s v="No"/>
    <s v="International"/>
    <m/>
    <s v="DEZN"/>
    <s v="Euronext Paris"/>
    <s v="Non-significant benchmark"/>
    <n v="0"/>
    <n v="0"/>
    <n v="0"/>
    <n v="0"/>
    <n v="0"/>
    <n v="0"/>
    <n v="0"/>
    <x v="1"/>
  </r>
  <r>
    <x v="1175"/>
    <x v="193"/>
    <s v="NLIX00001668"/>
    <s v="No"/>
    <s v="International"/>
    <m/>
    <s v="DNAP"/>
    <s v="Euronext Paris"/>
    <s v="Non-significant benchmark"/>
    <n v="0"/>
    <n v="0"/>
    <n v="0"/>
    <n v="0"/>
    <n v="0"/>
    <n v="0"/>
    <n v="0"/>
    <x v="1"/>
  </r>
  <r>
    <x v="1176"/>
    <x v="193"/>
    <s v="NLIX00001684"/>
    <s v="No"/>
    <s v="International"/>
    <m/>
    <s v="DNAG"/>
    <s v="Euronext Paris"/>
    <s v="Non-significant benchmark"/>
    <n v="0"/>
    <n v="0"/>
    <n v="0"/>
    <n v="0"/>
    <n v="0"/>
    <n v="0"/>
    <n v="0"/>
    <x v="1"/>
  </r>
  <r>
    <x v="1177"/>
    <x v="193"/>
    <s v="NLIX00001676"/>
    <s v="No"/>
    <s v="International"/>
    <m/>
    <s v="DNAN"/>
    <s v="Euronext Paris"/>
    <s v="Non-significant benchmark"/>
    <n v="0"/>
    <n v="0"/>
    <n v="0"/>
    <n v="0"/>
    <n v="0"/>
    <n v="0"/>
    <n v="0"/>
    <x v="1"/>
  </r>
  <r>
    <x v="1178"/>
    <x v="194"/>
    <s v="NLIX00001759"/>
    <s v="No"/>
    <s v="International"/>
    <m/>
    <s v="DPAP"/>
    <s v="Euronext Paris"/>
    <s v="Non-significant benchmark"/>
    <n v="0"/>
    <n v="0"/>
    <n v="0"/>
    <n v="0"/>
    <n v="0"/>
    <n v="0"/>
    <n v="0"/>
    <x v="1"/>
  </r>
  <r>
    <x v="1179"/>
    <x v="194"/>
    <s v="NLIX00001775"/>
    <s v="No"/>
    <s v="International"/>
    <m/>
    <s v="DPAG"/>
    <s v="Euronext Paris"/>
    <s v="Non-significant benchmark"/>
    <n v="0"/>
    <n v="0"/>
    <n v="0"/>
    <n v="0"/>
    <n v="0"/>
    <n v="0"/>
    <n v="0"/>
    <x v="1"/>
  </r>
  <r>
    <x v="1180"/>
    <x v="194"/>
    <s v="NLIX00001767"/>
    <s v="No"/>
    <s v="International"/>
    <m/>
    <s v="DPAN"/>
    <s v="Euronext Paris"/>
    <s v="Non-significant benchmark"/>
    <n v="0"/>
    <n v="0"/>
    <n v="0"/>
    <n v="0"/>
    <n v="0"/>
    <n v="0"/>
    <n v="0"/>
    <x v="1"/>
  </r>
  <r>
    <x v="1181"/>
    <x v="195"/>
    <s v="NLIX00001593"/>
    <s v="No"/>
    <s v="International"/>
    <m/>
    <s v="EDWG"/>
    <s v="Euronext Paris"/>
    <s v="Non-significant benchmark"/>
    <n v="0"/>
    <n v="0"/>
    <n v="0"/>
    <n v="0"/>
    <n v="0"/>
    <n v="0"/>
    <n v="0"/>
    <x v="1"/>
  </r>
  <r>
    <x v="1182"/>
    <x v="195"/>
    <s v="NLIX00001585"/>
    <s v="No"/>
    <s v="International"/>
    <m/>
    <s v="EDWN"/>
    <s v="Euronext Paris"/>
    <s v="Non-significant benchmark"/>
    <n v="0"/>
    <n v="0"/>
    <n v="0"/>
    <n v="0"/>
    <n v="0"/>
    <n v="0"/>
    <n v="0"/>
    <x v="1"/>
  </r>
  <r>
    <x v="1183"/>
    <x v="195"/>
    <s v="NLIX00001577"/>
    <s v="No"/>
    <s v="International"/>
    <m/>
    <s v="EDWP"/>
    <s v="Euronext Paris"/>
    <s v="Non-significant benchmark"/>
    <n v="0"/>
    <n v="0"/>
    <n v="0"/>
    <n v="0"/>
    <n v="0"/>
    <n v="0"/>
    <n v="0"/>
    <x v="1"/>
  </r>
  <r>
    <x v="1184"/>
    <x v="196"/>
    <s v="NLESG0000048"/>
    <s v="Yes"/>
    <s v="Broad ESG"/>
    <s v="ESG Other"/>
    <s v="EDWEP"/>
    <s v="Euronext Paris"/>
    <s v="Non-significant benchmark"/>
    <n v="0"/>
    <n v="0"/>
    <n v="0"/>
    <n v="0"/>
    <n v="0"/>
    <n v="0"/>
    <n v="0"/>
    <x v="1"/>
  </r>
  <r>
    <x v="1185"/>
    <x v="196"/>
    <s v="NLESG0000063"/>
    <s v="Yes"/>
    <s v="Broad ESG"/>
    <s v="ESG Other"/>
    <s v="EDWEG"/>
    <s v="Euronext Paris"/>
    <s v="Non-significant benchmark"/>
    <n v="0"/>
    <n v="0"/>
    <n v="0"/>
    <n v="0"/>
    <n v="0"/>
    <n v="0"/>
    <n v="0"/>
    <x v="1"/>
  </r>
  <r>
    <x v="1186"/>
    <x v="196"/>
    <s v="NLESG0000055"/>
    <s v="Yes"/>
    <s v="Broad ESG"/>
    <s v="ESG Other"/>
    <s v="EDWEN"/>
    <s v="Euronext Paris"/>
    <s v="Non-significant benchmark"/>
    <n v="0"/>
    <n v="0"/>
    <n v="0"/>
    <n v="0"/>
    <n v="0"/>
    <n v="0"/>
    <n v="0"/>
    <x v="1"/>
  </r>
  <r>
    <x v="1187"/>
    <x v="197"/>
    <s v="NLIX00002336"/>
    <s v="No"/>
    <s v="International"/>
    <m/>
    <s v="ENEZ5"/>
    <s v="Euronext Paris"/>
    <s v="Non-significant benchmark"/>
    <n v="0"/>
    <n v="0"/>
    <n v="0"/>
    <n v="0"/>
    <n v="0"/>
    <n v="0"/>
    <n v="0"/>
    <x v="1"/>
  </r>
  <r>
    <x v="1188"/>
    <x v="183"/>
    <s v="FRESG0001510"/>
    <s v="Yes"/>
    <s v="Climate;Environmental"/>
    <s v="ESG Other"/>
    <s v="FCLS5"/>
    <s v="Euronext Paris"/>
    <s v="Non-significant benchmark"/>
    <n v="0"/>
    <n v="0"/>
    <n v="0"/>
    <n v="0"/>
    <n v="0"/>
    <n v="0"/>
    <n v="0"/>
    <x v="1"/>
  </r>
  <r>
    <x v="1189"/>
    <x v="102"/>
    <s v="FRESG0001528"/>
    <s v="Yes"/>
    <s v="Broad ESG"/>
    <s v="ESG Other"/>
    <s v="GHCER"/>
    <s v="Euronext Paris"/>
    <s v="Non-significant benchmark"/>
    <n v="0"/>
    <n v="0"/>
    <n v="0"/>
    <n v="0"/>
    <n v="0"/>
    <n v="0"/>
    <n v="0"/>
    <x v="1"/>
  </r>
  <r>
    <x v="1190"/>
    <x v="198"/>
    <s v="FRCLIM000189"/>
    <s v="Yes"/>
    <s v="Climate;Environmental"/>
    <s v="ESG Other"/>
    <s v="GSCDP"/>
    <s v="Euronext Paris"/>
    <s v="Non-significant benchmark"/>
    <n v="0"/>
    <n v="0"/>
    <n v="0"/>
    <n v="0"/>
    <n v="0"/>
    <n v="0"/>
    <n v="0"/>
    <x v="1"/>
  </r>
  <r>
    <x v="1191"/>
    <x v="198"/>
    <s v="FRCLIM000197"/>
    <m/>
    <s v="Climate;Environmental"/>
    <s v="ESG Other"/>
    <s v="GSCDG"/>
    <s v="Euronext Paris"/>
    <s v="Non-significant benchmark"/>
    <n v="0"/>
    <n v="0"/>
    <n v="0"/>
    <n v="0"/>
    <n v="0"/>
    <n v="0"/>
    <n v="0"/>
    <x v="1"/>
  </r>
  <r>
    <x v="1192"/>
    <x v="199"/>
    <s v="NLIX00001817"/>
    <s v="No"/>
    <s v="Country"/>
    <m/>
    <s v="EJPP"/>
    <s v="Euronext Paris"/>
    <s v="Non-significant benchmark"/>
    <n v="0"/>
    <n v="0"/>
    <n v="0"/>
    <n v="0"/>
    <n v="0"/>
    <n v="0"/>
    <n v="0"/>
    <x v="1"/>
  </r>
  <r>
    <x v="1193"/>
    <x v="199"/>
    <s v="NLIX00001833"/>
    <s v="No"/>
    <s v="Country"/>
    <m/>
    <s v="EJPG"/>
    <s v="Euronext Paris"/>
    <s v="Non-significant benchmark"/>
    <n v="0"/>
    <n v="0"/>
    <n v="0"/>
    <n v="0"/>
    <n v="0"/>
    <n v="0"/>
    <n v="0"/>
    <x v="1"/>
  </r>
  <r>
    <x v="1194"/>
    <x v="199"/>
    <s v="NLIX00001825"/>
    <s v="No"/>
    <s v="Country"/>
    <m/>
    <s v="EJPN"/>
    <s v="Euronext Paris"/>
    <s v="Non-significant benchmark"/>
    <n v="0"/>
    <n v="0"/>
    <n v="0"/>
    <n v="0"/>
    <n v="0"/>
    <n v="0"/>
    <n v="0"/>
    <x v="1"/>
  </r>
  <r>
    <x v="1195"/>
    <x v="120"/>
    <s v="FRIX00002322"/>
    <s v="No"/>
    <s v="Single Stock"/>
    <m/>
    <s v="SGED3"/>
    <s v="Euronext Paris"/>
    <s v="Non-significant benchmark"/>
    <n v="2098447"/>
    <n v="30000000"/>
    <n v="4862998.0608000001"/>
    <n v="0"/>
    <n v="0"/>
    <n v="0"/>
    <n v="4862998.0608000001"/>
    <x v="1"/>
  </r>
  <r>
    <x v="1196"/>
    <x v="120"/>
    <s v="FRIX00002314"/>
    <s v="No"/>
    <s v="Single Stock"/>
    <m/>
    <s v="SGEG3"/>
    <s v="Euronext Paris"/>
    <s v="Non-significant benchmark"/>
    <n v="0"/>
    <n v="0"/>
    <n v="0"/>
    <n v="0"/>
    <n v="0"/>
    <n v="0"/>
    <n v="0"/>
    <x v="1"/>
  </r>
  <r>
    <x v="1197"/>
    <x v="120"/>
    <s v="FRIX00002306"/>
    <s v="No"/>
    <s v="Single Stock"/>
    <m/>
    <s v="SGEP3"/>
    <s v="Euronext Paris"/>
    <s v="Non-significant benchmark"/>
    <n v="0"/>
    <n v="0"/>
    <n v="0"/>
    <n v="0"/>
    <n v="0"/>
    <n v="0"/>
    <n v="0"/>
    <x v="1"/>
  </r>
  <r>
    <x v="1198"/>
    <x v="120"/>
    <s v="FRIX00002363"/>
    <s v="No"/>
    <s v="Single Stock"/>
    <m/>
    <s v="SGSAN"/>
    <s v="Euronext Paris"/>
    <s v="Non-significant benchmark"/>
    <n v="0"/>
    <n v="30000000"/>
    <n v="4881418.5080000004"/>
    <n v="0"/>
    <n v="0"/>
    <n v="0"/>
    <n v="30000000"/>
    <x v="1"/>
  </r>
  <r>
    <x v="1199"/>
    <x v="120"/>
    <s v="FRIX00002355"/>
    <s v="No"/>
    <s v="Single Stock"/>
    <m/>
    <s v="SGSAG"/>
    <s v="Euronext Paris"/>
    <s v="Non-significant benchmark"/>
    <n v="0"/>
    <n v="0"/>
    <n v="0"/>
    <n v="0"/>
    <n v="0"/>
    <n v="0"/>
    <n v="0"/>
    <x v="1"/>
  </r>
  <r>
    <x v="1200"/>
    <x v="120"/>
    <s v="FRIX00002348"/>
    <s v="No"/>
    <s v="Single Stock"/>
    <m/>
    <s v="SGSAP"/>
    <s v="Euronext Paris"/>
    <s v="Non-significant benchmark"/>
    <n v="0"/>
    <n v="0"/>
    <n v="0"/>
    <n v="0"/>
    <n v="0"/>
    <n v="0"/>
    <n v="0"/>
    <x v="1"/>
  </r>
  <r>
    <x v="1201"/>
    <x v="120"/>
    <s v="FRIX00002397"/>
    <s v="No"/>
    <s v="Single Stock"/>
    <m/>
    <s v="SGG2D"/>
    <s v="Euronext Paris"/>
    <s v="Non-significant benchmark"/>
    <n v="10394010.9"/>
    <n v="120000000"/>
    <n v="19884872.7524"/>
    <n v="0"/>
    <n v="0"/>
    <n v="0"/>
    <n v="19884872.7524"/>
    <x v="1"/>
  </r>
  <r>
    <x v="1202"/>
    <x v="120"/>
    <s v="FRIX00002389"/>
    <s v="No"/>
    <s v="Single Stock"/>
    <m/>
    <s v="SGG2G"/>
    <s v="Euronext Paris"/>
    <s v="Non-significant benchmark"/>
    <n v="0"/>
    <n v="0"/>
    <n v="0"/>
    <n v="0"/>
    <n v="0"/>
    <n v="0"/>
    <n v="0"/>
    <x v="1"/>
  </r>
  <r>
    <x v="1203"/>
    <x v="120"/>
    <s v="FRIX00002371"/>
    <s v="No"/>
    <s v="Single Stock"/>
    <m/>
    <s v="SGG2P"/>
    <s v="Euronext Paris"/>
    <s v="Non-significant benchmark"/>
    <n v="0"/>
    <n v="0"/>
    <n v="0"/>
    <n v="0"/>
    <n v="0"/>
    <n v="0"/>
    <n v="0"/>
    <x v="1"/>
  </r>
  <r>
    <x v="1204"/>
    <x v="200"/>
    <s v="NLIX00001841"/>
    <s v="No"/>
    <s v="Country"/>
    <m/>
    <s v="ECHP"/>
    <s v="Euronext Paris"/>
    <s v="Non-significant benchmark"/>
    <n v="0"/>
    <n v="0"/>
    <n v="0"/>
    <n v="0"/>
    <n v="0"/>
    <n v="0"/>
    <n v="0"/>
    <x v="1"/>
  </r>
  <r>
    <x v="1205"/>
    <x v="200"/>
    <s v="NLIX00001866"/>
    <s v="No"/>
    <s v="Country"/>
    <m/>
    <s v="ECHG"/>
    <s v="Euronext Paris"/>
    <s v="Non-significant benchmark"/>
    <n v="0"/>
    <n v="0"/>
    <n v="0"/>
    <n v="0"/>
    <n v="0"/>
    <n v="0"/>
    <n v="0"/>
    <x v="1"/>
  </r>
  <r>
    <x v="1206"/>
    <x v="200"/>
    <s v="NLIX00001858"/>
    <s v="No"/>
    <s v="Country"/>
    <m/>
    <s v="ECHN"/>
    <s v="Euronext Paris"/>
    <s v="Non-significant benchmark"/>
    <n v="0"/>
    <n v="0"/>
    <n v="0"/>
    <n v="0"/>
    <n v="0"/>
    <n v="0"/>
    <n v="0"/>
    <x v="1"/>
  </r>
  <r>
    <x v="1207"/>
    <x v="201"/>
    <s v="NLIX00001908"/>
    <s v="No"/>
    <s v="Country"/>
    <m/>
    <s v="EUKP"/>
    <s v="Euronext Paris"/>
    <s v="Non-significant benchmark"/>
    <n v="0"/>
    <n v="0"/>
    <n v="0"/>
    <n v="0"/>
    <n v="0"/>
    <n v="0"/>
    <n v="0"/>
    <x v="1"/>
  </r>
  <r>
    <x v="1208"/>
    <x v="201"/>
    <s v="NLIX00001924"/>
    <s v="No"/>
    <s v="Country"/>
    <m/>
    <s v="EUKG"/>
    <s v="Euronext Paris"/>
    <s v="Non-significant benchmark"/>
    <n v="0"/>
    <n v="0"/>
    <n v="0"/>
    <n v="0"/>
    <n v="0"/>
    <n v="0"/>
    <n v="0"/>
    <x v="1"/>
  </r>
  <r>
    <x v="1209"/>
    <x v="201"/>
    <s v="NLIX00001916"/>
    <s v="No"/>
    <s v="Country"/>
    <m/>
    <s v="EUKN"/>
    <s v="Euronext Paris"/>
    <s v="Non-significant benchmark"/>
    <n v="0"/>
    <n v="0"/>
    <n v="0"/>
    <n v="0"/>
    <n v="0"/>
    <n v="0"/>
    <n v="0"/>
    <x v="1"/>
  </r>
  <r>
    <x v="1210"/>
    <x v="202"/>
    <s v="NLIX00001783"/>
    <s v="No"/>
    <s v="Country"/>
    <m/>
    <s v="EUSP"/>
    <s v="Euronext Paris"/>
    <s v="Non-significant benchmark"/>
    <n v="0"/>
    <n v="0"/>
    <n v="0"/>
    <n v="0"/>
    <n v="0"/>
    <n v="0"/>
    <n v="0"/>
    <x v="1"/>
  </r>
  <r>
    <x v="1211"/>
    <x v="202"/>
    <s v="NLIX00001809"/>
    <s v="No"/>
    <s v="Country"/>
    <m/>
    <s v="EUSG"/>
    <s v="Euronext Paris"/>
    <s v="Non-significant benchmark"/>
    <n v="0"/>
    <n v="0"/>
    <n v="0"/>
    <n v="0"/>
    <n v="0"/>
    <n v="0"/>
    <n v="0"/>
    <x v="1"/>
  </r>
  <r>
    <x v="1212"/>
    <x v="202"/>
    <s v="NLIX00001791"/>
    <s v="No"/>
    <s v="Country"/>
    <m/>
    <s v="EUSN"/>
    <s v="Euronext Paris"/>
    <s v="Non-significant benchmark"/>
    <n v="0"/>
    <n v="0"/>
    <n v="0"/>
    <n v="0"/>
    <n v="0"/>
    <n v="0"/>
    <n v="0"/>
    <x v="1"/>
  </r>
  <r>
    <x v="1213"/>
    <x v="203"/>
    <s v="NLIX00003086"/>
    <s v="No"/>
    <s v="Industry"/>
    <m/>
    <s v="AERDP"/>
    <s v="Euronext Amsterdam"/>
    <s v="Non-significant benchmark"/>
    <n v="0"/>
    <n v="0"/>
    <n v="0"/>
    <n v="0"/>
    <n v="0"/>
    <n v="0"/>
    <n v="0"/>
    <x v="1"/>
  </r>
  <r>
    <x v="1214"/>
    <x v="203"/>
    <s v="NLIX00003110"/>
    <s v="No"/>
    <s v="Industry"/>
    <m/>
    <s v="ARD35"/>
    <s v="Euronext Amsterdam"/>
    <s v="Non-significant benchmark"/>
    <n v="0"/>
    <n v="0"/>
    <n v="0"/>
    <n v="0"/>
    <n v="0"/>
    <n v="0"/>
    <n v="0"/>
    <x v="1"/>
  </r>
  <r>
    <x v="1215"/>
    <x v="203"/>
    <s v="NLIX00003128"/>
    <s v="No"/>
    <s v="Industry"/>
    <m/>
    <s v="AERD5"/>
    <s v="Euronext Amsterdam"/>
    <s v="Non-significant benchmark"/>
    <n v="0"/>
    <n v="0"/>
    <n v="0"/>
    <n v="0"/>
    <n v="0"/>
    <n v="0"/>
    <n v="0"/>
    <x v="1"/>
  </r>
  <r>
    <x v="1216"/>
    <x v="203"/>
    <s v="NLIX00003094"/>
    <s v="No"/>
    <s v="Industry"/>
    <m/>
    <s v="AERDG"/>
    <s v="Euronext Amsterdam"/>
    <s v="Non-significant benchmark"/>
    <n v="0"/>
    <n v="0"/>
    <n v="0"/>
    <n v="0"/>
    <n v="0"/>
    <n v="0"/>
    <n v="0"/>
    <x v="1"/>
  </r>
  <r>
    <x v="1217"/>
    <x v="203"/>
    <s v="NLIX00003102"/>
    <s v="No"/>
    <s v="Industry"/>
    <m/>
    <s v="AERDN"/>
    <s v="Euronext Amsterdam"/>
    <s v="Non-significant benchmark"/>
    <n v="0"/>
    <n v="0"/>
    <n v="0"/>
    <n v="0"/>
    <n v="0"/>
    <n v="0"/>
    <n v="0"/>
    <x v="1"/>
  </r>
  <r>
    <x v="1218"/>
    <x v="204"/>
    <s v="FRESG0002583"/>
    <s v="Yes"/>
    <s v="Biodiversity;Climate;PAB"/>
    <m/>
    <s v="BIOCP"/>
    <s v="Euronext Paris"/>
    <s v="Non-significant benchmark"/>
    <n v="0"/>
    <n v="0"/>
    <n v="0"/>
    <n v="0"/>
    <n v="0"/>
    <n v="0"/>
    <n v="0"/>
    <x v="1"/>
  </r>
  <r>
    <x v="1219"/>
    <x v="204"/>
    <s v="FRESG0002617"/>
    <s v="Yes"/>
    <s v="Biodiversity;Climate;PAB"/>
    <m/>
    <s v="BIOC3"/>
    <s v="Euronext Paris"/>
    <s v="Non-significant benchmark"/>
    <n v="0"/>
    <n v="0"/>
    <n v="0"/>
    <n v="0"/>
    <n v="0"/>
    <n v="0"/>
    <n v="0"/>
    <x v="1"/>
  </r>
  <r>
    <x v="1220"/>
    <x v="204"/>
    <s v="FRESG0002765"/>
    <s v="Yes"/>
    <s v="Biodiversity;Climate;PAB"/>
    <m/>
    <s v="BIOC5"/>
    <s v="Euronext Paris"/>
    <s v="Non-significant benchmark"/>
    <n v="0"/>
    <n v="0"/>
    <n v="0"/>
    <n v="0"/>
    <n v="0"/>
    <n v="0"/>
    <n v="0"/>
    <x v="1"/>
  </r>
  <r>
    <x v="1221"/>
    <x v="204"/>
    <s v="FRESG0002609"/>
    <s v="Yes"/>
    <s v="Biodiversity;Climate;PAB"/>
    <m/>
    <s v="BIOCG"/>
    <s v="Euronext Paris"/>
    <s v="Non-significant benchmark"/>
    <n v="0"/>
    <n v="0"/>
    <n v="0"/>
    <n v="0"/>
    <n v="0"/>
    <n v="0"/>
    <n v="0"/>
    <x v="1"/>
  </r>
  <r>
    <x v="1222"/>
    <x v="204"/>
    <s v="FRESG0002591"/>
    <s v="Yes"/>
    <s v="Biodiversity;Climate;PAB"/>
    <m/>
    <s v="BIOCN"/>
    <s v="Euronext Paris"/>
    <s v="Non-significant benchmark"/>
    <n v="0"/>
    <n v="0"/>
    <n v="0"/>
    <n v="0"/>
    <n v="0"/>
    <n v="0"/>
    <n v="0"/>
    <x v="1"/>
  </r>
  <r>
    <x v="1223"/>
    <x v="205"/>
    <s v="NLIX00002252"/>
    <s v="No"/>
    <s v="Country"/>
    <m/>
    <s v="CANGT"/>
    <s v="Euronext Amsterdam"/>
    <s v="Non-significant benchmark"/>
    <n v="0"/>
    <n v="0"/>
    <n v="0"/>
    <n v="0"/>
    <n v="0"/>
    <n v="0"/>
    <n v="0"/>
    <x v="1"/>
  </r>
  <r>
    <x v="1224"/>
    <x v="205"/>
    <s v="NLIX00002245"/>
    <s v="No"/>
    <s v="Country"/>
    <m/>
    <s v="CANNT"/>
    <s v="Euronext Amsterdam"/>
    <s v="Non-significant benchmark"/>
    <n v="0"/>
    <n v="0"/>
    <n v="0"/>
    <n v="0"/>
    <n v="0"/>
    <n v="0"/>
    <n v="0"/>
    <x v="1"/>
  </r>
  <r>
    <x v="1225"/>
    <x v="205"/>
    <s v="NLIX00002237"/>
    <s v="No"/>
    <s v="Country"/>
    <m/>
    <s v="CANPT"/>
    <s v="Euronext Amsterdam"/>
    <s v="Non-significant benchmark"/>
    <n v="0"/>
    <n v="0"/>
    <n v="0"/>
    <n v="0"/>
    <n v="0"/>
    <n v="0"/>
    <n v="0"/>
    <x v="1"/>
  </r>
  <r>
    <x v="1226"/>
    <x v="206"/>
    <s v="NLIX00002070"/>
    <s v="No"/>
    <s v="International"/>
    <m/>
    <s v="DAPGT"/>
    <s v="Euronext Amsterdam"/>
    <s v="Non-significant benchmark"/>
    <n v="0"/>
    <n v="0"/>
    <n v="0"/>
    <n v="0"/>
    <n v="0"/>
    <n v="0"/>
    <n v="0"/>
    <x v="1"/>
  </r>
  <r>
    <x v="1227"/>
    <x v="206"/>
    <s v="NLIX00002062"/>
    <s v="No"/>
    <s v="International"/>
    <m/>
    <s v="DAPNT"/>
    <s v="Euronext Amsterdam"/>
    <s v="Non-significant benchmark"/>
    <n v="0"/>
    <n v="0"/>
    <n v="0"/>
    <n v="0"/>
    <n v="0"/>
    <n v="0"/>
    <n v="0"/>
    <x v="1"/>
  </r>
  <r>
    <x v="1228"/>
    <x v="206"/>
    <s v="NLIX00002054"/>
    <s v="No"/>
    <s v="International"/>
    <m/>
    <s v="DAPPT"/>
    <s v="Euronext Amsterdam"/>
    <s v="Non-significant benchmark"/>
    <n v="0"/>
    <n v="0"/>
    <n v="0"/>
    <n v="0"/>
    <n v="0"/>
    <n v="0"/>
    <n v="0"/>
    <x v="1"/>
  </r>
  <r>
    <x v="1229"/>
    <x v="207"/>
    <s v="NLIX00002104"/>
    <s v="No"/>
    <s v="International"/>
    <m/>
    <s v="DASGT"/>
    <s v="Euronext Amsterdam"/>
    <s v="Non-significant benchmark"/>
    <n v="0"/>
    <n v="0"/>
    <n v="0"/>
    <n v="0"/>
    <n v="0"/>
    <n v="0"/>
    <n v="0"/>
    <x v="1"/>
  </r>
  <r>
    <x v="1230"/>
    <x v="207"/>
    <s v="NLIX00002096"/>
    <s v="No"/>
    <s v="International"/>
    <m/>
    <s v="DASNT"/>
    <s v="Euronext Amsterdam"/>
    <s v="Non-significant benchmark"/>
    <n v="0"/>
    <n v="0"/>
    <n v="0"/>
    <n v="0"/>
    <n v="0"/>
    <n v="0"/>
    <n v="0"/>
    <x v="1"/>
  </r>
  <r>
    <x v="1231"/>
    <x v="207"/>
    <s v="NLIX00002088"/>
    <s v="No"/>
    <s v="International"/>
    <m/>
    <s v="DASPT"/>
    <s v="Euronext Amsterdam"/>
    <s v="Non-significant benchmark"/>
    <n v="0"/>
    <n v="0"/>
    <n v="0"/>
    <n v="0"/>
    <n v="0"/>
    <n v="0"/>
    <n v="0"/>
    <x v="1"/>
  </r>
  <r>
    <x v="1232"/>
    <x v="208"/>
    <s v="NLIX00001981"/>
    <s v="No"/>
    <s v="International"/>
    <m/>
    <s v="DEUGT"/>
    <s v="Euronext Amsterdam"/>
    <s v="Non-significant benchmark"/>
    <n v="0"/>
    <n v="0"/>
    <n v="0"/>
    <n v="0"/>
    <n v="0"/>
    <n v="0"/>
    <n v="0"/>
    <x v="1"/>
  </r>
  <r>
    <x v="1233"/>
    <x v="208"/>
    <s v="NLIX00001973"/>
    <s v="No"/>
    <s v="International"/>
    <m/>
    <s v="DEUNT"/>
    <s v="Euronext Amsterdam"/>
    <s v="Non-significant benchmark"/>
    <n v="0"/>
    <n v="0"/>
    <n v="0"/>
    <n v="0"/>
    <n v="0"/>
    <n v="0"/>
    <n v="0"/>
    <x v="1"/>
  </r>
  <r>
    <x v="1234"/>
    <x v="208"/>
    <s v="NLIX00001965"/>
    <s v="No"/>
    <s v="International"/>
    <m/>
    <s v="DEUPT"/>
    <s v="Euronext Amsterdam"/>
    <s v="Non-significant benchmark"/>
    <n v="0"/>
    <n v="0"/>
    <n v="0"/>
    <n v="0"/>
    <n v="0"/>
    <n v="0"/>
    <n v="0"/>
    <x v="1"/>
  </r>
  <r>
    <x v="1235"/>
    <x v="209"/>
    <s v="NLIX00002013"/>
    <s v="No"/>
    <s v="International"/>
    <m/>
    <s v="DEZGT"/>
    <s v="Euronext Amsterdam"/>
    <s v="Non-significant benchmark"/>
    <n v="0"/>
    <n v="0"/>
    <n v="0"/>
    <n v="0"/>
    <n v="0"/>
    <n v="0"/>
    <n v="0"/>
    <x v="1"/>
  </r>
  <r>
    <x v="1236"/>
    <x v="209"/>
    <s v="NLIX00002005"/>
    <s v="No"/>
    <s v="International"/>
    <m/>
    <s v="DEZNT"/>
    <s v="Euronext Amsterdam"/>
    <s v="Non-significant benchmark"/>
    <n v="0"/>
    <n v="0"/>
    <n v="0"/>
    <n v="0"/>
    <n v="0"/>
    <n v="0"/>
    <n v="0"/>
    <x v="1"/>
  </r>
  <r>
    <x v="1237"/>
    <x v="209"/>
    <s v="NLIX00001999"/>
    <s v="No"/>
    <s v="International"/>
    <m/>
    <s v="DEZPT"/>
    <s v="Euronext Amsterdam"/>
    <s v="Non-significant benchmark"/>
    <n v="0"/>
    <n v="0"/>
    <n v="0"/>
    <n v="0"/>
    <n v="0"/>
    <n v="0"/>
    <n v="0"/>
    <x v="1"/>
  </r>
  <r>
    <x v="1238"/>
    <x v="210"/>
    <s v="NLIX00002047"/>
    <s v="No"/>
    <s v="International"/>
    <m/>
    <s v="DNAGT"/>
    <s v="Euronext Amsterdam"/>
    <s v="Non-significant benchmark"/>
    <n v="0"/>
    <n v="0"/>
    <n v="0"/>
    <n v="0"/>
    <n v="0"/>
    <n v="0"/>
    <n v="0"/>
    <x v="1"/>
  </r>
  <r>
    <x v="1239"/>
    <x v="210"/>
    <s v="NLIX00002039"/>
    <s v="No"/>
    <s v="International"/>
    <m/>
    <s v="DNANT"/>
    <s v="Euronext Amsterdam"/>
    <s v="Non-significant benchmark"/>
    <n v="0"/>
    <n v="0"/>
    <n v="0"/>
    <n v="0"/>
    <n v="0"/>
    <n v="0"/>
    <n v="0"/>
    <x v="1"/>
  </r>
  <r>
    <x v="1240"/>
    <x v="210"/>
    <s v="NLIX00002021"/>
    <s v="No"/>
    <s v="International"/>
    <m/>
    <s v="DNAPT"/>
    <s v="Euronext Amsterdam"/>
    <s v="Non-significant benchmark"/>
    <n v="0"/>
    <n v="0"/>
    <n v="0"/>
    <n v="0"/>
    <n v="0"/>
    <n v="0"/>
    <n v="0"/>
    <x v="1"/>
  </r>
  <r>
    <x v="1241"/>
    <x v="211"/>
    <s v="NLIX00002138"/>
    <s v="No"/>
    <s v="International"/>
    <m/>
    <s v="DPAGT"/>
    <s v="Euronext Amsterdam"/>
    <s v="Non-significant benchmark"/>
    <n v="0"/>
    <n v="0"/>
    <n v="0"/>
    <n v="0"/>
    <n v="0"/>
    <n v="0"/>
    <n v="0"/>
    <x v="1"/>
  </r>
  <r>
    <x v="1242"/>
    <x v="211"/>
    <s v="NLIX00002120"/>
    <s v="No"/>
    <s v="International"/>
    <m/>
    <s v="DPANT"/>
    <s v="Euronext Amsterdam"/>
    <s v="Non-significant benchmark"/>
    <n v="0"/>
    <n v="0"/>
    <n v="0"/>
    <n v="0"/>
    <n v="0"/>
    <n v="0"/>
    <n v="0"/>
    <x v="1"/>
  </r>
  <r>
    <x v="1243"/>
    <x v="211"/>
    <s v="NLIX00002112"/>
    <s v="No"/>
    <s v="International"/>
    <m/>
    <s v="DPAPT"/>
    <s v="Euronext Amsterdam"/>
    <s v="Non-significant benchmark"/>
    <n v="0"/>
    <n v="0"/>
    <n v="0"/>
    <n v="0"/>
    <n v="0"/>
    <n v="0"/>
    <n v="0"/>
    <x v="1"/>
  </r>
  <r>
    <x v="1244"/>
    <x v="212"/>
    <s v="FRESG0002690"/>
    <s v="Yes"/>
    <s v="Biodiversity"/>
    <m/>
    <s v="TERPR"/>
    <s v="Euronext Paris"/>
    <s v="Non-significant benchmark"/>
    <n v="0"/>
    <n v="0"/>
    <n v="0"/>
    <n v="0"/>
    <n v="0"/>
    <n v="0"/>
    <n v="0"/>
    <x v="1"/>
  </r>
  <r>
    <x v="1245"/>
    <x v="212"/>
    <s v="FRESG0002732"/>
    <s v="Yes"/>
    <s v="Biodiversity"/>
    <m/>
    <s v="TER35"/>
    <s v="Euronext Paris"/>
    <s v="Non-significant benchmark"/>
    <n v="0"/>
    <n v="0"/>
    <n v="0"/>
    <n v="0"/>
    <n v="0"/>
    <n v="0"/>
    <n v="0"/>
    <x v="1"/>
  </r>
  <r>
    <x v="1246"/>
    <x v="212"/>
    <s v="FRESG0002724"/>
    <s v="Yes"/>
    <s v="Biodiversity"/>
    <m/>
    <s v="TER5D"/>
    <s v="Euronext Paris"/>
    <s v="Non-significant benchmark"/>
    <n v="0"/>
    <n v="0"/>
    <n v="0"/>
    <n v="0"/>
    <n v="0"/>
    <n v="0"/>
    <n v="0"/>
    <x v="1"/>
  </r>
  <r>
    <x v="1247"/>
    <x v="212"/>
    <s v="FRESG0002716"/>
    <s v="Yes"/>
    <s v="Biodiversity"/>
    <m/>
    <s v="TERGR"/>
    <s v="Euronext Paris"/>
    <s v="Non-significant benchmark"/>
    <n v="0"/>
    <n v="0"/>
    <n v="0"/>
    <n v="0"/>
    <n v="0"/>
    <n v="0"/>
    <n v="0"/>
    <x v="1"/>
  </r>
  <r>
    <x v="1248"/>
    <x v="212"/>
    <s v="FRESG0002740"/>
    <s v="Yes"/>
    <s v="Biodiversity"/>
    <m/>
    <s v="TER50"/>
    <s v="Euronext Paris"/>
    <s v="Non-significant benchmark"/>
    <n v="0"/>
    <n v="0"/>
    <n v="0"/>
    <n v="0"/>
    <n v="0"/>
    <n v="0"/>
    <n v="0"/>
    <x v="1"/>
  </r>
  <r>
    <x v="1249"/>
    <x v="212"/>
    <s v="FRESG0002708"/>
    <s v="Yes"/>
    <s v="Biodiversity"/>
    <m/>
    <s v="TERNR"/>
    <s v="Euronext Paris"/>
    <s v="Non-significant benchmark"/>
    <n v="0"/>
    <n v="0"/>
    <n v="0"/>
    <n v="0"/>
    <n v="0"/>
    <n v="0"/>
    <n v="0"/>
    <x v="1"/>
  </r>
  <r>
    <x v="1250"/>
    <x v="212"/>
    <s v="FRESG0002757"/>
    <s v="Yes"/>
    <s v="Biodiversity"/>
    <m/>
    <s v="TER5N"/>
    <s v="Euronext Paris"/>
    <s v="Non-significant benchmark"/>
    <n v="0"/>
    <n v="0"/>
    <n v="0"/>
    <n v="0"/>
    <n v="0"/>
    <n v="0"/>
    <n v="0"/>
    <x v="1"/>
  </r>
  <r>
    <x v="1251"/>
    <x v="58"/>
    <s v="FRESG0003987"/>
    <s v="Yes"/>
    <s v="Biodiversity"/>
    <m/>
    <s v="EBLPD"/>
    <s v="Euronext Paris"/>
    <s v="Non-significant benchmark"/>
    <n v="0"/>
    <n v="0"/>
    <n v="0"/>
    <n v="0"/>
    <n v="0"/>
    <n v="0"/>
    <n v="0"/>
    <x v="1"/>
  </r>
  <r>
    <x v="1252"/>
    <x v="213"/>
    <s v="NLIX00002930"/>
    <s v="No"/>
    <s v="Thematic"/>
    <m/>
    <s v="ELUXP"/>
    <s v="Euronext Amsterdam"/>
    <s v="Non-significant benchmark"/>
    <n v="0"/>
    <n v="0"/>
    <n v="0"/>
    <n v="0"/>
    <n v="0"/>
    <n v="0"/>
    <n v="0"/>
    <x v="1"/>
  </r>
  <r>
    <x v="1253"/>
    <x v="213"/>
    <s v="NLIX00002963"/>
    <s v="No"/>
    <s v="Thematic"/>
    <m/>
    <s v="ELUX3"/>
    <s v="Euronext Amsterdam"/>
    <s v="Non-significant benchmark"/>
    <n v="0"/>
    <n v="0"/>
    <n v="0"/>
    <n v="0"/>
    <n v="0"/>
    <n v="0"/>
    <n v="0"/>
    <x v="1"/>
  </r>
  <r>
    <x v="1254"/>
    <x v="213"/>
    <s v="NLIX00002971"/>
    <s v="No"/>
    <s v="Thematic"/>
    <m/>
    <s v="ELUX5"/>
    <s v="Euronext Amsterdam"/>
    <s v="Non-significant benchmark"/>
    <n v="0"/>
    <n v="0"/>
    <n v="0"/>
    <n v="0"/>
    <n v="0"/>
    <n v="0"/>
    <n v="0"/>
    <x v="1"/>
  </r>
  <r>
    <x v="1255"/>
    <x v="213"/>
    <s v="NLIX00002989"/>
    <s v="No"/>
    <s v="Thematic"/>
    <m/>
    <s v="ELD5P"/>
    <s v="Euronext Amsterdam"/>
    <s v="Non-significant benchmark"/>
    <n v="0"/>
    <n v="0"/>
    <n v="0"/>
    <n v="0"/>
    <n v="0"/>
    <n v="0"/>
    <n v="0"/>
    <x v="1"/>
  </r>
  <r>
    <x v="1256"/>
    <x v="213"/>
    <s v="NLIX00002955"/>
    <s v="No"/>
    <s v="Thematic"/>
    <m/>
    <s v="ELUXG"/>
    <s v="Euronext Amsterdam"/>
    <s v="Non-significant benchmark"/>
    <n v="0"/>
    <n v="0"/>
    <n v="0"/>
    <n v="0"/>
    <n v="0"/>
    <n v="0"/>
    <n v="0"/>
    <x v="1"/>
  </r>
  <r>
    <x v="1257"/>
    <x v="213"/>
    <s v="NLIX00002948"/>
    <s v="No"/>
    <s v="Thematic"/>
    <m/>
    <s v="ELUXN"/>
    <s v="Euronext Amsterdam"/>
    <s v="Non-significant benchmark"/>
    <n v="0"/>
    <n v="0"/>
    <n v="0"/>
    <n v="0"/>
    <n v="0"/>
    <n v="0"/>
    <n v="0"/>
    <x v="1"/>
  </r>
  <r>
    <x v="1258"/>
    <x v="71"/>
    <s v="FRCLIM000247"/>
    <s v="Yes"/>
    <s v="Climate;PAB"/>
    <m/>
    <s v="EZ6PD"/>
    <s v="Euronext Paris"/>
    <s v="Non-significant benchmark"/>
    <n v="0"/>
    <n v="0"/>
    <n v="0"/>
    <n v="0"/>
    <n v="0"/>
    <n v="0"/>
    <n v="0"/>
    <x v="1"/>
  </r>
  <r>
    <x v="1259"/>
    <x v="84"/>
    <s v="FRCLIM000239"/>
    <s v="Yes"/>
    <s v="PAB"/>
    <m/>
    <s v="EPABD"/>
    <s v="Euronext Paris"/>
    <s v="Non-significant benchmark"/>
    <n v="0"/>
    <n v="0"/>
    <n v="0"/>
    <n v="0"/>
    <n v="0"/>
    <n v="0"/>
    <n v="0"/>
    <x v="1"/>
  </r>
  <r>
    <x v="1260"/>
    <x v="214"/>
    <s v="NLIX00003557"/>
    <s v="No"/>
    <s v="Thematic"/>
    <m/>
    <s v="BASMG"/>
    <s v="Euronext Amsterdam"/>
    <s v="Non-significant benchmark"/>
    <n v="0"/>
    <n v="0"/>
    <n v="0"/>
    <n v="0"/>
    <n v="0"/>
    <n v="0"/>
    <n v="0"/>
    <x v="1"/>
  </r>
  <r>
    <x v="1261"/>
    <x v="214"/>
    <s v="NLIX00003540"/>
    <s v="No"/>
    <s v="Thematic"/>
    <m/>
    <s v="BASMN"/>
    <s v="Euronext Amsterdam"/>
    <s v="Non-significant benchmark"/>
    <n v="0"/>
    <n v="0"/>
    <n v="0"/>
    <n v="0"/>
    <n v="0"/>
    <n v="0"/>
    <n v="0"/>
    <x v="1"/>
  </r>
  <r>
    <x v="1262"/>
    <x v="214"/>
    <s v="NLIX00003284"/>
    <s v="No"/>
    <s v="Thematic"/>
    <m/>
    <s v="BASM"/>
    <s v="Euronext Amsterdam"/>
    <s v="Non-significant benchmark"/>
    <n v="0"/>
    <n v="0"/>
    <n v="0"/>
    <n v="0"/>
    <n v="0"/>
    <n v="0"/>
    <n v="0"/>
    <x v="1"/>
  </r>
  <r>
    <x v="1263"/>
    <x v="214"/>
    <s v="NLIX00003458"/>
    <s v="No"/>
    <s v="Thematic"/>
    <m/>
    <s v="CDISG"/>
    <s v="Euronext Amsterdam"/>
    <s v="Non-significant benchmark"/>
    <n v="0"/>
    <n v="0"/>
    <n v="0"/>
    <n v="0"/>
    <n v="0"/>
    <n v="0"/>
    <n v="0"/>
    <x v="1"/>
  </r>
  <r>
    <x v="1264"/>
    <x v="214"/>
    <s v="NLIX00003441"/>
    <s v="No"/>
    <s v="Thematic"/>
    <m/>
    <s v="CDISN"/>
    <s v="Euronext Amsterdam"/>
    <s v="Non-significant benchmark"/>
    <n v="0"/>
    <n v="0"/>
    <n v="0"/>
    <n v="0"/>
    <n v="0"/>
    <n v="0"/>
    <n v="0"/>
    <x v="1"/>
  </r>
  <r>
    <x v="1265"/>
    <x v="214"/>
    <s v="NLIX00003292"/>
    <s v="No"/>
    <s v="Thematic"/>
    <m/>
    <s v="CDIS"/>
    <s v="Euronext Amsterdam"/>
    <s v="Non-significant benchmark"/>
    <n v="0"/>
    <n v="0"/>
    <n v="0"/>
    <n v="0"/>
    <n v="0"/>
    <n v="0"/>
    <n v="0"/>
    <x v="1"/>
  </r>
  <r>
    <x v="1266"/>
    <x v="214"/>
    <s v="NLIX00003433"/>
    <s v="No"/>
    <s v="Thematic"/>
    <m/>
    <s v="CSTAG"/>
    <s v="Euronext Amsterdam"/>
    <s v="Non-significant benchmark"/>
    <n v="0"/>
    <n v="0"/>
    <n v="0"/>
    <n v="0"/>
    <n v="0"/>
    <n v="0"/>
    <n v="0"/>
    <x v="1"/>
  </r>
  <r>
    <x v="1267"/>
    <x v="214"/>
    <s v="NLIX00003425"/>
    <s v="No"/>
    <s v="Thematic"/>
    <m/>
    <s v="CSTAN"/>
    <s v="Euronext Amsterdam"/>
    <s v="Non-significant benchmark"/>
    <n v="0"/>
    <n v="0"/>
    <n v="0"/>
    <n v="0"/>
    <n v="0"/>
    <n v="0"/>
    <n v="0"/>
    <x v="1"/>
  </r>
  <r>
    <x v="1268"/>
    <x v="214"/>
    <s v="NLIX00003300"/>
    <s v="No"/>
    <s v="Thematic"/>
    <m/>
    <s v="CSTA"/>
    <s v="Euronext Amsterdam"/>
    <s v="Non-significant benchmark"/>
    <n v="0"/>
    <n v="0"/>
    <n v="0"/>
    <n v="0"/>
    <n v="0"/>
    <n v="0"/>
    <n v="0"/>
    <x v="1"/>
  </r>
  <r>
    <x v="1269"/>
    <x v="214"/>
    <s v="NLIX00003417"/>
    <s v="No"/>
    <s v="Thematic"/>
    <m/>
    <s v="ENRGG"/>
    <s v="Euronext Amsterdam"/>
    <s v="Non-significant benchmark"/>
    <n v="0"/>
    <n v="0"/>
    <n v="0"/>
    <n v="0"/>
    <n v="0"/>
    <n v="0"/>
    <n v="0"/>
    <x v="1"/>
  </r>
  <r>
    <x v="1270"/>
    <x v="214"/>
    <s v="NLIX00003409"/>
    <s v="No"/>
    <s v="Thematic"/>
    <m/>
    <s v="ENRGN"/>
    <s v="Euronext Amsterdam"/>
    <s v="Non-significant benchmark"/>
    <n v="0"/>
    <n v="0"/>
    <n v="0"/>
    <n v="0"/>
    <n v="0"/>
    <n v="0"/>
    <n v="0"/>
    <x v="1"/>
  </r>
  <r>
    <x v="1271"/>
    <x v="214"/>
    <s v="NLIX00003318"/>
    <s v="No"/>
    <s v="Thematic"/>
    <m/>
    <s v="ENRGP"/>
    <s v="Euronext Amsterdam"/>
    <s v="Non-significant benchmark"/>
    <n v="0"/>
    <n v="0"/>
    <n v="0"/>
    <n v="0"/>
    <n v="0"/>
    <n v="0"/>
    <n v="0"/>
    <x v="1"/>
  </r>
  <r>
    <x v="1272"/>
    <x v="214"/>
    <s v="NLIX00003474"/>
    <s v="No"/>
    <s v="Thematic"/>
    <m/>
    <s v="FINAG"/>
    <s v="Euronext Amsterdam"/>
    <s v="Non-significant benchmark"/>
    <n v="0"/>
    <n v="0"/>
    <n v="0"/>
    <n v="0"/>
    <n v="0"/>
    <n v="0"/>
    <n v="0"/>
    <x v="1"/>
  </r>
  <r>
    <x v="1273"/>
    <x v="214"/>
    <s v="NLIX00003466"/>
    <s v="No"/>
    <s v="Thematic"/>
    <m/>
    <s v="FINAN"/>
    <s v="Euronext Amsterdam"/>
    <s v="Non-significant benchmark"/>
    <n v="0"/>
    <n v="0"/>
    <n v="0"/>
    <n v="0"/>
    <n v="0"/>
    <n v="0"/>
    <n v="0"/>
    <x v="1"/>
  </r>
  <r>
    <x v="1274"/>
    <x v="214"/>
    <s v="NLIX00003326"/>
    <s v="No"/>
    <s v="Thematic"/>
    <m/>
    <s v="FINA"/>
    <s v="Euronext Amsterdam"/>
    <s v="Non-significant benchmark"/>
    <n v="0"/>
    <n v="0"/>
    <n v="0"/>
    <n v="0"/>
    <n v="0"/>
    <n v="0"/>
    <n v="0"/>
    <x v="1"/>
  </r>
  <r>
    <x v="1275"/>
    <x v="214"/>
    <s v="NLIX00003532"/>
    <s v="No"/>
    <s v="Thematic"/>
    <m/>
    <s v="HEACG"/>
    <s v="Euronext Amsterdam"/>
    <s v="Non-significant benchmark"/>
    <n v="0"/>
    <n v="0"/>
    <n v="0"/>
    <n v="0"/>
    <n v="0"/>
    <n v="0"/>
    <n v="0"/>
    <x v="1"/>
  </r>
  <r>
    <x v="1276"/>
    <x v="214"/>
    <s v="NLIX00003524"/>
    <s v="No"/>
    <s v="Thematic"/>
    <m/>
    <s v="HEACN"/>
    <s v="Euronext Amsterdam"/>
    <s v="Non-significant benchmark"/>
    <n v="0"/>
    <n v="0"/>
    <n v="0"/>
    <n v="0"/>
    <n v="0"/>
    <n v="0"/>
    <n v="0"/>
    <x v="1"/>
  </r>
  <r>
    <x v="1277"/>
    <x v="214"/>
    <s v="NLIX00003334"/>
    <s v="No"/>
    <s v="Thematic"/>
    <m/>
    <s v="HEAC"/>
    <s v="Euronext Amsterdam"/>
    <s v="Non-significant benchmark"/>
    <n v="0"/>
    <n v="0"/>
    <n v="0"/>
    <n v="0"/>
    <n v="0"/>
    <n v="0"/>
    <n v="0"/>
    <x v="1"/>
  </r>
  <r>
    <x v="1278"/>
    <x v="214"/>
    <s v="NLIX00003490"/>
    <s v="No"/>
    <s v="Thematic"/>
    <m/>
    <s v="INDUG"/>
    <s v="Euronext Amsterdam"/>
    <s v="Non-significant benchmark"/>
    <n v="0"/>
    <n v="0"/>
    <n v="0"/>
    <n v="0"/>
    <n v="0"/>
    <n v="0"/>
    <n v="0"/>
    <x v="1"/>
  </r>
  <r>
    <x v="1279"/>
    <x v="214"/>
    <s v="NLIX00003482"/>
    <s v="No"/>
    <s v="Thematic"/>
    <m/>
    <s v="INDUN"/>
    <s v="Euronext Amsterdam"/>
    <s v="Non-significant benchmark"/>
    <n v="0"/>
    <n v="0"/>
    <n v="0"/>
    <n v="0"/>
    <n v="0"/>
    <n v="0"/>
    <n v="0"/>
    <x v="1"/>
  </r>
  <r>
    <x v="1280"/>
    <x v="214"/>
    <s v="NLIX00003342"/>
    <s v="No"/>
    <s v="Thematic"/>
    <m/>
    <s v="INDU"/>
    <s v="Euronext Amsterdam"/>
    <s v="Non-significant benchmark"/>
    <n v="0"/>
    <n v="0"/>
    <n v="0"/>
    <n v="0"/>
    <n v="0"/>
    <n v="0"/>
    <n v="0"/>
    <x v="1"/>
  </r>
  <r>
    <x v="1281"/>
    <x v="214"/>
    <s v="NLIX00003391"/>
    <s v="No"/>
    <s v="Thematic"/>
    <m/>
    <s v="TECHG"/>
    <s v="Euronext Amsterdam"/>
    <s v="Non-significant benchmark"/>
    <n v="0"/>
    <n v="0"/>
    <n v="0"/>
    <n v="0"/>
    <n v="0"/>
    <n v="0"/>
    <n v="0"/>
    <x v="1"/>
  </r>
  <r>
    <x v="1282"/>
    <x v="214"/>
    <s v="NLIX00003383"/>
    <s v="No"/>
    <s v="Thematic"/>
    <m/>
    <s v="TECHN"/>
    <s v="Euronext Amsterdam"/>
    <s v="Non-significant benchmark"/>
    <n v="0"/>
    <n v="0"/>
    <n v="0"/>
    <n v="0"/>
    <n v="0"/>
    <n v="0"/>
    <n v="0"/>
    <x v="1"/>
  </r>
  <r>
    <x v="1283"/>
    <x v="214"/>
    <s v="NLIX00003359"/>
    <s v="No"/>
    <s v="Thematic"/>
    <m/>
    <s v="TECHP"/>
    <s v="Euronext Amsterdam"/>
    <s v="Non-significant benchmark"/>
    <n v="0"/>
    <n v="0"/>
    <n v="0"/>
    <n v="0"/>
    <n v="0"/>
    <n v="0"/>
    <n v="0"/>
    <x v="1"/>
  </r>
  <r>
    <x v="1284"/>
    <x v="214"/>
    <s v="NLIX00003516"/>
    <s v="No"/>
    <s v="Thematic"/>
    <m/>
    <s v="TELEG"/>
    <s v="Euronext Amsterdam"/>
    <s v="Non-significant benchmark"/>
    <n v="0"/>
    <n v="0"/>
    <n v="0"/>
    <n v="0"/>
    <n v="0"/>
    <n v="0"/>
    <n v="0"/>
    <x v="1"/>
  </r>
  <r>
    <x v="1285"/>
    <x v="214"/>
    <s v="NLIX00003508"/>
    <s v="No"/>
    <s v="Thematic"/>
    <m/>
    <s v="TELEN"/>
    <s v="Euronext Amsterdam"/>
    <s v="Non-significant benchmark"/>
    <n v="0"/>
    <n v="0"/>
    <n v="0"/>
    <n v="0"/>
    <n v="0"/>
    <n v="0"/>
    <n v="0"/>
    <x v="1"/>
  </r>
  <r>
    <x v="1286"/>
    <x v="214"/>
    <s v="NLIX00003367"/>
    <s v="No"/>
    <s v="Thematic"/>
    <m/>
    <s v="TELEP"/>
    <s v="Euronext Amsterdam"/>
    <s v="Non-significant benchmark"/>
    <n v="0"/>
    <n v="0"/>
    <n v="0"/>
    <n v="0"/>
    <n v="0"/>
    <n v="0"/>
    <n v="0"/>
    <x v="1"/>
  </r>
  <r>
    <x v="1287"/>
    <x v="214"/>
    <s v="NLIX00003573"/>
    <s v="No"/>
    <s v="Thematic"/>
    <m/>
    <s v="UTILG"/>
    <s v="Euronext Amsterdam"/>
    <s v="Non-significant benchmark"/>
    <n v="0"/>
    <n v="0"/>
    <n v="0"/>
    <n v="0"/>
    <n v="0"/>
    <n v="0"/>
    <n v="0"/>
    <x v="1"/>
  </r>
  <r>
    <x v="1288"/>
    <x v="214"/>
    <s v="NLIX00003565"/>
    <s v="No"/>
    <s v="Thematic"/>
    <m/>
    <s v="UTILN"/>
    <s v="Euronext Amsterdam"/>
    <s v="Non-significant benchmark"/>
    <n v="0"/>
    <n v="0"/>
    <n v="0"/>
    <n v="0"/>
    <n v="0"/>
    <n v="0"/>
    <n v="0"/>
    <x v="1"/>
  </r>
  <r>
    <x v="1289"/>
    <x v="214"/>
    <s v="NLIX00003375"/>
    <s v="No"/>
    <s v="Thematic"/>
    <m/>
    <s v="UTIL"/>
    <s v="Euronext Amsterdam"/>
    <s v="Non-significant benchmark"/>
    <n v="0"/>
    <n v="0"/>
    <n v="0"/>
    <n v="0"/>
    <n v="0"/>
    <n v="0"/>
    <n v="0"/>
    <x v="1"/>
  </r>
  <r>
    <x v="1290"/>
    <x v="215"/>
    <s v="NLIX00003615"/>
    <s v="No"/>
    <s v="Thematic"/>
    <m/>
    <s v="EZSCP"/>
    <s v="Euronext Amsterdam"/>
    <s v="Non-significant benchmark"/>
    <n v="0"/>
    <n v="0"/>
    <n v="0"/>
    <n v="0"/>
    <n v="0"/>
    <n v="0"/>
    <n v="0"/>
    <x v="1"/>
  </r>
  <r>
    <x v="1291"/>
    <x v="215"/>
    <s v="NLIX00003631"/>
    <s v="No"/>
    <s v="Thematic"/>
    <m/>
    <s v="EZSCG"/>
    <s v="Euronext Amsterdam"/>
    <s v="Non-significant benchmark"/>
    <n v="0"/>
    <n v="0"/>
    <n v="0"/>
    <n v="0"/>
    <n v="0"/>
    <n v="0"/>
    <n v="0"/>
    <x v="1"/>
  </r>
  <r>
    <x v="1292"/>
    <x v="215"/>
    <s v="NLIX00003623"/>
    <s v="No"/>
    <s v="Thematic"/>
    <m/>
    <s v="EZSCN"/>
    <s v="Euronext Amsterdam"/>
    <s v="Non-significant benchmark"/>
    <n v="0"/>
    <n v="0"/>
    <n v="0"/>
    <n v="0"/>
    <n v="0"/>
    <n v="0"/>
    <n v="0"/>
    <x v="1"/>
  </r>
  <r>
    <x v="1293"/>
    <x v="216"/>
    <s v="FRIX00002439"/>
    <s v="No"/>
    <s v="International"/>
    <m/>
    <s v="EIASP"/>
    <s v="Euronext Paris"/>
    <s v="Non-significant benchmark"/>
    <n v="0"/>
    <n v="0"/>
    <n v="0"/>
    <n v="0"/>
    <n v="0"/>
    <n v="0"/>
    <n v="0"/>
    <x v="1"/>
  </r>
  <r>
    <x v="1294"/>
    <x v="216"/>
    <s v="FRIX00002454"/>
    <s v="No"/>
    <s v="International"/>
    <m/>
    <s v="EIASG"/>
    <s v="Euronext Paris"/>
    <s v="Non-significant benchmark"/>
    <n v="0"/>
    <n v="0"/>
    <n v="0"/>
    <n v="0"/>
    <n v="0"/>
    <n v="0"/>
    <n v="0"/>
    <x v="1"/>
  </r>
  <r>
    <x v="1295"/>
    <x v="216"/>
    <s v="FRIX00002447"/>
    <s v="No"/>
    <s v="International"/>
    <m/>
    <s v="EIASN"/>
    <s v="Euronext Paris"/>
    <s v="Non-significant benchmark"/>
    <n v="0"/>
    <n v="0"/>
    <n v="0"/>
    <n v="0"/>
    <n v="0"/>
    <n v="0"/>
    <n v="0"/>
    <x v="1"/>
  </r>
  <r>
    <x v="1296"/>
    <x v="217"/>
    <s v="FRIX00003031"/>
    <s v="Yes"/>
    <s v="International"/>
    <m/>
    <s v="FRD4P"/>
    <s v="Euronext Paris"/>
    <s v="Non-significant benchmark"/>
    <n v="0"/>
    <n v="0"/>
    <n v="0"/>
    <n v="0"/>
    <n v="0"/>
    <n v="0"/>
    <n v="0"/>
    <x v="1"/>
  </r>
  <r>
    <x v="1297"/>
    <x v="217"/>
    <s v="FRIX00003064"/>
    <s v="Yes"/>
    <s v="International"/>
    <m/>
    <s v="FRD4D"/>
    <s v="Euronext Paris"/>
    <s v="Non-significant benchmark"/>
    <n v="0"/>
    <n v="0"/>
    <n v="0"/>
    <n v="0"/>
    <n v="0"/>
    <n v="0"/>
    <n v="0"/>
    <x v="1"/>
  </r>
  <r>
    <x v="1298"/>
    <x v="217"/>
    <s v="FRIX00003056"/>
    <s v="Yes"/>
    <s v="International"/>
    <m/>
    <s v="FRD4G"/>
    <s v="Euronext Paris"/>
    <s v="Non-significant benchmark"/>
    <n v="0"/>
    <n v="0"/>
    <n v="0"/>
    <n v="0"/>
    <n v="0"/>
    <n v="0"/>
    <n v="0"/>
    <x v="1"/>
  </r>
  <r>
    <x v="1299"/>
    <x v="217"/>
    <s v="FRIX00003049"/>
    <s v="Yes"/>
    <s v="International"/>
    <m/>
    <s v="FRD4N"/>
    <s v="Euronext Paris"/>
    <s v="Non-significant benchmark"/>
    <n v="0"/>
    <n v="0"/>
    <n v="0"/>
    <n v="0"/>
    <n v="0"/>
    <n v="0"/>
    <n v="0"/>
    <x v="1"/>
  </r>
  <r>
    <x v="1300"/>
    <x v="218"/>
    <s v="FRIX00003643"/>
    <s v="Yes"/>
    <s v="International"/>
    <m/>
    <s v="FRI4P"/>
    <s v="Euronext Paris"/>
    <s v="Non-significant benchmark"/>
    <n v="0"/>
    <n v="0"/>
    <n v="0"/>
    <n v="0"/>
    <n v="0"/>
    <n v="0"/>
    <n v="0"/>
    <x v="1"/>
  </r>
  <r>
    <x v="1301"/>
    <x v="218"/>
    <s v="FRIX00003676"/>
    <s v="Yes"/>
    <s v="International"/>
    <m/>
    <s v="FRI4D"/>
    <s v="Euronext Paris"/>
    <s v="Non-significant benchmark"/>
    <n v="0"/>
    <n v="0"/>
    <n v="0"/>
    <n v="0"/>
    <n v="0"/>
    <n v="0"/>
    <n v="0"/>
    <x v="1"/>
  </r>
  <r>
    <x v="1302"/>
    <x v="218"/>
    <s v="FRIX00003668"/>
    <s v="Yes"/>
    <s v="International"/>
    <m/>
    <s v="FRI4G"/>
    <s v="Euronext Paris"/>
    <s v="Non-significant benchmark"/>
    <n v="0"/>
    <n v="0"/>
    <n v="0"/>
    <n v="0"/>
    <n v="0"/>
    <n v="0"/>
    <n v="0"/>
    <x v="1"/>
  </r>
  <r>
    <x v="1303"/>
    <x v="218"/>
    <s v="FRIX00003650"/>
    <s v="Yes"/>
    <s v="International"/>
    <m/>
    <s v="FRI4N"/>
    <s v="Euronext Paris"/>
    <s v="Non-significant benchmark"/>
    <n v="0"/>
    <n v="0"/>
    <n v="0"/>
    <n v="0"/>
    <n v="0"/>
    <n v="0"/>
    <n v="0"/>
    <x v="1"/>
  </r>
  <r>
    <x v="1304"/>
    <x v="219"/>
    <s v="FRIX00002629"/>
    <s v="No"/>
    <s v="International"/>
    <m/>
    <s v="EIFRP"/>
    <s v="Euronext Paris"/>
    <s v="Non-significant benchmark"/>
    <n v="0"/>
    <n v="0"/>
    <n v="0"/>
    <n v="0"/>
    <n v="0"/>
    <n v="0"/>
    <n v="0"/>
    <x v="1"/>
  </r>
  <r>
    <x v="1305"/>
    <x v="219"/>
    <s v="FRIX00002645"/>
    <s v="No"/>
    <s v="International"/>
    <m/>
    <s v="EIFRG"/>
    <s v="Euronext Paris"/>
    <s v="Non-significant benchmark"/>
    <n v="0"/>
    <n v="0"/>
    <n v="0"/>
    <n v="0"/>
    <n v="0"/>
    <n v="0"/>
    <n v="0"/>
    <x v="1"/>
  </r>
  <r>
    <x v="1306"/>
    <x v="219"/>
    <s v="FRIX00002637"/>
    <s v="No"/>
    <s v="International"/>
    <m/>
    <s v="EIFRN"/>
    <s v="Euronext Paris"/>
    <s v="Non-significant benchmark"/>
    <n v="0"/>
    <n v="0"/>
    <n v="0"/>
    <n v="0"/>
    <n v="0"/>
    <n v="0"/>
    <n v="0"/>
    <x v="1"/>
  </r>
  <r>
    <x v="1307"/>
    <x v="220"/>
    <s v="FRIX00002876"/>
    <s v="Yes"/>
    <s v="International"/>
    <m/>
    <s v="INFRP"/>
    <s v="Euronext Paris"/>
    <s v="Non-significant benchmark"/>
    <n v="0"/>
    <n v="0"/>
    <n v="0"/>
    <n v="0"/>
    <n v="0"/>
    <n v="0"/>
    <n v="0"/>
    <x v="1"/>
  </r>
  <r>
    <x v="1308"/>
    <x v="220"/>
    <s v="FRIX00002900"/>
    <s v="Yes"/>
    <s v="International"/>
    <m/>
    <s v="INFRD"/>
    <s v="Euronext Paris"/>
    <s v="Non-significant benchmark"/>
    <n v="0"/>
    <n v="0"/>
    <n v="0"/>
    <n v="0"/>
    <n v="0"/>
    <n v="0"/>
    <n v="0"/>
    <x v="1"/>
  </r>
  <r>
    <x v="1309"/>
    <x v="220"/>
    <s v="FRIX00002892"/>
    <s v="Yes"/>
    <s v="International"/>
    <m/>
    <s v="INFRG"/>
    <s v="Euronext Paris"/>
    <s v="Non-significant benchmark"/>
    <n v="0"/>
    <n v="0"/>
    <n v="0"/>
    <n v="0"/>
    <n v="0"/>
    <n v="0"/>
    <n v="0"/>
    <x v="1"/>
  </r>
  <r>
    <x v="1310"/>
    <x v="220"/>
    <s v="FRIX00002884"/>
    <s v="Yes"/>
    <s v="International"/>
    <m/>
    <s v="INFRN"/>
    <s v="Euronext Paris"/>
    <s v="Non-significant benchmark"/>
    <n v="0"/>
    <n v="0"/>
    <n v="0"/>
    <n v="0"/>
    <n v="0"/>
    <n v="0"/>
    <n v="0"/>
    <x v="1"/>
  </r>
  <r>
    <x v="1311"/>
    <x v="221"/>
    <s v="FRIX00002728"/>
    <s v="Yes"/>
    <s v="International"/>
    <m/>
    <s v="FILVP"/>
    <s v="Euronext Paris"/>
    <s v="Non-significant benchmark"/>
    <n v="0"/>
    <n v="0"/>
    <n v="0"/>
    <n v="0"/>
    <n v="0"/>
    <n v="0"/>
    <n v="0"/>
    <x v="1"/>
  </r>
  <r>
    <x v="1312"/>
    <x v="221"/>
    <s v="FRIX00002751"/>
    <s v="Yes"/>
    <s v="International"/>
    <m/>
    <s v="FILV3"/>
    <s v="Euronext Paris"/>
    <s v="Non-significant benchmark"/>
    <n v="0"/>
    <n v="0"/>
    <n v="0"/>
    <n v="0"/>
    <n v="0"/>
    <n v="0"/>
    <n v="0"/>
    <x v="1"/>
  </r>
  <r>
    <x v="1313"/>
    <x v="221"/>
    <s v="FRIX00002769"/>
    <s v="Yes"/>
    <s v="International"/>
    <m/>
    <s v="FILVD"/>
    <s v="Euronext Paris"/>
    <s v="Non-significant benchmark"/>
    <n v="0"/>
    <n v="0"/>
    <n v="0"/>
    <n v="0"/>
    <n v="0"/>
    <n v="0"/>
    <n v="0"/>
    <x v="1"/>
  </r>
  <r>
    <x v="1314"/>
    <x v="221"/>
    <s v="FRIX00002744"/>
    <s v="Yes"/>
    <s v="International"/>
    <m/>
    <s v="FILVG"/>
    <s v="Euronext Paris"/>
    <s v="Non-significant benchmark"/>
    <n v="0"/>
    <n v="0"/>
    <n v="0"/>
    <n v="0"/>
    <n v="0"/>
    <n v="0"/>
    <n v="0"/>
    <x v="1"/>
  </r>
  <r>
    <x v="1315"/>
    <x v="221"/>
    <s v="FRIX00002736"/>
    <s v="Yes"/>
    <s v="International"/>
    <m/>
    <s v="FILVN"/>
    <s v="Euronext Paris"/>
    <s v="Non-significant benchmark"/>
    <n v="0"/>
    <n v="0"/>
    <n v="0"/>
    <n v="0"/>
    <n v="0"/>
    <n v="0"/>
    <n v="0"/>
    <x v="1"/>
  </r>
  <r>
    <x v="1316"/>
    <x v="222"/>
    <s v="NLIX00002195"/>
    <s v="No"/>
    <s v="Country"/>
    <m/>
    <s v="EJPGT"/>
    <s v="Euronext Amsterdam"/>
    <s v="Non-significant benchmark"/>
    <n v="0"/>
    <n v="0"/>
    <n v="0"/>
    <n v="0"/>
    <n v="0"/>
    <n v="0"/>
    <n v="0"/>
    <x v="1"/>
  </r>
  <r>
    <x v="1317"/>
    <x v="222"/>
    <s v="NLIX00002187"/>
    <s v="No"/>
    <s v="Country"/>
    <m/>
    <s v="EJPNT"/>
    <s v="Euronext Amsterdam"/>
    <s v="Non-significant benchmark"/>
    <n v="0"/>
    <n v="0"/>
    <n v="0"/>
    <n v="0"/>
    <n v="0"/>
    <n v="0"/>
    <n v="0"/>
    <x v="1"/>
  </r>
  <r>
    <x v="1318"/>
    <x v="222"/>
    <s v="NLIX00002179"/>
    <s v="No"/>
    <s v="Country"/>
    <m/>
    <s v="EJPPT"/>
    <s v="Euronext Amsterdam"/>
    <s v="Non-significant benchmark"/>
    <n v="0"/>
    <n v="0"/>
    <n v="0"/>
    <n v="0"/>
    <n v="0"/>
    <n v="0"/>
    <n v="0"/>
    <x v="1"/>
  </r>
  <r>
    <x v="1319"/>
    <x v="223"/>
    <s v="NLIX00000397"/>
    <s v="No"/>
    <s v="Fixed Income"/>
    <m/>
    <s v="ME10G"/>
    <s v="Euronext Amsterdam"/>
    <s v="Non-significant benchmark"/>
    <n v="0"/>
    <n v="0"/>
    <n v="0"/>
    <n v="0"/>
    <n v="0"/>
    <n v="0"/>
    <n v="0"/>
    <x v="1"/>
  </r>
  <r>
    <x v="1320"/>
    <x v="223"/>
    <s v="NLIX00000314"/>
    <s v="No"/>
    <s v="Fixed Income"/>
    <m/>
    <s v="ME1G"/>
    <s v="Euronext Amsterdam"/>
    <s v="Non-significant benchmark"/>
    <n v="0"/>
    <n v="0"/>
    <n v="0"/>
    <n v="0"/>
    <n v="0"/>
    <n v="0"/>
    <n v="0"/>
    <x v="1"/>
  </r>
  <r>
    <x v="1321"/>
    <x v="223"/>
    <s v="NLIX00000413"/>
    <s v="No"/>
    <s v="Fixed Income"/>
    <m/>
    <s v="MEG15"/>
    <s v="Euronext Amsterdam"/>
    <s v="Non-significant benchmark"/>
    <n v="0"/>
    <n v="0"/>
    <n v="0"/>
    <n v="0"/>
    <n v="0"/>
    <n v="0"/>
    <n v="0"/>
    <x v="1"/>
  </r>
  <r>
    <x v="1322"/>
    <x v="223"/>
    <s v="NLIX00000439"/>
    <s v="No"/>
    <s v="Fixed Income"/>
    <m/>
    <s v="ME15G"/>
    <s v="Euronext Amsterdam"/>
    <s v="Non-significant benchmark"/>
    <n v="0"/>
    <n v="0"/>
    <n v="0"/>
    <n v="0"/>
    <n v="0"/>
    <n v="0"/>
    <n v="0"/>
    <x v="1"/>
  </r>
  <r>
    <x v="1323"/>
    <x v="223"/>
    <s v="NLIX00000454"/>
    <s v="No"/>
    <s v="Fixed Income"/>
    <m/>
    <s v="MEG25"/>
    <s v="Euronext Amsterdam"/>
    <s v="Non-significant benchmark"/>
    <n v="0"/>
    <n v="0"/>
    <n v="0"/>
    <n v="0"/>
    <n v="0"/>
    <n v="0"/>
    <n v="0"/>
    <x v="1"/>
  </r>
  <r>
    <x v="1324"/>
    <x v="223"/>
    <s v="NLIX00000330"/>
    <s v="No"/>
    <s v="Fixed Income"/>
    <m/>
    <s v="ME3G"/>
    <s v="Euronext Amsterdam"/>
    <s v="Non-significant benchmark"/>
    <n v="0"/>
    <n v="0"/>
    <n v="0"/>
    <n v="0"/>
    <n v="0"/>
    <n v="0"/>
    <n v="0"/>
    <x v="1"/>
  </r>
  <r>
    <x v="1325"/>
    <x v="223"/>
    <s v="NLIX00000355"/>
    <s v="No"/>
    <s v="Fixed Income"/>
    <m/>
    <s v="ME5G"/>
    <s v="Euronext Amsterdam"/>
    <s v="Non-significant benchmark"/>
    <n v="0"/>
    <n v="0"/>
    <n v="0"/>
    <n v="0"/>
    <n v="0"/>
    <n v="0"/>
    <n v="0"/>
    <x v="1"/>
  </r>
  <r>
    <x v="1326"/>
    <x v="223"/>
    <s v="NLIX00000371"/>
    <s v="No"/>
    <s v="Fixed Income"/>
    <m/>
    <s v="ME7G"/>
    <s v="Euronext Amsterdam"/>
    <s v="Non-significant benchmark"/>
    <n v="0"/>
    <n v="0"/>
    <n v="0"/>
    <n v="0"/>
    <n v="0"/>
    <n v="0"/>
    <n v="0"/>
    <x v="1"/>
  </r>
  <r>
    <x v="1327"/>
    <x v="223"/>
    <s v="NLIX00000793"/>
    <s v="No"/>
    <s v="Fixed Income"/>
    <m/>
    <s v="MEATG"/>
    <s v="Euronext Amsterdam"/>
    <s v="Non-significant benchmark"/>
    <n v="0"/>
    <n v="0"/>
    <n v="0"/>
    <n v="0"/>
    <n v="0"/>
    <n v="0"/>
    <n v="0"/>
    <x v="1"/>
  </r>
  <r>
    <x v="1328"/>
    <x v="223"/>
    <s v="NLIX00000819"/>
    <s v="No"/>
    <s v="Fixed Income"/>
    <m/>
    <s v="MEBEG"/>
    <s v="Euronext Amsterdam"/>
    <s v="Non-significant benchmark"/>
    <n v="0"/>
    <n v="0"/>
    <n v="0"/>
    <n v="0"/>
    <n v="0"/>
    <n v="0"/>
    <n v="0"/>
    <x v="1"/>
  </r>
  <r>
    <x v="1329"/>
    <x v="223"/>
    <s v="NLIX00000298"/>
    <s v="No"/>
    <s v="Fixed Income"/>
    <m/>
    <s v="MEBG"/>
    <s v="Euronext Amsterdam"/>
    <s v="Non-significant benchmark"/>
    <n v="0"/>
    <n v="0"/>
    <n v="0"/>
    <n v="0"/>
    <n v="0"/>
    <n v="0"/>
    <n v="0"/>
    <x v="1"/>
  </r>
  <r>
    <x v="1330"/>
    <x v="223"/>
    <s v="NLIX00000835"/>
    <s v="No"/>
    <s v="Fixed Income"/>
    <m/>
    <s v="MESUG"/>
    <s v="Euronext Amsterdam"/>
    <s v="Non-significant benchmark"/>
    <n v="0"/>
    <n v="0"/>
    <n v="0"/>
    <n v="0"/>
    <n v="0"/>
    <n v="0"/>
    <n v="0"/>
    <x v="1"/>
  </r>
  <r>
    <x v="1331"/>
    <x v="223"/>
    <s v="NLIX00000496"/>
    <s v="No"/>
    <s v="Fixed Income"/>
    <m/>
    <s v="MEFRG"/>
    <s v="Euronext Amsterdam"/>
    <s v="Non-significant benchmark"/>
    <n v="0"/>
    <n v="0"/>
    <n v="0"/>
    <n v="0"/>
    <n v="0"/>
    <n v="0"/>
    <n v="0"/>
    <x v="1"/>
  </r>
  <r>
    <x v="1332"/>
    <x v="223"/>
    <s v="NLIX00000512"/>
    <s v="No"/>
    <s v="Fixed Income"/>
    <m/>
    <s v="MEGRG"/>
    <s v="Euronext Amsterdam"/>
    <s v="Non-significant benchmark"/>
    <n v="0"/>
    <n v="0"/>
    <n v="0"/>
    <n v="0"/>
    <n v="0"/>
    <n v="0"/>
    <n v="0"/>
    <x v="1"/>
  </r>
  <r>
    <x v="1333"/>
    <x v="223"/>
    <s v="NLIX00000850"/>
    <s v="No"/>
    <s v="Fixed Income"/>
    <m/>
    <s v="MEIRG"/>
    <s v="Euronext Amsterdam"/>
    <s v="Non-significant benchmark"/>
    <n v="0"/>
    <n v="0"/>
    <n v="0"/>
    <n v="0"/>
    <n v="0"/>
    <n v="0"/>
    <n v="0"/>
    <x v="1"/>
  </r>
  <r>
    <x v="1334"/>
    <x v="223"/>
    <s v="NLIX00000637"/>
    <s v="No"/>
    <s v="Fixed Income"/>
    <m/>
    <s v="MI10G"/>
    <s v="Euronext Amsterdam"/>
    <s v="Non-significant benchmark"/>
    <n v="0"/>
    <n v="0"/>
    <n v="0"/>
    <n v="0"/>
    <n v="0"/>
    <n v="0"/>
    <n v="0"/>
    <x v="1"/>
  </r>
  <r>
    <x v="1335"/>
    <x v="223"/>
    <s v="NLIX00000553"/>
    <s v="No"/>
    <s v="Fixed Income"/>
    <m/>
    <s v="MI1G"/>
    <s v="Euronext Amsterdam"/>
    <s v="Non-significant benchmark"/>
    <n v="0"/>
    <n v="0"/>
    <n v="0"/>
    <n v="0"/>
    <n v="0"/>
    <n v="0"/>
    <n v="0"/>
    <x v="1"/>
  </r>
  <r>
    <x v="1336"/>
    <x v="223"/>
    <s v="NLIX00000652"/>
    <s v="No"/>
    <s v="Fixed Income"/>
    <m/>
    <s v="MI15G"/>
    <s v="Euronext Amsterdam"/>
    <s v="Non-significant benchmark"/>
    <n v="0"/>
    <n v="0"/>
    <n v="0"/>
    <n v="0"/>
    <n v="0"/>
    <n v="0"/>
    <n v="0"/>
    <x v="1"/>
  </r>
  <r>
    <x v="1337"/>
    <x v="223"/>
    <s v="NLIX00000678"/>
    <s v="No"/>
    <s v="Fixed Income"/>
    <m/>
    <s v="MIG25"/>
    <s v="Euronext Amsterdam"/>
    <s v="Non-significant benchmark"/>
    <n v="0"/>
    <n v="0"/>
    <n v="0"/>
    <n v="0"/>
    <n v="0"/>
    <n v="0"/>
    <n v="0"/>
    <x v="1"/>
  </r>
  <r>
    <x v="1338"/>
    <x v="223"/>
    <s v="NLIX00000579"/>
    <s v="No"/>
    <s v="Fixed Income"/>
    <m/>
    <s v="MI3G"/>
    <s v="Euronext Amsterdam"/>
    <s v="Non-significant benchmark"/>
    <n v="0"/>
    <n v="0"/>
    <n v="0"/>
    <n v="0"/>
    <n v="0"/>
    <n v="0"/>
    <n v="0"/>
    <x v="1"/>
  </r>
  <r>
    <x v="1339"/>
    <x v="223"/>
    <s v="NLIX00000595"/>
    <s v="No"/>
    <s v="Fixed Income"/>
    <m/>
    <s v="MI5G"/>
    <s v="Euronext Amsterdam"/>
    <s v="Non-significant benchmark"/>
    <n v="0"/>
    <n v="0"/>
    <n v="0"/>
    <n v="0"/>
    <n v="0"/>
    <n v="0"/>
    <n v="0"/>
    <x v="1"/>
  </r>
  <r>
    <x v="1340"/>
    <x v="223"/>
    <s v="NLIX00000611"/>
    <s v="No"/>
    <s v="Fixed Income"/>
    <m/>
    <s v="MI7G"/>
    <s v="Euronext Amsterdam"/>
    <s v="Non-significant benchmark"/>
    <n v="0"/>
    <n v="0"/>
    <n v="0"/>
    <n v="0"/>
    <n v="0"/>
    <n v="0"/>
    <n v="0"/>
    <x v="1"/>
  </r>
  <r>
    <x v="1341"/>
    <x v="223"/>
    <s v="NLIX00000538"/>
    <s v="No"/>
    <s v="Fixed Income"/>
    <m/>
    <s v="MEITG"/>
    <s v="Euronext Amsterdam"/>
    <s v="Non-significant benchmark"/>
    <n v="0"/>
    <n v="0"/>
    <n v="0"/>
    <n v="0"/>
    <n v="0"/>
    <n v="0"/>
    <n v="0"/>
    <x v="1"/>
  </r>
  <r>
    <x v="1342"/>
    <x v="223"/>
    <s v="NLIX00000892"/>
    <s v="No"/>
    <s v="Fixed Income"/>
    <m/>
    <s v="MEPTG"/>
    <s v="Euronext Amsterdam"/>
    <s v="Non-significant benchmark"/>
    <n v="0"/>
    <n v="0"/>
    <n v="0"/>
    <n v="0"/>
    <n v="0"/>
    <n v="0"/>
    <n v="0"/>
    <x v="1"/>
  </r>
  <r>
    <x v="1343"/>
    <x v="223"/>
    <s v="NLIX00000470"/>
    <s v="No"/>
    <s v="Fixed Income"/>
    <m/>
    <s v="MESPG"/>
    <s v="Euronext Amsterdam"/>
    <s v="Non-significant benchmark"/>
    <n v="0"/>
    <n v="0"/>
    <n v="0"/>
    <n v="0"/>
    <n v="0"/>
    <n v="0"/>
    <n v="0"/>
    <x v="1"/>
  </r>
  <r>
    <x v="1344"/>
    <x v="223"/>
    <s v="NLIX00000876"/>
    <s v="No"/>
    <s v="Fixed Income"/>
    <m/>
    <s v="MENLG"/>
    <s v="Euronext Amsterdam"/>
    <s v="Non-significant benchmark"/>
    <n v="0"/>
    <n v="0"/>
    <n v="0"/>
    <n v="0"/>
    <n v="0"/>
    <n v="0"/>
    <n v="0"/>
    <x v="1"/>
  </r>
  <r>
    <x v="1345"/>
    <x v="224"/>
    <s v="NLIX00002922"/>
    <s v="No"/>
    <s v="Fixed Income"/>
    <m/>
    <s v="MEEUG"/>
    <s v="Euronext Amsterdam"/>
    <s v="Non-significant benchmark"/>
    <n v="0"/>
    <n v="0"/>
    <n v="0"/>
    <n v="0"/>
    <n v="0"/>
    <n v="0"/>
    <n v="0"/>
    <x v="1"/>
  </r>
  <r>
    <x v="1346"/>
    <x v="225"/>
    <s v="FRCLIM000304"/>
    <s v="No"/>
    <s v="Fixed Income"/>
    <m/>
    <s v="PBT4P"/>
    <s v="Euronext Paris"/>
    <s v="Non-significant benchmark"/>
    <n v="0"/>
    <n v="0"/>
    <n v="0"/>
    <n v="0"/>
    <n v="0"/>
    <n v="0"/>
    <n v="0"/>
    <x v="1"/>
  </r>
  <r>
    <x v="1347"/>
    <x v="225"/>
    <s v="FRCLIM000338"/>
    <s v="Yes"/>
    <s v="Thematic"/>
    <m/>
    <s v="PT4D5"/>
    <s v="Euronext Paris"/>
    <s v="Non-significant benchmark"/>
    <n v="0"/>
    <n v="0"/>
    <n v="0"/>
    <n v="0"/>
    <n v="0"/>
    <n v="0"/>
    <n v="0"/>
    <x v="1"/>
  </r>
  <r>
    <x v="1348"/>
    <x v="225"/>
    <s v="FRCLIM000304"/>
    <s v="Yes"/>
    <s v="Thematic"/>
    <m/>
    <s v="PT450"/>
    <s v="Euronext Paris"/>
    <s v="Non-significant benchmark"/>
    <n v="0"/>
    <n v="0"/>
    <n v="0"/>
    <n v="0"/>
    <n v="0"/>
    <n v="0"/>
    <n v="0"/>
    <x v="1"/>
  </r>
  <r>
    <x v="1349"/>
    <x v="225"/>
    <s v="FRCLIM000320"/>
    <s v="Yes"/>
    <s v="Thematic"/>
    <m/>
    <s v="PBT4G"/>
    <s v="Euronext Paris"/>
    <s v="Non-significant benchmark"/>
    <n v="0"/>
    <n v="0"/>
    <n v="0"/>
    <n v="0"/>
    <n v="0"/>
    <n v="0"/>
    <n v="0"/>
    <x v="1"/>
  </r>
  <r>
    <x v="1350"/>
    <x v="225"/>
    <s v="FRCLIM000312"/>
    <s v="Yes"/>
    <s v="Thematic"/>
    <m/>
    <s v="PBT4N"/>
    <s v="Euronext Paris"/>
    <s v="Non-significant benchmark"/>
    <n v="0"/>
    <n v="0"/>
    <n v="0"/>
    <n v="0"/>
    <n v="0"/>
    <n v="0"/>
    <n v="0"/>
    <x v="1"/>
  </r>
  <r>
    <x v="1351"/>
    <x v="226"/>
    <s v="FRCLIM000254"/>
    <s v="Yes"/>
    <s v="Thematic"/>
    <m/>
    <s v="PBTAP"/>
    <s v="Euronext Paris"/>
    <s v="Non-significant benchmark"/>
    <n v="0"/>
    <n v="0"/>
    <n v="0"/>
    <n v="0"/>
    <n v="0"/>
    <n v="0"/>
    <n v="0"/>
    <x v="1"/>
  </r>
  <r>
    <x v="1352"/>
    <x v="226"/>
    <s v="FRCLIM000288"/>
    <s v="Yes"/>
    <s v="Thematic"/>
    <m/>
    <s v="PBT5D"/>
    <s v="Euronext Paris"/>
    <s v="Non-significant benchmark"/>
    <n v="0"/>
    <n v="0"/>
    <n v="0"/>
    <n v="0"/>
    <n v="0"/>
    <n v="0"/>
    <n v="0"/>
    <x v="1"/>
  </r>
  <r>
    <x v="1353"/>
    <x v="226"/>
    <s v="FRCLIM000296"/>
    <s v="Yes"/>
    <s v="Thematic"/>
    <m/>
    <s v="PBT50"/>
    <s v="Euronext Paris"/>
    <s v="Non-significant benchmark"/>
    <n v="0"/>
    <n v="0"/>
    <n v="0"/>
    <n v="0"/>
    <n v="0"/>
    <n v="0"/>
    <n v="0"/>
    <x v="1"/>
  </r>
  <r>
    <x v="1354"/>
    <x v="226"/>
    <s v="FRCLIM000270"/>
    <s v="Yes"/>
    <s v="Thematic"/>
    <m/>
    <s v="PBTAG"/>
    <s v="Euronext Paris"/>
    <s v="Non-significant benchmark"/>
    <n v="0"/>
    <n v="0"/>
    <n v="0"/>
    <n v="0"/>
    <n v="0"/>
    <n v="0"/>
    <n v="0"/>
    <x v="1"/>
  </r>
  <r>
    <x v="1355"/>
    <x v="226"/>
    <s v="FRCLIM000262"/>
    <s v="Yes"/>
    <s v="Thematic"/>
    <m/>
    <s v="PBTAN"/>
    <s v="Euronext Paris"/>
    <s v="Non-significant benchmark"/>
    <n v="0"/>
    <n v="0"/>
    <n v="0"/>
    <n v="0"/>
    <n v="0"/>
    <n v="0"/>
    <n v="0"/>
    <x v="1"/>
  </r>
  <r>
    <x v="1356"/>
    <x v="120"/>
    <s v="FRIX00001043"/>
    <s v="No"/>
    <s v="Single Stock"/>
    <m/>
    <s v="SGB3G"/>
    <s v="Euronext Paris"/>
    <s v="Non-significant benchmark"/>
    <n v="0"/>
    <n v="0"/>
    <n v="0"/>
    <n v="0"/>
    <n v="0"/>
    <n v="0"/>
    <n v="0"/>
    <x v="1"/>
  </r>
  <r>
    <x v="1357"/>
    <x v="120"/>
    <s v="FRIX00001050"/>
    <s v="No"/>
    <s v="Single Stock"/>
    <m/>
    <s v="SGB3P"/>
    <s v="Euronext Paris"/>
    <s v="Non-significant benchmark"/>
    <n v="53715493.01106599"/>
    <n v="0"/>
    <n v="0"/>
    <n v="0"/>
    <n v="0"/>
    <n v="0"/>
    <n v="53715493.01106599"/>
    <x v="1"/>
  </r>
  <r>
    <x v="1358"/>
    <x v="120"/>
    <s v="FRIX00001035"/>
    <s v="No"/>
    <s v="Single Stock"/>
    <m/>
    <s v="SGB3D"/>
    <s v="Euronext Paris"/>
    <s v="Non-significant benchmark"/>
    <n v="0"/>
    <n v="0"/>
    <n v="0"/>
    <n v="0"/>
    <n v="0"/>
    <n v="0"/>
    <n v="0"/>
    <x v="1"/>
  </r>
  <r>
    <x v="1359"/>
    <x v="120"/>
    <s v="FRIX00002413"/>
    <s v="No"/>
    <s v="Single Stock"/>
    <m/>
    <s v="SGB4G"/>
    <s v="Euronext Paris"/>
    <s v="Non-significant benchmark"/>
    <n v="0"/>
    <n v="0"/>
    <n v="0"/>
    <n v="0"/>
    <n v="0"/>
    <n v="0"/>
    <n v="0"/>
    <x v="1"/>
  </r>
  <r>
    <x v="1360"/>
    <x v="120"/>
    <s v="FRIX00002405"/>
    <s v="No"/>
    <s v="Single Stock"/>
    <m/>
    <s v="SGB4P"/>
    <s v="Euronext Paris"/>
    <s v="Non-significant benchmark"/>
    <n v="0"/>
    <n v="0"/>
    <n v="0"/>
    <n v="0"/>
    <n v="0"/>
    <n v="0"/>
    <n v="0"/>
    <x v="1"/>
  </r>
  <r>
    <x v="1361"/>
    <x v="120"/>
    <s v="FRIX00002470"/>
    <s v="No"/>
    <s v="Single Stock"/>
    <m/>
    <s v="SGB5G"/>
    <s v="Euronext Paris"/>
    <s v="Non-significant benchmark"/>
    <n v="0"/>
    <n v="0"/>
    <n v="0"/>
    <n v="0"/>
    <n v="0"/>
    <n v="0"/>
    <n v="0"/>
    <x v="1"/>
  </r>
  <r>
    <x v="1362"/>
    <x v="120"/>
    <s v="FRIX00002462"/>
    <s v="No"/>
    <s v="Single Stock"/>
    <m/>
    <s v="SGB5P"/>
    <s v="Euronext Paris"/>
    <s v="Non-significant benchmark"/>
    <n v="0"/>
    <n v="0"/>
    <n v="0"/>
    <n v="0"/>
    <n v="0"/>
    <n v="0"/>
    <n v="0"/>
    <x v="1"/>
  </r>
  <r>
    <x v="1363"/>
    <x v="120"/>
    <s v="FRIX00003270"/>
    <s v="No"/>
    <s v="Single Stock"/>
    <m/>
    <s v="SGBD1"/>
    <s v="Euronext Paris"/>
    <s v="Non-significant benchmark"/>
    <n v="0"/>
    <n v="0"/>
    <n v="0"/>
    <n v="0"/>
    <n v="0"/>
    <n v="0"/>
    <n v="0"/>
    <x v="1"/>
  </r>
  <r>
    <x v="1363"/>
    <x v="120"/>
    <s v="FRIX00003270"/>
    <s v="No"/>
    <s v="Single Stock"/>
    <m/>
    <s v="SGBD1"/>
    <s v="Euronext Paris"/>
    <s v="Non-significant benchmark"/>
    <n v="0"/>
    <n v="0"/>
    <n v="0"/>
    <n v="0"/>
    <n v="0"/>
    <n v="0"/>
    <n v="0"/>
    <x v="1"/>
  </r>
  <r>
    <x v="1364"/>
    <x v="120"/>
    <s v="FRIX00003262"/>
    <s v="No"/>
    <s v="Single Stock"/>
    <m/>
    <s v="SGBG1"/>
    <s v="Euronext Paris"/>
    <s v="Non-significant benchmark"/>
    <n v="0"/>
    <n v="0"/>
    <n v="0"/>
    <n v="0"/>
    <n v="0"/>
    <n v="0"/>
    <n v="0"/>
    <x v="1"/>
  </r>
  <r>
    <x v="1364"/>
    <x v="120"/>
    <s v="FRIX00003262"/>
    <s v="No"/>
    <s v="Single Stock"/>
    <m/>
    <s v="SGBG1"/>
    <s v="Euronext Paris"/>
    <s v="Non-significant benchmark"/>
    <n v="0"/>
    <n v="0"/>
    <n v="0"/>
    <n v="0"/>
    <n v="0"/>
    <n v="0"/>
    <n v="0"/>
    <x v="1"/>
  </r>
  <r>
    <x v="1365"/>
    <x v="120"/>
    <s v="FRIX00003254"/>
    <s v="No"/>
    <s v="Single Stock"/>
    <m/>
    <s v="SGBP1"/>
    <s v="Euronext Paris"/>
    <s v="Non-significant benchmark"/>
    <n v="0"/>
    <n v="0"/>
    <n v="0"/>
    <n v="0"/>
    <n v="0"/>
    <n v="0"/>
    <n v="0"/>
    <x v="1"/>
  </r>
  <r>
    <x v="1365"/>
    <x v="120"/>
    <s v="FRIX00003254"/>
    <s v="No"/>
    <s v="Single Stock"/>
    <m/>
    <s v="SGBP1"/>
    <s v="Euronext Paris"/>
    <s v="Non-significant benchmark"/>
    <n v="0"/>
    <n v="0"/>
    <n v="0"/>
    <n v="0"/>
    <n v="0"/>
    <n v="0"/>
    <n v="0"/>
    <x v="1"/>
  </r>
  <r>
    <x v="1366"/>
    <x v="120"/>
    <s v="FRIX00002538"/>
    <s v="No"/>
    <s v="Single Stock"/>
    <m/>
    <s v="SGA4G"/>
    <s v="Euronext Paris"/>
    <s v="Non-significant benchmark"/>
    <n v="0"/>
    <n v="0"/>
    <n v="0"/>
    <n v="0"/>
    <n v="0"/>
    <n v="0"/>
    <n v="0"/>
    <x v="1"/>
  </r>
  <r>
    <x v="1367"/>
    <x v="120"/>
    <s v="FRIX00002520"/>
    <s v="No"/>
    <s v="Single Stock"/>
    <m/>
    <s v="SGA4P"/>
    <s v="Euronext Paris"/>
    <s v="Non-significant benchmark"/>
    <n v="0"/>
    <n v="0"/>
    <n v="0"/>
    <n v="0"/>
    <n v="0"/>
    <n v="0"/>
    <n v="0"/>
    <x v="1"/>
  </r>
  <r>
    <x v="1368"/>
    <x v="120"/>
    <s v="FRIX00002561"/>
    <s v="No"/>
    <s v="Single Stock"/>
    <m/>
    <s v="SGEEG"/>
    <s v="Euronext Paris"/>
    <s v="Non-significant benchmark"/>
    <n v="0"/>
    <n v="0"/>
    <n v="0"/>
    <n v="0"/>
    <n v="0"/>
    <n v="0"/>
    <n v="0"/>
    <x v="1"/>
  </r>
  <r>
    <x v="1369"/>
    <x v="120"/>
    <s v="FRIX00002553"/>
    <s v="No"/>
    <s v="Single Stock"/>
    <m/>
    <s v="SGEEP"/>
    <s v="Euronext Paris"/>
    <s v="Non-significant benchmark"/>
    <n v="0"/>
    <n v="0"/>
    <n v="0"/>
    <n v="0"/>
    <n v="0"/>
    <n v="0"/>
    <n v="0"/>
    <x v="1"/>
  </r>
  <r>
    <x v="1370"/>
    <x v="120"/>
    <s v="FRIX00003601"/>
    <s v="No"/>
    <s v="Single Stock"/>
    <m/>
    <s v="SG03D"/>
    <s v="Euronext Paris"/>
    <s v="Non-significant benchmark"/>
    <n v="0"/>
    <n v="0"/>
    <n v="0"/>
    <n v="0"/>
    <n v="0"/>
    <n v="0"/>
    <n v="0"/>
    <x v="1"/>
  </r>
  <r>
    <x v="1371"/>
    <x v="120"/>
    <s v="FRIX00003593"/>
    <s v="No"/>
    <s v="Single Stock"/>
    <m/>
    <s v="SG03G"/>
    <s v="Euronext Paris"/>
    <s v="Non-significant benchmark"/>
    <n v="0"/>
    <n v="0"/>
    <n v="0"/>
    <n v="0"/>
    <n v="0"/>
    <n v="0"/>
    <n v="0"/>
    <x v="1"/>
  </r>
  <r>
    <x v="1372"/>
    <x v="120"/>
    <s v="FRIX00003585"/>
    <s v="No"/>
    <s v="Single Stock"/>
    <m/>
    <s v="SG03P"/>
    <s v="Euronext Paris"/>
    <s v="Non-significant benchmark"/>
    <n v="0"/>
    <n v="0"/>
    <n v="0"/>
    <n v="0"/>
    <n v="0"/>
    <n v="0"/>
    <n v="0"/>
    <x v="1"/>
  </r>
  <r>
    <x v="1373"/>
    <x v="120"/>
    <s v="FRIX00003213"/>
    <s v="No"/>
    <s v="Single Stock"/>
    <m/>
    <s v="SGRNO"/>
    <s v="Euronext Paris"/>
    <s v="Non-significant benchmark"/>
    <n v="0"/>
    <n v="0"/>
    <n v="0"/>
    <n v="0"/>
    <n v="0"/>
    <n v="0"/>
    <n v="0"/>
    <x v="1"/>
  </r>
  <r>
    <x v="1374"/>
    <x v="120"/>
    <s v="FRIX00003205"/>
    <s v="No"/>
    <s v="Single Stock"/>
    <m/>
    <s v="SGRNG"/>
    <s v="Euronext Paris"/>
    <s v="Non-significant benchmark"/>
    <n v="0"/>
    <n v="0"/>
    <n v="0"/>
    <n v="0"/>
    <n v="0"/>
    <n v="0"/>
    <n v="0"/>
    <x v="1"/>
  </r>
  <r>
    <x v="1375"/>
    <x v="120"/>
    <s v="FRIX00003197"/>
    <s v="No"/>
    <s v="Single Stock"/>
    <m/>
    <s v="SGRNP"/>
    <s v="Euronext Paris"/>
    <s v="Non-significant benchmark"/>
    <n v="0"/>
    <n v="0"/>
    <n v="0"/>
    <n v="0"/>
    <n v="0"/>
    <n v="0"/>
    <n v="0"/>
    <x v="1"/>
  </r>
  <r>
    <x v="1376"/>
    <x v="120"/>
    <s v="FRIX00002983"/>
    <s v="No"/>
    <s v="Single Stock"/>
    <m/>
    <s v="SGSCG"/>
    <s v="Euronext Paris"/>
    <s v="Non-significant benchmark"/>
    <n v="0"/>
    <n v="0"/>
    <n v="0"/>
    <n v="0"/>
    <n v="0"/>
    <n v="0"/>
    <n v="0"/>
    <x v="1"/>
  </r>
  <r>
    <x v="1377"/>
    <x v="120"/>
    <s v="FRIX00002975"/>
    <s v="No"/>
    <s v="Single Stock"/>
    <m/>
    <s v="SGSC"/>
    <s v="Euronext Paris"/>
    <s v="Non-significant benchmark"/>
    <n v="0"/>
    <n v="0"/>
    <n v="0"/>
    <n v="0"/>
    <n v="0"/>
    <n v="0"/>
    <n v="0"/>
    <x v="1"/>
  </r>
  <r>
    <x v="1378"/>
    <x v="120"/>
    <s v="FRIX00003148"/>
    <s v="No"/>
    <s v="Single Stock"/>
    <m/>
    <s v="SGG5G"/>
    <s v="Euronext Paris"/>
    <s v="Non-significant benchmark"/>
    <n v="0"/>
    <n v="0"/>
    <n v="0"/>
    <n v="0"/>
    <n v="0"/>
    <n v="0"/>
    <n v="0"/>
    <x v="1"/>
  </r>
  <r>
    <x v="1379"/>
    <x v="120"/>
    <s v="FRIX00003130"/>
    <s v="No"/>
    <s v="Single Stock"/>
    <m/>
    <s v="SGG5P"/>
    <s v="Euronext Paris"/>
    <s v="Non-significant benchmark"/>
    <n v="0"/>
    <n v="0"/>
    <n v="0"/>
    <n v="0"/>
    <n v="0"/>
    <n v="0"/>
    <n v="0"/>
    <x v="1"/>
  </r>
  <r>
    <x v="1380"/>
    <x v="120"/>
    <s v="FRIX00002835"/>
    <s v="No"/>
    <s v="Single Stock"/>
    <m/>
    <s v="SGG4D"/>
    <s v="Euronext Paris"/>
    <s v="Non-significant benchmark"/>
    <n v="0"/>
    <n v="0"/>
    <n v="0"/>
    <n v="0"/>
    <n v="0"/>
    <n v="0"/>
    <n v="0"/>
    <x v="1"/>
  </r>
  <r>
    <x v="1381"/>
    <x v="120"/>
    <s v="FRIX00002827"/>
    <s v="No"/>
    <s v="Single Stock"/>
    <m/>
    <s v="SGG4G"/>
    <s v="Euronext Paris"/>
    <s v="Non-significant benchmark"/>
    <n v="0"/>
    <n v="0"/>
    <n v="0"/>
    <n v="0"/>
    <n v="0"/>
    <n v="0"/>
    <n v="0"/>
    <x v="1"/>
  </r>
  <r>
    <x v="1382"/>
    <x v="120"/>
    <s v="FRIX00002504"/>
    <s v="No"/>
    <s v="Single Stock"/>
    <m/>
    <s v="SGG3G"/>
    <s v="Euronext Paris"/>
    <s v="Non-significant benchmark"/>
    <n v="0"/>
    <n v="0"/>
    <n v="0"/>
    <n v="0"/>
    <n v="0"/>
    <n v="0"/>
    <n v="0"/>
    <x v="1"/>
  </r>
  <r>
    <x v="1383"/>
    <x v="120"/>
    <s v="FRIX00002819"/>
    <s v="No"/>
    <s v="Single Stock"/>
    <m/>
    <s v="SGG4P"/>
    <s v="Euronext Paris"/>
    <s v="Non-significant benchmark"/>
    <n v="0"/>
    <n v="0"/>
    <n v="0"/>
    <n v="0"/>
    <n v="0"/>
    <n v="0"/>
    <n v="0"/>
    <x v="1"/>
  </r>
  <r>
    <x v="1384"/>
    <x v="120"/>
    <s v="FRIX00002496"/>
    <s v="No"/>
    <s v="Single Stock"/>
    <m/>
    <s v="SGG3P"/>
    <s v="Euronext Paris"/>
    <s v="Non-significant benchmark"/>
    <n v="0"/>
    <n v="0"/>
    <n v="0"/>
    <n v="0"/>
    <n v="0"/>
    <n v="0"/>
    <n v="0"/>
    <x v="1"/>
  </r>
  <r>
    <x v="1385"/>
    <x v="120"/>
    <s v="FRIX00003023"/>
    <s v="No"/>
    <s v="Single Stock"/>
    <m/>
    <s v="SGS4D"/>
    <s v="Euronext Paris"/>
    <s v="Non-significant benchmark"/>
    <n v="9075900"/>
    <n v="60000000"/>
    <n v="0"/>
    <n v="0"/>
    <n v="0"/>
    <n v="0"/>
    <n v="9075900"/>
    <x v="1"/>
  </r>
  <r>
    <x v="1386"/>
    <x v="120"/>
    <s v="FRIX00003007"/>
    <s v="No"/>
    <s v="Single Stock"/>
    <m/>
    <s v="SGS4P"/>
    <s v="Euronext Paris"/>
    <s v="Non-significant benchmark"/>
    <n v="0"/>
    <n v="0"/>
    <n v="0"/>
    <n v="0"/>
    <n v="0"/>
    <n v="0"/>
    <n v="0"/>
    <x v="1"/>
  </r>
  <r>
    <x v="1387"/>
    <x v="120"/>
    <s v="FRIX00002850"/>
    <s v="No"/>
    <s v="Single Stock"/>
    <m/>
    <s v="SGS3G"/>
    <s v="Euronext Paris"/>
    <s v="Non-significant benchmark"/>
    <n v="0"/>
    <n v="0"/>
    <n v="0"/>
    <n v="0"/>
    <n v="0"/>
    <n v="0"/>
    <n v="0"/>
    <x v="1"/>
  </r>
  <r>
    <x v="1388"/>
    <x v="120"/>
    <s v="FRIX00002843"/>
    <s v="No"/>
    <s v="Single Stock"/>
    <m/>
    <s v="SGS3P"/>
    <s v="Euronext Paris"/>
    <s v="Non-significant benchmark"/>
    <n v="0"/>
    <n v="0"/>
    <n v="0"/>
    <n v="0"/>
    <n v="0"/>
    <n v="0"/>
    <n v="0"/>
    <x v="1"/>
  </r>
  <r>
    <x v="1389"/>
    <x v="120"/>
    <s v="FRIX00002702"/>
    <s v="No"/>
    <s v="Single Stock"/>
    <m/>
    <s v="SGU2G"/>
    <s v="Euronext Paris"/>
    <s v="Non-significant benchmark"/>
    <n v="0"/>
    <n v="0"/>
    <n v="0"/>
    <n v="0"/>
    <n v="0"/>
    <n v="0"/>
    <n v="0"/>
    <x v="1"/>
  </r>
  <r>
    <x v="1390"/>
    <x v="120"/>
    <s v="FRIX00002694"/>
    <s v="No"/>
    <s v="Single Stock"/>
    <m/>
    <s v="SGU2P"/>
    <s v="Euronext Paris"/>
    <s v="Non-significant benchmark"/>
    <n v="0"/>
    <n v="0"/>
    <n v="0"/>
    <n v="0"/>
    <n v="0"/>
    <n v="0"/>
    <n v="0"/>
    <x v="1"/>
  </r>
  <r>
    <x v="1391"/>
    <x v="120"/>
    <s v="FRIX00003189"/>
    <s v="No"/>
    <s v="Single Stock"/>
    <m/>
    <s v="SSS3D"/>
    <s v="Euronext Paris"/>
    <s v="Non-significant benchmark"/>
    <n v="0"/>
    <n v="0"/>
    <n v="0"/>
    <n v="0"/>
    <n v="0"/>
    <n v="0"/>
    <n v="0"/>
    <x v="1"/>
  </r>
  <r>
    <x v="1392"/>
    <x v="120"/>
    <s v="FRIX00003171"/>
    <s v="No"/>
    <s v="Single Stock"/>
    <m/>
    <s v="SSS3G"/>
    <s v="Euronext Paris"/>
    <s v="Non-significant benchmark"/>
    <n v="0"/>
    <n v="0"/>
    <n v="0"/>
    <n v="0"/>
    <n v="0"/>
    <n v="0"/>
    <n v="0"/>
    <x v="1"/>
  </r>
  <r>
    <x v="1393"/>
    <x v="120"/>
    <s v="FRIX00003163"/>
    <s v="No"/>
    <s v="Single Stock"/>
    <m/>
    <s v="SSS3P"/>
    <s v="Euronext Paris"/>
    <s v="Non-significant benchmark"/>
    <n v="0"/>
    <n v="0"/>
    <n v="0"/>
    <n v="0"/>
    <n v="0"/>
    <n v="0"/>
    <n v="0"/>
    <x v="1"/>
  </r>
  <r>
    <x v="1394"/>
    <x v="227"/>
    <s v="FRIX00003239"/>
    <s v="No"/>
    <s v="Strategy"/>
    <m/>
    <s v="E3XLM"/>
    <s v="Euronext Paris"/>
    <s v="Non-significant benchmark"/>
    <n v="0"/>
    <n v="0"/>
    <n v="0"/>
    <n v="0"/>
    <n v="0"/>
    <n v="0"/>
    <n v="0"/>
    <x v="1"/>
  </r>
  <r>
    <x v="1395"/>
    <x v="227"/>
    <s v="FRIX00003247"/>
    <s v="No"/>
    <s v="Strategy"/>
    <m/>
    <s v="E3XSM"/>
    <s v="Euronext Paris"/>
    <s v="Non-significant benchmark"/>
    <n v="0"/>
    <n v="0"/>
    <n v="0"/>
    <n v="107921.68767119999"/>
    <n v="0"/>
    <n v="0"/>
    <n v="107921.68767119999"/>
    <x v="1"/>
  </r>
  <r>
    <x v="1396"/>
    <x v="227"/>
    <s v="FRIX00003221"/>
    <s v="No"/>
    <s v="Strategy"/>
    <m/>
    <s v="ENXMS"/>
    <s v="Euronext Paris"/>
    <s v="Non-significant benchmark"/>
    <n v="0"/>
    <n v="0"/>
    <n v="0"/>
    <n v="0"/>
    <n v="0"/>
    <n v="0"/>
    <n v="0"/>
    <x v="1"/>
  </r>
  <r>
    <x v="1397"/>
    <x v="228"/>
    <s v="NLIX00002229"/>
    <s v="No"/>
    <s v="Country"/>
    <m/>
    <s v="ECHGT"/>
    <s v="Euronext Amsterdam"/>
    <s v="Non-significant benchmark"/>
    <n v="0"/>
    <n v="0"/>
    <n v="0"/>
    <n v="0"/>
    <n v="0"/>
    <n v="0"/>
    <n v="0"/>
    <x v="1"/>
  </r>
  <r>
    <x v="1398"/>
    <x v="228"/>
    <s v="NLIX00002211"/>
    <s v="No"/>
    <s v="Country"/>
    <m/>
    <s v="ECHNT"/>
    <s v="Euronext Amsterdam"/>
    <s v="Non-significant benchmark"/>
    <n v="0"/>
    <n v="0"/>
    <n v="0"/>
    <n v="0"/>
    <n v="0"/>
    <n v="0"/>
    <n v="0"/>
    <x v="1"/>
  </r>
  <r>
    <x v="1399"/>
    <x v="228"/>
    <s v="NLIX00002203"/>
    <s v="No"/>
    <s v="Country"/>
    <m/>
    <s v="ECHPT"/>
    <s v="Euronext Amsterdam"/>
    <s v="Non-significant benchmark"/>
    <n v="0"/>
    <n v="0"/>
    <n v="0"/>
    <n v="0"/>
    <n v="0"/>
    <n v="0"/>
    <n v="0"/>
    <x v="1"/>
  </r>
  <r>
    <x v="1400"/>
    <x v="229"/>
    <s v="NLIX00003946"/>
    <s v="No"/>
    <s v="Thematic"/>
    <m/>
    <s v="TBMAG"/>
    <s v="Euronext Amsterdam"/>
    <s v="Non-significant benchmark"/>
    <n v="0"/>
    <n v="0"/>
    <n v="0"/>
    <n v="0"/>
    <n v="0"/>
    <n v="0"/>
    <n v="0"/>
    <x v="1"/>
  </r>
  <r>
    <x v="1401"/>
    <x v="229"/>
    <s v="NLIX00003938"/>
    <s v="No"/>
    <s v="Thematic"/>
    <m/>
    <s v="TBMAN"/>
    <s v="Euronext Amsterdam"/>
    <s v="Non-significant benchmark"/>
    <n v="0"/>
    <n v="0"/>
    <n v="0"/>
    <n v="0"/>
    <n v="0"/>
    <n v="0"/>
    <n v="0"/>
    <x v="1"/>
  </r>
  <r>
    <x v="1402"/>
    <x v="229"/>
    <s v="NLIX00003920"/>
    <s v="No"/>
    <s v="Thematic"/>
    <m/>
    <s v="TBMA"/>
    <s v="Euronext Amsterdam"/>
    <s v="Non-significant benchmark"/>
    <n v="0"/>
    <n v="0"/>
    <n v="0"/>
    <n v="0"/>
    <n v="0"/>
    <n v="0"/>
    <n v="0"/>
    <x v="1"/>
  </r>
  <r>
    <x v="1403"/>
    <x v="229"/>
    <s v="NLIX00003797"/>
    <s v="No"/>
    <s v="Thematic"/>
    <m/>
    <s v="TCDIG"/>
    <s v="Euronext Amsterdam"/>
    <s v="Non-significant benchmark"/>
    <n v="0"/>
    <n v="0"/>
    <n v="0"/>
    <n v="0"/>
    <n v="0"/>
    <n v="0"/>
    <n v="0"/>
    <x v="1"/>
  </r>
  <r>
    <x v="1404"/>
    <x v="229"/>
    <s v="NLIX00003789"/>
    <s v="No"/>
    <s v="Thematic"/>
    <m/>
    <s v="TCDIN"/>
    <s v="Euronext Amsterdam"/>
    <s v="Non-significant benchmark"/>
    <n v="0"/>
    <n v="0"/>
    <n v="0"/>
    <n v="0"/>
    <n v="0"/>
    <n v="0"/>
    <n v="0"/>
    <x v="1"/>
  </r>
  <r>
    <x v="1405"/>
    <x v="229"/>
    <s v="NLIX00003771"/>
    <s v="No"/>
    <s v="Thematic"/>
    <m/>
    <s v="TCDI"/>
    <s v="Euronext Amsterdam"/>
    <s v="Non-significant benchmark"/>
    <n v="0"/>
    <n v="0"/>
    <n v="0"/>
    <n v="0"/>
    <n v="0"/>
    <n v="0"/>
    <n v="0"/>
    <x v="1"/>
  </r>
  <r>
    <x v="1406"/>
    <x v="229"/>
    <s v="NLIX00003763"/>
    <s v="No"/>
    <s v="Thematic"/>
    <m/>
    <s v="TCSTG"/>
    <s v="Euronext Amsterdam"/>
    <s v="Non-significant benchmark"/>
    <n v="0"/>
    <n v="0"/>
    <n v="0"/>
    <n v="0"/>
    <n v="0"/>
    <n v="0"/>
    <n v="0"/>
    <x v="1"/>
  </r>
  <r>
    <x v="1407"/>
    <x v="229"/>
    <s v="NLIX00003755"/>
    <s v="No"/>
    <s v="Thematic"/>
    <m/>
    <s v="TCSTN"/>
    <s v="Euronext Amsterdam"/>
    <s v="Non-significant benchmark"/>
    <n v="0"/>
    <n v="0"/>
    <n v="0"/>
    <n v="0"/>
    <n v="0"/>
    <n v="0"/>
    <n v="0"/>
    <x v="1"/>
  </r>
  <r>
    <x v="1408"/>
    <x v="229"/>
    <s v="NLIX00003748"/>
    <s v="No"/>
    <s v="Thematic"/>
    <m/>
    <s v="TCST"/>
    <s v="Euronext Amsterdam"/>
    <s v="Non-significant benchmark"/>
    <n v="0"/>
    <n v="0"/>
    <n v="0"/>
    <n v="0"/>
    <n v="0"/>
    <n v="0"/>
    <n v="0"/>
    <x v="1"/>
  </r>
  <r>
    <x v="1409"/>
    <x v="229"/>
    <s v="NLIX00003730"/>
    <s v="No"/>
    <s v="Thematic"/>
    <m/>
    <s v="TENRG"/>
    <s v="Euronext Amsterdam"/>
    <s v="Non-significant benchmark"/>
    <n v="0"/>
    <n v="0"/>
    <n v="0"/>
    <n v="0"/>
    <n v="0"/>
    <n v="0"/>
    <n v="0"/>
    <x v="1"/>
  </r>
  <r>
    <x v="1410"/>
    <x v="229"/>
    <s v="NLIX00003722"/>
    <s v="No"/>
    <s v="Thematic"/>
    <m/>
    <s v="TENRN"/>
    <s v="Euronext Amsterdam"/>
    <s v="Non-significant benchmark"/>
    <n v="0"/>
    <n v="0"/>
    <n v="0"/>
    <n v="0"/>
    <n v="0"/>
    <n v="0"/>
    <n v="0"/>
    <x v="1"/>
  </r>
  <r>
    <x v="1411"/>
    <x v="229"/>
    <s v="NLIX00003714"/>
    <s v="No"/>
    <s v="Thematic"/>
    <m/>
    <s v="TENR"/>
    <s v="Euronext Amsterdam"/>
    <s v="Non-significant benchmark"/>
    <n v="0"/>
    <n v="0"/>
    <n v="0"/>
    <n v="0"/>
    <n v="0"/>
    <n v="0"/>
    <n v="0"/>
    <x v="1"/>
  </r>
  <r>
    <x v="1412"/>
    <x v="229"/>
    <s v="NLIX00003821"/>
    <s v="No"/>
    <s v="Thematic"/>
    <m/>
    <s v="TFING"/>
    <s v="Euronext Amsterdam"/>
    <s v="Non-significant benchmark"/>
    <n v="0"/>
    <n v="0"/>
    <n v="0"/>
    <n v="0"/>
    <n v="0"/>
    <n v="0"/>
    <n v="0"/>
    <x v="1"/>
  </r>
  <r>
    <x v="1413"/>
    <x v="229"/>
    <s v="NLIX00003813"/>
    <s v="No"/>
    <s v="Thematic"/>
    <m/>
    <s v="TFINN"/>
    <s v="Euronext Amsterdam"/>
    <s v="Non-significant benchmark"/>
    <n v="0"/>
    <n v="0"/>
    <n v="0"/>
    <n v="0"/>
    <n v="0"/>
    <n v="0"/>
    <n v="0"/>
    <x v="1"/>
  </r>
  <r>
    <x v="1414"/>
    <x v="229"/>
    <s v="NLIX00003805"/>
    <s v="No"/>
    <s v="Thematic"/>
    <m/>
    <s v="TFINP"/>
    <s v="Euronext Amsterdam"/>
    <s v="Non-significant benchmark"/>
    <n v="0"/>
    <n v="0"/>
    <n v="0"/>
    <n v="0"/>
    <n v="0"/>
    <n v="0"/>
    <n v="0"/>
    <x v="1"/>
  </r>
  <r>
    <x v="1415"/>
    <x v="229"/>
    <s v="NLIX00003912"/>
    <s v="No"/>
    <s v="Thematic"/>
    <m/>
    <s v="THECG"/>
    <s v="Euronext Amsterdam"/>
    <s v="Non-significant benchmark"/>
    <n v="0"/>
    <n v="0"/>
    <n v="0"/>
    <n v="0"/>
    <n v="0"/>
    <n v="0"/>
    <n v="0"/>
    <x v="1"/>
  </r>
  <r>
    <x v="1416"/>
    <x v="229"/>
    <s v="NLIX00003904"/>
    <s v="No"/>
    <s v="Thematic"/>
    <m/>
    <s v="THECN"/>
    <s v="Euronext Amsterdam"/>
    <s v="Non-significant benchmark"/>
    <n v="0"/>
    <n v="0"/>
    <n v="0"/>
    <n v="0"/>
    <n v="0"/>
    <n v="0"/>
    <n v="0"/>
    <x v="1"/>
  </r>
  <r>
    <x v="1417"/>
    <x v="229"/>
    <s v="NLIX00003896"/>
    <s v="No"/>
    <s v="Thematic"/>
    <m/>
    <s v="THEC"/>
    <s v="Euronext Amsterdam"/>
    <s v="Non-significant benchmark"/>
    <n v="0"/>
    <n v="0"/>
    <n v="0"/>
    <n v="0"/>
    <n v="0"/>
    <n v="0"/>
    <n v="0"/>
    <x v="1"/>
  </r>
  <r>
    <x v="1418"/>
    <x v="229"/>
    <s v="NLIX00003854"/>
    <s v="No"/>
    <s v="Thematic"/>
    <m/>
    <s v="TINDG"/>
    <s v="Euronext Amsterdam"/>
    <s v="Non-significant benchmark"/>
    <n v="0"/>
    <n v="0"/>
    <n v="0"/>
    <n v="0"/>
    <n v="0"/>
    <n v="0"/>
    <n v="0"/>
    <x v="1"/>
  </r>
  <r>
    <x v="1419"/>
    <x v="229"/>
    <s v="NLIX00003847"/>
    <s v="No"/>
    <s v="Thematic"/>
    <m/>
    <s v="TINDN"/>
    <s v="Euronext Amsterdam"/>
    <s v="Non-significant benchmark"/>
    <n v="0"/>
    <n v="0"/>
    <n v="0"/>
    <n v="0"/>
    <n v="0"/>
    <n v="0"/>
    <n v="0"/>
    <x v="1"/>
  </r>
  <r>
    <x v="1420"/>
    <x v="229"/>
    <s v="NLIX00003839"/>
    <s v="No"/>
    <s v="Thematic"/>
    <m/>
    <s v="TIND"/>
    <s v="Euronext Amsterdam"/>
    <s v="Non-significant benchmark"/>
    <n v="0"/>
    <n v="0"/>
    <n v="0"/>
    <n v="0"/>
    <n v="0"/>
    <n v="0"/>
    <n v="0"/>
    <x v="1"/>
  </r>
  <r>
    <x v="1421"/>
    <x v="229"/>
    <s v="NLIX00003706"/>
    <s v="No"/>
    <s v="Thematic"/>
    <m/>
    <s v="TTECG"/>
    <s v="Euronext Amsterdam"/>
    <s v="Non-significant benchmark"/>
    <n v="0"/>
    <n v="0"/>
    <n v="0"/>
    <n v="0"/>
    <n v="0"/>
    <n v="0"/>
    <n v="0"/>
    <x v="1"/>
  </r>
  <r>
    <x v="1422"/>
    <x v="229"/>
    <s v="NLIX00003698"/>
    <s v="No"/>
    <s v="Thematic"/>
    <m/>
    <s v="TTECN"/>
    <s v="Euronext Amsterdam"/>
    <s v="Non-significant benchmark"/>
    <n v="0"/>
    <n v="0"/>
    <n v="0"/>
    <n v="0"/>
    <n v="0"/>
    <n v="0"/>
    <n v="0"/>
    <x v="1"/>
  </r>
  <r>
    <x v="1423"/>
    <x v="229"/>
    <s v="NLIX00003680"/>
    <s v="No"/>
    <s v="Thematic"/>
    <m/>
    <s v="TTEC"/>
    <s v="Euronext Amsterdam"/>
    <s v="Non-significant benchmark"/>
    <n v="0"/>
    <n v="0"/>
    <n v="0"/>
    <n v="0"/>
    <n v="0"/>
    <n v="0"/>
    <n v="0"/>
    <x v="1"/>
  </r>
  <r>
    <x v="1424"/>
    <x v="229"/>
    <s v="NLIX00003888"/>
    <s v="No"/>
    <s v="Thematic"/>
    <m/>
    <s v="TTELG"/>
    <s v="Euronext Amsterdam"/>
    <s v="Non-significant benchmark"/>
    <n v="0"/>
    <n v="0"/>
    <n v="0"/>
    <n v="0"/>
    <n v="0"/>
    <n v="0"/>
    <n v="0"/>
    <x v="1"/>
  </r>
  <r>
    <x v="1425"/>
    <x v="229"/>
    <s v="NLIX00003870"/>
    <s v="No"/>
    <s v="Thematic"/>
    <m/>
    <s v="TTELN"/>
    <s v="Euronext Amsterdam"/>
    <s v="Non-significant benchmark"/>
    <n v="0"/>
    <n v="0"/>
    <n v="0"/>
    <n v="0"/>
    <n v="0"/>
    <n v="0"/>
    <n v="0"/>
    <x v="1"/>
  </r>
  <r>
    <x v="1426"/>
    <x v="229"/>
    <s v="NLIX00003862"/>
    <s v="No"/>
    <s v="Thematic"/>
    <m/>
    <s v="TTEL"/>
    <s v="Euronext Amsterdam"/>
    <s v="Non-significant benchmark"/>
    <n v="0"/>
    <n v="0"/>
    <n v="0"/>
    <n v="0"/>
    <n v="0"/>
    <n v="0"/>
    <n v="0"/>
    <x v="1"/>
  </r>
  <r>
    <x v="1427"/>
    <x v="229"/>
    <s v="NLIX00003979"/>
    <s v="No"/>
    <s v="Thematic"/>
    <m/>
    <s v="TUTIG"/>
    <s v="Euronext Amsterdam"/>
    <s v="Non-significant benchmark"/>
    <n v="0"/>
    <n v="0"/>
    <n v="0"/>
    <n v="0"/>
    <n v="0"/>
    <n v="0"/>
    <n v="0"/>
    <x v="1"/>
  </r>
  <r>
    <x v="1428"/>
    <x v="229"/>
    <s v="NLIX00003961"/>
    <s v="No"/>
    <s v="Thematic"/>
    <m/>
    <s v="TUTIN"/>
    <s v="Euronext Amsterdam"/>
    <s v="Non-significant benchmark"/>
    <n v="0"/>
    <n v="0"/>
    <n v="0"/>
    <n v="0"/>
    <n v="0"/>
    <n v="0"/>
    <n v="0"/>
    <x v="1"/>
  </r>
  <r>
    <x v="1429"/>
    <x v="229"/>
    <s v="NLIX00003953"/>
    <s v="No"/>
    <s v="Thematic"/>
    <m/>
    <s v="TUTI"/>
    <s v="Euronext Amsterdam"/>
    <s v="Non-significant benchmark"/>
    <n v="0"/>
    <n v="0"/>
    <n v="0"/>
    <n v="0"/>
    <n v="0"/>
    <n v="0"/>
    <n v="0"/>
    <x v="1"/>
  </r>
  <r>
    <x v="1430"/>
    <x v="230"/>
    <s v="NLIX00002286"/>
    <s v="No"/>
    <s v="Country"/>
    <m/>
    <s v="EUKGT"/>
    <s v="Euronext Amsterdam"/>
    <s v="Non-significant benchmark"/>
    <n v="0"/>
    <n v="0"/>
    <n v="0"/>
    <n v="0"/>
    <n v="0"/>
    <n v="0"/>
    <n v="0"/>
    <x v="1"/>
  </r>
  <r>
    <x v="1431"/>
    <x v="230"/>
    <s v="NLIX00002278"/>
    <s v="No"/>
    <s v="Country"/>
    <m/>
    <s v="EUKNT"/>
    <s v="Euronext Amsterdam"/>
    <s v="Non-significant benchmark"/>
    <n v="0"/>
    <n v="0"/>
    <n v="0"/>
    <n v="0"/>
    <n v="0"/>
    <n v="0"/>
    <n v="0"/>
    <x v="1"/>
  </r>
  <r>
    <x v="1432"/>
    <x v="230"/>
    <s v="NLIX00002260"/>
    <s v="No"/>
    <s v="Country"/>
    <m/>
    <s v="EUKPT"/>
    <s v="Euronext Amsterdam"/>
    <s v="Non-significant benchmark"/>
    <n v="0"/>
    <n v="0"/>
    <n v="0"/>
    <n v="0"/>
    <n v="0"/>
    <n v="0"/>
    <n v="0"/>
    <x v="1"/>
  </r>
  <r>
    <x v="1433"/>
    <x v="231"/>
    <s v="NLIX00002997"/>
    <s v="No"/>
    <s v="Thematic"/>
    <m/>
    <s v="EUSCS"/>
    <s v="Euronext Amsterdam"/>
    <s v="Non-significant benchmark"/>
    <n v="0"/>
    <n v="0"/>
    <n v="0"/>
    <n v="0"/>
    <n v="0"/>
    <n v="0"/>
    <n v="0"/>
    <x v="1"/>
  </r>
  <r>
    <x v="1434"/>
    <x v="231"/>
    <s v="NLIX00003029"/>
    <s v="No"/>
    <s v="Thematic"/>
    <m/>
    <s v="ESC5D"/>
    <s v="Euronext Amsterdam"/>
    <s v="Non-significant benchmark"/>
    <n v="0"/>
    <n v="0"/>
    <n v="0"/>
    <n v="0"/>
    <n v="0"/>
    <n v="0"/>
    <n v="0"/>
    <x v="1"/>
  </r>
  <r>
    <x v="1435"/>
    <x v="231"/>
    <s v="NLIX00003037"/>
    <s v="No"/>
    <s v="Thematic"/>
    <m/>
    <s v="ESC50"/>
    <s v="Euronext Amsterdam"/>
    <s v="Non-significant benchmark"/>
    <n v="0"/>
    <n v="0"/>
    <n v="0"/>
    <n v="0"/>
    <n v="0"/>
    <n v="0"/>
    <n v="0"/>
    <x v="1"/>
  </r>
  <r>
    <x v="1436"/>
    <x v="231"/>
    <s v="NLIX00003003"/>
    <s v="No"/>
    <s v="Thematic"/>
    <m/>
    <s v="EUSCG"/>
    <s v="Euronext Amsterdam"/>
    <s v="Non-significant benchmark"/>
    <n v="0"/>
    <n v="0"/>
    <n v="0"/>
    <n v="0"/>
    <n v="0"/>
    <n v="0"/>
    <n v="0"/>
    <x v="1"/>
  </r>
  <r>
    <x v="1437"/>
    <x v="231"/>
    <s v="NLIX00003011"/>
    <s v="No"/>
    <s v="Thematic"/>
    <m/>
    <s v="EUSCN"/>
    <s v="Euronext Amsterdam"/>
    <s v="Non-significant benchmark"/>
    <n v="0"/>
    <n v="0"/>
    <n v="0"/>
    <n v="0"/>
    <n v="0"/>
    <n v="0"/>
    <n v="0"/>
    <x v="1"/>
  </r>
  <r>
    <x v="1438"/>
    <x v="232"/>
    <s v="NLIX00002161"/>
    <s v="No"/>
    <s v="Country"/>
    <m/>
    <s v="EUSGT"/>
    <s v="Euronext Amsterdam"/>
    <s v="Non-significant benchmark"/>
    <n v="0"/>
    <n v="0"/>
    <n v="0"/>
    <n v="0"/>
    <n v="0"/>
    <n v="0"/>
    <n v="0"/>
    <x v="1"/>
  </r>
  <r>
    <x v="1439"/>
    <x v="232"/>
    <s v="NLIX00002153"/>
    <s v="No"/>
    <s v="Country"/>
    <m/>
    <s v="EUSNT"/>
    <s v="Euronext Amsterdam"/>
    <s v="Non-significant benchmark"/>
    <n v="0"/>
    <n v="0"/>
    <n v="0"/>
    <n v="0"/>
    <n v="0"/>
    <n v="0"/>
    <n v="0"/>
    <x v="1"/>
  </r>
  <r>
    <x v="1440"/>
    <x v="232"/>
    <s v="NLIX00002146"/>
    <s v="No"/>
    <s v="Country"/>
    <m/>
    <s v="EUSPT"/>
    <s v="Euronext Amsterdam"/>
    <s v="Non-significant benchmark"/>
    <n v="0"/>
    <n v="0"/>
    <n v="0"/>
    <n v="0"/>
    <n v="0"/>
    <n v="0"/>
    <n v="0"/>
    <x v="1"/>
  </r>
  <r>
    <x v="1441"/>
    <x v="233"/>
    <s v="NLIX00001569"/>
    <s v="No"/>
    <s v="International"/>
    <m/>
    <s v="ENWPE"/>
    <s v="Euronext Amsterdam"/>
    <s v="Non-significant benchmark"/>
    <n v="0"/>
    <n v="0"/>
    <n v="0"/>
    <n v="0"/>
    <n v="0"/>
    <n v="0"/>
    <n v="0"/>
    <x v="1"/>
  </r>
  <r>
    <x v="1442"/>
    <x v="234"/>
    <s v="FRIX00002777"/>
    <s v="Yes"/>
    <s v="International"/>
    <m/>
    <s v="WIFRP"/>
    <s v="Euronext Paris"/>
    <s v="Non-significant benchmark"/>
    <n v="0"/>
    <n v="0"/>
    <n v="0"/>
    <n v="0"/>
    <n v="0"/>
    <n v="0"/>
    <n v="0"/>
    <x v="1"/>
  </r>
  <r>
    <x v="1443"/>
    <x v="234"/>
    <s v="FRIX00002801"/>
    <s v="Yes"/>
    <s v="International"/>
    <m/>
    <s v="WIFRD"/>
    <s v="Euronext Paris"/>
    <s v="Non-significant benchmark"/>
    <n v="0"/>
    <n v="0"/>
    <n v="0"/>
    <n v="0"/>
    <n v="0"/>
    <n v="0"/>
    <n v="0"/>
    <x v="1"/>
  </r>
  <r>
    <x v="1444"/>
    <x v="234"/>
    <s v="FRIX00002793"/>
    <s v="Yes"/>
    <s v="International"/>
    <m/>
    <s v="WIFRG"/>
    <s v="Euronext Paris"/>
    <s v="Non-significant benchmark"/>
    <n v="0"/>
    <n v="0"/>
    <n v="0"/>
    <n v="0"/>
    <n v="0"/>
    <n v="0"/>
    <n v="0"/>
    <x v="1"/>
  </r>
  <r>
    <x v="1445"/>
    <x v="234"/>
    <s v="FRIX00002785"/>
    <s v="Yes"/>
    <s v="International"/>
    <m/>
    <s v="WIFRN"/>
    <s v="Euronext Paris"/>
    <s v="Non-significant benchmark"/>
    <n v="0"/>
    <n v="0"/>
    <n v="0"/>
    <n v="0"/>
    <n v="0"/>
    <n v="0"/>
    <n v="0"/>
    <x v="1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  <r>
    <x v="1446"/>
    <x v="235"/>
    <m/>
    <m/>
    <m/>
    <m/>
    <m/>
    <m/>
    <m/>
    <m/>
    <m/>
    <m/>
    <m/>
    <m/>
    <m/>
    <m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113A57-8318-4A33-B639-90A411965DF7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5:L10" firstHeaderRow="1" firstDataRow="1" firstDataCol="1" rowPageCount="1" colPageCount="1"/>
  <pivotFields count="20">
    <pivotField showAll="0"/>
    <pivotField showAll="0"/>
    <pivotField showAll="0"/>
    <pivotField axis="axisPage" multipleItemSelectionAllowed="1" showAll="0">
      <items count="4">
        <item h="1" x="0"/>
        <item x="1"/>
        <item h="1" x="2"/>
        <item t="default"/>
      </items>
    </pivotField>
    <pivotField showAll="0"/>
    <pivotField axis="axisRow" showAll="0">
      <items count="5">
        <item x="3"/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3" hier="-1"/>
  </pageFields>
  <dataFields count="1">
    <dataField name="Sum of Total" fld="15" baseField="0" baseItem="0"/>
  </dataFields>
  <formats count="7">
    <format dxfId="28">
      <pivotArea outline="0" collapsedLevelsAreSubtotals="1" fieldPosition="0"/>
    </format>
    <format dxfId="27">
      <pivotArea dataOnly="0" labelOnly="1" fieldPosition="0">
        <references count="1">
          <reference field="5" count="0"/>
        </references>
      </pivotArea>
    </format>
    <format dxfId="26">
      <pivotArea dataOnly="0" labelOnly="1" grandRow="1" outline="0" fieldPosition="0"/>
    </format>
    <format dxfId="25">
      <pivotArea collapsedLevelsAreSubtotals="1" fieldPosition="0">
        <references count="1">
          <reference field="5" count="0"/>
        </references>
      </pivotArea>
    </format>
    <format dxfId="24">
      <pivotArea grandRow="1" outline="0" collapsedLevelsAreSubtotals="1" fieldPosition="0"/>
    </format>
    <format dxfId="23">
      <pivotArea field="5" type="button" dataOnly="0" labelOnly="1" outline="0" axis="axisRow" fieldPosition="0"/>
    </format>
    <format dxfId="2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F684C4-8792-4154-B0DD-EC43A78A7239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ESG">
  <location ref="N6:O10" firstHeaderRow="1" firstDataRow="1" firstDataCol="1"/>
  <pivotFields count="20"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" fld="15" baseField="0" baseItem="0" numFmtId="165"/>
  </dataFields>
  <formats count="7">
    <format dxfId="35">
      <pivotArea outline="0" collapsedLevelsAreSubtotals="1" fieldPosition="0"/>
    </format>
    <format dxfId="34">
      <pivotArea field="3" type="button" dataOnly="0" labelOnly="1" outline="0" axis="axisRow" fieldPosition="0"/>
    </format>
    <format dxfId="33">
      <pivotArea dataOnly="0" labelOnly="1" outline="0" axis="axisValues" fieldPosition="0"/>
    </format>
    <format dxfId="32">
      <pivotArea dataOnly="0" labelOnly="1" fieldPosition="0">
        <references count="1">
          <reference field="3" count="0"/>
        </references>
      </pivotArea>
    </format>
    <format dxfId="31">
      <pivotArea dataOnly="0" labelOnly="1" grandRow="1" outline="0" fieldPosition="0"/>
    </format>
    <format dxfId="30">
      <pivotArea collapsedLevelsAreSubtotals="1" fieldPosition="0">
        <references count="1">
          <reference field="3" count="1">
            <x v="2"/>
          </reference>
        </references>
      </pivotArea>
    </format>
    <format dxfId="29">
      <pivotArea dataOnly="0" labelOnly="1" fieldPosition="0">
        <references count="1">
          <reference field="3" count="1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A23F1B-CB4D-4C9A-B17F-D542D990BCC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Administrator">
  <location ref="K20:L27" firstHeaderRow="1" firstDataRow="1" firstDataCol="1" rowPageCount="1" colPageCount="1"/>
  <pivotFields count="20">
    <pivotField showAll="0"/>
    <pivotField showAll="0"/>
    <pivotField showAll="0"/>
    <pivotField axis="axisPage" multipleItemSelectionAllowed="1" showAll="0">
      <items count="4">
        <item x="0"/>
        <item x="1"/>
        <item h="1" x="2"/>
        <item t="default"/>
      </items>
    </pivotField>
    <pivotField showAll="0"/>
    <pivotField showAll="0"/>
    <pivotField showAll="0"/>
    <pivotField axis="axisRow" showAll="0">
      <items count="8">
        <item x="0"/>
        <item x="1"/>
        <item x="3"/>
        <item x="4"/>
        <item x="2"/>
        <item x="5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3" hier="-1"/>
  </pageFields>
  <dataFields count="1">
    <dataField name="Sum of Total" fld="15" baseField="0" baseItem="0"/>
  </dataFields>
  <formats count="13">
    <format dxfId="48">
      <pivotArea collapsedLevelsAreSubtotals="1" fieldPosition="0">
        <references count="1">
          <reference field="7" count="0"/>
        </references>
      </pivotArea>
    </format>
    <format dxfId="47">
      <pivotArea dataOnly="0" labelOnly="1" fieldPosition="0">
        <references count="1">
          <reference field="7" count="0"/>
        </references>
      </pivotArea>
    </format>
    <format dxfId="46">
      <pivotArea collapsedLevelsAreSubtotals="1" fieldPosition="0">
        <references count="1">
          <reference field="7" count="1">
            <x v="6"/>
          </reference>
        </references>
      </pivotArea>
    </format>
    <format dxfId="45">
      <pivotArea dataOnly="0" labelOnly="1" fieldPosition="0">
        <references count="1">
          <reference field="7" count="1">
            <x v="6"/>
          </reference>
        </references>
      </pivotArea>
    </format>
    <format dxfId="44">
      <pivotArea dataOnly="0" labelOnly="1" grandRow="1" outline="0" fieldPosition="0"/>
    </format>
    <format dxfId="43">
      <pivotArea dataOnly="0" labelOnly="1" fieldPosition="0">
        <references count="1">
          <reference field="7" count="6">
            <x v="0"/>
            <x v="1"/>
            <x v="2"/>
            <x v="3"/>
            <x v="4"/>
            <x v="5"/>
          </reference>
        </references>
      </pivotArea>
    </format>
    <format dxfId="42">
      <pivotArea collapsedLevelsAreSubtotals="1" fieldPosition="0">
        <references count="1">
          <reference field="7" count="6">
            <x v="0"/>
            <x v="1"/>
            <x v="2"/>
            <x v="3"/>
            <x v="4"/>
            <x v="5"/>
          </reference>
        </references>
      </pivotArea>
    </format>
    <format dxfId="41">
      <pivotArea field="7" type="button" dataOnly="0" labelOnly="1" outline="0" axis="axisRow" fieldPosition="0"/>
    </format>
    <format dxfId="40">
      <pivotArea dataOnly="0" labelOnly="1" outline="0" axis="axisValues" fieldPosition="0"/>
    </format>
    <format dxfId="39">
      <pivotArea grandRow="1" outline="0" collapsedLevelsAreSubtotals="1" fieldPosition="0"/>
    </format>
    <format dxfId="38">
      <pivotArea dataOnly="0" labelOnly="1" grandRow="1" outline="0" fieldPosition="0"/>
    </format>
    <format dxfId="37">
      <pivotArea grandRow="1" outline="0" collapsedLevelsAreSubtotals="1" fieldPosition="0"/>
    </format>
    <format dxfId="36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B0DFD6-6AC4-48CD-8BB0-20BAADF1C955}" name="PivotTable2" cacheId="1" applyNumberFormats="0" applyBorderFormats="0" applyFontFormats="0" applyPatternFormats="0" applyAlignmentFormats="0" applyWidthHeightFormats="1" dataCaption="Valeurs" grandTotalCaption="Total" updatedVersion="8" minRefreshableVersion="3" useAutoFormatting="1" itemPrintTitles="1" createdVersion="8" indent="0" outline="1" outlineData="1" multipleFieldFilters="0" rowHeaderCaption="Indices">
  <location ref="C5:D1451" firstHeaderRow="1" firstDataRow="1" firstDataCol="1" rowPageCount="1" colPageCount="1"/>
  <pivotFields count="16">
    <pivotField axis="axisRow" showAll="0" sortType="descending">
      <items count="1473">
        <item x="26"/>
        <item x="27"/>
        <item x="14"/>
        <item x="15"/>
        <item x="16"/>
        <item x="17"/>
        <item x="18"/>
        <item x="19"/>
        <item x="28"/>
        <item x="29"/>
        <item x="30"/>
        <item x="31"/>
        <item x="32"/>
        <item x="33"/>
        <item x="53"/>
        <item x="34"/>
        <item x="35"/>
        <item x="54"/>
        <item x="55"/>
        <item x="56"/>
        <item x="57"/>
        <item x="36"/>
        <item x="37"/>
        <item x="0"/>
        <item x="38"/>
        <item x="39"/>
        <item x="40"/>
        <item x="41"/>
        <item x="822"/>
        <item x="823"/>
        <item x="824"/>
        <item x="1"/>
        <item x="42"/>
        <item x="43"/>
        <item x="825"/>
        <item x="44"/>
        <item x="45"/>
        <item x="46"/>
        <item x="47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2"/>
        <item x="20"/>
        <item x="21"/>
        <item x="22"/>
        <item x="23"/>
        <item x="24"/>
        <item x="25"/>
        <item x="3"/>
        <item x="4"/>
        <item x="844"/>
        <item x="845"/>
        <item x="5"/>
        <item x="846"/>
        <item x="847"/>
        <item x="848"/>
        <item x="849"/>
        <item x="850"/>
        <item x="851"/>
        <item x="852"/>
        <item x="85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58"/>
        <item x="59"/>
        <item x="60"/>
        <item x="82"/>
        <item x="83"/>
        <item x="61"/>
        <item x="62"/>
        <item x="63"/>
        <item x="84"/>
        <item x="85"/>
        <item x="86"/>
        <item x="87"/>
        <item x="88"/>
        <item x="89"/>
        <item x="6"/>
        <item x="180"/>
        <item x="162"/>
        <item x="163"/>
        <item x="164"/>
        <item x="165"/>
        <item x="166"/>
        <item x="175"/>
        <item x="176"/>
        <item x="177"/>
        <item x="178"/>
        <item x="179"/>
        <item x="7"/>
        <item x="854"/>
        <item x="855"/>
        <item x="856"/>
        <item x="8"/>
        <item x="857"/>
        <item x="181"/>
        <item x="858"/>
        <item x="859"/>
        <item x="860"/>
        <item x="861"/>
        <item x="862"/>
        <item x="863"/>
        <item x="864"/>
        <item x="865"/>
        <item x="866"/>
        <item x="885"/>
        <item x="867"/>
        <item x="868"/>
        <item x="869"/>
        <item x="870"/>
        <item x="871"/>
        <item x="872"/>
        <item x="873"/>
        <item x="874"/>
        <item x="875"/>
        <item x="122"/>
        <item x="123"/>
        <item x="90"/>
        <item x="91"/>
        <item x="92"/>
        <item x="125"/>
        <item x="126"/>
        <item x="127"/>
        <item x="128"/>
        <item x="129"/>
        <item x="130"/>
        <item x="131"/>
        <item x="132"/>
        <item x="167"/>
        <item x="133"/>
        <item x="134"/>
        <item x="135"/>
        <item x="136"/>
        <item x="137"/>
        <item x="138"/>
        <item x="93"/>
        <item x="168"/>
        <item x="169"/>
        <item x="170"/>
        <item x="171"/>
        <item x="172"/>
        <item x="173"/>
        <item x="174"/>
        <item x="94"/>
        <item x="95"/>
        <item x="149"/>
        <item x="150"/>
        <item x="151"/>
        <item x="152"/>
        <item x="96"/>
        <item x="97"/>
        <item x="98"/>
        <item x="99"/>
        <item x="100"/>
        <item x="101"/>
        <item x="102"/>
        <item x="103"/>
        <item x="104"/>
        <item x="105"/>
        <item m="1" x="1457"/>
        <item m="1" x="1462"/>
        <item m="1" x="1455"/>
        <item m="1" x="1461"/>
        <item x="139"/>
        <item x="140"/>
        <item x="106"/>
        <item x="107"/>
        <item x="108"/>
        <item x="141"/>
        <item x="142"/>
        <item x="143"/>
        <item x="144"/>
        <item x="145"/>
        <item x="146"/>
        <item x="220"/>
        <item x="221"/>
        <item x="222"/>
        <item x="223"/>
        <item x="202"/>
        <item x="203"/>
        <item x="204"/>
        <item x="205"/>
        <item x="232"/>
        <item x="233"/>
        <item x="235"/>
        <item x="236"/>
        <item x="237"/>
        <item x="249"/>
        <item x="250"/>
        <item x="251"/>
        <item x="252"/>
        <item x="254"/>
        <item x="258"/>
        <item x="259"/>
        <item x="260"/>
        <item x="261"/>
        <item x="262"/>
        <item x="272"/>
        <item x="273"/>
        <item x="274"/>
        <item x="275"/>
        <item x="353"/>
        <item x="354"/>
        <item x="355"/>
        <item x="356"/>
        <item x="400"/>
        <item x="401"/>
        <item x="402"/>
        <item x="403"/>
        <item x="426"/>
        <item x="427"/>
        <item x="428"/>
        <item x="429"/>
        <item x="430"/>
        <item x="431"/>
        <item x="432"/>
        <item x="433"/>
        <item x="465"/>
        <item x="466"/>
        <item x="467"/>
        <item x="468"/>
        <item x="461"/>
        <item x="462"/>
        <item x="463"/>
        <item x="464"/>
        <item x="470"/>
        <item x="471"/>
        <item x="472"/>
        <item x="473"/>
        <item x="494"/>
        <item x="495"/>
        <item x="496"/>
        <item x="497"/>
        <item m="1" x="1452"/>
        <item x="566"/>
        <item x="567"/>
        <item x="579"/>
        <item x="580"/>
        <item x="581"/>
        <item x="582"/>
        <item x="576"/>
        <item x="577"/>
        <item x="578"/>
        <item x="774"/>
        <item x="775"/>
        <item x="776"/>
        <item x="777"/>
        <item x="778"/>
        <item x="779"/>
        <item x="147"/>
        <item x="148"/>
        <item x="182"/>
        <item x="183"/>
        <item x="189"/>
        <item x="190"/>
        <item x="191"/>
        <item x="193"/>
        <item x="192"/>
        <item x="194"/>
        <item x="195"/>
        <item x="196"/>
        <item x="197"/>
        <item x="198"/>
        <item x="199"/>
        <item x="200"/>
        <item x="201"/>
        <item x="206"/>
        <item x="207"/>
        <item x="208"/>
        <item x="209"/>
        <item x="210"/>
        <item x="211"/>
        <item x="212"/>
        <item x="213"/>
        <item x="214"/>
        <item x="215"/>
        <item x="217"/>
        <item x="218"/>
        <item x="219"/>
        <item x="228"/>
        <item x="229"/>
        <item x="230"/>
        <item x="231"/>
        <item x="246"/>
        <item x="247"/>
        <item x="248"/>
        <item x="253"/>
        <item x="255"/>
        <item x="256"/>
        <item x="257"/>
        <item x="263"/>
        <item x="265"/>
        <item x="266"/>
        <item x="267"/>
        <item x="268"/>
        <item x="269"/>
        <item x="270"/>
        <item x="271"/>
        <item x="276"/>
        <item x="277"/>
        <item x="278"/>
        <item x="279"/>
        <item x="280"/>
        <item x="281"/>
        <item x="282"/>
        <item x="283"/>
        <item x="284"/>
        <item x="285"/>
        <item x="333"/>
        <item x="334"/>
        <item x="335"/>
        <item x="336"/>
        <item x="337"/>
        <item x="338"/>
        <item x="339"/>
        <item x="340"/>
        <item x="346"/>
        <item x="347"/>
        <item x="348"/>
        <item x="349"/>
        <item x="350"/>
        <item x="351"/>
        <item x="352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83"/>
        <item x="384"/>
        <item x="385"/>
        <item x="386"/>
        <item x="387"/>
        <item x="388"/>
        <item x="389"/>
        <item x="390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328"/>
        <item x="329"/>
        <item x="330"/>
        <item x="331"/>
        <item x="332"/>
        <item x="446"/>
        <item x="447"/>
        <item x="448"/>
        <item m="1" x="1459"/>
        <item m="1" x="1453"/>
        <item m="1" x="1454"/>
        <item x="453"/>
        <item x="454"/>
        <item x="455"/>
        <item x="456"/>
        <item x="457"/>
        <item x="458"/>
        <item x="459"/>
        <item x="460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998"/>
        <item x="999"/>
        <item x="1000"/>
        <item m="1" x="1460"/>
        <item m="1" x="1456"/>
        <item m="1" x="1449"/>
        <item x="557"/>
        <item x="558"/>
        <item x="559"/>
        <item x="568"/>
        <item x="569"/>
        <item x="570"/>
        <item x="571"/>
        <item x="572"/>
        <item x="573"/>
        <item x="574"/>
        <item x="575"/>
        <item x="704"/>
        <item x="705"/>
        <item x="706"/>
        <item x="710"/>
        <item x="711"/>
        <item x="712"/>
        <item x="713"/>
        <item x="729"/>
        <item x="730"/>
        <item x="731"/>
        <item x="732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80"/>
        <item x="781"/>
        <item x="782"/>
        <item x="783"/>
        <item x="784"/>
        <item x="9"/>
        <item x="794"/>
        <item x="795"/>
        <item x="10"/>
        <item x="876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796"/>
        <item x="797"/>
        <item x="816"/>
        <item x="817"/>
        <item x="820"/>
        <item x="821"/>
        <item x="184"/>
        <item x="185"/>
        <item x="894"/>
        <item x="925"/>
        <item x="926"/>
        <item x="927"/>
        <item x="928"/>
        <item x="929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895"/>
        <item x="954"/>
        <item x="955"/>
        <item x="956"/>
        <item x="957"/>
        <item x="958"/>
        <item x="959"/>
        <item x="960"/>
        <item x="961"/>
        <item x="962"/>
        <item x="896"/>
        <item x="897"/>
        <item x="898"/>
        <item x="963"/>
        <item x="964"/>
        <item x="965"/>
        <item x="966"/>
        <item x="967"/>
        <item x="911"/>
        <item x="912"/>
        <item x="917"/>
        <item x="918"/>
        <item x="919"/>
        <item x="920"/>
        <item x="921"/>
        <item x="922"/>
        <item x="913"/>
        <item x="914"/>
        <item x="899"/>
        <item x="900"/>
        <item x="901"/>
        <item x="902"/>
        <item x="968"/>
        <item x="915"/>
        <item x="923"/>
        <item x="924"/>
        <item x="903"/>
        <item x="916"/>
        <item x="930"/>
        <item x="931"/>
        <item x="932"/>
        <item x="904"/>
        <item x="969"/>
        <item x="970"/>
        <item x="971"/>
        <item x="972"/>
        <item x="973"/>
        <item x="974"/>
        <item m="1" x="1463"/>
        <item m="1" x="1466"/>
        <item m="1" x="1447"/>
        <item m="1" x="1470"/>
        <item m="1" x="1465"/>
        <item m="1" x="1471"/>
        <item m="1" x="1464"/>
        <item m="1" x="1450"/>
        <item m="1" x="1451"/>
        <item m="1" x="1467"/>
        <item m="1" x="1468"/>
        <item m="1" x="1458"/>
        <item m="1" x="1469"/>
        <item m="1" x="1448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109"/>
        <item x="110"/>
        <item x="111"/>
        <item x="1001"/>
        <item x="1002"/>
        <item x="1003"/>
        <item x="1004"/>
        <item x="1005"/>
        <item x="1006"/>
        <item x="1007"/>
        <item x="1008"/>
        <item x="469"/>
        <item x="886"/>
        <item x="887"/>
        <item x="888"/>
        <item x="234"/>
        <item x="242"/>
        <item x="243"/>
        <item x="244"/>
        <item x="245"/>
        <item x="264"/>
        <item x="717"/>
        <item x="718"/>
        <item x="719"/>
        <item x="720"/>
        <item x="48"/>
        <item x="49"/>
        <item x="112"/>
        <item x="113"/>
        <item x="114"/>
        <item x="115"/>
        <item x="116"/>
        <item x="117"/>
        <item x="118"/>
        <item x="119"/>
        <item x="186"/>
        <item x="187"/>
        <item x="188"/>
        <item x="286"/>
        <item x="288"/>
        <item x="289"/>
        <item x="290"/>
        <item x="391"/>
        <item x="392"/>
        <item x="393"/>
        <item x="394"/>
        <item x="396"/>
        <item x="397"/>
        <item x="398"/>
        <item x="399"/>
        <item x="434"/>
        <item x="436"/>
        <item x="437"/>
        <item x="438"/>
        <item x="449"/>
        <item x="450"/>
        <item x="451"/>
        <item x="452"/>
        <item x="498"/>
        <item x="499"/>
        <item x="500"/>
        <item x="501"/>
        <item x="544"/>
        <item x="545"/>
        <item x="546"/>
        <item x="548"/>
        <item x="549"/>
        <item x="550"/>
        <item x="695"/>
        <item x="696"/>
        <item x="697"/>
        <item x="698"/>
        <item x="721"/>
        <item x="722"/>
        <item x="723"/>
        <item x="724"/>
        <item x="725"/>
        <item x="726"/>
        <item x="727"/>
        <item x="728"/>
        <item x="736"/>
        <item x="737"/>
        <item x="738"/>
        <item x="739"/>
        <item x="788"/>
        <item x="789"/>
        <item x="790"/>
        <item x="818"/>
        <item x="819"/>
        <item x="224"/>
        <item x="225"/>
        <item x="226"/>
        <item x="227"/>
        <item x="291"/>
        <item x="292"/>
        <item x="294"/>
        <item x="417"/>
        <item x="418"/>
        <item x="419"/>
        <item x="420"/>
        <item x="442"/>
        <item x="443"/>
        <item x="444"/>
        <item x="445"/>
        <item x="752"/>
        <item x="753"/>
        <item x="754"/>
        <item x="755"/>
        <item x="756"/>
        <item x="757"/>
        <item x="758"/>
        <item x="785"/>
        <item x="786"/>
        <item x="787"/>
        <item x="439"/>
        <item x="440"/>
        <item x="441"/>
        <item x="502"/>
        <item x="503"/>
        <item x="505"/>
        <item x="506"/>
        <item x="740"/>
        <item x="741"/>
        <item x="742"/>
        <item x="743"/>
        <item x="744"/>
        <item x="745"/>
        <item x="216"/>
        <item x="510"/>
        <item x="511"/>
        <item x="512"/>
        <item x="513"/>
        <item x="622"/>
        <item x="623"/>
        <item x="624"/>
        <item x="632"/>
        <item x="633"/>
        <item x="634"/>
        <item x="647"/>
        <item x="649"/>
        <item x="651"/>
        <item x="733"/>
        <item x="734"/>
        <item x="735"/>
        <item x="889"/>
        <item x="892"/>
        <item x="893"/>
        <item x="293"/>
        <item x="295"/>
        <item x="296"/>
        <item x="309"/>
        <item x="310"/>
        <item x="311"/>
        <item x="312"/>
        <item x="313"/>
        <item x="319"/>
        <item x="320"/>
        <item x="322"/>
        <item x="395"/>
        <item x="595"/>
        <item x="596"/>
        <item x="597"/>
        <item x="598"/>
        <item x="599"/>
        <item x="600"/>
        <item x="601"/>
        <item x="602"/>
        <item x="603"/>
        <item x="606"/>
        <item x="607"/>
        <item x="608"/>
        <item x="646"/>
        <item x="648"/>
        <item x="650"/>
        <item x="890"/>
        <item x="891"/>
        <item x="1446"/>
        <item x="287"/>
        <item x="321"/>
        <item x="323"/>
        <item x="324"/>
        <item x="435"/>
        <item x="538"/>
        <item x="539"/>
        <item x="540"/>
        <item x="541"/>
        <item x="542"/>
        <item x="543"/>
        <item x="592"/>
        <item x="593"/>
        <item x="594"/>
        <item x="616"/>
        <item x="617"/>
        <item x="618"/>
        <item x="619"/>
        <item x="620"/>
        <item x="621"/>
        <item x="626"/>
        <item x="628"/>
        <item x="631"/>
        <item x="636"/>
        <item x="637"/>
        <item x="638"/>
        <item x="746"/>
        <item x="747"/>
        <item x="748"/>
        <item x="749"/>
        <item x="750"/>
        <item x="751"/>
        <item x="341"/>
        <item x="343"/>
        <item x="344"/>
        <item x="345"/>
        <item x="583"/>
        <item x="584"/>
        <item x="585"/>
        <item x="586"/>
        <item x="587"/>
        <item x="588"/>
        <item x="589"/>
        <item x="590"/>
        <item x="591"/>
        <item x="791"/>
        <item x="793"/>
        <item x="314"/>
        <item x="315"/>
        <item x="316"/>
        <item x="317"/>
        <item x="318"/>
        <item x="627"/>
        <item x="629"/>
        <item x="630"/>
        <item x="792"/>
        <item x="11"/>
        <item x="12"/>
        <item x="13"/>
        <item x="342"/>
        <item x="507"/>
        <item x="508"/>
        <item x="509"/>
        <item x="877"/>
        <item x="878"/>
        <item x="879"/>
        <item x="880"/>
        <item x="881"/>
        <item x="882"/>
        <item x="883"/>
        <item x="884"/>
        <item x="975"/>
        <item x="976"/>
        <item x="977"/>
        <item x="656"/>
        <item x="657"/>
        <item x="658"/>
        <item x="665"/>
        <item x="666"/>
        <item x="667"/>
        <item x="668"/>
        <item x="669"/>
        <item x="670"/>
        <item x="677"/>
        <item x="678"/>
        <item x="679"/>
        <item x="680"/>
        <item x="681"/>
        <item x="682"/>
        <item x="683"/>
        <item x="684"/>
        <item x="685"/>
        <item x="905"/>
        <item x="906"/>
        <item x="907"/>
        <item x="908"/>
        <item x="909"/>
        <item x="910"/>
        <item x="50"/>
        <item x="51"/>
        <item x="52"/>
        <item x="120"/>
        <item x="121"/>
        <item x="378"/>
        <item x="379"/>
        <item x="380"/>
        <item x="381"/>
        <item x="382"/>
        <item x="421"/>
        <item x="422"/>
        <item x="423"/>
        <item x="424"/>
        <item x="425"/>
        <item x="504"/>
        <item x="609"/>
        <item x="610"/>
        <item x="611"/>
        <item x="653"/>
        <item x="654"/>
        <item x="655"/>
        <item x="659"/>
        <item x="660"/>
        <item x="661"/>
        <item x="662"/>
        <item x="663"/>
        <item x="664"/>
        <item x="671"/>
        <item x="672"/>
        <item x="673"/>
        <item x="674"/>
        <item x="675"/>
        <item x="676"/>
        <item x="686"/>
        <item x="687"/>
        <item x="688"/>
        <item x="699"/>
        <item x="700"/>
        <item x="701"/>
        <item x="702"/>
        <item x="703"/>
        <item x="300"/>
        <item x="301"/>
        <item x="302"/>
        <item x="325"/>
        <item x="326"/>
        <item x="327"/>
        <item x="692"/>
        <item x="693"/>
        <item x="694"/>
        <item x="707"/>
        <item x="708"/>
        <item x="709"/>
        <item x="238"/>
        <item x="239"/>
        <item x="240"/>
        <item x="241"/>
        <item x="297"/>
        <item x="298"/>
        <item x="299"/>
        <item x="514"/>
        <item x="515"/>
        <item x="516"/>
        <item x="547"/>
        <item x="560"/>
        <item x="561"/>
        <item x="562"/>
        <item x="563"/>
        <item x="564"/>
        <item x="565"/>
        <item x="612"/>
        <item x="613"/>
        <item x="614"/>
        <item x="689"/>
        <item x="690"/>
        <item x="691"/>
        <item x="153"/>
        <item x="154"/>
        <item x="155"/>
        <item x="156"/>
        <item x="157"/>
        <item x="158"/>
        <item x="159"/>
        <item x="160"/>
        <item x="161"/>
        <item x="303"/>
        <item x="304"/>
        <item x="305"/>
        <item x="306"/>
        <item x="307"/>
        <item x="308"/>
        <item x="532"/>
        <item x="533"/>
        <item x="534"/>
        <item x="535"/>
        <item x="536"/>
        <item x="537"/>
        <item x="551"/>
        <item x="552"/>
        <item x="553"/>
        <item x="554"/>
        <item x="555"/>
        <item x="556"/>
        <item x="641"/>
        <item x="642"/>
        <item x="643"/>
        <item x="714"/>
        <item x="715"/>
        <item x="716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4"/>
        <item x="604"/>
        <item x="605"/>
        <item x="615"/>
        <item x="625"/>
        <item x="635"/>
        <item x="639"/>
        <item x="640"/>
        <item x="644"/>
        <item x="645"/>
        <item x="65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axis="axisPage" subtotalTop="0" showAll="0" includeNewItemsInFilter="1" defaultSubtotal="0">
      <items count="3">
        <item x="0"/>
        <item x="1"/>
        <item h="1" x="2"/>
      </items>
    </pivotField>
    <pivotField subtotalTop="0" showAll="0" defaultSubtotal="0"/>
    <pivotField subtotalTop="0" showAll="0" defaultSubtotal="0"/>
    <pivotField showAll="0"/>
    <pivotField showAll="0"/>
    <pivotField showAll="0"/>
    <pivotField numFmtId="164" showAll="0"/>
    <pivotField numFmtId="43" showAll="0"/>
    <pivotField numFmtId="43" showAll="0"/>
    <pivotField subtotalTop="0" showAll="0" defaultSubtotal="0"/>
    <pivotField numFmtId="43" showAll="0"/>
    <pivotField numFmtId="164" showAll="0"/>
    <pivotField dataField="1" numFmtId="43" showAll="0"/>
  </pivotFields>
  <rowFields count="1">
    <field x="0"/>
  </rowFields>
  <rowItems count="1446">
    <i>
      <x v="109"/>
    </i>
    <i>
      <x v="57"/>
    </i>
    <i>
      <x v="125"/>
    </i>
    <i>
      <x v="594"/>
    </i>
    <i>
      <x v="590"/>
    </i>
    <i>
      <x v="151"/>
    </i>
    <i>
      <x v="641"/>
    </i>
    <i>
      <x v="743"/>
    </i>
    <i>
      <x v="121"/>
    </i>
    <i>
      <x v="172"/>
    </i>
    <i>
      <x v="647"/>
    </i>
    <i>
      <x v="183"/>
    </i>
    <i>
      <x v="199"/>
    </i>
    <i>
      <x v="220"/>
    </i>
    <i>
      <x v="1111"/>
    </i>
    <i>
      <x v="653"/>
    </i>
    <i>
      <x v="170"/>
    </i>
    <i>
      <x v="673"/>
    </i>
    <i>
      <x v="643"/>
    </i>
    <i>
      <x v="341"/>
    </i>
    <i>
      <x v="187"/>
    </i>
    <i>
      <x v="31"/>
    </i>
    <i>
      <x v="591"/>
    </i>
    <i>
      <x v="932"/>
    </i>
    <i>
      <x v="567"/>
    </i>
    <i>
      <x v="642"/>
    </i>
    <i>
      <x v="4"/>
    </i>
    <i>
      <x v="323"/>
    </i>
    <i>
      <x v="476"/>
    </i>
    <i>
      <x v="495"/>
    </i>
    <i>
      <x v="307"/>
    </i>
    <i>
      <x v="225"/>
    </i>
    <i>
      <x v="216"/>
    </i>
    <i>
      <x v="337"/>
    </i>
    <i>
      <x v="1053"/>
    </i>
    <i>
      <x v="1118"/>
    </i>
    <i>
      <x v="394"/>
    </i>
    <i>
      <x v="598"/>
    </i>
    <i>
      <x v="969"/>
    </i>
    <i>
      <x v="672"/>
    </i>
    <i>
      <x v="872"/>
    </i>
    <i>
      <x v="871"/>
    </i>
    <i>
      <x v="757"/>
    </i>
    <i>
      <x v="873"/>
    </i>
    <i>
      <x v="178"/>
    </i>
    <i>
      <x v="1231"/>
    </i>
    <i>
      <x v="234"/>
    </i>
    <i>
      <x v="716"/>
    </i>
    <i>
      <x v="68"/>
    </i>
    <i>
      <x v="123"/>
    </i>
    <i>
      <x v="781"/>
    </i>
    <i>
      <x v="340"/>
    </i>
    <i>
      <x v="134"/>
    </i>
    <i>
      <x v="1117"/>
    </i>
    <i>
      <x v="399"/>
    </i>
    <i>
      <x v="1059"/>
    </i>
    <i>
      <x v="671"/>
    </i>
    <i>
      <x v="468"/>
    </i>
    <i>
      <x v="126"/>
    </i>
    <i>
      <x v="282"/>
    </i>
    <i>
      <x v="181"/>
    </i>
    <i>
      <x v="258"/>
    </i>
    <i>
      <x v="377"/>
    </i>
    <i>
      <x v="431"/>
    </i>
    <i>
      <x v="666"/>
    </i>
    <i>
      <x v="686"/>
    </i>
    <i>
      <x v="445"/>
    </i>
    <i>
      <x v="729"/>
    </i>
    <i>
      <x v="140"/>
    </i>
    <i>
      <x v="64"/>
    </i>
    <i>
      <x v="1237"/>
    </i>
    <i>
      <x v="836"/>
    </i>
    <i>
      <x v="111"/>
    </i>
    <i>
      <x v="931"/>
    </i>
    <i>
      <x v="1115"/>
    </i>
    <i>
      <x v="747"/>
    </i>
    <i>
      <x v="678"/>
    </i>
    <i>
      <x v="766"/>
    </i>
    <i>
      <x v="1044"/>
    </i>
    <i>
      <x v="416"/>
    </i>
    <i>
      <x v="308"/>
    </i>
    <i>
      <x v="986"/>
    </i>
    <i>
      <x v="393"/>
    </i>
    <i>
      <x v="785"/>
    </i>
    <i>
      <x v="149"/>
    </i>
    <i>
      <x v="978"/>
    </i>
    <i>
      <x v="1158"/>
    </i>
    <i>
      <x v="704"/>
    </i>
    <i>
      <x v="238"/>
    </i>
    <i>
      <x v="894"/>
    </i>
    <i>
      <x v="1075"/>
    </i>
    <i>
      <x v="303"/>
    </i>
    <i>
      <x v="182"/>
    </i>
    <i>
      <x v="1160"/>
    </i>
    <i>
      <x v="976"/>
    </i>
    <i>
      <x v="1229"/>
    </i>
    <i>
      <x v="1235"/>
    </i>
    <i>
      <x v="1383"/>
    </i>
    <i>
      <x v="60"/>
    </i>
    <i>
      <x v="1041"/>
    </i>
    <i>
      <x v="639"/>
    </i>
    <i>
      <x v="1018"/>
    </i>
    <i>
      <x v="961"/>
    </i>
    <i>
      <x v="929"/>
    </i>
    <i>
      <x v="211"/>
    </i>
    <i>
      <x v="840"/>
    </i>
    <i>
      <x v="1050"/>
    </i>
    <i>
      <x v="710"/>
    </i>
    <i>
      <x v="135"/>
    </i>
    <i>
      <x v="312"/>
    </i>
    <i>
      <x v="289"/>
    </i>
    <i>
      <x v="775"/>
    </i>
    <i>
      <x v="494"/>
    </i>
    <i>
      <x v="1213"/>
    </i>
    <i>
      <x v="1120"/>
    </i>
    <i>
      <x v="772"/>
    </i>
    <i>
      <x v="650"/>
    </i>
    <i>
      <x v="841"/>
    </i>
    <i>
      <x v="369"/>
    </i>
    <i>
      <x v="849"/>
    </i>
    <i>
      <x v="319"/>
    </i>
    <i>
      <x v="138"/>
    </i>
    <i>
      <x v="1232"/>
    </i>
    <i>
      <x v="197"/>
    </i>
    <i>
      <x v="409"/>
    </i>
    <i>
      <x v="273"/>
    </i>
    <i>
      <x v="1062"/>
    </i>
    <i>
      <x v="804"/>
    </i>
    <i>
      <x v="302"/>
    </i>
    <i>
      <x v="272"/>
    </i>
    <i>
      <x v="778"/>
    </i>
    <i>
      <x v="803"/>
    </i>
    <i>
      <x v="1036"/>
    </i>
    <i>
      <x v="1216"/>
    </i>
    <i>
      <x v="436"/>
    </i>
    <i>
      <x v="460"/>
    </i>
    <i>
      <x v="224"/>
    </i>
    <i>
      <x v="281"/>
    </i>
    <i>
      <x v="703"/>
    </i>
    <i>
      <x v="1038"/>
    </i>
    <i>
      <x v="417"/>
    </i>
    <i>
      <x v="295"/>
    </i>
    <i>
      <x v="768"/>
    </i>
    <i>
      <x v="362"/>
    </i>
    <i>
      <x v="1236"/>
    </i>
    <i>
      <x v="115"/>
    </i>
    <i>
      <x v="290"/>
    </i>
    <i>
      <x v="1411"/>
    </i>
    <i>
      <x v="949"/>
    </i>
    <i>
      <x v="1123"/>
    </i>
    <i>
      <x v="1234"/>
    </i>
    <i>
      <x v="926"/>
    </i>
    <i>
      <x v="811"/>
    </i>
    <i>
      <x v="1112"/>
    </i>
    <i>
      <x v="920"/>
    </i>
    <i>
      <x v="799"/>
    </i>
    <i>
      <x v="1238"/>
    </i>
    <i>
      <x v="1210"/>
    </i>
    <i>
      <x v="656"/>
    </i>
    <i>
      <x v="818"/>
    </i>
    <i>
      <x v="185"/>
    </i>
    <i>
      <x v="283"/>
    </i>
    <i>
      <x v="808"/>
    </i>
    <i>
      <x v="1132"/>
    </i>
    <i>
      <x v="918"/>
    </i>
    <i>
      <x v="190"/>
    </i>
    <i>
      <x v="144"/>
    </i>
    <i>
      <x v="451"/>
    </i>
    <i>
      <x v="246"/>
    </i>
    <i>
      <x v="1171"/>
    </i>
    <i>
      <x v="946"/>
    </i>
    <i>
      <x v="291"/>
    </i>
    <i>
      <x v="330"/>
    </i>
    <i>
      <x v="136"/>
    </i>
    <i>
      <x v="63"/>
    </i>
    <i>
      <x v="442"/>
    </i>
    <i>
      <x v="14"/>
    </i>
    <i>
      <x v="530"/>
    </i>
    <i>
      <x v="139"/>
    </i>
    <i>
      <x v="129"/>
    </i>
    <i>
      <x v="1421"/>
    </i>
    <i>
      <x v="132"/>
    </i>
    <i>
      <x v="133"/>
    </i>
    <i>
      <x v="141"/>
    </i>
    <i>
      <x v="145"/>
    </i>
    <i>
      <x v="267"/>
    </i>
    <i>
      <x v="1466"/>
    </i>
    <i>
      <x v="1388"/>
    </i>
    <i>
      <x v="1356"/>
    </i>
    <i>
      <x v="1197"/>
    </i>
    <i>
      <x v="1196"/>
    </i>
    <i>
      <x v="1198"/>
    </i>
    <i>
      <x v="1340"/>
    </i>
    <i>
      <x v="1199"/>
    </i>
    <i>
      <x v="1372"/>
    </i>
    <i>
      <x v="1200"/>
    </i>
    <i>
      <x v="1404"/>
    </i>
    <i>
      <x v="1201"/>
    </i>
    <i>
      <x v="1450"/>
    </i>
    <i>
      <x v="1202"/>
    </i>
    <i>
      <x v="1332"/>
    </i>
    <i>
      <x v="1203"/>
    </i>
    <i>
      <x v="1348"/>
    </i>
    <i>
      <x v="1204"/>
    </i>
    <i>
      <x v="1364"/>
    </i>
    <i>
      <x v="1205"/>
    </i>
    <i>
      <x v="1380"/>
    </i>
    <i>
      <x v="1207"/>
    </i>
    <i>
      <x v="1396"/>
    </i>
    <i>
      <x v="1208"/>
    </i>
    <i>
      <x v="1412"/>
    </i>
    <i>
      <x v="1209"/>
    </i>
    <i>
      <x v="1442"/>
    </i>
    <i>
      <x v="1183"/>
    </i>
    <i>
      <x v="1458"/>
    </i>
    <i>
      <x v="1211"/>
    </i>
    <i>
      <x v="1328"/>
    </i>
    <i>
      <x v="1212"/>
    </i>
    <i>
      <x v="1336"/>
    </i>
    <i>
      <x v="1184"/>
    </i>
    <i>
      <x v="1344"/>
    </i>
    <i>
      <x v="1214"/>
    </i>
    <i>
      <x v="1352"/>
    </i>
    <i>
      <x v="1215"/>
    </i>
    <i>
      <x v="1360"/>
    </i>
    <i>
      <x v="1185"/>
    </i>
    <i>
      <x v="1368"/>
    </i>
    <i>
      <x v="1217"/>
    </i>
    <i>
      <x v="1376"/>
    </i>
    <i>
      <x v="1218"/>
    </i>
    <i>
      <x v="1384"/>
    </i>
    <i>
      <x v="1219"/>
    </i>
    <i>
      <x v="1392"/>
    </i>
    <i>
      <x v="1220"/>
    </i>
    <i>
      <x v="1400"/>
    </i>
    <i>
      <x v="1221"/>
    </i>
    <i>
      <x v="1408"/>
    </i>
    <i>
      <x v="1222"/>
    </i>
    <i>
      <x v="1416"/>
    </i>
    <i>
      <x v="1223"/>
    </i>
    <i>
      <x v="1438"/>
    </i>
    <i>
      <x v="1224"/>
    </i>
    <i>
      <x v="1446"/>
    </i>
    <i>
      <x v="1225"/>
    </i>
    <i>
      <x v="1454"/>
    </i>
    <i>
      <x v="1226"/>
    </i>
    <i>
      <x v="1462"/>
    </i>
    <i>
      <x v="1227"/>
    </i>
    <i>
      <x v="1470"/>
    </i>
    <i>
      <x v="1228"/>
    </i>
    <i>
      <x v="1330"/>
    </i>
    <i>
      <x v="1186"/>
    </i>
    <i>
      <x v="1334"/>
    </i>
    <i>
      <x v="1230"/>
    </i>
    <i>
      <x v="1338"/>
    </i>
    <i>
      <x v="1187"/>
    </i>
    <i>
      <x v="1342"/>
    </i>
    <i>
      <x v="1188"/>
    </i>
    <i>
      <x v="1346"/>
    </i>
    <i>
      <x v="1233"/>
    </i>
    <i>
      <x v="1350"/>
    </i>
    <i>
      <x v="1189"/>
    </i>
    <i>
      <x v="1354"/>
    </i>
    <i>
      <x v="1190"/>
    </i>
    <i>
      <x v="1358"/>
    </i>
    <i>
      <x v="1191"/>
    </i>
    <i>
      <x v="1362"/>
    </i>
    <i>
      <x v="1192"/>
    </i>
    <i>
      <x v="1366"/>
    </i>
    <i>
      <x v="1193"/>
    </i>
    <i>
      <x v="1370"/>
    </i>
    <i>
      <x v="1239"/>
    </i>
    <i>
      <x v="1374"/>
    </i>
    <i>
      <x v="1240"/>
    </i>
    <i>
      <x v="1378"/>
    </i>
    <i>
      <x v="1241"/>
    </i>
    <i>
      <x v="1382"/>
    </i>
    <i>
      <x v="1242"/>
    </i>
    <i>
      <x v="1386"/>
    </i>
    <i>
      <x v="1243"/>
    </i>
    <i>
      <x v="1390"/>
    </i>
    <i>
      <x v="1244"/>
    </i>
    <i>
      <x v="1394"/>
    </i>
    <i>
      <x v="1245"/>
    </i>
    <i>
      <x v="1398"/>
    </i>
    <i>
      <x v="1246"/>
    </i>
    <i>
      <x v="1402"/>
    </i>
    <i>
      <x v="1247"/>
    </i>
    <i>
      <x v="1406"/>
    </i>
    <i>
      <x v="1248"/>
    </i>
    <i>
      <x v="1410"/>
    </i>
    <i>
      <x v="1249"/>
    </i>
    <i>
      <x v="1414"/>
    </i>
    <i>
      <x v="1250"/>
    </i>
    <i>
      <x v="1418"/>
    </i>
    <i>
      <x v="1251"/>
    </i>
    <i>
      <x v="1436"/>
    </i>
    <i>
      <x v="1252"/>
    </i>
    <i>
      <x v="1440"/>
    </i>
    <i>
      <x v="1253"/>
    </i>
    <i>
      <x v="1444"/>
    </i>
    <i>
      <x v="1254"/>
    </i>
    <i>
      <x v="1448"/>
    </i>
    <i>
      <x v="1255"/>
    </i>
    <i>
      <x v="1452"/>
    </i>
    <i>
      <x v="1256"/>
    </i>
    <i>
      <x v="1456"/>
    </i>
    <i>
      <x v="1257"/>
    </i>
    <i>
      <x v="1460"/>
    </i>
    <i>
      <x v="1258"/>
    </i>
    <i>
      <x v="1464"/>
    </i>
    <i>
      <x v="1259"/>
    </i>
    <i>
      <x v="1468"/>
    </i>
    <i>
      <x v="1260"/>
    </i>
    <i>
      <x v="1182"/>
    </i>
    <i>
      <x v="1261"/>
    </i>
    <i>
      <x v="1329"/>
    </i>
    <i>
      <x v="1262"/>
    </i>
    <i>
      <x v="1331"/>
    </i>
    <i>
      <x v="1263"/>
    </i>
    <i>
      <x v="1333"/>
    </i>
    <i>
      <x v="1264"/>
    </i>
    <i>
      <x v="1335"/>
    </i>
    <i>
      <x v="1265"/>
    </i>
    <i>
      <x v="1337"/>
    </i>
    <i>
      <x v="1266"/>
    </i>
    <i>
      <x v="1339"/>
    </i>
    <i>
      <x v="1267"/>
    </i>
    <i>
      <x v="1341"/>
    </i>
    <i>
      <x v="1268"/>
    </i>
    <i>
      <x v="1343"/>
    </i>
    <i>
      <x v="1269"/>
    </i>
    <i>
      <x v="1345"/>
    </i>
    <i>
      <x v="1270"/>
    </i>
    <i>
      <x v="1347"/>
    </i>
    <i>
      <x v="1271"/>
    </i>
    <i>
      <x v="1349"/>
    </i>
    <i>
      <x v="1272"/>
    </i>
    <i>
      <x v="1351"/>
    </i>
    <i>
      <x v="1273"/>
    </i>
    <i>
      <x v="1353"/>
    </i>
    <i>
      <x v="1274"/>
    </i>
    <i>
      <x v="1355"/>
    </i>
    <i>
      <x v="1275"/>
    </i>
    <i>
      <x v="1357"/>
    </i>
    <i>
      <x v="1276"/>
    </i>
    <i>
      <x v="1359"/>
    </i>
    <i>
      <x v="1277"/>
    </i>
    <i>
      <x v="1361"/>
    </i>
    <i>
      <x v="1278"/>
    </i>
    <i>
      <x v="1363"/>
    </i>
    <i>
      <x v="1279"/>
    </i>
    <i>
      <x v="1365"/>
    </i>
    <i>
      <x v="1280"/>
    </i>
    <i>
      <x v="1367"/>
    </i>
    <i>
      <x v="1281"/>
    </i>
    <i>
      <x v="1369"/>
    </i>
    <i>
      <x v="1282"/>
    </i>
    <i>
      <x v="1371"/>
    </i>
    <i>
      <x v="1283"/>
    </i>
    <i>
      <x v="1373"/>
    </i>
    <i>
      <x v="1284"/>
    </i>
    <i>
      <x v="1375"/>
    </i>
    <i>
      <x v="1285"/>
    </i>
    <i>
      <x v="1377"/>
    </i>
    <i>
      <x v="1286"/>
    </i>
    <i>
      <x v="1379"/>
    </i>
    <i>
      <x v="1287"/>
    </i>
    <i>
      <x v="1381"/>
    </i>
    <i>
      <x v="1288"/>
    </i>
    <i>
      <x v="1194"/>
    </i>
    <i>
      <x v="1289"/>
    </i>
    <i>
      <x v="1385"/>
    </i>
    <i>
      <x v="1290"/>
    </i>
    <i>
      <x v="1387"/>
    </i>
    <i>
      <x v="1291"/>
    </i>
    <i>
      <x v="1389"/>
    </i>
    <i>
      <x v="1292"/>
    </i>
    <i>
      <x v="1391"/>
    </i>
    <i>
      <x v="1293"/>
    </i>
    <i>
      <x v="1393"/>
    </i>
    <i>
      <x v="1294"/>
    </i>
    <i>
      <x v="1395"/>
    </i>
    <i>
      <x v="1295"/>
    </i>
    <i>
      <x v="1397"/>
    </i>
    <i>
      <x v="1296"/>
    </i>
    <i>
      <x v="1399"/>
    </i>
    <i>
      <x v="1297"/>
    </i>
    <i>
      <x v="1401"/>
    </i>
    <i>
      <x v="1298"/>
    </i>
    <i>
      <x v="1403"/>
    </i>
    <i>
      <x v="1299"/>
    </i>
    <i>
      <x v="1405"/>
    </i>
    <i>
      <x v="1300"/>
    </i>
    <i>
      <x v="1407"/>
    </i>
    <i>
      <x v="1420"/>
    </i>
    <i>
      <x v="1409"/>
    </i>
    <i>
      <x v="1422"/>
    </i>
    <i>
      <x v="1195"/>
    </i>
    <i>
      <x v="1424"/>
    </i>
    <i>
      <x v="1413"/>
    </i>
    <i>
      <x v="1426"/>
    </i>
    <i>
      <x v="1415"/>
    </i>
    <i>
      <x v="1428"/>
    </i>
    <i>
      <x v="1417"/>
    </i>
    <i>
      <x v="1430"/>
    </i>
    <i>
      <x v="1419"/>
    </i>
    <i>
      <x v="1432"/>
    </i>
    <i>
      <x v="1434"/>
    </i>
    <i>
      <x v="1301"/>
    </i>
    <i>
      <x v="1423"/>
    </i>
    <i>
      <x v="1302"/>
    </i>
    <i>
      <x v="1425"/>
    </i>
    <i>
      <x v="1303"/>
    </i>
    <i>
      <x v="1427"/>
    </i>
    <i>
      <x v="1304"/>
    </i>
    <i>
      <x v="1429"/>
    </i>
    <i>
      <x v="1305"/>
    </i>
    <i>
      <x v="1431"/>
    </i>
    <i>
      <x v="1306"/>
    </i>
    <i>
      <x v="1433"/>
    </i>
    <i>
      <x v="1307"/>
    </i>
    <i>
      <x v="1435"/>
    </i>
    <i>
      <x v="1308"/>
    </i>
    <i>
      <x v="1437"/>
    </i>
    <i>
      <x v="1309"/>
    </i>
    <i>
      <x v="1439"/>
    </i>
    <i>
      <x v="1310"/>
    </i>
    <i>
      <x v="1441"/>
    </i>
    <i>
      <x v="1311"/>
    </i>
    <i>
      <x v="1443"/>
    </i>
    <i>
      <x v="1312"/>
    </i>
    <i>
      <x v="1445"/>
    </i>
    <i>
      <x v="1313"/>
    </i>
    <i>
      <x v="1447"/>
    </i>
    <i>
      <x v="1314"/>
    </i>
    <i>
      <x v="1449"/>
    </i>
    <i>
      <x v="1315"/>
    </i>
    <i>
      <x v="1451"/>
    </i>
    <i>
      <x v="1316"/>
    </i>
    <i>
      <x v="1453"/>
    </i>
    <i>
      <x v="1317"/>
    </i>
    <i>
      <x v="1455"/>
    </i>
    <i>
      <x v="1318"/>
    </i>
    <i>
      <x v="1457"/>
    </i>
    <i>
      <x v="1319"/>
    </i>
    <i>
      <x v="1459"/>
    </i>
    <i>
      <x v="1320"/>
    </i>
    <i>
      <x v="1461"/>
    </i>
    <i>
      <x v="1321"/>
    </i>
    <i>
      <x v="1463"/>
    </i>
    <i>
      <x v="1322"/>
    </i>
    <i>
      <x v="1465"/>
    </i>
    <i>
      <x v="1323"/>
    </i>
    <i>
      <x v="1467"/>
    </i>
    <i>
      <x v="1324"/>
    </i>
    <i>
      <x v="1469"/>
    </i>
    <i>
      <x v="1325"/>
    </i>
    <i>
      <x v="1471"/>
    </i>
    <i>
      <x v="1326"/>
    </i>
    <i>
      <x v="1327"/>
    </i>
    <i>
      <x v="1064"/>
    </i>
    <i>
      <x v="1134"/>
    </i>
    <i>
      <x v="928"/>
    </i>
    <i>
      <x v="895"/>
    </i>
    <i>
      <x v="1167"/>
    </i>
    <i>
      <x v="930"/>
    </i>
    <i>
      <x v="1080"/>
    </i>
    <i>
      <x v="896"/>
    </i>
    <i>
      <x v="1116"/>
    </i>
    <i>
      <x v="897"/>
    </i>
    <i>
      <x v="1150"/>
    </i>
    <i>
      <x v="933"/>
    </i>
    <i>
      <x v="1056"/>
    </i>
    <i>
      <x v="934"/>
    </i>
    <i>
      <x v="1072"/>
    </i>
    <i>
      <x v="935"/>
    </i>
    <i>
      <x v="1088"/>
    </i>
    <i>
      <x v="936"/>
    </i>
    <i>
      <x v="1108"/>
    </i>
    <i>
      <x v="937"/>
    </i>
    <i>
      <x v="1126"/>
    </i>
    <i>
      <x v="938"/>
    </i>
    <i>
      <x v="1142"/>
    </i>
    <i>
      <x v="939"/>
    </i>
    <i>
      <x v="916"/>
    </i>
    <i>
      <x v="940"/>
    </i>
    <i>
      <x v="1177"/>
    </i>
    <i>
      <x v="941"/>
    </i>
    <i>
      <x v="1060"/>
    </i>
    <i>
      <x v="942"/>
    </i>
    <i>
      <x v="1068"/>
    </i>
    <i>
      <x v="943"/>
    </i>
    <i>
      <x v="1076"/>
    </i>
    <i>
      <x v="944"/>
    </i>
    <i>
      <x v="1084"/>
    </i>
    <i>
      <x v="945"/>
    </i>
    <i>
      <x v="1092"/>
    </i>
    <i>
      <x v="1096"/>
    </i>
    <i>
      <x v="1100"/>
    </i>
    <i>
      <x v="1104"/>
    </i>
    <i>
      <x v="947"/>
    </i>
    <i>
      <x v="924"/>
    </i>
    <i>
      <x v="948"/>
    </i>
    <i>
      <x v="915"/>
    </i>
    <i>
      <x v="923"/>
    </i>
    <i>
      <x v="1130"/>
    </i>
    <i>
      <x v="950"/>
    </i>
    <i>
      <x v="1138"/>
    </i>
    <i>
      <x v="951"/>
    </i>
    <i>
      <x v="1146"/>
    </i>
    <i>
      <x v="952"/>
    </i>
    <i>
      <x v="1154"/>
    </i>
    <i>
      <x v="953"/>
    </i>
    <i>
      <x v="1163"/>
    </i>
    <i>
      <x v="954"/>
    </i>
    <i>
      <x v="1173"/>
    </i>
    <i>
      <x v="955"/>
    </i>
    <i>
      <x v="1054"/>
    </i>
    <i>
      <x v="956"/>
    </i>
    <i>
      <x v="1058"/>
    </i>
    <i>
      <x v="957"/>
    </i>
    <i>
      <x v="909"/>
    </i>
    <i>
      <x v="958"/>
    </i>
    <i>
      <x v="1066"/>
    </i>
    <i>
      <x v="959"/>
    </i>
    <i>
      <x v="1070"/>
    </i>
    <i>
      <x v="960"/>
    </i>
    <i>
      <x v="1074"/>
    </i>
    <i>
      <x v="898"/>
    </i>
    <i>
      <x v="1078"/>
    </i>
    <i>
      <x v="962"/>
    </i>
    <i>
      <x v="1082"/>
    </i>
    <i>
      <x v="963"/>
    </i>
    <i>
      <x v="1086"/>
    </i>
    <i>
      <x v="964"/>
    </i>
    <i>
      <x v="1090"/>
    </i>
    <i>
      <x v="965"/>
    </i>
    <i>
      <x v="1094"/>
    </i>
    <i>
      <x v="966"/>
    </i>
    <i>
      <x v="1098"/>
    </i>
    <i>
      <x v="967"/>
    </i>
    <i>
      <x v="1102"/>
    </i>
    <i>
      <x v="968"/>
    </i>
    <i>
      <x v="1106"/>
    </i>
    <i>
      <x v="899"/>
    </i>
    <i>
      <x v="1110"/>
    </i>
    <i>
      <x v="970"/>
    </i>
    <i>
      <x v="1114"/>
    </i>
    <i>
      <x v="971"/>
    </i>
    <i>
      <x v="914"/>
    </i>
    <i>
      <x v="972"/>
    </i>
    <i>
      <x v="921"/>
    </i>
    <i>
      <x v="973"/>
    </i>
    <i>
      <x v="1128"/>
    </i>
    <i>
      <x v="974"/>
    </i>
    <i>
      <x v="925"/>
    </i>
    <i>
      <x v="975"/>
    </i>
    <i>
      <x v="1136"/>
    </i>
    <i>
      <x v="900"/>
    </i>
    <i>
      <x v="1140"/>
    </i>
    <i>
      <x v="977"/>
    </i>
    <i>
      <x v="1144"/>
    </i>
    <i>
      <x v="901"/>
    </i>
    <i>
      <x v="1148"/>
    </i>
    <i>
      <x v="979"/>
    </i>
    <i>
      <x v="1152"/>
    </i>
    <i>
      <x v="980"/>
    </i>
    <i>
      <x v="1156"/>
    </i>
    <i>
      <x v="981"/>
    </i>
    <i>
      <x v="919"/>
    </i>
    <i>
      <x v="982"/>
    </i>
    <i>
      <x v="1165"/>
    </i>
    <i>
      <x v="983"/>
    </i>
    <i>
      <x v="927"/>
    </i>
    <i>
      <x v="1169"/>
    </i>
    <i>
      <x v="1179"/>
    </i>
    <i>
      <x v="1175"/>
    </i>
    <i>
      <x v="906"/>
    </i>
    <i>
      <x v="922"/>
    </i>
    <i>
      <x v="1052"/>
    </i>
    <i>
      <x v="984"/>
    </i>
    <i>
      <x v="1051"/>
    </i>
    <i>
      <x v="985"/>
    </i>
    <i>
      <x v="907"/>
    </i>
    <i>
      <x v="902"/>
    </i>
    <i>
      <x v="1055"/>
    </i>
    <i>
      <x v="987"/>
    </i>
    <i>
      <x v="1057"/>
    </i>
    <i>
      <x v="988"/>
    </i>
    <i>
      <x v="908"/>
    </i>
    <i>
      <x v="989"/>
    </i>
    <i>
      <x v="1061"/>
    </i>
    <i>
      <x v="990"/>
    </i>
    <i>
      <x v="1063"/>
    </i>
    <i>
      <x v="991"/>
    </i>
    <i>
      <x v="1065"/>
    </i>
    <i>
      <x v="992"/>
    </i>
    <i>
      <x v="1067"/>
    </i>
    <i>
      <x v="993"/>
    </i>
    <i>
      <x v="1069"/>
    </i>
    <i>
      <x v="994"/>
    </i>
    <i>
      <x v="1071"/>
    </i>
    <i>
      <x v="995"/>
    </i>
    <i>
      <x v="1073"/>
    </i>
    <i>
      <x v="996"/>
    </i>
    <i>
      <x v="910"/>
    </i>
    <i>
      <x v="997"/>
    </i>
    <i>
      <x v="1077"/>
    </i>
    <i>
      <x v="998"/>
    </i>
    <i>
      <x v="1079"/>
    </i>
    <i>
      <x v="999"/>
    </i>
    <i>
      <x v="1081"/>
    </i>
    <i>
      <x v="1000"/>
    </i>
    <i>
      <x v="1083"/>
    </i>
    <i>
      <x v="1001"/>
    </i>
    <i>
      <x v="1085"/>
    </i>
    <i>
      <x v="1002"/>
    </i>
    <i>
      <x v="1087"/>
    </i>
    <i>
      <x v="1003"/>
    </i>
    <i>
      <x v="1089"/>
    </i>
    <i>
      <x v="1004"/>
    </i>
    <i>
      <x v="1091"/>
    </i>
    <i>
      <x v="1005"/>
    </i>
    <i>
      <x v="1093"/>
    </i>
    <i>
      <x v="1006"/>
    </i>
    <i>
      <x v="1095"/>
    </i>
    <i>
      <x v="1007"/>
    </i>
    <i>
      <x v="1097"/>
    </i>
    <i>
      <x v="1008"/>
    </i>
    <i>
      <x v="1099"/>
    </i>
    <i>
      <x v="1009"/>
    </i>
    <i>
      <x v="1101"/>
    </i>
    <i>
      <x v="1010"/>
    </i>
    <i>
      <x v="1103"/>
    </i>
    <i>
      <x v="1011"/>
    </i>
    <i>
      <x v="1105"/>
    </i>
    <i>
      <x v="1012"/>
    </i>
    <i>
      <x v="1107"/>
    </i>
    <i>
      <x v="1013"/>
    </i>
    <i>
      <x v="1109"/>
    </i>
    <i>
      <x v="1014"/>
    </i>
    <i>
      <x v="911"/>
    </i>
    <i>
      <x v="1015"/>
    </i>
    <i>
      <x v="1113"/>
    </i>
    <i>
      <x v="1016"/>
    </i>
    <i>
      <x v="912"/>
    </i>
    <i>
      <x v="1017"/>
    </i>
    <i>
      <x v="913"/>
    </i>
    <i>
      <x v="903"/>
    </i>
    <i>
      <x v="1119"/>
    </i>
    <i>
      <x v="1019"/>
    </i>
    <i>
      <x v="1121"/>
    </i>
    <i>
      <x v="1122"/>
    </i>
    <i>
      <x v="1124"/>
    </i>
    <i>
      <x v="1020"/>
    </i>
    <i>
      <x v="1125"/>
    </i>
    <i>
      <x v="1021"/>
    </i>
    <i>
      <x v="1127"/>
    </i>
    <i>
      <x v="1022"/>
    </i>
    <i>
      <x v="1129"/>
    </i>
    <i>
      <x v="1023"/>
    </i>
    <i>
      <x v="1131"/>
    </i>
    <i>
      <x v="1024"/>
    </i>
    <i>
      <x v="1133"/>
    </i>
    <i>
      <x v="1025"/>
    </i>
    <i>
      <x v="1135"/>
    </i>
    <i>
      <x v="1026"/>
    </i>
    <i>
      <x v="1137"/>
    </i>
    <i>
      <x v="1027"/>
    </i>
    <i>
      <x v="1139"/>
    </i>
    <i>
      <x v="1028"/>
    </i>
    <i>
      <x v="1141"/>
    </i>
    <i>
      <x v="1029"/>
    </i>
    <i>
      <x v="1143"/>
    </i>
    <i>
      <x v="1030"/>
    </i>
    <i>
      <x v="1145"/>
    </i>
    <i>
      <x v="1031"/>
    </i>
    <i>
      <x v="1147"/>
    </i>
    <i>
      <x v="1032"/>
    </i>
    <i>
      <x v="1149"/>
    </i>
    <i>
      <x v="1033"/>
    </i>
    <i>
      <x v="1151"/>
    </i>
    <i>
      <x v="1034"/>
    </i>
    <i>
      <x v="1153"/>
    </i>
    <i>
      <x v="1035"/>
    </i>
    <i>
      <x v="1155"/>
    </i>
    <i>
      <x v="1181"/>
    </i>
    <i>
      <x v="1157"/>
    </i>
    <i>
      <x v="893"/>
    </i>
    <i>
      <x v="1159"/>
    </i>
    <i>
      <x v="917"/>
    </i>
    <i>
      <x v="1161"/>
    </i>
    <i>
      <x v="1162"/>
    </i>
    <i>
      <x v="1039"/>
    </i>
    <i>
      <x v="1164"/>
    </i>
    <i>
      <x v="1040"/>
    </i>
    <i>
      <x v="1166"/>
    </i>
    <i>
      <x v="904"/>
    </i>
    <i>
      <x v="1168"/>
    </i>
    <i>
      <x v="1042"/>
    </i>
    <i>
      <x v="1170"/>
    </i>
    <i>
      <x v="1043"/>
    </i>
    <i>
      <x v="1172"/>
    </i>
    <i>
      <x v="905"/>
    </i>
    <i>
      <x v="1174"/>
    </i>
    <i>
      <x v="1045"/>
    </i>
    <i>
      <x v="1176"/>
    </i>
    <i>
      <x v="1046"/>
    </i>
    <i>
      <x v="1178"/>
    </i>
    <i>
      <x v="1047"/>
    </i>
    <i>
      <x v="1180"/>
    </i>
    <i>
      <x v="1048"/>
    </i>
    <i>
      <x v="1049"/>
    </i>
    <i>
      <x v="1037"/>
    </i>
    <i>
      <x v="776"/>
    </i>
    <i>
      <x v="863"/>
    </i>
    <i>
      <x v="820"/>
    </i>
    <i>
      <x v="634"/>
    </i>
    <i>
      <x v="760"/>
    </i>
    <i>
      <x v="651"/>
    </i>
    <i>
      <x v="792"/>
    </i>
    <i>
      <x v="652"/>
    </i>
    <i>
      <x v="638"/>
    </i>
    <i>
      <x v="593"/>
    </i>
    <i>
      <x v="879"/>
    </i>
    <i>
      <x v="654"/>
    </i>
    <i>
      <x v="644"/>
    </i>
    <i>
      <x v="655"/>
    </i>
    <i>
      <x v="784"/>
    </i>
    <i>
      <x v="628"/>
    </i>
    <i>
      <x v="800"/>
    </i>
    <i>
      <x v="657"/>
    </i>
    <i>
      <x v="828"/>
    </i>
    <i>
      <x v="658"/>
    </i>
    <i>
      <x v="855"/>
    </i>
    <i>
      <x v="659"/>
    </i>
    <i>
      <x v="624"/>
    </i>
    <i>
      <x v="660"/>
    </i>
    <i>
      <x v="887"/>
    </i>
    <i>
      <x v="661"/>
    </i>
    <i>
      <x v="764"/>
    </i>
    <i>
      <x v="662"/>
    </i>
    <i>
      <x v="636"/>
    </i>
    <i>
      <x v="663"/>
    </i>
    <i>
      <x v="780"/>
    </i>
    <i>
      <x v="664"/>
    </i>
    <i>
      <x v="788"/>
    </i>
    <i>
      <x v="665"/>
    </i>
    <i>
      <x v="796"/>
    </i>
    <i>
      <x v="599"/>
    </i>
    <i>
      <x v="648"/>
    </i>
    <i>
      <x v="667"/>
    </i>
    <i>
      <x v="824"/>
    </i>
    <i>
      <x v="668"/>
    </i>
    <i>
      <x v="832"/>
    </i>
    <i>
      <x v="669"/>
    </i>
    <i>
      <x v="851"/>
    </i>
    <i>
      <x v="670"/>
    </i>
    <i>
      <x v="859"/>
    </i>
    <i>
      <x v="600"/>
    </i>
    <i>
      <x v="867"/>
    </i>
    <i>
      <x v="601"/>
    </i>
    <i>
      <x v="875"/>
    </i>
    <i>
      <x v="602"/>
    </i>
    <i>
      <x v="883"/>
    </i>
    <i>
      <x v="674"/>
    </i>
    <i>
      <x v="891"/>
    </i>
    <i>
      <x v="675"/>
    </i>
    <i>
      <x v="762"/>
    </i>
    <i>
      <x v="676"/>
    </i>
    <i>
      <x v="631"/>
    </i>
    <i>
      <x v="677"/>
    </i>
    <i>
      <x v="770"/>
    </i>
    <i>
      <x v="629"/>
    </i>
    <i>
      <x v="774"/>
    </i>
    <i>
      <x v="679"/>
    </i>
    <i>
      <x v="645"/>
    </i>
    <i>
      <x v="680"/>
    </i>
    <i>
      <x v="782"/>
    </i>
    <i>
      <x v="681"/>
    </i>
    <i>
      <x v="786"/>
    </i>
    <i>
      <x v="682"/>
    </i>
    <i>
      <x v="790"/>
    </i>
    <i>
      <x v="683"/>
    </i>
    <i>
      <x v="794"/>
    </i>
    <i>
      <x v="684"/>
    </i>
    <i>
      <x v="798"/>
    </i>
    <i>
      <x v="685"/>
    </i>
    <i>
      <x v="802"/>
    </i>
    <i>
      <x v="603"/>
    </i>
    <i>
      <x v="806"/>
    </i>
    <i>
      <x v="687"/>
    </i>
    <i>
      <x v="822"/>
    </i>
    <i>
      <x v="688"/>
    </i>
    <i>
      <x v="826"/>
    </i>
    <i>
      <x v="689"/>
    </i>
    <i>
      <x v="830"/>
    </i>
    <i>
      <x v="690"/>
    </i>
    <i>
      <x v="834"/>
    </i>
    <i>
      <x v="691"/>
    </i>
    <i>
      <x v="596"/>
    </i>
    <i>
      <x v="692"/>
    </i>
    <i>
      <x v="853"/>
    </i>
    <i>
      <x v="693"/>
    </i>
    <i>
      <x v="857"/>
    </i>
    <i>
      <x v="694"/>
    </i>
    <i>
      <x v="861"/>
    </i>
    <i>
      <x v="695"/>
    </i>
    <i>
      <x v="865"/>
    </i>
    <i>
      <x v="696"/>
    </i>
    <i>
      <x v="869"/>
    </i>
    <i>
      <x v="697"/>
    </i>
    <i>
      <x v="626"/>
    </i>
    <i>
      <x v="698"/>
    </i>
    <i>
      <x v="877"/>
    </i>
    <i>
      <x v="699"/>
    </i>
    <i>
      <x v="881"/>
    </i>
    <i>
      <x v="700"/>
    </i>
    <i>
      <x v="885"/>
    </i>
    <i>
      <x v="701"/>
    </i>
    <i>
      <x v="889"/>
    </i>
    <i>
      <x v="702"/>
    </i>
    <i>
      <x v="627"/>
    </i>
    <i>
      <x v="640"/>
    </i>
    <i>
      <x v="761"/>
    </i>
    <i>
      <x v="630"/>
    </i>
    <i>
      <x v="763"/>
    </i>
    <i>
      <x v="705"/>
    </i>
    <i>
      <x v="765"/>
    </i>
    <i>
      <x v="706"/>
    </i>
    <i>
      <x v="767"/>
    </i>
    <i>
      <x v="707"/>
    </i>
    <i>
      <x v="769"/>
    </i>
    <i>
      <x v="708"/>
    </i>
    <i>
      <x v="771"/>
    </i>
    <i>
      <x v="709"/>
    </i>
    <i>
      <x v="773"/>
    </i>
    <i>
      <x v="635"/>
    </i>
    <i>
      <x v="637"/>
    </i>
    <i>
      <x v="711"/>
    </i>
    <i>
      <x v="777"/>
    </i>
    <i>
      <x v="712"/>
    </i>
    <i>
      <x v="779"/>
    </i>
    <i>
      <x v="713"/>
    </i>
    <i>
      <x v="622"/>
    </i>
    <i>
      <x v="714"/>
    </i>
    <i>
      <x v="783"/>
    </i>
    <i>
      <x v="715"/>
    </i>
    <i>
      <x v="632"/>
    </i>
    <i>
      <x v="604"/>
    </i>
    <i>
      <x v="787"/>
    </i>
    <i>
      <x v="717"/>
    </i>
    <i>
      <x v="789"/>
    </i>
    <i>
      <x v="718"/>
    </i>
    <i>
      <x v="791"/>
    </i>
    <i>
      <x v="719"/>
    </i>
    <i>
      <x v="793"/>
    </i>
    <i>
      <x v="720"/>
    </i>
    <i>
      <x v="795"/>
    </i>
    <i>
      <x v="721"/>
    </i>
    <i>
      <x v="797"/>
    </i>
    <i>
      <x v="807"/>
    </i>
    <i>
      <x v="646"/>
    </i>
    <i>
      <x v="809"/>
    </i>
    <i>
      <x v="801"/>
    </i>
    <i>
      <x v="592"/>
    </i>
    <i>
      <x v="597"/>
    </i>
    <i>
      <x v="813"/>
    </i>
    <i>
      <x v="805"/>
    </i>
    <i>
      <x v="816"/>
    </i>
    <i>
      <x v="649"/>
    </i>
    <i>
      <x v="595"/>
    </i>
    <i>
      <x v="722"/>
    </i>
    <i>
      <x v="810"/>
    </i>
    <i>
      <x v="723"/>
    </i>
    <i>
      <x v="812"/>
    </i>
    <i>
      <x v="724"/>
    </i>
    <i>
      <x v="814"/>
    </i>
    <i>
      <x v="725"/>
    </i>
    <i>
      <x v="817"/>
    </i>
    <i>
      <x v="726"/>
    </i>
    <i>
      <x v="819"/>
    </i>
    <i>
      <x v="727"/>
    </i>
    <i>
      <x v="821"/>
    </i>
    <i>
      <x v="728"/>
    </i>
    <i>
      <x v="823"/>
    </i>
    <i>
      <x v="619"/>
    </i>
    <i>
      <x v="825"/>
    </i>
    <i>
      <x v="730"/>
    </i>
    <i>
      <x v="827"/>
    </i>
    <i>
      <x v="731"/>
    </i>
    <i>
      <x v="829"/>
    </i>
    <i>
      <x v="839"/>
    </i>
    <i>
      <x v="831"/>
    </i>
    <i>
      <x v="623"/>
    </i>
    <i>
      <x v="833"/>
    </i>
    <i>
      <x v="837"/>
    </i>
    <i>
      <x v="835"/>
    </i>
    <i>
      <x v="633"/>
    </i>
    <i>
      <x v="847"/>
    </i>
    <i>
      <x v="838"/>
    </i>
    <i>
      <x v="843"/>
    </i>
    <i>
      <x v="845"/>
    </i>
    <i>
      <x v="732"/>
    </i>
    <i>
      <x v="842"/>
    </i>
    <i>
      <x v="733"/>
    </i>
    <i>
      <x v="844"/>
    </i>
    <i>
      <x v="734"/>
    </i>
    <i>
      <x v="846"/>
    </i>
    <i>
      <x v="735"/>
    </i>
    <i>
      <x v="848"/>
    </i>
    <i>
      <x v="736"/>
    </i>
    <i>
      <x v="850"/>
    </i>
    <i>
      <x v="737"/>
    </i>
    <i>
      <x v="852"/>
    </i>
    <i>
      <x v="738"/>
    </i>
    <i>
      <x v="854"/>
    </i>
    <i>
      <x v="739"/>
    </i>
    <i>
      <x v="856"/>
    </i>
    <i>
      <x v="740"/>
    </i>
    <i>
      <x v="858"/>
    </i>
    <i>
      <x v="741"/>
    </i>
    <i>
      <x v="860"/>
    </i>
    <i>
      <x v="742"/>
    </i>
    <i>
      <x v="862"/>
    </i>
    <i>
      <x v="620"/>
    </i>
    <i>
      <x v="864"/>
    </i>
    <i>
      <x v="744"/>
    </i>
    <i>
      <x v="866"/>
    </i>
    <i>
      <x v="745"/>
    </i>
    <i>
      <x v="868"/>
    </i>
    <i>
      <x v="746"/>
    </i>
    <i>
      <x v="870"/>
    </i>
    <i>
      <x v="589"/>
    </i>
    <i>
      <x v="625"/>
    </i>
    <i>
      <x v="748"/>
    </i>
    <i>
      <x v="874"/>
    </i>
    <i>
      <x v="749"/>
    </i>
    <i>
      <x v="876"/>
    </i>
    <i>
      <x v="750"/>
    </i>
    <i>
      <x v="878"/>
    </i>
    <i>
      <x v="751"/>
    </i>
    <i>
      <x v="880"/>
    </i>
    <i>
      <x v="752"/>
    </i>
    <i>
      <x v="882"/>
    </i>
    <i>
      <x v="753"/>
    </i>
    <i>
      <x v="884"/>
    </i>
    <i>
      <x v="754"/>
    </i>
    <i>
      <x v="886"/>
    </i>
    <i>
      <x v="755"/>
    </i>
    <i>
      <x v="888"/>
    </i>
    <i>
      <x v="756"/>
    </i>
    <i>
      <x v="890"/>
    </i>
    <i>
      <x v="621"/>
    </i>
    <i>
      <x v="892"/>
    </i>
    <i>
      <x v="758"/>
    </i>
    <i>
      <x v="759"/>
    </i>
    <i>
      <x v="325"/>
    </i>
    <i>
      <x v="524"/>
    </i>
    <i>
      <x v="492"/>
    </i>
    <i>
      <x v="328"/>
    </i>
    <i>
      <x v="557"/>
    </i>
    <i>
      <x v="329"/>
    </i>
    <i>
      <x v="315"/>
    </i>
    <i>
      <x v="320"/>
    </i>
    <i>
      <x v="508"/>
    </i>
    <i>
      <x v="331"/>
    </i>
    <i>
      <x v="541"/>
    </i>
    <i>
      <x v="332"/>
    </i>
    <i>
      <x v="300"/>
    </i>
    <i>
      <x v="333"/>
    </i>
    <i>
      <x v="314"/>
    </i>
    <i>
      <x v="334"/>
    </i>
    <i>
      <x v="484"/>
    </i>
    <i>
      <x v="335"/>
    </i>
    <i>
      <x v="500"/>
    </i>
    <i>
      <x v="336"/>
    </i>
    <i>
      <x v="516"/>
    </i>
    <i>
      <x v="321"/>
    </i>
    <i>
      <x v="533"/>
    </i>
    <i>
      <x v="338"/>
    </i>
    <i>
      <x v="549"/>
    </i>
    <i>
      <x v="339"/>
    </i>
    <i>
      <x v="565"/>
    </i>
    <i>
      <x v="296"/>
    </i>
    <i>
      <x v="453"/>
    </i>
    <i>
      <x v="304"/>
    </i>
    <i>
      <x v="464"/>
    </i>
    <i>
      <x v="342"/>
    </i>
    <i>
      <x v="472"/>
    </i>
    <i>
      <x v="343"/>
    </i>
    <i>
      <x v="480"/>
    </i>
    <i>
      <x v="344"/>
    </i>
    <i>
      <x v="488"/>
    </i>
    <i>
      <x v="345"/>
    </i>
    <i>
      <x v="496"/>
    </i>
    <i>
      <x v="346"/>
    </i>
    <i>
      <x v="504"/>
    </i>
    <i>
      <x v="347"/>
    </i>
    <i>
      <x v="512"/>
    </i>
    <i>
      <x v="348"/>
    </i>
    <i>
      <x v="520"/>
    </i>
    <i>
      <x v="349"/>
    </i>
    <i>
      <x v="528"/>
    </i>
    <i>
      <x v="350"/>
    </i>
    <i>
      <x v="537"/>
    </i>
    <i>
      <x v="351"/>
    </i>
    <i>
      <x v="545"/>
    </i>
    <i>
      <x v="352"/>
    </i>
    <i>
      <x v="553"/>
    </i>
    <i>
      <x v="353"/>
    </i>
    <i>
      <x v="561"/>
    </i>
    <i>
      <x v="354"/>
    </i>
    <i>
      <x v="576"/>
    </i>
    <i>
      <x v="355"/>
    </i>
    <i>
      <x v="324"/>
    </i>
    <i>
      <x v="356"/>
    </i>
    <i>
      <x v="458"/>
    </i>
    <i>
      <x v="357"/>
    </i>
    <i>
      <x v="462"/>
    </i>
    <i>
      <x v="358"/>
    </i>
    <i>
      <x v="466"/>
    </i>
    <i>
      <x v="359"/>
    </i>
    <i>
      <x v="470"/>
    </i>
    <i>
      <x v="360"/>
    </i>
    <i>
      <x v="474"/>
    </i>
    <i>
      <x v="361"/>
    </i>
    <i>
      <x v="478"/>
    </i>
    <i>
      <x v="322"/>
    </i>
    <i>
      <x v="482"/>
    </i>
    <i>
      <x v="363"/>
    </i>
    <i>
      <x v="486"/>
    </i>
    <i>
      <x v="364"/>
    </i>
    <i>
      <x v="490"/>
    </i>
    <i>
      <x v="365"/>
    </i>
    <i>
      <x v="316"/>
    </i>
    <i>
      <x v="366"/>
    </i>
    <i>
      <x v="498"/>
    </i>
    <i>
      <x v="367"/>
    </i>
    <i>
      <x v="502"/>
    </i>
    <i>
      <x v="368"/>
    </i>
    <i>
      <x v="506"/>
    </i>
    <i>
      <x v="305"/>
    </i>
    <i>
      <x v="510"/>
    </i>
    <i>
      <x v="370"/>
    </i>
    <i>
      <x v="514"/>
    </i>
    <i>
      <x v="371"/>
    </i>
    <i>
      <x v="518"/>
    </i>
    <i>
      <x v="372"/>
    </i>
    <i>
      <x v="522"/>
    </i>
    <i>
      <x v="373"/>
    </i>
    <i>
      <x v="526"/>
    </i>
    <i>
      <x v="374"/>
    </i>
    <i>
      <x v="531"/>
    </i>
    <i>
      <x v="375"/>
    </i>
    <i>
      <x v="535"/>
    </i>
    <i>
      <x v="376"/>
    </i>
    <i>
      <x v="539"/>
    </i>
    <i>
      <x v="306"/>
    </i>
    <i>
      <x v="543"/>
    </i>
    <i>
      <x v="378"/>
    </i>
    <i>
      <x v="547"/>
    </i>
    <i>
      <x v="379"/>
    </i>
    <i>
      <x v="551"/>
    </i>
    <i>
      <x v="380"/>
    </i>
    <i>
      <x v="555"/>
    </i>
    <i>
      <x v="381"/>
    </i>
    <i>
      <x v="559"/>
    </i>
    <i>
      <x v="382"/>
    </i>
    <i>
      <x v="563"/>
    </i>
    <i>
      <x v="383"/>
    </i>
    <i>
      <x v="326"/>
    </i>
    <i>
      <x v="384"/>
    </i>
    <i>
      <x v="578"/>
    </i>
    <i>
      <x v="385"/>
    </i>
    <i>
      <x v="450"/>
    </i>
    <i>
      <x v="386"/>
    </i>
    <i>
      <x v="452"/>
    </i>
    <i>
      <x v="387"/>
    </i>
    <i>
      <x v="457"/>
    </i>
    <i>
      <x v="388"/>
    </i>
    <i>
      <x v="459"/>
    </i>
    <i>
      <x v="389"/>
    </i>
    <i>
      <x v="461"/>
    </i>
    <i>
      <x v="390"/>
    </i>
    <i>
      <x v="463"/>
    </i>
    <i>
      <x v="391"/>
    </i>
    <i>
      <x v="465"/>
    </i>
    <i>
      <x v="392"/>
    </i>
    <i>
      <x v="467"/>
    </i>
    <i>
      <x v="297"/>
    </i>
    <i>
      <x v="469"/>
    </i>
    <i>
      <x v="298"/>
    </i>
    <i>
      <x v="471"/>
    </i>
    <i>
      <x v="395"/>
    </i>
    <i>
      <x v="473"/>
    </i>
    <i>
      <x v="396"/>
    </i>
    <i>
      <x v="475"/>
    </i>
    <i>
      <x v="397"/>
    </i>
    <i>
      <x v="477"/>
    </i>
    <i>
      <x v="398"/>
    </i>
    <i>
      <x v="479"/>
    </i>
    <i>
      <x v="309"/>
    </i>
    <i>
      <x v="481"/>
    </i>
    <i>
      <x v="400"/>
    </i>
    <i>
      <x v="483"/>
    </i>
    <i>
      <x v="401"/>
    </i>
    <i>
      <x v="485"/>
    </i>
    <i>
      <x v="402"/>
    </i>
    <i>
      <x v="487"/>
    </i>
    <i>
      <x v="403"/>
    </i>
    <i>
      <x v="489"/>
    </i>
    <i>
      <x v="404"/>
    </i>
    <i>
      <x v="491"/>
    </i>
    <i>
      <x v="408"/>
    </i>
    <i>
      <x v="493"/>
    </i>
    <i>
      <x v="310"/>
    </i>
    <i>
      <x v="317"/>
    </i>
    <i>
      <x v="410"/>
    </i>
    <i>
      <x v="497"/>
    </i>
    <i>
      <x v="411"/>
    </i>
    <i>
      <x v="499"/>
    </i>
    <i>
      <x v="412"/>
    </i>
    <i>
      <x v="501"/>
    </i>
    <i>
      <x v="413"/>
    </i>
    <i>
      <x v="503"/>
    </i>
    <i>
      <x v="414"/>
    </i>
    <i>
      <x v="505"/>
    </i>
    <i>
      <x v="415"/>
    </i>
    <i>
      <x v="507"/>
    </i>
    <i>
      <x v="311"/>
    </i>
    <i>
      <x v="509"/>
    </i>
    <i>
      <x v="301"/>
    </i>
    <i>
      <x v="511"/>
    </i>
    <i>
      <x v="418"/>
    </i>
    <i>
      <x v="513"/>
    </i>
    <i>
      <x v="419"/>
    </i>
    <i>
      <x v="515"/>
    </i>
    <i>
      <x v="420"/>
    </i>
    <i>
      <x v="517"/>
    </i>
    <i>
      <x v="421"/>
    </i>
    <i>
      <x v="519"/>
    </i>
    <i>
      <x v="422"/>
    </i>
    <i>
      <x v="521"/>
    </i>
    <i>
      <x v="423"/>
    </i>
    <i>
      <x v="523"/>
    </i>
    <i>
      <x v="424"/>
    </i>
    <i>
      <x v="525"/>
    </i>
    <i>
      <x v="425"/>
    </i>
    <i>
      <x v="527"/>
    </i>
    <i>
      <x v="426"/>
    </i>
    <i>
      <x v="327"/>
    </i>
    <i>
      <x v="529"/>
    </i>
    <i>
      <x v="427"/>
    </i>
    <i>
      <x v="532"/>
    </i>
    <i>
      <x v="428"/>
    </i>
    <i>
      <x v="534"/>
    </i>
    <i>
      <x v="429"/>
    </i>
    <i>
      <x v="536"/>
    </i>
    <i>
      <x v="430"/>
    </i>
    <i>
      <x v="538"/>
    </i>
    <i>
      <x v="299"/>
    </i>
    <i>
      <x v="540"/>
    </i>
    <i>
      <x v="432"/>
    </i>
    <i>
      <x v="542"/>
    </i>
    <i>
      <x v="433"/>
    </i>
    <i>
      <x v="544"/>
    </i>
    <i>
      <x v="434"/>
    </i>
    <i>
      <x v="546"/>
    </i>
    <i>
      <x v="435"/>
    </i>
    <i>
      <x v="548"/>
    </i>
    <i>
      <x v="580"/>
    </i>
    <i>
      <x v="550"/>
    </i>
    <i>
      <x v="581"/>
    </i>
    <i>
      <x v="552"/>
    </i>
    <i>
      <x v="583"/>
    </i>
    <i>
      <x v="554"/>
    </i>
    <i>
      <x v="585"/>
    </i>
    <i>
      <x v="556"/>
    </i>
    <i>
      <x v="587"/>
    </i>
    <i>
      <x v="558"/>
    </i>
    <i>
      <x v="294"/>
    </i>
    <i>
      <x v="560"/>
    </i>
    <i>
      <x v="318"/>
    </i>
    <i>
      <x v="562"/>
    </i>
    <i>
      <x v="568"/>
    </i>
    <i>
      <x v="564"/>
    </i>
    <i>
      <x v="570"/>
    </i>
    <i>
      <x v="566"/>
    </i>
    <i>
      <x v="572"/>
    </i>
    <i>
      <x v="574"/>
    </i>
    <i>
      <x v="569"/>
    </i>
    <i>
      <x v="443"/>
    </i>
    <i>
      <x v="571"/>
    </i>
    <i>
      <x v="444"/>
    </i>
    <i>
      <x v="573"/>
    </i>
    <i>
      <x v="313"/>
    </i>
    <i>
      <x v="575"/>
    </i>
    <i>
      <x v="446"/>
    </i>
    <i>
      <x v="577"/>
    </i>
    <i>
      <x v="447"/>
    </i>
    <i>
      <x v="579"/>
    </i>
    <i>
      <x v="448"/>
    </i>
    <i>
      <x v="449"/>
    </i>
    <i>
      <x v="582"/>
    </i>
    <i>
      <x v="437"/>
    </i>
    <i>
      <x v="584"/>
    </i>
    <i>
      <x v="438"/>
    </i>
    <i>
      <x v="586"/>
    </i>
    <i>
      <x v="439"/>
    </i>
    <i>
      <x v="588"/>
    </i>
    <i>
      <x v="440"/>
    </i>
    <i>
      <x v="441"/>
    </i>
    <i>
      <x v="26"/>
    </i>
    <i>
      <x v="253"/>
    </i>
    <i>
      <x v="221"/>
    </i>
    <i>
      <x v="59"/>
    </i>
    <i>
      <x v="169"/>
    </i>
    <i>
      <x v="1"/>
    </i>
    <i>
      <x v="205"/>
    </i>
    <i>
      <x v="61"/>
    </i>
    <i>
      <x v="237"/>
    </i>
    <i>
      <x v="62"/>
    </i>
    <i>
      <x v="280"/>
    </i>
    <i>
      <x v="49"/>
    </i>
    <i>
      <x v="177"/>
    </i>
    <i>
      <x v="5"/>
    </i>
    <i>
      <x v="29"/>
    </i>
    <i>
      <x v="65"/>
    </i>
    <i>
      <x v="213"/>
    </i>
    <i>
      <x v="66"/>
    </i>
    <i>
      <x v="229"/>
    </i>
    <i>
      <x v="67"/>
    </i>
    <i>
      <x v="245"/>
    </i>
    <i>
      <x v="6"/>
    </i>
    <i>
      <x v="261"/>
    </i>
    <i>
      <x v="69"/>
    </i>
    <i>
      <x v="288"/>
    </i>
    <i>
      <x v="70"/>
    </i>
    <i>
      <x v="173"/>
    </i>
    <i>
      <x v="71"/>
    </i>
    <i>
      <x v="23"/>
    </i>
    <i>
      <x v="72"/>
    </i>
    <i>
      <x v="189"/>
    </i>
    <i>
      <x v="73"/>
    </i>
    <i>
      <x v="201"/>
    </i>
    <i>
      <x v="74"/>
    </i>
    <i>
      <x v="209"/>
    </i>
    <i>
      <x v="75"/>
    </i>
    <i>
      <x v="217"/>
    </i>
    <i>
      <x v="76"/>
    </i>
    <i>
      <x v="35"/>
    </i>
    <i>
      <x v="77"/>
    </i>
    <i>
      <x v="233"/>
    </i>
    <i>
      <x v="78"/>
    </i>
    <i>
      <x v="241"/>
    </i>
    <i>
      <x v="79"/>
    </i>
    <i>
      <x v="249"/>
    </i>
    <i>
      <x v="80"/>
    </i>
    <i>
      <x v="257"/>
    </i>
    <i>
      <x v="81"/>
    </i>
    <i>
      <x v="58"/>
    </i>
    <i>
      <x v="82"/>
    </i>
    <i>
      <x v="284"/>
    </i>
    <i>
      <x v="83"/>
    </i>
    <i>
      <x v="46"/>
    </i>
    <i>
      <x v="84"/>
    </i>
    <i>
      <x v="171"/>
    </i>
    <i>
      <x v="85"/>
    </i>
    <i>
      <x v="175"/>
    </i>
    <i>
      <x v="86"/>
    </i>
    <i>
      <x v="179"/>
    </i>
    <i>
      <x v="87"/>
    </i>
    <i>
      <x v="25"/>
    </i>
    <i>
      <x v="88"/>
    </i>
    <i>
      <x v="27"/>
    </i>
    <i>
      <x v="89"/>
    </i>
    <i>
      <x v="195"/>
    </i>
    <i>
      <x v="90"/>
    </i>
    <i>
      <x v="30"/>
    </i>
    <i>
      <x v="91"/>
    </i>
    <i>
      <x v="203"/>
    </i>
    <i>
      <x v="92"/>
    </i>
    <i>
      <x v="207"/>
    </i>
    <i>
      <x v="93"/>
    </i>
    <i>
      <x v="2"/>
    </i>
    <i>
      <x v="94"/>
    </i>
    <i>
      <x v="215"/>
    </i>
    <i>
      <x v="95"/>
    </i>
    <i>
      <x v="219"/>
    </i>
    <i>
      <x v="96"/>
    </i>
    <i>
      <x v="223"/>
    </i>
    <i>
      <x v="97"/>
    </i>
    <i>
      <x v="227"/>
    </i>
    <i>
      <x v="98"/>
    </i>
    <i>
      <x v="231"/>
    </i>
    <i>
      <x v="99"/>
    </i>
    <i>
      <x v="235"/>
    </i>
    <i>
      <x v="100"/>
    </i>
    <i>
      <x v="239"/>
    </i>
    <i>
      <x v="101"/>
    </i>
    <i>
      <x v="243"/>
    </i>
    <i>
      <x v="102"/>
    </i>
    <i>
      <x v="247"/>
    </i>
    <i>
      <x v="103"/>
    </i>
    <i>
      <x v="251"/>
    </i>
    <i>
      <x v="104"/>
    </i>
    <i>
      <x v="255"/>
    </i>
    <i>
      <x v="105"/>
    </i>
    <i>
      <x v="259"/>
    </i>
    <i>
      <x v="106"/>
    </i>
    <i>
      <x v="263"/>
    </i>
    <i>
      <x v="107"/>
    </i>
    <i>
      <x v="278"/>
    </i>
    <i>
      <x v="108"/>
    </i>
    <i>
      <x v="42"/>
    </i>
    <i>
      <x v="7"/>
    </i>
    <i>
      <x v="286"/>
    </i>
    <i>
      <x v="110"/>
    </i>
    <i>
      <x v="48"/>
    </i>
    <i>
      <x v="8"/>
    </i>
    <i>
      <x v="168"/>
    </i>
    <i>
      <x v="112"/>
    </i>
    <i>
      <x v="20"/>
    </i>
    <i>
      <x v="113"/>
    </i>
    <i>
      <x v="21"/>
    </i>
    <i>
      <x v="114"/>
    </i>
    <i>
      <x v="174"/>
    </i>
    <i>
      <x v="9"/>
    </i>
    <i>
      <x v="176"/>
    </i>
    <i>
      <x v="116"/>
    </i>
    <i>
      <x v="22"/>
    </i>
    <i>
      <x v="117"/>
    </i>
    <i>
      <x v="180"/>
    </i>
    <i>
      <x v="118"/>
    </i>
    <i>
      <x v="24"/>
    </i>
    <i>
      <x v="119"/>
    </i>
    <i>
      <x v="184"/>
    </i>
    <i>
      <x v="120"/>
    </i>
    <i>
      <x v="186"/>
    </i>
    <i>
      <x v="10"/>
    </i>
    <i>
      <x v="188"/>
    </i>
    <i>
      <x v="122"/>
    </i>
    <i>
      <x v="28"/>
    </i>
    <i>
      <x v="11"/>
    </i>
    <i>
      <x v="196"/>
    </i>
    <i>
      <x v="124"/>
    </i>
    <i>
      <x v="198"/>
    </i>
    <i>
      <x v="12"/>
    </i>
    <i>
      <x v="200"/>
    </i>
    <i>
      <x v="13"/>
    </i>
    <i>
      <x v="202"/>
    </i>
    <i>
      <x v="127"/>
    </i>
    <i>
      <x v="204"/>
    </i>
    <i>
      <x v="128"/>
    </i>
    <i>
      <x v="206"/>
    </i>
    <i>
      <x v="50"/>
    </i>
    <i>
      <x v="208"/>
    </i>
    <i>
      <x v="130"/>
    </i>
    <i>
      <x v="210"/>
    </i>
    <i>
      <x v="131"/>
    </i>
    <i>
      <x v="212"/>
    </i>
    <i>
      <x v="51"/>
    </i>
    <i>
      <x v="214"/>
    </i>
    <i>
      <x v="52"/>
    </i>
    <i>
      <x v="32"/>
    </i>
    <i>
      <x v="53"/>
    </i>
    <i>
      <x v="218"/>
    </i>
    <i>
      <x v="15"/>
    </i>
    <i>
      <x v="33"/>
    </i>
    <i>
      <x v="54"/>
    </i>
    <i>
      <x v="222"/>
    </i>
    <i>
      <x v="137"/>
    </i>
    <i>
      <x v="34"/>
    </i>
    <i>
      <x v="16"/>
    </i>
    <i>
      <x v="226"/>
    </i>
    <i>
      <x v="55"/>
    </i>
    <i>
      <x v="228"/>
    </i>
    <i>
      <x v="17"/>
    </i>
    <i>
      <x v="230"/>
    </i>
    <i>
      <x v="56"/>
    </i>
    <i>
      <x v="232"/>
    </i>
    <i>
      <x v="142"/>
    </i>
    <i>
      <x v="36"/>
    </i>
    <i>
      <x v="143"/>
    </i>
    <i>
      <x v="236"/>
    </i>
    <i>
      <x/>
    </i>
    <i>
      <x v="37"/>
    </i>
    <i>
      <x v="3"/>
    </i>
    <i>
      <x v="240"/>
    </i>
    <i>
      <x v="146"/>
    </i>
    <i>
      <x v="242"/>
    </i>
    <i>
      <x v="147"/>
    </i>
    <i>
      <x v="244"/>
    </i>
    <i>
      <x v="148"/>
    </i>
    <i>
      <x v="47"/>
    </i>
    <i>
      <x v="18"/>
    </i>
    <i>
      <x v="248"/>
    </i>
    <i>
      <x v="150"/>
    </i>
    <i>
      <x v="250"/>
    </i>
    <i>
      <x v="19"/>
    </i>
    <i>
      <x v="252"/>
    </i>
    <i>
      <x v="152"/>
    </i>
    <i>
      <x v="254"/>
    </i>
    <i>
      <x v="153"/>
    </i>
    <i>
      <x v="256"/>
    </i>
    <i>
      <x v="266"/>
    </i>
    <i>
      <x v="38"/>
    </i>
    <i>
      <x v="268"/>
    </i>
    <i>
      <x v="260"/>
    </i>
    <i>
      <x v="270"/>
    </i>
    <i>
      <x v="262"/>
    </i>
    <i>
      <x v="39"/>
    </i>
    <i>
      <x v="264"/>
    </i>
    <i>
      <x v="274"/>
    </i>
    <i>
      <x v="276"/>
    </i>
    <i>
      <x v="154"/>
    </i>
    <i>
      <x v="269"/>
    </i>
    <i>
      <x v="155"/>
    </i>
    <i>
      <x v="271"/>
    </i>
    <i>
      <x v="156"/>
    </i>
    <i>
      <x v="40"/>
    </i>
    <i>
      <x v="157"/>
    </i>
    <i>
      <x v="275"/>
    </i>
    <i>
      <x v="158"/>
    </i>
    <i>
      <x v="277"/>
    </i>
    <i>
      <x v="159"/>
    </i>
    <i>
      <x v="279"/>
    </i>
    <i>
      <x v="160"/>
    </i>
    <i>
      <x v="41"/>
    </i>
    <i>
      <x v="161"/>
    </i>
    <i>
      <x v="43"/>
    </i>
    <i>
      <x v="162"/>
    </i>
    <i>
      <x v="285"/>
    </i>
    <i>
      <x v="163"/>
    </i>
    <i>
      <x v="287"/>
    </i>
    <i>
      <x v="164"/>
    </i>
    <i>
      <x v="44"/>
    </i>
    <i>
      <x v="45"/>
    </i>
    <i>
      <x v="292"/>
    </i>
    <i>
      <x v="165"/>
    </i>
    <i>
      <x v="293"/>
    </i>
    <i>
      <x v="166"/>
    </i>
    <i>
      <x v="167"/>
    </i>
    <i t="grand">
      <x/>
    </i>
  </rowItems>
  <colItems count="1">
    <i/>
  </colItems>
  <pageFields count="1">
    <pageField fld="3" hier="0"/>
  </pageFields>
  <dataFields count="1">
    <dataField name="Total AUM per Index" fld="15" baseField="0" baseItem="0" numFmtId="165"/>
  </dataFields>
  <formats count="19">
    <format dxfId="67">
      <pivotArea dataOnly="0" labelOnly="1" outline="0" axis="axisValues" fieldPosition="0"/>
    </format>
    <format dxfId="66">
      <pivotArea dataOnly="0" labelOnly="1" outline="0" axis="axisValues" fieldPosition="0"/>
    </format>
    <format dxfId="65">
      <pivotArea dataOnly="0" labelOnly="1" outline="0" axis="axisValues" fieldPosition="0"/>
    </format>
    <format dxfId="64">
      <pivotArea dataOnly="0" labelOnly="1" outline="0" axis="axisValues" fieldPosition="0"/>
    </format>
    <format dxfId="63">
      <pivotArea grandRow="1" outline="0" fieldPosition="0"/>
    </format>
    <format dxfId="62">
      <pivotArea dataOnly="0" labelOnly="1" grandRow="1" outline="0" fieldPosition="0"/>
    </format>
    <format dxfId="61">
      <pivotArea dataOnly="0" labelOnly="1" grandRow="1" outline="0" fieldPosition="0"/>
    </format>
    <format dxfId="60">
      <pivotArea grandRow="1" outline="0" fieldPosition="0"/>
    </format>
    <format dxfId="59">
      <pivotArea dataOnly="0" labelOnly="1" grandRow="1" outline="0" fieldPosition="0"/>
    </format>
    <format dxfId="58">
      <pivotArea outline="0" fieldPosition="0"/>
    </format>
    <format dxfId="57">
      <pivotArea dataOnly="0" labelOnly="1" grandRow="1" outline="0" fieldPosition="0"/>
    </format>
    <format dxfId="56">
      <pivotArea grandRow="1" outline="0" fieldPosition="0"/>
    </format>
    <format dxfId="55">
      <pivotArea dataOnly="0" labelOnly="1" grandRow="1" outline="0" fieldPosition="0"/>
    </format>
    <format dxfId="54">
      <pivotArea dataOnly="0" labelOnly="1" outline="0" axis="axisValues" fieldPosition="0"/>
    </format>
    <format dxfId="53">
      <pivotArea field="0" type="button" dataOnly="0" labelOnly="1" outline="0" axis="axisRow" fieldPosition="0"/>
    </format>
    <format dxfId="52">
      <pivotArea field="0" type="button" dataOnly="0" labelOnly="1" outline="0" axis="axisRow" fieldPosition="0"/>
    </format>
    <format dxfId="51">
      <pivotArea field="0" type="button" dataOnly="0" labelOnly="1" outline="0" axis="axisRow" fieldPosition="0"/>
    </format>
    <format dxfId="50">
      <pivotArea dataOnly="0" labelOnly="1" outline="0" axis="axisValues" fieldPosition="0"/>
    </format>
    <format dxfId="49">
      <pivotArea outline="0" fieldPosition="0"/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17EC1C-FD40-435C-8463-E6C87AAB7082}" name="PivotTable6" cacheId="1" applyNumberFormats="0" applyBorderFormats="0" applyFontFormats="0" applyPatternFormats="0" applyAlignmentFormats="0" applyWidthHeightFormats="1" dataCaption="Valeurs" grandTotalCaption="Total" updatedVersion="8" minRefreshableVersion="3" useAutoFormatting="1" itemPrintTitles="1" createdVersion="8" indent="0" outline="1" outlineData="1" multipleFieldFilters="0" rowHeaderCaption="Family Index">
  <location ref="G5:H241" firstHeaderRow="1" firstDataRow="1" firstDataCol="1" rowPageCount="1" colPageCount="1"/>
  <pivotFields count="16">
    <pivotField showAll="0"/>
    <pivotField axis="axisRow" showAll="0" sortType="descending">
      <items count="243">
        <item x="0"/>
        <item x="5"/>
        <item x="7"/>
        <item x="8"/>
        <item x="9"/>
        <item x="1"/>
        <item x="10"/>
        <item x="2"/>
        <item x="13"/>
        <item x="14"/>
        <item x="17"/>
        <item x="18"/>
        <item x="19"/>
        <item x="20"/>
        <item x="21"/>
        <item x="22"/>
        <item x="23"/>
        <item x="24"/>
        <item x="25"/>
        <item x="27"/>
        <item x="28"/>
        <item x="29"/>
        <item x="30"/>
        <item x="35"/>
        <item x="38"/>
        <item x="42"/>
        <item x="43"/>
        <item x="44"/>
        <item x="45"/>
        <item x="48"/>
        <item m="1" x="241"/>
        <item x="60"/>
        <item x="61"/>
        <item x="64"/>
        <item x="65"/>
        <item x="66"/>
        <item x="67"/>
        <item x="69"/>
        <item x="70"/>
        <item x="72"/>
        <item x="73"/>
        <item x="77"/>
        <item x="78"/>
        <item x="79"/>
        <item m="1" x="240"/>
        <item x="82"/>
        <item x="83"/>
        <item m="1" x="236"/>
        <item x="89"/>
        <item x="90"/>
        <item x="91"/>
        <item x="93"/>
        <item x="94"/>
        <item x="95"/>
        <item x="96"/>
        <item x="97"/>
        <item x="98"/>
        <item x="106"/>
        <item m="1" x="238"/>
        <item x="117"/>
        <item x="118"/>
        <item x="119"/>
        <item x="125"/>
        <item x="127"/>
        <item x="132"/>
        <item x="146"/>
        <item x="3"/>
        <item x="150"/>
        <item x="151"/>
        <item x="152"/>
        <item x="153"/>
        <item x="156"/>
        <item m="1" x="237"/>
        <item x="166"/>
        <item x="167"/>
        <item x="168"/>
        <item x="169"/>
        <item m="1" x="239"/>
        <item x="15"/>
        <item x="31"/>
        <item x="32"/>
        <item x="33"/>
        <item x="34"/>
        <item x="37"/>
        <item x="40"/>
        <item x="41"/>
        <item x="46"/>
        <item x="47"/>
        <item x="92"/>
        <item x="104"/>
        <item x="105"/>
        <item x="114"/>
        <item x="139"/>
        <item x="140"/>
        <item x="141"/>
        <item x="142"/>
        <item x="143"/>
        <item x="144"/>
        <item x="145"/>
        <item x="129"/>
        <item x="11"/>
        <item x="26"/>
        <item x="49"/>
        <item x="74"/>
        <item x="76"/>
        <item x="84"/>
        <item x="87"/>
        <item x="88"/>
        <item x="99"/>
        <item x="110"/>
        <item x="111"/>
        <item x="123"/>
        <item x="130"/>
        <item x="131"/>
        <item x="134"/>
        <item x="148"/>
        <item x="154"/>
        <item x="157"/>
        <item x="161"/>
        <item x="162"/>
        <item x="163"/>
        <item x="164"/>
        <item x="165"/>
        <item x="36"/>
        <item x="50"/>
        <item x="80"/>
        <item x="86"/>
        <item x="137"/>
        <item x="138"/>
        <item x="147"/>
        <item x="85"/>
        <item x="100"/>
        <item x="135"/>
        <item x="102"/>
        <item x="120"/>
        <item x="133"/>
        <item x="155"/>
        <item x="55"/>
        <item x="57"/>
        <item x="75"/>
        <item x="235"/>
        <item x="59"/>
        <item x="63"/>
        <item x="68"/>
        <item x="109"/>
        <item x="136"/>
        <item x="160"/>
        <item x="62"/>
        <item x="149"/>
        <item x="56"/>
        <item x="4"/>
        <item x="101"/>
        <item x="158"/>
        <item x="159"/>
        <item x="6"/>
        <item x="12"/>
        <item x="71"/>
        <item x="81"/>
        <item x="124"/>
        <item x="52"/>
        <item x="58"/>
        <item x="122"/>
        <item x="126"/>
        <item x="39"/>
        <item x="51"/>
        <item x="103"/>
        <item x="115"/>
        <item x="116"/>
        <item x="121"/>
        <item x="16"/>
        <item x="53"/>
        <item x="54"/>
        <item x="107"/>
        <item x="108"/>
        <item x="112"/>
        <item x="113"/>
        <item x="128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Page" subtotalTop="0" showAll="0" includeNewItemsInFilter="1" defaultSubtotal="0">
      <items count="3">
        <item x="0"/>
        <item x="1"/>
        <item h="1" x="2"/>
      </items>
    </pivotField>
    <pivotField subtotalTop="0" showAll="0" defaultSubtotal="0"/>
    <pivotField subtotalTop="0" showAll="0" defaultSubtotal="0"/>
    <pivotField showAll="0"/>
    <pivotField showAll="0"/>
    <pivotField showAll="0"/>
    <pivotField numFmtId="164" showAll="0"/>
    <pivotField numFmtId="43" showAll="0"/>
    <pivotField numFmtId="43" showAll="0"/>
    <pivotField subtotalTop="0" showAll="0" defaultSubtotal="0"/>
    <pivotField numFmtId="43" showAll="0"/>
    <pivotField numFmtId="164" showAll="0"/>
    <pivotField dataField="1" numFmtId="43" showAll="0"/>
  </pivotFields>
  <rowFields count="1">
    <field x="1"/>
  </rowFields>
  <rowItems count="236">
    <i>
      <x v="7"/>
    </i>
    <i>
      <x/>
    </i>
    <i>
      <x v="146"/>
    </i>
    <i>
      <x v="127"/>
    </i>
    <i>
      <x v="134"/>
    </i>
    <i>
      <x v="13"/>
    </i>
    <i>
      <x v="76"/>
    </i>
    <i>
      <x v="25"/>
    </i>
    <i>
      <x v="100"/>
    </i>
    <i>
      <x v="75"/>
    </i>
    <i>
      <x v="116"/>
    </i>
    <i>
      <x v="31"/>
    </i>
    <i>
      <x v="117"/>
    </i>
    <i>
      <x v="69"/>
    </i>
    <i>
      <x v="82"/>
    </i>
    <i>
      <x v="119"/>
    </i>
    <i>
      <x v="150"/>
    </i>
    <i>
      <x v="65"/>
    </i>
    <i>
      <x v="28"/>
    </i>
    <i>
      <x v="64"/>
    </i>
    <i>
      <x v="27"/>
    </i>
    <i>
      <x v="43"/>
    </i>
    <i>
      <x v="24"/>
    </i>
    <i>
      <x v="29"/>
    </i>
    <i>
      <x v="5"/>
    </i>
    <i>
      <x v="131"/>
    </i>
    <i>
      <x v="163"/>
    </i>
    <i>
      <x v="148"/>
    </i>
    <i>
      <x v="78"/>
    </i>
    <i>
      <x v="34"/>
    </i>
    <i>
      <x v="113"/>
    </i>
    <i>
      <x v="135"/>
    </i>
    <i>
      <x v="141"/>
    </i>
    <i>
      <x v="51"/>
    </i>
    <i>
      <x v="62"/>
    </i>
    <i>
      <x v="9"/>
    </i>
    <i>
      <x v="39"/>
    </i>
    <i>
      <x v="55"/>
    </i>
    <i>
      <x v="110"/>
    </i>
    <i>
      <x v="104"/>
    </i>
    <i>
      <x v="57"/>
    </i>
    <i>
      <x v="123"/>
    </i>
    <i>
      <x v="160"/>
    </i>
    <i>
      <x v="10"/>
    </i>
    <i>
      <x v="128"/>
    </i>
    <i>
      <x v="102"/>
    </i>
    <i>
      <x v="52"/>
    </i>
    <i>
      <x v="81"/>
    </i>
    <i>
      <x v="136"/>
    </i>
    <i>
      <x v="41"/>
    </i>
    <i>
      <x v="190"/>
    </i>
    <i>
      <x v="165"/>
    </i>
    <i>
      <x v="60"/>
    </i>
    <i>
      <x v="79"/>
    </i>
    <i>
      <x v="111"/>
    </i>
    <i>
      <x v="83"/>
    </i>
    <i>
      <x v="19"/>
    </i>
    <i>
      <x v="37"/>
    </i>
    <i>
      <x v="147"/>
    </i>
    <i>
      <x v="26"/>
    </i>
    <i>
      <x v="48"/>
    </i>
    <i>
      <x v="89"/>
    </i>
    <i>
      <x v="59"/>
    </i>
    <i>
      <x v="109"/>
    </i>
    <i>
      <x v="22"/>
    </i>
    <i>
      <x v="133"/>
    </i>
    <i>
      <x v="36"/>
    </i>
    <i>
      <x v="21"/>
    </i>
    <i>
      <x v="11"/>
    </i>
    <i>
      <x v="157"/>
    </i>
    <i>
      <x v="156"/>
    </i>
    <i>
      <x v="84"/>
    </i>
    <i>
      <x v="138"/>
    </i>
    <i>
      <x v="18"/>
    </i>
    <i>
      <x v="155"/>
    </i>
    <i>
      <x v="74"/>
    </i>
    <i>
      <x v="46"/>
    </i>
    <i>
      <x v="193"/>
    </i>
    <i>
      <x v="90"/>
    </i>
    <i>
      <x v="2"/>
    </i>
    <i>
      <x v="71"/>
    </i>
    <i>
      <x v="234"/>
    </i>
    <i>
      <x v="217"/>
    </i>
    <i>
      <x v="184"/>
    </i>
    <i>
      <x v="168"/>
    </i>
    <i>
      <x v="16"/>
    </i>
    <i>
      <x v="201"/>
    </i>
    <i>
      <x v="1"/>
    </i>
    <i>
      <x v="14"/>
    </i>
    <i>
      <x v="91"/>
    </i>
    <i>
      <x v="176"/>
    </i>
    <i>
      <x v="92"/>
    </i>
    <i>
      <x v="192"/>
    </i>
    <i>
      <x v="93"/>
    </i>
    <i>
      <x v="209"/>
    </i>
    <i>
      <x v="94"/>
    </i>
    <i>
      <x v="54"/>
    </i>
    <i>
      <x v="95"/>
    </i>
    <i>
      <x v="164"/>
    </i>
    <i>
      <x v="96"/>
    </i>
    <i>
      <x v="172"/>
    </i>
    <i>
      <x v="97"/>
    </i>
    <i>
      <x v="180"/>
    </i>
    <i>
      <x v="98"/>
    </i>
    <i>
      <x v="188"/>
    </i>
    <i>
      <x v="99"/>
    </i>
    <i>
      <x v="88"/>
    </i>
    <i>
      <x v="6"/>
    </i>
    <i>
      <x v="205"/>
    </i>
    <i>
      <x v="101"/>
    </i>
    <i>
      <x v="213"/>
    </i>
    <i>
      <x v="45"/>
    </i>
    <i>
      <x v="227"/>
    </i>
    <i>
      <x v="103"/>
    </i>
    <i>
      <x v="158"/>
    </i>
    <i>
      <x v="49"/>
    </i>
    <i>
      <x v="162"/>
    </i>
    <i>
      <x v="105"/>
    </i>
    <i>
      <x v="166"/>
    </i>
    <i>
      <x v="106"/>
    </i>
    <i>
      <x v="170"/>
    </i>
    <i>
      <x v="107"/>
    </i>
    <i>
      <x v="174"/>
    </i>
    <i>
      <x v="108"/>
    </i>
    <i>
      <x v="178"/>
    </i>
    <i>
      <x v="61"/>
    </i>
    <i>
      <x v="182"/>
    </i>
    <i>
      <x v="15"/>
    </i>
    <i>
      <x v="186"/>
    </i>
    <i>
      <x v="17"/>
    </i>
    <i>
      <x v="23"/>
    </i>
    <i>
      <x v="112"/>
    </i>
    <i>
      <x v="194"/>
    </i>
    <i>
      <x v="8"/>
    </i>
    <i>
      <x v="199"/>
    </i>
    <i>
      <x v="114"/>
    </i>
    <i>
      <x v="203"/>
    </i>
    <i>
      <x v="115"/>
    </i>
    <i>
      <x v="207"/>
    </i>
    <i>
      <x v="3"/>
    </i>
    <i>
      <x v="211"/>
    </i>
    <i>
      <x v="63"/>
    </i>
    <i>
      <x v="215"/>
    </i>
    <i>
      <x v="118"/>
    </i>
    <i>
      <x v="219"/>
    </i>
    <i>
      <x v="32"/>
    </i>
    <i>
      <x v="229"/>
    </i>
    <i>
      <x v="120"/>
    </i>
    <i>
      <x v="56"/>
    </i>
    <i>
      <x v="121"/>
    </i>
    <i>
      <x v="159"/>
    </i>
    <i>
      <x v="122"/>
    </i>
    <i>
      <x v="161"/>
    </i>
    <i>
      <x v="33"/>
    </i>
    <i>
      <x v="42"/>
    </i>
    <i>
      <x v="124"/>
    </i>
    <i>
      <x v="85"/>
    </i>
    <i>
      <x v="125"/>
    </i>
    <i>
      <x v="167"/>
    </i>
    <i>
      <x v="126"/>
    </i>
    <i>
      <x v="169"/>
    </i>
    <i>
      <x v="80"/>
    </i>
    <i>
      <x v="171"/>
    </i>
    <i>
      <x v="50"/>
    </i>
    <i>
      <x v="173"/>
    </i>
    <i>
      <x v="129"/>
    </i>
    <i>
      <x v="175"/>
    </i>
    <i>
      <x v="130"/>
    </i>
    <i>
      <x v="177"/>
    </i>
    <i>
      <x v="35"/>
    </i>
    <i>
      <x v="179"/>
    </i>
    <i>
      <x v="132"/>
    </i>
    <i>
      <x v="181"/>
    </i>
    <i>
      <x v="66"/>
    </i>
    <i>
      <x v="183"/>
    </i>
    <i>
      <x v="67"/>
    </i>
    <i>
      <x v="185"/>
    </i>
    <i>
      <x v="68"/>
    </i>
    <i>
      <x v="187"/>
    </i>
    <i>
      <x v="20"/>
    </i>
    <i>
      <x v="189"/>
    </i>
    <i>
      <x v="137"/>
    </i>
    <i>
      <x v="191"/>
    </i>
    <i>
      <x v="231"/>
    </i>
    <i>
      <x v="86"/>
    </i>
    <i>
      <x v="232"/>
    </i>
    <i>
      <x v="195"/>
    </i>
    <i>
      <x v="196"/>
    </i>
    <i>
      <x v="197"/>
    </i>
    <i>
      <x v="198"/>
    </i>
    <i>
      <x v="236"/>
    </i>
    <i>
      <x v="200"/>
    </i>
    <i>
      <x v="238"/>
    </i>
    <i>
      <x v="202"/>
    </i>
    <i>
      <x v="240"/>
    </i>
    <i>
      <x v="204"/>
    </i>
    <i>
      <x v="4"/>
    </i>
    <i>
      <x v="206"/>
    </i>
    <i>
      <x v="12"/>
    </i>
    <i>
      <x v="208"/>
    </i>
    <i>
      <x v="70"/>
    </i>
    <i>
      <x v="210"/>
    </i>
    <i>
      <x v="40"/>
    </i>
    <i>
      <x v="212"/>
    </i>
    <i>
      <x v="149"/>
    </i>
    <i>
      <x v="214"/>
    </i>
    <i>
      <x v="220"/>
    </i>
    <i>
      <x v="216"/>
    </i>
    <i>
      <x v="221"/>
    </i>
    <i>
      <x v="218"/>
    </i>
    <i>
      <x v="223"/>
    </i>
    <i>
      <x v="87"/>
    </i>
    <i>
      <x v="225"/>
    </i>
    <i>
      <x v="222"/>
    </i>
    <i>
      <x v="151"/>
    </i>
    <i>
      <x v="224"/>
    </i>
    <i>
      <x v="152"/>
    </i>
    <i>
      <x v="226"/>
    </i>
    <i>
      <x v="153"/>
    </i>
    <i>
      <x v="228"/>
    </i>
    <i>
      <x v="154"/>
    </i>
    <i>
      <x v="230"/>
    </i>
    <i>
      <x v="53"/>
    </i>
    <i>
      <x v="73"/>
    </i>
    <i>
      <x v="233"/>
    </i>
    <i>
      <x v="139"/>
    </i>
    <i>
      <x v="235"/>
    </i>
    <i>
      <x v="38"/>
    </i>
    <i>
      <x v="237"/>
    </i>
    <i>
      <x v="142"/>
    </i>
    <i>
      <x v="239"/>
    </i>
    <i>
      <x v="143"/>
    </i>
    <i>
      <x v="241"/>
    </i>
    <i>
      <x v="144"/>
    </i>
    <i>
      <x v="145"/>
    </i>
    <i t="grand">
      <x/>
    </i>
  </rowItems>
  <colItems count="1">
    <i/>
  </colItems>
  <pageFields count="1">
    <pageField fld="3" hier="0"/>
  </pageFields>
  <dataFields count="1">
    <dataField name="Total AUM per Family Index" fld="15" baseField="0" baseItem="0" numFmtId="165"/>
  </dataFields>
  <formats count="19">
    <format dxfId="86">
      <pivotArea dataOnly="0" labelOnly="1" outline="0" axis="axisValues" fieldPosition="0"/>
    </format>
    <format dxfId="85">
      <pivotArea dataOnly="0" labelOnly="1" outline="0" axis="axisValues" fieldPosition="0"/>
    </format>
    <format dxfId="84">
      <pivotArea dataOnly="0" labelOnly="1" outline="0" axis="axisValues" fieldPosition="0"/>
    </format>
    <format dxfId="83">
      <pivotArea dataOnly="0" labelOnly="1" outline="0" axis="axisValues" fieldPosition="0"/>
    </format>
    <format dxfId="82">
      <pivotArea grandRow="1" outline="0" fieldPosition="0"/>
    </format>
    <format dxfId="81">
      <pivotArea dataOnly="0" labelOnly="1" grandRow="1" outline="0" fieldPosition="0"/>
    </format>
    <format dxfId="80">
      <pivotArea grandRow="1" outline="0" fieldPosition="0"/>
    </format>
    <format dxfId="79">
      <pivotArea dataOnly="0" labelOnly="1" grandRow="1" outline="0" fieldPosition="0"/>
    </format>
    <format dxfId="78">
      <pivotArea dataOnly="0" labelOnly="1" grandRow="1" outline="0" fieldPosition="0"/>
    </format>
    <format dxfId="77">
      <pivotArea grandRow="1" outline="0" fieldPosition="0"/>
    </format>
    <format dxfId="76">
      <pivotArea dataOnly="0" labelOnly="1" grandRow="1" outline="0" fieldPosition="0"/>
    </format>
    <format dxfId="75">
      <pivotArea outline="0" fieldPosition="0"/>
    </format>
    <format dxfId="74">
      <pivotArea dataOnly="0" labelOnly="1" grandRow="1" outline="0" fieldPosition="0"/>
    </format>
    <format dxfId="73">
      <pivotArea dataOnly="0" labelOnly="1" outline="0" axis="axisValues" fieldPosition="0"/>
    </format>
    <format dxfId="72">
      <pivotArea dataOnly="0" labelOnly="1" outline="0" axis="axisValues" fieldPosition="0"/>
    </format>
    <format dxfId="71">
      <pivotArea field="1" type="button" dataOnly="0" labelOnly="1" outline="0" axis="axisRow" fieldPosition="0"/>
    </format>
    <format dxfId="70">
      <pivotArea outline="0" fieldPosition="0"/>
    </format>
    <format dxfId="69">
      <pivotArea grandRow="1" outline="0" fieldPosition="0"/>
    </format>
    <format dxfId="68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E8C0DC-CE6A-4D0F-AE7A-314C02DF790A}" name="PivotTable3" cacheId="2" applyNumberFormats="0" applyBorderFormats="0" applyFontFormats="0" applyPatternFormats="0" applyAlignmentFormats="0" applyWidthHeightFormats="1" dataCaption="Valeurs" grandTotalCaption="Total" updatedVersion="8" minRefreshableVersion="3" useAutoFormatting="1" itemPrintTitles="1" createdVersion="8" indent="0" outline="1" outlineData="1" multipleFieldFilters="0" rowHeaderCaption="Family Index">
  <location ref="T5:U21" firstHeaderRow="1" firstDataRow="1" firstDataCol="1" rowPageCount="1" colPageCount="1"/>
  <pivotFields count="17">
    <pivotField axis="axisRow" showAll="0" measureFilter="1" sortType="descending">
      <items count="1448">
        <item x="26"/>
        <item x="27"/>
        <item x="14"/>
        <item x="15"/>
        <item x="16"/>
        <item x="17"/>
        <item x="18"/>
        <item x="19"/>
        <item x="28"/>
        <item x="29"/>
        <item x="30"/>
        <item x="31"/>
        <item x="32"/>
        <item x="33"/>
        <item x="53"/>
        <item x="34"/>
        <item x="35"/>
        <item x="54"/>
        <item x="55"/>
        <item x="56"/>
        <item x="50"/>
        <item x="51"/>
        <item x="52"/>
        <item x="57"/>
        <item x="36"/>
        <item x="37"/>
        <item x="0"/>
        <item x="38"/>
        <item x="39"/>
        <item x="40"/>
        <item x="41"/>
        <item x="822"/>
        <item x="823"/>
        <item x="824"/>
        <item x="1"/>
        <item x="42"/>
        <item x="43"/>
        <item x="825"/>
        <item x="44"/>
        <item x="45"/>
        <item x="46"/>
        <item x="47"/>
        <item x="48"/>
        <item x="49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2"/>
        <item x="20"/>
        <item x="21"/>
        <item x="22"/>
        <item x="23"/>
        <item x="24"/>
        <item x="25"/>
        <item x="3"/>
        <item x="4"/>
        <item x="844"/>
        <item x="845"/>
        <item x="5"/>
        <item x="846"/>
        <item x="847"/>
        <item x="848"/>
        <item x="849"/>
        <item x="850"/>
        <item x="851"/>
        <item x="852"/>
        <item x="85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1009"/>
        <item x="1010"/>
        <item x="1011"/>
        <item x="76"/>
        <item x="77"/>
        <item x="78"/>
        <item x="79"/>
        <item x="80"/>
        <item x="81"/>
        <item x="58"/>
        <item x="59"/>
        <item x="60"/>
        <item x="82"/>
        <item x="83"/>
        <item x="61"/>
        <item x="62"/>
        <item x="63"/>
        <item x="84"/>
        <item x="85"/>
        <item x="86"/>
        <item x="87"/>
        <item x="88"/>
        <item x="89"/>
        <item x="6"/>
        <item x="180"/>
        <item x="162"/>
        <item x="163"/>
        <item x="164"/>
        <item x="165"/>
        <item x="112"/>
        <item x="113"/>
        <item x="114"/>
        <item x="115"/>
        <item x="116"/>
        <item x="117"/>
        <item x="118"/>
        <item x="119"/>
        <item x="166"/>
        <item x="175"/>
        <item x="1132"/>
        <item x="176"/>
        <item x="177"/>
        <item x="178"/>
        <item x="179"/>
        <item x="7"/>
        <item x="120"/>
        <item x="854"/>
        <item x="855"/>
        <item x="856"/>
        <item x="8"/>
        <item x="121"/>
        <item x="857"/>
        <item x="181"/>
        <item x="1133"/>
        <item x="858"/>
        <item x="859"/>
        <item x="860"/>
        <item x="861"/>
        <item x="862"/>
        <item x="863"/>
        <item x="864"/>
        <item x="865"/>
        <item x="866"/>
        <item x="885"/>
        <item x="867"/>
        <item x="868"/>
        <item x="869"/>
        <item x="870"/>
        <item x="871"/>
        <item x="872"/>
        <item x="873"/>
        <item x="874"/>
        <item x="875"/>
        <item x="122"/>
        <item x="123"/>
        <item x="90"/>
        <item x="91"/>
        <item x="92"/>
        <item x="125"/>
        <item x="126"/>
        <item x="127"/>
        <item x="128"/>
        <item x="129"/>
        <item x="130"/>
        <item x="131"/>
        <item x="132"/>
        <item x="167"/>
        <item x="133"/>
        <item x="134"/>
        <item x="135"/>
        <item x="136"/>
        <item x="137"/>
        <item x="138"/>
        <item x="93"/>
        <item x="168"/>
        <item x="169"/>
        <item x="170"/>
        <item x="171"/>
        <item x="172"/>
        <item x="173"/>
        <item x="174"/>
        <item x="94"/>
        <item x="95"/>
        <item x="149"/>
        <item x="150"/>
        <item x="151"/>
        <item x="152"/>
        <item x="96"/>
        <item x="97"/>
        <item x="98"/>
        <item x="99"/>
        <item x="100"/>
        <item x="101"/>
        <item x="102"/>
        <item x="103"/>
        <item x="104"/>
        <item x="105"/>
        <item x="139"/>
        <item x="140"/>
        <item x="153"/>
        <item x="154"/>
        <item x="155"/>
        <item x="156"/>
        <item x="157"/>
        <item x="158"/>
        <item x="159"/>
        <item x="160"/>
        <item x="161"/>
        <item x="106"/>
        <item x="107"/>
        <item x="108"/>
        <item x="141"/>
        <item x="142"/>
        <item x="143"/>
        <item x="144"/>
        <item x="145"/>
        <item x="146"/>
        <item x="1159"/>
        <item x="220"/>
        <item x="221"/>
        <item x="222"/>
        <item x="223"/>
        <item x="202"/>
        <item x="203"/>
        <item x="204"/>
        <item x="205"/>
        <item x="232"/>
        <item x="233"/>
        <item x="234"/>
        <item x="235"/>
        <item x="236"/>
        <item x="237"/>
        <item x="249"/>
        <item x="250"/>
        <item x="251"/>
        <item x="252"/>
        <item x="254"/>
        <item x="258"/>
        <item x="259"/>
        <item x="260"/>
        <item x="261"/>
        <item x="262"/>
        <item x="272"/>
        <item x="273"/>
        <item x="274"/>
        <item x="275"/>
        <item x="353"/>
        <item x="354"/>
        <item x="355"/>
        <item x="356"/>
        <item x="400"/>
        <item x="401"/>
        <item x="402"/>
        <item x="403"/>
        <item x="426"/>
        <item x="427"/>
        <item x="428"/>
        <item x="429"/>
        <item x="430"/>
        <item x="431"/>
        <item x="432"/>
        <item x="433"/>
        <item x="465"/>
        <item x="466"/>
        <item x="467"/>
        <item x="468"/>
        <item x="469"/>
        <item x="461"/>
        <item x="462"/>
        <item x="463"/>
        <item x="464"/>
        <item x="470"/>
        <item x="471"/>
        <item x="472"/>
        <item x="473"/>
        <item x="494"/>
        <item x="495"/>
        <item x="496"/>
        <item x="497"/>
        <item x="566"/>
        <item x="567"/>
        <item x="579"/>
        <item x="580"/>
        <item x="581"/>
        <item x="582"/>
        <item x="576"/>
        <item x="577"/>
        <item x="578"/>
        <item x="695"/>
        <item x="696"/>
        <item x="717"/>
        <item x="718"/>
        <item x="719"/>
        <item x="720"/>
        <item x="774"/>
        <item x="775"/>
        <item x="776"/>
        <item x="777"/>
        <item x="778"/>
        <item x="779"/>
        <item x="147"/>
        <item x="148"/>
        <item x="182"/>
        <item x="183"/>
        <item x="1068"/>
        <item x="1069"/>
        <item x="1070"/>
        <item x="186"/>
        <item x="187"/>
        <item x="188"/>
        <item x="583"/>
        <item x="584"/>
        <item x="585"/>
        <item x="1020"/>
        <item x="1021"/>
        <item x="1022"/>
        <item x="586"/>
        <item x="587"/>
        <item x="588"/>
        <item x="589"/>
        <item x="590"/>
        <item x="591"/>
        <item x="1023"/>
        <item x="1024"/>
        <item x="1025"/>
        <item x="189"/>
        <item x="190"/>
        <item x="191"/>
        <item x="193"/>
        <item x="192"/>
        <item x="194"/>
        <item x="195"/>
        <item x="196"/>
        <item x="197"/>
        <item x="198"/>
        <item x="199"/>
        <item x="200"/>
        <item x="201"/>
        <item x="1134"/>
        <item x="1135"/>
        <item x="1136"/>
        <item x="1137"/>
        <item x="1138"/>
        <item x="1139"/>
        <item x="592"/>
        <item x="593"/>
        <item x="594"/>
        <item x="1160"/>
        <item x="1161"/>
        <item x="1162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4"/>
        <item x="225"/>
        <item x="226"/>
        <item x="227"/>
        <item x="228"/>
        <item x="229"/>
        <item x="230"/>
        <item x="231"/>
        <item x="238"/>
        <item x="242"/>
        <item x="243"/>
        <item x="244"/>
        <item x="245"/>
        <item x="239"/>
        <item x="240"/>
        <item x="241"/>
        <item x="246"/>
        <item x="247"/>
        <item x="248"/>
        <item x="253"/>
        <item x="255"/>
        <item x="256"/>
        <item x="257"/>
        <item x="263"/>
        <item x="264"/>
        <item x="265"/>
        <item x="266"/>
        <item x="267"/>
        <item x="268"/>
        <item x="269"/>
        <item x="270"/>
        <item x="271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1140"/>
        <item x="1141"/>
        <item x="114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291"/>
        <item x="292"/>
        <item x="293"/>
        <item x="294"/>
        <item x="295"/>
        <item x="296"/>
        <item x="1175"/>
        <item x="1176"/>
        <item x="1177"/>
        <item x="1178"/>
        <item x="1179"/>
        <item x="1180"/>
        <item x="1184"/>
        <item x="1185"/>
        <item x="1186"/>
        <item x="1181"/>
        <item x="1182"/>
        <item x="1183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1143"/>
        <item x="326"/>
        <item x="327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1071"/>
        <item x="1072"/>
        <item x="1073"/>
        <item x="1074"/>
        <item x="1075"/>
        <item x="1076"/>
        <item x="1077"/>
        <item x="1078"/>
        <item x="1079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1187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5"/>
        <item x="393"/>
        <item x="394"/>
        <item x="396"/>
        <item x="397"/>
        <item x="398"/>
        <item x="399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328"/>
        <item x="329"/>
        <item x="330"/>
        <item x="331"/>
        <item x="332"/>
        <item x="419"/>
        <item x="420"/>
        <item x="1012"/>
        <item x="1013"/>
        <item x="1014"/>
        <item x="1015"/>
        <item x="1016"/>
        <item x="421"/>
        <item x="422"/>
        <item x="423"/>
        <item x="424"/>
        <item x="425"/>
        <item x="434"/>
        <item x="435"/>
        <item x="436"/>
        <item x="437"/>
        <item x="438"/>
        <item x="1080"/>
        <item x="1081"/>
        <item x="1082"/>
        <item x="1083"/>
        <item x="1084"/>
        <item x="1085"/>
        <item x="1086"/>
        <item x="1087"/>
        <item x="108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1017"/>
        <item x="1018"/>
        <item x="1019"/>
        <item x="453"/>
        <item x="454"/>
        <item x="455"/>
        <item x="456"/>
        <item x="457"/>
        <item x="458"/>
        <item x="459"/>
        <item x="460"/>
        <item x="1144"/>
        <item x="1145"/>
        <item x="1146"/>
        <item x="1147"/>
        <item x="1188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1093"/>
        <item x="1094"/>
        <item x="1095"/>
        <item x="595"/>
        <item x="596"/>
        <item x="597"/>
        <item x="1096"/>
        <item x="1097"/>
        <item x="1098"/>
        <item x="598"/>
        <item x="599"/>
        <item x="600"/>
        <item x="601"/>
        <item x="602"/>
        <item x="603"/>
        <item x="606"/>
        <item x="607"/>
        <item x="608"/>
        <item x="609"/>
        <item x="610"/>
        <item x="611"/>
        <item x="612"/>
        <item x="1099"/>
        <item x="613"/>
        <item x="1100"/>
        <item x="614"/>
        <item x="1101"/>
        <item x="616"/>
        <item x="617"/>
        <item x="618"/>
        <item x="619"/>
        <item x="620"/>
        <item x="621"/>
        <item x="1026"/>
        <item x="1027"/>
        <item x="1028"/>
        <item x="1195"/>
        <item x="1102"/>
        <item x="1196"/>
        <item x="1103"/>
        <item x="1197"/>
        <item x="1104"/>
        <item x="622"/>
        <item x="623"/>
        <item x="624"/>
        <item x="1029"/>
        <item x="1030"/>
        <item x="1031"/>
        <item x="1032"/>
        <item x="1033"/>
        <item x="1034"/>
        <item x="1105"/>
        <item x="1106"/>
        <item x="1107"/>
        <item x="1035"/>
        <item x="1036"/>
        <item x="1037"/>
        <item x="626"/>
        <item x="627"/>
        <item x="628"/>
        <item x="629"/>
        <item x="630"/>
        <item x="631"/>
        <item x="632"/>
        <item x="633"/>
        <item x="634"/>
        <item x="1108"/>
        <item x="1109"/>
        <item x="1110"/>
        <item x="1198"/>
        <item x="1199"/>
        <item x="1200"/>
        <item x="1038"/>
        <item x="1039"/>
        <item x="1040"/>
        <item x="1041"/>
        <item x="1042"/>
        <item x="1043"/>
        <item x="1201"/>
        <item x="1202"/>
        <item x="1203"/>
        <item x="636"/>
        <item x="637"/>
        <item x="638"/>
        <item x="641"/>
        <item x="1044"/>
        <item x="642"/>
        <item x="1045"/>
        <item x="643"/>
        <item x="1046"/>
        <item x="1111"/>
        <item x="1112"/>
        <item x="1113"/>
        <item x="646"/>
        <item x="647"/>
        <item x="648"/>
        <item x="649"/>
        <item x="650"/>
        <item x="651"/>
        <item x="1047"/>
        <item x="1114"/>
        <item x="1048"/>
        <item x="1115"/>
        <item x="1049"/>
        <item x="1116"/>
        <item x="1117"/>
        <item x="1118"/>
        <item x="1119"/>
        <item x="1089"/>
        <item x="510"/>
        <item x="511"/>
        <item x="1189"/>
        <item x="512"/>
        <item x="513"/>
        <item x="514"/>
        <item x="515"/>
        <item x="1190"/>
        <item x="1191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5"/>
        <item x="536"/>
        <item x="537"/>
        <item x="533"/>
        <item x="534"/>
        <item x="998"/>
        <item x="999"/>
        <item x="1000"/>
        <item x="1192"/>
        <item x="1193"/>
        <item x="1194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1120"/>
        <item x="1121"/>
        <item x="1122"/>
        <item x="1123"/>
        <item x="1124"/>
        <item x="1125"/>
        <item x="1126"/>
        <item x="1127"/>
        <item x="1128"/>
        <item x="1090"/>
        <item x="1091"/>
        <item x="1092"/>
        <item x="551"/>
        <item x="552"/>
        <item x="553"/>
        <item x="554"/>
        <item x="555"/>
        <item x="556"/>
        <item x="557"/>
        <item x="558"/>
        <item x="559"/>
        <item x="1148"/>
        <item x="1149"/>
        <item x="1150"/>
        <item x="1151"/>
        <item x="1152"/>
        <item x="1153"/>
        <item x="1154"/>
        <item x="560"/>
        <item x="561"/>
        <item x="562"/>
        <item x="563"/>
        <item x="564"/>
        <item x="565"/>
        <item x="568"/>
        <item x="569"/>
        <item x="570"/>
        <item x="571"/>
        <item x="572"/>
        <item x="573"/>
        <item x="574"/>
        <item x="575"/>
        <item x="653"/>
        <item x="654"/>
        <item x="655"/>
        <item x="1050"/>
        <item x="1051"/>
        <item x="1052"/>
        <item x="656"/>
        <item x="657"/>
        <item x="658"/>
        <item x="1053"/>
        <item x="1054"/>
        <item x="1055"/>
        <item x="659"/>
        <item x="660"/>
        <item x="661"/>
        <item x="1056"/>
        <item x="1057"/>
        <item x="1058"/>
        <item x="662"/>
        <item x="663"/>
        <item x="664"/>
        <item x="665"/>
        <item x="666"/>
        <item x="667"/>
        <item x="1129"/>
        <item x="1130"/>
        <item x="1131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1059"/>
        <item x="1060"/>
        <item x="1061"/>
        <item x="686"/>
        <item x="687"/>
        <item x="688"/>
        <item x="1062"/>
        <item x="1063"/>
        <item x="1064"/>
        <item x="689"/>
        <item x="690"/>
        <item x="691"/>
        <item x="692"/>
        <item x="693"/>
        <item x="694"/>
        <item x="697"/>
        <item x="698"/>
        <item x="1204"/>
        <item x="699"/>
        <item x="700"/>
        <item x="701"/>
        <item x="702"/>
        <item x="703"/>
        <item x="1205"/>
        <item x="1206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15"/>
        <item x="716"/>
        <item x="1155"/>
        <item x="1156"/>
        <item x="1157"/>
        <item x="1158"/>
        <item x="733"/>
        <item x="734"/>
        <item x="735"/>
        <item x="1207"/>
        <item x="1208"/>
        <item x="1209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1210"/>
        <item x="1211"/>
        <item x="1212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80"/>
        <item x="781"/>
        <item x="782"/>
        <item x="783"/>
        <item x="784"/>
        <item x="1065"/>
        <item x="1066"/>
        <item x="1067"/>
        <item x="785"/>
        <item x="788"/>
        <item x="789"/>
        <item x="790"/>
        <item x="786"/>
        <item x="787"/>
        <item x="791"/>
        <item x="792"/>
        <item x="793"/>
        <item x="9"/>
        <item x="794"/>
        <item x="795"/>
        <item x="10"/>
        <item x="876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796"/>
        <item x="797"/>
        <item x="816"/>
        <item x="817"/>
        <item x="818"/>
        <item x="819"/>
        <item x="820"/>
        <item x="821"/>
        <item x="886"/>
        <item x="887"/>
        <item x="888"/>
        <item x="889"/>
        <item x="890"/>
        <item x="891"/>
        <item x="892"/>
        <item x="893"/>
        <item x="184"/>
        <item x="185"/>
        <item x="894"/>
        <item x="925"/>
        <item x="926"/>
        <item x="927"/>
        <item x="928"/>
        <item x="929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05"/>
        <item x="908"/>
        <item x="909"/>
        <item x="910"/>
        <item x="906"/>
        <item x="907"/>
        <item x="945"/>
        <item x="946"/>
        <item x="947"/>
        <item x="948"/>
        <item x="949"/>
        <item x="950"/>
        <item x="951"/>
        <item x="952"/>
        <item x="953"/>
        <item x="895"/>
        <item x="954"/>
        <item x="955"/>
        <item x="956"/>
        <item x="957"/>
        <item x="958"/>
        <item x="959"/>
        <item x="960"/>
        <item x="961"/>
        <item x="962"/>
        <item x="896"/>
        <item x="897"/>
        <item x="898"/>
        <item x="963"/>
        <item x="964"/>
        <item x="965"/>
        <item x="966"/>
        <item x="967"/>
        <item x="911"/>
        <item x="912"/>
        <item x="917"/>
        <item x="918"/>
        <item x="919"/>
        <item x="920"/>
        <item x="921"/>
        <item x="922"/>
        <item x="913"/>
        <item x="914"/>
        <item x="899"/>
        <item x="900"/>
        <item x="901"/>
        <item x="902"/>
        <item x="968"/>
        <item x="915"/>
        <item x="923"/>
        <item x="924"/>
        <item x="903"/>
        <item x="916"/>
        <item x="930"/>
        <item x="931"/>
        <item x="932"/>
        <item x="904"/>
        <item x="969"/>
        <item x="970"/>
        <item x="971"/>
        <item x="972"/>
        <item x="973"/>
        <item x="974"/>
        <item x="11"/>
        <item x="978"/>
        <item x="979"/>
        <item x="980"/>
        <item x="981"/>
        <item x="982"/>
        <item x="983"/>
        <item x="984"/>
        <item x="985"/>
        <item x="986"/>
        <item x="987"/>
        <item x="975"/>
        <item x="976"/>
        <item x="977"/>
        <item x="988"/>
        <item x="989"/>
        <item x="12"/>
        <item x="990"/>
        <item x="991"/>
        <item x="877"/>
        <item x="878"/>
        <item x="13"/>
        <item x="879"/>
        <item x="992"/>
        <item x="993"/>
        <item x="994"/>
        <item x="995"/>
        <item x="880"/>
        <item x="996"/>
        <item x="997"/>
        <item x="881"/>
        <item x="882"/>
        <item x="883"/>
        <item x="884"/>
        <item x="109"/>
        <item x="110"/>
        <item x="111"/>
        <item x="1001"/>
        <item x="1002"/>
        <item x="1003"/>
        <item x="1004"/>
        <item x="1005"/>
        <item x="1006"/>
        <item x="1007"/>
        <item x="1008"/>
        <item x="1446"/>
        <item x="604"/>
        <item x="605"/>
        <item x="615"/>
        <item x="625"/>
        <item x="635"/>
        <item x="639"/>
        <item x="640"/>
        <item x="644"/>
        <item x="645"/>
        <item x="652"/>
        <item x="124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sortType="descending">
      <items count="237">
        <item x="0"/>
        <item x="5"/>
        <item x="7"/>
        <item x="8"/>
        <item x="9"/>
        <item x="1"/>
        <item x="10"/>
        <item x="2"/>
        <item x="13"/>
        <item x="14"/>
        <item x="17"/>
        <item x="18"/>
        <item x="19"/>
        <item x="20"/>
        <item x="21"/>
        <item x="22"/>
        <item x="23"/>
        <item x="24"/>
        <item x="25"/>
        <item x="27"/>
        <item x="28"/>
        <item x="29"/>
        <item x="30"/>
        <item x="35"/>
        <item x="38"/>
        <item x="42"/>
        <item x="43"/>
        <item x="44"/>
        <item x="45"/>
        <item x="48"/>
        <item x="60"/>
        <item x="61"/>
        <item x="64"/>
        <item x="65"/>
        <item x="66"/>
        <item x="67"/>
        <item x="69"/>
        <item x="70"/>
        <item x="72"/>
        <item x="73"/>
        <item x="77"/>
        <item x="78"/>
        <item x="79"/>
        <item x="82"/>
        <item x="83"/>
        <item x="89"/>
        <item x="90"/>
        <item x="91"/>
        <item x="93"/>
        <item x="94"/>
        <item x="95"/>
        <item x="96"/>
        <item x="97"/>
        <item x="98"/>
        <item x="106"/>
        <item x="117"/>
        <item x="118"/>
        <item x="119"/>
        <item x="125"/>
        <item x="127"/>
        <item x="132"/>
        <item x="146"/>
        <item x="3"/>
        <item x="150"/>
        <item x="151"/>
        <item x="152"/>
        <item x="153"/>
        <item x="156"/>
        <item x="166"/>
        <item x="167"/>
        <item x="168"/>
        <item x="169"/>
        <item x="15"/>
        <item x="31"/>
        <item x="32"/>
        <item x="33"/>
        <item x="34"/>
        <item x="37"/>
        <item x="40"/>
        <item x="41"/>
        <item x="46"/>
        <item x="47"/>
        <item x="92"/>
        <item x="104"/>
        <item x="105"/>
        <item x="114"/>
        <item x="139"/>
        <item x="140"/>
        <item x="141"/>
        <item x="142"/>
        <item x="143"/>
        <item x="144"/>
        <item x="145"/>
        <item x="129"/>
        <item x="11"/>
        <item x="26"/>
        <item x="49"/>
        <item x="74"/>
        <item x="76"/>
        <item x="84"/>
        <item x="87"/>
        <item x="88"/>
        <item x="99"/>
        <item x="110"/>
        <item x="111"/>
        <item x="123"/>
        <item x="130"/>
        <item x="131"/>
        <item x="134"/>
        <item x="148"/>
        <item x="154"/>
        <item x="157"/>
        <item x="161"/>
        <item x="162"/>
        <item x="163"/>
        <item x="164"/>
        <item x="165"/>
        <item x="36"/>
        <item x="50"/>
        <item x="80"/>
        <item x="86"/>
        <item x="137"/>
        <item x="138"/>
        <item x="147"/>
        <item x="85"/>
        <item x="100"/>
        <item x="135"/>
        <item x="102"/>
        <item x="120"/>
        <item x="133"/>
        <item x="155"/>
        <item x="55"/>
        <item x="57"/>
        <item x="75"/>
        <item x="235"/>
        <item x="59"/>
        <item x="63"/>
        <item x="68"/>
        <item x="109"/>
        <item x="136"/>
        <item x="160"/>
        <item x="62"/>
        <item x="149"/>
        <item x="56"/>
        <item x="4"/>
        <item x="101"/>
        <item x="158"/>
        <item x="159"/>
        <item x="6"/>
        <item x="12"/>
        <item x="71"/>
        <item x="81"/>
        <item x="124"/>
        <item x="52"/>
        <item x="58"/>
        <item x="122"/>
        <item x="126"/>
        <item x="39"/>
        <item x="51"/>
        <item x="103"/>
        <item x="115"/>
        <item x="116"/>
        <item x="121"/>
        <item x="16"/>
        <item x="53"/>
        <item x="54"/>
        <item x="107"/>
        <item x="108"/>
        <item x="112"/>
        <item x="113"/>
        <item x="128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ubtotalTop="0" showAll="0" includeNewItemsInFilter="1" defaultSubtotal="0"/>
    <pivotField subtotalTop="0" showAll="0" defaultSubtotal="0"/>
    <pivotField subtotalTop="0" showAll="0" defaultSubtotal="0"/>
    <pivotField showAll="0"/>
    <pivotField showAll="0"/>
    <pivotField showAll="0"/>
    <pivotField numFmtId="164" showAll="0"/>
    <pivotField numFmtId="43" showAll="0"/>
    <pivotField numFmtId="43" showAll="0"/>
    <pivotField subtotalTop="0" showAll="0" defaultSubtotal="0"/>
    <pivotField numFmtId="43" showAll="0"/>
    <pivotField numFmtId="164" showAll="0"/>
    <pivotField dataField="1" numFmtId="43" showAll="0"/>
    <pivotField axis="axisPage" subtotalTop="0" showAll="0" defaultSubtotal="0">
      <items count="4">
        <item x="1"/>
        <item x="0"/>
        <item x="2"/>
        <item x="3"/>
      </items>
    </pivotField>
  </pivotFields>
  <rowFields count="1">
    <field x="0"/>
  </rowFields>
  <rowItems count="16">
    <i>
      <x v="117"/>
    </i>
    <i>
      <x v="62"/>
    </i>
    <i>
      <x v="143"/>
    </i>
    <i>
      <x v="138"/>
    </i>
    <i>
      <x v="130"/>
    </i>
    <i>
      <x v="34"/>
    </i>
    <i>
      <x v="1119"/>
    </i>
    <i>
      <x v="129"/>
    </i>
    <i>
      <x v="1157"/>
    </i>
    <i>
      <x v="1173"/>
    </i>
    <i>
      <x v="73"/>
    </i>
    <i>
      <x v="128"/>
    </i>
    <i>
      <x v="123"/>
    </i>
    <i>
      <x v="69"/>
    </i>
    <i>
      <x v="1073"/>
    </i>
    <i t="grand">
      <x/>
    </i>
  </rowItems>
  <colItems count="1">
    <i/>
  </colItems>
  <pageFields count="1">
    <pageField fld="16" item="1" hier="-1"/>
  </pageFields>
  <dataFields count="1">
    <dataField name="Total AUM per Family Index" fld="15" baseField="0" baseItem="0" numFmtId="165"/>
  </dataFields>
  <formats count="25">
    <format dxfId="111">
      <pivotArea dataOnly="0" labelOnly="1" outline="0" axis="axisValues" fieldPosition="0"/>
    </format>
    <format dxfId="110">
      <pivotArea dataOnly="0" labelOnly="1" outline="0" axis="axisValues" fieldPosition="0"/>
    </format>
    <format dxfId="109">
      <pivotArea dataOnly="0" labelOnly="1" outline="0" axis="axisValues" fieldPosition="0"/>
    </format>
    <format dxfId="108">
      <pivotArea dataOnly="0" labelOnly="1" outline="0" axis="axisValues" fieldPosition="0"/>
    </format>
    <format dxfId="107">
      <pivotArea grandRow="1" outline="0" fieldPosition="0"/>
    </format>
    <format dxfId="106">
      <pivotArea dataOnly="0" labelOnly="1" grandRow="1" outline="0" fieldPosition="0"/>
    </format>
    <format dxfId="105">
      <pivotArea grandRow="1" outline="0" fieldPosition="0"/>
    </format>
    <format dxfId="104">
      <pivotArea dataOnly="0" labelOnly="1" grandRow="1" outline="0" fieldPosition="0"/>
    </format>
    <format dxfId="103">
      <pivotArea dataOnly="0" labelOnly="1" grandRow="1" outline="0" fieldPosition="0"/>
    </format>
    <format dxfId="102">
      <pivotArea grandRow="1" outline="0" fieldPosition="0"/>
    </format>
    <format dxfId="101">
      <pivotArea dataOnly="0" labelOnly="1" grandRow="1" outline="0" fieldPosition="0"/>
    </format>
    <format dxfId="100">
      <pivotArea outline="0" fieldPosition="0"/>
    </format>
    <format dxfId="99">
      <pivotArea dataOnly="0" labelOnly="1" grandRow="1" outline="0" fieldPosition="0"/>
    </format>
    <format dxfId="98">
      <pivotArea dataOnly="0" labelOnly="1" outline="0" axis="axisValues" fieldPosition="0"/>
    </format>
    <format dxfId="97">
      <pivotArea dataOnly="0" labelOnly="1" outline="0" axis="axisValues" fieldPosition="0"/>
    </format>
    <format dxfId="96">
      <pivotArea field="1" type="button" dataOnly="0" labelOnly="1" outline="0"/>
    </format>
    <format dxfId="95">
      <pivotArea outline="0" fieldPosition="0"/>
    </format>
    <format dxfId="94">
      <pivotArea grandRow="1" outline="0" fieldPosition="0"/>
    </format>
    <format dxfId="93">
      <pivotArea dataOnly="0" labelOnly="1" grandRow="1" outline="0" fieldPosition="0"/>
    </format>
    <format dxfId="92">
      <pivotArea field="0" type="button" dataOnly="0" labelOnly="1" outline="0" axis="axisRow" fieldPosition="0"/>
    </format>
    <format dxfId="91">
      <pivotArea field="0" type="button" dataOnly="0" labelOnly="1" outline="0" axis="axisRow" fieldPosition="0"/>
    </format>
    <format dxfId="90">
      <pivotArea collapsedLevelsAreSubtotals="1" fieldPosition="0">
        <references count="1">
          <reference field="0" count="1">
            <x v="1073"/>
          </reference>
        </references>
      </pivotArea>
    </format>
    <format dxfId="89">
      <pivotArea grandRow="1" outline="0" collapsedLevelsAreSubtotals="1" fieldPosition="0"/>
    </format>
    <format dxfId="88">
      <pivotArea dataOnly="0" labelOnly="1" fieldPosition="0">
        <references count="1">
          <reference field="0" count="1">
            <x v="1073"/>
          </reference>
        </references>
      </pivotArea>
    </format>
    <format dxfId="87">
      <pivotArea dataOnly="0" labelOnly="1" grandRow="1" outline="0" fieldPosition="0"/>
    </format>
  </formats>
  <pivotTableStyleInfo name="PivotStyleLight16" showRowHeaders="1" showColHeaders="1" showRowStripes="0" showColStripes="0" showLastColumn="1"/>
  <filters count="1">
    <filter fld="0" type="valueNotEqual" evalOrder="-1" id="1" iMeasureFld="0">
      <autoFilter ref="A1">
        <filterColumn colId="0">
          <customFilters>
            <customFilter operator="notEqual" val="0"/>
          </customFilters>
        </filterColumn>
      </autoFilter>
    </filter>
  </filters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BA10E6-04EC-450E-8317-382265514867}" name="PivotTable7" cacheId="2" applyNumberFormats="0" applyBorderFormats="0" applyFontFormats="0" applyPatternFormats="0" applyAlignmentFormats="0" applyWidthHeightFormats="1" dataCaption="Valeurs" grandTotalCaption="Total" updatedVersion="8" minRefreshableVersion="3" useAutoFormatting="1" itemPrintTitles="1" createdVersion="8" indent="0" outline="1" outlineData="1" multipleFieldFilters="0" rowHeaderCaption="Family Index">
  <location ref="Q5:R13" firstHeaderRow="1" firstDataRow="1" firstDataCol="1" rowPageCount="1" colPageCount="1"/>
  <pivotFields count="17">
    <pivotField showAll="0"/>
    <pivotField axis="axisRow" showAll="0" measureFilter="1" sortType="descending">
      <items count="237">
        <item x="0"/>
        <item x="5"/>
        <item x="7"/>
        <item x="8"/>
        <item x="9"/>
        <item x="1"/>
        <item x="10"/>
        <item x="2"/>
        <item x="13"/>
        <item x="14"/>
        <item x="17"/>
        <item x="18"/>
        <item x="19"/>
        <item x="20"/>
        <item x="21"/>
        <item x="22"/>
        <item x="23"/>
        <item x="24"/>
        <item x="25"/>
        <item x="27"/>
        <item x="28"/>
        <item x="29"/>
        <item x="30"/>
        <item x="35"/>
        <item x="38"/>
        <item x="42"/>
        <item x="43"/>
        <item x="44"/>
        <item x="45"/>
        <item x="48"/>
        <item x="60"/>
        <item x="61"/>
        <item x="64"/>
        <item x="65"/>
        <item x="66"/>
        <item x="67"/>
        <item x="69"/>
        <item x="70"/>
        <item x="72"/>
        <item x="73"/>
        <item x="77"/>
        <item x="78"/>
        <item x="79"/>
        <item x="82"/>
        <item x="83"/>
        <item x="89"/>
        <item x="90"/>
        <item x="91"/>
        <item x="93"/>
        <item x="94"/>
        <item x="95"/>
        <item x="96"/>
        <item x="97"/>
        <item x="98"/>
        <item x="106"/>
        <item x="117"/>
        <item x="118"/>
        <item x="119"/>
        <item x="125"/>
        <item x="127"/>
        <item x="132"/>
        <item x="146"/>
        <item x="3"/>
        <item x="150"/>
        <item x="151"/>
        <item x="152"/>
        <item x="153"/>
        <item x="156"/>
        <item x="166"/>
        <item x="167"/>
        <item x="168"/>
        <item x="169"/>
        <item x="15"/>
        <item x="31"/>
        <item x="32"/>
        <item x="33"/>
        <item x="34"/>
        <item x="37"/>
        <item x="40"/>
        <item x="41"/>
        <item x="46"/>
        <item x="47"/>
        <item x="92"/>
        <item x="104"/>
        <item x="105"/>
        <item x="114"/>
        <item x="139"/>
        <item x="140"/>
        <item x="141"/>
        <item x="142"/>
        <item x="143"/>
        <item x="144"/>
        <item x="145"/>
        <item x="129"/>
        <item x="11"/>
        <item x="26"/>
        <item x="49"/>
        <item x="74"/>
        <item x="76"/>
        <item x="84"/>
        <item x="87"/>
        <item x="88"/>
        <item x="99"/>
        <item x="110"/>
        <item x="111"/>
        <item x="123"/>
        <item x="130"/>
        <item x="131"/>
        <item x="134"/>
        <item x="148"/>
        <item x="154"/>
        <item x="157"/>
        <item x="161"/>
        <item x="162"/>
        <item x="163"/>
        <item x="164"/>
        <item x="165"/>
        <item x="36"/>
        <item x="50"/>
        <item x="80"/>
        <item x="86"/>
        <item x="137"/>
        <item x="138"/>
        <item x="147"/>
        <item x="85"/>
        <item x="100"/>
        <item x="135"/>
        <item x="102"/>
        <item x="120"/>
        <item x="133"/>
        <item x="155"/>
        <item x="55"/>
        <item x="57"/>
        <item x="75"/>
        <item x="235"/>
        <item x="59"/>
        <item x="63"/>
        <item x="68"/>
        <item x="109"/>
        <item x="136"/>
        <item x="160"/>
        <item x="62"/>
        <item x="149"/>
        <item x="56"/>
        <item x="4"/>
        <item x="101"/>
        <item x="158"/>
        <item x="159"/>
        <item x="6"/>
        <item x="12"/>
        <item x="71"/>
        <item x="81"/>
        <item x="124"/>
        <item x="52"/>
        <item x="58"/>
        <item x="122"/>
        <item x="126"/>
        <item x="39"/>
        <item x="51"/>
        <item x="103"/>
        <item x="115"/>
        <item x="116"/>
        <item x="121"/>
        <item x="16"/>
        <item x="53"/>
        <item x="54"/>
        <item x="107"/>
        <item x="108"/>
        <item x="112"/>
        <item x="113"/>
        <item x="128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ubtotalTop="0" showAll="0" includeNewItemsInFilter="1" defaultSubtotal="0"/>
    <pivotField subtotalTop="0" showAll="0" defaultSubtotal="0"/>
    <pivotField subtotalTop="0" showAll="0" defaultSubtotal="0"/>
    <pivotField showAll="0"/>
    <pivotField showAll="0"/>
    <pivotField showAll="0"/>
    <pivotField numFmtId="164" showAll="0"/>
    <pivotField numFmtId="43" showAll="0"/>
    <pivotField numFmtId="43" showAll="0"/>
    <pivotField subtotalTop="0" showAll="0" defaultSubtotal="0"/>
    <pivotField numFmtId="43" showAll="0"/>
    <pivotField numFmtId="164" showAll="0"/>
    <pivotField dataField="1" numFmtId="43" showAll="0"/>
    <pivotField axis="axisPage" subtotalTop="0" showAll="0" defaultSubtotal="0">
      <items count="4">
        <item x="1"/>
        <item x="0"/>
        <item x="2"/>
        <item x="3"/>
      </items>
    </pivotField>
  </pivotFields>
  <rowFields count="1">
    <field x="1"/>
  </rowFields>
  <rowItems count="8">
    <i>
      <x v="7"/>
    </i>
    <i>
      <x/>
    </i>
    <i>
      <x v="94"/>
    </i>
    <i>
      <x v="144"/>
    </i>
    <i>
      <x v="111"/>
    </i>
    <i>
      <x v="5"/>
    </i>
    <i>
      <x v="130"/>
    </i>
    <i t="grand">
      <x/>
    </i>
  </rowItems>
  <colItems count="1">
    <i/>
  </colItems>
  <pageFields count="1">
    <pageField fld="16" item="1" hier="-1"/>
  </pageFields>
  <dataFields count="1">
    <dataField name="Total AUM per Family Index" fld="15" baseField="0" baseItem="0" numFmtId="165"/>
  </dataFields>
  <formats count="20">
    <format dxfId="131">
      <pivotArea dataOnly="0" labelOnly="1" outline="0" axis="axisValues" fieldPosition="0"/>
    </format>
    <format dxfId="130">
      <pivotArea dataOnly="0" labelOnly="1" outline="0" axis="axisValues" fieldPosition="0"/>
    </format>
    <format dxfId="129">
      <pivotArea dataOnly="0" labelOnly="1" outline="0" axis="axisValues" fieldPosition="0"/>
    </format>
    <format dxfId="128">
      <pivotArea dataOnly="0" labelOnly="1" outline="0" axis="axisValues" fieldPosition="0"/>
    </format>
    <format dxfId="127">
      <pivotArea grandRow="1" outline="0" fieldPosition="0"/>
    </format>
    <format dxfId="126">
      <pivotArea dataOnly="0" labelOnly="1" grandRow="1" outline="0" fieldPosition="0"/>
    </format>
    <format dxfId="125">
      <pivotArea grandRow="1" outline="0" fieldPosition="0"/>
    </format>
    <format dxfId="124">
      <pivotArea dataOnly="0" labelOnly="1" grandRow="1" outline="0" fieldPosition="0"/>
    </format>
    <format dxfId="123">
      <pivotArea dataOnly="0" labelOnly="1" grandRow="1" outline="0" fieldPosition="0"/>
    </format>
    <format dxfId="122">
      <pivotArea grandRow="1" outline="0" fieldPosition="0"/>
    </format>
    <format dxfId="121">
      <pivotArea dataOnly="0" labelOnly="1" grandRow="1" outline="0" fieldPosition="0"/>
    </format>
    <format dxfId="120">
      <pivotArea outline="0" fieldPosition="0"/>
    </format>
    <format dxfId="119">
      <pivotArea dataOnly="0" labelOnly="1" grandRow="1" outline="0" fieldPosition="0"/>
    </format>
    <format dxfId="118">
      <pivotArea dataOnly="0" labelOnly="1" outline="0" axis="axisValues" fieldPosition="0"/>
    </format>
    <format dxfId="117">
      <pivotArea dataOnly="0" labelOnly="1" outline="0" axis="axisValues" fieldPosition="0"/>
    </format>
    <format dxfId="116">
      <pivotArea field="1" type="button" dataOnly="0" labelOnly="1" outline="0" axis="axisRow" fieldPosition="0"/>
    </format>
    <format dxfId="115">
      <pivotArea outline="0" fieldPosition="0"/>
    </format>
    <format dxfId="114">
      <pivotArea grandRow="1" outline="0" fieldPosition="0"/>
    </format>
    <format dxfId="113">
      <pivotArea dataOnly="0" labelOnly="1" grandRow="1" outline="0" fieldPosition="0"/>
    </format>
    <format dxfId="112">
      <pivotArea field="1" type="button" dataOnly="0" labelOnly="1" outline="0" axis="axisRow" fieldPosition="0"/>
    </format>
  </formats>
  <pivotTableStyleInfo name="PivotStyleLight16" showRowHeaders="1" showColHeaders="1" showRowStripes="0" showColStripes="0" showLastColumn="1"/>
  <filters count="1">
    <filter fld="1" type="valueNotEqual" evalOrder="-1" id="1" iMeasureFld="0">
      <autoFilter ref="A1">
        <filterColumn colId="0">
          <customFilters>
            <customFilter operator="notEqual" val="0"/>
          </customFilters>
        </filterColumn>
      </autoFilter>
    </filter>
  </filters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3" dT="2023-06-27T10:33:11.39" personId="{EDAFB5BA-B6E1-4A82-931D-F6E201F88CDF}" id="{8C3BB528-A23C-4718-8FEA-657E331FBCA7}">
    <text>Important: indices in the same group must have the same effective dates</text>
  </threadedComment>
  <threadedComment ref="I3" dT="2023-06-27T10:33:11.39" personId="{EDAFB5BA-B6E1-4A82-931D-F6E201F88CDF}" id="{3908820C-4B47-40D1-B3A5-3025162E9FE3}">
    <text>Important: indices in the same group must have the same cutoff dates</text>
  </threadedComment>
  <threadedComment ref="O3" dT="2023-07-04T07:57:14.40" personId="{EDAFB5BA-B6E1-4A82-931D-F6E201F88CDF}" id="{FFD5A026-EEFC-4BD2-88C3-EF400AE84664}">
    <text>If multiple data vendors are applicable: sort them alphabetically and separate them with a ";". 
For example: "CDP;Moody's;Sustainalytics"</text>
  </threadedComment>
  <threadedComment ref="O140" dT="2024-05-22T09:12:45.75" personId="{EDAFB5BA-B6E1-4A82-931D-F6E201F88CDF}" id="{7BC99064-9F4C-49CE-8759-3EF50039DB7F}">
    <text>Business France hidden into SESAMm (in universe we send them)</text>
  </threadedComment>
  <threadedComment ref="O141" dT="2024-05-22T09:12:45.75" personId="{EDAFB5BA-B6E1-4A82-931D-F6E201F88CDF}" id="{F24DE63F-6DD6-49F6-A1CC-DF6BE4240D35}">
    <text>Business France hidden into SESAMm (in universe we send them)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dataiku-ads-automation.euronext.com/apps/PROJECT_EMS_TEMPLATE" TargetMode="External"/><Relationship Id="rId1" Type="http://schemas.openxmlformats.org/officeDocument/2006/relationships/hyperlink" Target="https://dataiku-ads-automation.euronext.com/projects/FRANCE2040CHALLANGERSA_V2/managedfolder/weoo4Tdo/view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575D6-A2A5-40F0-832F-94B359566F43}">
  <dimension ref="A1:I31"/>
  <sheetViews>
    <sheetView tabSelected="1" workbookViewId="0">
      <selection activeCell="I25" sqref="I25"/>
    </sheetView>
  </sheetViews>
  <sheetFormatPr defaultRowHeight="12.75" x14ac:dyDescent="0.2"/>
  <cols>
    <col min="1" max="1" width="29.25" bestFit="1" customWidth="1"/>
    <col min="2" max="2" width="7" bestFit="1" customWidth="1"/>
    <col min="3" max="3" width="54.25" bestFit="1" customWidth="1"/>
    <col min="4" max="4" width="56.25" bestFit="1" customWidth="1"/>
    <col min="5" max="5" width="15.75" bestFit="1" customWidth="1"/>
    <col min="6" max="6" width="7.125" bestFit="1" customWidth="1"/>
    <col min="7" max="7" width="12.25" bestFit="1" customWidth="1"/>
    <col min="8" max="8" width="9.875" bestFit="1" customWidth="1"/>
    <col min="9" max="9" width="19.625" bestFit="1" customWidth="1"/>
  </cols>
  <sheetData>
    <row r="1" spans="1:9" x14ac:dyDescent="0.2">
      <c r="A1" t="s">
        <v>5183</v>
      </c>
    </row>
    <row r="2" spans="1:9" x14ac:dyDescent="0.2">
      <c r="A2" s="82" t="s">
        <v>5184</v>
      </c>
    </row>
    <row r="3" spans="1:9" x14ac:dyDescent="0.2">
      <c r="A3" s="82" t="s">
        <v>5185</v>
      </c>
    </row>
    <row r="4" spans="1:9" ht="15" x14ac:dyDescent="0.25">
      <c r="B4" s="81" t="s">
        <v>5</v>
      </c>
      <c r="C4" s="81" t="s">
        <v>6</v>
      </c>
      <c r="D4" s="81" t="s">
        <v>4908</v>
      </c>
      <c r="E4" s="81" t="s">
        <v>5160</v>
      </c>
      <c r="F4" s="81" t="s">
        <v>5161</v>
      </c>
      <c r="G4" s="81" t="s">
        <v>4909</v>
      </c>
      <c r="H4" s="81" t="s">
        <v>4915</v>
      </c>
      <c r="I4" s="81" t="s">
        <v>5182</v>
      </c>
    </row>
    <row r="5" spans="1:9" x14ac:dyDescent="0.2">
      <c r="B5" s="68" t="s">
        <v>422</v>
      </c>
      <c r="C5" s="68" t="s">
        <v>423</v>
      </c>
      <c r="D5" s="68" t="s">
        <v>1356</v>
      </c>
      <c r="E5" s="68" t="s">
        <v>5162</v>
      </c>
      <c r="F5" s="68">
        <v>0</v>
      </c>
      <c r="G5" s="68">
        <v>0</v>
      </c>
      <c r="H5" s="68" t="s">
        <v>5026</v>
      </c>
      <c r="I5" s="68">
        <v>1</v>
      </c>
    </row>
    <row r="6" spans="1:9" x14ac:dyDescent="0.2">
      <c r="B6" s="68" t="s">
        <v>420</v>
      </c>
      <c r="C6" s="68" t="s">
        <v>421</v>
      </c>
      <c r="D6" s="68" t="s">
        <v>2768</v>
      </c>
      <c r="E6" s="68" t="s">
        <v>5162</v>
      </c>
      <c r="F6" s="68">
        <v>0</v>
      </c>
      <c r="G6" s="68">
        <v>0</v>
      </c>
      <c r="H6" s="68" t="s">
        <v>5026</v>
      </c>
      <c r="I6" s="68">
        <v>1</v>
      </c>
    </row>
    <row r="7" spans="1:9" x14ac:dyDescent="0.2">
      <c r="B7" s="68" t="s">
        <v>2734</v>
      </c>
      <c r="C7" s="68" t="s">
        <v>2735</v>
      </c>
      <c r="D7" s="68" t="s">
        <v>351</v>
      </c>
      <c r="E7" s="68" t="s">
        <v>5162</v>
      </c>
      <c r="F7" s="68">
        <v>0</v>
      </c>
      <c r="G7" s="68">
        <v>0</v>
      </c>
      <c r="H7" s="68" t="s">
        <v>5026</v>
      </c>
      <c r="I7" s="68">
        <v>1</v>
      </c>
    </row>
    <row r="8" spans="1:9" x14ac:dyDescent="0.2">
      <c r="B8" s="68" t="s">
        <v>1324</v>
      </c>
      <c r="C8" s="68" t="s">
        <v>1325</v>
      </c>
      <c r="D8" s="68" t="s">
        <v>5163</v>
      </c>
      <c r="E8" s="68" t="s">
        <v>5162</v>
      </c>
      <c r="F8" s="68">
        <v>0</v>
      </c>
      <c r="G8" s="68">
        <v>0</v>
      </c>
      <c r="H8" s="68" t="s">
        <v>5026</v>
      </c>
      <c r="I8" s="69">
        <v>1</v>
      </c>
    </row>
    <row r="9" spans="1:9" x14ac:dyDescent="0.2">
      <c r="B9" s="68" t="s">
        <v>2722</v>
      </c>
      <c r="C9" s="68" t="s">
        <v>2723</v>
      </c>
      <c r="D9" s="68" t="s">
        <v>2760</v>
      </c>
      <c r="E9" s="68" t="s">
        <v>5162</v>
      </c>
      <c r="F9" s="68">
        <v>0</v>
      </c>
      <c r="G9" s="68">
        <v>0</v>
      </c>
      <c r="H9" s="68" t="s">
        <v>5026</v>
      </c>
      <c r="I9" s="69" t="s">
        <v>5025</v>
      </c>
    </row>
    <row r="10" spans="1:9" x14ac:dyDescent="0.2">
      <c r="B10" s="68" t="s">
        <v>1292</v>
      </c>
      <c r="C10" s="68" t="s">
        <v>1293</v>
      </c>
      <c r="D10" s="68" t="s">
        <v>5164</v>
      </c>
      <c r="E10" s="68" t="s">
        <v>5162</v>
      </c>
      <c r="F10" s="68">
        <v>0</v>
      </c>
      <c r="G10" s="68">
        <v>0</v>
      </c>
      <c r="H10" s="68" t="s">
        <v>5026</v>
      </c>
      <c r="I10" s="69" t="s">
        <v>5186</v>
      </c>
    </row>
    <row r="11" spans="1:9" x14ac:dyDescent="0.2">
      <c r="B11" s="68" t="s">
        <v>1238</v>
      </c>
      <c r="C11" s="68" t="s">
        <v>1239</v>
      </c>
      <c r="D11" s="68" t="s">
        <v>5164</v>
      </c>
      <c r="E11" s="68" t="s">
        <v>5162</v>
      </c>
      <c r="F11" s="68">
        <v>0</v>
      </c>
      <c r="G11" s="68">
        <v>0</v>
      </c>
      <c r="H11" s="68" t="s">
        <v>5026</v>
      </c>
      <c r="I11" s="69" t="s">
        <v>5186</v>
      </c>
    </row>
    <row r="12" spans="1:9" x14ac:dyDescent="0.2">
      <c r="B12" s="68" t="s">
        <v>1178</v>
      </c>
      <c r="C12" s="68" t="s">
        <v>4761</v>
      </c>
      <c r="D12" s="68" t="s">
        <v>995</v>
      </c>
      <c r="E12" s="68" t="s">
        <v>5162</v>
      </c>
      <c r="F12" s="68">
        <v>0</v>
      </c>
      <c r="G12" s="68">
        <v>0</v>
      </c>
      <c r="H12" s="68" t="s">
        <v>5026</v>
      </c>
      <c r="I12" s="68">
        <v>1</v>
      </c>
    </row>
    <row r="13" spans="1:9" x14ac:dyDescent="0.2">
      <c r="B13" s="68" t="s">
        <v>1202</v>
      </c>
      <c r="C13" s="68" t="s">
        <v>4762</v>
      </c>
      <c r="D13" s="68" t="s">
        <v>995</v>
      </c>
      <c r="E13" s="68" t="s">
        <v>5162</v>
      </c>
      <c r="F13" s="68">
        <v>0</v>
      </c>
      <c r="G13" s="68">
        <v>0</v>
      </c>
      <c r="H13" s="68" t="s">
        <v>5026</v>
      </c>
      <c r="I13" s="68">
        <v>1</v>
      </c>
    </row>
    <row r="14" spans="1:9" x14ac:dyDescent="0.2">
      <c r="B14" s="68" t="s">
        <v>1190</v>
      </c>
      <c r="C14" s="68" t="s">
        <v>4096</v>
      </c>
      <c r="D14" s="68" t="s">
        <v>2755</v>
      </c>
      <c r="E14" s="68" t="s">
        <v>5162</v>
      </c>
      <c r="F14" s="68">
        <v>0</v>
      </c>
      <c r="G14" s="68">
        <v>0</v>
      </c>
      <c r="H14" s="68" t="s">
        <v>5026</v>
      </c>
      <c r="I14" s="68"/>
    </row>
    <row r="15" spans="1:9" x14ac:dyDescent="0.2">
      <c r="B15" s="68" t="s">
        <v>1103</v>
      </c>
      <c r="C15" s="68" t="s">
        <v>1104</v>
      </c>
      <c r="D15" s="68" t="s">
        <v>995</v>
      </c>
      <c r="E15" s="68" t="s">
        <v>5162</v>
      </c>
      <c r="F15" s="68">
        <v>0</v>
      </c>
      <c r="G15" s="68">
        <v>0</v>
      </c>
      <c r="H15" s="68" t="s">
        <v>5026</v>
      </c>
      <c r="I15" s="68">
        <v>1</v>
      </c>
    </row>
    <row r="16" spans="1:9" x14ac:dyDescent="0.2">
      <c r="B16" s="68" t="s">
        <v>1094</v>
      </c>
      <c r="C16" s="68" t="s">
        <v>4005</v>
      </c>
      <c r="D16" s="68" t="s">
        <v>995</v>
      </c>
      <c r="E16" s="68" t="s">
        <v>5162</v>
      </c>
      <c r="F16" s="68">
        <v>0</v>
      </c>
      <c r="G16" s="68">
        <v>0</v>
      </c>
      <c r="H16" s="68" t="s">
        <v>5026</v>
      </c>
      <c r="I16" s="68">
        <v>1</v>
      </c>
    </row>
    <row r="17" spans="2:9" x14ac:dyDescent="0.2">
      <c r="B17" s="68" t="s">
        <v>2652</v>
      </c>
      <c r="C17" s="68" t="s">
        <v>4768</v>
      </c>
      <c r="D17" s="68" t="s">
        <v>2768</v>
      </c>
      <c r="E17" s="68" t="s">
        <v>5162</v>
      </c>
      <c r="F17" s="68">
        <v>0</v>
      </c>
      <c r="G17" s="68">
        <v>0</v>
      </c>
      <c r="H17" s="68" t="s">
        <v>5026</v>
      </c>
      <c r="I17" s="68">
        <v>1</v>
      </c>
    </row>
    <row r="18" spans="2:9" x14ac:dyDescent="0.2">
      <c r="B18" s="68" t="s">
        <v>2643</v>
      </c>
      <c r="C18" s="68" t="s">
        <v>4769</v>
      </c>
      <c r="D18" s="68" t="s">
        <v>2760</v>
      </c>
      <c r="E18" s="68" t="s">
        <v>5162</v>
      </c>
      <c r="F18" s="68">
        <v>0</v>
      </c>
      <c r="G18" s="68">
        <v>0</v>
      </c>
      <c r="H18" s="68" t="s">
        <v>5026</v>
      </c>
      <c r="I18" s="68">
        <v>1</v>
      </c>
    </row>
    <row r="19" spans="2:9" x14ac:dyDescent="0.2">
      <c r="B19" s="68" t="s">
        <v>2634</v>
      </c>
      <c r="C19" s="68" t="s">
        <v>4770</v>
      </c>
      <c r="D19" s="68" t="s">
        <v>2768</v>
      </c>
      <c r="E19" s="68" t="s">
        <v>5162</v>
      </c>
      <c r="F19" s="68">
        <v>0</v>
      </c>
      <c r="G19" s="68">
        <v>0</v>
      </c>
      <c r="H19" s="68" t="s">
        <v>5026</v>
      </c>
      <c r="I19" s="69">
        <v>1</v>
      </c>
    </row>
    <row r="20" spans="2:9" x14ac:dyDescent="0.2">
      <c r="B20" s="68" t="s">
        <v>1012</v>
      </c>
      <c r="C20" s="68" t="s">
        <v>4045</v>
      </c>
      <c r="D20" s="68" t="s">
        <v>5087</v>
      </c>
      <c r="E20" s="68" t="s">
        <v>5162</v>
      </c>
      <c r="F20" s="68">
        <v>0</v>
      </c>
      <c r="G20" s="68">
        <v>0</v>
      </c>
      <c r="H20" s="68" t="s">
        <v>5026</v>
      </c>
      <c r="I20" s="69">
        <v>1</v>
      </c>
    </row>
    <row r="21" spans="2:9" x14ac:dyDescent="0.2">
      <c r="B21" s="68" t="s">
        <v>1007</v>
      </c>
      <c r="C21" s="68" t="s">
        <v>4072</v>
      </c>
      <c r="D21" s="68" t="s">
        <v>995</v>
      </c>
      <c r="E21" s="68" t="s">
        <v>5162</v>
      </c>
      <c r="F21" s="68">
        <v>0</v>
      </c>
      <c r="G21" s="68">
        <v>0</v>
      </c>
      <c r="H21" s="68" t="s">
        <v>5026</v>
      </c>
      <c r="I21" s="69">
        <v>1</v>
      </c>
    </row>
    <row r="22" spans="2:9" x14ac:dyDescent="0.2">
      <c r="B22" s="68" t="s">
        <v>1706</v>
      </c>
      <c r="C22" s="68" t="s">
        <v>1707</v>
      </c>
      <c r="D22" s="68" t="s">
        <v>5165</v>
      </c>
      <c r="E22" s="68" t="s">
        <v>5162</v>
      </c>
      <c r="F22" s="68">
        <v>0</v>
      </c>
      <c r="G22" s="68">
        <v>0</v>
      </c>
      <c r="H22" s="68" t="s">
        <v>5026</v>
      </c>
      <c r="I22" s="69">
        <v>1</v>
      </c>
    </row>
    <row r="23" spans="2:9" x14ac:dyDescent="0.2">
      <c r="B23" s="68" t="s">
        <v>4746</v>
      </c>
      <c r="C23" s="68" t="s">
        <v>4788</v>
      </c>
      <c r="D23" s="68" t="s">
        <v>5165</v>
      </c>
      <c r="E23" s="68" t="s">
        <v>5162</v>
      </c>
      <c r="F23" s="68">
        <v>0</v>
      </c>
      <c r="G23" s="68">
        <v>0</v>
      </c>
      <c r="H23" s="68" t="s">
        <v>5026</v>
      </c>
      <c r="I23" s="69">
        <v>1</v>
      </c>
    </row>
    <row r="24" spans="2:9" x14ac:dyDescent="0.2">
      <c r="B24" s="68" t="s">
        <v>5166</v>
      </c>
      <c r="C24" s="68" t="s">
        <v>5167</v>
      </c>
      <c r="D24" s="68" t="s">
        <v>995</v>
      </c>
      <c r="E24" s="68" t="s">
        <v>5162</v>
      </c>
      <c r="F24" s="68">
        <v>0</v>
      </c>
      <c r="G24" s="68">
        <v>0</v>
      </c>
      <c r="H24" s="68" t="s">
        <v>5026</v>
      </c>
      <c r="I24" s="69">
        <v>1</v>
      </c>
    </row>
    <row r="25" spans="2:9" x14ac:dyDescent="0.2">
      <c r="B25" s="68" t="s">
        <v>5168</v>
      </c>
      <c r="C25" s="68" t="s">
        <v>5169</v>
      </c>
      <c r="D25" s="68" t="s">
        <v>5170</v>
      </c>
      <c r="E25" s="68" t="s">
        <v>5162</v>
      </c>
      <c r="F25" s="68">
        <v>0</v>
      </c>
      <c r="G25" s="68">
        <v>0</v>
      </c>
      <c r="H25" s="68" t="s">
        <v>5026</v>
      </c>
      <c r="I25" s="68"/>
    </row>
    <row r="26" spans="2:9" x14ac:dyDescent="0.2">
      <c r="B26" s="68" t="s">
        <v>5171</v>
      </c>
      <c r="C26" s="68" t="s">
        <v>5172</v>
      </c>
      <c r="D26" s="68" t="s">
        <v>5165</v>
      </c>
      <c r="E26" s="68" t="s">
        <v>5162</v>
      </c>
      <c r="F26" s="68">
        <v>0</v>
      </c>
      <c r="G26" s="68">
        <v>0</v>
      </c>
      <c r="H26" s="68" t="s">
        <v>5026</v>
      </c>
      <c r="I26" s="69" t="s">
        <v>5187</v>
      </c>
    </row>
    <row r="27" spans="2:9" x14ac:dyDescent="0.2">
      <c r="B27" s="68" t="s">
        <v>5173</v>
      </c>
      <c r="C27" s="68" t="s">
        <v>5174</v>
      </c>
      <c r="D27" s="68" t="s">
        <v>5175</v>
      </c>
      <c r="E27" s="68" t="s">
        <v>5162</v>
      </c>
      <c r="F27" s="68">
        <v>0</v>
      </c>
      <c r="G27" s="68">
        <v>0</v>
      </c>
      <c r="H27" s="68" t="s">
        <v>5026</v>
      </c>
      <c r="I27" s="69">
        <v>1</v>
      </c>
    </row>
    <row r="28" spans="2:9" x14ac:dyDescent="0.2">
      <c r="B28" s="68" t="s">
        <v>1128</v>
      </c>
      <c r="C28" s="68" t="s">
        <v>1129</v>
      </c>
      <c r="D28" s="68" t="s">
        <v>995</v>
      </c>
      <c r="E28" s="68" t="s">
        <v>5162</v>
      </c>
      <c r="F28" s="68">
        <v>0</v>
      </c>
      <c r="G28" s="68">
        <v>0</v>
      </c>
      <c r="H28" s="68" t="s">
        <v>5026</v>
      </c>
      <c r="I28" s="68">
        <v>1</v>
      </c>
    </row>
    <row r="29" spans="2:9" x14ac:dyDescent="0.2">
      <c r="B29" s="68" t="s">
        <v>5176</v>
      </c>
      <c r="C29" s="68" t="s">
        <v>5177</v>
      </c>
      <c r="D29" s="68" t="s">
        <v>5165</v>
      </c>
      <c r="E29" s="68" t="s">
        <v>5162</v>
      </c>
      <c r="F29" s="68">
        <v>0</v>
      </c>
      <c r="G29" s="68">
        <v>0</v>
      </c>
      <c r="H29" s="68">
        <v>0</v>
      </c>
      <c r="I29" s="69">
        <v>1</v>
      </c>
    </row>
    <row r="30" spans="2:9" x14ac:dyDescent="0.2">
      <c r="B30" s="68" t="s">
        <v>5178</v>
      </c>
      <c r="C30" s="68" t="s">
        <v>5179</v>
      </c>
      <c r="D30" s="68" t="s">
        <v>5165</v>
      </c>
      <c r="E30" s="68" t="s">
        <v>5162</v>
      </c>
      <c r="F30" s="68">
        <v>0</v>
      </c>
      <c r="G30" s="68">
        <v>0</v>
      </c>
      <c r="H30" s="68">
        <v>0</v>
      </c>
      <c r="I30" s="69" t="s">
        <v>5187</v>
      </c>
    </row>
    <row r="31" spans="2:9" x14ac:dyDescent="0.2">
      <c r="B31" s="68" t="s">
        <v>5180</v>
      </c>
      <c r="C31" s="68" t="s">
        <v>5181</v>
      </c>
      <c r="D31" s="68" t="s">
        <v>5165</v>
      </c>
      <c r="E31" s="68" t="s">
        <v>5162</v>
      </c>
      <c r="F31" s="68">
        <v>0</v>
      </c>
      <c r="G31" s="68">
        <v>0</v>
      </c>
      <c r="H31" s="68">
        <v>0</v>
      </c>
      <c r="I31" s="69" t="s">
        <v>5187</v>
      </c>
    </row>
  </sheetData>
  <hyperlinks>
    <hyperlink ref="A2" r:id="rId1" display="https://dataiku-ads-automation.euronext.com/projects/FRANCE2040CHALLANGERSA_V2/managedfolder/weoo4Tdo/view/" xr:uid="{14CAE483-0483-4871-AD9F-A782CE1643B4}"/>
    <hyperlink ref="A3" r:id="rId2" display="https://dataiku-ads-automation.euronext.com/apps/PROJECT_EMS_TEMPLATE" xr:uid="{14F1A8AC-70BE-42AF-A085-A725504D67E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17EF1-D223-4E20-8EA4-63ACF03429EF}">
  <sheetPr codeName="Sheet5"/>
  <dimension ref="A1:T240"/>
  <sheetViews>
    <sheetView topLeftCell="A6" workbookViewId="0">
      <selection activeCell="A6" sqref="A6"/>
    </sheetView>
  </sheetViews>
  <sheetFormatPr defaultRowHeight="12.75" x14ac:dyDescent="0.2"/>
  <cols>
    <col min="3" max="3" width="13.75" bestFit="1" customWidth="1"/>
    <col min="4" max="4" width="46.875" bestFit="1" customWidth="1"/>
    <col min="5" max="5" width="44" bestFit="1" customWidth="1"/>
    <col min="6" max="6" width="27.25" bestFit="1" customWidth="1"/>
    <col min="7" max="7" width="27.25" customWidth="1"/>
    <col min="8" max="8" width="46.375" bestFit="1" customWidth="1"/>
    <col min="9" max="9" width="48.375" style="39" bestFit="1" customWidth="1"/>
    <col min="10" max="10" width="48.375" bestFit="1" customWidth="1"/>
    <col min="11" max="11" width="15.25" bestFit="1" customWidth="1"/>
    <col min="13" max="13" width="9" style="68"/>
    <col min="15" max="15" width="9" style="68"/>
  </cols>
  <sheetData>
    <row r="1" spans="1:14" x14ac:dyDescent="0.2">
      <c r="F1" s="70" t="s">
        <v>5155</v>
      </c>
      <c r="G1" s="71">
        <f>COUNTA($A$8:$A$300)</f>
        <v>187</v>
      </c>
    </row>
    <row r="2" spans="1:14" x14ac:dyDescent="0.2">
      <c r="F2" s="72" t="s">
        <v>5151</v>
      </c>
      <c r="G2" s="73">
        <f>COUNTIF($F$8:$F$301,"Done")</f>
        <v>36</v>
      </c>
    </row>
    <row r="3" spans="1:14" x14ac:dyDescent="0.2">
      <c r="F3" s="72" t="s">
        <v>4726</v>
      </c>
      <c r="G3" s="73">
        <f>COUNTIF($F$8:$F$194,"")</f>
        <v>90</v>
      </c>
    </row>
    <row r="4" spans="1:14" x14ac:dyDescent="0.2">
      <c r="F4" s="72" t="s">
        <v>5153</v>
      </c>
      <c r="G4" s="73">
        <f>COUNTIF($F$8:$F$301,"Moodys")</f>
        <v>38</v>
      </c>
    </row>
    <row r="5" spans="1:14" ht="13.5" thickBot="1" x14ac:dyDescent="0.25">
      <c r="F5" s="74" t="s">
        <v>5154</v>
      </c>
      <c r="G5" s="75">
        <f>COUNTA($A$8:$A$301)-G1</f>
        <v>0</v>
      </c>
    </row>
    <row r="7" spans="1:14" ht="35.1" customHeight="1" x14ac:dyDescent="0.2">
      <c r="B7" s="42" t="s">
        <v>4716</v>
      </c>
      <c r="C7" s="42" t="s">
        <v>4797</v>
      </c>
      <c r="D7" s="42" t="s">
        <v>6</v>
      </c>
      <c r="E7" s="42" t="s">
        <v>4897</v>
      </c>
      <c r="F7" s="42" t="s">
        <v>5151</v>
      </c>
      <c r="G7" s="42" t="s">
        <v>5158</v>
      </c>
      <c r="H7" s="42" t="s">
        <v>5156</v>
      </c>
      <c r="I7" s="42" t="s">
        <v>4902</v>
      </c>
      <c r="J7" s="42" t="s">
        <v>4903</v>
      </c>
      <c r="K7" s="67" t="s">
        <v>5159</v>
      </c>
      <c r="M7"/>
      <c r="N7" s="68"/>
    </row>
    <row r="8" spans="1:14" x14ac:dyDescent="0.2">
      <c r="A8">
        <v>21</v>
      </c>
      <c r="B8" t="s">
        <v>422</v>
      </c>
      <c r="C8" s="43" t="s">
        <v>364</v>
      </c>
      <c r="D8" s="43" t="s">
        <v>423</v>
      </c>
      <c r="E8" s="43" t="s">
        <v>4804</v>
      </c>
      <c r="F8" s="43" t="s">
        <v>5151</v>
      </c>
      <c r="H8" t="b">
        <f>ISNUMBER(MATCH(B8,'Old Sheet'!$B$2:$B$305,0))</f>
        <v>1</v>
      </c>
      <c r="I8" s="43" t="s">
        <v>4798</v>
      </c>
      <c r="J8" s="43" t="s">
        <v>5023</v>
      </c>
      <c r="K8" t="b">
        <f>ISNUMBER(MATCH(B8,$O$9:$O$27,0))</f>
        <v>0</v>
      </c>
      <c r="M8"/>
      <c r="N8" s="69"/>
    </row>
    <row r="9" spans="1:14" x14ac:dyDescent="0.2">
      <c r="A9">
        <v>21</v>
      </c>
      <c r="B9" t="s">
        <v>420</v>
      </c>
      <c r="C9" s="43" t="s">
        <v>368</v>
      </c>
      <c r="D9" s="43" t="s">
        <v>421</v>
      </c>
      <c r="E9" s="43" t="s">
        <v>4804</v>
      </c>
      <c r="F9" s="43" t="s">
        <v>5151</v>
      </c>
      <c r="H9" t="b">
        <f>ISNUMBER(MATCH(B9,'Old Sheet'!$B$2:$B$305,0))</f>
        <v>1</v>
      </c>
      <c r="I9" s="43" t="s">
        <v>4798</v>
      </c>
      <c r="J9" s="43" t="s">
        <v>5023</v>
      </c>
      <c r="K9" t="b">
        <f t="shared" ref="K9:K72" si="0">ISNUMBER(MATCH(B9,$O$9:$O$27,0))</f>
        <v>0</v>
      </c>
      <c r="M9"/>
      <c r="N9" s="69"/>
    </row>
    <row r="10" spans="1:14" x14ac:dyDescent="0.2">
      <c r="A10">
        <v>21</v>
      </c>
      <c r="B10" t="s">
        <v>2734</v>
      </c>
      <c r="C10" s="43" t="s">
        <v>2731</v>
      </c>
      <c r="D10" s="43" t="s">
        <v>2735</v>
      </c>
      <c r="E10" s="43" t="s">
        <v>4804</v>
      </c>
      <c r="F10" s="43" t="s">
        <v>5151</v>
      </c>
      <c r="H10" t="b">
        <f>ISNUMBER(MATCH(B10,'Old Sheet'!$B$2:$B$305,0))</f>
        <v>1</v>
      </c>
      <c r="I10" s="43" t="s">
        <v>4798</v>
      </c>
      <c r="J10" s="43" t="s">
        <v>5023</v>
      </c>
      <c r="K10" t="b">
        <f t="shared" si="0"/>
        <v>0</v>
      </c>
      <c r="M10"/>
      <c r="N10" s="69"/>
    </row>
    <row r="11" spans="1:14" x14ac:dyDescent="0.2">
      <c r="A11">
        <v>28</v>
      </c>
      <c r="B11" t="s">
        <v>1324</v>
      </c>
      <c r="C11" s="43" t="s">
        <v>1320</v>
      </c>
      <c r="D11" s="43" t="s">
        <v>1325</v>
      </c>
      <c r="E11" s="43" t="s">
        <v>4805</v>
      </c>
      <c r="F11" t="s">
        <v>5151</v>
      </c>
      <c r="H11" t="b">
        <f>ISNUMBER(MATCH(B11,'Old Sheet'!$B$2:$B$305,0))</f>
        <v>1</v>
      </c>
      <c r="I11" s="43" t="s">
        <v>4798</v>
      </c>
      <c r="J11" s="43" t="s">
        <v>5023</v>
      </c>
      <c r="K11" t="b">
        <f t="shared" si="0"/>
        <v>0</v>
      </c>
      <c r="M11"/>
      <c r="N11" s="69"/>
    </row>
    <row r="12" spans="1:14" x14ac:dyDescent="0.2">
      <c r="A12">
        <v>29</v>
      </c>
      <c r="B12" t="s">
        <v>2722</v>
      </c>
      <c r="C12" s="43" t="s">
        <v>2718</v>
      </c>
      <c r="D12" s="43" t="s">
        <v>2723</v>
      </c>
      <c r="E12" s="43" t="s">
        <v>4806</v>
      </c>
      <c r="F12" s="77" t="s">
        <v>5151</v>
      </c>
      <c r="H12" t="b">
        <f>ISNUMBER(MATCH(B12,'Old Sheet'!$B$2:$B$305,0))</f>
        <v>1</v>
      </c>
      <c r="I12" s="43" t="s">
        <v>4798</v>
      </c>
      <c r="J12" s="43" t="s">
        <v>5023</v>
      </c>
      <c r="K12" t="b">
        <f t="shared" si="0"/>
        <v>0</v>
      </c>
      <c r="M12"/>
      <c r="N12" s="69"/>
    </row>
    <row r="13" spans="1:14" x14ac:dyDescent="0.2">
      <c r="A13">
        <v>32</v>
      </c>
      <c r="B13" t="s">
        <v>2694</v>
      </c>
      <c r="C13" s="43" t="s">
        <v>2690</v>
      </c>
      <c r="D13" s="43" t="s">
        <v>2695</v>
      </c>
      <c r="E13" s="43" t="s">
        <v>4807</v>
      </c>
      <c r="F13" s="43" t="s">
        <v>5152</v>
      </c>
      <c r="H13" t="b">
        <f>ISNUMBER(MATCH(B13,'Old Sheet'!$B$2:$B$305,0))</f>
        <v>1</v>
      </c>
      <c r="I13" s="43" t="s">
        <v>4798</v>
      </c>
      <c r="J13" s="43" t="s">
        <v>5023</v>
      </c>
      <c r="K13" t="b">
        <f t="shared" si="0"/>
        <v>0</v>
      </c>
      <c r="M13"/>
      <c r="N13" s="69"/>
    </row>
    <row r="14" spans="1:14" x14ac:dyDescent="0.2">
      <c r="A14">
        <v>33</v>
      </c>
      <c r="B14" t="s">
        <v>1292</v>
      </c>
      <c r="C14" s="43" t="s">
        <v>1255</v>
      </c>
      <c r="D14" s="43" t="s">
        <v>1293</v>
      </c>
      <c r="E14" s="43" t="s">
        <v>4809</v>
      </c>
      <c r="F14" s="43"/>
      <c r="G14" s="43"/>
      <c r="H14" t="b">
        <f>ISNUMBER(MATCH(B14,'Old Sheet'!$B$2:$B$305,0))</f>
        <v>1</v>
      </c>
      <c r="I14" s="43" t="s">
        <v>4798</v>
      </c>
      <c r="J14" s="43" t="s">
        <v>5023</v>
      </c>
      <c r="K14" t="b">
        <f t="shared" si="0"/>
        <v>0</v>
      </c>
      <c r="M14"/>
      <c r="N14" s="69"/>
    </row>
    <row r="15" spans="1:14" x14ac:dyDescent="0.2">
      <c r="A15">
        <v>33</v>
      </c>
      <c r="B15" t="s">
        <v>1238</v>
      </c>
      <c r="C15" s="43" t="s">
        <v>1234</v>
      </c>
      <c r="D15" s="43" t="s">
        <v>1239</v>
      </c>
      <c r="E15" s="43" t="s">
        <v>4809</v>
      </c>
      <c r="H15" t="b">
        <f>ISNUMBER(MATCH(B15,'Old Sheet'!$B$2:$B$305,0))</f>
        <v>1</v>
      </c>
      <c r="I15" s="43" t="s">
        <v>4798</v>
      </c>
      <c r="J15" s="43" t="s">
        <v>5023</v>
      </c>
      <c r="K15" t="b">
        <f t="shared" si="0"/>
        <v>0</v>
      </c>
      <c r="M15"/>
      <c r="N15" s="69"/>
    </row>
    <row r="16" spans="1:14" x14ac:dyDescent="0.2">
      <c r="A16">
        <v>33</v>
      </c>
      <c r="B16" t="s">
        <v>1040</v>
      </c>
      <c r="C16" s="43" t="s">
        <v>1036</v>
      </c>
      <c r="D16" s="43" t="s">
        <v>4760</v>
      </c>
      <c r="E16" s="43" t="s">
        <v>4809</v>
      </c>
      <c r="F16" s="43" t="s">
        <v>5152</v>
      </c>
      <c r="G16" s="43"/>
      <c r="H16" t="b">
        <f>ISNUMBER(MATCH(B16,'Old Sheet'!$B$2:$B$305,0))</f>
        <v>1</v>
      </c>
      <c r="I16" s="43" t="s">
        <v>4798</v>
      </c>
      <c r="J16" s="43" t="s">
        <v>5023</v>
      </c>
      <c r="K16" t="b">
        <f t="shared" si="0"/>
        <v>0</v>
      </c>
      <c r="M16"/>
      <c r="N16" s="69"/>
    </row>
    <row r="17" spans="1:15" x14ac:dyDescent="0.2">
      <c r="A17">
        <v>38</v>
      </c>
      <c r="B17" t="s">
        <v>1263</v>
      </c>
      <c r="C17" s="43" t="s">
        <v>1259</v>
      </c>
      <c r="D17" s="43" t="s">
        <v>4622</v>
      </c>
      <c r="E17" s="43" t="s">
        <v>4810</v>
      </c>
      <c r="H17" t="b">
        <f>ISNUMBER(MATCH(B17,'Old Sheet'!$B$2:$B$305,0))</f>
        <v>0</v>
      </c>
      <c r="I17" s="43" t="s">
        <v>4798</v>
      </c>
      <c r="J17" s="43" t="s">
        <v>5023</v>
      </c>
      <c r="K17" t="b">
        <f t="shared" si="0"/>
        <v>0</v>
      </c>
      <c r="M17"/>
      <c r="N17" s="69"/>
    </row>
    <row r="18" spans="1:15" x14ac:dyDescent="0.2">
      <c r="A18">
        <v>40</v>
      </c>
      <c r="B18" t="s">
        <v>1211</v>
      </c>
      <c r="C18" s="43" t="s">
        <v>1207</v>
      </c>
      <c r="D18" s="43" t="s">
        <v>1212</v>
      </c>
      <c r="E18" s="43" t="s">
        <v>4811</v>
      </c>
      <c r="H18" t="b">
        <f>ISNUMBER(MATCH(B18,'Old Sheet'!$B$2:$B$305,0))</f>
        <v>1</v>
      </c>
      <c r="I18" s="43" t="s">
        <v>4798</v>
      </c>
      <c r="J18" s="43" t="s">
        <v>5023</v>
      </c>
      <c r="K18" t="b">
        <f t="shared" si="0"/>
        <v>0</v>
      </c>
      <c r="M18"/>
      <c r="N18" s="69"/>
    </row>
    <row r="19" spans="1:15" ht="14.25" x14ac:dyDescent="0.2">
      <c r="A19">
        <v>41</v>
      </c>
      <c r="B19" t="s">
        <v>1178</v>
      </c>
      <c r="C19" s="43" t="s">
        <v>1175</v>
      </c>
      <c r="D19" s="43" t="s">
        <v>4761</v>
      </c>
      <c r="E19" s="43" t="s">
        <v>4813</v>
      </c>
      <c r="H19" t="b">
        <f>ISNUMBER(MATCH(B19,'Old Sheet'!$B$2:$B$305,0))</f>
        <v>1</v>
      </c>
      <c r="I19" s="43" t="s">
        <v>4798</v>
      </c>
      <c r="J19" s="43" t="s">
        <v>5023</v>
      </c>
      <c r="K19" t="b">
        <f t="shared" si="0"/>
        <v>0</v>
      </c>
      <c r="M19"/>
      <c r="N19" s="69"/>
      <c r="O19" s="80"/>
    </row>
    <row r="20" spans="1:15" x14ac:dyDescent="0.2">
      <c r="A20">
        <v>43</v>
      </c>
      <c r="B20" t="s">
        <v>1202</v>
      </c>
      <c r="C20" s="43" t="s">
        <v>1199</v>
      </c>
      <c r="D20" s="43" t="s">
        <v>4762</v>
      </c>
      <c r="E20" s="43" t="s">
        <v>4815</v>
      </c>
      <c r="H20" t="b">
        <f>ISNUMBER(MATCH(B20,'Old Sheet'!$B$2:$B$305,0))</f>
        <v>0</v>
      </c>
      <c r="I20" s="43" t="s">
        <v>4798</v>
      </c>
      <c r="J20" s="43" t="s">
        <v>5023</v>
      </c>
      <c r="K20" t="b">
        <f t="shared" si="0"/>
        <v>0</v>
      </c>
      <c r="M20"/>
      <c r="N20" s="69"/>
    </row>
    <row r="21" spans="1:15" x14ac:dyDescent="0.2">
      <c r="A21">
        <v>47</v>
      </c>
      <c r="B21" t="s">
        <v>1142</v>
      </c>
      <c r="C21" s="43" t="s">
        <v>1138</v>
      </c>
      <c r="D21" s="43" t="s">
        <v>4763</v>
      </c>
      <c r="E21" s="43" t="s">
        <v>4816</v>
      </c>
      <c r="F21" s="43" t="s">
        <v>5152</v>
      </c>
      <c r="G21" s="43"/>
      <c r="H21" t="b">
        <f>ISNUMBER(MATCH(B21,'Old Sheet'!$B$2:$B$305,0))</f>
        <v>1</v>
      </c>
      <c r="I21" s="43" t="s">
        <v>4798</v>
      </c>
      <c r="J21" s="43" t="s">
        <v>5023</v>
      </c>
      <c r="K21" t="b">
        <f t="shared" si="0"/>
        <v>0</v>
      </c>
      <c r="M21"/>
      <c r="N21" s="69"/>
    </row>
    <row r="22" spans="1:15" x14ac:dyDescent="0.2">
      <c r="A22">
        <v>48</v>
      </c>
      <c r="B22" t="s">
        <v>1154</v>
      </c>
      <c r="C22" s="43" t="s">
        <v>1151</v>
      </c>
      <c r="D22" s="43" t="s">
        <v>4764</v>
      </c>
      <c r="E22" s="43" t="s">
        <v>4817</v>
      </c>
      <c r="F22" s="43" t="s">
        <v>5152</v>
      </c>
      <c r="G22" s="43"/>
      <c r="H22" t="b">
        <f>ISNUMBER(MATCH(B22,'Old Sheet'!$B$2:$B$305,0))</f>
        <v>0</v>
      </c>
      <c r="I22" s="43" t="s">
        <v>4890</v>
      </c>
      <c r="J22" s="43" t="s">
        <v>5023</v>
      </c>
      <c r="K22" t="b">
        <f t="shared" si="0"/>
        <v>0</v>
      </c>
      <c r="M22"/>
      <c r="N22" s="69"/>
    </row>
    <row r="23" spans="1:15" x14ac:dyDescent="0.2">
      <c r="A23">
        <v>49</v>
      </c>
      <c r="B23" t="s">
        <v>1166</v>
      </c>
      <c r="C23" s="43" t="s">
        <v>1163</v>
      </c>
      <c r="D23" s="43" t="s">
        <v>4765</v>
      </c>
      <c r="E23" s="43" t="s">
        <v>4819</v>
      </c>
      <c r="F23" s="43" t="s">
        <v>5152</v>
      </c>
      <c r="G23" s="43"/>
      <c r="H23" t="b">
        <f>ISNUMBER(MATCH(B23,'Old Sheet'!$B$2:$B$305,0))</f>
        <v>1</v>
      </c>
      <c r="I23" s="43" t="s">
        <v>4798</v>
      </c>
      <c r="J23" s="43" t="s">
        <v>5023</v>
      </c>
      <c r="K23" t="b">
        <f t="shared" si="0"/>
        <v>0</v>
      </c>
      <c r="M23"/>
      <c r="N23" s="69"/>
    </row>
    <row r="24" spans="1:15" x14ac:dyDescent="0.2">
      <c r="A24">
        <v>50</v>
      </c>
      <c r="B24" t="s">
        <v>2667</v>
      </c>
      <c r="C24" s="43" t="s">
        <v>2664</v>
      </c>
      <c r="D24" s="43" t="s">
        <v>3950</v>
      </c>
      <c r="E24" s="43" t="s">
        <v>4820</v>
      </c>
      <c r="F24" s="43" t="s">
        <v>5152</v>
      </c>
      <c r="G24" s="43"/>
      <c r="H24" t="b">
        <f>ISNUMBER(MATCH(B24,'Old Sheet'!$B$2:$B$305,0))</f>
        <v>0</v>
      </c>
      <c r="I24" s="43" t="s">
        <v>4798</v>
      </c>
      <c r="J24" s="43" t="s">
        <v>5023</v>
      </c>
      <c r="K24" t="b">
        <f t="shared" si="0"/>
        <v>0</v>
      </c>
      <c r="M24"/>
      <c r="N24" s="69"/>
    </row>
    <row r="25" spans="1:15" x14ac:dyDescent="0.2">
      <c r="A25">
        <v>51</v>
      </c>
      <c r="B25" t="s">
        <v>2679</v>
      </c>
      <c r="C25" s="43" t="s">
        <v>2676</v>
      </c>
      <c r="D25" s="43" t="s">
        <v>4766</v>
      </c>
      <c r="E25" s="43" t="s">
        <v>4821</v>
      </c>
      <c r="F25" s="43" t="s">
        <v>5152</v>
      </c>
      <c r="G25" s="43"/>
      <c r="H25" t="b">
        <f>ISNUMBER(MATCH(B25,'Old Sheet'!$B$2:$B$305,0))</f>
        <v>1</v>
      </c>
      <c r="I25" s="43" t="s">
        <v>4798</v>
      </c>
      <c r="J25" s="43" t="s">
        <v>5023</v>
      </c>
      <c r="K25" t="b">
        <f t="shared" si="0"/>
        <v>0</v>
      </c>
      <c r="M25"/>
      <c r="N25" s="69"/>
    </row>
    <row r="26" spans="1:15" x14ac:dyDescent="0.2">
      <c r="A26">
        <v>52</v>
      </c>
      <c r="B26" t="s">
        <v>1250</v>
      </c>
      <c r="C26" s="43" t="s">
        <v>1246</v>
      </c>
      <c r="D26" s="43" t="s">
        <v>1251</v>
      </c>
      <c r="E26" s="43" t="s">
        <v>4822</v>
      </c>
      <c r="F26" s="43" t="s">
        <v>5152</v>
      </c>
      <c r="G26" s="43"/>
      <c r="H26" t="b">
        <f>ISNUMBER(MATCH(B26,'Old Sheet'!$B$2:$B$305,0))</f>
        <v>1</v>
      </c>
      <c r="I26" s="43" t="s">
        <v>4798</v>
      </c>
      <c r="J26" s="43" t="s">
        <v>5023</v>
      </c>
      <c r="K26" t="b">
        <f t="shared" si="0"/>
        <v>0</v>
      </c>
      <c r="M26"/>
      <c r="N26" s="69"/>
    </row>
    <row r="27" spans="1:15" x14ac:dyDescent="0.2">
      <c r="A27">
        <v>56</v>
      </c>
      <c r="B27" t="s">
        <v>1103</v>
      </c>
      <c r="C27" s="43" t="s">
        <v>1099</v>
      </c>
      <c r="D27" s="43" t="s">
        <v>1104</v>
      </c>
      <c r="E27" s="43" t="s">
        <v>4824</v>
      </c>
      <c r="F27" s="43"/>
      <c r="G27" s="43"/>
      <c r="H27" t="b">
        <f>ISNUMBER(MATCH(B27,'Old Sheet'!$B$2:$B$305,0))</f>
        <v>1</v>
      </c>
      <c r="I27" s="43" t="s">
        <v>4798</v>
      </c>
      <c r="J27" s="43" t="s">
        <v>5023</v>
      </c>
      <c r="K27" t="b">
        <f t="shared" si="0"/>
        <v>0</v>
      </c>
      <c r="M27"/>
      <c r="N27" s="69"/>
    </row>
    <row r="28" spans="1:15" x14ac:dyDescent="0.2">
      <c r="A28">
        <v>56</v>
      </c>
      <c r="B28" t="s">
        <v>1094</v>
      </c>
      <c r="C28" s="43" t="s">
        <v>1090</v>
      </c>
      <c r="D28" s="43" t="s">
        <v>4005</v>
      </c>
      <c r="E28" s="43" t="s">
        <v>4824</v>
      </c>
      <c r="H28" t="b">
        <f>ISNUMBER(MATCH(B28,'Old Sheet'!$B$2:$B$305,0))</f>
        <v>1</v>
      </c>
      <c r="I28" s="43" t="s">
        <v>4798</v>
      </c>
      <c r="J28" s="43" t="s">
        <v>5023</v>
      </c>
      <c r="K28" t="b">
        <f t="shared" si="0"/>
        <v>0</v>
      </c>
      <c r="M28"/>
      <c r="N28" s="69"/>
    </row>
    <row r="29" spans="1:15" x14ac:dyDescent="0.2">
      <c r="A29">
        <v>58</v>
      </c>
      <c r="B29" t="s">
        <v>1085</v>
      </c>
      <c r="C29" s="43" t="s">
        <v>1081</v>
      </c>
      <c r="D29" s="43" t="s">
        <v>4767</v>
      </c>
      <c r="E29" s="43" t="s">
        <v>4826</v>
      </c>
      <c r="H29" t="b">
        <f>ISNUMBER(MATCH(B29,'Old Sheet'!$B$2:$B$305,0))</f>
        <v>1</v>
      </c>
      <c r="I29" s="43" t="s">
        <v>4798</v>
      </c>
      <c r="J29" s="43" t="s">
        <v>5023</v>
      </c>
      <c r="K29" t="b">
        <f t="shared" si="0"/>
        <v>0</v>
      </c>
      <c r="M29"/>
      <c r="N29" s="69"/>
    </row>
    <row r="30" spans="1:15" x14ac:dyDescent="0.2">
      <c r="A30">
        <v>59</v>
      </c>
      <c r="B30" t="s">
        <v>1067</v>
      </c>
      <c r="C30" s="43" t="s">
        <v>1063</v>
      </c>
      <c r="D30" s="43" t="s">
        <v>1068</v>
      </c>
      <c r="E30" s="43" t="s">
        <v>4827</v>
      </c>
      <c r="F30" s="43" t="s">
        <v>5152</v>
      </c>
      <c r="G30" s="43"/>
      <c r="H30" t="b">
        <f>ISNUMBER(MATCH(B30,'Old Sheet'!$B$2:$B$305,0))</f>
        <v>1</v>
      </c>
      <c r="I30" s="43" t="s">
        <v>4798</v>
      </c>
      <c r="J30" s="43" t="s">
        <v>5023</v>
      </c>
      <c r="K30" t="b">
        <f t="shared" si="0"/>
        <v>0</v>
      </c>
      <c r="M30"/>
      <c r="N30" s="69"/>
    </row>
    <row r="31" spans="1:15" x14ac:dyDescent="0.2">
      <c r="A31">
        <v>62</v>
      </c>
      <c r="B31" t="s">
        <v>2652</v>
      </c>
      <c r="C31" s="43" t="s">
        <v>2648</v>
      </c>
      <c r="D31" s="43" t="s">
        <v>4768</v>
      </c>
      <c r="E31" s="43" t="s">
        <v>4828</v>
      </c>
      <c r="H31" t="b">
        <f>ISNUMBER(MATCH(B31,'Old Sheet'!$B$2:$B$305,0))</f>
        <v>1</v>
      </c>
      <c r="I31" s="43" t="s">
        <v>4798</v>
      </c>
      <c r="J31" s="43" t="s">
        <v>5023</v>
      </c>
      <c r="K31" t="b">
        <f t="shared" si="0"/>
        <v>0</v>
      </c>
      <c r="M31"/>
      <c r="N31" s="69"/>
    </row>
    <row r="32" spans="1:15" x14ac:dyDescent="0.2">
      <c r="A32">
        <v>63</v>
      </c>
      <c r="B32" t="s">
        <v>2643</v>
      </c>
      <c r="C32" s="43" t="s">
        <v>2639</v>
      </c>
      <c r="D32" s="43" t="s">
        <v>4769</v>
      </c>
      <c r="E32" s="43" t="s">
        <v>4829</v>
      </c>
      <c r="H32" t="b">
        <f>ISNUMBER(MATCH(B32,'Old Sheet'!$B$2:$B$305,0))</f>
        <v>1</v>
      </c>
      <c r="I32" s="43" t="s">
        <v>4798</v>
      </c>
      <c r="J32" s="43" t="s">
        <v>5023</v>
      </c>
      <c r="K32" t="b">
        <f t="shared" si="0"/>
        <v>0</v>
      </c>
      <c r="M32"/>
      <c r="N32" s="69"/>
    </row>
    <row r="33" spans="1:14" x14ac:dyDescent="0.2">
      <c r="A33">
        <v>64</v>
      </c>
      <c r="B33" t="s">
        <v>2634</v>
      </c>
      <c r="C33" s="43" t="s">
        <v>2630</v>
      </c>
      <c r="D33" s="43" t="s">
        <v>4770</v>
      </c>
      <c r="E33" s="43" t="s">
        <v>4830</v>
      </c>
      <c r="H33" t="b">
        <f>ISNUMBER(MATCH(B33,'Old Sheet'!$B$2:$B$305,0))</f>
        <v>1</v>
      </c>
      <c r="I33" s="43" t="s">
        <v>4798</v>
      </c>
      <c r="J33" s="43" t="s">
        <v>5023</v>
      </c>
      <c r="K33" t="b">
        <f t="shared" si="0"/>
        <v>0</v>
      </c>
      <c r="M33"/>
      <c r="N33" s="69"/>
    </row>
    <row r="34" spans="1:14" x14ac:dyDescent="0.2">
      <c r="A34">
        <v>65</v>
      </c>
      <c r="B34" t="s">
        <v>1031</v>
      </c>
      <c r="C34" s="43" t="s">
        <v>1028</v>
      </c>
      <c r="D34" s="43" t="s">
        <v>4081</v>
      </c>
      <c r="E34" s="43" t="s">
        <v>4831</v>
      </c>
      <c r="H34" t="b">
        <f>ISNUMBER(MATCH(B34,'Old Sheet'!$B$2:$B$305,0))</f>
        <v>1</v>
      </c>
      <c r="I34" s="43" t="s">
        <v>4798</v>
      </c>
      <c r="J34" s="43" t="s">
        <v>5023</v>
      </c>
      <c r="K34" t="b">
        <f t="shared" si="0"/>
        <v>0</v>
      </c>
      <c r="M34"/>
      <c r="N34" s="69"/>
    </row>
    <row r="35" spans="1:14" x14ac:dyDescent="0.2">
      <c r="A35">
        <v>66</v>
      </c>
      <c r="B35" t="s">
        <v>2625</v>
      </c>
      <c r="C35" s="43" t="s">
        <v>2621</v>
      </c>
      <c r="D35" s="43" t="s">
        <v>2626</v>
      </c>
      <c r="E35" s="43" t="s">
        <v>4832</v>
      </c>
      <c r="F35" s="43" t="s">
        <v>5152</v>
      </c>
      <c r="G35" s="43"/>
      <c r="H35" t="b">
        <f>ISNUMBER(MATCH(B35,'Old Sheet'!$B$2:$B$305,0))</f>
        <v>1</v>
      </c>
      <c r="I35" s="43" t="s">
        <v>4798</v>
      </c>
      <c r="J35" s="43" t="s">
        <v>5023</v>
      </c>
      <c r="K35" t="b">
        <f t="shared" si="0"/>
        <v>0</v>
      </c>
      <c r="M35"/>
      <c r="N35" s="69"/>
    </row>
    <row r="36" spans="1:14" x14ac:dyDescent="0.2">
      <c r="A36">
        <v>67</v>
      </c>
      <c r="B36" t="s">
        <v>2607</v>
      </c>
      <c r="C36" s="43" t="s">
        <v>2603</v>
      </c>
      <c r="D36" s="43" t="s">
        <v>4771</v>
      </c>
      <c r="E36" s="43" t="s">
        <v>4834</v>
      </c>
      <c r="H36" t="b">
        <f>ISNUMBER(MATCH(B36,'Old Sheet'!$B$2:$B$305,0))</f>
        <v>1</v>
      </c>
      <c r="I36" s="43" t="s">
        <v>4798</v>
      </c>
      <c r="J36" s="43" t="s">
        <v>5023</v>
      </c>
      <c r="K36" t="b">
        <f t="shared" si="0"/>
        <v>0</v>
      </c>
      <c r="M36"/>
      <c r="N36" s="69"/>
    </row>
    <row r="37" spans="1:14" x14ac:dyDescent="0.2">
      <c r="A37">
        <v>68</v>
      </c>
      <c r="B37" t="s">
        <v>2616</v>
      </c>
      <c r="C37" s="43" t="s">
        <v>2612</v>
      </c>
      <c r="D37" s="43" t="s">
        <v>4047</v>
      </c>
      <c r="E37" s="43" t="s">
        <v>4835</v>
      </c>
      <c r="F37" t="s">
        <v>5151</v>
      </c>
      <c r="H37" t="b">
        <f>ISNUMBER(MATCH(B37,'Old Sheet'!$B$2:$B$305,0))</f>
        <v>1</v>
      </c>
      <c r="I37" s="43" t="s">
        <v>4798</v>
      </c>
      <c r="J37" s="43" t="s">
        <v>5023</v>
      </c>
      <c r="K37" t="b">
        <f t="shared" si="0"/>
        <v>0</v>
      </c>
      <c r="M37"/>
      <c r="N37" s="69"/>
    </row>
    <row r="38" spans="1:14" x14ac:dyDescent="0.2">
      <c r="A38">
        <v>69</v>
      </c>
      <c r="B38" t="s">
        <v>1012</v>
      </c>
      <c r="C38" s="43" t="s">
        <v>1011</v>
      </c>
      <c r="D38" s="43" t="s">
        <v>4045</v>
      </c>
      <c r="E38" s="43" t="s">
        <v>4836</v>
      </c>
      <c r="H38" t="b">
        <f>ISNUMBER(MATCH(B38,'Old Sheet'!$B$2:$B$305,0))</f>
        <v>1</v>
      </c>
      <c r="I38" s="43" t="s">
        <v>4798</v>
      </c>
      <c r="J38" s="43" t="s">
        <v>5023</v>
      </c>
      <c r="K38" t="b">
        <f t="shared" si="0"/>
        <v>0</v>
      </c>
      <c r="M38"/>
      <c r="N38" s="69"/>
    </row>
    <row r="39" spans="1:14" x14ac:dyDescent="0.2">
      <c r="A39">
        <v>70</v>
      </c>
      <c r="B39" t="s">
        <v>1007</v>
      </c>
      <c r="C39" s="43" t="s">
        <v>1006</v>
      </c>
      <c r="D39" s="43" t="s">
        <v>4072</v>
      </c>
      <c r="E39" s="43" t="s">
        <v>4837</v>
      </c>
      <c r="H39" t="b">
        <f>ISNUMBER(MATCH(B39,'Old Sheet'!$B$2:$B$305,0))</f>
        <v>1</v>
      </c>
      <c r="I39" s="43" t="s">
        <v>4798</v>
      </c>
      <c r="J39" s="43" t="s">
        <v>5023</v>
      </c>
      <c r="K39" t="b">
        <f t="shared" si="0"/>
        <v>0</v>
      </c>
      <c r="M39"/>
      <c r="N39" s="69"/>
    </row>
    <row r="40" spans="1:14" x14ac:dyDescent="0.2">
      <c r="A40">
        <v>75</v>
      </c>
      <c r="B40" t="s">
        <v>984</v>
      </c>
      <c r="C40" s="43" t="s">
        <v>983</v>
      </c>
      <c r="D40" s="43" t="s">
        <v>985</v>
      </c>
      <c r="E40" s="43" t="s">
        <v>4838</v>
      </c>
      <c r="H40" t="b">
        <f>ISNUMBER(MATCH(B40,'Old Sheet'!$B$2:$B$305,0))</f>
        <v>1</v>
      </c>
      <c r="I40" s="43" t="s">
        <v>4798</v>
      </c>
      <c r="J40" s="43" t="s">
        <v>5023</v>
      </c>
      <c r="K40" t="b">
        <f t="shared" si="0"/>
        <v>0</v>
      </c>
      <c r="M40"/>
      <c r="N40" s="69"/>
    </row>
    <row r="41" spans="1:14" x14ac:dyDescent="0.2">
      <c r="A41">
        <v>76</v>
      </c>
      <c r="B41" t="s">
        <v>979</v>
      </c>
      <c r="C41" s="43" t="s">
        <v>978</v>
      </c>
      <c r="D41" s="43" t="s">
        <v>980</v>
      </c>
      <c r="E41" s="43" t="s">
        <v>4839</v>
      </c>
      <c r="H41" t="b">
        <f>ISNUMBER(MATCH(B41,'Old Sheet'!$B$2:$B$305,0))</f>
        <v>1</v>
      </c>
      <c r="I41" s="43" t="s">
        <v>4798</v>
      </c>
      <c r="J41" s="43" t="s">
        <v>5023</v>
      </c>
      <c r="K41" t="b">
        <f t="shared" si="0"/>
        <v>0</v>
      </c>
      <c r="M41"/>
      <c r="N41" s="69"/>
    </row>
    <row r="42" spans="1:14" x14ac:dyDescent="0.2">
      <c r="A42">
        <v>79</v>
      </c>
      <c r="B42" t="s">
        <v>962</v>
      </c>
      <c r="C42" s="43" t="s">
        <v>959</v>
      </c>
      <c r="D42" s="43" t="s">
        <v>4077</v>
      </c>
      <c r="E42" s="43" t="s">
        <v>3969</v>
      </c>
      <c r="F42" s="43" t="s">
        <v>5152</v>
      </c>
      <c r="G42" s="43"/>
      <c r="H42" t="b">
        <f>ISNUMBER(MATCH(B42,'Old Sheet'!$B$2:$B$305,0))</f>
        <v>0</v>
      </c>
      <c r="I42" s="43" t="s">
        <v>4798</v>
      </c>
      <c r="J42" s="43" t="s">
        <v>5023</v>
      </c>
      <c r="K42" t="b">
        <f t="shared" si="0"/>
        <v>0</v>
      </c>
      <c r="M42"/>
      <c r="N42" s="69"/>
    </row>
    <row r="43" spans="1:14" x14ac:dyDescent="0.2">
      <c r="A43">
        <v>80</v>
      </c>
      <c r="B43" t="s">
        <v>970</v>
      </c>
      <c r="C43" s="43" t="s">
        <v>969</v>
      </c>
      <c r="D43" s="43" t="s">
        <v>4590</v>
      </c>
      <c r="E43" s="43" t="s">
        <v>4841</v>
      </c>
      <c r="F43" s="43" t="s">
        <v>5152</v>
      </c>
      <c r="G43" s="43"/>
      <c r="H43" t="b">
        <f>ISNUMBER(MATCH(B43,'Old Sheet'!$B$2:$B$305,0))</f>
        <v>0</v>
      </c>
      <c r="I43" s="43" t="s">
        <v>4798</v>
      </c>
      <c r="J43" s="43" t="s">
        <v>5023</v>
      </c>
      <c r="K43" t="b">
        <f t="shared" si="0"/>
        <v>0</v>
      </c>
      <c r="M43"/>
      <c r="N43" s="69"/>
    </row>
    <row r="44" spans="1:14" x14ac:dyDescent="0.2">
      <c r="A44">
        <v>81</v>
      </c>
      <c r="B44" t="s">
        <v>948</v>
      </c>
      <c r="C44" s="43" t="s">
        <v>947</v>
      </c>
      <c r="D44" s="43" t="s">
        <v>4772</v>
      </c>
      <c r="E44" s="43" t="s">
        <v>4772</v>
      </c>
      <c r="F44" s="43" t="s">
        <v>5152</v>
      </c>
      <c r="G44" s="43"/>
      <c r="H44" t="b">
        <f>ISNUMBER(MATCH(B44,'Old Sheet'!$B$2:$B$305,0))</f>
        <v>1</v>
      </c>
      <c r="I44" s="43" t="s">
        <v>4798</v>
      </c>
      <c r="J44" s="43" t="s">
        <v>5023</v>
      </c>
      <c r="K44" t="b">
        <f t="shared" si="0"/>
        <v>0</v>
      </c>
      <c r="M44"/>
      <c r="N44" s="69"/>
    </row>
    <row r="45" spans="1:14" x14ac:dyDescent="0.2">
      <c r="A45">
        <v>82</v>
      </c>
      <c r="B45" t="s">
        <v>965</v>
      </c>
      <c r="C45" s="43" t="s">
        <v>964</v>
      </c>
      <c r="D45" s="43" t="s">
        <v>4773</v>
      </c>
      <c r="E45" s="43" t="s">
        <v>4773</v>
      </c>
      <c r="F45" s="76" t="s">
        <v>5157</v>
      </c>
      <c r="G45" s="76"/>
      <c r="H45" t="b">
        <f>ISNUMBER(MATCH(B45,'Old Sheet'!$B$2:$B$305,0))</f>
        <v>0</v>
      </c>
      <c r="I45" s="43" t="s">
        <v>4891</v>
      </c>
      <c r="J45" s="43" t="s">
        <v>5033</v>
      </c>
      <c r="K45" t="b">
        <f t="shared" si="0"/>
        <v>0</v>
      </c>
      <c r="M45"/>
      <c r="N45" s="69"/>
    </row>
    <row r="46" spans="1:14" x14ac:dyDescent="0.2">
      <c r="A46">
        <v>83</v>
      </c>
      <c r="B46" t="s">
        <v>2589</v>
      </c>
      <c r="C46" s="43" t="s">
        <v>2585</v>
      </c>
      <c r="D46" s="43" t="s">
        <v>4122</v>
      </c>
      <c r="E46" s="43" t="s">
        <v>4842</v>
      </c>
      <c r="F46" s="43" t="s">
        <v>5152</v>
      </c>
      <c r="G46" s="43"/>
      <c r="H46" t="b">
        <f>ISNUMBER(MATCH(B46,'Old Sheet'!$B$2:$B$305,0))</f>
        <v>0</v>
      </c>
      <c r="I46" s="43" t="s">
        <v>4798</v>
      </c>
      <c r="J46" s="43" t="s">
        <v>5023</v>
      </c>
      <c r="K46" t="b">
        <f t="shared" si="0"/>
        <v>0</v>
      </c>
      <c r="M46"/>
      <c r="N46" s="69"/>
    </row>
    <row r="47" spans="1:14" x14ac:dyDescent="0.2">
      <c r="A47">
        <v>84</v>
      </c>
      <c r="B47" t="s">
        <v>2580</v>
      </c>
      <c r="C47" s="43" t="s">
        <v>2576</v>
      </c>
      <c r="D47" s="43" t="s">
        <v>4774</v>
      </c>
      <c r="E47" s="43" t="s">
        <v>4843</v>
      </c>
      <c r="F47" s="43" t="s">
        <v>5152</v>
      </c>
      <c r="G47" s="43"/>
      <c r="H47" t="b">
        <f>ISNUMBER(MATCH(B47,'Old Sheet'!$B$2:$B$305,0))</f>
        <v>1</v>
      </c>
      <c r="I47" s="43" t="s">
        <v>4798</v>
      </c>
      <c r="J47" s="43" t="s">
        <v>5023</v>
      </c>
      <c r="K47" t="b">
        <f t="shared" si="0"/>
        <v>0</v>
      </c>
      <c r="M47"/>
      <c r="N47" s="69"/>
    </row>
    <row r="48" spans="1:14" x14ac:dyDescent="0.2">
      <c r="A48">
        <v>85</v>
      </c>
      <c r="B48" t="s">
        <v>2553</v>
      </c>
      <c r="C48" s="43" t="s">
        <v>2549</v>
      </c>
      <c r="D48" s="43" t="s">
        <v>4591</v>
      </c>
      <c r="E48" s="43" t="s">
        <v>4117</v>
      </c>
      <c r="F48" s="43" t="s">
        <v>5152</v>
      </c>
      <c r="G48" s="43"/>
      <c r="H48" t="b">
        <f>ISNUMBER(MATCH(B48,'Old Sheet'!$B$2:$B$305,0))</f>
        <v>0</v>
      </c>
      <c r="I48" s="43" t="s">
        <v>4892</v>
      </c>
      <c r="J48" s="43" t="s">
        <v>5023</v>
      </c>
      <c r="K48" t="b">
        <f t="shared" si="0"/>
        <v>0</v>
      </c>
      <c r="M48"/>
      <c r="N48" s="69"/>
    </row>
    <row r="49" spans="1:14" x14ac:dyDescent="0.2">
      <c r="A49">
        <v>86</v>
      </c>
      <c r="B49" t="s">
        <v>2562</v>
      </c>
      <c r="C49" s="43" t="s">
        <v>2558</v>
      </c>
      <c r="D49" s="43" t="s">
        <v>4613</v>
      </c>
      <c r="E49" s="43" t="s">
        <v>4844</v>
      </c>
      <c r="F49" s="43" t="s">
        <v>5152</v>
      </c>
      <c r="G49" s="43"/>
      <c r="H49" t="b">
        <f>ISNUMBER(MATCH(B49,'Old Sheet'!$B$2:$B$305,0))</f>
        <v>0</v>
      </c>
      <c r="I49" s="43" t="s">
        <v>4892</v>
      </c>
      <c r="J49" s="43" t="s">
        <v>5023</v>
      </c>
      <c r="K49" t="b">
        <f t="shared" si="0"/>
        <v>0</v>
      </c>
      <c r="M49"/>
      <c r="N49" s="69"/>
    </row>
    <row r="50" spans="1:14" x14ac:dyDescent="0.2">
      <c r="A50">
        <v>87</v>
      </c>
      <c r="B50" t="s">
        <v>2544</v>
      </c>
      <c r="C50" s="43" t="s">
        <v>2540</v>
      </c>
      <c r="D50" s="43" t="s">
        <v>2545</v>
      </c>
      <c r="E50" s="43" t="s">
        <v>2545</v>
      </c>
      <c r="F50" s="43" t="s">
        <v>5152</v>
      </c>
      <c r="G50" s="43"/>
      <c r="H50" t="b">
        <f>ISNUMBER(MATCH(B50,'Old Sheet'!$B$2:$B$305,0))</f>
        <v>1</v>
      </c>
      <c r="I50" s="43" t="s">
        <v>4798</v>
      </c>
      <c r="J50" s="43" t="s">
        <v>5023</v>
      </c>
      <c r="K50" t="b">
        <f t="shared" si="0"/>
        <v>0</v>
      </c>
      <c r="M50"/>
      <c r="N50" s="69"/>
    </row>
    <row r="51" spans="1:14" x14ac:dyDescent="0.2">
      <c r="A51">
        <v>89</v>
      </c>
      <c r="B51" t="s">
        <v>2571</v>
      </c>
      <c r="C51" s="43" t="s">
        <v>2567</v>
      </c>
      <c r="D51" s="43" t="s">
        <v>2572</v>
      </c>
      <c r="E51" s="43" t="s">
        <v>2572</v>
      </c>
      <c r="F51" s="43" t="s">
        <v>5152</v>
      </c>
      <c r="G51" s="43"/>
      <c r="H51" t="b">
        <f>ISNUMBER(MATCH(B51,'Old Sheet'!$B$2:$B$305,0))</f>
        <v>1</v>
      </c>
      <c r="I51" s="43" t="s">
        <v>4798</v>
      </c>
      <c r="J51" s="43" t="s">
        <v>5023</v>
      </c>
      <c r="K51" t="b">
        <f t="shared" si="0"/>
        <v>0</v>
      </c>
      <c r="M51"/>
      <c r="N51" s="69"/>
    </row>
    <row r="52" spans="1:14" x14ac:dyDescent="0.2">
      <c r="A52">
        <v>91</v>
      </c>
      <c r="B52" t="s">
        <v>2511</v>
      </c>
      <c r="C52" s="43" t="s">
        <v>2507</v>
      </c>
      <c r="D52" s="43" t="s">
        <v>4564</v>
      </c>
      <c r="E52" s="43" t="s">
        <v>4846</v>
      </c>
      <c r="F52" s="43" t="s">
        <v>5152</v>
      </c>
      <c r="G52" s="43"/>
      <c r="H52" t="b">
        <f>ISNUMBER(MATCH(B52,'Old Sheet'!$B$2:$B$305,0))</f>
        <v>0</v>
      </c>
      <c r="I52" s="43" t="s">
        <v>4798</v>
      </c>
      <c r="J52" s="43" t="s">
        <v>5023</v>
      </c>
      <c r="K52" t="b">
        <f t="shared" si="0"/>
        <v>0</v>
      </c>
      <c r="M52"/>
      <c r="N52" s="69"/>
    </row>
    <row r="53" spans="1:14" x14ac:dyDescent="0.2">
      <c r="A53">
        <v>92</v>
      </c>
      <c r="B53" t="s">
        <v>607</v>
      </c>
      <c r="C53" s="43" t="s">
        <v>606</v>
      </c>
      <c r="D53" s="43" t="s">
        <v>608</v>
      </c>
      <c r="E53" s="43" t="s">
        <v>4847</v>
      </c>
      <c r="F53" s="76" t="s">
        <v>5157</v>
      </c>
      <c r="G53" s="76"/>
      <c r="H53" t="b">
        <f>ISNUMBER(MATCH(B53,'Old Sheet'!$B$2:$B$305,0))</f>
        <v>1</v>
      </c>
      <c r="I53" s="43" t="s">
        <v>4799</v>
      </c>
      <c r="J53" s="43" t="s">
        <v>5076</v>
      </c>
      <c r="K53" t="b">
        <f t="shared" si="0"/>
        <v>0</v>
      </c>
      <c r="M53"/>
      <c r="N53" s="69"/>
    </row>
    <row r="54" spans="1:14" x14ac:dyDescent="0.2">
      <c r="A54">
        <v>92</v>
      </c>
      <c r="B54" t="s">
        <v>631</v>
      </c>
      <c r="C54" s="43" t="s">
        <v>630</v>
      </c>
      <c r="D54" s="43" t="s">
        <v>632</v>
      </c>
      <c r="E54" s="43" t="s">
        <v>4847</v>
      </c>
      <c r="F54" s="76" t="s">
        <v>5157</v>
      </c>
      <c r="G54" s="76"/>
      <c r="H54" t="b">
        <f>ISNUMBER(MATCH(B54,'Old Sheet'!$B$2:$B$305,0))</f>
        <v>1</v>
      </c>
      <c r="I54" s="43" t="s">
        <v>4799</v>
      </c>
      <c r="J54" s="43" t="s">
        <v>5076</v>
      </c>
      <c r="K54" t="b">
        <f t="shared" si="0"/>
        <v>0</v>
      </c>
      <c r="M54"/>
      <c r="N54" s="69"/>
    </row>
    <row r="55" spans="1:14" x14ac:dyDescent="0.2">
      <c r="A55">
        <v>93</v>
      </c>
      <c r="B55" t="s">
        <v>635</v>
      </c>
      <c r="C55" s="43" t="s">
        <v>634</v>
      </c>
      <c r="D55" s="43" t="s">
        <v>636</v>
      </c>
      <c r="E55" s="43" t="s">
        <v>4848</v>
      </c>
      <c r="F55" s="76" t="s">
        <v>5157</v>
      </c>
      <c r="G55" s="76"/>
      <c r="H55" t="b">
        <f>ISNUMBER(MATCH(B55,'Old Sheet'!$B$2:$B$305,0))</f>
        <v>1</v>
      </c>
      <c r="I55" s="43" t="s">
        <v>4799</v>
      </c>
      <c r="J55" s="43" t="s">
        <v>5076</v>
      </c>
      <c r="K55" t="b">
        <f t="shared" si="0"/>
        <v>0</v>
      </c>
      <c r="M55"/>
      <c r="N55" s="69"/>
    </row>
    <row r="56" spans="1:14" x14ac:dyDescent="0.2">
      <c r="A56">
        <v>99</v>
      </c>
      <c r="B56" t="s">
        <v>611</v>
      </c>
      <c r="C56" s="43" t="s">
        <v>610</v>
      </c>
      <c r="D56" s="43" t="s">
        <v>612</v>
      </c>
      <c r="E56" s="43" t="s">
        <v>4849</v>
      </c>
      <c r="F56" s="76" t="s">
        <v>5157</v>
      </c>
      <c r="G56" s="76"/>
      <c r="H56" t="b">
        <f>ISNUMBER(MATCH(B56,'Old Sheet'!$B$2:$B$305,0))</f>
        <v>1</v>
      </c>
      <c r="I56" s="43" t="s">
        <v>4799</v>
      </c>
      <c r="J56" s="43" t="s">
        <v>5076</v>
      </c>
      <c r="K56" t="b">
        <f t="shared" si="0"/>
        <v>0</v>
      </c>
      <c r="M56"/>
      <c r="N56" s="69"/>
    </row>
    <row r="57" spans="1:14" x14ac:dyDescent="0.2">
      <c r="A57">
        <v>99</v>
      </c>
      <c r="B57" t="s">
        <v>603</v>
      </c>
      <c r="C57" s="43" t="s">
        <v>602</v>
      </c>
      <c r="D57" s="43" t="s">
        <v>604</v>
      </c>
      <c r="E57" s="43" t="s">
        <v>4849</v>
      </c>
      <c r="F57" s="76" t="s">
        <v>5157</v>
      </c>
      <c r="G57" s="76"/>
      <c r="H57" t="b">
        <f>ISNUMBER(MATCH(B57,'Old Sheet'!$B$2:$B$305,0))</f>
        <v>1</v>
      </c>
      <c r="I57" s="43" t="s">
        <v>4799</v>
      </c>
      <c r="J57" s="43" t="s">
        <v>5076</v>
      </c>
      <c r="K57" t="b">
        <f t="shared" si="0"/>
        <v>0</v>
      </c>
      <c r="M57"/>
      <c r="N57" s="69"/>
    </row>
    <row r="58" spans="1:14" x14ac:dyDescent="0.2">
      <c r="A58">
        <v>101</v>
      </c>
      <c r="B58" t="s">
        <v>846</v>
      </c>
      <c r="C58" s="43" t="s">
        <v>845</v>
      </c>
      <c r="D58" s="43" t="s">
        <v>847</v>
      </c>
      <c r="E58" s="43" t="s">
        <v>4850</v>
      </c>
      <c r="F58" s="43" t="s">
        <v>5152</v>
      </c>
      <c r="G58" s="43"/>
      <c r="H58" t="b">
        <f>ISNUMBER(MATCH(B58,'Old Sheet'!$B$2:$B$305,0))</f>
        <v>1</v>
      </c>
      <c r="I58" s="43" t="s">
        <v>4798</v>
      </c>
      <c r="J58" s="43" t="s">
        <v>5023</v>
      </c>
      <c r="K58" t="b">
        <f t="shared" si="0"/>
        <v>0</v>
      </c>
      <c r="M58"/>
      <c r="N58" s="69"/>
    </row>
    <row r="59" spans="1:14" x14ac:dyDescent="0.2">
      <c r="A59">
        <v>103</v>
      </c>
      <c r="B59" t="s">
        <v>2493</v>
      </c>
      <c r="C59" s="43" t="s">
        <v>2489</v>
      </c>
      <c r="D59" s="43" t="s">
        <v>2494</v>
      </c>
      <c r="E59" s="43" t="s">
        <v>2494</v>
      </c>
      <c r="F59" s="43" t="s">
        <v>5152</v>
      </c>
      <c r="G59" s="43"/>
      <c r="H59" t="b">
        <f>ISNUMBER(MATCH(B59,'Old Sheet'!$B$2:$B$305,0))</f>
        <v>1</v>
      </c>
      <c r="I59" s="43" t="s">
        <v>4798</v>
      </c>
      <c r="J59" s="43" t="s">
        <v>5023</v>
      </c>
      <c r="K59" t="b">
        <f t="shared" si="0"/>
        <v>0</v>
      </c>
      <c r="M59"/>
      <c r="N59" s="68"/>
    </row>
    <row r="60" spans="1:14" x14ac:dyDescent="0.2">
      <c r="A60">
        <v>104</v>
      </c>
      <c r="B60" t="s">
        <v>941</v>
      </c>
      <c r="C60" s="43" t="s">
        <v>938</v>
      </c>
      <c r="D60" s="43" t="s">
        <v>942</v>
      </c>
      <c r="E60" s="43" t="s">
        <v>4851</v>
      </c>
      <c r="F60" s="43" t="s">
        <v>5152</v>
      </c>
      <c r="G60" s="43"/>
      <c r="H60" t="b">
        <f>ISNUMBER(MATCH(B60,'Old Sheet'!$B$2:$B$305,0))</f>
        <v>1</v>
      </c>
      <c r="I60" s="43" t="s">
        <v>4798</v>
      </c>
      <c r="J60" s="43" t="s">
        <v>5023</v>
      </c>
      <c r="K60" t="b">
        <f t="shared" si="0"/>
        <v>0</v>
      </c>
      <c r="M60"/>
      <c r="N60" s="68"/>
    </row>
    <row r="61" spans="1:14" x14ac:dyDescent="0.2">
      <c r="A61">
        <v>105</v>
      </c>
      <c r="B61" t="s">
        <v>917</v>
      </c>
      <c r="C61" s="43" t="s">
        <v>914</v>
      </c>
      <c r="D61" s="43" t="s">
        <v>918</v>
      </c>
      <c r="E61" s="43" t="s">
        <v>4852</v>
      </c>
      <c r="F61" s="43" t="s">
        <v>5152</v>
      </c>
      <c r="G61" s="43"/>
      <c r="H61" t="b">
        <f>ISNUMBER(MATCH(B61,'Old Sheet'!$B$2:$B$305,0))</f>
        <v>1</v>
      </c>
      <c r="I61" s="43" t="s">
        <v>4798</v>
      </c>
      <c r="J61" s="43" t="s">
        <v>5023</v>
      </c>
      <c r="K61" t="b">
        <f t="shared" si="0"/>
        <v>0</v>
      </c>
      <c r="M61"/>
      <c r="N61" s="68"/>
    </row>
    <row r="62" spans="1:14" x14ac:dyDescent="0.2">
      <c r="A62">
        <v>106</v>
      </c>
      <c r="B62" t="s">
        <v>929</v>
      </c>
      <c r="C62" s="43" t="s">
        <v>926</v>
      </c>
      <c r="D62" s="43" t="s">
        <v>930</v>
      </c>
      <c r="E62" s="43" t="s">
        <v>4853</v>
      </c>
      <c r="H62" t="b">
        <f>ISNUMBER(MATCH(B62,'Old Sheet'!$B$2:$B$305,0))</f>
        <v>1</v>
      </c>
      <c r="I62" s="43" t="s">
        <v>4798</v>
      </c>
      <c r="J62" s="43" t="s">
        <v>5023</v>
      </c>
      <c r="K62" t="b">
        <f t="shared" si="0"/>
        <v>0</v>
      </c>
      <c r="M62"/>
      <c r="N62" s="68"/>
    </row>
    <row r="63" spans="1:14" x14ac:dyDescent="0.2">
      <c r="A63">
        <v>110</v>
      </c>
      <c r="B63" t="s">
        <v>902</v>
      </c>
      <c r="C63" s="43" t="s">
        <v>901</v>
      </c>
      <c r="D63" s="43" t="s">
        <v>903</v>
      </c>
      <c r="E63" s="43" t="s">
        <v>903</v>
      </c>
      <c r="H63" t="b">
        <f>ISNUMBER(MATCH(B63,'Old Sheet'!$B$2:$B$305,0))</f>
        <v>0</v>
      </c>
      <c r="I63" s="43" t="s">
        <v>4798</v>
      </c>
      <c r="J63" s="43" t="s">
        <v>5023</v>
      </c>
      <c r="K63" t="b">
        <f t="shared" si="0"/>
        <v>0</v>
      </c>
      <c r="M63"/>
      <c r="N63" s="68"/>
    </row>
    <row r="64" spans="1:14" x14ac:dyDescent="0.2">
      <c r="A64">
        <v>111</v>
      </c>
      <c r="B64" t="s">
        <v>2421</v>
      </c>
      <c r="C64" s="43" t="s">
        <v>2417</v>
      </c>
      <c r="D64" s="43" t="s">
        <v>2422</v>
      </c>
      <c r="E64" s="43" t="s">
        <v>2422</v>
      </c>
      <c r="F64" s="43" t="s">
        <v>5152</v>
      </c>
      <c r="G64" s="43"/>
      <c r="H64" t="b">
        <f>ISNUMBER(MATCH(B64,'Old Sheet'!$B$2:$B$305,0))</f>
        <v>1</v>
      </c>
      <c r="I64" s="43" t="s">
        <v>4891</v>
      </c>
      <c r="J64" s="43" t="s">
        <v>5033</v>
      </c>
      <c r="K64" t="b">
        <f t="shared" si="0"/>
        <v>0</v>
      </c>
      <c r="M64"/>
      <c r="N64" s="68"/>
    </row>
    <row r="65" spans="1:20" x14ac:dyDescent="0.2">
      <c r="A65">
        <v>112</v>
      </c>
      <c r="B65" t="s">
        <v>2469</v>
      </c>
      <c r="C65" s="43" t="s">
        <v>2466</v>
      </c>
      <c r="D65" s="43" t="s">
        <v>4083</v>
      </c>
      <c r="E65" s="43" t="s">
        <v>4083</v>
      </c>
      <c r="F65" s="43" t="s">
        <v>5152</v>
      </c>
      <c r="G65" s="43"/>
      <c r="H65" t="b">
        <f>ISNUMBER(MATCH(B65,'Old Sheet'!$B$2:$B$305,0))</f>
        <v>0</v>
      </c>
      <c r="I65" s="43" t="s">
        <v>4798</v>
      </c>
      <c r="J65" s="43" t="s">
        <v>5023</v>
      </c>
      <c r="K65" t="b">
        <f t="shared" si="0"/>
        <v>0</v>
      </c>
      <c r="M65"/>
      <c r="N65" s="68"/>
    </row>
    <row r="66" spans="1:20" x14ac:dyDescent="0.2">
      <c r="A66">
        <v>113</v>
      </c>
      <c r="B66" t="s">
        <v>2432</v>
      </c>
      <c r="C66" s="43" t="s">
        <v>2431</v>
      </c>
      <c r="D66" s="43" t="s">
        <v>2433</v>
      </c>
      <c r="E66" s="43" t="s">
        <v>2433</v>
      </c>
      <c r="F66" s="43" t="s">
        <v>5152</v>
      </c>
      <c r="G66" s="43"/>
      <c r="H66" t="b">
        <f>ISNUMBER(MATCH(B66,'Old Sheet'!$B$2:$B$305,0))</f>
        <v>1</v>
      </c>
      <c r="I66" s="43" t="s">
        <v>4891</v>
      </c>
      <c r="J66" s="43" t="s">
        <v>5033</v>
      </c>
      <c r="K66" t="b">
        <f t="shared" si="0"/>
        <v>0</v>
      </c>
      <c r="M66"/>
      <c r="N66" s="68"/>
    </row>
    <row r="67" spans="1:20" x14ac:dyDescent="0.2">
      <c r="A67">
        <v>114</v>
      </c>
      <c r="B67" t="s">
        <v>2448</v>
      </c>
      <c r="C67" s="43" t="s">
        <v>2437</v>
      </c>
      <c r="D67" s="43" t="s">
        <v>3959</v>
      </c>
      <c r="E67" s="43" t="s">
        <v>3959</v>
      </c>
      <c r="F67" s="43" t="s">
        <v>5152</v>
      </c>
      <c r="G67" s="43"/>
      <c r="H67" t="b">
        <f>ISNUMBER(MATCH(B67,'Old Sheet'!$B$2:$B$305,0))</f>
        <v>0</v>
      </c>
      <c r="I67" s="43" t="s">
        <v>4798</v>
      </c>
      <c r="J67" s="43" t="s">
        <v>5023</v>
      </c>
      <c r="K67" t="b">
        <f t="shared" si="0"/>
        <v>0</v>
      </c>
      <c r="M67"/>
      <c r="N67" s="68"/>
    </row>
    <row r="68" spans="1:20" x14ac:dyDescent="0.2">
      <c r="A68">
        <v>115</v>
      </c>
      <c r="B68" t="s">
        <v>2442</v>
      </c>
      <c r="C68" s="43" t="s">
        <v>2441</v>
      </c>
      <c r="D68" s="43" t="s">
        <v>2443</v>
      </c>
      <c r="E68" s="43" t="s">
        <v>2443</v>
      </c>
      <c r="F68" s="43" t="s">
        <v>5152</v>
      </c>
      <c r="G68" s="43"/>
      <c r="H68" t="b">
        <f>ISNUMBER(MATCH(B68,'Old Sheet'!$B$2:$B$305,0))</f>
        <v>1</v>
      </c>
      <c r="I68" s="43" t="s">
        <v>4891</v>
      </c>
      <c r="J68" s="43" t="s">
        <v>5033</v>
      </c>
      <c r="K68" t="b">
        <f t="shared" si="0"/>
        <v>0</v>
      </c>
      <c r="M68"/>
      <c r="N68" s="68"/>
    </row>
    <row r="69" spans="1:20" x14ac:dyDescent="0.2">
      <c r="A69">
        <v>116</v>
      </c>
      <c r="B69" t="s">
        <v>887</v>
      </c>
      <c r="C69" s="43" t="s">
        <v>886</v>
      </c>
      <c r="D69" s="43" t="s">
        <v>4775</v>
      </c>
      <c r="E69" s="43" t="s">
        <v>888</v>
      </c>
      <c r="F69" t="s">
        <v>5151</v>
      </c>
      <c r="H69" t="b">
        <f>ISNUMBER(MATCH(B69,'Old Sheet'!$B$2:$B$305,0))</f>
        <v>1</v>
      </c>
      <c r="I69" s="43" t="s">
        <v>4798</v>
      </c>
      <c r="J69" s="43" t="s">
        <v>5023</v>
      </c>
      <c r="K69" t="b">
        <f t="shared" si="0"/>
        <v>0</v>
      </c>
      <c r="M69"/>
      <c r="N69" s="68"/>
    </row>
    <row r="70" spans="1:20" x14ac:dyDescent="0.2">
      <c r="A70">
        <v>117</v>
      </c>
      <c r="B70" t="s">
        <v>870</v>
      </c>
      <c r="C70" s="43" t="s">
        <v>869</v>
      </c>
      <c r="D70" s="43" t="s">
        <v>871</v>
      </c>
      <c r="E70" s="43" t="s">
        <v>871</v>
      </c>
      <c r="H70" t="b">
        <f>ISNUMBER(MATCH(B70,'Old Sheet'!$B$2:$B$305,0))</f>
        <v>1</v>
      </c>
      <c r="I70" s="43" t="s">
        <v>4798</v>
      </c>
      <c r="J70" s="43" t="s">
        <v>5023</v>
      </c>
      <c r="K70" t="b">
        <f t="shared" si="0"/>
        <v>0</v>
      </c>
      <c r="M70"/>
      <c r="N70" s="68"/>
    </row>
    <row r="71" spans="1:20" x14ac:dyDescent="0.2">
      <c r="A71">
        <v>118</v>
      </c>
      <c r="B71" t="s">
        <v>892</v>
      </c>
      <c r="C71" s="43" t="s">
        <v>885</v>
      </c>
      <c r="D71" s="43" t="s">
        <v>893</v>
      </c>
      <c r="E71" s="43" t="s">
        <v>4857</v>
      </c>
      <c r="F71" s="43" t="s">
        <v>5152</v>
      </c>
      <c r="G71" s="43"/>
      <c r="H71" t="b">
        <f>ISNUMBER(MATCH(B71,'Old Sheet'!$B$2:$B$305,0))</f>
        <v>0</v>
      </c>
      <c r="I71" s="43" t="s">
        <v>4888</v>
      </c>
      <c r="J71" s="43" t="s">
        <v>5031</v>
      </c>
      <c r="K71" t="b">
        <f t="shared" si="0"/>
        <v>0</v>
      </c>
      <c r="M71"/>
      <c r="N71" s="68"/>
    </row>
    <row r="72" spans="1:20" x14ac:dyDescent="0.2">
      <c r="A72">
        <v>119</v>
      </c>
      <c r="B72" t="s">
        <v>2403</v>
      </c>
      <c r="C72" s="43" t="s">
        <v>2402</v>
      </c>
      <c r="D72" s="43" t="s">
        <v>2404</v>
      </c>
      <c r="E72" s="43" t="s">
        <v>4858</v>
      </c>
      <c r="F72" s="43" t="s">
        <v>5152</v>
      </c>
      <c r="G72" s="43"/>
      <c r="H72" t="b">
        <f>ISNUMBER(MATCH(B72,'Old Sheet'!$B$2:$B$305,0))</f>
        <v>0</v>
      </c>
      <c r="I72" s="43" t="s">
        <v>4798</v>
      </c>
      <c r="J72" s="43" t="s">
        <v>5023</v>
      </c>
      <c r="K72" t="b">
        <f t="shared" si="0"/>
        <v>0</v>
      </c>
      <c r="M72"/>
      <c r="N72" s="68"/>
    </row>
    <row r="73" spans="1:20" x14ac:dyDescent="0.2">
      <c r="A73">
        <v>120</v>
      </c>
      <c r="B73" t="s">
        <v>2394</v>
      </c>
      <c r="C73" s="43" t="s">
        <v>2393</v>
      </c>
      <c r="D73" s="43" t="s">
        <v>2395</v>
      </c>
      <c r="E73" s="43" t="s">
        <v>2395</v>
      </c>
      <c r="F73" s="43" t="s">
        <v>5152</v>
      </c>
      <c r="G73" s="43"/>
      <c r="H73" t="b">
        <f>ISNUMBER(MATCH(B73,'Old Sheet'!$B$2:$B$305,0))</f>
        <v>0</v>
      </c>
      <c r="I73" s="43" t="s">
        <v>4890</v>
      </c>
      <c r="J73" s="43" t="s">
        <v>5023</v>
      </c>
      <c r="K73" t="b">
        <f t="shared" ref="K73:K136" si="1">ISNUMBER(MATCH(B73,$O$9:$O$27,0))</f>
        <v>0</v>
      </c>
      <c r="M73"/>
      <c r="N73" s="68"/>
    </row>
    <row r="74" spans="1:20" x14ac:dyDescent="0.2">
      <c r="A74">
        <v>121</v>
      </c>
      <c r="B74" t="s">
        <v>2388</v>
      </c>
      <c r="C74" s="43" t="s">
        <v>2381</v>
      </c>
      <c r="D74" s="43" t="s">
        <v>2389</v>
      </c>
      <c r="E74" s="43" t="s">
        <v>2389</v>
      </c>
      <c r="F74" s="43" t="s">
        <v>5152</v>
      </c>
      <c r="G74" s="43"/>
      <c r="H74" t="b">
        <f>ISNUMBER(MATCH(B74,'Old Sheet'!$B$2:$B$305,0))</f>
        <v>0</v>
      </c>
      <c r="I74" s="43" t="s">
        <v>4798</v>
      </c>
      <c r="J74" s="43" t="s">
        <v>5023</v>
      </c>
      <c r="K74" t="b">
        <f t="shared" si="1"/>
        <v>0</v>
      </c>
      <c r="M74"/>
      <c r="N74" s="68"/>
      <c r="Q74" s="33"/>
    </row>
    <row r="75" spans="1:20" s="33" customFormat="1" x14ac:dyDescent="0.2">
      <c r="A75" s="33">
        <v>122</v>
      </c>
      <c r="B75" s="33" t="s">
        <v>2367</v>
      </c>
      <c r="C75" s="78" t="s">
        <v>2366</v>
      </c>
      <c r="D75" s="78" t="s">
        <v>2368</v>
      </c>
      <c r="E75" s="78" t="s">
        <v>2368</v>
      </c>
      <c r="H75" s="33" t="b">
        <f>ISNUMBER(MATCH(B75,'Old Sheet'!$B$2:$B$305,0))</f>
        <v>0</v>
      </c>
      <c r="I75" s="78" t="s">
        <v>4798</v>
      </c>
      <c r="J75" s="78" t="s">
        <v>5023</v>
      </c>
      <c r="K75" s="33" t="b">
        <f t="shared" si="1"/>
        <v>0</v>
      </c>
      <c r="N75" s="79"/>
      <c r="O75" s="79"/>
      <c r="Q75"/>
      <c r="S75"/>
      <c r="T75"/>
    </row>
    <row r="76" spans="1:20" x14ac:dyDescent="0.2">
      <c r="A76">
        <v>123</v>
      </c>
      <c r="B76" t="s">
        <v>856</v>
      </c>
      <c r="C76" s="43" t="s">
        <v>855</v>
      </c>
      <c r="D76" s="43" t="s">
        <v>857</v>
      </c>
      <c r="E76" s="43" t="s">
        <v>857</v>
      </c>
      <c r="H76" t="b">
        <f>ISNUMBER(MATCH(B76,'Old Sheet'!$B$2:$B$305,0))</f>
        <v>1</v>
      </c>
      <c r="I76" s="43" t="s">
        <v>4798</v>
      </c>
      <c r="J76" s="43" t="s">
        <v>5023</v>
      </c>
      <c r="K76" t="b">
        <f t="shared" si="1"/>
        <v>0</v>
      </c>
      <c r="M76"/>
      <c r="N76" s="68"/>
    </row>
    <row r="77" spans="1:20" x14ac:dyDescent="0.2">
      <c r="A77">
        <v>123</v>
      </c>
      <c r="B77" t="s">
        <v>2183</v>
      </c>
      <c r="C77" s="43" t="s">
        <v>2179</v>
      </c>
      <c r="D77" s="43" t="s">
        <v>2184</v>
      </c>
      <c r="E77" s="43" t="s">
        <v>857</v>
      </c>
      <c r="H77" t="b">
        <f>ISNUMBER(MATCH(B77,'Old Sheet'!$B$2:$B$305,0))</f>
        <v>1</v>
      </c>
      <c r="I77" s="43" t="s">
        <v>4798</v>
      </c>
      <c r="J77" s="43" t="s">
        <v>5023</v>
      </c>
      <c r="K77" t="b">
        <f t="shared" si="1"/>
        <v>0</v>
      </c>
      <c r="M77"/>
      <c r="N77" s="68"/>
    </row>
    <row r="78" spans="1:20" x14ac:dyDescent="0.2">
      <c r="A78">
        <v>124</v>
      </c>
      <c r="B78" t="s">
        <v>864</v>
      </c>
      <c r="C78" s="43" t="s">
        <v>853</v>
      </c>
      <c r="D78" s="43" t="s">
        <v>865</v>
      </c>
      <c r="E78" s="43" t="s">
        <v>865</v>
      </c>
      <c r="F78" t="s">
        <v>5151</v>
      </c>
      <c r="H78" t="b">
        <f>ISNUMBER(MATCH(B78,'Old Sheet'!$B$2:$B$305,0))</f>
        <v>1</v>
      </c>
      <c r="I78" s="43" t="s">
        <v>4798</v>
      </c>
      <c r="J78" s="43" t="s">
        <v>5023</v>
      </c>
      <c r="K78" t="b">
        <f t="shared" si="1"/>
        <v>0</v>
      </c>
      <c r="M78"/>
      <c r="N78" s="68"/>
    </row>
    <row r="79" spans="1:20" x14ac:dyDescent="0.2">
      <c r="A79">
        <v>125</v>
      </c>
      <c r="B79" t="s">
        <v>2361</v>
      </c>
      <c r="C79" s="43" t="s">
        <v>2357</v>
      </c>
      <c r="D79" s="43" t="s">
        <v>2362</v>
      </c>
      <c r="E79" s="43" t="s">
        <v>2362</v>
      </c>
      <c r="F79" s="43" t="s">
        <v>5152</v>
      </c>
      <c r="G79" s="43"/>
      <c r="H79" t="b">
        <f>ISNUMBER(MATCH(B79,'Old Sheet'!$B$2:$B$305,0))</f>
        <v>1</v>
      </c>
      <c r="I79" s="43" t="s">
        <v>4890</v>
      </c>
      <c r="J79" s="43" t="s">
        <v>5102</v>
      </c>
      <c r="K79" t="b">
        <f t="shared" si="1"/>
        <v>0</v>
      </c>
      <c r="M79"/>
      <c r="N79" s="68"/>
      <c r="Q79" s="33"/>
    </row>
    <row r="80" spans="1:20" s="33" customFormat="1" x14ac:dyDescent="0.2">
      <c r="A80" s="33">
        <v>126</v>
      </c>
      <c r="B80" s="33" t="s">
        <v>2329</v>
      </c>
      <c r="C80" s="78" t="s">
        <v>2321</v>
      </c>
      <c r="D80" s="78" t="s">
        <v>2330</v>
      </c>
      <c r="E80" s="78" t="s">
        <v>2330</v>
      </c>
      <c r="H80" s="33" t="b">
        <f>ISNUMBER(MATCH(B80,'Old Sheet'!$B$2:$B$305,0))</f>
        <v>0</v>
      </c>
      <c r="I80" s="78" t="s">
        <v>4798</v>
      </c>
      <c r="J80" s="78" t="s">
        <v>5023</v>
      </c>
      <c r="K80" s="33" t="b">
        <f t="shared" si="1"/>
        <v>0</v>
      </c>
      <c r="N80" s="79"/>
      <c r="O80" s="79"/>
      <c r="S80"/>
      <c r="T80"/>
    </row>
    <row r="81" spans="1:20" s="33" customFormat="1" x14ac:dyDescent="0.2">
      <c r="A81" s="33">
        <v>127</v>
      </c>
      <c r="B81" s="33" t="s">
        <v>2331</v>
      </c>
      <c r="C81" s="78" t="s">
        <v>2325</v>
      </c>
      <c r="D81" s="78" t="s">
        <v>2332</v>
      </c>
      <c r="E81" s="78" t="s">
        <v>2332</v>
      </c>
      <c r="H81" s="33" t="b">
        <f>ISNUMBER(MATCH(B81,'Old Sheet'!$B$2:$B$305,0))</f>
        <v>0</v>
      </c>
      <c r="I81" s="78" t="s">
        <v>4798</v>
      </c>
      <c r="J81" s="78" t="s">
        <v>5023</v>
      </c>
      <c r="K81" s="33" t="b">
        <f t="shared" si="1"/>
        <v>0</v>
      </c>
      <c r="N81" s="79"/>
      <c r="O81" s="79"/>
      <c r="S81"/>
      <c r="T81"/>
    </row>
    <row r="82" spans="1:20" s="33" customFormat="1" x14ac:dyDescent="0.2">
      <c r="A82" s="33">
        <v>128</v>
      </c>
      <c r="B82" s="33" t="s">
        <v>2352</v>
      </c>
      <c r="C82" s="78" t="s">
        <v>2339</v>
      </c>
      <c r="D82" s="78" t="s">
        <v>4776</v>
      </c>
      <c r="E82" s="78" t="s">
        <v>4776</v>
      </c>
      <c r="H82" s="33" t="b">
        <f>ISNUMBER(MATCH(B82,'Old Sheet'!$B$2:$B$305,0))</f>
        <v>0</v>
      </c>
      <c r="I82" s="78" t="s">
        <v>4798</v>
      </c>
      <c r="J82" s="78" t="s">
        <v>5023</v>
      </c>
      <c r="K82" s="33" t="b">
        <f t="shared" si="1"/>
        <v>0</v>
      </c>
      <c r="N82" s="79"/>
      <c r="O82" s="79"/>
      <c r="Q82"/>
      <c r="S82"/>
      <c r="T82"/>
    </row>
    <row r="83" spans="1:20" x14ac:dyDescent="0.2">
      <c r="A83">
        <v>131</v>
      </c>
      <c r="B83" t="s">
        <v>3728</v>
      </c>
      <c r="C83" s="43" t="s">
        <v>3725</v>
      </c>
      <c r="D83" s="43" t="s">
        <v>4777</v>
      </c>
      <c r="E83" s="43" t="s">
        <v>4777</v>
      </c>
      <c r="F83" s="43" t="s">
        <v>5152</v>
      </c>
      <c r="G83" s="43"/>
      <c r="H83" t="b">
        <f>ISNUMBER(MATCH(B83,'Old Sheet'!$B$2:$B$305,0))</f>
        <v>1</v>
      </c>
      <c r="I83" s="43" t="s">
        <v>4798</v>
      </c>
      <c r="J83" s="43" t="s">
        <v>5023</v>
      </c>
      <c r="K83" t="b">
        <f t="shared" si="1"/>
        <v>0</v>
      </c>
      <c r="M83"/>
      <c r="N83" s="68"/>
    </row>
    <row r="84" spans="1:20" x14ac:dyDescent="0.2">
      <c r="A84">
        <v>132</v>
      </c>
      <c r="B84" t="s">
        <v>3707</v>
      </c>
      <c r="C84" s="43" t="s">
        <v>3704</v>
      </c>
      <c r="D84" s="43" t="s">
        <v>4147</v>
      </c>
      <c r="E84" s="43" t="s">
        <v>4147</v>
      </c>
      <c r="H84" t="b">
        <f>ISNUMBER(MATCH(B84,'Old Sheet'!$B$2:$B$305,0))</f>
        <v>0</v>
      </c>
      <c r="I84" s="43" t="s">
        <v>4798</v>
      </c>
      <c r="J84" s="43" t="s">
        <v>5023</v>
      </c>
      <c r="K84" t="b">
        <f t="shared" si="1"/>
        <v>0</v>
      </c>
      <c r="M84"/>
      <c r="N84" s="68"/>
    </row>
    <row r="85" spans="1:20" x14ac:dyDescent="0.2">
      <c r="A85">
        <v>133</v>
      </c>
      <c r="B85" t="s">
        <v>3716</v>
      </c>
      <c r="C85" s="43" t="s">
        <v>3712</v>
      </c>
      <c r="D85" s="43" t="s">
        <v>3999</v>
      </c>
      <c r="E85" s="43" t="s">
        <v>3999</v>
      </c>
      <c r="H85" t="b">
        <f>ISNUMBER(MATCH(B85,'Old Sheet'!$B$2:$B$305,0))</f>
        <v>0</v>
      </c>
      <c r="I85" s="43" t="s">
        <v>4798</v>
      </c>
      <c r="J85" s="43" t="s">
        <v>5023</v>
      </c>
      <c r="K85" t="b">
        <f t="shared" si="1"/>
        <v>0</v>
      </c>
      <c r="M85"/>
      <c r="N85" s="68"/>
    </row>
    <row r="86" spans="1:20" x14ac:dyDescent="0.2">
      <c r="A86">
        <v>133</v>
      </c>
      <c r="B86" t="s">
        <v>3692</v>
      </c>
      <c r="C86" s="43" t="s">
        <v>3687</v>
      </c>
      <c r="D86" s="43" t="s">
        <v>4493</v>
      </c>
      <c r="E86" s="43" t="s">
        <v>3999</v>
      </c>
      <c r="H86" t="b">
        <f>ISNUMBER(MATCH(B86,'Old Sheet'!$B$2:$B$305,0))</f>
        <v>0</v>
      </c>
      <c r="I86" s="43" t="s">
        <v>4798</v>
      </c>
      <c r="J86" s="43" t="s">
        <v>5023</v>
      </c>
      <c r="K86" t="b">
        <f t="shared" si="1"/>
        <v>0</v>
      </c>
      <c r="M86"/>
      <c r="N86" s="68"/>
      <c r="Q86" s="33"/>
    </row>
    <row r="87" spans="1:20" s="33" customFormat="1" x14ac:dyDescent="0.2">
      <c r="A87" s="33">
        <v>134</v>
      </c>
      <c r="B87" s="33" t="s">
        <v>3670</v>
      </c>
      <c r="C87" s="78" t="s">
        <v>3666</v>
      </c>
      <c r="D87" s="78" t="s">
        <v>3671</v>
      </c>
      <c r="E87" s="78" t="s">
        <v>3671</v>
      </c>
      <c r="H87" s="33" t="b">
        <f>ISNUMBER(MATCH(B87,'Old Sheet'!$B$2:$B$305,0))</f>
        <v>0</v>
      </c>
      <c r="I87" s="78" t="s">
        <v>4798</v>
      </c>
      <c r="J87" s="78" t="s">
        <v>5023</v>
      </c>
      <c r="K87" s="33" t="b">
        <f t="shared" si="1"/>
        <v>0</v>
      </c>
      <c r="N87" s="79"/>
      <c r="O87" s="79"/>
      <c r="S87"/>
      <c r="T87"/>
    </row>
    <row r="88" spans="1:20" s="33" customFormat="1" x14ac:dyDescent="0.2">
      <c r="A88" s="33">
        <v>135</v>
      </c>
      <c r="B88" s="33" t="s">
        <v>3679</v>
      </c>
      <c r="C88" s="78" t="s">
        <v>3675</v>
      </c>
      <c r="D88" s="78" t="s">
        <v>3680</v>
      </c>
      <c r="E88" s="78" t="s">
        <v>3680</v>
      </c>
      <c r="H88" s="33" t="b">
        <f>ISNUMBER(MATCH(B88,'Old Sheet'!$B$2:$B$305,0))</f>
        <v>0</v>
      </c>
      <c r="I88" s="78" t="s">
        <v>4798</v>
      </c>
      <c r="J88" s="78" t="s">
        <v>5023</v>
      </c>
      <c r="K88" s="33" t="b">
        <f t="shared" si="1"/>
        <v>0</v>
      </c>
      <c r="N88" s="79"/>
      <c r="O88" s="79"/>
      <c r="S88"/>
      <c r="T88"/>
    </row>
    <row r="89" spans="1:20" s="33" customFormat="1" x14ac:dyDescent="0.2">
      <c r="A89" s="33">
        <v>136</v>
      </c>
      <c r="B89" s="33" t="s">
        <v>3652</v>
      </c>
      <c r="C89" s="78" t="s">
        <v>3648</v>
      </c>
      <c r="D89" s="78" t="s">
        <v>3653</v>
      </c>
      <c r="E89" s="78" t="s">
        <v>3653</v>
      </c>
      <c r="H89" s="33" t="b">
        <f>ISNUMBER(MATCH(B89,'Old Sheet'!$B$2:$B$305,0))</f>
        <v>0</v>
      </c>
      <c r="I89" s="78" t="s">
        <v>4798</v>
      </c>
      <c r="J89" s="78" t="s">
        <v>5023</v>
      </c>
      <c r="K89" s="33" t="b">
        <f t="shared" si="1"/>
        <v>0</v>
      </c>
      <c r="N89" s="79"/>
      <c r="O89" s="79"/>
      <c r="S89"/>
      <c r="T89"/>
    </row>
    <row r="90" spans="1:20" s="33" customFormat="1" x14ac:dyDescent="0.2">
      <c r="A90" s="33">
        <v>137</v>
      </c>
      <c r="B90" s="33" t="s">
        <v>3661</v>
      </c>
      <c r="C90" s="78" t="s">
        <v>3657</v>
      </c>
      <c r="D90" s="78" t="s">
        <v>3662</v>
      </c>
      <c r="E90" s="78" t="s">
        <v>3662</v>
      </c>
      <c r="H90" s="33" t="b">
        <f>ISNUMBER(MATCH(B90,'Old Sheet'!$B$2:$B$305,0))</f>
        <v>0</v>
      </c>
      <c r="I90" s="78" t="s">
        <v>4798</v>
      </c>
      <c r="J90" s="78" t="s">
        <v>5023</v>
      </c>
      <c r="K90" s="33" t="b">
        <f t="shared" si="1"/>
        <v>0</v>
      </c>
      <c r="N90" s="79"/>
      <c r="O90" s="79"/>
      <c r="Q90"/>
      <c r="S90"/>
      <c r="T90"/>
    </row>
    <row r="91" spans="1:20" x14ac:dyDescent="0.2">
      <c r="A91">
        <v>138</v>
      </c>
      <c r="B91" t="s">
        <v>3643</v>
      </c>
      <c r="C91" s="43" t="s">
        <v>3639</v>
      </c>
      <c r="D91" s="43" t="s">
        <v>3985</v>
      </c>
      <c r="E91" s="43" t="s">
        <v>4861</v>
      </c>
      <c r="H91" t="b">
        <f>ISNUMBER(MATCH(B91,'Old Sheet'!$B$2:$B$305,0))</f>
        <v>0</v>
      </c>
      <c r="I91" s="43" t="s">
        <v>4798</v>
      </c>
      <c r="J91" s="43" t="s">
        <v>5023</v>
      </c>
      <c r="K91" t="b">
        <f t="shared" si="1"/>
        <v>0</v>
      </c>
      <c r="M91"/>
      <c r="N91" s="68"/>
    </row>
    <row r="92" spans="1:20" x14ac:dyDescent="0.2">
      <c r="A92">
        <v>140</v>
      </c>
      <c r="B92" t="s">
        <v>3618</v>
      </c>
      <c r="C92" s="43" t="s">
        <v>3615</v>
      </c>
      <c r="D92" s="43" t="s">
        <v>4778</v>
      </c>
      <c r="E92" s="43" t="s">
        <v>4778</v>
      </c>
      <c r="H92" t="b">
        <f>ISNUMBER(MATCH(B92,'Old Sheet'!$B$2:$B$305,0))</f>
        <v>0</v>
      </c>
      <c r="I92" s="43" t="s">
        <v>4798</v>
      </c>
      <c r="J92" s="43" t="s">
        <v>5023</v>
      </c>
      <c r="K92" t="b">
        <f t="shared" si="1"/>
        <v>0</v>
      </c>
      <c r="M92"/>
      <c r="N92" s="68"/>
    </row>
    <row r="93" spans="1:20" x14ac:dyDescent="0.2">
      <c r="A93">
        <v>142</v>
      </c>
      <c r="B93" t="s">
        <v>597</v>
      </c>
      <c r="C93" s="43" t="s">
        <v>596</v>
      </c>
      <c r="D93" s="43" t="s">
        <v>598</v>
      </c>
      <c r="E93" s="43" t="s">
        <v>601</v>
      </c>
      <c r="F93" s="76" t="s">
        <v>5157</v>
      </c>
      <c r="G93" s="76"/>
      <c r="H93" t="b">
        <f>ISNUMBER(MATCH(B93,'Old Sheet'!$B$2:$B$305,0))</f>
        <v>1</v>
      </c>
      <c r="I93" s="43" t="s">
        <v>4799</v>
      </c>
      <c r="J93" s="43" t="s">
        <v>5076</v>
      </c>
      <c r="K93" t="b">
        <f t="shared" si="1"/>
        <v>0</v>
      </c>
      <c r="M93"/>
      <c r="N93" s="68"/>
    </row>
    <row r="94" spans="1:20" x14ac:dyDescent="0.2">
      <c r="A94">
        <v>142</v>
      </c>
      <c r="B94" t="s">
        <v>587</v>
      </c>
      <c r="C94" s="43" t="s">
        <v>586</v>
      </c>
      <c r="D94" s="43" t="s">
        <v>588</v>
      </c>
      <c r="E94" s="43" t="s">
        <v>601</v>
      </c>
      <c r="F94" s="76" t="s">
        <v>5157</v>
      </c>
      <c r="G94" s="76"/>
      <c r="H94" t="b">
        <f>ISNUMBER(MATCH(B94,'Old Sheet'!$B$2:$B$305,0))</f>
        <v>1</v>
      </c>
      <c r="I94" s="43" t="s">
        <v>4799</v>
      </c>
      <c r="J94" s="43" t="s">
        <v>5076</v>
      </c>
      <c r="K94" t="b">
        <f t="shared" si="1"/>
        <v>0</v>
      </c>
      <c r="M94"/>
      <c r="N94" s="68"/>
    </row>
    <row r="95" spans="1:20" x14ac:dyDescent="0.2">
      <c r="A95">
        <v>143</v>
      </c>
      <c r="B95" t="s">
        <v>2201</v>
      </c>
      <c r="C95" s="43" t="s">
        <v>2197</v>
      </c>
      <c r="D95" s="43" t="s">
        <v>2202</v>
      </c>
      <c r="E95" s="43" t="s">
        <v>2202</v>
      </c>
      <c r="H95" t="b">
        <f>ISNUMBER(MATCH(B95,'Old Sheet'!$B$2:$B$305,0))</f>
        <v>1</v>
      </c>
      <c r="I95" s="43" t="s">
        <v>4798</v>
      </c>
      <c r="J95" s="43" t="s">
        <v>5023</v>
      </c>
      <c r="K95" t="b">
        <f t="shared" si="1"/>
        <v>0</v>
      </c>
      <c r="M95"/>
      <c r="N95" s="68"/>
    </row>
    <row r="96" spans="1:20" x14ac:dyDescent="0.2">
      <c r="A96">
        <v>144</v>
      </c>
      <c r="B96" t="s">
        <v>3590</v>
      </c>
      <c r="C96" s="43" t="s">
        <v>3587</v>
      </c>
      <c r="D96" s="43" t="s">
        <v>3591</v>
      </c>
      <c r="E96" s="43" t="s">
        <v>3591</v>
      </c>
      <c r="F96" s="76" t="s">
        <v>5157</v>
      </c>
      <c r="G96" s="76"/>
      <c r="H96" t="b">
        <f>ISNUMBER(MATCH(B96,'Old Sheet'!$B$2:$B$305,0))</f>
        <v>1</v>
      </c>
      <c r="I96" s="43" t="s">
        <v>4889</v>
      </c>
      <c r="J96" s="43" t="s">
        <v>5030</v>
      </c>
      <c r="K96" t="b">
        <f t="shared" si="1"/>
        <v>0</v>
      </c>
      <c r="M96"/>
      <c r="N96" s="68"/>
    </row>
    <row r="97" spans="1:20" x14ac:dyDescent="0.2">
      <c r="A97">
        <v>145</v>
      </c>
      <c r="B97" t="s">
        <v>3575</v>
      </c>
      <c r="C97" s="43" t="s">
        <v>3572</v>
      </c>
      <c r="D97" s="43" t="s">
        <v>3576</v>
      </c>
      <c r="E97" s="43" t="s">
        <v>3576</v>
      </c>
      <c r="F97" s="76" t="s">
        <v>5157</v>
      </c>
      <c r="G97" s="76"/>
      <c r="H97" t="b">
        <f>ISNUMBER(MATCH(B97,'Old Sheet'!$B$2:$B$305,0))</f>
        <v>1</v>
      </c>
      <c r="I97" s="43" t="s">
        <v>4889</v>
      </c>
      <c r="J97" s="43" t="s">
        <v>5030</v>
      </c>
      <c r="K97" t="b">
        <f t="shared" si="1"/>
        <v>0</v>
      </c>
      <c r="M97"/>
      <c r="N97" s="68"/>
    </row>
    <row r="98" spans="1:20" x14ac:dyDescent="0.2">
      <c r="A98">
        <v>147</v>
      </c>
      <c r="B98" t="s">
        <v>3626</v>
      </c>
      <c r="C98" s="43" t="s">
        <v>3622</v>
      </c>
      <c r="D98" s="43" t="s">
        <v>3627</v>
      </c>
      <c r="E98" s="43" t="s">
        <v>3627</v>
      </c>
      <c r="F98" s="43" t="s">
        <v>5152</v>
      </c>
      <c r="G98" s="43"/>
      <c r="H98" t="b">
        <f>ISNUMBER(MATCH(B98,'Old Sheet'!$B$2:$B$305,0))</f>
        <v>1</v>
      </c>
      <c r="I98" s="43" t="s">
        <v>4800</v>
      </c>
      <c r="J98" s="43" t="s">
        <v>5032</v>
      </c>
      <c r="K98" t="b">
        <f t="shared" si="1"/>
        <v>0</v>
      </c>
      <c r="M98"/>
      <c r="N98" s="68"/>
    </row>
    <row r="99" spans="1:20" x14ac:dyDescent="0.2">
      <c r="A99">
        <v>155</v>
      </c>
      <c r="B99" t="s">
        <v>3490</v>
      </c>
      <c r="C99" s="43" t="s">
        <v>3487</v>
      </c>
      <c r="D99" s="43" t="s">
        <v>3491</v>
      </c>
      <c r="E99" s="43" t="s">
        <v>3491</v>
      </c>
      <c r="F99" s="43" t="s">
        <v>5152</v>
      </c>
      <c r="G99" s="43"/>
      <c r="H99" t="b">
        <f>ISNUMBER(MATCH(B99,'Old Sheet'!$B$2:$B$305,0))</f>
        <v>0</v>
      </c>
      <c r="I99" s="43" t="s">
        <v>4887</v>
      </c>
      <c r="J99" s="43" t="s">
        <v>5023</v>
      </c>
      <c r="K99" t="b">
        <f t="shared" si="1"/>
        <v>0</v>
      </c>
      <c r="M99"/>
      <c r="N99" s="68"/>
    </row>
    <row r="100" spans="1:20" x14ac:dyDescent="0.2">
      <c r="A100">
        <v>159</v>
      </c>
      <c r="B100" t="s">
        <v>3460</v>
      </c>
      <c r="C100" s="43" t="s">
        <v>3456</v>
      </c>
      <c r="D100" s="43" t="s">
        <v>3461</v>
      </c>
      <c r="E100" s="43" t="s">
        <v>3461</v>
      </c>
      <c r="H100" t="b">
        <f>ISNUMBER(MATCH(B100,'Old Sheet'!$B$2:$B$305,0))</f>
        <v>0</v>
      </c>
      <c r="I100" s="43" t="s">
        <v>4890</v>
      </c>
      <c r="J100" s="43" t="s">
        <v>5102</v>
      </c>
      <c r="K100" t="b">
        <f t="shared" si="1"/>
        <v>0</v>
      </c>
      <c r="M100"/>
      <c r="N100" s="68"/>
    </row>
    <row r="101" spans="1:20" x14ac:dyDescent="0.2">
      <c r="A101">
        <v>160</v>
      </c>
      <c r="B101" t="s">
        <v>3469</v>
      </c>
      <c r="C101" s="43" t="s">
        <v>3465</v>
      </c>
      <c r="D101" s="43" t="s">
        <v>3470</v>
      </c>
      <c r="E101" s="43" t="s">
        <v>3470</v>
      </c>
      <c r="H101" t="b">
        <f>ISNUMBER(MATCH(B101,'Old Sheet'!$B$2:$B$305,0))</f>
        <v>0</v>
      </c>
      <c r="I101" s="43" t="s">
        <v>4890</v>
      </c>
      <c r="J101" s="43" t="s">
        <v>5102</v>
      </c>
      <c r="K101" t="b">
        <f t="shared" si="1"/>
        <v>0</v>
      </c>
      <c r="M101"/>
      <c r="N101" s="68"/>
    </row>
    <row r="102" spans="1:20" x14ac:dyDescent="0.2">
      <c r="A102">
        <v>161</v>
      </c>
      <c r="B102" t="s">
        <v>3448</v>
      </c>
      <c r="C102" s="43" t="s">
        <v>3444</v>
      </c>
      <c r="D102" s="43" t="s">
        <v>3449</v>
      </c>
      <c r="E102" s="43" t="s">
        <v>4864</v>
      </c>
      <c r="H102" t="b">
        <f>ISNUMBER(MATCH(B102,'Old Sheet'!$B$2:$B$305,0))</f>
        <v>0</v>
      </c>
      <c r="I102" s="43" t="s">
        <v>4798</v>
      </c>
      <c r="J102" s="43" t="s">
        <v>5023</v>
      </c>
      <c r="K102" t="b">
        <f t="shared" si="1"/>
        <v>0</v>
      </c>
      <c r="M102"/>
      <c r="N102" s="68"/>
    </row>
    <row r="103" spans="1:20" x14ac:dyDescent="0.2">
      <c r="A103">
        <v>162</v>
      </c>
      <c r="B103" t="s">
        <v>2117</v>
      </c>
      <c r="C103" s="43" t="s">
        <v>2113</v>
      </c>
      <c r="D103" s="43" t="s">
        <v>4779</v>
      </c>
      <c r="E103" s="43" t="s">
        <v>4779</v>
      </c>
      <c r="H103" t="b">
        <f>ISNUMBER(MATCH(B103,'Old Sheet'!$B$2:$B$305,0))</f>
        <v>1</v>
      </c>
      <c r="I103" s="43" t="s">
        <v>4798</v>
      </c>
      <c r="J103" s="43" t="s">
        <v>5023</v>
      </c>
      <c r="K103" t="b">
        <f t="shared" si="1"/>
        <v>0</v>
      </c>
      <c r="M103"/>
      <c r="N103" s="68"/>
    </row>
    <row r="104" spans="1:20" x14ac:dyDescent="0.2">
      <c r="A104">
        <v>165</v>
      </c>
      <c r="B104" t="s">
        <v>2090</v>
      </c>
      <c r="C104" s="43" t="s">
        <v>2086</v>
      </c>
      <c r="D104" s="43" t="s">
        <v>4780</v>
      </c>
      <c r="E104" s="43" t="s">
        <v>4780</v>
      </c>
      <c r="H104" t="b">
        <f>ISNUMBER(MATCH(B104,'Old Sheet'!$B$2:$B$305,0))</f>
        <v>1</v>
      </c>
      <c r="I104" s="43" t="s">
        <v>4798</v>
      </c>
      <c r="J104" s="43" t="s">
        <v>5023</v>
      </c>
      <c r="K104" t="b">
        <f t="shared" si="1"/>
        <v>0</v>
      </c>
      <c r="M104"/>
      <c r="N104" s="68"/>
    </row>
    <row r="105" spans="1:20" x14ac:dyDescent="0.2">
      <c r="A105">
        <v>168</v>
      </c>
      <c r="B105" t="s">
        <v>3436</v>
      </c>
      <c r="C105" s="43" t="s">
        <v>3433</v>
      </c>
      <c r="D105" s="43" t="s">
        <v>3437</v>
      </c>
      <c r="E105" s="43" t="s">
        <v>3437</v>
      </c>
      <c r="F105" s="76" t="s">
        <v>5157</v>
      </c>
      <c r="G105" s="76"/>
      <c r="H105" t="b">
        <f>ISNUMBER(MATCH(B105,'Old Sheet'!$B$2:$B$305,0))</f>
        <v>1</v>
      </c>
      <c r="I105" s="43" t="s">
        <v>4889</v>
      </c>
      <c r="J105" s="43" t="s">
        <v>5030</v>
      </c>
      <c r="K105" t="b">
        <f t="shared" si="1"/>
        <v>0</v>
      </c>
      <c r="M105"/>
      <c r="N105" s="68"/>
    </row>
    <row r="106" spans="1:20" x14ac:dyDescent="0.2">
      <c r="A106">
        <v>169</v>
      </c>
      <c r="B106" t="s">
        <v>3394</v>
      </c>
      <c r="C106" s="43" t="s">
        <v>3391</v>
      </c>
      <c r="D106" s="43" t="s">
        <v>4074</v>
      </c>
      <c r="E106" s="43" t="s">
        <v>4865</v>
      </c>
      <c r="H106" t="b">
        <f>ISNUMBER(MATCH(B106,'Old Sheet'!$B$2:$B$305,0))</f>
        <v>0</v>
      </c>
      <c r="I106" s="43" t="s">
        <v>4798</v>
      </c>
      <c r="J106" s="43" t="s">
        <v>5023</v>
      </c>
      <c r="K106" t="b">
        <f t="shared" si="1"/>
        <v>0</v>
      </c>
      <c r="M106"/>
      <c r="N106" s="68"/>
    </row>
    <row r="107" spans="1:20" x14ac:dyDescent="0.2">
      <c r="A107">
        <v>170</v>
      </c>
      <c r="B107" t="s">
        <v>3421</v>
      </c>
      <c r="C107" s="43" t="s">
        <v>3418</v>
      </c>
      <c r="D107" s="43" t="s">
        <v>4137</v>
      </c>
      <c r="E107" s="43" t="s">
        <v>4137</v>
      </c>
      <c r="H107" t="b">
        <f>ISNUMBER(MATCH(B107,'Old Sheet'!$B$2:$B$305,0))</f>
        <v>0</v>
      </c>
      <c r="I107" s="43" t="s">
        <v>4798</v>
      </c>
      <c r="J107" s="43" t="s">
        <v>5023</v>
      </c>
      <c r="K107" t="b">
        <f t="shared" si="1"/>
        <v>0</v>
      </c>
      <c r="M107"/>
      <c r="N107" s="68"/>
    </row>
    <row r="108" spans="1:20" x14ac:dyDescent="0.2">
      <c r="A108">
        <v>171</v>
      </c>
      <c r="B108" t="s">
        <v>3020</v>
      </c>
      <c r="C108" s="43" t="s">
        <v>3016</v>
      </c>
      <c r="D108" s="43" t="s">
        <v>3021</v>
      </c>
      <c r="E108" s="43" t="s">
        <v>3021</v>
      </c>
      <c r="F108" s="76" t="s">
        <v>5157</v>
      </c>
      <c r="G108" s="76"/>
      <c r="H108" t="b">
        <f>ISNUMBER(MATCH(B108,'Old Sheet'!$B$2:$B$305,0))</f>
        <v>1</v>
      </c>
      <c r="I108" s="43" t="s">
        <v>4889</v>
      </c>
      <c r="J108" s="43" t="s">
        <v>5030</v>
      </c>
      <c r="K108" t="b">
        <f t="shared" si="1"/>
        <v>0</v>
      </c>
      <c r="M108"/>
      <c r="N108" s="68"/>
    </row>
    <row r="109" spans="1:20" x14ac:dyDescent="0.2">
      <c r="A109">
        <v>173</v>
      </c>
      <c r="B109" t="s">
        <v>3359</v>
      </c>
      <c r="C109" s="43" t="s">
        <v>3355</v>
      </c>
      <c r="D109" s="43" t="s">
        <v>3360</v>
      </c>
      <c r="E109" s="43" t="s">
        <v>4866</v>
      </c>
      <c r="F109" s="76" t="s">
        <v>5157</v>
      </c>
      <c r="G109" s="76"/>
      <c r="H109" t="b">
        <f>ISNUMBER(MATCH(B109,'Old Sheet'!$B$2:$B$305,0))</f>
        <v>1</v>
      </c>
      <c r="I109" s="43" t="s">
        <v>4896</v>
      </c>
      <c r="J109" s="43" t="s">
        <v>5031</v>
      </c>
      <c r="K109" t="b">
        <f t="shared" si="1"/>
        <v>0</v>
      </c>
      <c r="M109"/>
      <c r="N109" s="68"/>
    </row>
    <row r="110" spans="1:20" x14ac:dyDescent="0.2">
      <c r="A110">
        <v>174</v>
      </c>
      <c r="B110" t="s">
        <v>3350</v>
      </c>
      <c r="C110" s="43" t="s">
        <v>3346</v>
      </c>
      <c r="D110" s="43" t="s">
        <v>3351</v>
      </c>
      <c r="E110" s="43" t="s">
        <v>4867</v>
      </c>
      <c r="F110" s="76" t="s">
        <v>5157</v>
      </c>
      <c r="G110" s="76"/>
      <c r="H110" t="b">
        <f>ISNUMBER(MATCH(B110,'Old Sheet'!$B$2:$B$305,0))</f>
        <v>1</v>
      </c>
      <c r="I110" s="43" t="s">
        <v>4896</v>
      </c>
      <c r="J110" s="43" t="s">
        <v>5031</v>
      </c>
      <c r="K110" t="b">
        <f t="shared" si="1"/>
        <v>0</v>
      </c>
      <c r="M110"/>
      <c r="N110" s="68"/>
      <c r="Q110" s="33"/>
    </row>
    <row r="111" spans="1:20" s="33" customFormat="1" x14ac:dyDescent="0.2">
      <c r="A111" s="33">
        <v>175</v>
      </c>
      <c r="B111" s="33" t="s">
        <v>3341</v>
      </c>
      <c r="C111" s="78" t="s">
        <v>3338</v>
      </c>
      <c r="D111" s="78" t="s">
        <v>3973</v>
      </c>
      <c r="E111" s="78" t="s">
        <v>4868</v>
      </c>
      <c r="H111" s="33" t="b">
        <f>ISNUMBER(MATCH(B111,'Old Sheet'!$B$2:$B$305,0))</f>
        <v>0</v>
      </c>
      <c r="I111" s="78" t="s">
        <v>4798</v>
      </c>
      <c r="J111" s="78" t="s">
        <v>5023</v>
      </c>
      <c r="K111" s="33" t="b">
        <f t="shared" si="1"/>
        <v>0</v>
      </c>
      <c r="N111" s="79"/>
      <c r="O111" s="79"/>
      <c r="Q111"/>
      <c r="S111"/>
      <c r="T111"/>
    </row>
    <row r="112" spans="1:20" x14ac:dyDescent="0.2">
      <c r="A112">
        <v>176</v>
      </c>
      <c r="B112" t="s">
        <v>2990</v>
      </c>
      <c r="C112" s="43" t="s">
        <v>2986</v>
      </c>
      <c r="D112" s="43" t="s">
        <v>2991</v>
      </c>
      <c r="E112" s="43" t="s">
        <v>4869</v>
      </c>
      <c r="F112" s="76" t="s">
        <v>5157</v>
      </c>
      <c r="G112" s="76"/>
      <c r="H112" t="b">
        <f>ISNUMBER(MATCH(B112,'Old Sheet'!$B$2:$B$305,0))</f>
        <v>1</v>
      </c>
      <c r="I112" s="43" t="s">
        <v>4896</v>
      </c>
      <c r="J112" s="43" t="s">
        <v>5031</v>
      </c>
      <c r="K112" t="b">
        <f t="shared" si="1"/>
        <v>0</v>
      </c>
      <c r="M112"/>
      <c r="N112" s="68"/>
    </row>
    <row r="113" spans="1:14" x14ac:dyDescent="0.2">
      <c r="A113">
        <v>177</v>
      </c>
      <c r="B113" t="s">
        <v>3784</v>
      </c>
      <c r="C113" s="43" t="s">
        <v>3781</v>
      </c>
      <c r="D113" s="43" t="s">
        <v>3785</v>
      </c>
      <c r="E113" s="43" t="s">
        <v>4870</v>
      </c>
      <c r="F113" s="76" t="s">
        <v>5157</v>
      </c>
      <c r="G113" s="76"/>
      <c r="H113" t="b">
        <f>ISNUMBER(MATCH(B113,'Old Sheet'!$B$2:$B$305,0))</f>
        <v>1</v>
      </c>
      <c r="I113" s="43" t="s">
        <v>4896</v>
      </c>
      <c r="J113" s="43" t="s">
        <v>5031</v>
      </c>
      <c r="K113" t="b">
        <f t="shared" si="1"/>
        <v>0</v>
      </c>
      <c r="M113"/>
      <c r="N113" s="68"/>
    </row>
    <row r="114" spans="1:14" x14ac:dyDescent="0.2">
      <c r="A114">
        <v>178</v>
      </c>
      <c r="B114" t="s">
        <v>3796</v>
      </c>
      <c r="C114" s="43" t="s">
        <v>3793</v>
      </c>
      <c r="D114" s="43" t="s">
        <v>4007</v>
      </c>
      <c r="E114" s="43" t="s">
        <v>4871</v>
      </c>
      <c r="F114" s="43" t="s">
        <v>5152</v>
      </c>
      <c r="G114" s="43"/>
      <c r="H114" t="b">
        <f>ISNUMBER(MATCH(B114,'Old Sheet'!$B$2:$B$305,0))</f>
        <v>0</v>
      </c>
      <c r="I114" s="43" t="s">
        <v>4891</v>
      </c>
      <c r="J114" s="43" t="s">
        <v>5033</v>
      </c>
      <c r="K114" t="b">
        <f t="shared" si="1"/>
        <v>0</v>
      </c>
      <c r="M114"/>
      <c r="N114" s="68"/>
    </row>
    <row r="115" spans="1:14" x14ac:dyDescent="0.2">
      <c r="A115">
        <v>179</v>
      </c>
      <c r="B115" t="s">
        <v>3767</v>
      </c>
      <c r="C115" s="43" t="s">
        <v>3763</v>
      </c>
      <c r="D115" s="43" t="s">
        <v>4781</v>
      </c>
      <c r="E115" s="43" t="s">
        <v>4872</v>
      </c>
      <c r="F115" s="76" t="s">
        <v>5157</v>
      </c>
      <c r="G115" s="76"/>
      <c r="H115" t="b">
        <f>ISNUMBER(MATCH(B115,'Old Sheet'!$B$2:$B$305,0))</f>
        <v>1</v>
      </c>
      <c r="I115" s="43" t="s">
        <v>4896</v>
      </c>
      <c r="J115" s="43" t="s">
        <v>5031</v>
      </c>
      <c r="K115" t="b">
        <f t="shared" si="1"/>
        <v>0</v>
      </c>
      <c r="M115"/>
      <c r="N115" s="68"/>
    </row>
    <row r="116" spans="1:14" x14ac:dyDescent="0.2">
      <c r="A116">
        <v>180</v>
      </c>
      <c r="B116" t="s">
        <v>2192</v>
      </c>
      <c r="C116" s="43" t="s">
        <v>2188</v>
      </c>
      <c r="D116" s="43" t="s">
        <v>2193</v>
      </c>
      <c r="E116" s="43" t="s">
        <v>2193</v>
      </c>
      <c r="H116" t="b">
        <f>ISNUMBER(MATCH(B116,'Old Sheet'!$B$2:$B$305,0))</f>
        <v>1</v>
      </c>
      <c r="I116" s="43" t="s">
        <v>4798</v>
      </c>
      <c r="J116" s="43" t="s">
        <v>5023</v>
      </c>
      <c r="K116" t="b">
        <f t="shared" si="1"/>
        <v>0</v>
      </c>
      <c r="M116"/>
      <c r="N116" s="68"/>
    </row>
    <row r="117" spans="1:14" x14ac:dyDescent="0.2">
      <c r="A117">
        <v>181</v>
      </c>
      <c r="B117" t="s">
        <v>1925</v>
      </c>
      <c r="C117" s="43" t="s">
        <v>1921</v>
      </c>
      <c r="D117" s="43" t="s">
        <v>1926</v>
      </c>
      <c r="E117" s="43" t="s">
        <v>1926</v>
      </c>
      <c r="F117" t="s">
        <v>5151</v>
      </c>
      <c r="H117" t="b">
        <f>ISNUMBER(MATCH(B117,'Old Sheet'!$B$2:$B$305,0))</f>
        <v>1</v>
      </c>
      <c r="I117" s="43" t="s">
        <v>4799</v>
      </c>
      <c r="J117" s="43" t="s">
        <v>5076</v>
      </c>
      <c r="K117" t="b">
        <f t="shared" si="1"/>
        <v>0</v>
      </c>
      <c r="M117"/>
      <c r="N117" s="68"/>
    </row>
    <row r="118" spans="1:14" x14ac:dyDescent="0.2">
      <c r="A118">
        <v>182</v>
      </c>
      <c r="B118" t="s">
        <v>1709</v>
      </c>
      <c r="C118" s="43" t="s">
        <v>1708</v>
      </c>
      <c r="D118" s="43" t="s">
        <v>1710</v>
      </c>
      <c r="E118" s="43" t="s">
        <v>1710</v>
      </c>
      <c r="H118" t="b">
        <f>ISNUMBER(MATCH(B118,'Old Sheet'!$B$2:$B$305,0))</f>
        <v>1</v>
      </c>
      <c r="I118" s="43" t="s">
        <v>4798</v>
      </c>
      <c r="J118" s="43" t="s">
        <v>5023</v>
      </c>
      <c r="K118" t="b">
        <f t="shared" si="1"/>
        <v>0</v>
      </c>
      <c r="M118"/>
      <c r="N118" s="68"/>
    </row>
    <row r="119" spans="1:14" x14ac:dyDescent="0.2">
      <c r="A119">
        <v>183</v>
      </c>
      <c r="B119" t="s">
        <v>1879</v>
      </c>
      <c r="C119" s="43" t="s">
        <v>1875</v>
      </c>
      <c r="D119" s="43" t="s">
        <v>1880</v>
      </c>
      <c r="E119" s="43" t="s">
        <v>1880</v>
      </c>
      <c r="F119" t="s">
        <v>5151</v>
      </c>
      <c r="H119" t="b">
        <f>ISNUMBER(MATCH(B119,'Old Sheet'!$B$2:$B$305,0))</f>
        <v>1</v>
      </c>
      <c r="I119" s="43" t="s">
        <v>4799</v>
      </c>
      <c r="J119" s="43" t="s">
        <v>5076</v>
      </c>
      <c r="K119" t="b">
        <f t="shared" si="1"/>
        <v>0</v>
      </c>
      <c r="M119"/>
      <c r="N119" s="68"/>
    </row>
    <row r="120" spans="1:14" x14ac:dyDescent="0.2">
      <c r="A120">
        <v>184</v>
      </c>
      <c r="B120" t="s">
        <v>1888</v>
      </c>
      <c r="C120" s="43" t="s">
        <v>1884</v>
      </c>
      <c r="D120" s="43" t="s">
        <v>1889</v>
      </c>
      <c r="E120" s="43" t="s">
        <v>1889</v>
      </c>
      <c r="F120" t="s">
        <v>5151</v>
      </c>
      <c r="H120" t="b">
        <f>ISNUMBER(MATCH(B120,'Old Sheet'!$B$2:$B$305,0))</f>
        <v>1</v>
      </c>
      <c r="I120" s="43" t="s">
        <v>4799</v>
      </c>
      <c r="J120" s="43" t="s">
        <v>5076</v>
      </c>
      <c r="K120" t="b">
        <f t="shared" si="1"/>
        <v>0</v>
      </c>
      <c r="M120"/>
      <c r="N120" s="68"/>
    </row>
    <row r="121" spans="1:14" x14ac:dyDescent="0.2">
      <c r="A121">
        <v>185</v>
      </c>
      <c r="B121" t="s">
        <v>1838</v>
      </c>
      <c r="C121" s="43" t="s">
        <v>1834</v>
      </c>
      <c r="D121" s="43" t="s">
        <v>1839</v>
      </c>
      <c r="E121" s="43" t="s">
        <v>4874</v>
      </c>
      <c r="F121" t="s">
        <v>5151</v>
      </c>
      <c r="H121" t="b">
        <f>ISNUMBER(MATCH(B121,'Old Sheet'!$B$2:$B$305,0))</f>
        <v>1</v>
      </c>
      <c r="I121" s="43" t="s">
        <v>4799</v>
      </c>
      <c r="J121" s="43" t="s">
        <v>5076</v>
      </c>
      <c r="K121" t="b">
        <f t="shared" si="1"/>
        <v>0</v>
      </c>
      <c r="M121"/>
      <c r="N121" s="68"/>
    </row>
    <row r="122" spans="1:14" x14ac:dyDescent="0.2">
      <c r="A122">
        <v>186</v>
      </c>
      <c r="B122" t="s">
        <v>1916</v>
      </c>
      <c r="C122" s="43" t="s">
        <v>1912</v>
      </c>
      <c r="D122" s="43" t="s">
        <v>1917</v>
      </c>
      <c r="E122" s="43" t="s">
        <v>1917</v>
      </c>
      <c r="F122" t="s">
        <v>5151</v>
      </c>
      <c r="H122" t="b">
        <f>ISNUMBER(MATCH(B122,'Old Sheet'!$B$2:$B$305,0))</f>
        <v>1</v>
      </c>
      <c r="I122" s="43" t="s">
        <v>4799</v>
      </c>
      <c r="J122" s="43" t="s">
        <v>5076</v>
      </c>
      <c r="K122" t="b">
        <f t="shared" si="1"/>
        <v>0</v>
      </c>
      <c r="M122"/>
      <c r="N122" s="68"/>
    </row>
    <row r="123" spans="1:14" x14ac:dyDescent="0.2">
      <c r="A123">
        <v>187</v>
      </c>
      <c r="B123" t="s">
        <v>1907</v>
      </c>
      <c r="C123" s="43" t="s">
        <v>1903</v>
      </c>
      <c r="D123" s="43" t="s">
        <v>1908</v>
      </c>
      <c r="E123" s="43" t="s">
        <v>1908</v>
      </c>
      <c r="F123" t="s">
        <v>5151</v>
      </c>
      <c r="H123" t="b">
        <f>ISNUMBER(MATCH(B123,'Old Sheet'!$B$2:$B$305,0))</f>
        <v>1</v>
      </c>
      <c r="I123" s="43" t="s">
        <v>4799</v>
      </c>
      <c r="J123" s="43" t="s">
        <v>5076</v>
      </c>
      <c r="K123" t="b">
        <f t="shared" si="1"/>
        <v>0</v>
      </c>
      <c r="M123"/>
      <c r="N123" s="68"/>
    </row>
    <row r="124" spans="1:14" x14ac:dyDescent="0.2">
      <c r="A124">
        <v>188</v>
      </c>
      <c r="B124" t="s">
        <v>1856</v>
      </c>
      <c r="C124" s="43" t="s">
        <v>1852</v>
      </c>
      <c r="D124" s="43" t="s">
        <v>1857</v>
      </c>
      <c r="E124" s="43" t="s">
        <v>4875</v>
      </c>
      <c r="F124" t="s">
        <v>5151</v>
      </c>
      <c r="H124" t="b">
        <f>ISNUMBER(MATCH(B124,'Old Sheet'!$B$2:$B$305,0))</f>
        <v>1</v>
      </c>
      <c r="I124" s="43" t="s">
        <v>4799</v>
      </c>
      <c r="J124" s="43" t="s">
        <v>5076</v>
      </c>
      <c r="K124" t="b">
        <f t="shared" si="1"/>
        <v>0</v>
      </c>
      <c r="M124"/>
      <c r="N124" s="68"/>
    </row>
    <row r="125" spans="1:14" x14ac:dyDescent="0.2">
      <c r="A125">
        <v>189</v>
      </c>
      <c r="B125" t="s">
        <v>1898</v>
      </c>
      <c r="C125" s="43" t="s">
        <v>1893</v>
      </c>
      <c r="D125" s="43" t="s">
        <v>1899</v>
      </c>
      <c r="E125" s="43" t="s">
        <v>1899</v>
      </c>
      <c r="F125" t="s">
        <v>5151</v>
      </c>
      <c r="H125" t="b">
        <f>ISNUMBER(MATCH(B125,'Old Sheet'!$B$2:$B$305,0))</f>
        <v>1</v>
      </c>
      <c r="I125" s="43" t="s">
        <v>4799</v>
      </c>
      <c r="J125" s="43" t="s">
        <v>5076</v>
      </c>
      <c r="K125" t="b">
        <f t="shared" si="1"/>
        <v>0</v>
      </c>
      <c r="M125"/>
      <c r="N125" s="68"/>
    </row>
    <row r="126" spans="1:14" x14ac:dyDescent="0.2">
      <c r="A126">
        <v>190</v>
      </c>
      <c r="B126" t="s">
        <v>1870</v>
      </c>
      <c r="C126" s="43" t="s">
        <v>1866</v>
      </c>
      <c r="D126" s="43" t="s">
        <v>1871</v>
      </c>
      <c r="E126" s="43" t="s">
        <v>1871</v>
      </c>
      <c r="F126" t="s">
        <v>5151</v>
      </c>
      <c r="H126" t="b">
        <f>ISNUMBER(MATCH(B126,'Old Sheet'!$B$2:$B$305,0))</f>
        <v>1</v>
      </c>
      <c r="I126" s="43" t="s">
        <v>4799</v>
      </c>
      <c r="J126" s="43" t="s">
        <v>5076</v>
      </c>
      <c r="K126" t="b">
        <f t="shared" si="1"/>
        <v>0</v>
      </c>
      <c r="M126"/>
      <c r="N126" s="68"/>
    </row>
    <row r="127" spans="1:14" x14ac:dyDescent="0.2">
      <c r="A127">
        <v>191</v>
      </c>
      <c r="B127" t="s">
        <v>1847</v>
      </c>
      <c r="C127" s="43" t="s">
        <v>1843</v>
      </c>
      <c r="D127" s="43" t="s">
        <v>1848</v>
      </c>
      <c r="E127" s="43" t="s">
        <v>4876</v>
      </c>
      <c r="F127" t="s">
        <v>5151</v>
      </c>
      <c r="H127" t="b">
        <f>ISNUMBER(MATCH(B127,'Old Sheet'!$B$2:$B$305,0))</f>
        <v>1</v>
      </c>
      <c r="I127" s="43" t="s">
        <v>4799</v>
      </c>
      <c r="J127" s="43" t="s">
        <v>5076</v>
      </c>
      <c r="K127" t="b">
        <f t="shared" si="1"/>
        <v>0</v>
      </c>
      <c r="M127"/>
      <c r="N127" s="68"/>
    </row>
    <row r="128" spans="1:14" x14ac:dyDescent="0.2">
      <c r="A128">
        <v>192</v>
      </c>
      <c r="B128" t="s">
        <v>1829</v>
      </c>
      <c r="C128" s="43" t="s">
        <v>1825</v>
      </c>
      <c r="D128" s="43" t="s">
        <v>1830</v>
      </c>
      <c r="E128" s="43" t="s">
        <v>4877</v>
      </c>
      <c r="F128" t="s">
        <v>5151</v>
      </c>
      <c r="H128" t="b">
        <f>ISNUMBER(MATCH(B128,'Old Sheet'!$B$2:$B$305,0))</f>
        <v>1</v>
      </c>
      <c r="I128" s="43" t="s">
        <v>4799</v>
      </c>
      <c r="J128" s="43" t="s">
        <v>5076</v>
      </c>
      <c r="K128" t="b">
        <f t="shared" si="1"/>
        <v>0</v>
      </c>
      <c r="M128"/>
      <c r="N128" s="68"/>
    </row>
    <row r="129" spans="1:20" x14ac:dyDescent="0.2">
      <c r="A129">
        <v>193</v>
      </c>
      <c r="B129" t="s">
        <v>1859</v>
      </c>
      <c r="C129" s="43" t="s">
        <v>1858</v>
      </c>
      <c r="D129" s="43" t="s">
        <v>1860</v>
      </c>
      <c r="E129" s="43" t="s">
        <v>4878</v>
      </c>
      <c r="F129" t="s">
        <v>5151</v>
      </c>
      <c r="H129" t="b">
        <f>ISNUMBER(MATCH(B129,'Old Sheet'!$B$2:$B$305,0))</f>
        <v>1</v>
      </c>
      <c r="I129" s="43" t="s">
        <v>4799</v>
      </c>
      <c r="J129" s="43" t="s">
        <v>5076</v>
      </c>
      <c r="K129" t="b">
        <f t="shared" si="1"/>
        <v>0</v>
      </c>
      <c r="M129"/>
      <c r="N129" s="68"/>
    </row>
    <row r="130" spans="1:20" x14ac:dyDescent="0.2">
      <c r="A130">
        <v>195</v>
      </c>
      <c r="B130" t="s">
        <v>2924</v>
      </c>
      <c r="C130" s="43" t="s">
        <v>2920</v>
      </c>
      <c r="D130" s="44" t="s">
        <v>2925</v>
      </c>
      <c r="E130" s="43" t="s">
        <v>2925</v>
      </c>
      <c r="F130" s="76" t="s">
        <v>5157</v>
      </c>
      <c r="G130" s="76"/>
      <c r="H130" t="b">
        <f>ISNUMBER(MATCH(B130,'Old Sheet'!$B$2:$B$305,0))</f>
        <v>1</v>
      </c>
      <c r="I130" s="43" t="s">
        <v>4896</v>
      </c>
      <c r="J130" s="43" t="s">
        <v>5031</v>
      </c>
      <c r="K130" t="b">
        <f t="shared" si="1"/>
        <v>0</v>
      </c>
      <c r="M130"/>
      <c r="N130" s="68"/>
    </row>
    <row r="131" spans="1:20" x14ac:dyDescent="0.2">
      <c r="A131">
        <v>196</v>
      </c>
      <c r="B131" t="s">
        <v>3318</v>
      </c>
      <c r="C131" s="43" t="s">
        <v>3315</v>
      </c>
      <c r="D131" s="44" t="s">
        <v>3319</v>
      </c>
      <c r="E131" s="43" t="s">
        <v>3319</v>
      </c>
      <c r="F131" s="76" t="s">
        <v>5157</v>
      </c>
      <c r="G131" s="76"/>
      <c r="H131" t="b">
        <f>ISNUMBER(MATCH(B131,'Old Sheet'!$B$2:$B$305,0))</f>
        <v>1</v>
      </c>
      <c r="I131" s="43" t="s">
        <v>4800</v>
      </c>
      <c r="J131" s="43" t="s">
        <v>5032</v>
      </c>
      <c r="K131" t="b">
        <f t="shared" si="1"/>
        <v>0</v>
      </c>
      <c r="M131"/>
      <c r="N131" s="68"/>
    </row>
    <row r="132" spans="1:20" x14ac:dyDescent="0.2">
      <c r="A132">
        <v>197</v>
      </c>
      <c r="B132" t="s">
        <v>2909</v>
      </c>
      <c r="C132" s="43" t="s">
        <v>2906</v>
      </c>
      <c r="D132" s="43" t="s">
        <v>4178</v>
      </c>
      <c r="E132" s="43" t="s">
        <v>4880</v>
      </c>
      <c r="H132" t="b">
        <f>ISNUMBER(MATCH(B132,'Old Sheet'!$B$2:$B$305,0))</f>
        <v>0</v>
      </c>
      <c r="I132" s="43" t="s">
        <v>4798</v>
      </c>
      <c r="J132" s="43" t="s">
        <v>5023</v>
      </c>
      <c r="K132" t="b">
        <f t="shared" si="1"/>
        <v>0</v>
      </c>
      <c r="M132"/>
      <c r="N132" s="68"/>
      <c r="Q132" s="33"/>
    </row>
    <row r="133" spans="1:20" s="33" customFormat="1" x14ac:dyDescent="0.2">
      <c r="A133" s="33">
        <v>198</v>
      </c>
      <c r="B133" s="33" t="s">
        <v>2894</v>
      </c>
      <c r="C133" s="78" t="s">
        <v>2891</v>
      </c>
      <c r="D133" s="78" t="s">
        <v>2895</v>
      </c>
      <c r="E133" s="78" t="s">
        <v>2895</v>
      </c>
      <c r="H133" s="33" t="b">
        <f>ISNUMBER(MATCH(B133,'Old Sheet'!$B$2:$B$305,0))</f>
        <v>1</v>
      </c>
      <c r="I133" s="78" t="s">
        <v>4798</v>
      </c>
      <c r="J133" s="78" t="s">
        <v>5023</v>
      </c>
      <c r="K133" s="33" t="b">
        <f t="shared" si="1"/>
        <v>0</v>
      </c>
      <c r="N133" s="79"/>
      <c r="O133" s="79"/>
      <c r="S133"/>
      <c r="T133"/>
    </row>
    <row r="134" spans="1:20" s="33" customFormat="1" x14ac:dyDescent="0.2">
      <c r="A134" s="33">
        <v>199</v>
      </c>
      <c r="B134" s="33" t="s">
        <v>2870</v>
      </c>
      <c r="C134" s="78" t="s">
        <v>2867</v>
      </c>
      <c r="D134" s="78" t="s">
        <v>2871</v>
      </c>
      <c r="E134" s="78" t="s">
        <v>2871</v>
      </c>
      <c r="H134" s="33" t="b">
        <f>ISNUMBER(MATCH(B134,'Old Sheet'!$B$2:$B$305,0))</f>
        <v>1</v>
      </c>
      <c r="I134" s="78" t="s">
        <v>4798</v>
      </c>
      <c r="J134" s="78" t="s">
        <v>5023</v>
      </c>
      <c r="K134" s="33" t="b">
        <f t="shared" si="1"/>
        <v>0</v>
      </c>
      <c r="N134" s="79"/>
      <c r="O134" s="79"/>
      <c r="Q134"/>
      <c r="S134"/>
      <c r="T134"/>
    </row>
    <row r="135" spans="1:20" x14ac:dyDescent="0.2">
      <c r="A135">
        <v>200</v>
      </c>
      <c r="B135" t="s">
        <v>3329</v>
      </c>
      <c r="C135" s="43" t="s">
        <v>3326</v>
      </c>
      <c r="D135" s="43" t="s">
        <v>4095</v>
      </c>
      <c r="E135" s="43" t="s">
        <v>4095</v>
      </c>
      <c r="H135" t="b">
        <f>ISNUMBER(MATCH(B135,'Old Sheet'!$B$2:$B$305,0))</f>
        <v>0</v>
      </c>
      <c r="I135" s="43" t="s">
        <v>4887</v>
      </c>
      <c r="J135" s="43" t="s">
        <v>5023</v>
      </c>
      <c r="K135" t="b">
        <f t="shared" si="1"/>
        <v>0</v>
      </c>
      <c r="M135"/>
      <c r="N135" s="68"/>
    </row>
    <row r="136" spans="1:20" x14ac:dyDescent="0.2">
      <c r="A136">
        <v>201</v>
      </c>
      <c r="B136" t="s">
        <v>1706</v>
      </c>
      <c r="C136" s="43" t="s">
        <v>1703</v>
      </c>
      <c r="D136" s="43" t="s">
        <v>1707</v>
      </c>
      <c r="E136" s="43" t="s">
        <v>1707</v>
      </c>
      <c r="H136" t="b">
        <f>ISNUMBER(MATCH(B136,'Old Sheet'!$B$2:$B$305,0))</f>
        <v>1</v>
      </c>
      <c r="I136" s="43" t="s">
        <v>4798</v>
      </c>
      <c r="J136" s="43" t="s">
        <v>5023</v>
      </c>
      <c r="K136" t="b">
        <f t="shared" si="1"/>
        <v>0</v>
      </c>
      <c r="M136"/>
      <c r="N136" s="68"/>
    </row>
    <row r="137" spans="1:20" x14ac:dyDescent="0.2">
      <c r="A137">
        <v>202</v>
      </c>
      <c r="B137" t="s">
        <v>3758</v>
      </c>
      <c r="C137" s="43" t="s">
        <v>3755</v>
      </c>
      <c r="D137" s="43" t="s">
        <v>3759</v>
      </c>
      <c r="E137" s="43" t="s">
        <v>3759</v>
      </c>
      <c r="F137" s="76" t="s">
        <v>5157</v>
      </c>
      <c r="G137" s="76"/>
      <c r="H137" t="b">
        <f>ISNUMBER(MATCH(B137,'Old Sheet'!$B$2:$B$305,0))</f>
        <v>1</v>
      </c>
      <c r="I137" s="43" t="s">
        <v>4896</v>
      </c>
      <c r="J137" s="43" t="s">
        <v>5031</v>
      </c>
      <c r="K137" t="b">
        <f t="shared" ref="K137:K194" si="2">ISNUMBER(MATCH(B137,$O$9:$O$27,0))</f>
        <v>0</v>
      </c>
      <c r="M137"/>
      <c r="N137" s="68"/>
    </row>
    <row r="138" spans="1:20" x14ac:dyDescent="0.2">
      <c r="A138">
        <v>203</v>
      </c>
      <c r="B138" t="s">
        <v>1688</v>
      </c>
      <c r="C138" s="43" t="s">
        <v>1685</v>
      </c>
      <c r="D138" s="43" t="s">
        <v>1689</v>
      </c>
      <c r="E138" s="43" t="s">
        <v>1689</v>
      </c>
      <c r="H138" t="b">
        <f>ISNUMBER(MATCH(B138,'Old Sheet'!$B$2:$B$305,0))</f>
        <v>1</v>
      </c>
      <c r="I138" s="43" t="s">
        <v>4798</v>
      </c>
      <c r="J138" s="43" t="s">
        <v>5023</v>
      </c>
      <c r="K138" t="b">
        <f t="shared" si="2"/>
        <v>0</v>
      </c>
      <c r="M138"/>
      <c r="N138" s="68"/>
      <c r="Q138" s="33"/>
    </row>
    <row r="139" spans="1:20" s="33" customFormat="1" x14ac:dyDescent="0.2">
      <c r="A139" s="33">
        <v>204</v>
      </c>
      <c r="B139" s="33" t="s">
        <v>2843</v>
      </c>
      <c r="C139" s="78" t="s">
        <v>2840</v>
      </c>
      <c r="D139" s="78" t="s">
        <v>2844</v>
      </c>
      <c r="E139" s="78" t="s">
        <v>2844</v>
      </c>
      <c r="F139" s="33" t="s">
        <v>5151</v>
      </c>
      <c r="H139" s="33" t="b">
        <f>ISNUMBER(MATCH(B139,'Old Sheet'!$B$2:$B$305,0))</f>
        <v>1</v>
      </c>
      <c r="I139" s="78" t="s">
        <v>4798</v>
      </c>
      <c r="J139" s="78" t="s">
        <v>5023</v>
      </c>
      <c r="K139" s="33" t="b">
        <f t="shared" si="2"/>
        <v>0</v>
      </c>
      <c r="N139" s="79"/>
      <c r="O139" s="79"/>
      <c r="Q139"/>
      <c r="S139"/>
      <c r="T139"/>
    </row>
    <row r="140" spans="1:20" x14ac:dyDescent="0.2">
      <c r="A140">
        <v>205</v>
      </c>
      <c r="B140" t="s">
        <v>1727</v>
      </c>
      <c r="C140" s="43" t="s">
        <v>1723</v>
      </c>
      <c r="D140" s="43" t="s">
        <v>1728</v>
      </c>
      <c r="E140" s="43" t="s">
        <v>1728</v>
      </c>
      <c r="F140" t="s">
        <v>5151</v>
      </c>
      <c r="H140" t="b">
        <f>ISNUMBER(MATCH(B140,'Old Sheet'!$B$2:$B$305,0))</f>
        <v>1</v>
      </c>
      <c r="I140" s="43" t="s">
        <v>4799</v>
      </c>
      <c r="J140" s="43" t="s">
        <v>5076</v>
      </c>
      <c r="K140" t="b">
        <f t="shared" si="2"/>
        <v>0</v>
      </c>
      <c r="M140"/>
      <c r="N140" s="68"/>
    </row>
    <row r="141" spans="1:20" x14ac:dyDescent="0.2">
      <c r="A141">
        <v>206</v>
      </c>
      <c r="B141" t="s">
        <v>1782</v>
      </c>
      <c r="C141" s="43" t="s">
        <v>1778</v>
      </c>
      <c r="D141" s="43" t="s">
        <v>1783</v>
      </c>
      <c r="E141" s="43" t="s">
        <v>1783</v>
      </c>
      <c r="F141" t="s">
        <v>5151</v>
      </c>
      <c r="H141" t="b">
        <f>ISNUMBER(MATCH(B141,'Old Sheet'!$B$2:$B$305,0))</f>
        <v>1</v>
      </c>
      <c r="I141" s="43" t="s">
        <v>4799</v>
      </c>
      <c r="J141" s="43" t="s">
        <v>5076</v>
      </c>
      <c r="K141" t="b">
        <f t="shared" si="2"/>
        <v>0</v>
      </c>
      <c r="M141"/>
      <c r="N141" s="68"/>
    </row>
    <row r="142" spans="1:20" x14ac:dyDescent="0.2">
      <c r="A142">
        <v>207</v>
      </c>
      <c r="B142" t="s">
        <v>1773</v>
      </c>
      <c r="C142" s="43" t="s">
        <v>1769</v>
      </c>
      <c r="D142" s="43" t="s">
        <v>1774</v>
      </c>
      <c r="E142" s="43" t="s">
        <v>1774</v>
      </c>
      <c r="F142" t="s">
        <v>5151</v>
      </c>
      <c r="H142" t="b">
        <f>ISNUMBER(MATCH(B142,'Old Sheet'!$B$2:$B$305,0))</f>
        <v>1</v>
      </c>
      <c r="I142" s="43" t="s">
        <v>4799</v>
      </c>
      <c r="J142" s="43" t="s">
        <v>5076</v>
      </c>
      <c r="K142" t="b">
        <f t="shared" si="2"/>
        <v>0</v>
      </c>
      <c r="M142"/>
      <c r="N142" s="68"/>
    </row>
    <row r="143" spans="1:20" x14ac:dyDescent="0.2">
      <c r="A143">
        <v>208</v>
      </c>
      <c r="B143" t="s">
        <v>1810</v>
      </c>
      <c r="C143" s="43" t="s">
        <v>1806</v>
      </c>
      <c r="D143" s="43" t="s">
        <v>1811</v>
      </c>
      <c r="E143" s="43" t="s">
        <v>1811</v>
      </c>
      <c r="F143" t="s">
        <v>5151</v>
      </c>
      <c r="H143" t="b">
        <f>ISNUMBER(MATCH(B143,'Old Sheet'!$B$2:$B$305,0))</f>
        <v>1</v>
      </c>
      <c r="I143" s="43" t="s">
        <v>4799</v>
      </c>
      <c r="J143" s="43" t="s">
        <v>5076</v>
      </c>
      <c r="K143" t="b">
        <f t="shared" si="2"/>
        <v>0</v>
      </c>
      <c r="M143"/>
      <c r="N143" s="68"/>
    </row>
    <row r="144" spans="1:20" x14ac:dyDescent="0.2">
      <c r="A144">
        <v>209</v>
      </c>
      <c r="B144" t="s">
        <v>1801</v>
      </c>
      <c r="C144" s="43" t="s">
        <v>1796</v>
      </c>
      <c r="D144" s="43" t="s">
        <v>1802</v>
      </c>
      <c r="E144" s="43" t="s">
        <v>1802</v>
      </c>
      <c r="F144" t="s">
        <v>5151</v>
      </c>
      <c r="H144" t="b">
        <f>ISNUMBER(MATCH(B144,'Old Sheet'!$B$2:$B$305,0))</f>
        <v>1</v>
      </c>
      <c r="I144" s="43" t="s">
        <v>4799</v>
      </c>
      <c r="J144" s="43" t="s">
        <v>5076</v>
      </c>
      <c r="K144" t="b">
        <f t="shared" si="2"/>
        <v>0</v>
      </c>
      <c r="M144"/>
      <c r="N144" s="68"/>
    </row>
    <row r="145" spans="1:14" x14ac:dyDescent="0.2">
      <c r="A145">
        <v>210</v>
      </c>
      <c r="B145" t="s">
        <v>1791</v>
      </c>
      <c r="C145" s="43" t="s">
        <v>1787</v>
      </c>
      <c r="D145" s="43" t="s">
        <v>1792</v>
      </c>
      <c r="E145" s="43" t="s">
        <v>1792</v>
      </c>
      <c r="F145" t="s">
        <v>5151</v>
      </c>
      <c r="H145" t="b">
        <f>ISNUMBER(MATCH(B145,'Old Sheet'!$B$2:$B$305,0))</f>
        <v>1</v>
      </c>
      <c r="I145" s="43" t="s">
        <v>4799</v>
      </c>
      <c r="J145" s="43" t="s">
        <v>5076</v>
      </c>
      <c r="K145" t="b">
        <f t="shared" si="2"/>
        <v>0</v>
      </c>
      <c r="M145"/>
      <c r="N145" s="68"/>
    </row>
    <row r="146" spans="1:14" x14ac:dyDescent="0.2">
      <c r="A146">
        <v>211</v>
      </c>
      <c r="B146" t="s">
        <v>1764</v>
      </c>
      <c r="C146" s="43" t="s">
        <v>1760</v>
      </c>
      <c r="D146" s="43" t="s">
        <v>1765</v>
      </c>
      <c r="E146" s="43" t="s">
        <v>1765</v>
      </c>
      <c r="F146" t="s">
        <v>5151</v>
      </c>
      <c r="H146" t="b">
        <f>ISNUMBER(MATCH(B146,'Old Sheet'!$B$2:$B$305,0))</f>
        <v>1</v>
      </c>
      <c r="I146" s="43" t="s">
        <v>4799</v>
      </c>
      <c r="J146" s="43" t="s">
        <v>5076</v>
      </c>
      <c r="K146" t="b">
        <f t="shared" si="2"/>
        <v>0</v>
      </c>
      <c r="M146"/>
      <c r="N146" s="68"/>
    </row>
    <row r="147" spans="1:14" x14ac:dyDescent="0.2">
      <c r="A147">
        <v>212</v>
      </c>
      <c r="B147" t="s">
        <v>1745</v>
      </c>
      <c r="C147" s="43" t="s">
        <v>1741</v>
      </c>
      <c r="D147" s="43" t="s">
        <v>1746</v>
      </c>
      <c r="E147" s="43" t="s">
        <v>1746</v>
      </c>
      <c r="F147" t="s">
        <v>5151</v>
      </c>
      <c r="H147" t="b">
        <f>ISNUMBER(MATCH(B147,'Old Sheet'!$B$2:$B$305,0))</f>
        <v>1</v>
      </c>
      <c r="I147" s="43" t="s">
        <v>4799</v>
      </c>
      <c r="J147" s="43" t="s">
        <v>5076</v>
      </c>
      <c r="K147" t="b">
        <f t="shared" si="2"/>
        <v>0</v>
      </c>
      <c r="M147"/>
      <c r="N147" s="68"/>
    </row>
    <row r="148" spans="1:14" x14ac:dyDescent="0.2">
      <c r="A148">
        <v>213</v>
      </c>
      <c r="B148" t="s">
        <v>1736</v>
      </c>
      <c r="C148" s="43" t="s">
        <v>1732</v>
      </c>
      <c r="D148" s="43" t="s">
        <v>1737</v>
      </c>
      <c r="E148" s="43" t="s">
        <v>1737</v>
      </c>
      <c r="F148" t="s">
        <v>5151</v>
      </c>
      <c r="H148" t="b">
        <f>ISNUMBER(MATCH(B148,'Old Sheet'!$B$2:$B$305,0))</f>
        <v>1</v>
      </c>
      <c r="I148" s="43" t="s">
        <v>4799</v>
      </c>
      <c r="J148" s="43" t="s">
        <v>5076</v>
      </c>
      <c r="K148" t="b">
        <f t="shared" si="2"/>
        <v>0</v>
      </c>
      <c r="M148"/>
      <c r="N148" s="68"/>
    </row>
    <row r="149" spans="1:14" x14ac:dyDescent="0.2">
      <c r="A149">
        <v>214</v>
      </c>
      <c r="B149" t="s">
        <v>1718</v>
      </c>
      <c r="C149" s="43" t="s">
        <v>1714</v>
      </c>
      <c r="D149" s="43" t="s">
        <v>1719</v>
      </c>
      <c r="E149" s="43" t="s">
        <v>1719</v>
      </c>
      <c r="F149" t="s">
        <v>5151</v>
      </c>
      <c r="H149" t="b">
        <f>ISNUMBER(MATCH(B149,'Old Sheet'!$B$2:$B$305,0))</f>
        <v>1</v>
      </c>
      <c r="I149" s="43" t="s">
        <v>4799</v>
      </c>
      <c r="J149" s="43" t="s">
        <v>5076</v>
      </c>
      <c r="K149" t="b">
        <f t="shared" si="2"/>
        <v>0</v>
      </c>
      <c r="M149"/>
      <c r="N149" s="68"/>
    </row>
    <row r="150" spans="1:14" x14ac:dyDescent="0.2">
      <c r="A150">
        <v>215</v>
      </c>
      <c r="B150" t="s">
        <v>1755</v>
      </c>
      <c r="C150" s="43" t="s">
        <v>1750</v>
      </c>
      <c r="D150" s="43" t="s">
        <v>1756</v>
      </c>
      <c r="E150" s="43" t="s">
        <v>1756</v>
      </c>
      <c r="F150" t="s">
        <v>5151</v>
      </c>
      <c r="H150" t="b">
        <f>ISNUMBER(MATCH(B150,'Old Sheet'!$B$2:$B$305,0))</f>
        <v>1</v>
      </c>
      <c r="I150" s="43" t="s">
        <v>4799</v>
      </c>
      <c r="J150" s="43" t="s">
        <v>5076</v>
      </c>
      <c r="K150" t="b">
        <f t="shared" si="2"/>
        <v>0</v>
      </c>
      <c r="M150"/>
      <c r="N150" s="68"/>
    </row>
    <row r="151" spans="1:14" x14ac:dyDescent="0.2">
      <c r="A151">
        <v>216</v>
      </c>
      <c r="B151" t="s">
        <v>1673</v>
      </c>
      <c r="C151" s="43" t="s">
        <v>1669</v>
      </c>
      <c r="D151" s="43" t="s">
        <v>1674</v>
      </c>
      <c r="E151" s="43" t="s">
        <v>4163</v>
      </c>
      <c r="F151" t="s">
        <v>5151</v>
      </c>
      <c r="H151" t="b">
        <f>ISNUMBER(MATCH(B151,'Old Sheet'!$B$2:$B$305,0))</f>
        <v>1</v>
      </c>
      <c r="I151" s="43" t="s">
        <v>4890</v>
      </c>
      <c r="J151" s="43" t="s">
        <v>5102</v>
      </c>
      <c r="K151" t="b">
        <f t="shared" si="2"/>
        <v>0</v>
      </c>
      <c r="M151"/>
      <c r="N151" s="68"/>
    </row>
    <row r="152" spans="1:14" x14ac:dyDescent="0.2">
      <c r="A152">
        <v>217</v>
      </c>
      <c r="B152" t="s">
        <v>3743</v>
      </c>
      <c r="C152" s="43" t="s">
        <v>3740</v>
      </c>
      <c r="D152" s="43" t="s">
        <v>3744</v>
      </c>
      <c r="E152" s="43" t="s">
        <v>3744</v>
      </c>
      <c r="F152" s="76" t="s">
        <v>5157</v>
      </c>
      <c r="G152" s="76"/>
      <c r="H152" t="b">
        <f>ISNUMBER(MATCH(B152,'Old Sheet'!$B$2:$B$305,0))</f>
        <v>1</v>
      </c>
      <c r="I152" s="43" t="s">
        <v>4896</v>
      </c>
      <c r="J152" s="43" t="s">
        <v>5031</v>
      </c>
      <c r="K152" t="b">
        <f t="shared" si="2"/>
        <v>0</v>
      </c>
      <c r="M152"/>
      <c r="N152" s="68"/>
    </row>
    <row r="153" spans="1:14" x14ac:dyDescent="0.2">
      <c r="A153">
        <v>218</v>
      </c>
      <c r="B153" t="s">
        <v>1644</v>
      </c>
      <c r="C153" s="43" t="s">
        <v>1636</v>
      </c>
      <c r="D153" s="43" t="s">
        <v>1645</v>
      </c>
      <c r="E153" s="43" t="s">
        <v>4882</v>
      </c>
      <c r="H153" t="b">
        <f>ISNUMBER(MATCH(B153,'Old Sheet'!$B$2:$B$305,0))</f>
        <v>1</v>
      </c>
      <c r="I153" s="43" t="s">
        <v>4798</v>
      </c>
      <c r="J153" s="43" t="s">
        <v>5023</v>
      </c>
      <c r="K153" t="b">
        <f t="shared" si="2"/>
        <v>0</v>
      </c>
      <c r="M153"/>
      <c r="N153" s="68"/>
    </row>
    <row r="154" spans="1:14" x14ac:dyDescent="0.2">
      <c r="A154">
        <v>218</v>
      </c>
      <c r="B154" t="s">
        <v>1652</v>
      </c>
      <c r="C154" s="43" t="s">
        <v>1629</v>
      </c>
      <c r="D154" s="43" t="s">
        <v>1653</v>
      </c>
      <c r="E154" s="43" t="s">
        <v>4882</v>
      </c>
      <c r="H154" t="b">
        <f>ISNUMBER(MATCH(B154,'Old Sheet'!$B$2:$B$305,0))</f>
        <v>1</v>
      </c>
      <c r="I154" s="43" t="s">
        <v>4798</v>
      </c>
      <c r="J154" s="43" t="s">
        <v>5023</v>
      </c>
      <c r="K154" t="b">
        <f t="shared" si="2"/>
        <v>0</v>
      </c>
      <c r="M154"/>
      <c r="N154" s="68"/>
    </row>
    <row r="155" spans="1:14" x14ac:dyDescent="0.2">
      <c r="A155">
        <v>218</v>
      </c>
      <c r="B155" t="s">
        <v>1640</v>
      </c>
      <c r="C155" s="43" t="s">
        <v>1573</v>
      </c>
      <c r="D155" s="43" t="s">
        <v>1641</v>
      </c>
      <c r="E155" s="43" t="s">
        <v>4882</v>
      </c>
      <c r="H155" t="b">
        <f>ISNUMBER(MATCH(B155,'Old Sheet'!$B$2:$B$305,0))</f>
        <v>1</v>
      </c>
      <c r="I155" s="43" t="s">
        <v>4798</v>
      </c>
      <c r="J155" s="43" t="s">
        <v>5023</v>
      </c>
      <c r="K155" t="b">
        <f t="shared" si="2"/>
        <v>0</v>
      </c>
      <c r="M155"/>
      <c r="N155" s="68"/>
    </row>
    <row r="156" spans="1:14" x14ac:dyDescent="0.2">
      <c r="A156">
        <v>218</v>
      </c>
      <c r="B156" t="s">
        <v>1658</v>
      </c>
      <c r="C156" s="43" t="s">
        <v>1580</v>
      </c>
      <c r="D156" s="43" t="s">
        <v>1659</v>
      </c>
      <c r="E156" s="43" t="s">
        <v>4882</v>
      </c>
      <c r="H156" t="b">
        <f>ISNUMBER(MATCH(B156,'Old Sheet'!$B$2:$B$305,0))</f>
        <v>1</v>
      </c>
      <c r="I156" s="43" t="s">
        <v>4798</v>
      </c>
      <c r="J156" s="43" t="s">
        <v>5023</v>
      </c>
      <c r="K156" t="b">
        <f t="shared" si="2"/>
        <v>0</v>
      </c>
      <c r="M156"/>
      <c r="N156" s="68"/>
    </row>
    <row r="157" spans="1:14" x14ac:dyDescent="0.2">
      <c r="A157">
        <v>218</v>
      </c>
      <c r="B157" t="s">
        <v>1650</v>
      </c>
      <c r="C157" s="43" t="s">
        <v>1608</v>
      </c>
      <c r="D157" s="43" t="s">
        <v>1651</v>
      </c>
      <c r="E157" s="43" t="s">
        <v>4882</v>
      </c>
      <c r="H157" t="b">
        <f>ISNUMBER(MATCH(B157,'Old Sheet'!$B$2:$B$305,0))</f>
        <v>1</v>
      </c>
      <c r="I157" s="43" t="s">
        <v>4798</v>
      </c>
      <c r="J157" s="43" t="s">
        <v>5023</v>
      </c>
      <c r="K157" t="b">
        <f t="shared" si="2"/>
        <v>0</v>
      </c>
      <c r="M157"/>
      <c r="N157" s="68"/>
    </row>
    <row r="158" spans="1:14" x14ac:dyDescent="0.2">
      <c r="A158">
        <v>218</v>
      </c>
      <c r="B158" t="s">
        <v>1654</v>
      </c>
      <c r="C158" s="43" t="s">
        <v>1622</v>
      </c>
      <c r="D158" s="43" t="s">
        <v>1655</v>
      </c>
      <c r="E158" s="43" t="s">
        <v>4882</v>
      </c>
      <c r="H158" t="b">
        <f>ISNUMBER(MATCH(B158,'Old Sheet'!$B$2:$B$305,0))</f>
        <v>1</v>
      </c>
      <c r="I158" s="43" t="s">
        <v>4798</v>
      </c>
      <c r="J158" s="43" t="s">
        <v>5023</v>
      </c>
      <c r="K158" t="b">
        <f t="shared" si="2"/>
        <v>0</v>
      </c>
      <c r="M158"/>
      <c r="N158" s="68"/>
    </row>
    <row r="159" spans="1:14" x14ac:dyDescent="0.2">
      <c r="A159">
        <v>218</v>
      </c>
      <c r="B159" t="s">
        <v>1642</v>
      </c>
      <c r="C159" s="43" t="s">
        <v>1594</v>
      </c>
      <c r="D159" s="43" t="s">
        <v>1643</v>
      </c>
      <c r="E159" s="43" t="s">
        <v>4882</v>
      </c>
      <c r="H159" t="b">
        <f>ISNUMBER(MATCH(B159,'Old Sheet'!$B$2:$B$305,0))</f>
        <v>1</v>
      </c>
      <c r="I159" s="43" t="s">
        <v>4798</v>
      </c>
      <c r="J159" s="43" t="s">
        <v>5023</v>
      </c>
      <c r="K159" t="b">
        <f t="shared" si="2"/>
        <v>0</v>
      </c>
      <c r="M159"/>
      <c r="N159" s="68"/>
    </row>
    <row r="160" spans="1:14" x14ac:dyDescent="0.2">
      <c r="A160">
        <v>218</v>
      </c>
      <c r="B160" t="s">
        <v>1648</v>
      </c>
      <c r="C160" s="43" t="s">
        <v>1587</v>
      </c>
      <c r="D160" s="43" t="s">
        <v>1649</v>
      </c>
      <c r="E160" s="43" t="s">
        <v>4882</v>
      </c>
      <c r="H160" t="b">
        <f>ISNUMBER(MATCH(B160,'Old Sheet'!$B$2:$B$305,0))</f>
        <v>1</v>
      </c>
      <c r="I160" s="43" t="s">
        <v>4798</v>
      </c>
      <c r="J160" s="43" t="s">
        <v>5023</v>
      </c>
      <c r="K160" t="b">
        <f t="shared" si="2"/>
        <v>0</v>
      </c>
      <c r="M160"/>
      <c r="N160" s="68"/>
    </row>
    <row r="161" spans="1:20" x14ac:dyDescent="0.2">
      <c r="A161">
        <v>218</v>
      </c>
      <c r="B161" t="s">
        <v>1646</v>
      </c>
      <c r="C161" s="43" t="s">
        <v>1601</v>
      </c>
      <c r="D161" s="43" t="s">
        <v>1647</v>
      </c>
      <c r="E161" s="43" t="s">
        <v>4882</v>
      </c>
      <c r="H161" t="b">
        <f>ISNUMBER(MATCH(B161,'Old Sheet'!$B$2:$B$305,0))</f>
        <v>1</v>
      </c>
      <c r="I161" s="43" t="s">
        <v>4798</v>
      </c>
      <c r="J161" s="43" t="s">
        <v>5023</v>
      </c>
      <c r="K161" t="b">
        <f t="shared" si="2"/>
        <v>0</v>
      </c>
      <c r="M161"/>
      <c r="N161" s="68"/>
    </row>
    <row r="162" spans="1:20" x14ac:dyDescent="0.2">
      <c r="A162">
        <v>218</v>
      </c>
      <c r="B162" t="s">
        <v>1656</v>
      </c>
      <c r="C162" s="43" t="s">
        <v>1615</v>
      </c>
      <c r="D162" s="43" t="s">
        <v>4264</v>
      </c>
      <c r="E162" s="43" t="s">
        <v>4882</v>
      </c>
      <c r="H162" t="b">
        <f>ISNUMBER(MATCH(B162,'Old Sheet'!$B$2:$B$305,0))</f>
        <v>1</v>
      </c>
      <c r="I162" s="43" t="s">
        <v>4798</v>
      </c>
      <c r="J162" s="43" t="s">
        <v>5023</v>
      </c>
      <c r="K162" t="b">
        <f t="shared" si="2"/>
        <v>0</v>
      </c>
      <c r="M162"/>
      <c r="N162" s="68"/>
    </row>
    <row r="163" spans="1:20" s="33" customFormat="1" x14ac:dyDescent="0.2">
      <c r="A163" s="33">
        <v>219</v>
      </c>
      <c r="B163" s="33" t="s">
        <v>2792</v>
      </c>
      <c r="C163" s="78" t="s">
        <v>2789</v>
      </c>
      <c r="D163" s="78" t="s">
        <v>2793</v>
      </c>
      <c r="E163" s="78" t="s">
        <v>2793</v>
      </c>
      <c r="F163" s="33" t="s">
        <v>5151</v>
      </c>
      <c r="H163" s="33" t="b">
        <f>ISNUMBER(MATCH(B163,'Old Sheet'!$B$2:$B$305,0))</f>
        <v>1</v>
      </c>
      <c r="I163" s="78" t="s">
        <v>4798</v>
      </c>
      <c r="J163" s="78" t="s">
        <v>5023</v>
      </c>
      <c r="K163" s="33" t="b">
        <f t="shared" si="2"/>
        <v>0</v>
      </c>
      <c r="N163" s="79"/>
      <c r="O163" s="79"/>
      <c r="S163"/>
      <c r="T163"/>
    </row>
    <row r="164" spans="1:20" x14ac:dyDescent="0.2">
      <c r="A164">
        <v>220</v>
      </c>
      <c r="B164" t="s">
        <v>1568</v>
      </c>
      <c r="C164" s="43" t="s">
        <v>1563</v>
      </c>
      <c r="D164" s="43" t="s">
        <v>4782</v>
      </c>
      <c r="E164" s="43" t="s">
        <v>4782</v>
      </c>
      <c r="F164" s="76" t="s">
        <v>5157</v>
      </c>
      <c r="G164" s="76"/>
      <c r="H164" t="b">
        <f>ISNUMBER(MATCH(B164,'Old Sheet'!$B$2:$B$305,0))</f>
        <v>1</v>
      </c>
      <c r="I164" s="43" t="s">
        <v>4799</v>
      </c>
      <c r="J164" s="43" t="s">
        <v>5076</v>
      </c>
      <c r="K164" t="b">
        <f t="shared" si="2"/>
        <v>0</v>
      </c>
      <c r="M164"/>
      <c r="N164" s="68"/>
    </row>
    <row r="165" spans="1:20" x14ac:dyDescent="0.2">
      <c r="A165">
        <v>221</v>
      </c>
      <c r="B165" t="s">
        <v>1486</v>
      </c>
      <c r="C165" s="43" t="s">
        <v>1482</v>
      </c>
      <c r="D165" s="43" t="s">
        <v>4271</v>
      </c>
      <c r="E165" s="43" t="s">
        <v>4883</v>
      </c>
      <c r="H165" t="b">
        <f>ISNUMBER(MATCH(B165,'Old Sheet'!$B$2:$B$305,0))</f>
        <v>1</v>
      </c>
      <c r="I165" s="43" t="s">
        <v>4798</v>
      </c>
      <c r="J165" s="43" t="s">
        <v>5023</v>
      </c>
      <c r="K165" t="b">
        <f t="shared" si="2"/>
        <v>0</v>
      </c>
      <c r="M165"/>
      <c r="N165" s="68"/>
    </row>
    <row r="166" spans="1:20" x14ac:dyDescent="0.2">
      <c r="A166">
        <v>221</v>
      </c>
      <c r="B166" t="s">
        <v>1531</v>
      </c>
      <c r="C166" s="43" t="s">
        <v>1527</v>
      </c>
      <c r="D166" s="43" t="s">
        <v>4280</v>
      </c>
      <c r="E166" s="43" t="s">
        <v>4883</v>
      </c>
      <c r="H166" t="b">
        <f>ISNUMBER(MATCH(B166,'Old Sheet'!$B$2:$B$305,0))</f>
        <v>1</v>
      </c>
      <c r="I166" s="43" t="s">
        <v>4798</v>
      </c>
      <c r="J166" s="43" t="s">
        <v>5023</v>
      </c>
      <c r="K166" t="b">
        <f t="shared" si="2"/>
        <v>0</v>
      </c>
      <c r="M166"/>
      <c r="N166" s="68"/>
    </row>
    <row r="167" spans="1:20" x14ac:dyDescent="0.2">
      <c r="A167">
        <v>221</v>
      </c>
      <c r="B167" t="s">
        <v>1540</v>
      </c>
      <c r="C167" s="43" t="s">
        <v>1536</v>
      </c>
      <c r="D167" s="43" t="s">
        <v>4276</v>
      </c>
      <c r="E167" s="43" t="s">
        <v>4883</v>
      </c>
      <c r="H167" t="b">
        <f>ISNUMBER(MATCH(B167,'Old Sheet'!$B$2:$B$305,0))</f>
        <v>1</v>
      </c>
      <c r="I167" s="43" t="s">
        <v>4798</v>
      </c>
      <c r="J167" s="43" t="s">
        <v>5023</v>
      </c>
      <c r="K167" t="b">
        <f t="shared" si="2"/>
        <v>0</v>
      </c>
      <c r="M167"/>
      <c r="N167" s="68"/>
    </row>
    <row r="168" spans="1:20" x14ac:dyDescent="0.2">
      <c r="A168">
        <v>221</v>
      </c>
      <c r="B168" t="s">
        <v>1549</v>
      </c>
      <c r="C168" s="43" t="s">
        <v>1545</v>
      </c>
      <c r="D168" s="43" t="s">
        <v>1550</v>
      </c>
      <c r="E168" s="43" t="s">
        <v>4883</v>
      </c>
      <c r="H168" t="b">
        <f>ISNUMBER(MATCH(B168,'Old Sheet'!$B$2:$B$305,0))</f>
        <v>1</v>
      </c>
      <c r="I168" s="43" t="s">
        <v>4798</v>
      </c>
      <c r="J168" s="43" t="s">
        <v>5023</v>
      </c>
      <c r="K168" t="b">
        <f t="shared" si="2"/>
        <v>0</v>
      </c>
      <c r="M168"/>
      <c r="N168" s="68"/>
    </row>
    <row r="169" spans="1:20" x14ac:dyDescent="0.2">
      <c r="A169">
        <v>221</v>
      </c>
      <c r="B169" t="s">
        <v>1522</v>
      </c>
      <c r="C169" s="43" t="s">
        <v>1518</v>
      </c>
      <c r="D169" s="43" t="s">
        <v>1523</v>
      </c>
      <c r="E169" s="43" t="s">
        <v>4883</v>
      </c>
      <c r="H169" t="b">
        <f>ISNUMBER(MATCH(B169,'Old Sheet'!$B$2:$B$305,0))</f>
        <v>1</v>
      </c>
      <c r="I169" s="43" t="s">
        <v>4798</v>
      </c>
      <c r="J169" s="43" t="s">
        <v>5023</v>
      </c>
      <c r="K169" t="b">
        <f t="shared" si="2"/>
        <v>0</v>
      </c>
      <c r="M169"/>
      <c r="N169" s="68"/>
    </row>
    <row r="170" spans="1:20" x14ac:dyDescent="0.2">
      <c r="A170">
        <v>221</v>
      </c>
      <c r="B170" t="s">
        <v>1495</v>
      </c>
      <c r="C170" s="43" t="s">
        <v>1491</v>
      </c>
      <c r="D170" s="43" t="s">
        <v>1496</v>
      </c>
      <c r="E170" s="43" t="s">
        <v>4883</v>
      </c>
      <c r="H170" t="b">
        <f>ISNUMBER(MATCH(B170,'Old Sheet'!$B$2:$B$305,0))</f>
        <v>1</v>
      </c>
      <c r="I170" s="43" t="s">
        <v>4798</v>
      </c>
      <c r="J170" s="43" t="s">
        <v>5023</v>
      </c>
      <c r="K170" t="b">
        <f t="shared" si="2"/>
        <v>0</v>
      </c>
      <c r="M170"/>
      <c r="N170" s="68"/>
    </row>
    <row r="171" spans="1:20" x14ac:dyDescent="0.2">
      <c r="A171">
        <v>221</v>
      </c>
      <c r="B171" t="s">
        <v>1513</v>
      </c>
      <c r="C171" s="43" t="s">
        <v>1509</v>
      </c>
      <c r="D171" s="43" t="s">
        <v>1514</v>
      </c>
      <c r="E171" s="43" t="s">
        <v>4883</v>
      </c>
      <c r="H171" t="b">
        <f>ISNUMBER(MATCH(B171,'Old Sheet'!$B$2:$B$305,0))</f>
        <v>1</v>
      </c>
      <c r="I171" s="43" t="s">
        <v>4798</v>
      </c>
      <c r="J171" s="43" t="s">
        <v>5023</v>
      </c>
      <c r="K171" t="b">
        <f t="shared" si="2"/>
        <v>0</v>
      </c>
      <c r="M171"/>
      <c r="N171" s="68"/>
    </row>
    <row r="172" spans="1:20" x14ac:dyDescent="0.2">
      <c r="A172">
        <v>221</v>
      </c>
      <c r="B172" t="s">
        <v>1558</v>
      </c>
      <c r="C172" s="43" t="s">
        <v>1554</v>
      </c>
      <c r="D172" s="43" t="s">
        <v>1559</v>
      </c>
      <c r="E172" s="43" t="s">
        <v>4883</v>
      </c>
      <c r="H172" t="b">
        <f>ISNUMBER(MATCH(B172,'Old Sheet'!$B$2:$B$305,0))</f>
        <v>1</v>
      </c>
      <c r="I172" s="43" t="s">
        <v>4798</v>
      </c>
      <c r="J172" s="43" t="s">
        <v>5023</v>
      </c>
      <c r="K172" t="b">
        <f t="shared" si="2"/>
        <v>0</v>
      </c>
      <c r="M172"/>
      <c r="N172" s="68"/>
    </row>
    <row r="173" spans="1:20" x14ac:dyDescent="0.2">
      <c r="A173">
        <v>221</v>
      </c>
      <c r="B173" t="s">
        <v>1504</v>
      </c>
      <c r="C173" s="43" t="s">
        <v>1500</v>
      </c>
      <c r="D173" s="43" t="s">
        <v>4222</v>
      </c>
      <c r="E173" s="43" t="s">
        <v>4883</v>
      </c>
      <c r="H173" t="b">
        <f>ISNUMBER(MATCH(B173,'Old Sheet'!$B$2:$B$305,0))</f>
        <v>1</v>
      </c>
      <c r="I173" s="43" t="s">
        <v>4798</v>
      </c>
      <c r="J173" s="43" t="s">
        <v>5023</v>
      </c>
      <c r="K173" t="b">
        <f t="shared" si="2"/>
        <v>0</v>
      </c>
      <c r="M173"/>
      <c r="N173" s="68"/>
    </row>
    <row r="174" spans="1:20" x14ac:dyDescent="0.2">
      <c r="A174">
        <v>221</v>
      </c>
      <c r="B174" t="s">
        <v>1477</v>
      </c>
      <c r="C174" s="43" t="s">
        <v>1473</v>
      </c>
      <c r="D174" s="43" t="s">
        <v>1478</v>
      </c>
      <c r="E174" s="43" t="s">
        <v>4883</v>
      </c>
      <c r="H174" t="b">
        <f>ISNUMBER(MATCH(B174,'Old Sheet'!$B$2:$B$305,0))</f>
        <v>1</v>
      </c>
      <c r="I174" s="43" t="s">
        <v>4798</v>
      </c>
      <c r="J174" s="43" t="s">
        <v>5023</v>
      </c>
      <c r="K174" t="b">
        <f t="shared" si="2"/>
        <v>0</v>
      </c>
      <c r="M174"/>
      <c r="N174" s="68"/>
    </row>
    <row r="175" spans="1:20" x14ac:dyDescent="0.2">
      <c r="A175">
        <v>222</v>
      </c>
      <c r="B175" t="s">
        <v>1820</v>
      </c>
      <c r="C175" s="43" t="s">
        <v>1815</v>
      </c>
      <c r="D175" s="43" t="s">
        <v>1821</v>
      </c>
      <c r="E175" s="43" t="s">
        <v>1821</v>
      </c>
      <c r="F175" t="s">
        <v>5151</v>
      </c>
      <c r="H175" t="b">
        <f>ISNUMBER(MATCH(B175,'Old Sheet'!$B$2:$B$305,0))</f>
        <v>1</v>
      </c>
      <c r="I175" s="43" t="s">
        <v>4799</v>
      </c>
      <c r="J175" s="43" t="s">
        <v>5076</v>
      </c>
      <c r="K175" t="b">
        <f t="shared" si="2"/>
        <v>0</v>
      </c>
      <c r="M175"/>
      <c r="N175" s="68"/>
    </row>
    <row r="176" spans="1:20" x14ac:dyDescent="0.2">
      <c r="A176">
        <v>223</v>
      </c>
      <c r="B176" t="s">
        <v>1441</v>
      </c>
      <c r="C176" s="43" t="s">
        <v>1437</v>
      </c>
      <c r="D176" s="43" t="s">
        <v>1442</v>
      </c>
      <c r="E176" s="43" t="s">
        <v>4884</v>
      </c>
      <c r="H176" t="b">
        <f>ISNUMBER(MATCH(B176,'Old Sheet'!$B$2:$B$305,0))</f>
        <v>1</v>
      </c>
      <c r="I176" s="43" t="s">
        <v>4798</v>
      </c>
      <c r="J176" s="43" t="s">
        <v>5023</v>
      </c>
      <c r="K176" t="b">
        <f t="shared" si="2"/>
        <v>0</v>
      </c>
      <c r="M176"/>
      <c r="N176" s="68"/>
    </row>
    <row r="177" spans="1:14" x14ac:dyDescent="0.2">
      <c r="A177">
        <v>223</v>
      </c>
      <c r="B177" t="s">
        <v>1450</v>
      </c>
      <c r="C177" s="43" t="s">
        <v>1446</v>
      </c>
      <c r="D177" s="43" t="s">
        <v>1451</v>
      </c>
      <c r="E177" s="43" t="s">
        <v>4884</v>
      </c>
      <c r="H177" t="b">
        <f>ISNUMBER(MATCH(B177,'Old Sheet'!$B$2:$B$305,0))</f>
        <v>1</v>
      </c>
      <c r="I177" s="43" t="s">
        <v>4798</v>
      </c>
      <c r="J177" s="43" t="s">
        <v>5023</v>
      </c>
      <c r="K177" t="b">
        <f t="shared" si="2"/>
        <v>0</v>
      </c>
      <c r="M177"/>
      <c r="N177" s="68"/>
    </row>
    <row r="178" spans="1:14" x14ac:dyDescent="0.2">
      <c r="A178">
        <v>223</v>
      </c>
      <c r="B178" t="s">
        <v>1459</v>
      </c>
      <c r="C178" s="43" t="s">
        <v>1455</v>
      </c>
      <c r="D178" s="43" t="s">
        <v>1460</v>
      </c>
      <c r="E178" s="43" t="s">
        <v>4884</v>
      </c>
      <c r="H178" t="b">
        <f>ISNUMBER(MATCH(B178,'Old Sheet'!$B$2:$B$305,0))</f>
        <v>1</v>
      </c>
      <c r="I178" s="43" t="s">
        <v>4798</v>
      </c>
      <c r="J178" s="43" t="s">
        <v>5023</v>
      </c>
      <c r="K178" t="b">
        <f t="shared" si="2"/>
        <v>0</v>
      </c>
      <c r="M178"/>
      <c r="N178" s="68"/>
    </row>
    <row r="179" spans="1:14" x14ac:dyDescent="0.2">
      <c r="A179">
        <v>223</v>
      </c>
      <c r="B179" t="s">
        <v>1468</v>
      </c>
      <c r="C179" s="43" t="s">
        <v>1464</v>
      </c>
      <c r="D179" s="43" t="s">
        <v>1469</v>
      </c>
      <c r="E179" s="43" t="s">
        <v>4884</v>
      </c>
      <c r="H179" t="b">
        <f>ISNUMBER(MATCH(B179,'Old Sheet'!$B$2:$B$305,0))</f>
        <v>1</v>
      </c>
      <c r="I179" s="43" t="s">
        <v>4798</v>
      </c>
      <c r="J179" s="43" t="s">
        <v>5023</v>
      </c>
      <c r="K179" t="b">
        <f t="shared" si="2"/>
        <v>0</v>
      </c>
      <c r="M179"/>
      <c r="N179" s="68"/>
    </row>
    <row r="180" spans="1:14" x14ac:dyDescent="0.2">
      <c r="A180">
        <v>224</v>
      </c>
      <c r="B180" t="s">
        <v>4728</v>
      </c>
      <c r="C180" s="43" t="s">
        <v>4783</v>
      </c>
      <c r="D180" s="43" t="s">
        <v>4727</v>
      </c>
      <c r="E180" s="43" t="s">
        <v>4885</v>
      </c>
      <c r="H180" t="b">
        <f>ISNUMBER(MATCH(B180,'Old Sheet'!$B$2:$B$305,0))</f>
        <v>1</v>
      </c>
      <c r="I180" s="43" t="s">
        <v>4798</v>
      </c>
      <c r="J180" s="43" t="s">
        <v>5023</v>
      </c>
      <c r="K180" t="b">
        <f t="shared" si="2"/>
        <v>0</v>
      </c>
      <c r="M180"/>
      <c r="N180" s="68"/>
    </row>
    <row r="181" spans="1:14" x14ac:dyDescent="0.2">
      <c r="A181">
        <v>224</v>
      </c>
      <c r="B181" t="s">
        <v>4730</v>
      </c>
      <c r="C181" s="43" t="s">
        <v>4784</v>
      </c>
      <c r="D181" s="43" t="s">
        <v>4729</v>
      </c>
      <c r="E181" s="43" t="s">
        <v>4885</v>
      </c>
      <c r="H181" t="b">
        <f>ISNUMBER(MATCH(B181,'Old Sheet'!$B$2:$B$305,0))</f>
        <v>1</v>
      </c>
      <c r="I181" s="43" t="s">
        <v>4798</v>
      </c>
      <c r="J181" s="43" t="s">
        <v>5023</v>
      </c>
      <c r="K181" t="b">
        <f t="shared" si="2"/>
        <v>0</v>
      </c>
      <c r="M181"/>
      <c r="N181" s="68"/>
    </row>
    <row r="182" spans="1:14" x14ac:dyDescent="0.2">
      <c r="A182">
        <v>224</v>
      </c>
      <c r="B182" t="s">
        <v>4732</v>
      </c>
      <c r="C182" s="43" t="s">
        <v>4785</v>
      </c>
      <c r="D182" s="43" t="s">
        <v>4731</v>
      </c>
      <c r="E182" s="43" t="s">
        <v>4885</v>
      </c>
      <c r="H182" t="b">
        <f>ISNUMBER(MATCH(B182,'Old Sheet'!$B$2:$B$305,0))</f>
        <v>1</v>
      </c>
      <c r="I182" s="43" t="s">
        <v>4798</v>
      </c>
      <c r="J182" s="43" t="s">
        <v>5023</v>
      </c>
      <c r="K182" t="b">
        <f t="shared" si="2"/>
        <v>0</v>
      </c>
      <c r="M182"/>
      <c r="N182" s="68"/>
    </row>
    <row r="183" spans="1:14" x14ac:dyDescent="0.2">
      <c r="A183">
        <v>224</v>
      </c>
      <c r="B183" t="s">
        <v>4734</v>
      </c>
      <c r="C183" s="43" t="s">
        <v>4786</v>
      </c>
      <c r="D183" s="43" t="s">
        <v>4733</v>
      </c>
      <c r="E183" s="43" t="s">
        <v>4885</v>
      </c>
      <c r="H183" t="b">
        <f>ISNUMBER(MATCH(B183,'Old Sheet'!$B$2:$B$305,0))</f>
        <v>1</v>
      </c>
      <c r="I183" s="43" t="s">
        <v>4798</v>
      </c>
      <c r="J183" s="43" t="s">
        <v>5023</v>
      </c>
      <c r="K183" t="b">
        <f t="shared" si="2"/>
        <v>0</v>
      </c>
      <c r="M183"/>
      <c r="N183" s="68"/>
    </row>
    <row r="184" spans="1:14" x14ac:dyDescent="0.2">
      <c r="A184">
        <v>224</v>
      </c>
      <c r="B184" t="s">
        <v>1396</v>
      </c>
      <c r="C184" s="43" t="s">
        <v>1392</v>
      </c>
      <c r="D184" s="43" t="s">
        <v>1397</v>
      </c>
      <c r="E184" s="43" t="s">
        <v>4885</v>
      </c>
      <c r="H184" t="b">
        <f>ISNUMBER(MATCH(B184,'Old Sheet'!$B$2:$B$305,0))</f>
        <v>1</v>
      </c>
      <c r="I184" s="43" t="s">
        <v>4798</v>
      </c>
      <c r="J184" s="43" t="s">
        <v>5023</v>
      </c>
      <c r="K184" t="b">
        <f t="shared" si="2"/>
        <v>0</v>
      </c>
      <c r="M184"/>
      <c r="N184" s="68"/>
    </row>
    <row r="185" spans="1:14" x14ac:dyDescent="0.2">
      <c r="A185">
        <v>224</v>
      </c>
      <c r="B185" t="s">
        <v>1405</v>
      </c>
      <c r="C185" s="43" t="s">
        <v>1401</v>
      </c>
      <c r="D185" s="43" t="s">
        <v>1406</v>
      </c>
      <c r="E185" s="43" t="s">
        <v>4885</v>
      </c>
      <c r="H185" t="b">
        <f>ISNUMBER(MATCH(B185,'Old Sheet'!$B$2:$B$305,0))</f>
        <v>1</v>
      </c>
      <c r="I185" s="43" t="s">
        <v>4798</v>
      </c>
      <c r="J185" s="43" t="s">
        <v>5023</v>
      </c>
      <c r="K185" t="b">
        <f t="shared" si="2"/>
        <v>0</v>
      </c>
      <c r="M185"/>
      <c r="N185" s="68"/>
    </row>
    <row r="186" spans="1:14" x14ac:dyDescent="0.2">
      <c r="A186">
        <v>224</v>
      </c>
      <c r="B186" t="s">
        <v>1432</v>
      </c>
      <c r="C186" s="43" t="s">
        <v>1428</v>
      </c>
      <c r="D186" s="43" t="s">
        <v>1433</v>
      </c>
      <c r="E186" s="43" t="s">
        <v>4885</v>
      </c>
      <c r="H186" t="b">
        <f>ISNUMBER(MATCH(B186,'Old Sheet'!$B$2:$B$305,0))</f>
        <v>1</v>
      </c>
      <c r="I186" s="43" t="s">
        <v>4798</v>
      </c>
      <c r="J186" s="43" t="s">
        <v>5023</v>
      </c>
      <c r="K186" t="b">
        <f t="shared" si="2"/>
        <v>0</v>
      </c>
      <c r="M186"/>
      <c r="N186" s="68"/>
    </row>
    <row r="187" spans="1:14" x14ac:dyDescent="0.2">
      <c r="A187">
        <v>224</v>
      </c>
      <c r="B187" t="s">
        <v>1423</v>
      </c>
      <c r="C187" s="43" t="s">
        <v>1419</v>
      </c>
      <c r="D187" s="43" t="s">
        <v>1424</v>
      </c>
      <c r="E187" s="43" t="s">
        <v>4885</v>
      </c>
      <c r="H187" t="b">
        <f>ISNUMBER(MATCH(B187,'Old Sheet'!$B$2:$B$305,0))</f>
        <v>1</v>
      </c>
      <c r="I187" s="43" t="s">
        <v>4798</v>
      </c>
      <c r="J187" s="43" t="s">
        <v>5023</v>
      </c>
      <c r="K187" t="b">
        <f t="shared" si="2"/>
        <v>0</v>
      </c>
      <c r="M187"/>
      <c r="N187" s="68"/>
    </row>
    <row r="188" spans="1:14" x14ac:dyDescent="0.2">
      <c r="A188">
        <v>224</v>
      </c>
      <c r="B188" t="s">
        <v>1414</v>
      </c>
      <c r="C188" s="43" t="s">
        <v>1410</v>
      </c>
      <c r="D188" s="43" t="s">
        <v>1415</v>
      </c>
      <c r="E188" s="43" t="s">
        <v>4885</v>
      </c>
      <c r="H188" t="b">
        <f>ISNUMBER(MATCH(B188,'Old Sheet'!$B$2:$B$305,0))</f>
        <v>1</v>
      </c>
      <c r="I188" s="43" t="s">
        <v>4798</v>
      </c>
      <c r="J188" s="43" t="s">
        <v>5023</v>
      </c>
      <c r="K188" t="b">
        <f t="shared" si="2"/>
        <v>0</v>
      </c>
      <c r="M188"/>
      <c r="N188" s="68"/>
    </row>
    <row r="189" spans="1:14" x14ac:dyDescent="0.2">
      <c r="A189">
        <v>224</v>
      </c>
      <c r="B189" t="s">
        <v>1387</v>
      </c>
      <c r="C189" s="43" t="s">
        <v>1383</v>
      </c>
      <c r="D189" s="43" t="s">
        <v>4735</v>
      </c>
      <c r="E189" s="43" t="s">
        <v>4885</v>
      </c>
      <c r="H189" t="b">
        <f>ISNUMBER(MATCH(B189,'Old Sheet'!$B$2:$B$305,0))</f>
        <v>1</v>
      </c>
      <c r="I189" s="43" t="s">
        <v>4798</v>
      </c>
      <c r="J189" s="43" t="s">
        <v>5023</v>
      </c>
      <c r="K189" t="b">
        <f t="shared" si="2"/>
        <v>0</v>
      </c>
      <c r="M189"/>
      <c r="N189" s="68"/>
    </row>
    <row r="190" spans="1:14" x14ac:dyDescent="0.2">
      <c r="A190">
        <v>225</v>
      </c>
      <c r="B190" t="s">
        <v>4746</v>
      </c>
      <c r="C190" s="43" t="s">
        <v>4787</v>
      </c>
      <c r="D190" s="43" t="s">
        <v>4788</v>
      </c>
      <c r="E190" s="43" t="s">
        <v>4788</v>
      </c>
      <c r="H190" t="b">
        <f>ISNUMBER(MATCH(B190,'Old Sheet'!$B$2:$B$305,0))</f>
        <v>0</v>
      </c>
      <c r="I190" s="43" t="s">
        <v>4798</v>
      </c>
      <c r="J190" s="43" t="s">
        <v>5023</v>
      </c>
      <c r="K190" t="b">
        <f t="shared" si="2"/>
        <v>0</v>
      </c>
      <c r="M190"/>
      <c r="N190" s="68"/>
    </row>
    <row r="191" spans="1:14" x14ac:dyDescent="0.2">
      <c r="A191">
        <v>226</v>
      </c>
      <c r="B191" t="s">
        <v>4748</v>
      </c>
      <c r="C191" s="43" t="s">
        <v>4789</v>
      </c>
      <c r="D191" s="43" t="s">
        <v>4790</v>
      </c>
      <c r="E191" s="43" t="s">
        <v>4790</v>
      </c>
      <c r="H191" t="b">
        <f>ISNUMBER(MATCH(B191,'Old Sheet'!$B$2:$B$305,0))</f>
        <v>0</v>
      </c>
      <c r="I191" s="43" t="s">
        <v>4887</v>
      </c>
      <c r="J191" s="43" t="s">
        <v>5023</v>
      </c>
      <c r="K191" t="b">
        <f t="shared" si="2"/>
        <v>0</v>
      </c>
      <c r="M191"/>
      <c r="N191" s="68"/>
    </row>
    <row r="192" spans="1:14" x14ac:dyDescent="0.2">
      <c r="A192">
        <v>227</v>
      </c>
      <c r="B192" t="s">
        <v>4747</v>
      </c>
      <c r="C192" s="43" t="s">
        <v>4791</v>
      </c>
      <c r="D192" s="43" t="s">
        <v>4792</v>
      </c>
      <c r="E192" s="43" t="s">
        <v>4792</v>
      </c>
      <c r="H192" t="b">
        <f>ISNUMBER(MATCH(B192,'Old Sheet'!$B$2:$B$305,0))</f>
        <v>0</v>
      </c>
      <c r="I192" s="43" t="s">
        <v>4798</v>
      </c>
      <c r="J192" s="43" t="s">
        <v>5023</v>
      </c>
      <c r="K192" t="b">
        <f t="shared" si="2"/>
        <v>0</v>
      </c>
      <c r="M192"/>
      <c r="N192" s="68"/>
    </row>
    <row r="193" spans="1:20" x14ac:dyDescent="0.2">
      <c r="A193">
        <v>228</v>
      </c>
      <c r="B193" t="s">
        <v>4759</v>
      </c>
      <c r="C193" s="43" t="s">
        <v>4793</v>
      </c>
      <c r="D193" s="43" t="s">
        <v>4794</v>
      </c>
      <c r="E193" s="43" t="s">
        <v>4794</v>
      </c>
      <c r="F193" s="76" t="s">
        <v>5157</v>
      </c>
      <c r="G193" s="76"/>
      <c r="H193" t="b">
        <f>ISNUMBER(MATCH(B193,'Old Sheet'!$B$2:$B$305,0))</f>
        <v>0</v>
      </c>
      <c r="I193" s="43" t="s">
        <v>4895</v>
      </c>
      <c r="J193" s="43" t="s">
        <v>5149</v>
      </c>
      <c r="K193" t="b">
        <f t="shared" si="2"/>
        <v>0</v>
      </c>
      <c r="M193"/>
      <c r="N193" s="68"/>
    </row>
    <row r="194" spans="1:20" s="79" customFormat="1" x14ac:dyDescent="0.2">
      <c r="A194" s="79">
        <v>229</v>
      </c>
      <c r="B194" s="79" t="s">
        <v>4739</v>
      </c>
      <c r="C194" s="79" t="s">
        <v>4795</v>
      </c>
      <c r="D194" s="79" t="s">
        <v>4796</v>
      </c>
      <c r="E194" s="79" t="s">
        <v>4796</v>
      </c>
      <c r="F194" s="79" t="s">
        <v>5151</v>
      </c>
      <c r="H194" s="79" t="b">
        <f>ISNUMBER(MATCH(B194,'Old Sheet'!$B$2:$B$305,0))</f>
        <v>1</v>
      </c>
      <c r="I194" s="79" t="s">
        <v>4798</v>
      </c>
      <c r="J194" s="79" t="s">
        <v>5023</v>
      </c>
      <c r="K194" s="33" t="b">
        <f t="shared" si="2"/>
        <v>0</v>
      </c>
      <c r="S194"/>
      <c r="T194"/>
    </row>
    <row r="195" spans="1:20" x14ac:dyDescent="0.2">
      <c r="B195" t="s">
        <v>3632</v>
      </c>
    </row>
    <row r="196" spans="1:20" x14ac:dyDescent="0.2">
      <c r="A196" s="79"/>
      <c r="B196" t="s">
        <v>1272</v>
      </c>
    </row>
    <row r="197" spans="1:20" x14ac:dyDescent="0.2">
      <c r="B197" t="s">
        <v>1058</v>
      </c>
    </row>
    <row r="198" spans="1:20" x14ac:dyDescent="0.2">
      <c r="A198" s="79"/>
      <c r="B198" t="s">
        <v>450</v>
      </c>
    </row>
    <row r="199" spans="1:20" x14ac:dyDescent="0.2">
      <c r="B199" t="s">
        <v>3874</v>
      </c>
    </row>
    <row r="200" spans="1:20" x14ac:dyDescent="0.2">
      <c r="A200" s="79"/>
      <c r="B200" t="s">
        <v>3526</v>
      </c>
    </row>
    <row r="201" spans="1:20" x14ac:dyDescent="0.2">
      <c r="B201" t="s">
        <v>839</v>
      </c>
    </row>
    <row r="202" spans="1:20" x14ac:dyDescent="0.2">
      <c r="A202" s="79"/>
      <c r="B202" t="s">
        <v>2108</v>
      </c>
    </row>
    <row r="203" spans="1:20" x14ac:dyDescent="0.2">
      <c r="B203" t="s">
        <v>3544</v>
      </c>
    </row>
    <row r="204" spans="1:20" x14ac:dyDescent="0.2">
      <c r="A204" s="79"/>
      <c r="B204" t="s">
        <v>827</v>
      </c>
    </row>
    <row r="205" spans="1:20" x14ac:dyDescent="0.2">
      <c r="B205" t="s">
        <v>3499</v>
      </c>
    </row>
    <row r="206" spans="1:20" x14ac:dyDescent="0.2">
      <c r="A206" s="79"/>
      <c r="B206" t="s">
        <v>1128</v>
      </c>
    </row>
    <row r="207" spans="1:20" x14ac:dyDescent="0.2">
      <c r="B207" t="s">
        <v>1315</v>
      </c>
    </row>
    <row r="208" spans="1:20" x14ac:dyDescent="0.2">
      <c r="A208" s="79"/>
      <c r="B208" t="s">
        <v>1190</v>
      </c>
    </row>
    <row r="209" spans="1:2" x14ac:dyDescent="0.2">
      <c r="B209" t="s">
        <v>3559</v>
      </c>
    </row>
    <row r="210" spans="1:2" x14ac:dyDescent="0.2">
      <c r="A210" s="79"/>
      <c r="B210" t="s">
        <v>1284</v>
      </c>
    </row>
    <row r="211" spans="1:2" x14ac:dyDescent="0.2">
      <c r="B211" t="s">
        <v>2126</v>
      </c>
    </row>
    <row r="212" spans="1:2" x14ac:dyDescent="0.2">
      <c r="A212" s="79"/>
      <c r="B212" t="s">
        <v>3535</v>
      </c>
    </row>
    <row r="213" spans="1:2" x14ac:dyDescent="0.2">
      <c r="B213" t="s">
        <v>3508</v>
      </c>
    </row>
    <row r="214" spans="1:2" x14ac:dyDescent="0.2">
      <c r="A214" s="79"/>
      <c r="B214" t="s">
        <v>3517</v>
      </c>
    </row>
    <row r="215" spans="1:2" x14ac:dyDescent="0.2">
      <c r="B215" t="s">
        <v>2099</v>
      </c>
    </row>
    <row r="216" spans="1:2" x14ac:dyDescent="0.2">
      <c r="A216" s="79"/>
      <c r="B216" t="s">
        <v>1004</v>
      </c>
    </row>
    <row r="217" spans="1:2" x14ac:dyDescent="0.2">
      <c r="B217" t="s">
        <v>995</v>
      </c>
    </row>
    <row r="218" spans="1:2" x14ac:dyDescent="0.2">
      <c r="A218" s="79"/>
      <c r="B218" t="s">
        <v>1119</v>
      </c>
    </row>
    <row r="219" spans="1:2" x14ac:dyDescent="0.2">
      <c r="B219" t="s">
        <v>2957</v>
      </c>
    </row>
    <row r="220" spans="1:2" x14ac:dyDescent="0.2">
      <c r="A220" s="79"/>
      <c r="B220" t="s">
        <v>3603</v>
      </c>
    </row>
    <row r="221" spans="1:2" x14ac:dyDescent="0.2">
      <c r="B221" t="s">
        <v>2768</v>
      </c>
    </row>
    <row r="222" spans="1:2" x14ac:dyDescent="0.2">
      <c r="A222" s="79"/>
      <c r="B222" t="s">
        <v>1356</v>
      </c>
    </row>
    <row r="223" spans="1:2" x14ac:dyDescent="0.2">
      <c r="B223" t="s">
        <v>821</v>
      </c>
    </row>
    <row r="224" spans="1:2" x14ac:dyDescent="0.2">
      <c r="A224" s="79"/>
      <c r="B224" t="s">
        <v>1306</v>
      </c>
    </row>
    <row r="225" spans="1:2" x14ac:dyDescent="0.2">
      <c r="B225" t="s">
        <v>2598</v>
      </c>
    </row>
    <row r="226" spans="1:2" x14ac:dyDescent="0.2">
      <c r="A226" s="79"/>
      <c r="B226" t="s">
        <v>522</v>
      </c>
    </row>
    <row r="227" spans="1:2" x14ac:dyDescent="0.2">
      <c r="B227" t="s">
        <v>454</v>
      </c>
    </row>
    <row r="228" spans="1:2" x14ac:dyDescent="0.2">
      <c r="A228" s="79"/>
      <c r="B228" t="s">
        <v>3836</v>
      </c>
    </row>
    <row r="229" spans="1:2" x14ac:dyDescent="0.2">
      <c r="B229" t="s">
        <v>2755</v>
      </c>
    </row>
    <row r="230" spans="1:2" x14ac:dyDescent="0.2">
      <c r="A230" s="79"/>
      <c r="B230" t="s">
        <v>2520</v>
      </c>
    </row>
    <row r="231" spans="1:2" x14ac:dyDescent="0.2">
      <c r="B231" t="s">
        <v>1344</v>
      </c>
    </row>
    <row r="232" spans="1:2" x14ac:dyDescent="0.2">
      <c r="A232" s="79"/>
      <c r="B232" t="s">
        <v>2760</v>
      </c>
    </row>
    <row r="233" spans="1:2" x14ac:dyDescent="0.2">
      <c r="B233" t="s">
        <v>524</v>
      </c>
    </row>
    <row r="234" spans="1:2" x14ac:dyDescent="0.2">
      <c r="A234" s="79"/>
      <c r="B234" t="s">
        <v>1130</v>
      </c>
    </row>
    <row r="235" spans="1:2" x14ac:dyDescent="0.2">
      <c r="B235" t="s">
        <v>1220</v>
      </c>
    </row>
    <row r="236" spans="1:2" x14ac:dyDescent="0.2">
      <c r="A236" s="79"/>
      <c r="B236" t="s">
        <v>2740</v>
      </c>
    </row>
    <row r="237" spans="1:2" x14ac:dyDescent="0.2">
      <c r="B237" t="s">
        <v>2766</v>
      </c>
    </row>
    <row r="238" spans="1:2" x14ac:dyDescent="0.2">
      <c r="A238" s="79"/>
      <c r="B238" t="s">
        <v>452</v>
      </c>
    </row>
    <row r="239" spans="1:2" x14ac:dyDescent="0.2">
      <c r="B239" t="s">
        <v>1346</v>
      </c>
    </row>
    <row r="240" spans="1:2" x14ac:dyDescent="0.2">
      <c r="A240" s="79"/>
      <c r="B240" t="s">
        <v>2314</v>
      </c>
    </row>
  </sheetData>
  <protectedRanges>
    <protectedRange sqref="C7:E7 C99:D194 E8:E194 I21:J194" name="Database"/>
    <protectedRange sqref="C8:D9" name="Database_1"/>
    <protectedRange sqref="C10:D10" name="Database_2"/>
    <protectedRange sqref="C11:D11" name="Database_3"/>
    <protectedRange sqref="C12:D12" name="Database_4"/>
    <protectedRange sqref="C13:D13" name="Database_5"/>
    <protectedRange sqref="C14:D14" name="Database_6"/>
    <protectedRange sqref="C15:D15" name="Database_7"/>
    <protectedRange sqref="C16:D16" name="Database_8"/>
    <protectedRange sqref="C17:D17" name="Database_9"/>
    <protectedRange sqref="C18:D18" name="Database_10"/>
    <protectedRange sqref="C19:D19" name="Database_11"/>
    <protectedRange sqref="C20:D20" name="Database_13"/>
    <protectedRange sqref="C21:D21" name="Database_14"/>
    <protectedRange sqref="C22:D22" name="Database_15"/>
    <protectedRange sqref="C23:D23" name="Database_16"/>
    <protectedRange sqref="C24:D24" name="Database_17"/>
    <protectedRange sqref="C25:D25" name="Database_18"/>
    <protectedRange sqref="C26:D26" name="Database_19"/>
    <protectedRange sqref="C27:D28" name="Database_21"/>
    <protectedRange sqref="C29:D29" name="Database_25"/>
    <protectedRange sqref="C30:D30" name="Database_26"/>
    <protectedRange sqref="C31:D31" name="Database_27"/>
    <protectedRange sqref="C32:D32" name="Database_28"/>
    <protectedRange sqref="C33:D33" name="Database_29"/>
    <protectedRange sqref="C34:D34" name="Database_30"/>
    <protectedRange sqref="C35:D35" name="Database_31"/>
    <protectedRange sqref="C36:D36" name="Database_32"/>
    <protectedRange sqref="C37:D37" name="Database_33"/>
    <protectedRange sqref="C38:D38" name="Database_34"/>
    <protectedRange sqref="C39:D39" name="Database_35"/>
    <protectedRange sqref="C40:D40" name="Database_36"/>
    <protectedRange sqref="C41:D41" name="Database_37"/>
    <protectedRange sqref="C42:D42" name="Database_39"/>
    <protectedRange sqref="C43:D43" name="Database_40"/>
    <protectedRange sqref="C44:D44" name="Database_41"/>
    <protectedRange sqref="C45:D45" name="Database_42"/>
    <protectedRange sqref="C46:D46" name="Database_43"/>
    <protectedRange sqref="C47:D47" name="Database_44"/>
    <protectedRange sqref="C48:D48" name="Database_45"/>
    <protectedRange sqref="C49:D49" name="Database_46"/>
    <protectedRange sqref="C50:D50" name="Database_47"/>
    <protectedRange sqref="C51:D51" name="Database_49"/>
    <protectedRange sqref="C52:D52" name="Database_50"/>
    <protectedRange sqref="C53:D54" name="Database_51"/>
    <protectedRange sqref="C55:D55" name="Database_52"/>
    <protectedRange sqref="C56:D57" name="Database_53"/>
    <protectedRange sqref="C58:D58" name="Database_54"/>
    <protectedRange sqref="C59:D59" name="Database_55"/>
    <protectedRange sqref="C60:D60" name="Database_56"/>
    <protectedRange sqref="C61:D61" name="Database_57"/>
    <protectedRange sqref="C62:D62" name="Database_58"/>
    <protectedRange sqref="C63:D63" name="Database_59"/>
    <protectedRange sqref="C64:D64" name="Database_60"/>
    <protectedRange sqref="C65:D65" name="Database_61"/>
    <protectedRange sqref="C66:D66" name="Database_62"/>
    <protectedRange sqref="C67:D67" name="Database_63"/>
    <protectedRange sqref="C68:D68" name="Database_64"/>
    <protectedRange sqref="C69:D69" name="Database_65"/>
    <protectedRange sqref="C70:D70" name="Database_66"/>
    <protectedRange sqref="C71:D71" name="Database_67"/>
    <protectedRange sqref="C72:D72" name="Database_68"/>
    <protectedRange sqref="C73:D73" name="Database_69"/>
    <protectedRange sqref="C74:D74" name="Database_70"/>
    <protectedRange sqref="C75:D75" name="Database_71"/>
    <protectedRange sqref="C76:D76" name="Database_72"/>
    <protectedRange sqref="C77:D77" name="Database_73"/>
    <protectedRange sqref="C78:D78" name="Database_74"/>
    <protectedRange sqref="C79:D79" name="Database_75"/>
    <protectedRange sqref="C80:D80" name="Database_76"/>
    <protectedRange sqref="C81:D81" name="Database_77"/>
    <protectedRange sqref="C82:D82" name="Database_78"/>
    <protectedRange sqref="C83:D83" name="Database_79"/>
    <protectedRange sqref="C84:D84" name="Database_80"/>
    <protectedRange sqref="C85:D85" name="Database_81"/>
    <protectedRange sqref="C86:D86" name="Database_82"/>
    <protectedRange sqref="C87:D87" name="Database_83"/>
    <protectedRange sqref="C88:D88" name="Database_84"/>
    <protectedRange sqref="C89:D89" name="Database_85"/>
    <protectedRange sqref="C90:D90" name="Database_86"/>
    <protectedRange sqref="C91:D91" name="Database_87"/>
    <protectedRange sqref="C92:D92" name="Database_88"/>
    <protectedRange sqref="C93:D94" name="Database_89"/>
    <protectedRange sqref="C95:D95" name="Database_90"/>
    <protectedRange sqref="C96:D96" name="Database_91"/>
    <protectedRange sqref="C97:D97" name="Database_92"/>
    <protectedRange sqref="C98:D98" name="Database_94"/>
    <protectedRange sqref="I7:J7" name="Database_12"/>
    <protectedRange sqref="I8:J9" name="Database_20"/>
    <protectedRange sqref="I10:J10" name="Database_22"/>
    <protectedRange sqref="I11:J11" name="Database_23"/>
    <protectedRange sqref="I12:J12" name="Database_24"/>
    <protectedRange sqref="I13:J13" name="Database_38"/>
    <protectedRange sqref="I14:J14" name="Database_48"/>
    <protectedRange sqref="I15:J15" name="Database_93"/>
    <protectedRange sqref="I16:J16" name="Database_95"/>
    <protectedRange sqref="I17:J17" name="Database_96"/>
    <protectedRange sqref="I18:J18" name="Database_97"/>
    <protectedRange sqref="I19:J19" name="Database_98"/>
    <protectedRange sqref="I20:J20" name="Database_99"/>
  </protectedRanges>
  <conditionalFormatting sqref="C20:E25 C27:E27 C29:E40 C42:E49 C51:E96 C99:E193">
    <cfRule type="expression" dxfId="21" priority="84">
      <formula>$L21&lt;&gt;""</formula>
    </cfRule>
  </conditionalFormatting>
  <conditionalFormatting sqref="C26:E26 C28:E28 C41:E41 C50:E50 C97:E98">
    <cfRule type="expression" dxfId="20" priority="89">
      <formula>#REF!&lt;&gt;""</formula>
    </cfRule>
  </conditionalFormatting>
  <conditionalFormatting sqref="C194:E194">
    <cfRule type="expression" dxfId="19" priority="98">
      <formula>$K195&lt;&gt;""</formula>
    </cfRule>
  </conditionalFormatting>
  <conditionalFormatting sqref="F8:F10 C8:E19 F12:F13 F14:H14 F16:H16 F21:H27 F30:H30 F35:H35 F42:H44 F46:H52 F58:H61 F64:H68 F71:H74 F79:H79 F83:H83 F98:H99 F114:H114">
    <cfRule type="expression" dxfId="18" priority="74">
      <formula>$L8&lt;&gt;""</formula>
    </cfRule>
  </conditionalFormatting>
  <conditionalFormatting sqref="F8:F10 C8:E194 F12:F13 F14:H14 F16:H16 F21:H27 F30:H30 F35:H35 F42:H44 F46:H52 F58:H61 F64:H68 F71:H74 F79:H79 F83:H83 F98:H99 F114:H114">
    <cfRule type="expression" dxfId="17" priority="75">
      <formula>ISEVEN($B8)</formula>
    </cfRule>
  </conditionalFormatting>
  <conditionalFormatting sqref="I8:J194">
    <cfRule type="expression" dxfId="16" priority="69">
      <formula>$L8&lt;&gt;""</formula>
    </cfRule>
    <cfRule type="expression" dxfId="15" priority="71">
      <formula>ISEVEN($B8)</formula>
    </cfRule>
    <cfRule type="expression" dxfId="14" priority="100">
      <formula>AND($F8="Yes",$L8="",I8="")</formula>
    </cfRule>
  </conditionalFormatting>
  <conditionalFormatting sqref="O9:O11">
    <cfRule type="expression" dxfId="13" priority="4">
      <formula>$A9=TODAY()</formula>
    </cfRule>
  </conditionalFormatting>
  <conditionalFormatting sqref="O13:O27">
    <cfRule type="expression" dxfId="12" priority="1">
      <formula>$A13=TODAY()</formula>
    </cfRule>
  </conditionalFormatting>
  <conditionalFormatting sqref="O16">
    <cfRule type="expression" dxfId="11" priority="3">
      <formula>$A96=TODAY()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CF10B-8194-47A9-A30F-0B2322693E8A}">
  <dimension ref="B3:DX204"/>
  <sheetViews>
    <sheetView zoomScale="85" zoomScaleNormal="85" workbookViewId="0">
      <selection activeCell="E11" sqref="E11"/>
    </sheetView>
  </sheetViews>
  <sheetFormatPr defaultRowHeight="12.75" x14ac:dyDescent="0.2"/>
  <cols>
    <col min="2" max="2" width="5.25" bestFit="1" customWidth="1"/>
    <col min="3" max="3" width="27.25" bestFit="1" customWidth="1"/>
    <col min="4" max="4" width="46.375" bestFit="1" customWidth="1"/>
    <col min="5" max="5" width="12" bestFit="1" customWidth="1"/>
    <col min="6" max="6" width="11.75" bestFit="1" customWidth="1"/>
    <col min="7" max="7" width="8.125" bestFit="1" customWidth="1"/>
    <col min="8" max="8" width="62.75" bestFit="1" customWidth="1"/>
    <col min="9" max="9" width="48.375" bestFit="1" customWidth="1"/>
    <col min="11" max="11" width="8.75" bestFit="1" customWidth="1"/>
    <col min="13" max="13" width="8.375" bestFit="1" customWidth="1"/>
    <col min="14" max="14" width="12" bestFit="1" customWidth="1"/>
    <col min="15" max="15" width="37.875" bestFit="1" customWidth="1"/>
    <col min="16" max="16" width="8" bestFit="1" customWidth="1"/>
    <col min="17" max="17" width="154.875" bestFit="1" customWidth="1"/>
    <col min="18" max="18" width="8.875" bestFit="1" customWidth="1"/>
    <col min="19" max="19" width="9.875" bestFit="1" customWidth="1"/>
    <col min="20" max="20" width="8.875" bestFit="1" customWidth="1"/>
    <col min="21" max="21" width="8.375" bestFit="1" customWidth="1"/>
    <col min="22" max="22" width="8.25" bestFit="1" customWidth="1"/>
    <col min="23" max="23" width="52.5" bestFit="1" customWidth="1"/>
    <col min="24" max="24" width="37.375" bestFit="1" customWidth="1"/>
    <col min="25" max="25" width="36.125" bestFit="1" customWidth="1"/>
    <col min="26" max="26" width="41.375" bestFit="1" customWidth="1"/>
    <col min="27" max="27" width="40.625" bestFit="1" customWidth="1"/>
    <col min="28" max="32" width="8.25" bestFit="1" customWidth="1"/>
    <col min="33" max="35" width="8.375" bestFit="1" customWidth="1"/>
    <col min="36" max="55" width="11.75" bestFit="1" customWidth="1"/>
    <col min="56" max="57" width="27.625" bestFit="1" customWidth="1"/>
    <col min="58" max="58" width="25.125" bestFit="1" customWidth="1"/>
    <col min="59" max="59" width="27.625" bestFit="1" customWidth="1"/>
    <col min="60" max="64" width="7.375" bestFit="1" customWidth="1"/>
    <col min="65" max="67" width="8.375" bestFit="1" customWidth="1"/>
    <col min="68" max="69" width="12" bestFit="1" customWidth="1"/>
    <col min="70" max="71" width="11.75" bestFit="1" customWidth="1"/>
    <col min="72" max="76" width="6.375" bestFit="1" customWidth="1"/>
    <col min="77" max="79" width="7.375" bestFit="1" customWidth="1"/>
    <col min="80" max="83" width="11.75" bestFit="1" customWidth="1"/>
    <col min="92" max="100" width="16.875" bestFit="1" customWidth="1"/>
    <col min="101" max="103" width="18" bestFit="1" customWidth="1"/>
    <col min="104" max="112" width="15" bestFit="1" customWidth="1"/>
    <col min="113" max="115" width="16" bestFit="1" customWidth="1"/>
    <col min="116" max="116" width="8.25" bestFit="1" customWidth="1"/>
    <col min="117" max="117" width="7.5" bestFit="1" customWidth="1"/>
    <col min="119" max="119" width="8.75" bestFit="1" customWidth="1"/>
    <col min="120" max="120" width="8.875" bestFit="1" customWidth="1"/>
    <col min="121" max="121" width="7.25" bestFit="1" customWidth="1"/>
    <col min="122" max="122" width="4.875" bestFit="1" customWidth="1"/>
    <col min="123" max="123" width="6.75" bestFit="1" customWidth="1"/>
    <col min="125" max="125" width="7.25" bestFit="1" customWidth="1"/>
    <col min="126" max="126" width="8.625" bestFit="1" customWidth="1"/>
    <col min="127" max="127" width="5.125" bestFit="1" customWidth="1"/>
    <col min="128" max="128" width="6" bestFit="1" customWidth="1"/>
  </cols>
  <sheetData>
    <row r="3" spans="2:128" ht="90" x14ac:dyDescent="0.2">
      <c r="B3" s="45" t="s">
        <v>24</v>
      </c>
      <c r="C3" s="45" t="s">
        <v>4898</v>
      </c>
      <c r="D3" s="45" t="s">
        <v>4897</v>
      </c>
      <c r="E3" s="45" t="s">
        <v>4899</v>
      </c>
      <c r="F3" s="45" t="s">
        <v>4900</v>
      </c>
      <c r="G3" s="45" t="s">
        <v>4901</v>
      </c>
      <c r="H3" s="45" t="s">
        <v>4902</v>
      </c>
      <c r="I3" s="45" t="s">
        <v>4903</v>
      </c>
      <c r="J3" s="45" t="s">
        <v>4904</v>
      </c>
      <c r="K3" s="45" t="s">
        <v>4905</v>
      </c>
      <c r="L3" s="45" t="s">
        <v>4906</v>
      </c>
      <c r="M3" s="45" t="s">
        <v>4907</v>
      </c>
      <c r="N3" s="45" t="s">
        <v>4908</v>
      </c>
      <c r="O3" s="45" t="s">
        <v>4909</v>
      </c>
      <c r="P3" s="45" t="s">
        <v>4910</v>
      </c>
      <c r="Q3" s="45" t="s">
        <v>4911</v>
      </c>
      <c r="R3" s="45" t="s">
        <v>4912</v>
      </c>
      <c r="S3" s="45" t="s">
        <v>4913</v>
      </c>
      <c r="T3" s="45" t="s">
        <v>4914</v>
      </c>
      <c r="U3" s="45" t="s">
        <v>4915</v>
      </c>
      <c r="V3" s="46" t="s">
        <v>4916</v>
      </c>
      <c r="W3" s="46" t="s">
        <v>4917</v>
      </c>
      <c r="X3" s="46" t="s">
        <v>4918</v>
      </c>
      <c r="Y3" s="46" t="s">
        <v>4919</v>
      </c>
      <c r="Z3" s="46" t="s">
        <v>4920</v>
      </c>
      <c r="AA3" s="46" t="s">
        <v>4921</v>
      </c>
      <c r="AB3" s="46" t="s">
        <v>4922</v>
      </c>
      <c r="AC3" s="46" t="s">
        <v>4923</v>
      </c>
      <c r="AD3" s="46" t="s">
        <v>4924</v>
      </c>
      <c r="AE3" s="46" t="s">
        <v>4925</v>
      </c>
      <c r="AF3" s="46" t="s">
        <v>4926</v>
      </c>
      <c r="AG3" s="46" t="s">
        <v>4927</v>
      </c>
      <c r="AH3" s="46" t="s">
        <v>4928</v>
      </c>
      <c r="AI3" s="46" t="s">
        <v>4929</v>
      </c>
      <c r="AJ3" s="46" t="s">
        <v>4930</v>
      </c>
      <c r="AK3" s="46" t="s">
        <v>4931</v>
      </c>
      <c r="AL3" s="46" t="s">
        <v>4932</v>
      </c>
      <c r="AM3" s="46" t="s">
        <v>4933</v>
      </c>
      <c r="AN3" s="46" t="s">
        <v>4934</v>
      </c>
      <c r="AO3" s="46" t="s">
        <v>4935</v>
      </c>
      <c r="AP3" s="46" t="s">
        <v>4936</v>
      </c>
      <c r="AQ3" s="46" t="s">
        <v>4937</v>
      </c>
      <c r="AR3" s="46" t="s">
        <v>4938</v>
      </c>
      <c r="AS3" s="46" t="s">
        <v>4939</v>
      </c>
      <c r="AT3" s="46" t="s">
        <v>4940</v>
      </c>
      <c r="AU3" s="46" t="s">
        <v>4941</v>
      </c>
      <c r="AV3" s="46" t="s">
        <v>4942</v>
      </c>
      <c r="AW3" s="46" t="s">
        <v>4943</v>
      </c>
      <c r="AX3" s="46" t="s">
        <v>4944</v>
      </c>
      <c r="AY3" s="46" t="s">
        <v>4945</v>
      </c>
      <c r="AZ3" s="46" t="s">
        <v>4946</v>
      </c>
      <c r="BA3" s="46" t="s">
        <v>4947</v>
      </c>
      <c r="BB3" s="46" t="s">
        <v>4948</v>
      </c>
      <c r="BC3" s="46" t="s">
        <v>4949</v>
      </c>
      <c r="BD3" s="46" t="s">
        <v>4950</v>
      </c>
      <c r="BE3" s="46" t="s">
        <v>4951</v>
      </c>
      <c r="BF3" s="46" t="s">
        <v>4952</v>
      </c>
      <c r="BG3" s="46" t="s">
        <v>4953</v>
      </c>
      <c r="BH3" s="46" t="s">
        <v>4954</v>
      </c>
      <c r="BI3" s="46" t="s">
        <v>4955</v>
      </c>
      <c r="BJ3" s="46" t="s">
        <v>4956</v>
      </c>
      <c r="BK3" s="46" t="s">
        <v>4957</v>
      </c>
      <c r="BL3" s="46" t="s">
        <v>4958</v>
      </c>
      <c r="BM3" s="46" t="s">
        <v>4959</v>
      </c>
      <c r="BN3" s="46" t="s">
        <v>4960</v>
      </c>
      <c r="BO3" s="46" t="s">
        <v>4961</v>
      </c>
      <c r="BP3" s="46" t="s">
        <v>4962</v>
      </c>
      <c r="BQ3" s="46" t="s">
        <v>4963</v>
      </c>
      <c r="BR3" s="46" t="s">
        <v>4964</v>
      </c>
      <c r="BS3" s="46" t="s">
        <v>4965</v>
      </c>
      <c r="BT3" s="46" t="s">
        <v>4966</v>
      </c>
      <c r="BU3" s="46" t="s">
        <v>4967</v>
      </c>
      <c r="BV3" s="46" t="s">
        <v>4968</v>
      </c>
      <c r="BW3" s="46" t="s">
        <v>4969</v>
      </c>
      <c r="BX3" s="46" t="s">
        <v>4970</v>
      </c>
      <c r="BY3" s="46" t="s">
        <v>4971</v>
      </c>
      <c r="BZ3" s="46" t="s">
        <v>4972</v>
      </c>
      <c r="CA3" s="46" t="s">
        <v>4973</v>
      </c>
      <c r="CB3" s="46" t="s">
        <v>4974</v>
      </c>
      <c r="CC3" s="46" t="s">
        <v>4975</v>
      </c>
      <c r="CD3" s="46" t="s">
        <v>4976</v>
      </c>
      <c r="CE3" s="46" t="s">
        <v>4977</v>
      </c>
      <c r="CF3" s="46" t="s">
        <v>4978</v>
      </c>
      <c r="CG3" s="46" t="s">
        <v>4979</v>
      </c>
      <c r="CH3" s="46" t="s">
        <v>4980</v>
      </c>
      <c r="CI3" s="46" t="s">
        <v>4981</v>
      </c>
      <c r="CJ3" s="46" t="s">
        <v>4982</v>
      </c>
      <c r="CK3" s="46" t="s">
        <v>4983</v>
      </c>
      <c r="CL3" s="46" t="s">
        <v>4984</v>
      </c>
      <c r="CM3" s="46" t="s">
        <v>4985</v>
      </c>
      <c r="CN3" s="47" t="s">
        <v>4986</v>
      </c>
      <c r="CO3" s="47" t="s">
        <v>4987</v>
      </c>
      <c r="CP3" s="47" t="s">
        <v>4988</v>
      </c>
      <c r="CQ3" s="47" t="s">
        <v>4989</v>
      </c>
      <c r="CR3" s="47" t="s">
        <v>4990</v>
      </c>
      <c r="CS3" s="47" t="s">
        <v>4991</v>
      </c>
      <c r="CT3" s="47" t="s">
        <v>4992</v>
      </c>
      <c r="CU3" s="47" t="s">
        <v>4993</v>
      </c>
      <c r="CV3" s="47" t="s">
        <v>4994</v>
      </c>
      <c r="CW3" s="47" t="s">
        <v>4995</v>
      </c>
      <c r="CX3" s="47" t="s">
        <v>4996</v>
      </c>
      <c r="CY3" s="47" t="s">
        <v>4997</v>
      </c>
      <c r="CZ3" s="47" t="s">
        <v>4998</v>
      </c>
      <c r="DA3" s="47" t="s">
        <v>4999</v>
      </c>
      <c r="DB3" s="47" t="s">
        <v>5000</v>
      </c>
      <c r="DC3" s="47" t="s">
        <v>5001</v>
      </c>
      <c r="DD3" s="47" t="s">
        <v>5002</v>
      </c>
      <c r="DE3" s="47" t="s">
        <v>5003</v>
      </c>
      <c r="DF3" s="47" t="s">
        <v>5004</v>
      </c>
      <c r="DG3" s="47" t="s">
        <v>5005</v>
      </c>
      <c r="DH3" s="47" t="s">
        <v>5006</v>
      </c>
      <c r="DI3" s="47" t="s">
        <v>5007</v>
      </c>
      <c r="DJ3" s="47" t="s">
        <v>5008</v>
      </c>
      <c r="DK3" s="47" t="s">
        <v>5009</v>
      </c>
      <c r="DL3" s="46" t="s">
        <v>5010</v>
      </c>
      <c r="DM3" s="46" t="s">
        <v>5011</v>
      </c>
      <c r="DN3" s="46" t="s">
        <v>5012</v>
      </c>
      <c r="DO3" s="46" t="s">
        <v>5013</v>
      </c>
      <c r="DP3" s="46" t="s">
        <v>5014</v>
      </c>
      <c r="DQ3" s="46" t="s">
        <v>5015</v>
      </c>
      <c r="DR3" s="46" t="s">
        <v>5016</v>
      </c>
      <c r="DS3" s="46" t="s">
        <v>5017</v>
      </c>
      <c r="DU3" s="48" t="s">
        <v>5018</v>
      </c>
      <c r="DV3" s="48" t="s">
        <v>5019</v>
      </c>
      <c r="DW3" s="48" t="s">
        <v>5020</v>
      </c>
      <c r="DX3" s="48" t="s">
        <v>5021</v>
      </c>
    </row>
    <row r="4" spans="2:128" ht="15" x14ac:dyDescent="0.25">
      <c r="B4" s="43" t="s">
        <v>5022</v>
      </c>
      <c r="C4" s="43" t="s">
        <v>4803</v>
      </c>
      <c r="D4" s="43" t="s">
        <v>4804</v>
      </c>
      <c r="E4" s="49">
        <v>39986</v>
      </c>
      <c r="F4" s="49"/>
      <c r="G4" s="50">
        <v>1</v>
      </c>
      <c r="H4" s="43" t="s">
        <v>4798</v>
      </c>
      <c r="I4" s="43" t="s">
        <v>5023</v>
      </c>
      <c r="J4" s="43"/>
      <c r="K4" s="43">
        <v>2</v>
      </c>
      <c r="L4" s="43">
        <v>3</v>
      </c>
      <c r="M4" s="43"/>
      <c r="N4" s="43"/>
      <c r="O4" s="43"/>
      <c r="P4" s="43" t="s">
        <v>5024</v>
      </c>
      <c r="Q4" s="43"/>
      <c r="R4" s="43" t="s">
        <v>5025</v>
      </c>
      <c r="S4" s="43" t="s">
        <v>5026</v>
      </c>
      <c r="T4" s="51" t="s">
        <v>5027</v>
      </c>
      <c r="U4" s="52" t="s">
        <v>5028</v>
      </c>
      <c r="V4" s="53" t="s">
        <v>3884</v>
      </c>
      <c r="W4" s="54" t="s">
        <v>5029</v>
      </c>
      <c r="X4" s="55" t="s">
        <v>4889</v>
      </c>
      <c r="Y4" t="s">
        <v>4896</v>
      </c>
      <c r="Z4" t="s">
        <v>4800</v>
      </c>
      <c r="AA4" t="s">
        <v>4891</v>
      </c>
      <c r="AI4" s="54"/>
      <c r="AJ4" s="56">
        <v>45740</v>
      </c>
      <c r="AK4" s="57">
        <v>45831</v>
      </c>
      <c r="AL4" s="57">
        <v>45922</v>
      </c>
      <c r="AM4" s="57">
        <v>46013</v>
      </c>
      <c r="AN4" s="57"/>
      <c r="AO4" s="57"/>
      <c r="AP4" s="57"/>
      <c r="AQ4" s="57"/>
      <c r="AR4" s="57"/>
      <c r="AS4" s="57"/>
      <c r="AT4" s="57"/>
      <c r="AU4" s="57"/>
      <c r="AV4" s="57"/>
      <c r="AW4" s="57"/>
      <c r="AX4" s="57"/>
      <c r="AY4" s="57"/>
      <c r="AZ4" s="57"/>
      <c r="BA4" s="57"/>
      <c r="BB4" s="57"/>
      <c r="BC4" s="58"/>
      <c r="BD4" s="55" t="s">
        <v>5030</v>
      </c>
      <c r="BE4" t="s">
        <v>5031</v>
      </c>
      <c r="BF4" t="s">
        <v>5032</v>
      </c>
      <c r="BG4" t="s">
        <v>5033</v>
      </c>
      <c r="BO4" s="54"/>
      <c r="BP4" s="56">
        <v>45712</v>
      </c>
      <c r="BQ4" s="57">
        <v>45803</v>
      </c>
      <c r="BR4" s="57">
        <v>45894</v>
      </c>
      <c r="BS4" s="57">
        <v>45985</v>
      </c>
      <c r="BT4" s="57"/>
      <c r="BU4" s="57"/>
      <c r="BV4" s="57"/>
      <c r="BW4" s="57"/>
      <c r="BX4" s="57"/>
      <c r="BY4" s="57"/>
      <c r="BZ4" s="57"/>
      <c r="CA4" s="57"/>
      <c r="CB4" s="56" t="s">
        <v>5034</v>
      </c>
      <c r="CC4" s="57"/>
      <c r="CD4" s="57"/>
      <c r="CE4" s="57"/>
      <c r="CF4" s="57"/>
      <c r="CG4" s="57"/>
      <c r="CH4" s="57"/>
      <c r="CI4" s="57"/>
      <c r="CJ4" s="57"/>
      <c r="CK4" s="57"/>
      <c r="CL4" s="57"/>
      <c r="CM4" s="57"/>
      <c r="CN4" s="56">
        <v>45736</v>
      </c>
      <c r="CO4" s="57">
        <v>45827</v>
      </c>
      <c r="CP4" s="57">
        <v>45918</v>
      </c>
      <c r="CQ4" s="57">
        <v>46009</v>
      </c>
      <c r="CR4" s="57"/>
      <c r="CS4" s="57"/>
      <c r="CT4" s="57"/>
      <c r="CU4" s="57"/>
      <c r="CV4" s="57"/>
      <c r="CW4" s="57"/>
      <c r="CX4" s="57"/>
      <c r="CY4" s="57"/>
      <c r="CZ4" s="56" t="s">
        <v>5034</v>
      </c>
      <c r="DA4" s="57"/>
      <c r="DB4" s="57"/>
      <c r="DC4" s="57"/>
      <c r="DD4" s="57"/>
      <c r="DE4" s="57"/>
      <c r="DF4" s="57"/>
      <c r="DG4" s="57"/>
      <c r="DH4" s="57"/>
      <c r="DI4" s="57"/>
      <c r="DJ4" s="57"/>
      <c r="DK4" s="58"/>
      <c r="DL4" s="59">
        <v>4</v>
      </c>
      <c r="DM4" s="60">
        <v>4</v>
      </c>
      <c r="DN4" s="61">
        <v>0</v>
      </c>
      <c r="DO4" s="60">
        <v>4</v>
      </c>
      <c r="DP4" s="60">
        <v>0</v>
      </c>
      <c r="DQ4" s="59">
        <v>12</v>
      </c>
      <c r="DR4" s="62">
        <v>112</v>
      </c>
      <c r="DS4" s="62" t="s">
        <v>5034</v>
      </c>
      <c r="DU4" s="62" t="s">
        <v>5034</v>
      </c>
      <c r="DV4" s="63">
        <v>44483.638042002312</v>
      </c>
      <c r="DW4" s="64">
        <v>2021</v>
      </c>
      <c r="DX4" s="65">
        <v>10</v>
      </c>
    </row>
    <row r="5" spans="2:128" ht="15" x14ac:dyDescent="0.25">
      <c r="B5" s="43" t="s">
        <v>5022</v>
      </c>
      <c r="C5" s="43" t="s">
        <v>4803</v>
      </c>
      <c r="D5" s="43" t="s">
        <v>4804</v>
      </c>
      <c r="E5" s="49">
        <v>39986</v>
      </c>
      <c r="F5" s="49"/>
      <c r="G5" s="50">
        <v>1</v>
      </c>
      <c r="H5" s="43" t="s">
        <v>4798</v>
      </c>
      <c r="I5" s="43" t="s">
        <v>5023</v>
      </c>
      <c r="J5" s="43"/>
      <c r="K5" s="43">
        <v>2</v>
      </c>
      <c r="L5" s="43">
        <v>3</v>
      </c>
      <c r="M5" s="43"/>
      <c r="N5" s="43"/>
      <c r="O5" s="43"/>
      <c r="P5" s="43" t="s">
        <v>5024</v>
      </c>
      <c r="Q5" s="43"/>
      <c r="R5" s="43" t="s">
        <v>5025</v>
      </c>
      <c r="S5" s="43" t="s">
        <v>5026</v>
      </c>
      <c r="T5" s="51" t="s">
        <v>5027</v>
      </c>
      <c r="U5" s="52" t="s">
        <v>5028</v>
      </c>
      <c r="V5" s="53" t="s">
        <v>3896</v>
      </c>
      <c r="W5" s="54" t="s">
        <v>5034</v>
      </c>
      <c r="X5" s="55" t="s">
        <v>5034</v>
      </c>
      <c r="AI5" s="54"/>
      <c r="AJ5" s="56" t="s">
        <v>5034</v>
      </c>
      <c r="AK5" s="57"/>
      <c r="AL5" s="57"/>
      <c r="AM5" s="57"/>
      <c r="AN5" s="57"/>
      <c r="AO5" s="57"/>
      <c r="AP5" s="57"/>
      <c r="AQ5" s="57"/>
      <c r="AR5" s="57"/>
      <c r="AS5" s="57"/>
      <c r="AT5" s="57"/>
      <c r="AU5" s="57"/>
      <c r="AV5" s="57"/>
      <c r="AW5" s="57"/>
      <c r="AX5" s="57"/>
      <c r="AY5" s="57"/>
      <c r="AZ5" s="57"/>
      <c r="BA5" s="57"/>
      <c r="BB5" s="57"/>
      <c r="BC5" s="58"/>
      <c r="BD5" s="55" t="s">
        <v>5034</v>
      </c>
      <c r="BO5" s="54"/>
      <c r="BP5" s="56" t="s">
        <v>5034</v>
      </c>
      <c r="BQ5" s="57"/>
      <c r="BR5" s="57"/>
      <c r="BS5" s="57"/>
      <c r="BT5" s="57"/>
      <c r="BU5" s="57"/>
      <c r="BV5" s="57"/>
      <c r="BW5" s="57"/>
      <c r="BX5" s="57"/>
      <c r="BY5" s="57"/>
      <c r="BZ5" s="57"/>
      <c r="CA5" s="57"/>
      <c r="CB5" s="56" t="s">
        <v>5034</v>
      </c>
      <c r="CC5" s="57"/>
      <c r="CD5" s="57"/>
      <c r="CE5" s="57"/>
      <c r="CF5" s="57"/>
      <c r="CG5" s="57"/>
      <c r="CH5" s="57"/>
      <c r="CI5" s="57"/>
      <c r="CJ5" s="57"/>
      <c r="CK5" s="57"/>
      <c r="CL5" s="57"/>
      <c r="CM5" s="57"/>
      <c r="CN5" s="56" t="s">
        <v>5034</v>
      </c>
      <c r="CO5" s="57"/>
      <c r="CP5" s="57"/>
      <c r="CQ5" s="57"/>
      <c r="CR5" s="57"/>
      <c r="CS5" s="57"/>
      <c r="CT5" s="57"/>
      <c r="CU5" s="57"/>
      <c r="CV5" s="57"/>
      <c r="CW5" s="57"/>
      <c r="CX5" s="57"/>
      <c r="CY5" s="57"/>
      <c r="CZ5" s="56" t="s">
        <v>5034</v>
      </c>
      <c r="DA5" s="57"/>
      <c r="DB5" s="57"/>
      <c r="DC5" s="57"/>
      <c r="DD5" s="57"/>
      <c r="DE5" s="57"/>
      <c r="DF5" s="57"/>
      <c r="DG5" s="57"/>
      <c r="DH5" s="57"/>
      <c r="DI5" s="57"/>
      <c r="DJ5" s="57"/>
      <c r="DK5" s="58"/>
      <c r="DL5" s="59">
        <v>0</v>
      </c>
      <c r="DM5" s="60">
        <v>0</v>
      </c>
      <c r="DN5" s="61">
        <v>0</v>
      </c>
      <c r="DO5" s="60">
        <v>0</v>
      </c>
      <c r="DP5" s="60">
        <v>0</v>
      </c>
      <c r="DQ5" s="59">
        <v>0</v>
      </c>
      <c r="DR5" s="62" t="s">
        <v>5034</v>
      </c>
      <c r="DS5" s="62" t="s">
        <v>5034</v>
      </c>
      <c r="DU5" s="62" t="s">
        <v>5034</v>
      </c>
      <c r="DV5" s="63">
        <v>44483.750015625003</v>
      </c>
      <c r="DW5" s="64">
        <v>2021</v>
      </c>
      <c r="DX5" s="65">
        <v>10</v>
      </c>
    </row>
    <row r="6" spans="2:128" ht="15" x14ac:dyDescent="0.25">
      <c r="B6" s="43" t="s">
        <v>5022</v>
      </c>
      <c r="C6" s="43" t="s">
        <v>4803</v>
      </c>
      <c r="D6" s="43" t="s">
        <v>4804</v>
      </c>
      <c r="E6" s="49">
        <v>42118</v>
      </c>
      <c r="F6" s="49"/>
      <c r="G6" s="50">
        <v>1</v>
      </c>
      <c r="H6" s="43" t="s">
        <v>4798</v>
      </c>
      <c r="I6" s="43" t="s">
        <v>5023</v>
      </c>
      <c r="J6" s="43"/>
      <c r="K6" s="43">
        <v>2</v>
      </c>
      <c r="L6" s="43">
        <v>3</v>
      </c>
      <c r="M6" s="43"/>
      <c r="N6" s="43"/>
      <c r="O6" s="43"/>
      <c r="P6" s="43" t="s">
        <v>5024</v>
      </c>
      <c r="Q6" s="43"/>
      <c r="R6" s="43" t="s">
        <v>5025</v>
      </c>
      <c r="S6" s="43" t="s">
        <v>5026</v>
      </c>
      <c r="T6" s="51" t="s">
        <v>5027</v>
      </c>
      <c r="U6" s="52" t="s">
        <v>5028</v>
      </c>
      <c r="V6" s="53" t="s">
        <v>3896</v>
      </c>
      <c r="W6" s="54" t="s">
        <v>5034</v>
      </c>
      <c r="X6" s="55" t="s">
        <v>5034</v>
      </c>
      <c r="AI6" s="54"/>
      <c r="AJ6" s="56" t="s">
        <v>5034</v>
      </c>
      <c r="AK6" s="57"/>
      <c r="AL6" s="57"/>
      <c r="AM6" s="57"/>
      <c r="AN6" s="57"/>
      <c r="AO6" s="57"/>
      <c r="AP6" s="57"/>
      <c r="AQ6" s="57"/>
      <c r="AR6" s="57"/>
      <c r="AS6" s="57"/>
      <c r="AT6" s="57"/>
      <c r="AU6" s="57"/>
      <c r="AV6" s="57"/>
      <c r="AW6" s="57"/>
      <c r="AX6" s="57"/>
      <c r="AY6" s="57"/>
      <c r="AZ6" s="57"/>
      <c r="BA6" s="57"/>
      <c r="BB6" s="57"/>
      <c r="BC6" s="58"/>
      <c r="BD6" s="55" t="s">
        <v>5034</v>
      </c>
      <c r="BO6" s="54"/>
      <c r="BP6" s="56" t="s">
        <v>5034</v>
      </c>
      <c r="BQ6" s="57"/>
      <c r="BR6" s="57"/>
      <c r="BS6" s="57"/>
      <c r="BT6" s="57"/>
      <c r="BU6" s="57"/>
      <c r="BV6" s="57"/>
      <c r="BW6" s="57"/>
      <c r="BX6" s="57"/>
      <c r="BY6" s="57"/>
      <c r="BZ6" s="57"/>
      <c r="CA6" s="57"/>
      <c r="CB6" s="56" t="s">
        <v>5034</v>
      </c>
      <c r="CC6" s="57"/>
      <c r="CD6" s="57"/>
      <c r="CE6" s="57"/>
      <c r="CF6" s="57"/>
      <c r="CG6" s="57"/>
      <c r="CH6" s="57"/>
      <c r="CI6" s="57"/>
      <c r="CJ6" s="57"/>
      <c r="CK6" s="57"/>
      <c r="CL6" s="57"/>
      <c r="CM6" s="57"/>
      <c r="CN6" s="56" t="s">
        <v>5034</v>
      </c>
      <c r="CO6" s="57"/>
      <c r="CP6" s="57"/>
      <c r="CQ6" s="57"/>
      <c r="CR6" s="57"/>
      <c r="CS6" s="57"/>
      <c r="CT6" s="57"/>
      <c r="CU6" s="57"/>
      <c r="CV6" s="57"/>
      <c r="CW6" s="57"/>
      <c r="CX6" s="57"/>
      <c r="CY6" s="57"/>
      <c r="CZ6" s="56" t="s">
        <v>5034</v>
      </c>
      <c r="DA6" s="57"/>
      <c r="DB6" s="57"/>
      <c r="DC6" s="57"/>
      <c r="DD6" s="57"/>
      <c r="DE6" s="57"/>
      <c r="DF6" s="57"/>
      <c r="DG6" s="57"/>
      <c r="DH6" s="57"/>
      <c r="DI6" s="57"/>
      <c r="DJ6" s="57"/>
      <c r="DK6" s="58"/>
      <c r="DL6" s="59">
        <v>0</v>
      </c>
      <c r="DM6" s="60">
        <v>0</v>
      </c>
      <c r="DN6" s="61">
        <v>0</v>
      </c>
      <c r="DO6" s="60">
        <v>0</v>
      </c>
      <c r="DP6" s="60">
        <v>0</v>
      </c>
      <c r="DQ6" s="59">
        <v>0</v>
      </c>
      <c r="DR6" s="62" t="s">
        <v>5034</v>
      </c>
      <c r="DS6" s="62" t="s">
        <v>5034</v>
      </c>
      <c r="DU6" s="62" t="s">
        <v>5034</v>
      </c>
      <c r="DV6" s="63">
        <v>44483.750185462966</v>
      </c>
      <c r="DW6" s="64">
        <v>2021</v>
      </c>
      <c r="DX6" s="65">
        <v>10</v>
      </c>
    </row>
    <row r="7" spans="2:128" ht="15" x14ac:dyDescent="0.25">
      <c r="B7" s="43" t="s">
        <v>5022</v>
      </c>
      <c r="C7" s="43" t="s">
        <v>4803</v>
      </c>
      <c r="D7" s="43" t="s">
        <v>4805</v>
      </c>
      <c r="E7" s="49">
        <v>42268</v>
      </c>
      <c r="F7" s="49"/>
      <c r="G7" s="50">
        <v>1</v>
      </c>
      <c r="H7" s="43" t="s">
        <v>4798</v>
      </c>
      <c r="I7" s="43" t="s">
        <v>5023</v>
      </c>
      <c r="J7" s="43"/>
      <c r="K7" s="43">
        <v>2</v>
      </c>
      <c r="L7" s="43">
        <v>3</v>
      </c>
      <c r="M7" s="43"/>
      <c r="N7" s="43"/>
      <c r="O7" s="43"/>
      <c r="P7" s="43" t="s">
        <v>5024</v>
      </c>
      <c r="Q7" s="43"/>
      <c r="R7" s="43" t="s">
        <v>5025</v>
      </c>
      <c r="S7" s="43" t="s">
        <v>5026</v>
      </c>
      <c r="T7" s="51" t="s">
        <v>5027</v>
      </c>
      <c r="U7" s="52" t="s">
        <v>5028</v>
      </c>
      <c r="V7" s="53" t="s">
        <v>3884</v>
      </c>
      <c r="W7" s="54" t="s">
        <v>1324</v>
      </c>
      <c r="X7" s="55" t="s">
        <v>4889</v>
      </c>
      <c r="Y7" t="s">
        <v>4896</v>
      </c>
      <c r="Z7" t="s">
        <v>4800</v>
      </c>
      <c r="AA7" t="s">
        <v>4891</v>
      </c>
      <c r="AI7" s="54"/>
      <c r="AJ7" s="56">
        <v>45740</v>
      </c>
      <c r="AK7" s="57">
        <v>45831</v>
      </c>
      <c r="AL7" s="57">
        <v>45922</v>
      </c>
      <c r="AM7" s="57">
        <v>46013</v>
      </c>
      <c r="AN7" s="57"/>
      <c r="AO7" s="57"/>
      <c r="AP7" s="57"/>
      <c r="AQ7" s="57"/>
      <c r="AR7" s="57"/>
      <c r="AS7" s="57"/>
      <c r="AT7" s="57"/>
      <c r="AU7" s="57"/>
      <c r="AV7" s="57"/>
      <c r="AW7" s="57"/>
      <c r="AX7" s="57"/>
      <c r="AY7" s="57"/>
      <c r="AZ7" s="57"/>
      <c r="BA7" s="57"/>
      <c r="BB7" s="57"/>
      <c r="BC7" s="58"/>
      <c r="BD7" s="55" t="s">
        <v>5030</v>
      </c>
      <c r="BE7" t="s">
        <v>5031</v>
      </c>
      <c r="BF7" t="s">
        <v>5032</v>
      </c>
      <c r="BG7" t="s">
        <v>5033</v>
      </c>
      <c r="BO7" s="54"/>
      <c r="BP7" s="56">
        <v>45712</v>
      </c>
      <c r="BQ7" s="57">
        <v>45803</v>
      </c>
      <c r="BR7" s="57">
        <v>45894</v>
      </c>
      <c r="BS7" s="57">
        <v>45985</v>
      </c>
      <c r="BT7" s="57"/>
      <c r="BU7" s="57"/>
      <c r="BV7" s="57"/>
      <c r="BW7" s="57"/>
      <c r="BX7" s="57"/>
      <c r="BY7" s="57"/>
      <c r="BZ7" s="57"/>
      <c r="CA7" s="57"/>
      <c r="CB7" s="56" t="s">
        <v>5034</v>
      </c>
      <c r="CC7" s="57"/>
      <c r="CD7" s="57"/>
      <c r="CE7" s="57"/>
      <c r="CF7" s="57"/>
      <c r="CG7" s="57"/>
      <c r="CH7" s="57"/>
      <c r="CI7" s="57"/>
      <c r="CJ7" s="57"/>
      <c r="CK7" s="57"/>
      <c r="CL7" s="57"/>
      <c r="CM7" s="57"/>
      <c r="CN7" s="56">
        <v>45736</v>
      </c>
      <c r="CO7" s="57">
        <v>45827</v>
      </c>
      <c r="CP7" s="57">
        <v>45918</v>
      </c>
      <c r="CQ7" s="57">
        <v>46009</v>
      </c>
      <c r="CR7" s="57"/>
      <c r="CS7" s="57"/>
      <c r="CT7" s="57"/>
      <c r="CU7" s="57"/>
      <c r="CV7" s="57"/>
      <c r="CW7" s="57"/>
      <c r="CX7" s="57"/>
      <c r="CY7" s="57"/>
      <c r="CZ7" s="56" t="s">
        <v>5034</v>
      </c>
      <c r="DA7" s="57"/>
      <c r="DB7" s="57"/>
      <c r="DC7" s="57"/>
      <c r="DD7" s="57"/>
      <c r="DE7" s="57"/>
      <c r="DF7" s="57"/>
      <c r="DG7" s="57"/>
      <c r="DH7" s="57"/>
      <c r="DI7" s="57"/>
      <c r="DJ7" s="57"/>
      <c r="DK7" s="58"/>
      <c r="DL7" s="59">
        <v>4</v>
      </c>
      <c r="DM7" s="60">
        <v>4</v>
      </c>
      <c r="DN7" s="61">
        <v>0</v>
      </c>
      <c r="DO7" s="60">
        <v>4</v>
      </c>
      <c r="DP7" s="60">
        <v>0</v>
      </c>
      <c r="DQ7" s="59">
        <v>12</v>
      </c>
      <c r="DR7" s="62">
        <v>174</v>
      </c>
      <c r="DS7" s="62" t="s">
        <v>5034</v>
      </c>
      <c r="DU7" s="62" t="s">
        <v>5034</v>
      </c>
      <c r="DV7" s="63">
        <v>45520</v>
      </c>
      <c r="DW7" s="64">
        <v>2024</v>
      </c>
      <c r="DX7" s="65">
        <v>8</v>
      </c>
    </row>
    <row r="8" spans="2:128" ht="15" x14ac:dyDescent="0.25">
      <c r="B8" s="43" t="s">
        <v>5022</v>
      </c>
      <c r="C8" s="43" t="s">
        <v>4802</v>
      </c>
      <c r="D8" s="43" t="s">
        <v>4806</v>
      </c>
      <c r="E8" s="49">
        <v>42345</v>
      </c>
      <c r="F8" s="49"/>
      <c r="G8" s="50">
        <v>1</v>
      </c>
      <c r="H8" s="43" t="s">
        <v>4798</v>
      </c>
      <c r="I8" s="43" t="s">
        <v>5023</v>
      </c>
      <c r="J8" s="43"/>
      <c r="K8" s="43">
        <v>2</v>
      </c>
      <c r="L8" s="43">
        <v>3</v>
      </c>
      <c r="M8" s="43"/>
      <c r="N8" s="43"/>
      <c r="O8" s="43"/>
      <c r="P8" s="43" t="s">
        <v>5035</v>
      </c>
      <c r="Q8" s="43"/>
      <c r="R8" s="43" t="s">
        <v>5025</v>
      </c>
      <c r="S8" s="43" t="s">
        <v>5026</v>
      </c>
      <c r="T8" s="51" t="s">
        <v>5027</v>
      </c>
      <c r="U8" s="52" t="s">
        <v>5028</v>
      </c>
      <c r="V8" s="53" t="s">
        <v>3884</v>
      </c>
      <c r="W8" s="54" t="s">
        <v>2722</v>
      </c>
      <c r="X8" s="55" t="s">
        <v>4889</v>
      </c>
      <c r="Y8" t="s">
        <v>4896</v>
      </c>
      <c r="Z8" t="s">
        <v>4800</v>
      </c>
      <c r="AA8" t="s">
        <v>4891</v>
      </c>
      <c r="AI8" s="54"/>
      <c r="AJ8" s="56">
        <v>45740</v>
      </c>
      <c r="AK8" s="57">
        <v>45831</v>
      </c>
      <c r="AL8" s="57">
        <v>45922</v>
      </c>
      <c r="AM8" s="57">
        <v>46013</v>
      </c>
      <c r="AN8" s="57"/>
      <c r="AO8" s="57"/>
      <c r="AP8" s="57"/>
      <c r="AQ8" s="57"/>
      <c r="AR8" s="57"/>
      <c r="AS8" s="57"/>
      <c r="AT8" s="57"/>
      <c r="AU8" s="57"/>
      <c r="AV8" s="57"/>
      <c r="AW8" s="57"/>
      <c r="AX8" s="57"/>
      <c r="AY8" s="57"/>
      <c r="AZ8" s="57"/>
      <c r="BA8" s="57"/>
      <c r="BB8" s="57"/>
      <c r="BC8" s="58"/>
      <c r="BD8" s="55" t="s">
        <v>5030</v>
      </c>
      <c r="BE8" t="s">
        <v>5031</v>
      </c>
      <c r="BF8" t="s">
        <v>5032</v>
      </c>
      <c r="BG8" t="s">
        <v>5033</v>
      </c>
      <c r="BO8" s="54"/>
      <c r="BP8" s="56">
        <v>45712</v>
      </c>
      <c r="BQ8" s="57">
        <v>45803</v>
      </c>
      <c r="BR8" s="57">
        <v>45894</v>
      </c>
      <c r="BS8" s="57">
        <v>45985</v>
      </c>
      <c r="BT8" s="57"/>
      <c r="BU8" s="57"/>
      <c r="BV8" s="57"/>
      <c r="BW8" s="57"/>
      <c r="BX8" s="57"/>
      <c r="BY8" s="57"/>
      <c r="BZ8" s="57"/>
      <c r="CA8" s="57"/>
      <c r="CB8" s="56" t="s">
        <v>5034</v>
      </c>
      <c r="CC8" s="57"/>
      <c r="CD8" s="57"/>
      <c r="CE8" s="57"/>
      <c r="CF8" s="57"/>
      <c r="CG8" s="57"/>
      <c r="CH8" s="57"/>
      <c r="CI8" s="57"/>
      <c r="CJ8" s="57"/>
      <c r="CK8" s="57"/>
      <c r="CL8" s="57"/>
      <c r="CM8" s="57"/>
      <c r="CN8" s="56">
        <v>45736</v>
      </c>
      <c r="CO8" s="57">
        <v>45827</v>
      </c>
      <c r="CP8" s="57">
        <v>45918</v>
      </c>
      <c r="CQ8" s="57">
        <v>46009</v>
      </c>
      <c r="CR8" s="57"/>
      <c r="CS8" s="57"/>
      <c r="CT8" s="57"/>
      <c r="CU8" s="57"/>
      <c r="CV8" s="57"/>
      <c r="CW8" s="57"/>
      <c r="CX8" s="57"/>
      <c r="CY8" s="57"/>
      <c r="CZ8" s="56" t="s">
        <v>5034</v>
      </c>
      <c r="DA8" s="57"/>
      <c r="DB8" s="57"/>
      <c r="DC8" s="57"/>
      <c r="DD8" s="57"/>
      <c r="DE8" s="57"/>
      <c r="DF8" s="57"/>
      <c r="DG8" s="57"/>
      <c r="DH8" s="57"/>
      <c r="DI8" s="57"/>
      <c r="DJ8" s="57"/>
      <c r="DK8" s="58"/>
      <c r="DL8" s="59">
        <v>4</v>
      </c>
      <c r="DM8" s="60">
        <v>4</v>
      </c>
      <c r="DN8" s="61">
        <v>0</v>
      </c>
      <c r="DO8" s="60">
        <v>4</v>
      </c>
      <c r="DP8" s="60">
        <v>0</v>
      </c>
      <c r="DQ8" s="59">
        <v>12</v>
      </c>
      <c r="DR8" s="62">
        <v>186</v>
      </c>
      <c r="DS8" s="62" t="s">
        <v>5034</v>
      </c>
      <c r="DU8" s="62" t="s">
        <v>5034</v>
      </c>
      <c r="DV8" s="63">
        <v>44483.753065625002</v>
      </c>
      <c r="DW8" s="64">
        <v>2021</v>
      </c>
      <c r="DX8" s="65">
        <v>10</v>
      </c>
    </row>
    <row r="9" spans="2:128" ht="15" x14ac:dyDescent="0.25">
      <c r="B9" s="43" t="s">
        <v>5022</v>
      </c>
      <c r="C9" s="43" t="s">
        <v>4802</v>
      </c>
      <c r="D9" s="43" t="s">
        <v>4807</v>
      </c>
      <c r="E9" s="49">
        <v>42787</v>
      </c>
      <c r="F9" s="49"/>
      <c r="G9" s="50">
        <v>1</v>
      </c>
      <c r="H9" s="43" t="s">
        <v>4798</v>
      </c>
      <c r="I9" s="43" t="s">
        <v>5023</v>
      </c>
      <c r="J9" s="43"/>
      <c r="K9" s="43">
        <v>2</v>
      </c>
      <c r="L9" s="43">
        <v>3</v>
      </c>
      <c r="M9" s="43"/>
      <c r="N9" s="43"/>
      <c r="O9" s="43" t="s">
        <v>4725</v>
      </c>
      <c r="P9" s="43" t="s">
        <v>5024</v>
      </c>
      <c r="Q9" s="43" t="s">
        <v>5036</v>
      </c>
      <c r="R9" s="43" t="s">
        <v>5025</v>
      </c>
      <c r="S9" s="43" t="s">
        <v>5026</v>
      </c>
      <c r="T9" s="51" t="s">
        <v>5027</v>
      </c>
      <c r="U9" s="52" t="s">
        <v>5028</v>
      </c>
      <c r="V9" s="53" t="s">
        <v>3884</v>
      </c>
      <c r="W9" s="54" t="s">
        <v>2694</v>
      </c>
      <c r="X9" s="55" t="s">
        <v>4889</v>
      </c>
      <c r="Y9" t="s">
        <v>4896</v>
      </c>
      <c r="Z9" t="s">
        <v>4800</v>
      </c>
      <c r="AA9" t="s">
        <v>4891</v>
      </c>
      <c r="AI9" s="54"/>
      <c r="AJ9" s="56">
        <v>45740</v>
      </c>
      <c r="AK9" s="57">
        <v>45831</v>
      </c>
      <c r="AL9" s="57">
        <v>45922</v>
      </c>
      <c r="AM9" s="57">
        <v>46013</v>
      </c>
      <c r="AN9" s="57"/>
      <c r="AO9" s="57"/>
      <c r="AP9" s="57"/>
      <c r="AQ9" s="57"/>
      <c r="AR9" s="57"/>
      <c r="AS9" s="57"/>
      <c r="AT9" s="57"/>
      <c r="AU9" s="57"/>
      <c r="AV9" s="57"/>
      <c r="AW9" s="57"/>
      <c r="AX9" s="57"/>
      <c r="AY9" s="57"/>
      <c r="AZ9" s="57"/>
      <c r="BA9" s="57"/>
      <c r="BB9" s="57"/>
      <c r="BC9" s="58"/>
      <c r="BD9" s="55" t="s">
        <v>5030</v>
      </c>
      <c r="BE9" t="s">
        <v>5031</v>
      </c>
      <c r="BF9" t="s">
        <v>5032</v>
      </c>
      <c r="BG9" t="s">
        <v>5033</v>
      </c>
      <c r="BO9" s="54"/>
      <c r="BP9" s="56">
        <v>45712</v>
      </c>
      <c r="BQ9" s="57">
        <v>45803</v>
      </c>
      <c r="BR9" s="57">
        <v>45894</v>
      </c>
      <c r="BS9" s="57">
        <v>45985</v>
      </c>
      <c r="BT9" s="57"/>
      <c r="BU9" s="57"/>
      <c r="BV9" s="57"/>
      <c r="BW9" s="57"/>
      <c r="BX9" s="57"/>
      <c r="BY9" s="57"/>
      <c r="BZ9" s="57"/>
      <c r="CA9" s="57"/>
      <c r="CB9" s="56" t="s">
        <v>5034</v>
      </c>
      <c r="CC9" s="57"/>
      <c r="CD9" s="57"/>
      <c r="CE9" s="57"/>
      <c r="CF9" s="57"/>
      <c r="CG9" s="57"/>
      <c r="CH9" s="57"/>
      <c r="CI9" s="57"/>
      <c r="CJ9" s="57"/>
      <c r="CK9" s="57"/>
      <c r="CL9" s="57"/>
      <c r="CM9" s="57"/>
      <c r="CN9" s="56">
        <v>45736</v>
      </c>
      <c r="CO9" s="57">
        <v>45827</v>
      </c>
      <c r="CP9" s="57">
        <v>45918</v>
      </c>
      <c r="CQ9" s="57">
        <v>46009</v>
      </c>
      <c r="CR9" s="57"/>
      <c r="CS9" s="57"/>
      <c r="CT9" s="57"/>
      <c r="CU9" s="57"/>
      <c r="CV9" s="57"/>
      <c r="CW9" s="57"/>
      <c r="CX9" s="57"/>
      <c r="CY9" s="57"/>
      <c r="CZ9" s="56" t="s">
        <v>5034</v>
      </c>
      <c r="DA9" s="57"/>
      <c r="DB9" s="57"/>
      <c r="DC9" s="57"/>
      <c r="DD9" s="57"/>
      <c r="DE9" s="57"/>
      <c r="DF9" s="57"/>
      <c r="DG9" s="57"/>
      <c r="DH9" s="57"/>
      <c r="DI9" s="57"/>
      <c r="DJ9" s="57"/>
      <c r="DK9" s="58"/>
      <c r="DL9" s="59">
        <v>4</v>
      </c>
      <c r="DM9" s="60">
        <v>4</v>
      </c>
      <c r="DN9" s="61">
        <v>0</v>
      </c>
      <c r="DO9" s="60">
        <v>4</v>
      </c>
      <c r="DP9" s="60">
        <v>0</v>
      </c>
      <c r="DQ9" s="59">
        <v>12</v>
      </c>
      <c r="DR9" s="62">
        <v>207</v>
      </c>
      <c r="DS9" s="62" t="s">
        <v>5034</v>
      </c>
      <c r="DU9" s="62" t="s">
        <v>5034</v>
      </c>
      <c r="DV9" s="63">
        <v>44627.477462916664</v>
      </c>
      <c r="DW9" s="64">
        <v>2022</v>
      </c>
      <c r="DX9" s="65">
        <v>3</v>
      </c>
    </row>
    <row r="10" spans="2:128" ht="15" x14ac:dyDescent="0.25">
      <c r="B10" s="43" t="s">
        <v>5022</v>
      </c>
      <c r="C10" s="43" t="s">
        <v>4808</v>
      </c>
      <c r="D10" s="43" t="s">
        <v>4809</v>
      </c>
      <c r="E10" s="49">
        <v>42831</v>
      </c>
      <c r="F10" s="49"/>
      <c r="G10" s="50">
        <v>1</v>
      </c>
      <c r="H10" s="43" t="s">
        <v>4798</v>
      </c>
      <c r="I10" s="43" t="s">
        <v>5023</v>
      </c>
      <c r="J10" s="43">
        <v>6</v>
      </c>
      <c r="K10" s="43">
        <v>2</v>
      </c>
      <c r="L10" s="43">
        <v>3</v>
      </c>
      <c r="M10" s="43">
        <v>20</v>
      </c>
      <c r="N10" s="43"/>
      <c r="O10" s="43"/>
      <c r="P10" s="43" t="s">
        <v>5024</v>
      </c>
      <c r="Q10" s="43" t="s">
        <v>5037</v>
      </c>
      <c r="R10" s="43" t="s">
        <v>5038</v>
      </c>
      <c r="S10" s="43" t="s">
        <v>5026</v>
      </c>
      <c r="T10" s="51" t="s">
        <v>5039</v>
      </c>
      <c r="U10" s="52" t="s">
        <v>5028</v>
      </c>
      <c r="V10" s="53" t="s">
        <v>3884</v>
      </c>
      <c r="W10" s="54" t="s">
        <v>5040</v>
      </c>
      <c r="X10" s="55" t="s">
        <v>4889</v>
      </c>
      <c r="Y10" t="s">
        <v>4896</v>
      </c>
      <c r="Z10" t="s">
        <v>4800</v>
      </c>
      <c r="AA10" t="s">
        <v>4891</v>
      </c>
      <c r="AI10" s="54"/>
      <c r="AJ10" s="56">
        <v>45740</v>
      </c>
      <c r="AK10" s="57">
        <v>45831</v>
      </c>
      <c r="AL10" s="57">
        <v>45922</v>
      </c>
      <c r="AM10" s="57">
        <v>46013</v>
      </c>
      <c r="AN10" s="57"/>
      <c r="AO10" s="57"/>
      <c r="AP10" s="57"/>
      <c r="AQ10" s="57"/>
      <c r="AR10" s="57"/>
      <c r="AS10" s="57"/>
      <c r="AT10" s="57"/>
      <c r="AU10" s="57"/>
      <c r="AV10" s="57"/>
      <c r="AW10" s="57"/>
      <c r="AX10" s="57"/>
      <c r="AY10" s="57"/>
      <c r="AZ10" s="57"/>
      <c r="BA10" s="57"/>
      <c r="BB10" s="57"/>
      <c r="BC10" s="58"/>
      <c r="BD10" s="55" t="s">
        <v>5030</v>
      </c>
      <c r="BE10" t="s">
        <v>5031</v>
      </c>
      <c r="BF10" t="s">
        <v>5032</v>
      </c>
      <c r="BG10" t="s">
        <v>5033</v>
      </c>
      <c r="BO10" s="54"/>
      <c r="BP10" s="56">
        <v>45712</v>
      </c>
      <c r="BQ10" s="57">
        <v>45803</v>
      </c>
      <c r="BR10" s="57">
        <v>45894</v>
      </c>
      <c r="BS10" s="57">
        <v>45985</v>
      </c>
      <c r="BT10" s="57"/>
      <c r="BU10" s="57"/>
      <c r="BV10" s="57"/>
      <c r="BW10" s="57"/>
      <c r="BX10" s="57"/>
      <c r="BY10" s="57"/>
      <c r="BZ10" s="57"/>
      <c r="CA10" s="57"/>
      <c r="CB10" s="56">
        <v>45730</v>
      </c>
      <c r="CC10" s="57">
        <v>45821</v>
      </c>
      <c r="CD10" s="57">
        <v>45912</v>
      </c>
      <c r="CE10" s="57">
        <v>46003</v>
      </c>
      <c r="CF10" s="57"/>
      <c r="CG10" s="57"/>
      <c r="CH10" s="57"/>
      <c r="CI10" s="57"/>
      <c r="CJ10" s="57"/>
      <c r="CK10" s="57"/>
      <c r="CL10" s="57"/>
      <c r="CM10" s="57"/>
      <c r="CN10" s="56">
        <v>45736</v>
      </c>
      <c r="CO10" s="57">
        <v>45827</v>
      </c>
      <c r="CP10" s="57">
        <v>45918</v>
      </c>
      <c r="CQ10" s="57">
        <v>46009</v>
      </c>
      <c r="CR10" s="57"/>
      <c r="CS10" s="57"/>
      <c r="CT10" s="57"/>
      <c r="CU10" s="57"/>
      <c r="CV10" s="57"/>
      <c r="CW10" s="57"/>
      <c r="CX10" s="57"/>
      <c r="CY10" s="57"/>
      <c r="CZ10" s="56">
        <v>45685</v>
      </c>
      <c r="DA10" s="57">
        <v>45776</v>
      </c>
      <c r="DB10" s="57">
        <v>45867</v>
      </c>
      <c r="DC10" s="57">
        <v>45958</v>
      </c>
      <c r="DD10" s="57"/>
      <c r="DE10" s="57"/>
      <c r="DF10" s="57"/>
      <c r="DG10" s="57"/>
      <c r="DH10" s="57"/>
      <c r="DI10" s="57"/>
      <c r="DJ10" s="57"/>
      <c r="DK10" s="58"/>
      <c r="DL10" s="59">
        <v>4</v>
      </c>
      <c r="DM10" s="60">
        <v>4</v>
      </c>
      <c r="DN10" s="61">
        <v>4</v>
      </c>
      <c r="DO10" s="60">
        <v>4</v>
      </c>
      <c r="DP10" s="60">
        <v>4</v>
      </c>
      <c r="DQ10" s="59">
        <v>20</v>
      </c>
      <c r="DR10" s="62">
        <v>219</v>
      </c>
      <c r="DS10" s="62" t="s">
        <v>5034</v>
      </c>
      <c r="DU10" s="62" t="s">
        <v>5034</v>
      </c>
      <c r="DV10" s="63">
        <v>44992.582864837961</v>
      </c>
      <c r="DW10" s="64">
        <v>2023</v>
      </c>
      <c r="DX10" s="65">
        <v>3</v>
      </c>
    </row>
    <row r="11" spans="2:128" ht="15" x14ac:dyDescent="0.25">
      <c r="B11" s="43" t="s">
        <v>5022</v>
      </c>
      <c r="C11" s="43" t="s">
        <v>4808</v>
      </c>
      <c r="D11" s="43" t="s">
        <v>4809</v>
      </c>
      <c r="E11" s="49">
        <v>42977</v>
      </c>
      <c r="F11" s="49"/>
      <c r="G11" s="50">
        <v>1</v>
      </c>
      <c r="H11" s="43" t="s">
        <v>4798</v>
      </c>
      <c r="I11" s="43" t="s">
        <v>5023</v>
      </c>
      <c r="J11" s="43">
        <v>6</v>
      </c>
      <c r="K11" s="43">
        <v>2</v>
      </c>
      <c r="L11" s="43">
        <v>3</v>
      </c>
      <c r="M11" s="43">
        <v>20</v>
      </c>
      <c r="N11" s="43"/>
      <c r="O11" s="43"/>
      <c r="P11" s="43" t="s">
        <v>5024</v>
      </c>
      <c r="Q11" s="43" t="s">
        <v>5037</v>
      </c>
      <c r="R11" s="43" t="s">
        <v>5038</v>
      </c>
      <c r="S11" s="43" t="s">
        <v>5026</v>
      </c>
      <c r="T11" s="51" t="s">
        <v>5039</v>
      </c>
      <c r="U11" s="52" t="s">
        <v>5028</v>
      </c>
      <c r="V11" s="53" t="s">
        <v>3896</v>
      </c>
      <c r="W11" s="54" t="s">
        <v>5034</v>
      </c>
      <c r="X11" s="55" t="s">
        <v>5034</v>
      </c>
      <c r="AI11" s="54"/>
      <c r="AJ11" s="56" t="s">
        <v>5034</v>
      </c>
      <c r="AK11" s="57"/>
      <c r="AL11" s="57"/>
      <c r="AM11" s="57"/>
      <c r="AN11" s="57"/>
      <c r="AO11" s="57"/>
      <c r="AP11" s="57"/>
      <c r="AQ11" s="57"/>
      <c r="AR11" s="57"/>
      <c r="AS11" s="57"/>
      <c r="AT11" s="57"/>
      <c r="AU11" s="57"/>
      <c r="AV11" s="57"/>
      <c r="AW11" s="57"/>
      <c r="AX11" s="57"/>
      <c r="AY11" s="57"/>
      <c r="AZ11" s="57"/>
      <c r="BA11" s="57"/>
      <c r="BB11" s="57"/>
      <c r="BC11" s="58"/>
      <c r="BD11" s="55" t="s">
        <v>5034</v>
      </c>
      <c r="BO11" s="54"/>
      <c r="BP11" s="56" t="s">
        <v>5034</v>
      </c>
      <c r="BQ11" s="57"/>
      <c r="BR11" s="57"/>
      <c r="BS11" s="57"/>
      <c r="BT11" s="57"/>
      <c r="BU11" s="57"/>
      <c r="BV11" s="57"/>
      <c r="BW11" s="57"/>
      <c r="BX11" s="57"/>
      <c r="BY11" s="57"/>
      <c r="BZ11" s="57"/>
      <c r="CA11" s="57"/>
      <c r="CB11" s="56" t="s">
        <v>5034</v>
      </c>
      <c r="CC11" s="57"/>
      <c r="CD11" s="57"/>
      <c r="CE11" s="57"/>
      <c r="CF11" s="57"/>
      <c r="CG11" s="57"/>
      <c r="CH11" s="57"/>
      <c r="CI11" s="57"/>
      <c r="CJ11" s="57"/>
      <c r="CK11" s="57"/>
      <c r="CL11" s="57"/>
      <c r="CM11" s="57"/>
      <c r="CN11" s="56" t="s">
        <v>5034</v>
      </c>
      <c r="CO11" s="57"/>
      <c r="CP11" s="57"/>
      <c r="CQ11" s="57"/>
      <c r="CR11" s="57"/>
      <c r="CS11" s="57"/>
      <c r="CT11" s="57"/>
      <c r="CU11" s="57"/>
      <c r="CV11" s="57"/>
      <c r="CW11" s="57"/>
      <c r="CX11" s="57"/>
      <c r="CY11" s="57"/>
      <c r="CZ11" s="56" t="s">
        <v>5034</v>
      </c>
      <c r="DA11" s="57"/>
      <c r="DB11" s="57"/>
      <c r="DC11" s="57"/>
      <c r="DD11" s="57"/>
      <c r="DE11" s="57"/>
      <c r="DF11" s="57"/>
      <c r="DG11" s="57"/>
      <c r="DH11" s="57"/>
      <c r="DI11" s="57"/>
      <c r="DJ11" s="57"/>
      <c r="DK11" s="58"/>
      <c r="DL11" s="59">
        <v>0</v>
      </c>
      <c r="DM11" s="60">
        <v>0</v>
      </c>
      <c r="DN11" s="61">
        <v>0</v>
      </c>
      <c r="DO11" s="60">
        <v>0</v>
      </c>
      <c r="DP11" s="60">
        <v>0</v>
      </c>
      <c r="DQ11" s="59">
        <v>0</v>
      </c>
      <c r="DR11" s="62" t="s">
        <v>5034</v>
      </c>
      <c r="DS11" s="62" t="s">
        <v>5034</v>
      </c>
      <c r="DU11" s="62" t="s">
        <v>5034</v>
      </c>
      <c r="DV11" s="63">
        <v>44992.606862349538</v>
      </c>
      <c r="DW11" s="64">
        <v>2023</v>
      </c>
      <c r="DX11" s="65">
        <v>3</v>
      </c>
    </row>
    <row r="12" spans="2:128" ht="15" x14ac:dyDescent="0.25">
      <c r="B12" s="43" t="s">
        <v>5022</v>
      </c>
      <c r="C12" s="43" t="s">
        <v>4808</v>
      </c>
      <c r="D12" s="43" t="s">
        <v>4809</v>
      </c>
      <c r="E12" s="49">
        <v>43299</v>
      </c>
      <c r="F12" s="49"/>
      <c r="G12" s="50">
        <v>1</v>
      </c>
      <c r="H12" s="43" t="s">
        <v>4798</v>
      </c>
      <c r="I12" s="43" t="s">
        <v>5023</v>
      </c>
      <c r="J12" s="43">
        <v>6</v>
      </c>
      <c r="K12" s="43">
        <v>2</v>
      </c>
      <c r="L12" s="43">
        <v>3</v>
      </c>
      <c r="M12" s="43">
        <v>20</v>
      </c>
      <c r="N12" s="43"/>
      <c r="O12" s="43" t="s">
        <v>4725</v>
      </c>
      <c r="P12" s="43" t="s">
        <v>5024</v>
      </c>
      <c r="Q12" s="43" t="s">
        <v>5037</v>
      </c>
      <c r="R12" s="43" t="s">
        <v>5038</v>
      </c>
      <c r="S12" s="43" t="s">
        <v>5026</v>
      </c>
      <c r="T12" s="51" t="s">
        <v>5039</v>
      </c>
      <c r="U12" s="52" t="s">
        <v>5028</v>
      </c>
      <c r="V12" s="53" t="s">
        <v>3896</v>
      </c>
      <c r="W12" s="54" t="s">
        <v>5034</v>
      </c>
      <c r="X12" s="55" t="s">
        <v>5034</v>
      </c>
      <c r="AI12" s="54"/>
      <c r="AJ12" s="56" t="s">
        <v>5034</v>
      </c>
      <c r="AK12" s="57"/>
      <c r="AL12" s="57"/>
      <c r="AM12" s="57"/>
      <c r="AN12" s="57"/>
      <c r="AO12" s="57"/>
      <c r="AP12" s="57"/>
      <c r="AQ12" s="57"/>
      <c r="AR12" s="57"/>
      <c r="AS12" s="57"/>
      <c r="AT12" s="57"/>
      <c r="AU12" s="57"/>
      <c r="AV12" s="57"/>
      <c r="AW12" s="57"/>
      <c r="AX12" s="57"/>
      <c r="AY12" s="57"/>
      <c r="AZ12" s="57"/>
      <c r="BA12" s="57"/>
      <c r="BB12" s="57"/>
      <c r="BC12" s="58"/>
      <c r="BD12" s="55" t="s">
        <v>5034</v>
      </c>
      <c r="BO12" s="54"/>
      <c r="BP12" s="56" t="s">
        <v>5034</v>
      </c>
      <c r="BQ12" s="57"/>
      <c r="BR12" s="57"/>
      <c r="BS12" s="57"/>
      <c r="BT12" s="57"/>
      <c r="BU12" s="57"/>
      <c r="BV12" s="57"/>
      <c r="BW12" s="57"/>
      <c r="BX12" s="57"/>
      <c r="BY12" s="57"/>
      <c r="BZ12" s="57"/>
      <c r="CA12" s="57"/>
      <c r="CB12" s="56" t="s">
        <v>5034</v>
      </c>
      <c r="CC12" s="57"/>
      <c r="CD12" s="57"/>
      <c r="CE12" s="57"/>
      <c r="CF12" s="57"/>
      <c r="CG12" s="57"/>
      <c r="CH12" s="57"/>
      <c r="CI12" s="57"/>
      <c r="CJ12" s="57"/>
      <c r="CK12" s="57"/>
      <c r="CL12" s="57"/>
      <c r="CM12" s="57"/>
      <c r="CN12" s="56" t="s">
        <v>5034</v>
      </c>
      <c r="CO12" s="57"/>
      <c r="CP12" s="57"/>
      <c r="CQ12" s="57"/>
      <c r="CR12" s="57"/>
      <c r="CS12" s="57"/>
      <c r="CT12" s="57"/>
      <c r="CU12" s="57"/>
      <c r="CV12" s="57"/>
      <c r="CW12" s="57"/>
      <c r="CX12" s="57"/>
      <c r="CY12" s="57"/>
      <c r="CZ12" s="56" t="s">
        <v>5034</v>
      </c>
      <c r="DA12" s="57"/>
      <c r="DB12" s="57"/>
      <c r="DC12" s="57"/>
      <c r="DD12" s="57"/>
      <c r="DE12" s="57"/>
      <c r="DF12" s="57"/>
      <c r="DG12" s="57"/>
      <c r="DH12" s="57"/>
      <c r="DI12" s="57"/>
      <c r="DJ12" s="57"/>
      <c r="DK12" s="58"/>
      <c r="DL12" s="59">
        <v>0</v>
      </c>
      <c r="DM12" s="60">
        <v>0</v>
      </c>
      <c r="DN12" s="61">
        <v>0</v>
      </c>
      <c r="DO12" s="60">
        <v>0</v>
      </c>
      <c r="DP12" s="60">
        <v>0</v>
      </c>
      <c r="DQ12" s="59">
        <v>0</v>
      </c>
      <c r="DR12" s="62" t="s">
        <v>5034</v>
      </c>
      <c r="DS12" s="62" t="s">
        <v>5034</v>
      </c>
      <c r="DU12" s="62" t="s">
        <v>5034</v>
      </c>
      <c r="DV12" s="63">
        <v>45084.603225115738</v>
      </c>
      <c r="DW12" s="64">
        <v>2023</v>
      </c>
      <c r="DX12" s="65">
        <v>6</v>
      </c>
    </row>
    <row r="13" spans="2:128" ht="15" x14ac:dyDescent="0.25">
      <c r="B13" s="43" t="s">
        <v>5022</v>
      </c>
      <c r="C13" s="43" t="s">
        <v>4802</v>
      </c>
      <c r="D13" s="43" t="s">
        <v>4810</v>
      </c>
      <c r="E13" s="49">
        <v>42909</v>
      </c>
      <c r="F13" s="49"/>
      <c r="G13" s="50">
        <v>2</v>
      </c>
      <c r="H13" s="43" t="s">
        <v>4798</v>
      </c>
      <c r="I13" s="43" t="s">
        <v>5023</v>
      </c>
      <c r="J13" s="43"/>
      <c r="K13" s="43">
        <v>2</v>
      </c>
      <c r="L13" s="43">
        <v>3</v>
      </c>
      <c r="M13" s="43"/>
      <c r="N13" s="43"/>
      <c r="O13" s="43"/>
      <c r="P13" s="43" t="s">
        <v>5024</v>
      </c>
      <c r="Q13" s="43" t="s">
        <v>5041</v>
      </c>
      <c r="R13" s="43" t="s">
        <v>5038</v>
      </c>
      <c r="S13" s="43" t="s">
        <v>5026</v>
      </c>
      <c r="T13" s="51" t="s">
        <v>5027</v>
      </c>
      <c r="U13" s="52" t="s">
        <v>5028</v>
      </c>
      <c r="V13" s="53" t="s">
        <v>3884</v>
      </c>
      <c r="W13" s="54" t="s">
        <v>1263</v>
      </c>
      <c r="X13" s="55" t="s">
        <v>4889</v>
      </c>
      <c r="Y13" t="s">
        <v>4896</v>
      </c>
      <c r="Z13" t="s">
        <v>4800</v>
      </c>
      <c r="AA13" t="s">
        <v>4891</v>
      </c>
      <c r="AI13" s="54"/>
      <c r="AJ13" s="56">
        <v>45740</v>
      </c>
      <c r="AK13" s="57">
        <v>45741</v>
      </c>
      <c r="AL13" s="57">
        <v>45831</v>
      </c>
      <c r="AM13" s="57">
        <v>45832</v>
      </c>
      <c r="AN13" s="57">
        <v>45922</v>
      </c>
      <c r="AO13" s="57">
        <v>45923</v>
      </c>
      <c r="AP13" s="57">
        <v>46013</v>
      </c>
      <c r="AQ13" s="57">
        <v>46014</v>
      </c>
      <c r="AR13" s="57"/>
      <c r="AS13" s="57"/>
      <c r="AT13" s="57"/>
      <c r="AU13" s="57"/>
      <c r="AV13" s="57"/>
      <c r="AW13" s="57"/>
      <c r="AX13" s="57"/>
      <c r="AY13" s="57"/>
      <c r="AZ13" s="57"/>
      <c r="BA13" s="57"/>
      <c r="BB13" s="57"/>
      <c r="BC13" s="58"/>
      <c r="BD13" s="55" t="s">
        <v>5030</v>
      </c>
      <c r="BE13" t="s">
        <v>5031</v>
      </c>
      <c r="BF13" t="s">
        <v>5032</v>
      </c>
      <c r="BG13" t="s">
        <v>5033</v>
      </c>
      <c r="BO13" s="54"/>
      <c r="BP13" s="56">
        <v>45712</v>
      </c>
      <c r="BQ13" s="57">
        <v>45803</v>
      </c>
      <c r="BR13" s="57">
        <v>45894</v>
      </c>
      <c r="BS13" s="57">
        <v>45985</v>
      </c>
      <c r="BT13" s="57"/>
      <c r="BU13" s="57"/>
      <c r="BV13" s="57"/>
      <c r="BW13" s="57"/>
      <c r="BX13" s="57"/>
      <c r="BY13" s="57"/>
      <c r="BZ13" s="57"/>
      <c r="CA13" s="57"/>
      <c r="CB13" s="56" t="s">
        <v>5034</v>
      </c>
      <c r="CC13" s="57"/>
      <c r="CD13" s="57"/>
      <c r="CE13" s="57"/>
      <c r="CF13" s="57"/>
      <c r="CG13" s="57"/>
      <c r="CH13" s="57"/>
      <c r="CI13" s="57"/>
      <c r="CJ13" s="57"/>
      <c r="CK13" s="57"/>
      <c r="CL13" s="57"/>
      <c r="CM13" s="57"/>
      <c r="CN13" s="56">
        <v>45736</v>
      </c>
      <c r="CO13" s="57">
        <v>45827</v>
      </c>
      <c r="CP13" s="57">
        <v>45918</v>
      </c>
      <c r="CQ13" s="57">
        <v>46009</v>
      </c>
      <c r="CR13" s="57"/>
      <c r="CS13" s="57"/>
      <c r="CT13" s="57"/>
      <c r="CU13" s="57"/>
      <c r="CV13" s="57"/>
      <c r="CW13" s="57"/>
      <c r="CX13" s="57"/>
      <c r="CY13" s="57"/>
      <c r="CZ13" s="56" t="s">
        <v>5034</v>
      </c>
      <c r="DA13" s="57"/>
      <c r="DB13" s="57"/>
      <c r="DC13" s="57"/>
      <c r="DD13" s="57"/>
      <c r="DE13" s="57"/>
      <c r="DF13" s="57"/>
      <c r="DG13" s="57"/>
      <c r="DH13" s="57"/>
      <c r="DI13" s="57"/>
      <c r="DJ13" s="57"/>
      <c r="DK13" s="58"/>
      <c r="DL13" s="59">
        <v>8</v>
      </c>
      <c r="DM13" s="60">
        <v>4</v>
      </c>
      <c r="DN13" s="61">
        <v>0</v>
      </c>
      <c r="DO13" s="60">
        <v>4</v>
      </c>
      <c r="DP13" s="60">
        <v>0</v>
      </c>
      <c r="DQ13" s="59">
        <v>16</v>
      </c>
      <c r="DR13" s="62">
        <v>255</v>
      </c>
      <c r="DS13" s="62" t="s">
        <v>5034</v>
      </c>
      <c r="DU13" s="62" t="s">
        <v>5034</v>
      </c>
      <c r="DV13" s="63">
        <v>44483.752594212965</v>
      </c>
      <c r="DW13" s="64">
        <v>2021</v>
      </c>
      <c r="DX13" s="65">
        <v>10</v>
      </c>
    </row>
    <row r="14" spans="2:128" ht="15" x14ac:dyDescent="0.25">
      <c r="B14" s="43" t="s">
        <v>5022</v>
      </c>
      <c r="C14" s="43" t="s">
        <v>4802</v>
      </c>
      <c r="D14" s="43" t="s">
        <v>4811</v>
      </c>
      <c r="E14" s="49">
        <v>43049</v>
      </c>
      <c r="F14" s="49"/>
      <c r="G14" s="50">
        <v>1</v>
      </c>
      <c r="H14" s="43" t="s">
        <v>4798</v>
      </c>
      <c r="I14" s="43" t="s">
        <v>5023</v>
      </c>
      <c r="J14" s="43"/>
      <c r="K14" s="43">
        <v>2</v>
      </c>
      <c r="L14" s="43">
        <v>2</v>
      </c>
      <c r="M14" s="43"/>
      <c r="N14" s="43"/>
      <c r="O14" s="43"/>
      <c r="P14" s="43" t="s">
        <v>5024</v>
      </c>
      <c r="Q14" s="43" t="s">
        <v>5041</v>
      </c>
      <c r="R14" s="43" t="s">
        <v>5038</v>
      </c>
      <c r="S14" s="43" t="s">
        <v>5026</v>
      </c>
      <c r="T14" s="51" t="s">
        <v>5027</v>
      </c>
      <c r="U14" s="52" t="s">
        <v>5028</v>
      </c>
      <c r="V14" s="53" t="s">
        <v>3884</v>
      </c>
      <c r="W14" s="54" t="s">
        <v>1211</v>
      </c>
      <c r="X14" s="55" t="s">
        <v>4889</v>
      </c>
      <c r="Y14" t="s">
        <v>4896</v>
      </c>
      <c r="Z14" t="s">
        <v>4800</v>
      </c>
      <c r="AA14" t="s">
        <v>4891</v>
      </c>
      <c r="AI14" s="54"/>
      <c r="AJ14" s="56">
        <v>45740</v>
      </c>
      <c r="AK14" s="57">
        <v>45831</v>
      </c>
      <c r="AL14" s="57">
        <v>45922</v>
      </c>
      <c r="AM14" s="57">
        <v>46013</v>
      </c>
      <c r="AN14" s="57"/>
      <c r="AO14" s="57"/>
      <c r="AP14" s="57"/>
      <c r="AQ14" s="57"/>
      <c r="AR14" s="57"/>
      <c r="AS14" s="57"/>
      <c r="AT14" s="57"/>
      <c r="AU14" s="57"/>
      <c r="AV14" s="57"/>
      <c r="AW14" s="57"/>
      <c r="AX14" s="57"/>
      <c r="AY14" s="57"/>
      <c r="AZ14" s="57"/>
      <c r="BA14" s="57"/>
      <c r="BB14" s="57"/>
      <c r="BC14" s="58"/>
      <c r="BD14" s="55" t="s">
        <v>5030</v>
      </c>
      <c r="BE14" t="s">
        <v>5031</v>
      </c>
      <c r="BF14" t="s">
        <v>5032</v>
      </c>
      <c r="BG14" t="s">
        <v>5033</v>
      </c>
      <c r="BO14" s="54"/>
      <c r="BP14" s="56">
        <v>45712</v>
      </c>
      <c r="BQ14" s="57">
        <v>45803</v>
      </c>
      <c r="BR14" s="57">
        <v>45894</v>
      </c>
      <c r="BS14" s="57">
        <v>45985</v>
      </c>
      <c r="BT14" s="57"/>
      <c r="BU14" s="57"/>
      <c r="BV14" s="57"/>
      <c r="BW14" s="57"/>
      <c r="BX14" s="57"/>
      <c r="BY14" s="57"/>
      <c r="BZ14" s="57"/>
      <c r="CA14" s="57"/>
      <c r="CB14" s="56" t="s">
        <v>5034</v>
      </c>
      <c r="CC14" s="57"/>
      <c r="CD14" s="57"/>
      <c r="CE14" s="57"/>
      <c r="CF14" s="57"/>
      <c r="CG14" s="57"/>
      <c r="CH14" s="57"/>
      <c r="CI14" s="57"/>
      <c r="CJ14" s="57"/>
      <c r="CK14" s="57"/>
      <c r="CL14" s="57"/>
      <c r="CM14" s="57"/>
      <c r="CN14" s="56">
        <v>45736</v>
      </c>
      <c r="CO14" s="57">
        <v>45827</v>
      </c>
      <c r="CP14" s="57">
        <v>45918</v>
      </c>
      <c r="CQ14" s="57">
        <v>46009</v>
      </c>
      <c r="CR14" s="57"/>
      <c r="CS14" s="57"/>
      <c r="CT14" s="57"/>
      <c r="CU14" s="57"/>
      <c r="CV14" s="57"/>
      <c r="CW14" s="57"/>
      <c r="CX14" s="57"/>
      <c r="CY14" s="57"/>
      <c r="CZ14" s="56" t="s">
        <v>5034</v>
      </c>
      <c r="DA14" s="57"/>
      <c r="DB14" s="57"/>
      <c r="DC14" s="57"/>
      <c r="DD14" s="57"/>
      <c r="DE14" s="57"/>
      <c r="DF14" s="57"/>
      <c r="DG14" s="57"/>
      <c r="DH14" s="57"/>
      <c r="DI14" s="57"/>
      <c r="DJ14" s="57"/>
      <c r="DK14" s="58"/>
      <c r="DL14" s="59">
        <v>4</v>
      </c>
      <c r="DM14" s="60">
        <v>4</v>
      </c>
      <c r="DN14" s="61">
        <v>0</v>
      </c>
      <c r="DO14" s="60">
        <v>4</v>
      </c>
      <c r="DP14" s="60">
        <v>0</v>
      </c>
      <c r="DQ14" s="59">
        <v>12</v>
      </c>
      <c r="DR14" s="62">
        <v>307</v>
      </c>
      <c r="DS14" s="62" t="s">
        <v>5034</v>
      </c>
      <c r="DU14" s="62" t="s">
        <v>5034</v>
      </c>
      <c r="DV14" s="63">
        <v>44627.44698990741</v>
      </c>
      <c r="DW14" s="64">
        <v>2022</v>
      </c>
      <c r="DX14" s="65">
        <v>3</v>
      </c>
    </row>
    <row r="15" spans="2:128" ht="15" x14ac:dyDescent="0.25">
      <c r="B15" s="43" t="s">
        <v>5022</v>
      </c>
      <c r="C15" s="43" t="s">
        <v>4812</v>
      </c>
      <c r="D15" s="43" t="s">
        <v>4813</v>
      </c>
      <c r="E15" s="49">
        <v>43115</v>
      </c>
      <c r="F15" s="49"/>
      <c r="G15" s="50">
        <v>1</v>
      </c>
      <c r="H15" s="43" t="s">
        <v>4798</v>
      </c>
      <c r="I15" s="43" t="s">
        <v>5023</v>
      </c>
      <c r="J15" s="43"/>
      <c r="K15" s="43">
        <v>2</v>
      </c>
      <c r="L15" s="43">
        <v>3</v>
      </c>
      <c r="M15" s="43"/>
      <c r="N15" s="43"/>
      <c r="O15" s="43"/>
      <c r="P15" s="43" t="s">
        <v>5024</v>
      </c>
      <c r="Q15" s="43" t="s">
        <v>5042</v>
      </c>
      <c r="R15" s="43" t="s">
        <v>5043</v>
      </c>
      <c r="S15" s="43" t="s">
        <v>5026</v>
      </c>
      <c r="T15" s="51" t="s">
        <v>5027</v>
      </c>
      <c r="U15" s="52" t="s">
        <v>5028</v>
      </c>
      <c r="V15" s="53" t="s">
        <v>3884</v>
      </c>
      <c r="W15" s="54" t="s">
        <v>1178</v>
      </c>
      <c r="X15" s="55" t="s">
        <v>4889</v>
      </c>
      <c r="Y15" t="s">
        <v>4896</v>
      </c>
      <c r="Z15" t="s">
        <v>4800</v>
      </c>
      <c r="AA15" t="s">
        <v>4891</v>
      </c>
      <c r="AI15" s="54"/>
      <c r="AJ15" s="56">
        <v>45740</v>
      </c>
      <c r="AK15" s="57">
        <v>45831</v>
      </c>
      <c r="AL15" s="57">
        <v>45922</v>
      </c>
      <c r="AM15" s="57">
        <v>46013</v>
      </c>
      <c r="AN15" s="57"/>
      <c r="AO15" s="57"/>
      <c r="AP15" s="57"/>
      <c r="AQ15" s="57"/>
      <c r="AR15" s="57"/>
      <c r="AS15" s="57"/>
      <c r="AT15" s="57"/>
      <c r="AU15" s="57"/>
      <c r="AV15" s="57"/>
      <c r="AW15" s="57"/>
      <c r="AX15" s="57"/>
      <c r="AY15" s="57"/>
      <c r="AZ15" s="57"/>
      <c r="BA15" s="57"/>
      <c r="BB15" s="57"/>
      <c r="BC15" s="58"/>
      <c r="BD15" s="55" t="s">
        <v>5030</v>
      </c>
      <c r="BE15" t="s">
        <v>5031</v>
      </c>
      <c r="BF15" t="s">
        <v>5032</v>
      </c>
      <c r="BG15" t="s">
        <v>5033</v>
      </c>
      <c r="BO15" s="54"/>
      <c r="BP15" s="56">
        <v>45712</v>
      </c>
      <c r="BQ15" s="57">
        <v>45803</v>
      </c>
      <c r="BR15" s="57">
        <v>45894</v>
      </c>
      <c r="BS15" s="57">
        <v>45985</v>
      </c>
      <c r="BT15" s="57"/>
      <c r="BU15" s="57"/>
      <c r="BV15" s="57"/>
      <c r="BW15" s="57"/>
      <c r="BX15" s="57"/>
      <c r="BY15" s="57"/>
      <c r="BZ15" s="57"/>
      <c r="CA15" s="57"/>
      <c r="CB15" s="56" t="s">
        <v>5034</v>
      </c>
      <c r="CC15" s="57"/>
      <c r="CD15" s="57"/>
      <c r="CE15" s="57"/>
      <c r="CF15" s="57"/>
      <c r="CG15" s="57"/>
      <c r="CH15" s="57"/>
      <c r="CI15" s="57"/>
      <c r="CJ15" s="57"/>
      <c r="CK15" s="57"/>
      <c r="CL15" s="57"/>
      <c r="CM15" s="57"/>
      <c r="CN15" s="56">
        <v>45736</v>
      </c>
      <c r="CO15" s="57">
        <v>45827</v>
      </c>
      <c r="CP15" s="57">
        <v>45918</v>
      </c>
      <c r="CQ15" s="57">
        <v>46009</v>
      </c>
      <c r="CR15" s="57"/>
      <c r="CS15" s="57"/>
      <c r="CT15" s="57"/>
      <c r="CU15" s="57"/>
      <c r="CV15" s="57"/>
      <c r="CW15" s="57"/>
      <c r="CX15" s="57"/>
      <c r="CY15" s="57"/>
      <c r="CZ15" s="56" t="s">
        <v>5034</v>
      </c>
      <c r="DA15" s="57"/>
      <c r="DB15" s="57"/>
      <c r="DC15" s="57"/>
      <c r="DD15" s="57"/>
      <c r="DE15" s="57"/>
      <c r="DF15" s="57"/>
      <c r="DG15" s="57"/>
      <c r="DH15" s="57"/>
      <c r="DI15" s="57"/>
      <c r="DJ15" s="57"/>
      <c r="DK15" s="58"/>
      <c r="DL15" s="59">
        <v>4</v>
      </c>
      <c r="DM15" s="60">
        <v>4</v>
      </c>
      <c r="DN15" s="61">
        <v>0</v>
      </c>
      <c r="DO15" s="60">
        <v>4</v>
      </c>
      <c r="DP15" s="60">
        <v>0</v>
      </c>
      <c r="DQ15" s="59">
        <v>12</v>
      </c>
      <c r="DR15" s="62">
        <v>319</v>
      </c>
      <c r="DS15" s="62" t="s">
        <v>5034</v>
      </c>
      <c r="DU15" s="62" t="s">
        <v>5034</v>
      </c>
      <c r="DV15" s="63">
        <v>44483.751221134262</v>
      </c>
      <c r="DW15" s="64">
        <v>2021</v>
      </c>
      <c r="DX15" s="65">
        <v>10</v>
      </c>
    </row>
    <row r="16" spans="2:128" ht="15" x14ac:dyDescent="0.25">
      <c r="B16" s="43" t="s">
        <v>5022</v>
      </c>
      <c r="C16" s="43" t="s">
        <v>4812</v>
      </c>
      <c r="D16" s="43" t="s">
        <v>4814</v>
      </c>
      <c r="E16" s="49">
        <v>43217</v>
      </c>
      <c r="F16" s="49">
        <v>45699</v>
      </c>
      <c r="G16" s="50">
        <v>1</v>
      </c>
      <c r="H16" s="43" t="s">
        <v>4798</v>
      </c>
      <c r="I16" s="43" t="s">
        <v>5023</v>
      </c>
      <c r="J16" s="43"/>
      <c r="K16" s="43">
        <v>2</v>
      </c>
      <c r="L16" s="43">
        <v>3</v>
      </c>
      <c r="M16" s="43"/>
      <c r="N16" s="43"/>
      <c r="O16" s="43"/>
      <c r="P16" s="43" t="s">
        <v>5024</v>
      </c>
      <c r="Q16" s="43" t="s">
        <v>5042</v>
      </c>
      <c r="R16" s="43" t="s">
        <v>5043</v>
      </c>
      <c r="S16" s="43" t="s">
        <v>5026</v>
      </c>
      <c r="T16" s="51" t="s">
        <v>5027</v>
      </c>
      <c r="U16" s="52" t="s">
        <v>5028</v>
      </c>
      <c r="V16" s="53" t="s">
        <v>3896</v>
      </c>
      <c r="W16" s="54" t="s">
        <v>5034</v>
      </c>
      <c r="X16" s="55" t="s">
        <v>5034</v>
      </c>
      <c r="AI16" s="54"/>
      <c r="AJ16" s="56" t="s">
        <v>5034</v>
      </c>
      <c r="AK16" s="57"/>
      <c r="AL16" s="57"/>
      <c r="AM16" s="57"/>
      <c r="AN16" s="57"/>
      <c r="AO16" s="57"/>
      <c r="AP16" s="57"/>
      <c r="AQ16" s="57"/>
      <c r="AR16" s="57"/>
      <c r="AS16" s="57"/>
      <c r="AT16" s="57"/>
      <c r="AU16" s="57"/>
      <c r="AV16" s="57"/>
      <c r="AW16" s="57"/>
      <c r="AX16" s="57"/>
      <c r="AY16" s="57"/>
      <c r="AZ16" s="57"/>
      <c r="BA16" s="57"/>
      <c r="BB16" s="57"/>
      <c r="BC16" s="58"/>
      <c r="BD16" s="55" t="s">
        <v>5034</v>
      </c>
      <c r="BO16" s="54"/>
      <c r="BP16" s="56" t="s">
        <v>5034</v>
      </c>
      <c r="BQ16" s="57"/>
      <c r="BR16" s="57"/>
      <c r="BS16" s="57"/>
      <c r="BT16" s="57"/>
      <c r="BU16" s="57"/>
      <c r="BV16" s="57"/>
      <c r="BW16" s="57"/>
      <c r="BX16" s="57"/>
      <c r="BY16" s="57"/>
      <c r="BZ16" s="57"/>
      <c r="CA16" s="57"/>
      <c r="CB16" s="56" t="s">
        <v>5034</v>
      </c>
      <c r="CC16" s="57"/>
      <c r="CD16" s="57"/>
      <c r="CE16" s="57"/>
      <c r="CF16" s="57"/>
      <c r="CG16" s="57"/>
      <c r="CH16" s="57"/>
      <c r="CI16" s="57"/>
      <c r="CJ16" s="57"/>
      <c r="CK16" s="57"/>
      <c r="CL16" s="57"/>
      <c r="CM16" s="57"/>
      <c r="CN16" s="56" t="s">
        <v>5034</v>
      </c>
      <c r="CO16" s="57"/>
      <c r="CP16" s="57"/>
      <c r="CQ16" s="57"/>
      <c r="CR16" s="57"/>
      <c r="CS16" s="57"/>
      <c r="CT16" s="57"/>
      <c r="CU16" s="57"/>
      <c r="CV16" s="57"/>
      <c r="CW16" s="57"/>
      <c r="CX16" s="57"/>
      <c r="CY16" s="57"/>
      <c r="CZ16" s="56" t="s">
        <v>5034</v>
      </c>
      <c r="DA16" s="57"/>
      <c r="DB16" s="57"/>
      <c r="DC16" s="57"/>
      <c r="DD16" s="57"/>
      <c r="DE16" s="57"/>
      <c r="DF16" s="57"/>
      <c r="DG16" s="57"/>
      <c r="DH16" s="57"/>
      <c r="DI16" s="57"/>
      <c r="DJ16" s="57"/>
      <c r="DK16" s="58"/>
      <c r="DL16" s="59">
        <v>0</v>
      </c>
      <c r="DM16" s="60">
        <v>0</v>
      </c>
      <c r="DN16" s="61">
        <v>0</v>
      </c>
      <c r="DO16" s="60">
        <v>0</v>
      </c>
      <c r="DP16" s="60">
        <v>0</v>
      </c>
      <c r="DQ16" s="59">
        <v>0</v>
      </c>
      <c r="DR16" s="62" t="s">
        <v>5034</v>
      </c>
      <c r="DS16" s="62" t="s">
        <v>5034</v>
      </c>
      <c r="DU16" s="62" t="s">
        <v>5034</v>
      </c>
      <c r="DV16" s="63">
        <v>44483.751311643522</v>
      </c>
      <c r="DW16" s="64">
        <v>2021</v>
      </c>
      <c r="DX16" s="65">
        <v>10</v>
      </c>
    </row>
    <row r="17" spans="2:128" ht="15" x14ac:dyDescent="0.25">
      <c r="B17" s="43" t="s">
        <v>5022</v>
      </c>
      <c r="C17" s="43" t="s">
        <v>4802</v>
      </c>
      <c r="D17" s="43" t="s">
        <v>4815</v>
      </c>
      <c r="E17" s="49">
        <v>43115</v>
      </c>
      <c r="F17" s="49"/>
      <c r="G17" s="50">
        <v>1</v>
      </c>
      <c r="H17" s="43" t="s">
        <v>4798</v>
      </c>
      <c r="I17" s="43" t="s">
        <v>5023</v>
      </c>
      <c r="J17" s="43"/>
      <c r="K17" s="43">
        <v>2</v>
      </c>
      <c r="L17" s="43">
        <v>3</v>
      </c>
      <c r="M17" s="43"/>
      <c r="N17" s="43"/>
      <c r="O17" s="43"/>
      <c r="P17" s="43" t="s">
        <v>5024</v>
      </c>
      <c r="Q17" s="43" t="s">
        <v>5044</v>
      </c>
      <c r="R17" s="43" t="s">
        <v>5045</v>
      </c>
      <c r="S17" s="43" t="s">
        <v>5026</v>
      </c>
      <c r="T17" s="51" t="s">
        <v>5027</v>
      </c>
      <c r="U17" s="52" t="s">
        <v>5028</v>
      </c>
      <c r="V17" s="53" t="s">
        <v>3884</v>
      </c>
      <c r="W17" s="54" t="s">
        <v>1202</v>
      </c>
      <c r="X17" s="55" t="s">
        <v>4889</v>
      </c>
      <c r="Y17" t="s">
        <v>4896</v>
      </c>
      <c r="Z17" t="s">
        <v>4800</v>
      </c>
      <c r="AA17" t="s">
        <v>4891</v>
      </c>
      <c r="AI17" s="54"/>
      <c r="AJ17" s="56">
        <v>45740</v>
      </c>
      <c r="AK17" s="57">
        <v>45831</v>
      </c>
      <c r="AL17" s="57">
        <v>45922</v>
      </c>
      <c r="AM17" s="57">
        <v>46013</v>
      </c>
      <c r="AN17" s="57"/>
      <c r="AO17" s="57"/>
      <c r="AP17" s="57"/>
      <c r="AQ17" s="57"/>
      <c r="AR17" s="57"/>
      <c r="AS17" s="57"/>
      <c r="AT17" s="57"/>
      <c r="AU17" s="57"/>
      <c r="AV17" s="57"/>
      <c r="AW17" s="57"/>
      <c r="AX17" s="57"/>
      <c r="AY17" s="57"/>
      <c r="AZ17" s="57"/>
      <c r="BA17" s="57"/>
      <c r="BB17" s="57"/>
      <c r="BC17" s="58"/>
      <c r="BD17" s="55" t="s">
        <v>5030</v>
      </c>
      <c r="BE17" t="s">
        <v>5031</v>
      </c>
      <c r="BF17" t="s">
        <v>5032</v>
      </c>
      <c r="BG17" t="s">
        <v>5033</v>
      </c>
      <c r="BO17" s="54"/>
      <c r="BP17" s="56">
        <v>45712</v>
      </c>
      <c r="BQ17" s="57">
        <v>45803</v>
      </c>
      <c r="BR17" s="57">
        <v>45894</v>
      </c>
      <c r="BS17" s="57">
        <v>45985</v>
      </c>
      <c r="BT17" s="57"/>
      <c r="BU17" s="57"/>
      <c r="BV17" s="57"/>
      <c r="BW17" s="57"/>
      <c r="BX17" s="57"/>
      <c r="BY17" s="57"/>
      <c r="BZ17" s="57"/>
      <c r="CA17" s="57"/>
      <c r="CB17" s="56" t="s">
        <v>5034</v>
      </c>
      <c r="CC17" s="57"/>
      <c r="CD17" s="57"/>
      <c r="CE17" s="57"/>
      <c r="CF17" s="57"/>
      <c r="CG17" s="57"/>
      <c r="CH17" s="57"/>
      <c r="CI17" s="57"/>
      <c r="CJ17" s="57"/>
      <c r="CK17" s="57"/>
      <c r="CL17" s="57"/>
      <c r="CM17" s="57"/>
      <c r="CN17" s="56">
        <v>45736</v>
      </c>
      <c r="CO17" s="57">
        <v>45827</v>
      </c>
      <c r="CP17" s="57">
        <v>45918</v>
      </c>
      <c r="CQ17" s="57">
        <v>46009</v>
      </c>
      <c r="CR17" s="57"/>
      <c r="CS17" s="57"/>
      <c r="CT17" s="57"/>
      <c r="CU17" s="57"/>
      <c r="CV17" s="57"/>
      <c r="CW17" s="57"/>
      <c r="CX17" s="57"/>
      <c r="CY17" s="57"/>
      <c r="CZ17" s="56" t="s">
        <v>5034</v>
      </c>
      <c r="DA17" s="57"/>
      <c r="DB17" s="57"/>
      <c r="DC17" s="57"/>
      <c r="DD17" s="57"/>
      <c r="DE17" s="57"/>
      <c r="DF17" s="57"/>
      <c r="DG17" s="57"/>
      <c r="DH17" s="57"/>
      <c r="DI17" s="57"/>
      <c r="DJ17" s="57"/>
      <c r="DK17" s="58"/>
      <c r="DL17" s="59">
        <v>4</v>
      </c>
      <c r="DM17" s="60">
        <v>4</v>
      </c>
      <c r="DN17" s="61">
        <v>0</v>
      </c>
      <c r="DO17" s="60">
        <v>4</v>
      </c>
      <c r="DP17" s="60">
        <v>0</v>
      </c>
      <c r="DQ17" s="59">
        <v>12</v>
      </c>
      <c r="DR17" s="62">
        <v>331</v>
      </c>
      <c r="DS17" s="62" t="s">
        <v>5034</v>
      </c>
      <c r="DU17" s="62" t="s">
        <v>5034</v>
      </c>
      <c r="DV17" s="63">
        <v>44483.752041655091</v>
      </c>
      <c r="DW17" s="64">
        <v>2021</v>
      </c>
      <c r="DX17" s="65">
        <v>10</v>
      </c>
    </row>
    <row r="18" spans="2:128" ht="15" x14ac:dyDescent="0.25">
      <c r="B18" s="43" t="s">
        <v>5022</v>
      </c>
      <c r="C18" s="43" t="s">
        <v>4802</v>
      </c>
      <c r="D18" s="43" t="s">
        <v>4816</v>
      </c>
      <c r="E18" s="49">
        <v>43154</v>
      </c>
      <c r="F18" s="49"/>
      <c r="G18" s="50">
        <v>1</v>
      </c>
      <c r="H18" s="43" t="s">
        <v>4798</v>
      </c>
      <c r="I18" s="43" t="s">
        <v>5023</v>
      </c>
      <c r="J18" s="43"/>
      <c r="K18" s="43">
        <v>2</v>
      </c>
      <c r="L18" s="43">
        <v>3</v>
      </c>
      <c r="M18" s="43"/>
      <c r="N18" s="43"/>
      <c r="O18" s="43" t="s">
        <v>4725</v>
      </c>
      <c r="P18" s="43" t="s">
        <v>5024</v>
      </c>
      <c r="Q18" s="43" t="s">
        <v>5046</v>
      </c>
      <c r="R18" s="43" t="s">
        <v>5047</v>
      </c>
      <c r="S18" s="43" t="s">
        <v>5026</v>
      </c>
      <c r="T18" s="51" t="s">
        <v>5027</v>
      </c>
      <c r="U18" s="52" t="s">
        <v>5028</v>
      </c>
      <c r="V18" s="53" t="s">
        <v>3884</v>
      </c>
      <c r="W18" s="54" t="s">
        <v>1142</v>
      </c>
      <c r="X18" s="55" t="s">
        <v>4889</v>
      </c>
      <c r="Y18" t="s">
        <v>4896</v>
      </c>
      <c r="Z18" t="s">
        <v>4800</v>
      </c>
      <c r="AA18" t="s">
        <v>4891</v>
      </c>
      <c r="AI18" s="54"/>
      <c r="AJ18" s="56">
        <v>45740</v>
      </c>
      <c r="AK18" s="57">
        <v>45831</v>
      </c>
      <c r="AL18" s="57">
        <v>45922</v>
      </c>
      <c r="AM18" s="57">
        <v>46013</v>
      </c>
      <c r="AN18" s="57"/>
      <c r="AO18" s="57"/>
      <c r="AP18" s="57"/>
      <c r="AQ18" s="57"/>
      <c r="AR18" s="57"/>
      <c r="AS18" s="57"/>
      <c r="AT18" s="57"/>
      <c r="AU18" s="57"/>
      <c r="AV18" s="57"/>
      <c r="AW18" s="57"/>
      <c r="AX18" s="57"/>
      <c r="AY18" s="57"/>
      <c r="AZ18" s="57"/>
      <c r="BA18" s="57"/>
      <c r="BB18" s="57"/>
      <c r="BC18" s="58"/>
      <c r="BD18" s="55" t="s">
        <v>5030</v>
      </c>
      <c r="BE18" t="s">
        <v>5031</v>
      </c>
      <c r="BF18" t="s">
        <v>5032</v>
      </c>
      <c r="BG18" t="s">
        <v>5033</v>
      </c>
      <c r="BO18" s="54"/>
      <c r="BP18" s="56">
        <v>45712</v>
      </c>
      <c r="BQ18" s="57">
        <v>45803</v>
      </c>
      <c r="BR18" s="57">
        <v>45894</v>
      </c>
      <c r="BS18" s="57">
        <v>45985</v>
      </c>
      <c r="BT18" s="57"/>
      <c r="BU18" s="57"/>
      <c r="BV18" s="57"/>
      <c r="BW18" s="57"/>
      <c r="BX18" s="57"/>
      <c r="BY18" s="57"/>
      <c r="BZ18" s="57"/>
      <c r="CA18" s="57"/>
      <c r="CB18" s="56" t="s">
        <v>5034</v>
      </c>
      <c r="CC18" s="57"/>
      <c r="CD18" s="57"/>
      <c r="CE18" s="57"/>
      <c r="CF18" s="57"/>
      <c r="CG18" s="57"/>
      <c r="CH18" s="57"/>
      <c r="CI18" s="57"/>
      <c r="CJ18" s="57"/>
      <c r="CK18" s="57"/>
      <c r="CL18" s="57"/>
      <c r="CM18" s="57"/>
      <c r="CN18" s="56">
        <v>45736</v>
      </c>
      <c r="CO18" s="57">
        <v>45827</v>
      </c>
      <c r="CP18" s="57">
        <v>45918</v>
      </c>
      <c r="CQ18" s="57">
        <v>46009</v>
      </c>
      <c r="CR18" s="57"/>
      <c r="CS18" s="57"/>
      <c r="CT18" s="57"/>
      <c r="CU18" s="57"/>
      <c r="CV18" s="57"/>
      <c r="CW18" s="57"/>
      <c r="CX18" s="57"/>
      <c r="CY18" s="57"/>
      <c r="CZ18" s="56" t="s">
        <v>5034</v>
      </c>
      <c r="DA18" s="57"/>
      <c r="DB18" s="57"/>
      <c r="DC18" s="57"/>
      <c r="DD18" s="57"/>
      <c r="DE18" s="57"/>
      <c r="DF18" s="57"/>
      <c r="DG18" s="57"/>
      <c r="DH18" s="57"/>
      <c r="DI18" s="57"/>
      <c r="DJ18" s="57"/>
      <c r="DK18" s="58"/>
      <c r="DL18" s="59">
        <v>4</v>
      </c>
      <c r="DM18" s="60">
        <v>4</v>
      </c>
      <c r="DN18" s="61">
        <v>0</v>
      </c>
      <c r="DO18" s="60">
        <v>4</v>
      </c>
      <c r="DP18" s="60">
        <v>0</v>
      </c>
      <c r="DQ18" s="59">
        <v>12</v>
      </c>
      <c r="DR18" s="62">
        <v>355</v>
      </c>
      <c r="DS18" s="62" t="s">
        <v>5034</v>
      </c>
      <c r="DU18" s="62" t="s">
        <v>5034</v>
      </c>
      <c r="DV18" s="63">
        <v>45061.623712071756</v>
      </c>
      <c r="DW18" s="64">
        <v>2023</v>
      </c>
      <c r="DX18" s="65">
        <v>5</v>
      </c>
    </row>
    <row r="19" spans="2:128" ht="15" x14ac:dyDescent="0.25">
      <c r="B19" s="43" t="s">
        <v>5022</v>
      </c>
      <c r="C19" s="43" t="s">
        <v>4802</v>
      </c>
      <c r="D19" s="43" t="s">
        <v>4817</v>
      </c>
      <c r="E19" s="49">
        <v>43154</v>
      </c>
      <c r="F19" s="49"/>
      <c r="G19" s="50">
        <v>1</v>
      </c>
      <c r="H19" s="43" t="s">
        <v>4890</v>
      </c>
      <c r="I19" s="43" t="s">
        <v>5023</v>
      </c>
      <c r="J19" s="43"/>
      <c r="K19" s="43">
        <v>2</v>
      </c>
      <c r="L19" s="43">
        <v>3</v>
      </c>
      <c r="M19" s="43"/>
      <c r="N19" s="43"/>
      <c r="O19" s="43" t="s">
        <v>4725</v>
      </c>
      <c r="P19" s="43" t="s">
        <v>5024</v>
      </c>
      <c r="Q19" s="43" t="s">
        <v>5042</v>
      </c>
      <c r="R19" s="43" t="s">
        <v>5043</v>
      </c>
      <c r="S19" s="43" t="s">
        <v>5026</v>
      </c>
      <c r="T19" s="51" t="s">
        <v>5027</v>
      </c>
      <c r="U19" s="52" t="s">
        <v>5028</v>
      </c>
      <c r="V19" s="53" t="s">
        <v>3884</v>
      </c>
      <c r="W19" s="54" t="s">
        <v>1154</v>
      </c>
      <c r="X19" s="55" t="s">
        <v>5048</v>
      </c>
      <c r="Y19" t="s">
        <v>4894</v>
      </c>
      <c r="Z19" t="s">
        <v>5049</v>
      </c>
      <c r="AA19" t="s">
        <v>4893</v>
      </c>
      <c r="AI19" s="54"/>
      <c r="AJ19" s="56">
        <v>45670</v>
      </c>
      <c r="AK19" s="57">
        <v>45761</v>
      </c>
      <c r="AL19" s="57">
        <v>45852</v>
      </c>
      <c r="AM19" s="57">
        <v>45943</v>
      </c>
      <c r="AN19" s="57"/>
      <c r="AO19" s="57"/>
      <c r="AP19" s="57"/>
      <c r="AQ19" s="57"/>
      <c r="AR19" s="57"/>
      <c r="AS19" s="57"/>
      <c r="AT19" s="57"/>
      <c r="AU19" s="57"/>
      <c r="AV19" s="57"/>
      <c r="AW19" s="57"/>
      <c r="AX19" s="57"/>
      <c r="AY19" s="57"/>
      <c r="AZ19" s="57"/>
      <c r="BA19" s="57"/>
      <c r="BB19" s="57"/>
      <c r="BC19" s="58"/>
      <c r="BD19" s="55" t="s">
        <v>5030</v>
      </c>
      <c r="BE19" t="s">
        <v>5031</v>
      </c>
      <c r="BF19" t="s">
        <v>5032</v>
      </c>
      <c r="BG19" t="s">
        <v>5033</v>
      </c>
      <c r="BO19" s="54"/>
      <c r="BP19" s="56">
        <v>45712</v>
      </c>
      <c r="BQ19" s="57">
        <v>45803</v>
      </c>
      <c r="BR19" s="57">
        <v>45894</v>
      </c>
      <c r="BS19" s="57">
        <v>45985</v>
      </c>
      <c r="BT19" s="57"/>
      <c r="BU19" s="57"/>
      <c r="BV19" s="57"/>
      <c r="BW19" s="57"/>
      <c r="BX19" s="57"/>
      <c r="BY19" s="57"/>
      <c r="BZ19" s="57"/>
      <c r="CA19" s="57"/>
      <c r="CB19" s="56" t="s">
        <v>5034</v>
      </c>
      <c r="CC19" s="57"/>
      <c r="CD19" s="57"/>
      <c r="CE19" s="57"/>
      <c r="CF19" s="57"/>
      <c r="CG19" s="57"/>
      <c r="CH19" s="57"/>
      <c r="CI19" s="57"/>
      <c r="CJ19" s="57"/>
      <c r="CK19" s="57"/>
      <c r="CL19" s="57"/>
      <c r="CM19" s="57"/>
      <c r="CN19" s="56">
        <v>45666</v>
      </c>
      <c r="CO19" s="57">
        <v>45757</v>
      </c>
      <c r="CP19" s="57">
        <v>45848</v>
      </c>
      <c r="CQ19" s="57">
        <v>45939</v>
      </c>
      <c r="CR19" s="57"/>
      <c r="CS19" s="57"/>
      <c r="CT19" s="57"/>
      <c r="CU19" s="57"/>
      <c r="CV19" s="57"/>
      <c r="CW19" s="57"/>
      <c r="CX19" s="57"/>
      <c r="CY19" s="57"/>
      <c r="CZ19" s="56" t="s">
        <v>5034</v>
      </c>
      <c r="DA19" s="57"/>
      <c r="DB19" s="57"/>
      <c r="DC19" s="57"/>
      <c r="DD19" s="57"/>
      <c r="DE19" s="57"/>
      <c r="DF19" s="57"/>
      <c r="DG19" s="57"/>
      <c r="DH19" s="57"/>
      <c r="DI19" s="57"/>
      <c r="DJ19" s="57"/>
      <c r="DK19" s="58"/>
      <c r="DL19" s="59">
        <v>4</v>
      </c>
      <c r="DM19" s="60">
        <v>4</v>
      </c>
      <c r="DN19" s="61">
        <v>0</v>
      </c>
      <c r="DO19" s="60">
        <v>4</v>
      </c>
      <c r="DP19" s="60">
        <v>0</v>
      </c>
      <c r="DQ19" s="59">
        <v>12</v>
      </c>
      <c r="DR19" s="62">
        <v>367</v>
      </c>
      <c r="DS19" s="62" t="s">
        <v>5034</v>
      </c>
      <c r="DU19" s="62" t="s">
        <v>5034</v>
      </c>
      <c r="DV19" s="63">
        <v>44483.751583761572</v>
      </c>
      <c r="DW19" s="64">
        <v>2021</v>
      </c>
      <c r="DX19" s="65">
        <v>10</v>
      </c>
    </row>
    <row r="20" spans="2:128" ht="15" x14ac:dyDescent="0.25">
      <c r="B20" s="43" t="s">
        <v>5022</v>
      </c>
      <c r="C20" s="43" t="s">
        <v>4818</v>
      </c>
      <c r="D20" s="43" t="s">
        <v>4819</v>
      </c>
      <c r="E20" s="49">
        <v>43154</v>
      </c>
      <c r="F20" s="49"/>
      <c r="G20" s="50">
        <v>2</v>
      </c>
      <c r="H20" s="43" t="s">
        <v>4798</v>
      </c>
      <c r="I20" s="43" t="s">
        <v>5023</v>
      </c>
      <c r="J20" s="43"/>
      <c r="K20" s="43">
        <v>2</v>
      </c>
      <c r="L20" s="43">
        <v>3</v>
      </c>
      <c r="M20" s="43"/>
      <c r="N20" s="43"/>
      <c r="O20" s="43" t="s">
        <v>4725</v>
      </c>
      <c r="P20" s="43" t="s">
        <v>5024</v>
      </c>
      <c r="Q20" s="43" t="s">
        <v>5050</v>
      </c>
      <c r="R20" s="43" t="s">
        <v>5025</v>
      </c>
      <c r="S20" s="43" t="s">
        <v>5026</v>
      </c>
      <c r="T20" s="51" t="s">
        <v>5027</v>
      </c>
      <c r="U20" s="52" t="s">
        <v>5028</v>
      </c>
      <c r="V20" s="53" t="s">
        <v>3884</v>
      </c>
      <c r="W20" s="54" t="s">
        <v>1166</v>
      </c>
      <c r="X20" s="55" t="s">
        <v>4889</v>
      </c>
      <c r="Y20" t="s">
        <v>4896</v>
      </c>
      <c r="Z20" t="s">
        <v>4800</v>
      </c>
      <c r="AA20" t="s">
        <v>4891</v>
      </c>
      <c r="AI20" s="54"/>
      <c r="AJ20" s="56">
        <v>45740</v>
      </c>
      <c r="AK20" s="57">
        <v>45741</v>
      </c>
      <c r="AL20" s="57">
        <v>45831</v>
      </c>
      <c r="AM20" s="57">
        <v>45832</v>
      </c>
      <c r="AN20" s="57">
        <v>45922</v>
      </c>
      <c r="AO20" s="57">
        <v>45923</v>
      </c>
      <c r="AP20" s="57">
        <v>46013</v>
      </c>
      <c r="AQ20" s="57">
        <v>46014</v>
      </c>
      <c r="AR20" s="57"/>
      <c r="AS20" s="57"/>
      <c r="AT20" s="57"/>
      <c r="AU20" s="57"/>
      <c r="AV20" s="57"/>
      <c r="AW20" s="57"/>
      <c r="AX20" s="57"/>
      <c r="AY20" s="57"/>
      <c r="AZ20" s="57"/>
      <c r="BA20" s="57"/>
      <c r="BB20" s="57"/>
      <c r="BC20" s="58"/>
      <c r="BD20" s="55" t="s">
        <v>5030</v>
      </c>
      <c r="BE20" t="s">
        <v>5031</v>
      </c>
      <c r="BF20" t="s">
        <v>5032</v>
      </c>
      <c r="BG20" t="s">
        <v>5033</v>
      </c>
      <c r="BO20" s="54"/>
      <c r="BP20" s="56">
        <v>45712</v>
      </c>
      <c r="BQ20" s="57">
        <v>45803</v>
      </c>
      <c r="BR20" s="57">
        <v>45894</v>
      </c>
      <c r="BS20" s="57">
        <v>45985</v>
      </c>
      <c r="BT20" s="57"/>
      <c r="BU20" s="57"/>
      <c r="BV20" s="57"/>
      <c r="BW20" s="57"/>
      <c r="BX20" s="57"/>
      <c r="BY20" s="57"/>
      <c r="BZ20" s="57"/>
      <c r="CA20" s="57"/>
      <c r="CB20" s="56" t="s">
        <v>5034</v>
      </c>
      <c r="CC20" s="57"/>
      <c r="CD20" s="57"/>
      <c r="CE20" s="57"/>
      <c r="CF20" s="57"/>
      <c r="CG20" s="57"/>
      <c r="CH20" s="57"/>
      <c r="CI20" s="57"/>
      <c r="CJ20" s="57"/>
      <c r="CK20" s="57"/>
      <c r="CL20" s="57"/>
      <c r="CM20" s="57"/>
      <c r="CN20" s="56">
        <v>45736</v>
      </c>
      <c r="CO20" s="57">
        <v>45827</v>
      </c>
      <c r="CP20" s="57">
        <v>45918</v>
      </c>
      <c r="CQ20" s="57">
        <v>46009</v>
      </c>
      <c r="CR20" s="57"/>
      <c r="CS20" s="57"/>
      <c r="CT20" s="57"/>
      <c r="CU20" s="57"/>
      <c r="CV20" s="57"/>
      <c r="CW20" s="57"/>
      <c r="CX20" s="57"/>
      <c r="CY20" s="57"/>
      <c r="CZ20" s="56" t="s">
        <v>5034</v>
      </c>
      <c r="DA20" s="57"/>
      <c r="DB20" s="57"/>
      <c r="DC20" s="57"/>
      <c r="DD20" s="57"/>
      <c r="DE20" s="57"/>
      <c r="DF20" s="57"/>
      <c r="DG20" s="57"/>
      <c r="DH20" s="57"/>
      <c r="DI20" s="57"/>
      <c r="DJ20" s="57"/>
      <c r="DK20" s="58"/>
      <c r="DL20" s="59">
        <v>8</v>
      </c>
      <c r="DM20" s="60">
        <v>4</v>
      </c>
      <c r="DN20" s="61">
        <v>0</v>
      </c>
      <c r="DO20" s="60">
        <v>4</v>
      </c>
      <c r="DP20" s="60">
        <v>0</v>
      </c>
      <c r="DQ20" s="59">
        <v>16</v>
      </c>
      <c r="DR20" s="62">
        <v>379</v>
      </c>
      <c r="DS20" s="62" t="s">
        <v>5034</v>
      </c>
      <c r="DU20" s="62" t="s">
        <v>5034</v>
      </c>
      <c r="DV20" s="63">
        <v>44483.7516746412</v>
      </c>
      <c r="DW20" s="64">
        <v>2021</v>
      </c>
      <c r="DX20" s="65">
        <v>10</v>
      </c>
    </row>
    <row r="21" spans="2:128" ht="15" x14ac:dyDescent="0.25">
      <c r="B21" s="43" t="s">
        <v>5022</v>
      </c>
      <c r="C21" s="43" t="s">
        <v>4802</v>
      </c>
      <c r="D21" s="43" t="s">
        <v>4820</v>
      </c>
      <c r="E21" s="49">
        <v>43154</v>
      </c>
      <c r="F21" s="49"/>
      <c r="G21" s="50">
        <v>1</v>
      </c>
      <c r="H21" s="43" t="s">
        <v>4798</v>
      </c>
      <c r="I21" s="43" t="s">
        <v>5023</v>
      </c>
      <c r="J21" s="43"/>
      <c r="K21" s="43">
        <v>2</v>
      </c>
      <c r="L21" s="43">
        <v>3</v>
      </c>
      <c r="M21" s="43"/>
      <c r="N21" s="43"/>
      <c r="O21" s="43" t="s">
        <v>4725</v>
      </c>
      <c r="P21" s="43" t="s">
        <v>5024</v>
      </c>
      <c r="Q21" s="43"/>
      <c r="R21" s="43" t="s">
        <v>5043</v>
      </c>
      <c r="S21" s="43" t="s">
        <v>5026</v>
      </c>
      <c r="T21" s="51" t="s">
        <v>5027</v>
      </c>
      <c r="U21" s="52" t="s">
        <v>5028</v>
      </c>
      <c r="V21" s="53" t="s">
        <v>3884</v>
      </c>
      <c r="W21" s="54" t="s">
        <v>2667</v>
      </c>
      <c r="X21" s="55" t="s">
        <v>4889</v>
      </c>
      <c r="Y21" t="s">
        <v>4896</v>
      </c>
      <c r="Z21" t="s">
        <v>4800</v>
      </c>
      <c r="AA21" t="s">
        <v>4891</v>
      </c>
      <c r="AI21" s="54"/>
      <c r="AJ21" s="56">
        <v>45740</v>
      </c>
      <c r="AK21" s="57">
        <v>45831</v>
      </c>
      <c r="AL21" s="57">
        <v>45922</v>
      </c>
      <c r="AM21" s="57">
        <v>46013</v>
      </c>
      <c r="AN21" s="57"/>
      <c r="AO21" s="57"/>
      <c r="AP21" s="57"/>
      <c r="AQ21" s="57"/>
      <c r="AR21" s="57"/>
      <c r="AS21" s="57"/>
      <c r="AT21" s="57"/>
      <c r="AU21" s="57"/>
      <c r="AV21" s="57"/>
      <c r="AW21" s="57"/>
      <c r="AX21" s="57"/>
      <c r="AY21" s="57"/>
      <c r="AZ21" s="57"/>
      <c r="BA21" s="57"/>
      <c r="BB21" s="57"/>
      <c r="BC21" s="58"/>
      <c r="BD21" s="55" t="s">
        <v>5030</v>
      </c>
      <c r="BE21" t="s">
        <v>5031</v>
      </c>
      <c r="BF21" t="s">
        <v>5032</v>
      </c>
      <c r="BG21" t="s">
        <v>5033</v>
      </c>
      <c r="BO21" s="54"/>
      <c r="BP21" s="56">
        <v>45712</v>
      </c>
      <c r="BQ21" s="57">
        <v>45803</v>
      </c>
      <c r="BR21" s="57">
        <v>45894</v>
      </c>
      <c r="BS21" s="57">
        <v>45985</v>
      </c>
      <c r="BT21" s="57"/>
      <c r="BU21" s="57"/>
      <c r="BV21" s="57"/>
      <c r="BW21" s="57"/>
      <c r="BX21" s="57"/>
      <c r="BY21" s="57"/>
      <c r="BZ21" s="57"/>
      <c r="CA21" s="57"/>
      <c r="CB21" s="56" t="s">
        <v>5034</v>
      </c>
      <c r="CC21" s="57"/>
      <c r="CD21" s="57"/>
      <c r="CE21" s="57"/>
      <c r="CF21" s="57"/>
      <c r="CG21" s="57"/>
      <c r="CH21" s="57"/>
      <c r="CI21" s="57"/>
      <c r="CJ21" s="57"/>
      <c r="CK21" s="57"/>
      <c r="CL21" s="57"/>
      <c r="CM21" s="57"/>
      <c r="CN21" s="56">
        <v>45736</v>
      </c>
      <c r="CO21" s="57">
        <v>45827</v>
      </c>
      <c r="CP21" s="57">
        <v>45918</v>
      </c>
      <c r="CQ21" s="57">
        <v>46009</v>
      </c>
      <c r="CR21" s="57"/>
      <c r="CS21" s="57"/>
      <c r="CT21" s="57"/>
      <c r="CU21" s="57"/>
      <c r="CV21" s="57"/>
      <c r="CW21" s="57"/>
      <c r="CX21" s="57"/>
      <c r="CY21" s="57"/>
      <c r="CZ21" s="56" t="s">
        <v>5034</v>
      </c>
      <c r="DA21" s="57"/>
      <c r="DB21" s="57"/>
      <c r="DC21" s="57"/>
      <c r="DD21" s="57"/>
      <c r="DE21" s="57"/>
      <c r="DF21" s="57"/>
      <c r="DG21" s="57"/>
      <c r="DH21" s="57"/>
      <c r="DI21" s="57"/>
      <c r="DJ21" s="57"/>
      <c r="DK21" s="58"/>
      <c r="DL21" s="59">
        <v>4</v>
      </c>
      <c r="DM21" s="60">
        <v>4</v>
      </c>
      <c r="DN21" s="61">
        <v>0</v>
      </c>
      <c r="DO21" s="60">
        <v>4</v>
      </c>
      <c r="DP21" s="60">
        <v>0</v>
      </c>
      <c r="DQ21" s="59">
        <v>12</v>
      </c>
      <c r="DR21" s="62">
        <v>395</v>
      </c>
      <c r="DS21" s="62" t="s">
        <v>5034</v>
      </c>
      <c r="DU21" s="62" t="s">
        <v>5034</v>
      </c>
      <c r="DV21" s="63">
        <v>44483.752313217592</v>
      </c>
      <c r="DW21" s="64">
        <v>2021</v>
      </c>
      <c r="DX21" s="65">
        <v>10</v>
      </c>
    </row>
    <row r="22" spans="2:128" ht="15" x14ac:dyDescent="0.25">
      <c r="B22" s="43" t="s">
        <v>5022</v>
      </c>
      <c r="C22" s="43" t="s">
        <v>4818</v>
      </c>
      <c r="D22" s="43" t="s">
        <v>4821</v>
      </c>
      <c r="E22" s="49">
        <v>43154</v>
      </c>
      <c r="F22" s="49"/>
      <c r="G22" s="50">
        <v>1</v>
      </c>
      <c r="H22" s="43" t="s">
        <v>4798</v>
      </c>
      <c r="I22" s="43" t="s">
        <v>5023</v>
      </c>
      <c r="J22" s="43"/>
      <c r="K22" s="43">
        <v>2</v>
      </c>
      <c r="L22" s="43">
        <v>3</v>
      </c>
      <c r="M22" s="43"/>
      <c r="N22" s="43"/>
      <c r="O22" s="43" t="s">
        <v>4725</v>
      </c>
      <c r="P22" s="43" t="s">
        <v>5024</v>
      </c>
      <c r="Q22" s="43"/>
      <c r="R22" s="43" t="s">
        <v>5025</v>
      </c>
      <c r="S22" s="43" t="s">
        <v>5026</v>
      </c>
      <c r="T22" s="51" t="s">
        <v>5027</v>
      </c>
      <c r="U22" s="52" t="s">
        <v>5028</v>
      </c>
      <c r="V22" s="53" t="s">
        <v>3884</v>
      </c>
      <c r="W22" s="54" t="s">
        <v>2679</v>
      </c>
      <c r="X22" s="55" t="s">
        <v>4889</v>
      </c>
      <c r="Y22" t="s">
        <v>4896</v>
      </c>
      <c r="Z22" t="s">
        <v>4800</v>
      </c>
      <c r="AA22" t="s">
        <v>4891</v>
      </c>
      <c r="AI22" s="54"/>
      <c r="AJ22" s="56">
        <v>45740</v>
      </c>
      <c r="AK22" s="57">
        <v>45831</v>
      </c>
      <c r="AL22" s="57">
        <v>45922</v>
      </c>
      <c r="AM22" s="57">
        <v>46013</v>
      </c>
      <c r="AN22" s="57"/>
      <c r="AO22" s="57"/>
      <c r="AP22" s="57"/>
      <c r="AQ22" s="57"/>
      <c r="AR22" s="57"/>
      <c r="AS22" s="57"/>
      <c r="AT22" s="57"/>
      <c r="AU22" s="57"/>
      <c r="AV22" s="57"/>
      <c r="AW22" s="57"/>
      <c r="AX22" s="57"/>
      <c r="AY22" s="57"/>
      <c r="AZ22" s="57"/>
      <c r="BA22" s="57"/>
      <c r="BB22" s="57"/>
      <c r="BC22" s="58"/>
      <c r="BD22" s="55" t="s">
        <v>5030</v>
      </c>
      <c r="BE22" t="s">
        <v>5031</v>
      </c>
      <c r="BF22" t="s">
        <v>5032</v>
      </c>
      <c r="BG22" t="s">
        <v>5033</v>
      </c>
      <c r="BO22" s="54"/>
      <c r="BP22" s="56">
        <v>45712</v>
      </c>
      <c r="BQ22" s="57">
        <v>45803</v>
      </c>
      <c r="BR22" s="57">
        <v>45894</v>
      </c>
      <c r="BS22" s="57">
        <v>45985</v>
      </c>
      <c r="BT22" s="57"/>
      <c r="BU22" s="57"/>
      <c r="BV22" s="57"/>
      <c r="BW22" s="57"/>
      <c r="BX22" s="57"/>
      <c r="BY22" s="57"/>
      <c r="BZ22" s="57"/>
      <c r="CA22" s="57"/>
      <c r="CB22" s="56" t="s">
        <v>5034</v>
      </c>
      <c r="CC22" s="57"/>
      <c r="CD22" s="57"/>
      <c r="CE22" s="57"/>
      <c r="CF22" s="57"/>
      <c r="CG22" s="57"/>
      <c r="CH22" s="57"/>
      <c r="CI22" s="57"/>
      <c r="CJ22" s="57"/>
      <c r="CK22" s="57"/>
      <c r="CL22" s="57"/>
      <c r="CM22" s="57"/>
      <c r="CN22" s="56">
        <v>45736</v>
      </c>
      <c r="CO22" s="57">
        <v>45827</v>
      </c>
      <c r="CP22" s="57">
        <v>45918</v>
      </c>
      <c r="CQ22" s="57">
        <v>46009</v>
      </c>
      <c r="CR22" s="57"/>
      <c r="CS22" s="57"/>
      <c r="CT22" s="57"/>
      <c r="CU22" s="57"/>
      <c r="CV22" s="57"/>
      <c r="CW22" s="57"/>
      <c r="CX22" s="57"/>
      <c r="CY22" s="57"/>
      <c r="CZ22" s="56" t="s">
        <v>5034</v>
      </c>
      <c r="DA22" s="57"/>
      <c r="DB22" s="57"/>
      <c r="DC22" s="57"/>
      <c r="DD22" s="57"/>
      <c r="DE22" s="57"/>
      <c r="DF22" s="57"/>
      <c r="DG22" s="57"/>
      <c r="DH22" s="57"/>
      <c r="DI22" s="57"/>
      <c r="DJ22" s="57"/>
      <c r="DK22" s="58"/>
      <c r="DL22" s="59">
        <v>4</v>
      </c>
      <c r="DM22" s="60">
        <v>4</v>
      </c>
      <c r="DN22" s="61">
        <v>0</v>
      </c>
      <c r="DO22" s="60">
        <v>4</v>
      </c>
      <c r="DP22" s="60">
        <v>0</v>
      </c>
      <c r="DQ22" s="59">
        <v>12</v>
      </c>
      <c r="DR22" s="62">
        <v>407</v>
      </c>
      <c r="DS22" s="62" t="s">
        <v>5034</v>
      </c>
      <c r="DU22" s="62" t="s">
        <v>5034</v>
      </c>
      <c r="DV22" s="63">
        <v>44483.752408020831</v>
      </c>
      <c r="DW22" s="64">
        <v>2021</v>
      </c>
      <c r="DX22" s="65">
        <v>10</v>
      </c>
    </row>
    <row r="23" spans="2:128" ht="15" x14ac:dyDescent="0.25">
      <c r="B23" s="43" t="s">
        <v>5022</v>
      </c>
      <c r="C23" s="43" t="s">
        <v>4802</v>
      </c>
      <c r="D23" s="43" t="s">
        <v>4822</v>
      </c>
      <c r="E23" s="49">
        <v>43193</v>
      </c>
      <c r="F23" s="49"/>
      <c r="G23" s="50">
        <v>1</v>
      </c>
      <c r="H23" s="43" t="s">
        <v>4798</v>
      </c>
      <c r="I23" s="43" t="s">
        <v>5023</v>
      </c>
      <c r="J23" s="43"/>
      <c r="K23" s="43">
        <v>2</v>
      </c>
      <c r="L23" s="43">
        <v>3</v>
      </c>
      <c r="M23" s="43"/>
      <c r="N23" s="43"/>
      <c r="O23" s="43" t="s">
        <v>4725</v>
      </c>
      <c r="P23" s="43" t="s">
        <v>5024</v>
      </c>
      <c r="Q23" s="43" t="s">
        <v>5051</v>
      </c>
      <c r="R23" s="43" t="s">
        <v>5043</v>
      </c>
      <c r="S23" s="43" t="s">
        <v>5026</v>
      </c>
      <c r="T23" s="51" t="s">
        <v>5027</v>
      </c>
      <c r="U23" s="52" t="s">
        <v>5028</v>
      </c>
      <c r="V23" s="53" t="s">
        <v>3884</v>
      </c>
      <c r="W23" s="54" t="s">
        <v>1250</v>
      </c>
      <c r="X23" s="55" t="s">
        <v>4889</v>
      </c>
      <c r="Y23" t="s">
        <v>4896</v>
      </c>
      <c r="Z23" t="s">
        <v>4800</v>
      </c>
      <c r="AA23" t="s">
        <v>4891</v>
      </c>
      <c r="AI23" s="54"/>
      <c r="AJ23" s="56">
        <v>45740</v>
      </c>
      <c r="AK23" s="57">
        <v>45831</v>
      </c>
      <c r="AL23" s="57">
        <v>45922</v>
      </c>
      <c r="AM23" s="57">
        <v>46013</v>
      </c>
      <c r="AN23" s="57"/>
      <c r="AO23" s="57"/>
      <c r="AP23" s="57"/>
      <c r="AQ23" s="57"/>
      <c r="AR23" s="57"/>
      <c r="AS23" s="57"/>
      <c r="AT23" s="57"/>
      <c r="AU23" s="57"/>
      <c r="AV23" s="57"/>
      <c r="AW23" s="57"/>
      <c r="AX23" s="57"/>
      <c r="AY23" s="57"/>
      <c r="AZ23" s="57"/>
      <c r="BA23" s="57"/>
      <c r="BB23" s="57"/>
      <c r="BC23" s="58"/>
      <c r="BD23" s="55" t="s">
        <v>5030</v>
      </c>
      <c r="BE23" t="s">
        <v>5031</v>
      </c>
      <c r="BF23" t="s">
        <v>5032</v>
      </c>
      <c r="BG23" t="s">
        <v>5033</v>
      </c>
      <c r="BO23" s="54"/>
      <c r="BP23" s="56">
        <v>45712</v>
      </c>
      <c r="BQ23" s="57">
        <v>45803</v>
      </c>
      <c r="BR23" s="57">
        <v>45894</v>
      </c>
      <c r="BS23" s="57">
        <v>45985</v>
      </c>
      <c r="BT23" s="57"/>
      <c r="BU23" s="57"/>
      <c r="BV23" s="57"/>
      <c r="BW23" s="57"/>
      <c r="BX23" s="57"/>
      <c r="BY23" s="57"/>
      <c r="BZ23" s="57"/>
      <c r="CA23" s="57"/>
      <c r="CB23" s="56" t="s">
        <v>5034</v>
      </c>
      <c r="CC23" s="57"/>
      <c r="CD23" s="57"/>
      <c r="CE23" s="57"/>
      <c r="CF23" s="57"/>
      <c r="CG23" s="57"/>
      <c r="CH23" s="57"/>
      <c r="CI23" s="57"/>
      <c r="CJ23" s="57"/>
      <c r="CK23" s="57"/>
      <c r="CL23" s="57"/>
      <c r="CM23" s="57"/>
      <c r="CN23" s="56">
        <v>45736</v>
      </c>
      <c r="CO23" s="57">
        <v>45827</v>
      </c>
      <c r="CP23" s="57">
        <v>45918</v>
      </c>
      <c r="CQ23" s="57">
        <v>46009</v>
      </c>
      <c r="CR23" s="57"/>
      <c r="CS23" s="57"/>
      <c r="CT23" s="57"/>
      <c r="CU23" s="57"/>
      <c r="CV23" s="57"/>
      <c r="CW23" s="57"/>
      <c r="CX23" s="57"/>
      <c r="CY23" s="57"/>
      <c r="CZ23" s="56" t="s">
        <v>5034</v>
      </c>
      <c r="DA23" s="57"/>
      <c r="DB23" s="57"/>
      <c r="DC23" s="57"/>
      <c r="DD23" s="57"/>
      <c r="DE23" s="57"/>
      <c r="DF23" s="57"/>
      <c r="DG23" s="57"/>
      <c r="DH23" s="57"/>
      <c r="DI23" s="57"/>
      <c r="DJ23" s="57"/>
      <c r="DK23" s="58"/>
      <c r="DL23" s="59">
        <v>4</v>
      </c>
      <c r="DM23" s="60">
        <v>4</v>
      </c>
      <c r="DN23" s="61">
        <v>0</v>
      </c>
      <c r="DO23" s="60">
        <v>4</v>
      </c>
      <c r="DP23" s="60">
        <v>0</v>
      </c>
      <c r="DQ23" s="59">
        <v>12</v>
      </c>
      <c r="DR23" s="62">
        <v>419</v>
      </c>
      <c r="DS23" s="62" t="s">
        <v>5034</v>
      </c>
      <c r="DU23" s="62" t="s">
        <v>5034</v>
      </c>
      <c r="DV23" s="63">
        <v>44483.750379641206</v>
      </c>
      <c r="DW23" s="64">
        <v>2021</v>
      </c>
      <c r="DX23" s="65">
        <v>10</v>
      </c>
    </row>
    <row r="24" spans="2:128" ht="15" x14ac:dyDescent="0.25">
      <c r="B24" s="43" t="s">
        <v>5022</v>
      </c>
      <c r="C24" s="43" t="s">
        <v>4802</v>
      </c>
      <c r="D24" s="43" t="s">
        <v>4823</v>
      </c>
      <c r="E24" s="49">
        <v>43217</v>
      </c>
      <c r="F24" s="49">
        <v>45699</v>
      </c>
      <c r="G24" s="50">
        <v>1</v>
      </c>
      <c r="H24" s="43" t="s">
        <v>4798</v>
      </c>
      <c r="I24" s="43" t="s">
        <v>5023</v>
      </c>
      <c r="J24" s="43"/>
      <c r="K24" s="43">
        <v>2</v>
      </c>
      <c r="L24" s="43">
        <v>3</v>
      </c>
      <c r="M24" s="43"/>
      <c r="N24" s="43"/>
      <c r="O24" s="43"/>
      <c r="P24" s="43" t="s">
        <v>5024</v>
      </c>
      <c r="Q24" s="43" t="s">
        <v>5042</v>
      </c>
      <c r="R24" s="43" t="s">
        <v>5025</v>
      </c>
      <c r="S24" s="43" t="s">
        <v>5026</v>
      </c>
      <c r="T24" s="51" t="s">
        <v>5027</v>
      </c>
      <c r="U24" s="52" t="s">
        <v>5028</v>
      </c>
      <c r="V24" s="53" t="s">
        <v>3896</v>
      </c>
      <c r="W24" s="54" t="s">
        <v>5034</v>
      </c>
      <c r="X24" s="55" t="s">
        <v>5034</v>
      </c>
      <c r="AI24" s="54"/>
      <c r="AJ24" s="56" t="s">
        <v>5034</v>
      </c>
      <c r="AK24" s="57"/>
      <c r="AL24" s="57"/>
      <c r="AM24" s="57"/>
      <c r="AN24" s="57"/>
      <c r="AO24" s="57"/>
      <c r="AP24" s="57"/>
      <c r="AQ24" s="57"/>
      <c r="AR24" s="57"/>
      <c r="AS24" s="57"/>
      <c r="AT24" s="57"/>
      <c r="AU24" s="57"/>
      <c r="AV24" s="57"/>
      <c r="AW24" s="57"/>
      <c r="AX24" s="57"/>
      <c r="AY24" s="57"/>
      <c r="AZ24" s="57"/>
      <c r="BA24" s="57"/>
      <c r="BB24" s="57"/>
      <c r="BC24" s="58"/>
      <c r="BD24" s="55" t="s">
        <v>5034</v>
      </c>
      <c r="BO24" s="54"/>
      <c r="BP24" s="56" t="s">
        <v>5034</v>
      </c>
      <c r="BQ24" s="57"/>
      <c r="BR24" s="57"/>
      <c r="BS24" s="57"/>
      <c r="BT24" s="57"/>
      <c r="BU24" s="57"/>
      <c r="BV24" s="57"/>
      <c r="BW24" s="57"/>
      <c r="BX24" s="57"/>
      <c r="BY24" s="57"/>
      <c r="BZ24" s="57"/>
      <c r="CA24" s="57"/>
      <c r="CB24" s="56" t="s">
        <v>5034</v>
      </c>
      <c r="CC24" s="57"/>
      <c r="CD24" s="57"/>
      <c r="CE24" s="57"/>
      <c r="CF24" s="57"/>
      <c r="CG24" s="57"/>
      <c r="CH24" s="57"/>
      <c r="CI24" s="57"/>
      <c r="CJ24" s="57"/>
      <c r="CK24" s="57"/>
      <c r="CL24" s="57"/>
      <c r="CM24" s="57"/>
      <c r="CN24" s="56" t="s">
        <v>5034</v>
      </c>
      <c r="CO24" s="57"/>
      <c r="CP24" s="57"/>
      <c r="CQ24" s="57"/>
      <c r="CR24" s="57"/>
      <c r="CS24" s="57"/>
      <c r="CT24" s="57"/>
      <c r="CU24" s="57"/>
      <c r="CV24" s="57"/>
      <c r="CW24" s="57"/>
      <c r="CX24" s="57"/>
      <c r="CY24" s="57"/>
      <c r="CZ24" s="56" t="s">
        <v>5034</v>
      </c>
      <c r="DA24" s="57"/>
      <c r="DB24" s="57"/>
      <c r="DC24" s="57"/>
      <c r="DD24" s="57"/>
      <c r="DE24" s="57"/>
      <c r="DF24" s="57"/>
      <c r="DG24" s="57"/>
      <c r="DH24" s="57"/>
      <c r="DI24" s="57"/>
      <c r="DJ24" s="57"/>
      <c r="DK24" s="58"/>
      <c r="DL24" s="59">
        <v>0</v>
      </c>
      <c r="DM24" s="60">
        <v>0</v>
      </c>
      <c r="DN24" s="61">
        <v>0</v>
      </c>
      <c r="DO24" s="60">
        <v>0</v>
      </c>
      <c r="DP24" s="60">
        <v>0</v>
      </c>
      <c r="DQ24" s="59">
        <v>0</v>
      </c>
      <c r="DR24" s="62" t="s">
        <v>5034</v>
      </c>
      <c r="DS24" s="62" t="s">
        <v>5034</v>
      </c>
      <c r="DU24" s="62" t="s">
        <v>5034</v>
      </c>
      <c r="DV24" s="63">
        <v>44483.752498784721</v>
      </c>
      <c r="DW24" s="64">
        <v>2021</v>
      </c>
      <c r="DX24" s="65">
        <v>10</v>
      </c>
    </row>
    <row r="25" spans="2:128" ht="15" x14ac:dyDescent="0.25">
      <c r="B25" s="43" t="s">
        <v>5022</v>
      </c>
      <c r="C25" s="43" t="s">
        <v>4812</v>
      </c>
      <c r="D25" s="43" t="s">
        <v>4824</v>
      </c>
      <c r="E25" s="49">
        <v>43257</v>
      </c>
      <c r="F25" s="49"/>
      <c r="G25" s="50">
        <v>1</v>
      </c>
      <c r="H25" s="43" t="s">
        <v>4798</v>
      </c>
      <c r="I25" s="43" t="s">
        <v>5023</v>
      </c>
      <c r="J25" s="43"/>
      <c r="K25" s="43">
        <v>2</v>
      </c>
      <c r="L25" s="43">
        <v>3</v>
      </c>
      <c r="M25" s="43"/>
      <c r="N25" s="43"/>
      <c r="O25" s="43"/>
      <c r="P25" s="43" t="s">
        <v>5024</v>
      </c>
      <c r="Q25" s="43" t="s">
        <v>5042</v>
      </c>
      <c r="R25" s="43" t="s">
        <v>5043</v>
      </c>
      <c r="S25" s="43" t="s">
        <v>5026</v>
      </c>
      <c r="T25" s="51" t="s">
        <v>5027</v>
      </c>
      <c r="U25" s="52" t="s">
        <v>5028</v>
      </c>
      <c r="V25" s="53" t="s">
        <v>3884</v>
      </c>
      <c r="W25" s="54" t="s">
        <v>5052</v>
      </c>
      <c r="X25" s="55" t="s">
        <v>4889</v>
      </c>
      <c r="Y25" t="s">
        <v>4896</v>
      </c>
      <c r="Z25" t="s">
        <v>4800</v>
      </c>
      <c r="AA25" t="s">
        <v>4891</v>
      </c>
      <c r="AI25" s="54"/>
      <c r="AJ25" s="56">
        <v>45740</v>
      </c>
      <c r="AK25" s="57">
        <v>45831</v>
      </c>
      <c r="AL25" s="57">
        <v>45922</v>
      </c>
      <c r="AM25" s="57">
        <v>46013</v>
      </c>
      <c r="AN25" s="57"/>
      <c r="AO25" s="57"/>
      <c r="AP25" s="57"/>
      <c r="AQ25" s="57"/>
      <c r="AR25" s="57"/>
      <c r="AS25" s="57"/>
      <c r="AT25" s="57"/>
      <c r="AU25" s="57"/>
      <c r="AV25" s="57"/>
      <c r="AW25" s="57"/>
      <c r="AX25" s="57"/>
      <c r="AY25" s="57"/>
      <c r="AZ25" s="57"/>
      <c r="BA25" s="57"/>
      <c r="BB25" s="57"/>
      <c r="BC25" s="58"/>
      <c r="BD25" s="55" t="s">
        <v>5030</v>
      </c>
      <c r="BE25" t="s">
        <v>5031</v>
      </c>
      <c r="BF25" t="s">
        <v>5032</v>
      </c>
      <c r="BG25" t="s">
        <v>5033</v>
      </c>
      <c r="BO25" s="54"/>
      <c r="BP25" s="56">
        <v>45712</v>
      </c>
      <c r="BQ25" s="57">
        <v>45803</v>
      </c>
      <c r="BR25" s="57">
        <v>45894</v>
      </c>
      <c r="BS25" s="57">
        <v>45985</v>
      </c>
      <c r="BT25" s="57"/>
      <c r="BU25" s="57"/>
      <c r="BV25" s="57"/>
      <c r="BW25" s="57"/>
      <c r="BX25" s="57"/>
      <c r="BY25" s="57"/>
      <c r="BZ25" s="57"/>
      <c r="CA25" s="57"/>
      <c r="CB25" s="56" t="s">
        <v>5034</v>
      </c>
      <c r="CC25" s="57"/>
      <c r="CD25" s="57"/>
      <c r="CE25" s="57"/>
      <c r="CF25" s="57"/>
      <c r="CG25" s="57"/>
      <c r="CH25" s="57"/>
      <c r="CI25" s="57"/>
      <c r="CJ25" s="57"/>
      <c r="CK25" s="57"/>
      <c r="CL25" s="57"/>
      <c r="CM25" s="57"/>
      <c r="CN25" s="56">
        <v>45736</v>
      </c>
      <c r="CO25" s="57">
        <v>45827</v>
      </c>
      <c r="CP25" s="57">
        <v>45918</v>
      </c>
      <c r="CQ25" s="57">
        <v>46009</v>
      </c>
      <c r="CR25" s="57"/>
      <c r="CS25" s="57"/>
      <c r="CT25" s="57"/>
      <c r="CU25" s="57"/>
      <c r="CV25" s="57"/>
      <c r="CW25" s="57"/>
      <c r="CX25" s="57"/>
      <c r="CY25" s="57"/>
      <c r="CZ25" s="56" t="s">
        <v>5034</v>
      </c>
      <c r="DA25" s="57"/>
      <c r="DB25" s="57"/>
      <c r="DC25" s="57"/>
      <c r="DD25" s="57"/>
      <c r="DE25" s="57"/>
      <c r="DF25" s="57"/>
      <c r="DG25" s="57"/>
      <c r="DH25" s="57"/>
      <c r="DI25" s="57"/>
      <c r="DJ25" s="57"/>
      <c r="DK25" s="58"/>
      <c r="DL25" s="59">
        <v>4</v>
      </c>
      <c r="DM25" s="60">
        <v>4</v>
      </c>
      <c r="DN25" s="61">
        <v>0</v>
      </c>
      <c r="DO25" s="60">
        <v>4</v>
      </c>
      <c r="DP25" s="60">
        <v>0</v>
      </c>
      <c r="DQ25" s="59">
        <v>12</v>
      </c>
      <c r="DR25" s="62">
        <v>431</v>
      </c>
      <c r="DS25" s="62" t="s">
        <v>5034</v>
      </c>
      <c r="DU25" s="62" t="s">
        <v>5034</v>
      </c>
      <c r="DV25" s="63">
        <v>44483.75113045139</v>
      </c>
      <c r="DW25" s="64">
        <v>2021</v>
      </c>
      <c r="DX25" s="65">
        <v>10</v>
      </c>
    </row>
    <row r="26" spans="2:128" ht="15" x14ac:dyDescent="0.25">
      <c r="B26" s="43" t="s">
        <v>5022</v>
      </c>
      <c r="C26" s="43" t="s">
        <v>4812</v>
      </c>
      <c r="D26" s="43" t="s">
        <v>4824</v>
      </c>
      <c r="E26" s="49">
        <v>43257</v>
      </c>
      <c r="F26" s="49"/>
      <c r="G26" s="50">
        <v>1</v>
      </c>
      <c r="H26" s="43" t="s">
        <v>4798</v>
      </c>
      <c r="I26" s="43" t="s">
        <v>5023</v>
      </c>
      <c r="J26" s="43"/>
      <c r="K26" s="43">
        <v>2</v>
      </c>
      <c r="L26" s="43">
        <v>3</v>
      </c>
      <c r="M26" s="43"/>
      <c r="N26" s="43"/>
      <c r="O26" s="43"/>
      <c r="P26" s="43" t="s">
        <v>5024</v>
      </c>
      <c r="Q26" s="43" t="s">
        <v>5042</v>
      </c>
      <c r="R26" s="43" t="s">
        <v>5043</v>
      </c>
      <c r="S26" s="43" t="s">
        <v>5026</v>
      </c>
      <c r="T26" s="51" t="s">
        <v>5027</v>
      </c>
      <c r="U26" s="52" t="s">
        <v>5028</v>
      </c>
      <c r="V26" s="53" t="s">
        <v>3896</v>
      </c>
      <c r="W26" s="54" t="s">
        <v>5034</v>
      </c>
      <c r="X26" s="55" t="s">
        <v>5034</v>
      </c>
      <c r="AI26" s="54"/>
      <c r="AJ26" s="56" t="s">
        <v>5034</v>
      </c>
      <c r="AK26" s="57"/>
      <c r="AL26" s="57"/>
      <c r="AM26" s="57"/>
      <c r="AN26" s="57"/>
      <c r="AO26" s="57"/>
      <c r="AP26" s="57"/>
      <c r="AQ26" s="57"/>
      <c r="AR26" s="57"/>
      <c r="AS26" s="57"/>
      <c r="AT26" s="57"/>
      <c r="AU26" s="57"/>
      <c r="AV26" s="57"/>
      <c r="AW26" s="57"/>
      <c r="AX26" s="57"/>
      <c r="AY26" s="57"/>
      <c r="AZ26" s="57"/>
      <c r="BA26" s="57"/>
      <c r="BB26" s="57"/>
      <c r="BC26" s="58"/>
      <c r="BD26" s="55" t="s">
        <v>5034</v>
      </c>
      <c r="BO26" s="54"/>
      <c r="BP26" s="56" t="s">
        <v>5034</v>
      </c>
      <c r="BQ26" s="57"/>
      <c r="BR26" s="57"/>
      <c r="BS26" s="57"/>
      <c r="BT26" s="57"/>
      <c r="BU26" s="57"/>
      <c r="BV26" s="57"/>
      <c r="BW26" s="57"/>
      <c r="BX26" s="57"/>
      <c r="BY26" s="57"/>
      <c r="BZ26" s="57"/>
      <c r="CA26" s="57"/>
      <c r="CB26" s="56" t="s">
        <v>5034</v>
      </c>
      <c r="CC26" s="57"/>
      <c r="CD26" s="57"/>
      <c r="CE26" s="57"/>
      <c r="CF26" s="57"/>
      <c r="CG26" s="57"/>
      <c r="CH26" s="57"/>
      <c r="CI26" s="57"/>
      <c r="CJ26" s="57"/>
      <c r="CK26" s="57"/>
      <c r="CL26" s="57"/>
      <c r="CM26" s="57"/>
      <c r="CN26" s="56" t="s">
        <v>5034</v>
      </c>
      <c r="CO26" s="57"/>
      <c r="CP26" s="57"/>
      <c r="CQ26" s="57"/>
      <c r="CR26" s="57"/>
      <c r="CS26" s="57"/>
      <c r="CT26" s="57"/>
      <c r="CU26" s="57"/>
      <c r="CV26" s="57"/>
      <c r="CW26" s="57"/>
      <c r="CX26" s="57"/>
      <c r="CY26" s="57"/>
      <c r="CZ26" s="56" t="s">
        <v>5034</v>
      </c>
      <c r="DA26" s="57"/>
      <c r="DB26" s="57"/>
      <c r="DC26" s="57"/>
      <c r="DD26" s="57"/>
      <c r="DE26" s="57"/>
      <c r="DF26" s="57"/>
      <c r="DG26" s="57"/>
      <c r="DH26" s="57"/>
      <c r="DI26" s="57"/>
      <c r="DJ26" s="57"/>
      <c r="DK26" s="58"/>
      <c r="DL26" s="59">
        <v>0</v>
      </c>
      <c r="DM26" s="60">
        <v>0</v>
      </c>
      <c r="DN26" s="61">
        <v>0</v>
      </c>
      <c r="DO26" s="60">
        <v>0</v>
      </c>
      <c r="DP26" s="60">
        <v>0</v>
      </c>
      <c r="DQ26" s="59">
        <v>0</v>
      </c>
      <c r="DR26" s="62" t="s">
        <v>5034</v>
      </c>
      <c r="DS26" s="62" t="s">
        <v>5034</v>
      </c>
      <c r="DU26" s="62" t="s">
        <v>5034</v>
      </c>
      <c r="DV26" s="63">
        <v>44483.751950902777</v>
      </c>
      <c r="DW26" s="64">
        <v>2021</v>
      </c>
      <c r="DX26" s="65">
        <v>10</v>
      </c>
    </row>
    <row r="27" spans="2:128" ht="15" x14ac:dyDescent="0.25">
      <c r="B27" s="43" t="s">
        <v>5022</v>
      </c>
      <c r="C27" s="43" t="s">
        <v>4812</v>
      </c>
      <c r="D27" s="43" t="s">
        <v>4824</v>
      </c>
      <c r="E27" s="49">
        <v>43264</v>
      </c>
      <c r="F27" s="49">
        <v>45520</v>
      </c>
      <c r="G27" s="50">
        <v>1</v>
      </c>
      <c r="H27" s="43" t="s">
        <v>4798</v>
      </c>
      <c r="I27" s="43" t="s">
        <v>5023</v>
      </c>
      <c r="J27" s="43"/>
      <c r="K27" s="43">
        <v>2</v>
      </c>
      <c r="L27" s="43">
        <v>3</v>
      </c>
      <c r="M27" s="43"/>
      <c r="N27" s="43"/>
      <c r="O27" s="43"/>
      <c r="P27" s="43" t="s">
        <v>5024</v>
      </c>
      <c r="Q27" s="43" t="s">
        <v>5042</v>
      </c>
      <c r="R27" s="43" t="s">
        <v>5043</v>
      </c>
      <c r="S27" s="43" t="s">
        <v>5026</v>
      </c>
      <c r="T27" s="51" t="s">
        <v>5027</v>
      </c>
      <c r="U27" s="52" t="s">
        <v>5028</v>
      </c>
      <c r="V27" s="53" t="s">
        <v>3896</v>
      </c>
      <c r="W27" s="54" t="s">
        <v>5034</v>
      </c>
      <c r="X27" s="55" t="s">
        <v>5034</v>
      </c>
      <c r="AI27" s="54"/>
      <c r="AJ27" s="56" t="s">
        <v>5034</v>
      </c>
      <c r="AK27" s="57"/>
      <c r="AL27" s="57"/>
      <c r="AM27" s="57"/>
      <c r="AN27" s="57"/>
      <c r="AO27" s="57"/>
      <c r="AP27" s="57"/>
      <c r="AQ27" s="57"/>
      <c r="AR27" s="57"/>
      <c r="AS27" s="57"/>
      <c r="AT27" s="57"/>
      <c r="AU27" s="57"/>
      <c r="AV27" s="57"/>
      <c r="AW27" s="57"/>
      <c r="AX27" s="57"/>
      <c r="AY27" s="57"/>
      <c r="AZ27" s="57"/>
      <c r="BA27" s="57"/>
      <c r="BB27" s="57"/>
      <c r="BC27" s="58"/>
      <c r="BD27" s="55" t="s">
        <v>5034</v>
      </c>
      <c r="BO27" s="54"/>
      <c r="BP27" s="56" t="s">
        <v>5034</v>
      </c>
      <c r="BQ27" s="57"/>
      <c r="BR27" s="57"/>
      <c r="BS27" s="57"/>
      <c r="BT27" s="57"/>
      <c r="BU27" s="57"/>
      <c r="BV27" s="57"/>
      <c r="BW27" s="57"/>
      <c r="BX27" s="57"/>
      <c r="BY27" s="57"/>
      <c r="BZ27" s="57"/>
      <c r="CA27" s="57"/>
      <c r="CB27" s="56" t="s">
        <v>5034</v>
      </c>
      <c r="CC27" s="57"/>
      <c r="CD27" s="57"/>
      <c r="CE27" s="57"/>
      <c r="CF27" s="57"/>
      <c r="CG27" s="57"/>
      <c r="CH27" s="57"/>
      <c r="CI27" s="57"/>
      <c r="CJ27" s="57"/>
      <c r="CK27" s="57"/>
      <c r="CL27" s="57"/>
      <c r="CM27" s="57"/>
      <c r="CN27" s="56" t="s">
        <v>5034</v>
      </c>
      <c r="CO27" s="57"/>
      <c r="CP27" s="57"/>
      <c r="CQ27" s="57"/>
      <c r="CR27" s="57"/>
      <c r="CS27" s="57"/>
      <c r="CT27" s="57"/>
      <c r="CU27" s="57"/>
      <c r="CV27" s="57"/>
      <c r="CW27" s="57"/>
      <c r="CX27" s="57"/>
      <c r="CY27" s="57"/>
      <c r="CZ27" s="56" t="s">
        <v>5034</v>
      </c>
      <c r="DA27" s="57"/>
      <c r="DB27" s="57"/>
      <c r="DC27" s="57"/>
      <c r="DD27" s="57"/>
      <c r="DE27" s="57"/>
      <c r="DF27" s="57"/>
      <c r="DG27" s="57"/>
      <c r="DH27" s="57"/>
      <c r="DI27" s="57"/>
      <c r="DJ27" s="57"/>
      <c r="DK27" s="58"/>
      <c r="DL27" s="59">
        <v>0</v>
      </c>
      <c r="DM27" s="60">
        <v>0</v>
      </c>
      <c r="DN27" s="61">
        <v>0</v>
      </c>
      <c r="DO27" s="60">
        <v>0</v>
      </c>
      <c r="DP27" s="60">
        <v>0</v>
      </c>
      <c r="DQ27" s="59">
        <v>0</v>
      </c>
      <c r="DR27" s="62" t="s">
        <v>5034</v>
      </c>
      <c r="DS27" s="62" t="s">
        <v>5034</v>
      </c>
      <c r="DU27" s="62" t="s">
        <v>5034</v>
      </c>
      <c r="DV27" s="63" t="e">
        <v>#N/A</v>
      </c>
      <c r="DW27" s="64" t="e">
        <v>#N/A</v>
      </c>
      <c r="DX27" s="65" t="e">
        <v>#N/A</v>
      </c>
    </row>
    <row r="28" spans="2:128" ht="15" x14ac:dyDescent="0.25">
      <c r="B28" s="43" t="s">
        <v>5022</v>
      </c>
      <c r="C28" s="43" t="s">
        <v>4812</v>
      </c>
      <c r="D28" s="43" t="s">
        <v>4824</v>
      </c>
      <c r="E28" s="49">
        <v>43285</v>
      </c>
      <c r="F28" s="49">
        <v>45520</v>
      </c>
      <c r="G28" s="50">
        <v>1</v>
      </c>
      <c r="H28" s="43" t="s">
        <v>4798</v>
      </c>
      <c r="I28" s="43" t="s">
        <v>5023</v>
      </c>
      <c r="J28" s="43"/>
      <c r="K28" s="43">
        <v>2</v>
      </c>
      <c r="L28" s="43">
        <v>3</v>
      </c>
      <c r="M28" s="43"/>
      <c r="N28" s="43"/>
      <c r="O28" s="43"/>
      <c r="P28" s="43" t="s">
        <v>5024</v>
      </c>
      <c r="Q28" s="43" t="s">
        <v>5042</v>
      </c>
      <c r="R28" s="43" t="s">
        <v>5043</v>
      </c>
      <c r="S28" s="43" t="s">
        <v>5026</v>
      </c>
      <c r="T28" s="51" t="s">
        <v>5027</v>
      </c>
      <c r="U28" s="52" t="s">
        <v>5028</v>
      </c>
      <c r="V28" s="53" t="s">
        <v>3896</v>
      </c>
      <c r="W28" s="54" t="s">
        <v>5034</v>
      </c>
      <c r="X28" s="55" t="s">
        <v>5034</v>
      </c>
      <c r="AI28" s="54"/>
      <c r="AJ28" s="56" t="s">
        <v>5034</v>
      </c>
      <c r="AK28" s="57"/>
      <c r="AL28" s="57"/>
      <c r="AM28" s="57"/>
      <c r="AN28" s="57"/>
      <c r="AO28" s="57"/>
      <c r="AP28" s="57"/>
      <c r="AQ28" s="57"/>
      <c r="AR28" s="57"/>
      <c r="AS28" s="57"/>
      <c r="AT28" s="57"/>
      <c r="AU28" s="57"/>
      <c r="AV28" s="57"/>
      <c r="AW28" s="57"/>
      <c r="AX28" s="57"/>
      <c r="AY28" s="57"/>
      <c r="AZ28" s="57"/>
      <c r="BA28" s="57"/>
      <c r="BB28" s="57"/>
      <c r="BC28" s="58"/>
      <c r="BD28" s="55" t="s">
        <v>5034</v>
      </c>
      <c r="BO28" s="54"/>
      <c r="BP28" s="56" t="s">
        <v>5034</v>
      </c>
      <c r="BQ28" s="57"/>
      <c r="BR28" s="57"/>
      <c r="BS28" s="57"/>
      <c r="BT28" s="57"/>
      <c r="BU28" s="57"/>
      <c r="BV28" s="57"/>
      <c r="BW28" s="57"/>
      <c r="BX28" s="57"/>
      <c r="BY28" s="57"/>
      <c r="BZ28" s="57"/>
      <c r="CA28" s="57"/>
      <c r="CB28" s="56" t="s">
        <v>5034</v>
      </c>
      <c r="CC28" s="57"/>
      <c r="CD28" s="57"/>
      <c r="CE28" s="57"/>
      <c r="CF28" s="57"/>
      <c r="CG28" s="57"/>
      <c r="CH28" s="57"/>
      <c r="CI28" s="57"/>
      <c r="CJ28" s="57"/>
      <c r="CK28" s="57"/>
      <c r="CL28" s="57"/>
      <c r="CM28" s="57"/>
      <c r="CN28" s="56" t="s">
        <v>5034</v>
      </c>
      <c r="CO28" s="57"/>
      <c r="CP28" s="57"/>
      <c r="CQ28" s="57"/>
      <c r="CR28" s="57"/>
      <c r="CS28" s="57"/>
      <c r="CT28" s="57"/>
      <c r="CU28" s="57"/>
      <c r="CV28" s="57"/>
      <c r="CW28" s="57"/>
      <c r="CX28" s="57"/>
      <c r="CY28" s="57"/>
      <c r="CZ28" s="56" t="s">
        <v>5034</v>
      </c>
      <c r="DA28" s="57"/>
      <c r="DB28" s="57"/>
      <c r="DC28" s="57"/>
      <c r="DD28" s="57"/>
      <c r="DE28" s="57"/>
      <c r="DF28" s="57"/>
      <c r="DG28" s="57"/>
      <c r="DH28" s="57"/>
      <c r="DI28" s="57"/>
      <c r="DJ28" s="57"/>
      <c r="DK28" s="58"/>
      <c r="DL28" s="59">
        <v>0</v>
      </c>
      <c r="DM28" s="60">
        <v>0</v>
      </c>
      <c r="DN28" s="61">
        <v>0</v>
      </c>
      <c r="DO28" s="60">
        <v>0</v>
      </c>
      <c r="DP28" s="60">
        <v>0</v>
      </c>
      <c r="DQ28" s="59">
        <v>0</v>
      </c>
      <c r="DR28" s="62" t="s">
        <v>5034</v>
      </c>
      <c r="DS28" s="62" t="s">
        <v>5034</v>
      </c>
      <c r="DU28" s="62" t="s">
        <v>5034</v>
      </c>
      <c r="DV28" s="63" t="e">
        <v>#N/A</v>
      </c>
      <c r="DW28" s="64" t="e">
        <v>#N/A</v>
      </c>
      <c r="DX28" s="65" t="e">
        <v>#N/A</v>
      </c>
    </row>
    <row r="29" spans="2:128" ht="15" x14ac:dyDescent="0.25">
      <c r="B29" s="43" t="s">
        <v>5022</v>
      </c>
      <c r="C29" s="43" t="s">
        <v>4812</v>
      </c>
      <c r="D29" s="43" t="s">
        <v>4824</v>
      </c>
      <c r="E29" s="49">
        <v>43292</v>
      </c>
      <c r="F29" s="49">
        <v>45699</v>
      </c>
      <c r="G29" s="50">
        <v>1</v>
      </c>
      <c r="H29" s="43" t="s">
        <v>4798</v>
      </c>
      <c r="I29" s="43" t="s">
        <v>5023</v>
      </c>
      <c r="J29" s="43"/>
      <c r="K29" s="43">
        <v>2</v>
      </c>
      <c r="L29" s="43">
        <v>3</v>
      </c>
      <c r="M29" s="43"/>
      <c r="N29" s="43"/>
      <c r="O29" s="43"/>
      <c r="P29" s="43" t="s">
        <v>5024</v>
      </c>
      <c r="Q29" s="43" t="s">
        <v>5042</v>
      </c>
      <c r="R29" s="43" t="s">
        <v>5043</v>
      </c>
      <c r="S29" s="43" t="s">
        <v>5026</v>
      </c>
      <c r="T29" s="51" t="s">
        <v>5027</v>
      </c>
      <c r="U29" s="52" t="s">
        <v>5028</v>
      </c>
      <c r="V29" s="53" t="s">
        <v>3896</v>
      </c>
      <c r="W29" s="54" t="s">
        <v>5034</v>
      </c>
      <c r="X29" s="55" t="s">
        <v>5034</v>
      </c>
      <c r="AI29" s="54"/>
      <c r="AJ29" s="56" t="s">
        <v>5034</v>
      </c>
      <c r="AK29" s="57"/>
      <c r="AL29" s="57"/>
      <c r="AM29" s="57"/>
      <c r="AN29" s="57"/>
      <c r="AO29" s="57"/>
      <c r="AP29" s="57"/>
      <c r="AQ29" s="57"/>
      <c r="AR29" s="57"/>
      <c r="AS29" s="57"/>
      <c r="AT29" s="57"/>
      <c r="AU29" s="57"/>
      <c r="AV29" s="57"/>
      <c r="AW29" s="57"/>
      <c r="AX29" s="57"/>
      <c r="AY29" s="57"/>
      <c r="AZ29" s="57"/>
      <c r="BA29" s="57"/>
      <c r="BB29" s="57"/>
      <c r="BC29" s="58"/>
      <c r="BD29" s="55" t="s">
        <v>5034</v>
      </c>
      <c r="BO29" s="54"/>
      <c r="BP29" s="56" t="s">
        <v>5034</v>
      </c>
      <c r="BQ29" s="57"/>
      <c r="BR29" s="57"/>
      <c r="BS29" s="57"/>
      <c r="BT29" s="57"/>
      <c r="BU29" s="57"/>
      <c r="BV29" s="57"/>
      <c r="BW29" s="57"/>
      <c r="BX29" s="57"/>
      <c r="BY29" s="57"/>
      <c r="BZ29" s="57"/>
      <c r="CA29" s="57"/>
      <c r="CB29" s="56" t="s">
        <v>5034</v>
      </c>
      <c r="CC29" s="57"/>
      <c r="CD29" s="57"/>
      <c r="CE29" s="57"/>
      <c r="CF29" s="57"/>
      <c r="CG29" s="57"/>
      <c r="CH29" s="57"/>
      <c r="CI29" s="57"/>
      <c r="CJ29" s="57"/>
      <c r="CK29" s="57"/>
      <c r="CL29" s="57"/>
      <c r="CM29" s="57"/>
      <c r="CN29" s="56" t="s">
        <v>5034</v>
      </c>
      <c r="CO29" s="57"/>
      <c r="CP29" s="57"/>
      <c r="CQ29" s="57"/>
      <c r="CR29" s="57"/>
      <c r="CS29" s="57"/>
      <c r="CT29" s="57"/>
      <c r="CU29" s="57"/>
      <c r="CV29" s="57"/>
      <c r="CW29" s="57"/>
      <c r="CX29" s="57"/>
      <c r="CY29" s="57"/>
      <c r="CZ29" s="56" t="s">
        <v>5034</v>
      </c>
      <c r="DA29" s="57"/>
      <c r="DB29" s="57"/>
      <c r="DC29" s="57"/>
      <c r="DD29" s="57"/>
      <c r="DE29" s="57"/>
      <c r="DF29" s="57"/>
      <c r="DG29" s="57"/>
      <c r="DH29" s="57"/>
      <c r="DI29" s="57"/>
      <c r="DJ29" s="57"/>
      <c r="DK29" s="58"/>
      <c r="DL29" s="59">
        <v>0</v>
      </c>
      <c r="DM29" s="60">
        <v>0</v>
      </c>
      <c r="DN29" s="61">
        <v>0</v>
      </c>
      <c r="DO29" s="60">
        <v>0</v>
      </c>
      <c r="DP29" s="60">
        <v>0</v>
      </c>
      <c r="DQ29" s="59">
        <v>0</v>
      </c>
      <c r="DR29" s="62" t="s">
        <v>5034</v>
      </c>
      <c r="DS29" s="62" t="s">
        <v>5034</v>
      </c>
      <c r="DU29" s="62" t="s">
        <v>5034</v>
      </c>
      <c r="DV29" s="63">
        <v>44483.751860567128</v>
      </c>
      <c r="DW29" s="64">
        <v>2021</v>
      </c>
      <c r="DX29" s="65">
        <v>10</v>
      </c>
    </row>
    <row r="30" spans="2:128" ht="15" x14ac:dyDescent="0.25">
      <c r="B30" s="43" t="s">
        <v>5022</v>
      </c>
      <c r="C30" s="43" t="s">
        <v>4825</v>
      </c>
      <c r="D30" s="43" t="s">
        <v>4826</v>
      </c>
      <c r="E30" s="49">
        <v>43271</v>
      </c>
      <c r="F30" s="49"/>
      <c r="G30" s="50">
        <v>5</v>
      </c>
      <c r="H30" s="43" t="s">
        <v>4798</v>
      </c>
      <c r="I30" s="43" t="s">
        <v>5023</v>
      </c>
      <c r="J30" s="43">
        <v>6</v>
      </c>
      <c r="K30" s="43">
        <v>2</v>
      </c>
      <c r="L30" s="43">
        <v>3</v>
      </c>
      <c r="M30" s="43"/>
      <c r="N30" s="43"/>
      <c r="O30" s="43" t="s">
        <v>5053</v>
      </c>
      <c r="P30" s="43" t="s">
        <v>5024</v>
      </c>
      <c r="Q30" s="43" t="s">
        <v>5054</v>
      </c>
      <c r="R30" s="43" t="s">
        <v>5047</v>
      </c>
      <c r="S30" s="43" t="s">
        <v>5026</v>
      </c>
      <c r="T30" s="51" t="s">
        <v>5027</v>
      </c>
      <c r="U30" s="52" t="s">
        <v>5028</v>
      </c>
      <c r="V30" s="53" t="s">
        <v>3884</v>
      </c>
      <c r="W30" s="54" t="s">
        <v>1085</v>
      </c>
      <c r="X30" s="55" t="s">
        <v>4889</v>
      </c>
      <c r="Y30" t="s">
        <v>4896</v>
      </c>
      <c r="Z30" t="s">
        <v>4800</v>
      </c>
      <c r="AA30" t="s">
        <v>4891</v>
      </c>
      <c r="AI30" s="54"/>
      <c r="AJ30" s="56">
        <v>45740</v>
      </c>
      <c r="AK30" s="57">
        <v>45741</v>
      </c>
      <c r="AL30" s="57">
        <v>45742</v>
      </c>
      <c r="AM30" s="57">
        <v>45743</v>
      </c>
      <c r="AN30" s="57">
        <v>45744</v>
      </c>
      <c r="AO30" s="57">
        <v>45831</v>
      </c>
      <c r="AP30" s="57">
        <v>45832</v>
      </c>
      <c r="AQ30" s="57">
        <v>45833</v>
      </c>
      <c r="AR30" s="57">
        <v>45834</v>
      </c>
      <c r="AS30" s="57">
        <v>45835</v>
      </c>
      <c r="AT30" s="57">
        <v>45922</v>
      </c>
      <c r="AU30" s="57">
        <v>45923</v>
      </c>
      <c r="AV30" s="57">
        <v>45924</v>
      </c>
      <c r="AW30" s="57">
        <v>45925</v>
      </c>
      <c r="AX30" s="57">
        <v>45926</v>
      </c>
      <c r="AY30" s="57">
        <v>46013</v>
      </c>
      <c r="AZ30" s="57">
        <v>46014</v>
      </c>
      <c r="BA30" s="57">
        <v>46015</v>
      </c>
      <c r="BB30" s="57">
        <v>46017</v>
      </c>
      <c r="BC30" s="58">
        <v>46020</v>
      </c>
      <c r="BD30" s="55" t="s">
        <v>5030</v>
      </c>
      <c r="BE30" t="s">
        <v>5031</v>
      </c>
      <c r="BF30" t="s">
        <v>5032</v>
      </c>
      <c r="BG30" t="s">
        <v>5033</v>
      </c>
      <c r="BO30" s="54"/>
      <c r="BP30" s="56">
        <v>45712</v>
      </c>
      <c r="BQ30" s="57">
        <v>45803</v>
      </c>
      <c r="BR30" s="57">
        <v>45894</v>
      </c>
      <c r="BS30" s="57">
        <v>45985</v>
      </c>
      <c r="BT30" s="57"/>
      <c r="BU30" s="57"/>
      <c r="BV30" s="57"/>
      <c r="BW30" s="57"/>
      <c r="BX30" s="57"/>
      <c r="BY30" s="57"/>
      <c r="BZ30" s="57"/>
      <c r="CA30" s="57"/>
      <c r="CB30" s="56">
        <v>45730</v>
      </c>
      <c r="CC30" s="57">
        <v>45821</v>
      </c>
      <c r="CD30" s="57">
        <v>45912</v>
      </c>
      <c r="CE30" s="57">
        <v>46003</v>
      </c>
      <c r="CF30" s="57"/>
      <c r="CG30" s="57"/>
      <c r="CH30" s="57"/>
      <c r="CI30" s="57"/>
      <c r="CJ30" s="57"/>
      <c r="CK30" s="57"/>
      <c r="CL30" s="57"/>
      <c r="CM30" s="57"/>
      <c r="CN30" s="56">
        <v>45736</v>
      </c>
      <c r="CO30" s="57">
        <v>45827</v>
      </c>
      <c r="CP30" s="57">
        <v>45918</v>
      </c>
      <c r="CQ30" s="57">
        <v>46009</v>
      </c>
      <c r="CR30" s="57"/>
      <c r="CS30" s="57"/>
      <c r="CT30" s="57"/>
      <c r="CU30" s="57"/>
      <c r="CV30" s="57"/>
      <c r="CW30" s="57"/>
      <c r="CX30" s="57"/>
      <c r="CY30" s="57"/>
      <c r="CZ30" s="56" t="s">
        <v>5034</v>
      </c>
      <c r="DA30" s="57"/>
      <c r="DB30" s="57"/>
      <c r="DC30" s="57"/>
      <c r="DD30" s="57"/>
      <c r="DE30" s="57"/>
      <c r="DF30" s="57"/>
      <c r="DG30" s="57"/>
      <c r="DH30" s="57"/>
      <c r="DI30" s="57"/>
      <c r="DJ30" s="57"/>
      <c r="DK30" s="58"/>
      <c r="DL30" s="59">
        <v>20</v>
      </c>
      <c r="DM30" s="60">
        <v>4</v>
      </c>
      <c r="DN30" s="61">
        <v>4</v>
      </c>
      <c r="DO30" s="60">
        <v>4</v>
      </c>
      <c r="DP30" s="60">
        <v>0</v>
      </c>
      <c r="DQ30" s="59">
        <v>32</v>
      </c>
      <c r="DR30" s="62">
        <v>455</v>
      </c>
      <c r="DS30" s="62" t="s">
        <v>5034</v>
      </c>
      <c r="DU30" s="62" t="s">
        <v>5034</v>
      </c>
      <c r="DV30" s="63">
        <v>44610.309395127311</v>
      </c>
      <c r="DW30" s="64">
        <v>2022</v>
      </c>
      <c r="DX30" s="65">
        <v>2</v>
      </c>
    </row>
    <row r="31" spans="2:128" ht="15" x14ac:dyDescent="0.25">
      <c r="B31" s="43" t="s">
        <v>5022</v>
      </c>
      <c r="C31" s="43" t="s">
        <v>4802</v>
      </c>
      <c r="D31" s="43" t="s">
        <v>4827</v>
      </c>
      <c r="E31" s="49">
        <v>43278</v>
      </c>
      <c r="F31" s="49"/>
      <c r="G31" s="50">
        <v>1</v>
      </c>
      <c r="H31" s="43" t="s">
        <v>4798</v>
      </c>
      <c r="I31" s="43" t="s">
        <v>5023</v>
      </c>
      <c r="J31" s="43"/>
      <c r="K31" s="43">
        <v>2</v>
      </c>
      <c r="L31" s="43">
        <v>3</v>
      </c>
      <c r="M31" s="43"/>
      <c r="N31" s="43"/>
      <c r="O31" s="43" t="s">
        <v>4725</v>
      </c>
      <c r="P31" s="43" t="s">
        <v>5024</v>
      </c>
      <c r="Q31" s="43" t="s">
        <v>5055</v>
      </c>
      <c r="R31" s="43" t="s">
        <v>5047</v>
      </c>
      <c r="S31" s="43" t="s">
        <v>5026</v>
      </c>
      <c r="T31" s="51" t="s">
        <v>5027</v>
      </c>
      <c r="U31" s="52" t="s">
        <v>5028</v>
      </c>
      <c r="V31" s="53" t="s">
        <v>3884</v>
      </c>
      <c r="W31" s="54" t="s">
        <v>1067</v>
      </c>
      <c r="X31" s="55" t="s">
        <v>4889</v>
      </c>
      <c r="Y31" t="s">
        <v>4896</v>
      </c>
      <c r="Z31" t="s">
        <v>4800</v>
      </c>
      <c r="AA31" t="s">
        <v>4891</v>
      </c>
      <c r="AI31" s="54"/>
      <c r="AJ31" s="56">
        <v>45740</v>
      </c>
      <c r="AK31" s="57">
        <v>45831</v>
      </c>
      <c r="AL31" s="57">
        <v>45922</v>
      </c>
      <c r="AM31" s="57">
        <v>46013</v>
      </c>
      <c r="AN31" s="57"/>
      <c r="AO31" s="57"/>
      <c r="AP31" s="57"/>
      <c r="AQ31" s="57"/>
      <c r="AR31" s="57"/>
      <c r="AS31" s="57"/>
      <c r="AT31" s="57"/>
      <c r="AU31" s="57"/>
      <c r="AV31" s="57"/>
      <c r="AW31" s="57"/>
      <c r="AX31" s="57"/>
      <c r="AY31" s="57"/>
      <c r="AZ31" s="57"/>
      <c r="BA31" s="57"/>
      <c r="BB31" s="57"/>
      <c r="BC31" s="58"/>
      <c r="BD31" s="55" t="s">
        <v>5030</v>
      </c>
      <c r="BE31" t="s">
        <v>5031</v>
      </c>
      <c r="BF31" t="s">
        <v>5032</v>
      </c>
      <c r="BG31" t="s">
        <v>5033</v>
      </c>
      <c r="BO31" s="54"/>
      <c r="BP31" s="56">
        <v>45712</v>
      </c>
      <c r="BQ31" s="57">
        <v>45803</v>
      </c>
      <c r="BR31" s="57">
        <v>45894</v>
      </c>
      <c r="BS31" s="57">
        <v>45985</v>
      </c>
      <c r="BT31" s="57"/>
      <c r="BU31" s="57"/>
      <c r="BV31" s="57"/>
      <c r="BW31" s="57"/>
      <c r="BX31" s="57"/>
      <c r="BY31" s="57"/>
      <c r="BZ31" s="57"/>
      <c r="CA31" s="57"/>
      <c r="CB31" s="56" t="s">
        <v>5034</v>
      </c>
      <c r="CC31" s="57"/>
      <c r="CD31" s="57"/>
      <c r="CE31" s="57"/>
      <c r="CF31" s="57"/>
      <c r="CG31" s="57"/>
      <c r="CH31" s="57"/>
      <c r="CI31" s="57"/>
      <c r="CJ31" s="57"/>
      <c r="CK31" s="57"/>
      <c r="CL31" s="57"/>
      <c r="CM31" s="57"/>
      <c r="CN31" s="56">
        <v>45736</v>
      </c>
      <c r="CO31" s="57">
        <v>45827</v>
      </c>
      <c r="CP31" s="57">
        <v>45918</v>
      </c>
      <c r="CQ31" s="57">
        <v>46009</v>
      </c>
      <c r="CR31" s="57"/>
      <c r="CS31" s="57"/>
      <c r="CT31" s="57"/>
      <c r="CU31" s="57"/>
      <c r="CV31" s="57"/>
      <c r="CW31" s="57"/>
      <c r="CX31" s="57"/>
      <c r="CY31" s="57"/>
      <c r="CZ31" s="56" t="s">
        <v>5034</v>
      </c>
      <c r="DA31" s="57"/>
      <c r="DB31" s="57"/>
      <c r="DC31" s="57"/>
      <c r="DD31" s="57"/>
      <c r="DE31" s="57"/>
      <c r="DF31" s="57"/>
      <c r="DG31" s="57"/>
      <c r="DH31" s="57"/>
      <c r="DI31" s="57"/>
      <c r="DJ31" s="57"/>
      <c r="DK31" s="58"/>
      <c r="DL31" s="59">
        <v>4</v>
      </c>
      <c r="DM31" s="60">
        <v>4</v>
      </c>
      <c r="DN31" s="61">
        <v>0</v>
      </c>
      <c r="DO31" s="60">
        <v>4</v>
      </c>
      <c r="DP31" s="60">
        <v>0</v>
      </c>
      <c r="DQ31" s="59">
        <v>12</v>
      </c>
      <c r="DR31" s="62">
        <v>487</v>
      </c>
      <c r="DS31" s="62" t="s">
        <v>5034</v>
      </c>
      <c r="DU31" s="62" t="s">
        <v>5034</v>
      </c>
      <c r="DV31" s="63">
        <v>44687</v>
      </c>
      <c r="DW31" s="64">
        <v>2022</v>
      </c>
      <c r="DX31" s="65">
        <v>5</v>
      </c>
    </row>
    <row r="32" spans="2:128" ht="15" x14ac:dyDescent="0.25">
      <c r="B32" s="43" t="s">
        <v>5022</v>
      </c>
      <c r="C32" s="43" t="s">
        <v>4802</v>
      </c>
      <c r="D32" s="43" t="s">
        <v>4828</v>
      </c>
      <c r="E32" s="49">
        <v>43299</v>
      </c>
      <c r="F32" s="49"/>
      <c r="G32" s="50">
        <v>1</v>
      </c>
      <c r="H32" s="43" t="s">
        <v>4798</v>
      </c>
      <c r="I32" s="43" t="s">
        <v>5023</v>
      </c>
      <c r="J32" s="43"/>
      <c r="K32" s="43">
        <v>2</v>
      </c>
      <c r="L32" s="43">
        <v>3</v>
      </c>
      <c r="M32" s="43"/>
      <c r="N32" s="43"/>
      <c r="O32" s="43"/>
      <c r="P32" s="43" t="s">
        <v>5024</v>
      </c>
      <c r="Q32" s="43"/>
      <c r="R32" s="43" t="s">
        <v>5025</v>
      </c>
      <c r="S32" s="43" t="s">
        <v>5026</v>
      </c>
      <c r="T32" s="51" t="s">
        <v>5027</v>
      </c>
      <c r="U32" s="52" t="s">
        <v>5028</v>
      </c>
      <c r="V32" s="53" t="s">
        <v>3884</v>
      </c>
      <c r="W32" s="54" t="s">
        <v>2652</v>
      </c>
      <c r="X32" s="55" t="s">
        <v>4889</v>
      </c>
      <c r="Y32" t="s">
        <v>4896</v>
      </c>
      <c r="Z32" t="s">
        <v>4800</v>
      </c>
      <c r="AA32" t="s">
        <v>4891</v>
      </c>
      <c r="AI32" s="54"/>
      <c r="AJ32" s="56">
        <v>45740</v>
      </c>
      <c r="AK32" s="57">
        <v>45831</v>
      </c>
      <c r="AL32" s="57">
        <v>45922</v>
      </c>
      <c r="AM32" s="57">
        <v>46013</v>
      </c>
      <c r="AN32" s="57"/>
      <c r="AO32" s="57"/>
      <c r="AP32" s="57"/>
      <c r="AQ32" s="57"/>
      <c r="AR32" s="57"/>
      <c r="AS32" s="57"/>
      <c r="AT32" s="57"/>
      <c r="AU32" s="57"/>
      <c r="AV32" s="57"/>
      <c r="AW32" s="57"/>
      <c r="AX32" s="57"/>
      <c r="AY32" s="57"/>
      <c r="AZ32" s="57"/>
      <c r="BA32" s="57"/>
      <c r="BB32" s="57"/>
      <c r="BC32" s="58"/>
      <c r="BD32" s="55" t="s">
        <v>5030</v>
      </c>
      <c r="BE32" t="s">
        <v>5031</v>
      </c>
      <c r="BF32" t="s">
        <v>5032</v>
      </c>
      <c r="BG32" t="s">
        <v>5033</v>
      </c>
      <c r="BO32" s="54"/>
      <c r="BP32" s="56">
        <v>45712</v>
      </c>
      <c r="BQ32" s="57">
        <v>45803</v>
      </c>
      <c r="BR32" s="57">
        <v>45894</v>
      </c>
      <c r="BS32" s="57">
        <v>45985</v>
      </c>
      <c r="BT32" s="57"/>
      <c r="BU32" s="57"/>
      <c r="BV32" s="57"/>
      <c r="BW32" s="57"/>
      <c r="BX32" s="57"/>
      <c r="BY32" s="57"/>
      <c r="BZ32" s="57"/>
      <c r="CA32" s="57"/>
      <c r="CB32" s="56" t="s">
        <v>5034</v>
      </c>
      <c r="CC32" s="57"/>
      <c r="CD32" s="57"/>
      <c r="CE32" s="57"/>
      <c r="CF32" s="57"/>
      <c r="CG32" s="57"/>
      <c r="CH32" s="57"/>
      <c r="CI32" s="57"/>
      <c r="CJ32" s="57"/>
      <c r="CK32" s="57"/>
      <c r="CL32" s="57"/>
      <c r="CM32" s="57"/>
      <c r="CN32" s="56">
        <v>45736</v>
      </c>
      <c r="CO32" s="57">
        <v>45827</v>
      </c>
      <c r="CP32" s="57">
        <v>45918</v>
      </c>
      <c r="CQ32" s="57">
        <v>46009</v>
      </c>
      <c r="CR32" s="57"/>
      <c r="CS32" s="57"/>
      <c r="CT32" s="57"/>
      <c r="CU32" s="57"/>
      <c r="CV32" s="57"/>
      <c r="CW32" s="57"/>
      <c r="CX32" s="57"/>
      <c r="CY32" s="57"/>
      <c r="CZ32" s="56" t="s">
        <v>5034</v>
      </c>
      <c r="DA32" s="57"/>
      <c r="DB32" s="57"/>
      <c r="DC32" s="57"/>
      <c r="DD32" s="57"/>
      <c r="DE32" s="57"/>
      <c r="DF32" s="57"/>
      <c r="DG32" s="57"/>
      <c r="DH32" s="57"/>
      <c r="DI32" s="57"/>
      <c r="DJ32" s="57"/>
      <c r="DK32" s="58"/>
      <c r="DL32" s="59">
        <v>4</v>
      </c>
      <c r="DM32" s="60">
        <v>4</v>
      </c>
      <c r="DN32" s="61">
        <v>0</v>
      </c>
      <c r="DO32" s="60">
        <v>4</v>
      </c>
      <c r="DP32" s="60">
        <v>0</v>
      </c>
      <c r="DQ32" s="59">
        <v>12</v>
      </c>
      <c r="DR32" s="62">
        <v>515</v>
      </c>
      <c r="DS32" s="62" t="s">
        <v>5034</v>
      </c>
      <c r="DU32" s="62" t="s">
        <v>5034</v>
      </c>
      <c r="DV32" s="63">
        <v>44483.752131875</v>
      </c>
      <c r="DW32" s="64">
        <v>2021</v>
      </c>
      <c r="DX32" s="65">
        <v>10</v>
      </c>
    </row>
    <row r="33" spans="2:128" ht="15" x14ac:dyDescent="0.25">
      <c r="B33" s="43" t="s">
        <v>5022</v>
      </c>
      <c r="C33" s="43" t="s">
        <v>4802</v>
      </c>
      <c r="D33" s="43" t="s">
        <v>4829</v>
      </c>
      <c r="E33" s="49">
        <v>43327</v>
      </c>
      <c r="F33" s="49"/>
      <c r="G33" s="50">
        <v>1</v>
      </c>
      <c r="H33" s="43" t="s">
        <v>4798</v>
      </c>
      <c r="I33" s="43" t="s">
        <v>5023</v>
      </c>
      <c r="J33" s="43"/>
      <c r="K33" s="43">
        <v>2</v>
      </c>
      <c r="L33" s="43">
        <v>3</v>
      </c>
      <c r="M33" s="43"/>
      <c r="N33" s="43"/>
      <c r="O33" s="43"/>
      <c r="P33" s="43" t="s">
        <v>5024</v>
      </c>
      <c r="Q33" s="43" t="s">
        <v>5056</v>
      </c>
      <c r="R33" s="43" t="s">
        <v>5025</v>
      </c>
      <c r="S33" s="43" t="s">
        <v>5026</v>
      </c>
      <c r="T33" s="51" t="s">
        <v>5027</v>
      </c>
      <c r="U33" s="52" t="s">
        <v>5028</v>
      </c>
      <c r="V33" s="53" t="s">
        <v>3884</v>
      </c>
      <c r="W33" s="54" t="s">
        <v>2643</v>
      </c>
      <c r="X33" s="55" t="s">
        <v>4889</v>
      </c>
      <c r="Y33" t="s">
        <v>4896</v>
      </c>
      <c r="Z33" t="s">
        <v>4800</v>
      </c>
      <c r="AA33" t="s">
        <v>4891</v>
      </c>
      <c r="AI33" s="54"/>
      <c r="AJ33" s="56">
        <v>45740</v>
      </c>
      <c r="AK33" s="57">
        <v>45831</v>
      </c>
      <c r="AL33" s="57">
        <v>45922</v>
      </c>
      <c r="AM33" s="57">
        <v>46013</v>
      </c>
      <c r="AN33" s="57"/>
      <c r="AO33" s="57"/>
      <c r="AP33" s="57"/>
      <c r="AQ33" s="57"/>
      <c r="AR33" s="57"/>
      <c r="AS33" s="57"/>
      <c r="AT33" s="57"/>
      <c r="AU33" s="57"/>
      <c r="AV33" s="57"/>
      <c r="AW33" s="57"/>
      <c r="AX33" s="57"/>
      <c r="AY33" s="57"/>
      <c r="AZ33" s="57"/>
      <c r="BA33" s="57"/>
      <c r="BB33" s="57"/>
      <c r="BC33" s="58"/>
      <c r="BD33" s="55" t="s">
        <v>5030</v>
      </c>
      <c r="BE33" t="s">
        <v>5031</v>
      </c>
      <c r="BF33" t="s">
        <v>5032</v>
      </c>
      <c r="BG33" t="s">
        <v>5033</v>
      </c>
      <c r="BO33" s="54"/>
      <c r="BP33" s="56">
        <v>45712</v>
      </c>
      <c r="BQ33" s="57">
        <v>45803</v>
      </c>
      <c r="BR33" s="57">
        <v>45894</v>
      </c>
      <c r="BS33" s="57">
        <v>45985</v>
      </c>
      <c r="BT33" s="57"/>
      <c r="BU33" s="57"/>
      <c r="BV33" s="57"/>
      <c r="BW33" s="57"/>
      <c r="BX33" s="57"/>
      <c r="BY33" s="57"/>
      <c r="BZ33" s="57"/>
      <c r="CA33" s="57"/>
      <c r="CB33" s="56" t="s">
        <v>5034</v>
      </c>
      <c r="CC33" s="57"/>
      <c r="CD33" s="57"/>
      <c r="CE33" s="57"/>
      <c r="CF33" s="57"/>
      <c r="CG33" s="57"/>
      <c r="CH33" s="57"/>
      <c r="CI33" s="57"/>
      <c r="CJ33" s="57"/>
      <c r="CK33" s="57"/>
      <c r="CL33" s="57"/>
      <c r="CM33" s="57"/>
      <c r="CN33" s="56">
        <v>45736</v>
      </c>
      <c r="CO33" s="57">
        <v>45827</v>
      </c>
      <c r="CP33" s="57">
        <v>45918</v>
      </c>
      <c r="CQ33" s="57">
        <v>46009</v>
      </c>
      <c r="CR33" s="57"/>
      <c r="CS33" s="57"/>
      <c r="CT33" s="57"/>
      <c r="CU33" s="57"/>
      <c r="CV33" s="57"/>
      <c r="CW33" s="57"/>
      <c r="CX33" s="57"/>
      <c r="CY33" s="57"/>
      <c r="CZ33" s="56" t="s">
        <v>5034</v>
      </c>
      <c r="DA33" s="57"/>
      <c r="DB33" s="57"/>
      <c r="DC33" s="57"/>
      <c r="DD33" s="57"/>
      <c r="DE33" s="57"/>
      <c r="DF33" s="57"/>
      <c r="DG33" s="57"/>
      <c r="DH33" s="57"/>
      <c r="DI33" s="57"/>
      <c r="DJ33" s="57"/>
      <c r="DK33" s="58"/>
      <c r="DL33" s="59">
        <v>4</v>
      </c>
      <c r="DM33" s="60">
        <v>4</v>
      </c>
      <c r="DN33" s="61">
        <v>0</v>
      </c>
      <c r="DO33" s="60">
        <v>4</v>
      </c>
      <c r="DP33" s="60">
        <v>0</v>
      </c>
      <c r="DQ33" s="59">
        <v>12</v>
      </c>
      <c r="DR33" s="62">
        <v>527</v>
      </c>
      <c r="DS33" s="62" t="s">
        <v>5034</v>
      </c>
      <c r="DU33" s="62" t="s">
        <v>5034</v>
      </c>
      <c r="DV33" s="63">
        <v>44483.752689641202</v>
      </c>
      <c r="DW33" s="64">
        <v>2021</v>
      </c>
      <c r="DX33" s="65">
        <v>10</v>
      </c>
    </row>
    <row r="34" spans="2:128" ht="15" x14ac:dyDescent="0.25">
      <c r="B34" s="43" t="s">
        <v>5022</v>
      </c>
      <c r="C34" s="43" t="s">
        <v>4802</v>
      </c>
      <c r="D34" s="43" t="s">
        <v>4830</v>
      </c>
      <c r="E34" s="49">
        <v>43334</v>
      </c>
      <c r="F34" s="49"/>
      <c r="G34" s="50">
        <v>1</v>
      </c>
      <c r="H34" s="43" t="s">
        <v>4798</v>
      </c>
      <c r="I34" s="43" t="s">
        <v>5023</v>
      </c>
      <c r="J34" s="43"/>
      <c r="K34" s="43">
        <v>2</v>
      </c>
      <c r="L34" s="43">
        <v>3</v>
      </c>
      <c r="M34" s="43"/>
      <c r="N34" s="43"/>
      <c r="O34" s="43"/>
      <c r="P34" s="43" t="s">
        <v>5024</v>
      </c>
      <c r="Q34" s="43" t="s">
        <v>5057</v>
      </c>
      <c r="R34" s="43" t="s">
        <v>5025</v>
      </c>
      <c r="S34" s="43" t="s">
        <v>5026</v>
      </c>
      <c r="T34" s="51" t="s">
        <v>5027</v>
      </c>
      <c r="U34" s="52" t="s">
        <v>5028</v>
      </c>
      <c r="V34" s="53" t="s">
        <v>3884</v>
      </c>
      <c r="W34" s="54" t="s">
        <v>2634</v>
      </c>
      <c r="X34" s="55" t="s">
        <v>4889</v>
      </c>
      <c r="Y34" t="s">
        <v>4896</v>
      </c>
      <c r="Z34" t="s">
        <v>4800</v>
      </c>
      <c r="AA34" t="s">
        <v>4891</v>
      </c>
      <c r="AI34" s="54"/>
      <c r="AJ34" s="56">
        <v>45740</v>
      </c>
      <c r="AK34" s="57">
        <v>45831</v>
      </c>
      <c r="AL34" s="57">
        <v>45922</v>
      </c>
      <c r="AM34" s="57">
        <v>46013</v>
      </c>
      <c r="AN34" s="57"/>
      <c r="AO34" s="57"/>
      <c r="AP34" s="57"/>
      <c r="AQ34" s="57"/>
      <c r="AR34" s="57"/>
      <c r="AS34" s="57"/>
      <c r="AT34" s="57"/>
      <c r="AU34" s="57"/>
      <c r="AV34" s="57"/>
      <c r="AW34" s="57"/>
      <c r="AX34" s="57"/>
      <c r="AY34" s="57"/>
      <c r="AZ34" s="57"/>
      <c r="BA34" s="57"/>
      <c r="BB34" s="57"/>
      <c r="BC34" s="58"/>
      <c r="BD34" s="55" t="s">
        <v>5030</v>
      </c>
      <c r="BE34" t="s">
        <v>5031</v>
      </c>
      <c r="BF34" t="s">
        <v>5032</v>
      </c>
      <c r="BG34" t="s">
        <v>5033</v>
      </c>
      <c r="BO34" s="54"/>
      <c r="BP34" s="56">
        <v>45712</v>
      </c>
      <c r="BQ34" s="57">
        <v>45803</v>
      </c>
      <c r="BR34" s="57">
        <v>45894</v>
      </c>
      <c r="BS34" s="57">
        <v>45985</v>
      </c>
      <c r="BT34" s="57"/>
      <c r="BU34" s="57"/>
      <c r="BV34" s="57"/>
      <c r="BW34" s="57"/>
      <c r="BX34" s="57"/>
      <c r="BY34" s="57"/>
      <c r="BZ34" s="57"/>
      <c r="CA34" s="57"/>
      <c r="CB34" s="56" t="s">
        <v>5034</v>
      </c>
      <c r="CC34" s="57"/>
      <c r="CD34" s="57"/>
      <c r="CE34" s="57"/>
      <c r="CF34" s="57"/>
      <c r="CG34" s="57"/>
      <c r="CH34" s="57"/>
      <c r="CI34" s="57"/>
      <c r="CJ34" s="57"/>
      <c r="CK34" s="57"/>
      <c r="CL34" s="57"/>
      <c r="CM34" s="57"/>
      <c r="CN34" s="56">
        <v>45736</v>
      </c>
      <c r="CO34" s="57">
        <v>45827</v>
      </c>
      <c r="CP34" s="57">
        <v>45918</v>
      </c>
      <c r="CQ34" s="57">
        <v>46009</v>
      </c>
      <c r="CR34" s="57"/>
      <c r="CS34" s="57"/>
      <c r="CT34" s="57"/>
      <c r="CU34" s="57"/>
      <c r="CV34" s="57"/>
      <c r="CW34" s="57"/>
      <c r="CX34" s="57"/>
      <c r="CY34" s="57"/>
      <c r="CZ34" s="56" t="s">
        <v>5034</v>
      </c>
      <c r="DA34" s="57"/>
      <c r="DB34" s="57"/>
      <c r="DC34" s="57"/>
      <c r="DD34" s="57"/>
      <c r="DE34" s="57"/>
      <c r="DF34" s="57"/>
      <c r="DG34" s="57"/>
      <c r="DH34" s="57"/>
      <c r="DI34" s="57"/>
      <c r="DJ34" s="57"/>
      <c r="DK34" s="58"/>
      <c r="DL34" s="59">
        <v>4</v>
      </c>
      <c r="DM34" s="60">
        <v>4</v>
      </c>
      <c r="DN34" s="61">
        <v>0</v>
      </c>
      <c r="DO34" s="60">
        <v>4</v>
      </c>
      <c r="DP34" s="60">
        <v>0</v>
      </c>
      <c r="DQ34" s="59">
        <v>12</v>
      </c>
      <c r="DR34" s="62">
        <v>539</v>
      </c>
      <c r="DS34" s="62" t="s">
        <v>5034</v>
      </c>
      <c r="DU34" s="62" t="s">
        <v>5034</v>
      </c>
      <c r="DV34" s="63">
        <v>44483.752222430558</v>
      </c>
      <c r="DW34" s="64">
        <v>2021</v>
      </c>
      <c r="DX34" s="65">
        <v>10</v>
      </c>
    </row>
    <row r="35" spans="2:128" ht="15" x14ac:dyDescent="0.25">
      <c r="B35" s="43" t="s">
        <v>5022</v>
      </c>
      <c r="C35" s="43" t="s">
        <v>4825</v>
      </c>
      <c r="D35" s="43" t="s">
        <v>4831</v>
      </c>
      <c r="E35" s="49">
        <v>43341</v>
      </c>
      <c r="F35" s="49"/>
      <c r="G35" s="50">
        <v>1</v>
      </c>
      <c r="H35" s="43" t="s">
        <v>4798</v>
      </c>
      <c r="I35" s="43" t="s">
        <v>5023</v>
      </c>
      <c r="J35" s="43">
        <v>6</v>
      </c>
      <c r="K35" s="43">
        <v>2</v>
      </c>
      <c r="L35" s="43">
        <v>3</v>
      </c>
      <c r="M35" s="43"/>
      <c r="N35" s="43"/>
      <c r="O35" s="43" t="s">
        <v>5053</v>
      </c>
      <c r="P35" s="43" t="s">
        <v>5024</v>
      </c>
      <c r="Q35" s="43" t="s">
        <v>5054</v>
      </c>
      <c r="R35" s="43" t="s">
        <v>5047</v>
      </c>
      <c r="S35" s="43" t="s">
        <v>5026</v>
      </c>
      <c r="T35" s="51" t="s">
        <v>5027</v>
      </c>
      <c r="U35" s="52" t="s">
        <v>5028</v>
      </c>
      <c r="V35" s="53" t="s">
        <v>3884</v>
      </c>
      <c r="W35" s="54" t="s">
        <v>1031</v>
      </c>
      <c r="X35" s="55" t="s">
        <v>4889</v>
      </c>
      <c r="Y35" t="s">
        <v>4896</v>
      </c>
      <c r="Z35" t="s">
        <v>4800</v>
      </c>
      <c r="AA35" t="s">
        <v>4891</v>
      </c>
      <c r="AI35" s="54"/>
      <c r="AJ35" s="56">
        <v>45740</v>
      </c>
      <c r="AK35" s="57">
        <v>45831</v>
      </c>
      <c r="AL35" s="57">
        <v>45922</v>
      </c>
      <c r="AM35" s="57">
        <v>46013</v>
      </c>
      <c r="AN35" s="57"/>
      <c r="AO35" s="57"/>
      <c r="AP35" s="57"/>
      <c r="AQ35" s="57"/>
      <c r="AR35" s="57"/>
      <c r="AS35" s="57"/>
      <c r="AT35" s="57"/>
      <c r="AU35" s="57"/>
      <c r="AV35" s="57"/>
      <c r="AW35" s="57"/>
      <c r="AX35" s="57"/>
      <c r="AY35" s="57"/>
      <c r="AZ35" s="57"/>
      <c r="BA35" s="57"/>
      <c r="BB35" s="57"/>
      <c r="BC35" s="58"/>
      <c r="BD35" s="55" t="s">
        <v>5030</v>
      </c>
      <c r="BE35" t="s">
        <v>5031</v>
      </c>
      <c r="BF35" t="s">
        <v>5032</v>
      </c>
      <c r="BG35" t="s">
        <v>5033</v>
      </c>
      <c r="BO35" s="54"/>
      <c r="BP35" s="56">
        <v>45712</v>
      </c>
      <c r="BQ35" s="57">
        <v>45803</v>
      </c>
      <c r="BR35" s="57">
        <v>45894</v>
      </c>
      <c r="BS35" s="57">
        <v>45985</v>
      </c>
      <c r="BT35" s="57"/>
      <c r="BU35" s="57"/>
      <c r="BV35" s="57"/>
      <c r="BW35" s="57"/>
      <c r="BX35" s="57"/>
      <c r="BY35" s="57"/>
      <c r="BZ35" s="57"/>
      <c r="CA35" s="57"/>
      <c r="CB35" s="56">
        <v>45730</v>
      </c>
      <c r="CC35" s="57">
        <v>45821</v>
      </c>
      <c r="CD35" s="57">
        <v>45912</v>
      </c>
      <c r="CE35" s="57">
        <v>46003</v>
      </c>
      <c r="CF35" s="57"/>
      <c r="CG35" s="57"/>
      <c r="CH35" s="57"/>
      <c r="CI35" s="57"/>
      <c r="CJ35" s="57"/>
      <c r="CK35" s="57"/>
      <c r="CL35" s="57"/>
      <c r="CM35" s="57"/>
      <c r="CN35" s="56">
        <v>45736</v>
      </c>
      <c r="CO35" s="57">
        <v>45827</v>
      </c>
      <c r="CP35" s="57">
        <v>45918</v>
      </c>
      <c r="CQ35" s="57">
        <v>46009</v>
      </c>
      <c r="CR35" s="57"/>
      <c r="CS35" s="57"/>
      <c r="CT35" s="57"/>
      <c r="CU35" s="57"/>
      <c r="CV35" s="57"/>
      <c r="CW35" s="57"/>
      <c r="CX35" s="57"/>
      <c r="CY35" s="57"/>
      <c r="CZ35" s="56" t="s">
        <v>5034</v>
      </c>
      <c r="DA35" s="57"/>
      <c r="DB35" s="57"/>
      <c r="DC35" s="57"/>
      <c r="DD35" s="57"/>
      <c r="DE35" s="57"/>
      <c r="DF35" s="57"/>
      <c r="DG35" s="57"/>
      <c r="DH35" s="57"/>
      <c r="DI35" s="57"/>
      <c r="DJ35" s="57"/>
      <c r="DK35" s="58"/>
      <c r="DL35" s="59">
        <v>4</v>
      </c>
      <c r="DM35" s="60">
        <v>4</v>
      </c>
      <c r="DN35" s="61">
        <v>4</v>
      </c>
      <c r="DO35" s="60">
        <v>4</v>
      </c>
      <c r="DP35" s="60">
        <v>0</v>
      </c>
      <c r="DQ35" s="59">
        <v>16</v>
      </c>
      <c r="DR35" s="62">
        <v>551</v>
      </c>
      <c r="DS35" s="62" t="s">
        <v>5034</v>
      </c>
      <c r="DU35" s="62" t="s">
        <v>5034</v>
      </c>
      <c r="DV35" s="63">
        <v>44610.310982754629</v>
      </c>
      <c r="DW35" s="64">
        <v>2022</v>
      </c>
      <c r="DX35" s="65">
        <v>2</v>
      </c>
    </row>
    <row r="36" spans="2:128" ht="15" x14ac:dyDescent="0.25">
      <c r="B36" s="43" t="s">
        <v>5022</v>
      </c>
      <c r="C36" s="43" t="s">
        <v>4802</v>
      </c>
      <c r="D36" s="43" t="s">
        <v>4832</v>
      </c>
      <c r="E36" s="49">
        <v>43390</v>
      </c>
      <c r="F36" s="49"/>
      <c r="G36" s="50">
        <v>1</v>
      </c>
      <c r="H36" s="43" t="s">
        <v>4798</v>
      </c>
      <c r="I36" s="43" t="s">
        <v>5023</v>
      </c>
      <c r="J36" s="43"/>
      <c r="K36" s="43">
        <v>2</v>
      </c>
      <c r="L36" s="43">
        <v>3</v>
      </c>
      <c r="M36" s="43"/>
      <c r="N36" s="43"/>
      <c r="O36" s="43" t="s">
        <v>4725</v>
      </c>
      <c r="P36" s="43" t="s">
        <v>5024</v>
      </c>
      <c r="Q36" s="43" t="s">
        <v>5058</v>
      </c>
      <c r="R36" s="43" t="s">
        <v>5025</v>
      </c>
      <c r="S36" s="43" t="s">
        <v>5026</v>
      </c>
      <c r="T36" s="51" t="s">
        <v>5027</v>
      </c>
      <c r="U36" s="52" t="s">
        <v>5028</v>
      </c>
      <c r="V36" s="53" t="s">
        <v>3884</v>
      </c>
      <c r="W36" s="54" t="s">
        <v>2625</v>
      </c>
      <c r="X36" s="55" t="s">
        <v>4889</v>
      </c>
      <c r="Y36" t="s">
        <v>4896</v>
      </c>
      <c r="Z36" t="s">
        <v>4800</v>
      </c>
      <c r="AA36" t="s">
        <v>4891</v>
      </c>
      <c r="AI36" s="54"/>
      <c r="AJ36" s="56">
        <v>45740</v>
      </c>
      <c r="AK36" s="57">
        <v>45831</v>
      </c>
      <c r="AL36" s="57">
        <v>45922</v>
      </c>
      <c r="AM36" s="57">
        <v>46013</v>
      </c>
      <c r="AN36" s="57"/>
      <c r="AO36" s="57"/>
      <c r="AP36" s="57"/>
      <c r="AQ36" s="57"/>
      <c r="AR36" s="57"/>
      <c r="AS36" s="57"/>
      <c r="AT36" s="57"/>
      <c r="AU36" s="57"/>
      <c r="AV36" s="57"/>
      <c r="AW36" s="57"/>
      <c r="AX36" s="57"/>
      <c r="AY36" s="57"/>
      <c r="AZ36" s="57"/>
      <c r="BA36" s="57"/>
      <c r="BB36" s="57"/>
      <c r="BC36" s="58"/>
      <c r="BD36" s="55" t="s">
        <v>5030</v>
      </c>
      <c r="BE36" t="s">
        <v>5031</v>
      </c>
      <c r="BF36" t="s">
        <v>5032</v>
      </c>
      <c r="BG36" t="s">
        <v>5033</v>
      </c>
      <c r="BO36" s="54"/>
      <c r="BP36" s="56">
        <v>45712</v>
      </c>
      <c r="BQ36" s="57">
        <v>45803</v>
      </c>
      <c r="BR36" s="57">
        <v>45894</v>
      </c>
      <c r="BS36" s="57">
        <v>45985</v>
      </c>
      <c r="BT36" s="57"/>
      <c r="BU36" s="57"/>
      <c r="BV36" s="57"/>
      <c r="BW36" s="57"/>
      <c r="BX36" s="57"/>
      <c r="BY36" s="57"/>
      <c r="BZ36" s="57"/>
      <c r="CA36" s="57"/>
      <c r="CB36" s="56" t="s">
        <v>5034</v>
      </c>
      <c r="CC36" s="57"/>
      <c r="CD36" s="57"/>
      <c r="CE36" s="57"/>
      <c r="CF36" s="57"/>
      <c r="CG36" s="57"/>
      <c r="CH36" s="57"/>
      <c r="CI36" s="57"/>
      <c r="CJ36" s="57"/>
      <c r="CK36" s="57"/>
      <c r="CL36" s="57"/>
      <c r="CM36" s="57"/>
      <c r="CN36" s="56">
        <v>45736</v>
      </c>
      <c r="CO36" s="57">
        <v>45827</v>
      </c>
      <c r="CP36" s="57">
        <v>45918</v>
      </c>
      <c r="CQ36" s="57">
        <v>46009</v>
      </c>
      <c r="CR36" s="57"/>
      <c r="CS36" s="57"/>
      <c r="CT36" s="57"/>
      <c r="CU36" s="57"/>
      <c r="CV36" s="57"/>
      <c r="CW36" s="57"/>
      <c r="CX36" s="57"/>
      <c r="CY36" s="57"/>
      <c r="CZ36" s="56" t="s">
        <v>5034</v>
      </c>
      <c r="DA36" s="57"/>
      <c r="DB36" s="57"/>
      <c r="DC36" s="57"/>
      <c r="DD36" s="57"/>
      <c r="DE36" s="57"/>
      <c r="DF36" s="57"/>
      <c r="DG36" s="57"/>
      <c r="DH36" s="57"/>
      <c r="DI36" s="57"/>
      <c r="DJ36" s="57"/>
      <c r="DK36" s="58"/>
      <c r="DL36" s="59">
        <v>4</v>
      </c>
      <c r="DM36" s="60">
        <v>4</v>
      </c>
      <c r="DN36" s="61">
        <v>0</v>
      </c>
      <c r="DO36" s="60">
        <v>4</v>
      </c>
      <c r="DP36" s="60">
        <v>0</v>
      </c>
      <c r="DQ36" s="59">
        <v>12</v>
      </c>
      <c r="DR36" s="62">
        <v>567</v>
      </c>
      <c r="DS36" s="62" t="s">
        <v>5034</v>
      </c>
      <c r="DU36" s="62" t="s">
        <v>5034</v>
      </c>
      <c r="DV36" s="63">
        <v>44483.752975162039</v>
      </c>
      <c r="DW36" s="64">
        <v>2021</v>
      </c>
      <c r="DX36" s="65">
        <v>10</v>
      </c>
    </row>
    <row r="37" spans="2:128" ht="15" x14ac:dyDescent="0.25">
      <c r="B37" s="43" t="s">
        <v>5022</v>
      </c>
      <c r="C37" s="43" t="s">
        <v>4833</v>
      </c>
      <c r="D37" s="43" t="s">
        <v>4834</v>
      </c>
      <c r="E37" s="49">
        <v>43411</v>
      </c>
      <c r="F37" s="49"/>
      <c r="G37" s="50">
        <v>1</v>
      </c>
      <c r="H37" s="43" t="s">
        <v>4798</v>
      </c>
      <c r="I37" s="43" t="s">
        <v>5023</v>
      </c>
      <c r="J37" s="43"/>
      <c r="K37" s="43">
        <v>2</v>
      </c>
      <c r="L37" s="43">
        <v>3</v>
      </c>
      <c r="M37" s="43"/>
      <c r="N37" s="43"/>
      <c r="O37" s="43" t="s">
        <v>5059</v>
      </c>
      <c r="P37" s="43" t="s">
        <v>5024</v>
      </c>
      <c r="Q37" s="43" t="s">
        <v>5060</v>
      </c>
      <c r="R37" s="43" t="s">
        <v>5043</v>
      </c>
      <c r="S37" s="43" t="s">
        <v>5026</v>
      </c>
      <c r="T37" s="51" t="s">
        <v>5027</v>
      </c>
      <c r="U37" s="52" t="s">
        <v>5028</v>
      </c>
      <c r="V37" s="53" t="s">
        <v>3884</v>
      </c>
      <c r="W37" s="54" t="s">
        <v>2607</v>
      </c>
      <c r="X37" s="55" t="s">
        <v>4889</v>
      </c>
      <c r="Y37" t="s">
        <v>4896</v>
      </c>
      <c r="Z37" t="s">
        <v>4800</v>
      </c>
      <c r="AA37" t="s">
        <v>4891</v>
      </c>
      <c r="AI37" s="54"/>
      <c r="AJ37" s="56">
        <v>45740</v>
      </c>
      <c r="AK37" s="57">
        <v>45831</v>
      </c>
      <c r="AL37" s="57">
        <v>45922</v>
      </c>
      <c r="AM37" s="57">
        <v>46013</v>
      </c>
      <c r="AN37" s="57"/>
      <c r="AO37" s="57"/>
      <c r="AP37" s="57"/>
      <c r="AQ37" s="57"/>
      <c r="AR37" s="57"/>
      <c r="AS37" s="57"/>
      <c r="AT37" s="57"/>
      <c r="AU37" s="57"/>
      <c r="AV37" s="57"/>
      <c r="AW37" s="57"/>
      <c r="AX37" s="57"/>
      <c r="AY37" s="57"/>
      <c r="AZ37" s="57"/>
      <c r="BA37" s="57"/>
      <c r="BB37" s="57"/>
      <c r="BC37" s="58"/>
      <c r="BD37" s="55" t="s">
        <v>5030</v>
      </c>
      <c r="BE37" t="s">
        <v>5031</v>
      </c>
      <c r="BF37" t="s">
        <v>5032</v>
      </c>
      <c r="BG37" t="s">
        <v>5033</v>
      </c>
      <c r="BO37" s="54"/>
      <c r="BP37" s="56">
        <v>45712</v>
      </c>
      <c r="BQ37" s="57">
        <v>45803</v>
      </c>
      <c r="BR37" s="57">
        <v>45894</v>
      </c>
      <c r="BS37" s="57">
        <v>45985</v>
      </c>
      <c r="BT37" s="57"/>
      <c r="BU37" s="57"/>
      <c r="BV37" s="57"/>
      <c r="BW37" s="57"/>
      <c r="BX37" s="57"/>
      <c r="BY37" s="57"/>
      <c r="BZ37" s="57"/>
      <c r="CA37" s="57"/>
      <c r="CB37" s="56" t="s">
        <v>5034</v>
      </c>
      <c r="CC37" s="57"/>
      <c r="CD37" s="57"/>
      <c r="CE37" s="57"/>
      <c r="CF37" s="57"/>
      <c r="CG37" s="57"/>
      <c r="CH37" s="57"/>
      <c r="CI37" s="57"/>
      <c r="CJ37" s="57"/>
      <c r="CK37" s="57"/>
      <c r="CL37" s="57"/>
      <c r="CM37" s="57"/>
      <c r="CN37" s="56">
        <v>45736</v>
      </c>
      <c r="CO37" s="57">
        <v>45827</v>
      </c>
      <c r="CP37" s="57">
        <v>45918</v>
      </c>
      <c r="CQ37" s="57">
        <v>46009</v>
      </c>
      <c r="CR37" s="57"/>
      <c r="CS37" s="57"/>
      <c r="CT37" s="57"/>
      <c r="CU37" s="57"/>
      <c r="CV37" s="57"/>
      <c r="CW37" s="57"/>
      <c r="CX37" s="57"/>
      <c r="CY37" s="57"/>
      <c r="CZ37" s="56" t="s">
        <v>5034</v>
      </c>
      <c r="DA37" s="57"/>
      <c r="DB37" s="57"/>
      <c r="DC37" s="57"/>
      <c r="DD37" s="57"/>
      <c r="DE37" s="57"/>
      <c r="DF37" s="57"/>
      <c r="DG37" s="57"/>
      <c r="DH37" s="57"/>
      <c r="DI37" s="57"/>
      <c r="DJ37" s="57"/>
      <c r="DK37" s="58"/>
      <c r="DL37" s="59">
        <v>4</v>
      </c>
      <c r="DM37" s="60">
        <v>4</v>
      </c>
      <c r="DN37" s="61">
        <v>0</v>
      </c>
      <c r="DO37" s="60">
        <v>4</v>
      </c>
      <c r="DP37" s="60">
        <v>0</v>
      </c>
      <c r="DQ37" s="59">
        <v>12</v>
      </c>
      <c r="DR37" s="62">
        <v>579</v>
      </c>
      <c r="DS37" s="62" t="s">
        <v>5034</v>
      </c>
      <c r="DU37" s="62" t="s">
        <v>5034</v>
      </c>
      <c r="DV37" s="63">
        <v>44483.75028</v>
      </c>
      <c r="DW37" s="64">
        <v>2021</v>
      </c>
      <c r="DX37" s="65">
        <v>10</v>
      </c>
    </row>
    <row r="38" spans="2:128" ht="15" x14ac:dyDescent="0.25">
      <c r="B38" s="43" t="s">
        <v>5022</v>
      </c>
      <c r="C38" s="43" t="s">
        <v>4833</v>
      </c>
      <c r="D38" s="43" t="s">
        <v>4835</v>
      </c>
      <c r="E38" s="49">
        <v>43411</v>
      </c>
      <c r="F38" s="49"/>
      <c r="G38" s="50">
        <v>1</v>
      </c>
      <c r="H38" s="43" t="s">
        <v>4798</v>
      </c>
      <c r="I38" s="43" t="s">
        <v>5023</v>
      </c>
      <c r="J38" s="43"/>
      <c r="K38" s="43">
        <v>2</v>
      </c>
      <c r="L38" s="43">
        <v>3</v>
      </c>
      <c r="M38" s="43"/>
      <c r="N38" s="43"/>
      <c r="O38" s="43" t="s">
        <v>5059</v>
      </c>
      <c r="P38" s="43" t="s">
        <v>5024</v>
      </c>
      <c r="Q38" s="43" t="s">
        <v>5060</v>
      </c>
      <c r="R38" s="43" t="s">
        <v>5043</v>
      </c>
      <c r="S38" s="43" t="s">
        <v>5026</v>
      </c>
      <c r="T38" s="51" t="s">
        <v>5027</v>
      </c>
      <c r="U38" s="52" t="s">
        <v>5028</v>
      </c>
      <c r="V38" s="53" t="s">
        <v>3884</v>
      </c>
      <c r="W38" s="54" t="s">
        <v>2616</v>
      </c>
      <c r="X38" s="55" t="s">
        <v>4889</v>
      </c>
      <c r="Y38" t="s">
        <v>4896</v>
      </c>
      <c r="Z38" t="s">
        <v>4800</v>
      </c>
      <c r="AA38" t="s">
        <v>4891</v>
      </c>
      <c r="AI38" s="54"/>
      <c r="AJ38" s="56">
        <v>45740</v>
      </c>
      <c r="AK38" s="57">
        <v>45831</v>
      </c>
      <c r="AL38" s="57">
        <v>45922</v>
      </c>
      <c r="AM38" s="57">
        <v>46013</v>
      </c>
      <c r="AN38" s="57"/>
      <c r="AO38" s="57"/>
      <c r="AP38" s="57"/>
      <c r="AQ38" s="57"/>
      <c r="AR38" s="57"/>
      <c r="AS38" s="57"/>
      <c r="AT38" s="57"/>
      <c r="AU38" s="57"/>
      <c r="AV38" s="57"/>
      <c r="AW38" s="57"/>
      <c r="AX38" s="57"/>
      <c r="AY38" s="57"/>
      <c r="AZ38" s="57"/>
      <c r="BA38" s="57"/>
      <c r="BB38" s="57"/>
      <c r="BC38" s="58"/>
      <c r="BD38" s="55" t="s">
        <v>5030</v>
      </c>
      <c r="BE38" t="s">
        <v>5031</v>
      </c>
      <c r="BF38" t="s">
        <v>5032</v>
      </c>
      <c r="BG38" t="s">
        <v>5033</v>
      </c>
      <c r="BO38" s="54"/>
      <c r="BP38" s="56">
        <v>45712</v>
      </c>
      <c r="BQ38" s="57">
        <v>45803</v>
      </c>
      <c r="BR38" s="57">
        <v>45894</v>
      </c>
      <c r="BS38" s="57">
        <v>45985</v>
      </c>
      <c r="BT38" s="57"/>
      <c r="BU38" s="57"/>
      <c r="BV38" s="57"/>
      <c r="BW38" s="57"/>
      <c r="BX38" s="57"/>
      <c r="BY38" s="57"/>
      <c r="BZ38" s="57"/>
      <c r="CA38" s="57"/>
      <c r="CB38" s="56" t="s">
        <v>5034</v>
      </c>
      <c r="CC38" s="57"/>
      <c r="CD38" s="57"/>
      <c r="CE38" s="57"/>
      <c r="CF38" s="57"/>
      <c r="CG38" s="57"/>
      <c r="CH38" s="57"/>
      <c r="CI38" s="57"/>
      <c r="CJ38" s="57"/>
      <c r="CK38" s="57"/>
      <c r="CL38" s="57"/>
      <c r="CM38" s="57"/>
      <c r="CN38" s="56">
        <v>45736</v>
      </c>
      <c r="CO38" s="57">
        <v>45827</v>
      </c>
      <c r="CP38" s="57">
        <v>45918</v>
      </c>
      <c r="CQ38" s="57">
        <v>46009</v>
      </c>
      <c r="CR38" s="57"/>
      <c r="CS38" s="57"/>
      <c r="CT38" s="57"/>
      <c r="CU38" s="57"/>
      <c r="CV38" s="57"/>
      <c r="CW38" s="57"/>
      <c r="CX38" s="57"/>
      <c r="CY38" s="57"/>
      <c r="CZ38" s="56" t="s">
        <v>5034</v>
      </c>
      <c r="DA38" s="57"/>
      <c r="DB38" s="57"/>
      <c r="DC38" s="57"/>
      <c r="DD38" s="57"/>
      <c r="DE38" s="57"/>
      <c r="DF38" s="57"/>
      <c r="DG38" s="57"/>
      <c r="DH38" s="57"/>
      <c r="DI38" s="57"/>
      <c r="DJ38" s="57"/>
      <c r="DK38" s="58"/>
      <c r="DL38" s="59">
        <v>4</v>
      </c>
      <c r="DM38" s="60">
        <v>4</v>
      </c>
      <c r="DN38" s="61">
        <v>0</v>
      </c>
      <c r="DO38" s="60">
        <v>4</v>
      </c>
      <c r="DP38" s="60">
        <v>0</v>
      </c>
      <c r="DQ38" s="59">
        <v>12</v>
      </c>
      <c r="DR38" s="62">
        <v>591</v>
      </c>
      <c r="DS38" s="62" t="s">
        <v>5034</v>
      </c>
      <c r="DU38" s="62" t="s">
        <v>5034</v>
      </c>
      <c r="DV38" s="63">
        <v>44483.750474375003</v>
      </c>
      <c r="DW38" s="64">
        <v>2021</v>
      </c>
      <c r="DX38" s="65">
        <v>10</v>
      </c>
    </row>
    <row r="39" spans="2:128" ht="15" x14ac:dyDescent="0.25">
      <c r="B39" s="43" t="s">
        <v>5022</v>
      </c>
      <c r="C39" s="43" t="s">
        <v>4802</v>
      </c>
      <c r="D39" s="43" t="s">
        <v>4836</v>
      </c>
      <c r="E39" s="49">
        <v>43418</v>
      </c>
      <c r="F39" s="49"/>
      <c r="G39" s="50">
        <v>1</v>
      </c>
      <c r="H39" s="43" t="s">
        <v>4798</v>
      </c>
      <c r="I39" s="43" t="s">
        <v>5023</v>
      </c>
      <c r="J39" s="43"/>
      <c r="K39" s="43">
        <v>2</v>
      </c>
      <c r="L39" s="43">
        <v>3</v>
      </c>
      <c r="M39" s="43"/>
      <c r="N39" s="43"/>
      <c r="O39" s="43"/>
      <c r="P39" s="43" t="s">
        <v>1012</v>
      </c>
      <c r="Q39" s="43" t="s">
        <v>5061</v>
      </c>
      <c r="R39" s="43" t="s">
        <v>5038</v>
      </c>
      <c r="S39" s="43" t="s">
        <v>5026</v>
      </c>
      <c r="T39" s="51" t="s">
        <v>5027</v>
      </c>
      <c r="U39" s="52" t="s">
        <v>5028</v>
      </c>
      <c r="V39" s="53" t="s">
        <v>3884</v>
      </c>
      <c r="W39" s="54" t="s">
        <v>1012</v>
      </c>
      <c r="X39" s="55" t="s">
        <v>4889</v>
      </c>
      <c r="Y39" t="s">
        <v>4896</v>
      </c>
      <c r="Z39" t="s">
        <v>4800</v>
      </c>
      <c r="AA39" t="s">
        <v>4891</v>
      </c>
      <c r="AI39" s="54"/>
      <c r="AJ39" s="56">
        <v>45740</v>
      </c>
      <c r="AK39" s="57">
        <v>45831</v>
      </c>
      <c r="AL39" s="57">
        <v>45922</v>
      </c>
      <c r="AM39" s="57">
        <v>46013</v>
      </c>
      <c r="AN39" s="57"/>
      <c r="AO39" s="57"/>
      <c r="AP39" s="57"/>
      <c r="AQ39" s="57"/>
      <c r="AR39" s="57"/>
      <c r="AS39" s="57"/>
      <c r="AT39" s="57"/>
      <c r="AU39" s="57"/>
      <c r="AV39" s="57"/>
      <c r="AW39" s="57"/>
      <c r="AX39" s="57"/>
      <c r="AY39" s="57"/>
      <c r="AZ39" s="57"/>
      <c r="BA39" s="57"/>
      <c r="BB39" s="57"/>
      <c r="BC39" s="58"/>
      <c r="BD39" s="55" t="s">
        <v>5030</v>
      </c>
      <c r="BE39" t="s">
        <v>5031</v>
      </c>
      <c r="BF39" t="s">
        <v>5032</v>
      </c>
      <c r="BG39" t="s">
        <v>5033</v>
      </c>
      <c r="BO39" s="54"/>
      <c r="BP39" s="56">
        <v>45712</v>
      </c>
      <c r="BQ39" s="57">
        <v>45803</v>
      </c>
      <c r="BR39" s="57">
        <v>45894</v>
      </c>
      <c r="BS39" s="57">
        <v>45985</v>
      </c>
      <c r="BT39" s="57"/>
      <c r="BU39" s="57"/>
      <c r="BV39" s="57"/>
      <c r="BW39" s="57"/>
      <c r="BX39" s="57"/>
      <c r="BY39" s="57"/>
      <c r="BZ39" s="57"/>
      <c r="CA39" s="57"/>
      <c r="CB39" s="56" t="s">
        <v>5034</v>
      </c>
      <c r="CC39" s="57"/>
      <c r="CD39" s="57"/>
      <c r="CE39" s="57"/>
      <c r="CF39" s="57"/>
      <c r="CG39" s="57"/>
      <c r="CH39" s="57"/>
      <c r="CI39" s="57"/>
      <c r="CJ39" s="57"/>
      <c r="CK39" s="57"/>
      <c r="CL39" s="57"/>
      <c r="CM39" s="57"/>
      <c r="CN39" s="56">
        <v>45736</v>
      </c>
      <c r="CO39" s="57">
        <v>45827</v>
      </c>
      <c r="CP39" s="57">
        <v>45918</v>
      </c>
      <c r="CQ39" s="57">
        <v>46009</v>
      </c>
      <c r="CR39" s="57"/>
      <c r="CS39" s="57"/>
      <c r="CT39" s="57"/>
      <c r="CU39" s="57"/>
      <c r="CV39" s="57"/>
      <c r="CW39" s="57"/>
      <c r="CX39" s="57"/>
      <c r="CY39" s="57"/>
      <c r="CZ39" s="56" t="s">
        <v>5034</v>
      </c>
      <c r="DA39" s="57"/>
      <c r="DB39" s="57"/>
      <c r="DC39" s="57"/>
      <c r="DD39" s="57"/>
      <c r="DE39" s="57"/>
      <c r="DF39" s="57"/>
      <c r="DG39" s="57"/>
      <c r="DH39" s="57"/>
      <c r="DI39" s="57"/>
      <c r="DJ39" s="57"/>
      <c r="DK39" s="58"/>
      <c r="DL39" s="59">
        <v>4</v>
      </c>
      <c r="DM39" s="60">
        <v>4</v>
      </c>
      <c r="DN39" s="61">
        <v>0</v>
      </c>
      <c r="DO39" s="60">
        <v>4</v>
      </c>
      <c r="DP39" s="60">
        <v>0</v>
      </c>
      <c r="DQ39" s="59">
        <v>12</v>
      </c>
      <c r="DR39" s="62">
        <v>603</v>
      </c>
      <c r="DS39" s="62" t="s">
        <v>5034</v>
      </c>
      <c r="DU39" s="62" t="s">
        <v>5034</v>
      </c>
      <c r="DV39" s="63">
        <v>44483.753160787041</v>
      </c>
      <c r="DW39" s="64">
        <v>2021</v>
      </c>
      <c r="DX39" s="65">
        <v>10</v>
      </c>
    </row>
    <row r="40" spans="2:128" ht="15" x14ac:dyDescent="0.25">
      <c r="B40" s="43" t="s">
        <v>5022</v>
      </c>
      <c r="C40" s="43" t="s">
        <v>4833</v>
      </c>
      <c r="D40" s="43" t="s">
        <v>4837</v>
      </c>
      <c r="E40" s="49">
        <v>43439</v>
      </c>
      <c r="F40" s="49"/>
      <c r="G40" s="50">
        <v>1</v>
      </c>
      <c r="H40" s="43" t="s">
        <v>4798</v>
      </c>
      <c r="I40" s="43" t="s">
        <v>5023</v>
      </c>
      <c r="J40" s="43"/>
      <c r="K40" s="43">
        <v>2</v>
      </c>
      <c r="L40" s="43">
        <v>3</v>
      </c>
      <c r="M40" s="43"/>
      <c r="N40" s="43"/>
      <c r="O40" s="43" t="s">
        <v>5059</v>
      </c>
      <c r="P40" s="43" t="s">
        <v>5024</v>
      </c>
      <c r="Q40" s="43" t="s">
        <v>5042</v>
      </c>
      <c r="R40" s="43" t="s">
        <v>5043</v>
      </c>
      <c r="S40" s="43" t="s">
        <v>5026</v>
      </c>
      <c r="T40" s="51" t="s">
        <v>5027</v>
      </c>
      <c r="U40" s="52" t="s">
        <v>5028</v>
      </c>
      <c r="V40" s="53" t="s">
        <v>3884</v>
      </c>
      <c r="W40" s="54" t="s">
        <v>1007</v>
      </c>
      <c r="X40" s="55" t="s">
        <v>4889</v>
      </c>
      <c r="Y40" t="s">
        <v>4896</v>
      </c>
      <c r="Z40" t="s">
        <v>4800</v>
      </c>
      <c r="AA40" t="s">
        <v>4891</v>
      </c>
      <c r="AI40" s="54"/>
      <c r="AJ40" s="56">
        <v>45740</v>
      </c>
      <c r="AK40" s="57">
        <v>45831</v>
      </c>
      <c r="AL40" s="57">
        <v>45922</v>
      </c>
      <c r="AM40" s="57">
        <v>46013</v>
      </c>
      <c r="AN40" s="57"/>
      <c r="AO40" s="57"/>
      <c r="AP40" s="57"/>
      <c r="AQ40" s="57"/>
      <c r="AR40" s="57"/>
      <c r="AS40" s="57"/>
      <c r="AT40" s="57"/>
      <c r="AU40" s="57"/>
      <c r="AV40" s="57"/>
      <c r="AW40" s="57"/>
      <c r="AX40" s="57"/>
      <c r="AY40" s="57"/>
      <c r="AZ40" s="57"/>
      <c r="BA40" s="57"/>
      <c r="BB40" s="57"/>
      <c r="BC40" s="58"/>
      <c r="BD40" s="55" t="s">
        <v>5030</v>
      </c>
      <c r="BE40" t="s">
        <v>5031</v>
      </c>
      <c r="BF40" t="s">
        <v>5032</v>
      </c>
      <c r="BG40" t="s">
        <v>5033</v>
      </c>
      <c r="BO40" s="54"/>
      <c r="BP40" s="56">
        <v>45712</v>
      </c>
      <c r="BQ40" s="57">
        <v>45803</v>
      </c>
      <c r="BR40" s="57">
        <v>45894</v>
      </c>
      <c r="BS40" s="57">
        <v>45985</v>
      </c>
      <c r="BT40" s="57"/>
      <c r="BU40" s="57"/>
      <c r="BV40" s="57"/>
      <c r="BW40" s="57"/>
      <c r="BX40" s="57"/>
      <c r="BY40" s="57"/>
      <c r="BZ40" s="57"/>
      <c r="CA40" s="57"/>
      <c r="CB40" s="56" t="s">
        <v>5034</v>
      </c>
      <c r="CC40" s="57"/>
      <c r="CD40" s="57"/>
      <c r="CE40" s="57"/>
      <c r="CF40" s="57"/>
      <c r="CG40" s="57"/>
      <c r="CH40" s="57"/>
      <c r="CI40" s="57"/>
      <c r="CJ40" s="57"/>
      <c r="CK40" s="57"/>
      <c r="CL40" s="57"/>
      <c r="CM40" s="57"/>
      <c r="CN40" s="56">
        <v>45736</v>
      </c>
      <c r="CO40" s="57">
        <v>45827</v>
      </c>
      <c r="CP40" s="57">
        <v>45918</v>
      </c>
      <c r="CQ40" s="57">
        <v>46009</v>
      </c>
      <c r="CR40" s="57"/>
      <c r="CS40" s="57"/>
      <c r="CT40" s="57"/>
      <c r="CU40" s="57"/>
      <c r="CV40" s="57"/>
      <c r="CW40" s="57"/>
      <c r="CX40" s="57"/>
      <c r="CY40" s="57"/>
      <c r="CZ40" s="56" t="s">
        <v>5034</v>
      </c>
      <c r="DA40" s="57"/>
      <c r="DB40" s="57"/>
      <c r="DC40" s="57"/>
      <c r="DD40" s="57"/>
      <c r="DE40" s="57"/>
      <c r="DF40" s="57"/>
      <c r="DG40" s="57"/>
      <c r="DH40" s="57"/>
      <c r="DI40" s="57"/>
      <c r="DJ40" s="57"/>
      <c r="DK40" s="58"/>
      <c r="DL40" s="59">
        <v>4</v>
      </c>
      <c r="DM40" s="60">
        <v>4</v>
      </c>
      <c r="DN40" s="61">
        <v>0</v>
      </c>
      <c r="DO40" s="60">
        <v>4</v>
      </c>
      <c r="DP40" s="60">
        <v>0</v>
      </c>
      <c r="DQ40" s="59">
        <v>12</v>
      </c>
      <c r="DR40" s="62">
        <v>615</v>
      </c>
      <c r="DS40" s="62" t="s">
        <v>5034</v>
      </c>
      <c r="DU40" s="62" t="s">
        <v>5034</v>
      </c>
      <c r="DV40" s="63">
        <v>44610.309977094905</v>
      </c>
      <c r="DW40" s="64">
        <v>2022</v>
      </c>
      <c r="DX40" s="65">
        <v>2</v>
      </c>
    </row>
    <row r="41" spans="2:128" ht="15" x14ac:dyDescent="0.25">
      <c r="B41" s="43" t="s">
        <v>5022</v>
      </c>
      <c r="C41" s="43" t="s">
        <v>4825</v>
      </c>
      <c r="D41" s="43" t="s">
        <v>4838</v>
      </c>
      <c r="E41" s="49">
        <v>43518</v>
      </c>
      <c r="F41" s="49"/>
      <c r="G41" s="50">
        <v>1</v>
      </c>
      <c r="H41" s="43" t="s">
        <v>4798</v>
      </c>
      <c r="I41" s="43" t="s">
        <v>5023</v>
      </c>
      <c r="J41" s="43">
        <v>6</v>
      </c>
      <c r="K41" s="43">
        <v>2</v>
      </c>
      <c r="L41" s="43">
        <v>3</v>
      </c>
      <c r="M41" s="43"/>
      <c r="N41" s="43"/>
      <c r="O41" s="43" t="s">
        <v>5053</v>
      </c>
      <c r="P41" s="43" t="s">
        <v>5024</v>
      </c>
      <c r="Q41" s="43" t="s">
        <v>5062</v>
      </c>
      <c r="R41" s="43" t="s">
        <v>5047</v>
      </c>
      <c r="S41" s="43" t="s">
        <v>5026</v>
      </c>
      <c r="T41" s="51" t="s">
        <v>5027</v>
      </c>
      <c r="U41" s="52" t="s">
        <v>5028</v>
      </c>
      <c r="V41" s="53" t="s">
        <v>3884</v>
      </c>
      <c r="W41" s="54" t="s">
        <v>984</v>
      </c>
      <c r="X41" s="55" t="s">
        <v>4889</v>
      </c>
      <c r="Y41" t="s">
        <v>4896</v>
      </c>
      <c r="Z41" t="s">
        <v>4800</v>
      </c>
      <c r="AA41" t="s">
        <v>4891</v>
      </c>
      <c r="AI41" s="54"/>
      <c r="AJ41" s="56">
        <v>45740</v>
      </c>
      <c r="AK41" s="57">
        <v>45831</v>
      </c>
      <c r="AL41" s="57">
        <v>45922</v>
      </c>
      <c r="AM41" s="57">
        <v>46013</v>
      </c>
      <c r="AN41" s="57"/>
      <c r="AO41" s="57"/>
      <c r="AP41" s="57"/>
      <c r="AQ41" s="57"/>
      <c r="AR41" s="57"/>
      <c r="AS41" s="57"/>
      <c r="AT41" s="57"/>
      <c r="AU41" s="57"/>
      <c r="AV41" s="57"/>
      <c r="AW41" s="57"/>
      <c r="AX41" s="57"/>
      <c r="AY41" s="57"/>
      <c r="AZ41" s="57"/>
      <c r="BA41" s="57"/>
      <c r="BB41" s="57"/>
      <c r="BC41" s="58"/>
      <c r="BD41" s="55" t="s">
        <v>5030</v>
      </c>
      <c r="BE41" t="s">
        <v>5031</v>
      </c>
      <c r="BF41" t="s">
        <v>5032</v>
      </c>
      <c r="BG41" t="s">
        <v>5033</v>
      </c>
      <c r="BO41" s="54"/>
      <c r="BP41" s="56">
        <v>45712</v>
      </c>
      <c r="BQ41" s="57">
        <v>45803</v>
      </c>
      <c r="BR41" s="57">
        <v>45894</v>
      </c>
      <c r="BS41" s="57">
        <v>45985</v>
      </c>
      <c r="BT41" s="57"/>
      <c r="BU41" s="57"/>
      <c r="BV41" s="57"/>
      <c r="BW41" s="57"/>
      <c r="BX41" s="57"/>
      <c r="BY41" s="57"/>
      <c r="BZ41" s="57"/>
      <c r="CA41" s="57"/>
      <c r="CB41" s="56">
        <v>45730</v>
      </c>
      <c r="CC41" s="57">
        <v>45821</v>
      </c>
      <c r="CD41" s="57">
        <v>45912</v>
      </c>
      <c r="CE41" s="57">
        <v>46003</v>
      </c>
      <c r="CF41" s="57"/>
      <c r="CG41" s="57"/>
      <c r="CH41" s="57"/>
      <c r="CI41" s="57"/>
      <c r="CJ41" s="57"/>
      <c r="CK41" s="57"/>
      <c r="CL41" s="57"/>
      <c r="CM41" s="57"/>
      <c r="CN41" s="56">
        <v>45736</v>
      </c>
      <c r="CO41" s="57">
        <v>45827</v>
      </c>
      <c r="CP41" s="57">
        <v>45918</v>
      </c>
      <c r="CQ41" s="57">
        <v>46009</v>
      </c>
      <c r="CR41" s="57"/>
      <c r="CS41" s="57"/>
      <c r="CT41" s="57"/>
      <c r="CU41" s="57"/>
      <c r="CV41" s="57"/>
      <c r="CW41" s="57"/>
      <c r="CX41" s="57"/>
      <c r="CY41" s="57"/>
      <c r="CZ41" s="56" t="s">
        <v>5034</v>
      </c>
      <c r="DA41" s="57"/>
      <c r="DB41" s="57"/>
      <c r="DC41" s="57"/>
      <c r="DD41" s="57"/>
      <c r="DE41" s="57"/>
      <c r="DF41" s="57"/>
      <c r="DG41" s="57"/>
      <c r="DH41" s="57"/>
      <c r="DI41" s="57"/>
      <c r="DJ41" s="57"/>
      <c r="DK41" s="58"/>
      <c r="DL41" s="59">
        <v>4</v>
      </c>
      <c r="DM41" s="60">
        <v>4</v>
      </c>
      <c r="DN41" s="61">
        <v>4</v>
      </c>
      <c r="DO41" s="60">
        <v>4</v>
      </c>
      <c r="DP41" s="60">
        <v>0</v>
      </c>
      <c r="DQ41" s="59">
        <v>16</v>
      </c>
      <c r="DR41" s="62">
        <v>691</v>
      </c>
      <c r="DS41" s="62" t="s">
        <v>5034</v>
      </c>
      <c r="DU41" s="62" t="s">
        <v>5034</v>
      </c>
      <c r="DV41" s="63">
        <v>44610.310872870374</v>
      </c>
      <c r="DW41" s="64">
        <v>2022</v>
      </c>
      <c r="DX41" s="65">
        <v>2</v>
      </c>
    </row>
    <row r="42" spans="2:128" ht="15" x14ac:dyDescent="0.25">
      <c r="B42" s="43" t="s">
        <v>5022</v>
      </c>
      <c r="C42" s="43" t="s">
        <v>4825</v>
      </c>
      <c r="D42" s="43" t="s">
        <v>4839</v>
      </c>
      <c r="E42" s="49">
        <v>43518</v>
      </c>
      <c r="F42" s="49"/>
      <c r="G42" s="50">
        <v>1</v>
      </c>
      <c r="H42" s="43" t="s">
        <v>4798</v>
      </c>
      <c r="I42" s="43" t="s">
        <v>5023</v>
      </c>
      <c r="J42" s="43">
        <v>6</v>
      </c>
      <c r="K42" s="43">
        <v>2</v>
      </c>
      <c r="L42" s="43">
        <v>3</v>
      </c>
      <c r="M42" s="43"/>
      <c r="N42" s="43"/>
      <c r="O42" s="43" t="s">
        <v>5053</v>
      </c>
      <c r="P42" s="43" t="s">
        <v>5063</v>
      </c>
      <c r="Q42" s="43" t="s">
        <v>5064</v>
      </c>
      <c r="R42" s="43" t="s">
        <v>5047</v>
      </c>
      <c r="S42" s="43" t="s">
        <v>5026</v>
      </c>
      <c r="T42" s="51" t="s">
        <v>5027</v>
      </c>
      <c r="U42" s="52" t="s">
        <v>5028</v>
      </c>
      <c r="V42" s="53" t="s">
        <v>3884</v>
      </c>
      <c r="W42" s="54" t="s">
        <v>979</v>
      </c>
      <c r="X42" s="55" t="s">
        <v>4889</v>
      </c>
      <c r="Y42" t="s">
        <v>4896</v>
      </c>
      <c r="Z42" t="s">
        <v>4800</v>
      </c>
      <c r="AA42" t="s">
        <v>4891</v>
      </c>
      <c r="AI42" s="54"/>
      <c r="AJ42" s="56">
        <v>45740</v>
      </c>
      <c r="AK42" s="57">
        <v>45831</v>
      </c>
      <c r="AL42" s="57">
        <v>45922</v>
      </c>
      <c r="AM42" s="57">
        <v>46013</v>
      </c>
      <c r="AN42" s="57"/>
      <c r="AO42" s="57"/>
      <c r="AP42" s="57"/>
      <c r="AQ42" s="57"/>
      <c r="AR42" s="57"/>
      <c r="AS42" s="57"/>
      <c r="AT42" s="57"/>
      <c r="AU42" s="57"/>
      <c r="AV42" s="57"/>
      <c r="AW42" s="57"/>
      <c r="AX42" s="57"/>
      <c r="AY42" s="57"/>
      <c r="AZ42" s="57"/>
      <c r="BA42" s="57"/>
      <c r="BB42" s="57"/>
      <c r="BC42" s="58"/>
      <c r="BD42" s="55" t="s">
        <v>5030</v>
      </c>
      <c r="BE42" t="s">
        <v>5031</v>
      </c>
      <c r="BF42" t="s">
        <v>5032</v>
      </c>
      <c r="BG42" t="s">
        <v>5033</v>
      </c>
      <c r="BO42" s="54"/>
      <c r="BP42" s="56">
        <v>45712</v>
      </c>
      <c r="BQ42" s="57">
        <v>45803</v>
      </c>
      <c r="BR42" s="57">
        <v>45894</v>
      </c>
      <c r="BS42" s="57">
        <v>45985</v>
      </c>
      <c r="BT42" s="57"/>
      <c r="BU42" s="57"/>
      <c r="BV42" s="57"/>
      <c r="BW42" s="57"/>
      <c r="BX42" s="57"/>
      <c r="BY42" s="57"/>
      <c r="BZ42" s="57"/>
      <c r="CA42" s="57"/>
      <c r="CB42" s="56">
        <v>45730</v>
      </c>
      <c r="CC42" s="57">
        <v>45821</v>
      </c>
      <c r="CD42" s="57">
        <v>45912</v>
      </c>
      <c r="CE42" s="57">
        <v>46003</v>
      </c>
      <c r="CF42" s="57"/>
      <c r="CG42" s="57"/>
      <c r="CH42" s="57"/>
      <c r="CI42" s="57"/>
      <c r="CJ42" s="57"/>
      <c r="CK42" s="57"/>
      <c r="CL42" s="57"/>
      <c r="CM42" s="57"/>
      <c r="CN42" s="56">
        <v>45736</v>
      </c>
      <c r="CO42" s="57">
        <v>45827</v>
      </c>
      <c r="CP42" s="57">
        <v>45918</v>
      </c>
      <c r="CQ42" s="57">
        <v>46009</v>
      </c>
      <c r="CR42" s="57"/>
      <c r="CS42" s="57"/>
      <c r="CT42" s="57"/>
      <c r="CU42" s="57"/>
      <c r="CV42" s="57"/>
      <c r="CW42" s="57"/>
      <c r="CX42" s="57"/>
      <c r="CY42" s="57"/>
      <c r="CZ42" s="56" t="s">
        <v>5034</v>
      </c>
      <c r="DA42" s="57"/>
      <c r="DB42" s="57"/>
      <c r="DC42" s="57"/>
      <c r="DD42" s="57"/>
      <c r="DE42" s="57"/>
      <c r="DF42" s="57"/>
      <c r="DG42" s="57"/>
      <c r="DH42" s="57"/>
      <c r="DI42" s="57"/>
      <c r="DJ42" s="57"/>
      <c r="DK42" s="58"/>
      <c r="DL42" s="59">
        <v>4</v>
      </c>
      <c r="DM42" s="60">
        <v>4</v>
      </c>
      <c r="DN42" s="61">
        <v>4</v>
      </c>
      <c r="DO42" s="60">
        <v>4</v>
      </c>
      <c r="DP42" s="60">
        <v>0</v>
      </c>
      <c r="DQ42" s="59">
        <v>16</v>
      </c>
      <c r="DR42" s="62">
        <v>707</v>
      </c>
      <c r="DS42" s="62" t="s">
        <v>5034</v>
      </c>
      <c r="DU42" s="62" t="s">
        <v>5034</v>
      </c>
      <c r="DV42" s="63">
        <v>44761.328697951387</v>
      </c>
      <c r="DW42" s="64">
        <v>2022</v>
      </c>
      <c r="DX42" s="65">
        <v>7</v>
      </c>
    </row>
    <row r="43" spans="2:128" ht="15" x14ac:dyDescent="0.25">
      <c r="B43" s="43" t="s">
        <v>5022</v>
      </c>
      <c r="C43" s="43" t="s">
        <v>4802</v>
      </c>
      <c r="D43" s="43" t="s">
        <v>4840</v>
      </c>
      <c r="E43" s="49">
        <v>43523</v>
      </c>
      <c r="F43" s="49">
        <v>45664</v>
      </c>
      <c r="G43" s="50">
        <v>1</v>
      </c>
      <c r="H43" s="43" t="s">
        <v>4798</v>
      </c>
      <c r="I43" s="43" t="s">
        <v>5023</v>
      </c>
      <c r="J43" s="43"/>
      <c r="K43" s="43">
        <v>2</v>
      </c>
      <c r="L43" s="43">
        <v>3</v>
      </c>
      <c r="M43" s="43"/>
      <c r="N43" s="43"/>
      <c r="O43" s="43" t="s">
        <v>4725</v>
      </c>
      <c r="P43" s="43" t="s">
        <v>5024</v>
      </c>
      <c r="Q43" s="43" t="s">
        <v>5065</v>
      </c>
      <c r="R43" s="43" t="s">
        <v>5038</v>
      </c>
      <c r="S43" s="43" t="s">
        <v>5026</v>
      </c>
      <c r="T43" s="51" t="s">
        <v>5027</v>
      </c>
      <c r="U43" s="52" t="s">
        <v>5028</v>
      </c>
      <c r="V43" s="53" t="s">
        <v>3896</v>
      </c>
      <c r="W43" s="54" t="s">
        <v>5034</v>
      </c>
      <c r="X43" s="55" t="s">
        <v>5034</v>
      </c>
      <c r="AI43" s="54"/>
      <c r="AJ43" s="56" t="s">
        <v>5034</v>
      </c>
      <c r="AK43" s="57"/>
      <c r="AL43" s="57"/>
      <c r="AM43" s="57"/>
      <c r="AN43" s="57"/>
      <c r="AO43" s="57"/>
      <c r="AP43" s="57"/>
      <c r="AQ43" s="57"/>
      <c r="AR43" s="57"/>
      <c r="AS43" s="57"/>
      <c r="AT43" s="57"/>
      <c r="AU43" s="57"/>
      <c r="AV43" s="57"/>
      <c r="AW43" s="57"/>
      <c r="AX43" s="57"/>
      <c r="AY43" s="57"/>
      <c r="AZ43" s="57"/>
      <c r="BA43" s="57"/>
      <c r="BB43" s="57"/>
      <c r="BC43" s="58"/>
      <c r="BD43" s="55" t="s">
        <v>5034</v>
      </c>
      <c r="BO43" s="54"/>
      <c r="BP43" s="56" t="s">
        <v>5034</v>
      </c>
      <c r="BQ43" s="57"/>
      <c r="BR43" s="57"/>
      <c r="BS43" s="57"/>
      <c r="BT43" s="57"/>
      <c r="BU43" s="57"/>
      <c r="BV43" s="57"/>
      <c r="BW43" s="57"/>
      <c r="BX43" s="57"/>
      <c r="BY43" s="57"/>
      <c r="BZ43" s="57"/>
      <c r="CA43" s="57"/>
      <c r="CB43" s="56" t="s">
        <v>5034</v>
      </c>
      <c r="CC43" s="57"/>
      <c r="CD43" s="57"/>
      <c r="CE43" s="57"/>
      <c r="CF43" s="57"/>
      <c r="CG43" s="57"/>
      <c r="CH43" s="57"/>
      <c r="CI43" s="57"/>
      <c r="CJ43" s="57"/>
      <c r="CK43" s="57"/>
      <c r="CL43" s="57"/>
      <c r="CM43" s="57"/>
      <c r="CN43" s="56" t="s">
        <v>5034</v>
      </c>
      <c r="CO43" s="57"/>
      <c r="CP43" s="57"/>
      <c r="CQ43" s="57"/>
      <c r="CR43" s="57"/>
      <c r="CS43" s="57"/>
      <c r="CT43" s="57"/>
      <c r="CU43" s="57"/>
      <c r="CV43" s="57"/>
      <c r="CW43" s="57"/>
      <c r="CX43" s="57"/>
      <c r="CY43" s="57"/>
      <c r="CZ43" s="56" t="s">
        <v>5034</v>
      </c>
      <c r="DA43" s="57"/>
      <c r="DB43" s="57"/>
      <c r="DC43" s="57"/>
      <c r="DD43" s="57"/>
      <c r="DE43" s="57"/>
      <c r="DF43" s="57"/>
      <c r="DG43" s="57"/>
      <c r="DH43" s="57"/>
      <c r="DI43" s="57"/>
      <c r="DJ43" s="57"/>
      <c r="DK43" s="58"/>
      <c r="DL43" s="59">
        <v>0</v>
      </c>
      <c r="DM43" s="60">
        <v>0</v>
      </c>
      <c r="DN43" s="61">
        <v>0</v>
      </c>
      <c r="DO43" s="60">
        <v>0</v>
      </c>
      <c r="DP43" s="60">
        <v>0</v>
      </c>
      <c r="DQ43" s="59">
        <v>0</v>
      </c>
      <c r="DR43" s="62" t="s">
        <v>5034</v>
      </c>
      <c r="DS43" s="62" t="s">
        <v>5034</v>
      </c>
      <c r="DU43" s="62" t="s">
        <v>5034</v>
      </c>
      <c r="DV43" s="63">
        <v>44483.751040092589</v>
      </c>
      <c r="DW43" s="64">
        <v>2021</v>
      </c>
      <c r="DX43" s="65">
        <v>10</v>
      </c>
    </row>
    <row r="44" spans="2:128" ht="15" x14ac:dyDescent="0.25">
      <c r="B44" s="43" t="s">
        <v>5022</v>
      </c>
      <c r="C44" s="43" t="s">
        <v>4825</v>
      </c>
      <c r="D44" s="43" t="s">
        <v>3969</v>
      </c>
      <c r="E44" s="49">
        <v>43733</v>
      </c>
      <c r="F44" s="49"/>
      <c r="G44" s="50">
        <v>1</v>
      </c>
      <c r="H44" s="43" t="s">
        <v>4798</v>
      </c>
      <c r="I44" s="43" t="s">
        <v>5023</v>
      </c>
      <c r="J44" s="43">
        <v>6</v>
      </c>
      <c r="K44" s="43">
        <v>2</v>
      </c>
      <c r="L44" s="43">
        <v>3</v>
      </c>
      <c r="M44" s="43"/>
      <c r="N44" s="43"/>
      <c r="O44" s="43" t="s">
        <v>5066</v>
      </c>
      <c r="P44" s="43" t="s">
        <v>5063</v>
      </c>
      <c r="Q44" s="43" t="s">
        <v>5064</v>
      </c>
      <c r="R44" s="43" t="s">
        <v>5047</v>
      </c>
      <c r="S44" s="43" t="s">
        <v>5026</v>
      </c>
      <c r="T44" s="51" t="s">
        <v>5027</v>
      </c>
      <c r="U44" s="52" t="s">
        <v>5028</v>
      </c>
      <c r="V44" s="53" t="s">
        <v>3884</v>
      </c>
      <c r="W44" s="54" t="s">
        <v>962</v>
      </c>
      <c r="X44" s="55" t="s">
        <v>4889</v>
      </c>
      <c r="Y44" t="s">
        <v>4896</v>
      </c>
      <c r="Z44" t="s">
        <v>4800</v>
      </c>
      <c r="AA44" t="s">
        <v>4891</v>
      </c>
      <c r="AI44" s="54"/>
      <c r="AJ44" s="56">
        <v>45740</v>
      </c>
      <c r="AK44" s="57">
        <v>45831</v>
      </c>
      <c r="AL44" s="57">
        <v>45922</v>
      </c>
      <c r="AM44" s="57">
        <v>46013</v>
      </c>
      <c r="AN44" s="57"/>
      <c r="AO44" s="57"/>
      <c r="AP44" s="57"/>
      <c r="AQ44" s="57"/>
      <c r="AR44" s="57"/>
      <c r="AS44" s="57"/>
      <c r="AT44" s="57"/>
      <c r="AU44" s="57"/>
      <c r="AV44" s="57"/>
      <c r="AW44" s="57"/>
      <c r="AX44" s="57"/>
      <c r="AY44" s="57"/>
      <c r="AZ44" s="57"/>
      <c r="BA44" s="57"/>
      <c r="BB44" s="57"/>
      <c r="BC44" s="58"/>
      <c r="BD44" s="55" t="s">
        <v>5030</v>
      </c>
      <c r="BE44" t="s">
        <v>5031</v>
      </c>
      <c r="BF44" t="s">
        <v>5032</v>
      </c>
      <c r="BG44" t="s">
        <v>5033</v>
      </c>
      <c r="BO44" s="54"/>
      <c r="BP44" s="56">
        <v>45712</v>
      </c>
      <c r="BQ44" s="57">
        <v>45803</v>
      </c>
      <c r="BR44" s="57">
        <v>45894</v>
      </c>
      <c r="BS44" s="57">
        <v>45985</v>
      </c>
      <c r="BT44" s="57"/>
      <c r="BU44" s="57"/>
      <c r="BV44" s="57"/>
      <c r="BW44" s="57"/>
      <c r="BX44" s="57"/>
      <c r="BY44" s="57"/>
      <c r="BZ44" s="57"/>
      <c r="CA44" s="57"/>
      <c r="CB44" s="56">
        <v>45730</v>
      </c>
      <c r="CC44" s="57">
        <v>45821</v>
      </c>
      <c r="CD44" s="57">
        <v>45912</v>
      </c>
      <c r="CE44" s="57">
        <v>46003</v>
      </c>
      <c r="CF44" s="57"/>
      <c r="CG44" s="57"/>
      <c r="CH44" s="57"/>
      <c r="CI44" s="57"/>
      <c r="CJ44" s="57"/>
      <c r="CK44" s="57"/>
      <c r="CL44" s="57"/>
      <c r="CM44" s="57"/>
      <c r="CN44" s="56">
        <v>45736</v>
      </c>
      <c r="CO44" s="57">
        <v>45827</v>
      </c>
      <c r="CP44" s="57">
        <v>45918</v>
      </c>
      <c r="CQ44" s="57">
        <v>46009</v>
      </c>
      <c r="CR44" s="57"/>
      <c r="CS44" s="57"/>
      <c r="CT44" s="57"/>
      <c r="CU44" s="57"/>
      <c r="CV44" s="57"/>
      <c r="CW44" s="57"/>
      <c r="CX44" s="57"/>
      <c r="CY44" s="57"/>
      <c r="CZ44" s="56" t="s">
        <v>5034</v>
      </c>
      <c r="DA44" s="57"/>
      <c r="DB44" s="57"/>
      <c r="DC44" s="57"/>
      <c r="DD44" s="57"/>
      <c r="DE44" s="57"/>
      <c r="DF44" s="57"/>
      <c r="DG44" s="57"/>
      <c r="DH44" s="57"/>
      <c r="DI44" s="57"/>
      <c r="DJ44" s="57"/>
      <c r="DK44" s="58"/>
      <c r="DL44" s="59">
        <v>4</v>
      </c>
      <c r="DM44" s="60">
        <v>4</v>
      </c>
      <c r="DN44" s="61">
        <v>4</v>
      </c>
      <c r="DO44" s="60">
        <v>4</v>
      </c>
      <c r="DP44" s="60">
        <v>0</v>
      </c>
      <c r="DQ44" s="59">
        <v>16</v>
      </c>
      <c r="DR44" s="62">
        <v>735</v>
      </c>
      <c r="DS44" s="62" t="s">
        <v>5034</v>
      </c>
      <c r="DU44" s="62" t="s">
        <v>5034</v>
      </c>
      <c r="DV44" s="63">
        <v>44761.340180358799</v>
      </c>
      <c r="DW44" s="64">
        <v>2022</v>
      </c>
      <c r="DX44" s="65">
        <v>7</v>
      </c>
    </row>
    <row r="45" spans="2:128" ht="15" x14ac:dyDescent="0.25">
      <c r="B45" s="43" t="s">
        <v>5022</v>
      </c>
      <c r="C45" s="43" t="s">
        <v>4818</v>
      </c>
      <c r="D45" s="43" t="s">
        <v>4841</v>
      </c>
      <c r="E45" s="49">
        <v>43733</v>
      </c>
      <c r="F45" s="49"/>
      <c r="G45" s="50">
        <v>3</v>
      </c>
      <c r="H45" s="43" t="s">
        <v>4798</v>
      </c>
      <c r="I45" s="43" t="s">
        <v>5023</v>
      </c>
      <c r="J45" s="43"/>
      <c r="K45" s="43">
        <v>2</v>
      </c>
      <c r="L45" s="43">
        <v>3</v>
      </c>
      <c r="M45" s="43"/>
      <c r="N45" s="43"/>
      <c r="O45" s="43" t="s">
        <v>4725</v>
      </c>
      <c r="P45" s="43" t="s">
        <v>5063</v>
      </c>
      <c r="Q45" s="43" t="s">
        <v>5067</v>
      </c>
      <c r="R45" s="43" t="s">
        <v>5068</v>
      </c>
      <c r="S45" s="43" t="s">
        <v>5026</v>
      </c>
      <c r="T45" s="51" t="s">
        <v>5027</v>
      </c>
      <c r="U45" s="52" t="s">
        <v>5028</v>
      </c>
      <c r="V45" s="53" t="s">
        <v>3884</v>
      </c>
      <c r="W45" s="54" t="s">
        <v>970</v>
      </c>
      <c r="X45" s="55" t="s">
        <v>4889</v>
      </c>
      <c r="Y45" t="s">
        <v>4896</v>
      </c>
      <c r="Z45" t="s">
        <v>4800</v>
      </c>
      <c r="AA45" t="s">
        <v>4891</v>
      </c>
      <c r="AI45" s="54"/>
      <c r="AJ45" s="56">
        <v>45740</v>
      </c>
      <c r="AK45" s="57">
        <v>45741</v>
      </c>
      <c r="AL45" s="57">
        <v>45742</v>
      </c>
      <c r="AM45" s="57">
        <v>45831</v>
      </c>
      <c r="AN45" s="57">
        <v>45832</v>
      </c>
      <c r="AO45" s="57">
        <v>45833</v>
      </c>
      <c r="AP45" s="57">
        <v>45922</v>
      </c>
      <c r="AQ45" s="57">
        <v>45923</v>
      </c>
      <c r="AR45" s="57">
        <v>45924</v>
      </c>
      <c r="AS45" s="57">
        <v>46013</v>
      </c>
      <c r="AT45" s="57">
        <v>46014</v>
      </c>
      <c r="AU45" s="57">
        <v>46015</v>
      </c>
      <c r="AV45" s="57"/>
      <c r="AW45" s="57"/>
      <c r="AX45" s="57"/>
      <c r="AY45" s="57"/>
      <c r="AZ45" s="57"/>
      <c r="BA45" s="57"/>
      <c r="BB45" s="57"/>
      <c r="BC45" s="58"/>
      <c r="BD45" s="55" t="s">
        <v>5030</v>
      </c>
      <c r="BE45" t="s">
        <v>5031</v>
      </c>
      <c r="BF45" t="s">
        <v>5032</v>
      </c>
      <c r="BG45" t="s">
        <v>5033</v>
      </c>
      <c r="BO45" s="54"/>
      <c r="BP45" s="56">
        <v>45712</v>
      </c>
      <c r="BQ45" s="57">
        <v>45803</v>
      </c>
      <c r="BR45" s="57">
        <v>45894</v>
      </c>
      <c r="BS45" s="57">
        <v>45985</v>
      </c>
      <c r="BT45" s="57"/>
      <c r="BU45" s="57"/>
      <c r="BV45" s="57"/>
      <c r="BW45" s="57"/>
      <c r="BX45" s="57"/>
      <c r="BY45" s="57"/>
      <c r="BZ45" s="57"/>
      <c r="CA45" s="57"/>
      <c r="CB45" s="56" t="s">
        <v>5034</v>
      </c>
      <c r="CC45" s="57"/>
      <c r="CD45" s="57"/>
      <c r="CE45" s="57"/>
      <c r="CF45" s="57"/>
      <c r="CG45" s="57"/>
      <c r="CH45" s="57"/>
      <c r="CI45" s="57"/>
      <c r="CJ45" s="57"/>
      <c r="CK45" s="57"/>
      <c r="CL45" s="57"/>
      <c r="CM45" s="57"/>
      <c r="CN45" s="56">
        <v>45736</v>
      </c>
      <c r="CO45" s="57">
        <v>45827</v>
      </c>
      <c r="CP45" s="57">
        <v>45918</v>
      </c>
      <c r="CQ45" s="57">
        <v>46009</v>
      </c>
      <c r="CR45" s="57"/>
      <c r="CS45" s="57"/>
      <c r="CT45" s="57"/>
      <c r="CU45" s="57"/>
      <c r="CV45" s="57"/>
      <c r="CW45" s="57"/>
      <c r="CX45" s="57"/>
      <c r="CY45" s="57"/>
      <c r="CZ45" s="56" t="s">
        <v>5034</v>
      </c>
      <c r="DA45" s="57"/>
      <c r="DB45" s="57"/>
      <c r="DC45" s="57"/>
      <c r="DD45" s="57"/>
      <c r="DE45" s="57"/>
      <c r="DF45" s="57"/>
      <c r="DG45" s="57"/>
      <c r="DH45" s="57"/>
      <c r="DI45" s="57"/>
      <c r="DJ45" s="57"/>
      <c r="DK45" s="58"/>
      <c r="DL45" s="59">
        <v>12</v>
      </c>
      <c r="DM45" s="60">
        <v>4</v>
      </c>
      <c r="DN45" s="61">
        <v>0</v>
      </c>
      <c r="DO45" s="60">
        <v>4</v>
      </c>
      <c r="DP45" s="60">
        <v>0</v>
      </c>
      <c r="DQ45" s="59">
        <v>20</v>
      </c>
      <c r="DR45" s="62">
        <v>751</v>
      </c>
      <c r="DS45" s="62" t="s">
        <v>5034</v>
      </c>
      <c r="DU45" s="62" t="s">
        <v>5034</v>
      </c>
      <c r="DV45" s="63">
        <v>44664.600691689811</v>
      </c>
      <c r="DW45" s="64">
        <v>2022</v>
      </c>
      <c r="DX45" s="65">
        <v>4</v>
      </c>
    </row>
    <row r="46" spans="2:128" ht="15" x14ac:dyDescent="0.25">
      <c r="B46" s="43" t="s">
        <v>5022</v>
      </c>
      <c r="C46" s="43" t="s">
        <v>4825</v>
      </c>
      <c r="D46" s="43" t="s">
        <v>4772</v>
      </c>
      <c r="E46" s="49">
        <v>43740</v>
      </c>
      <c r="F46" s="49"/>
      <c r="G46" s="50">
        <v>1</v>
      </c>
      <c r="H46" s="43" t="s">
        <v>4798</v>
      </c>
      <c r="I46" s="43" t="s">
        <v>5023</v>
      </c>
      <c r="J46" s="43">
        <v>6</v>
      </c>
      <c r="K46" s="43">
        <v>2</v>
      </c>
      <c r="L46" s="43">
        <v>3</v>
      </c>
      <c r="M46" s="43"/>
      <c r="N46" s="43"/>
      <c r="O46" s="43" t="s">
        <v>5066</v>
      </c>
      <c r="P46" s="43" t="s">
        <v>5024</v>
      </c>
      <c r="Q46" s="43" t="s">
        <v>5062</v>
      </c>
      <c r="R46" s="43" t="s">
        <v>5047</v>
      </c>
      <c r="S46" s="43" t="s">
        <v>5026</v>
      </c>
      <c r="T46" s="51" t="s">
        <v>5027</v>
      </c>
      <c r="U46" s="52" t="s">
        <v>5028</v>
      </c>
      <c r="V46" s="53" t="s">
        <v>3884</v>
      </c>
      <c r="W46" s="54" t="s">
        <v>948</v>
      </c>
      <c r="X46" s="55" t="s">
        <v>4889</v>
      </c>
      <c r="Y46" t="s">
        <v>4896</v>
      </c>
      <c r="Z46" t="s">
        <v>4800</v>
      </c>
      <c r="AA46" t="s">
        <v>4891</v>
      </c>
      <c r="AI46" s="54"/>
      <c r="AJ46" s="56">
        <v>45740</v>
      </c>
      <c r="AK46" s="57">
        <v>45831</v>
      </c>
      <c r="AL46" s="57">
        <v>45922</v>
      </c>
      <c r="AM46" s="57">
        <v>46013</v>
      </c>
      <c r="AN46" s="57"/>
      <c r="AO46" s="57"/>
      <c r="AP46" s="57"/>
      <c r="AQ46" s="57"/>
      <c r="AR46" s="57"/>
      <c r="AS46" s="57"/>
      <c r="AT46" s="57"/>
      <c r="AU46" s="57"/>
      <c r="AV46" s="57"/>
      <c r="AW46" s="57"/>
      <c r="AX46" s="57"/>
      <c r="AY46" s="57"/>
      <c r="AZ46" s="57"/>
      <c r="BA46" s="57"/>
      <c r="BB46" s="57"/>
      <c r="BC46" s="58"/>
      <c r="BD46" s="55" t="s">
        <v>5030</v>
      </c>
      <c r="BE46" t="s">
        <v>5031</v>
      </c>
      <c r="BF46" t="s">
        <v>5032</v>
      </c>
      <c r="BG46" t="s">
        <v>5033</v>
      </c>
      <c r="BO46" s="54"/>
      <c r="BP46" s="56">
        <v>45712</v>
      </c>
      <c r="BQ46" s="57">
        <v>45803</v>
      </c>
      <c r="BR46" s="57">
        <v>45894</v>
      </c>
      <c r="BS46" s="57">
        <v>45985</v>
      </c>
      <c r="BT46" s="57"/>
      <c r="BU46" s="57"/>
      <c r="BV46" s="57"/>
      <c r="BW46" s="57"/>
      <c r="BX46" s="57"/>
      <c r="BY46" s="57"/>
      <c r="BZ46" s="57"/>
      <c r="CA46" s="57"/>
      <c r="CB46" s="56">
        <v>45730</v>
      </c>
      <c r="CC46" s="57">
        <v>45821</v>
      </c>
      <c r="CD46" s="57">
        <v>45912</v>
      </c>
      <c r="CE46" s="57">
        <v>46003</v>
      </c>
      <c r="CF46" s="57"/>
      <c r="CG46" s="57"/>
      <c r="CH46" s="57"/>
      <c r="CI46" s="57"/>
      <c r="CJ46" s="57"/>
      <c r="CK46" s="57"/>
      <c r="CL46" s="57"/>
      <c r="CM46" s="57"/>
      <c r="CN46" s="56">
        <v>45736</v>
      </c>
      <c r="CO46" s="57">
        <v>45827</v>
      </c>
      <c r="CP46" s="57">
        <v>45918</v>
      </c>
      <c r="CQ46" s="57">
        <v>46009</v>
      </c>
      <c r="CR46" s="57"/>
      <c r="CS46" s="57"/>
      <c r="CT46" s="57"/>
      <c r="CU46" s="57"/>
      <c r="CV46" s="57"/>
      <c r="CW46" s="57"/>
      <c r="CX46" s="57"/>
      <c r="CY46" s="57"/>
      <c r="CZ46" s="56" t="s">
        <v>5034</v>
      </c>
      <c r="DA46" s="57"/>
      <c r="DB46" s="57"/>
      <c r="DC46" s="57"/>
      <c r="DD46" s="57"/>
      <c r="DE46" s="57"/>
      <c r="DF46" s="57"/>
      <c r="DG46" s="57"/>
      <c r="DH46" s="57"/>
      <c r="DI46" s="57"/>
      <c r="DJ46" s="57"/>
      <c r="DK46" s="58"/>
      <c r="DL46" s="59">
        <v>4</v>
      </c>
      <c r="DM46" s="60">
        <v>4</v>
      </c>
      <c r="DN46" s="61">
        <v>4</v>
      </c>
      <c r="DO46" s="60">
        <v>4</v>
      </c>
      <c r="DP46" s="60">
        <v>0</v>
      </c>
      <c r="DQ46" s="59">
        <v>16</v>
      </c>
      <c r="DR46" s="62">
        <v>771</v>
      </c>
      <c r="DS46" s="62" t="s">
        <v>5034</v>
      </c>
      <c r="DU46" s="62" t="s">
        <v>5034</v>
      </c>
      <c r="DV46" s="63">
        <v>44610.309254432868</v>
      </c>
      <c r="DW46" s="64">
        <v>2022</v>
      </c>
      <c r="DX46" s="65">
        <v>2</v>
      </c>
    </row>
    <row r="47" spans="2:128" ht="15" x14ac:dyDescent="0.25">
      <c r="B47" s="43" t="s">
        <v>5022</v>
      </c>
      <c r="C47" s="43" t="s">
        <v>4802</v>
      </c>
      <c r="D47" s="43" t="s">
        <v>4773</v>
      </c>
      <c r="E47" s="49">
        <v>43740</v>
      </c>
      <c r="F47" s="49"/>
      <c r="G47" s="50">
        <v>1</v>
      </c>
      <c r="H47" s="43" t="s">
        <v>4891</v>
      </c>
      <c r="I47" s="43" t="s">
        <v>5033</v>
      </c>
      <c r="J47" s="43"/>
      <c r="K47" s="43">
        <v>2</v>
      </c>
      <c r="L47" s="43">
        <v>3</v>
      </c>
      <c r="M47" s="43"/>
      <c r="N47" s="43"/>
      <c r="O47" s="43" t="s">
        <v>5059</v>
      </c>
      <c r="P47" s="43" t="s">
        <v>5024</v>
      </c>
      <c r="Q47" s="43" t="s">
        <v>5069</v>
      </c>
      <c r="R47" s="43" t="s">
        <v>5068</v>
      </c>
      <c r="S47" s="43" t="s">
        <v>5026</v>
      </c>
      <c r="T47" s="51" t="s">
        <v>5027</v>
      </c>
      <c r="U47" s="52" t="s">
        <v>5028</v>
      </c>
      <c r="V47" s="53" t="s">
        <v>3884</v>
      </c>
      <c r="W47" s="54" t="s">
        <v>965</v>
      </c>
      <c r="X47" s="55" t="s">
        <v>4891</v>
      </c>
      <c r="AI47" s="54"/>
      <c r="AJ47" s="56">
        <v>46013</v>
      </c>
      <c r="AK47" s="57"/>
      <c r="AL47" s="57"/>
      <c r="AM47" s="57"/>
      <c r="AN47" s="57"/>
      <c r="AO47" s="57"/>
      <c r="AP47" s="57"/>
      <c r="AQ47" s="57"/>
      <c r="AR47" s="57"/>
      <c r="AS47" s="57"/>
      <c r="AT47" s="57"/>
      <c r="AU47" s="57"/>
      <c r="AV47" s="57"/>
      <c r="AW47" s="57"/>
      <c r="AX47" s="57"/>
      <c r="AY47" s="57"/>
      <c r="AZ47" s="57"/>
      <c r="BA47" s="57"/>
      <c r="BB47" s="57"/>
      <c r="BC47" s="58"/>
      <c r="BD47" s="55" t="s">
        <v>5033</v>
      </c>
      <c r="BO47" s="54"/>
      <c r="BP47" s="56">
        <v>45985</v>
      </c>
      <c r="BQ47" s="57"/>
      <c r="BR47" s="57"/>
      <c r="BS47" s="57"/>
      <c r="BT47" s="57"/>
      <c r="BU47" s="57"/>
      <c r="BV47" s="57"/>
      <c r="BW47" s="57"/>
      <c r="BX47" s="57"/>
      <c r="BY47" s="57"/>
      <c r="BZ47" s="57"/>
      <c r="CA47" s="57"/>
      <c r="CB47" s="56" t="s">
        <v>5034</v>
      </c>
      <c r="CC47" s="57"/>
      <c r="CD47" s="57"/>
      <c r="CE47" s="57"/>
      <c r="CF47" s="57"/>
      <c r="CG47" s="57"/>
      <c r="CH47" s="57"/>
      <c r="CI47" s="57"/>
      <c r="CJ47" s="57"/>
      <c r="CK47" s="57"/>
      <c r="CL47" s="57"/>
      <c r="CM47" s="57"/>
      <c r="CN47" s="56">
        <v>46009</v>
      </c>
      <c r="CO47" s="57"/>
      <c r="CP47" s="57"/>
      <c r="CQ47" s="57"/>
      <c r="CR47" s="57"/>
      <c r="CS47" s="57"/>
      <c r="CT47" s="57"/>
      <c r="CU47" s="57"/>
      <c r="CV47" s="57"/>
      <c r="CW47" s="57"/>
      <c r="CX47" s="57"/>
      <c r="CY47" s="57"/>
      <c r="CZ47" s="56" t="s">
        <v>5034</v>
      </c>
      <c r="DA47" s="57"/>
      <c r="DB47" s="57"/>
      <c r="DC47" s="57"/>
      <c r="DD47" s="57"/>
      <c r="DE47" s="57"/>
      <c r="DF47" s="57"/>
      <c r="DG47" s="57"/>
      <c r="DH47" s="57"/>
      <c r="DI47" s="57"/>
      <c r="DJ47" s="57"/>
      <c r="DK47" s="58"/>
      <c r="DL47" s="59">
        <v>1</v>
      </c>
      <c r="DM47" s="60">
        <v>1</v>
      </c>
      <c r="DN47" s="61">
        <v>0</v>
      </c>
      <c r="DO47" s="60">
        <v>1</v>
      </c>
      <c r="DP47" s="60">
        <v>0</v>
      </c>
      <c r="DQ47" s="59">
        <v>3</v>
      </c>
      <c r="DR47" s="62">
        <v>787</v>
      </c>
      <c r="DS47" s="62" t="s">
        <v>5034</v>
      </c>
      <c r="DU47" s="62" t="s">
        <v>5034</v>
      </c>
      <c r="DV47" s="63">
        <v>45219.367124340279</v>
      </c>
      <c r="DW47" s="64">
        <v>2023</v>
      </c>
      <c r="DX47" s="65">
        <v>10</v>
      </c>
    </row>
    <row r="48" spans="2:128" ht="15" x14ac:dyDescent="0.25">
      <c r="B48" s="43" t="s">
        <v>5022</v>
      </c>
      <c r="C48" s="43" t="s">
        <v>4825</v>
      </c>
      <c r="D48" s="43" t="s">
        <v>4842</v>
      </c>
      <c r="E48" s="49">
        <v>43745</v>
      </c>
      <c r="F48" s="49"/>
      <c r="G48" s="50">
        <v>1</v>
      </c>
      <c r="H48" s="43" t="s">
        <v>4798</v>
      </c>
      <c r="I48" s="43" t="s">
        <v>5023</v>
      </c>
      <c r="J48" s="43">
        <v>6</v>
      </c>
      <c r="K48" s="43">
        <v>2</v>
      </c>
      <c r="L48" s="43">
        <v>3</v>
      </c>
      <c r="M48" s="43"/>
      <c r="N48" s="43"/>
      <c r="O48" s="43" t="s">
        <v>5066</v>
      </c>
      <c r="P48" s="43" t="s">
        <v>5024</v>
      </c>
      <c r="Q48" s="43" t="s">
        <v>5054</v>
      </c>
      <c r="R48" s="43" t="s">
        <v>5047</v>
      </c>
      <c r="S48" s="43" t="s">
        <v>5026</v>
      </c>
      <c r="T48" s="51" t="s">
        <v>5027</v>
      </c>
      <c r="U48" s="52" t="s">
        <v>5028</v>
      </c>
      <c r="V48" s="53" t="s">
        <v>3884</v>
      </c>
      <c r="W48" s="54" t="s">
        <v>2589</v>
      </c>
      <c r="X48" s="55" t="s">
        <v>4889</v>
      </c>
      <c r="Y48" t="s">
        <v>4896</v>
      </c>
      <c r="Z48" t="s">
        <v>4800</v>
      </c>
      <c r="AA48" t="s">
        <v>4891</v>
      </c>
      <c r="AI48" s="54"/>
      <c r="AJ48" s="56">
        <v>45740</v>
      </c>
      <c r="AK48" s="57">
        <v>45831</v>
      </c>
      <c r="AL48" s="57">
        <v>45922</v>
      </c>
      <c r="AM48" s="57">
        <v>46013</v>
      </c>
      <c r="AN48" s="57"/>
      <c r="AO48" s="57"/>
      <c r="AP48" s="57"/>
      <c r="AQ48" s="57"/>
      <c r="AR48" s="57"/>
      <c r="AS48" s="57"/>
      <c r="AT48" s="57"/>
      <c r="AU48" s="57"/>
      <c r="AV48" s="57"/>
      <c r="AW48" s="57"/>
      <c r="AX48" s="57"/>
      <c r="AY48" s="57"/>
      <c r="AZ48" s="57"/>
      <c r="BA48" s="57"/>
      <c r="BB48" s="57"/>
      <c r="BC48" s="58"/>
      <c r="BD48" s="55" t="s">
        <v>5030</v>
      </c>
      <c r="BE48" t="s">
        <v>5031</v>
      </c>
      <c r="BF48" t="s">
        <v>5032</v>
      </c>
      <c r="BG48" t="s">
        <v>5033</v>
      </c>
      <c r="BO48" s="54"/>
      <c r="BP48" s="56">
        <v>45712</v>
      </c>
      <c r="BQ48" s="57">
        <v>45803</v>
      </c>
      <c r="BR48" s="57">
        <v>45894</v>
      </c>
      <c r="BS48" s="57">
        <v>45985</v>
      </c>
      <c r="BT48" s="57"/>
      <c r="BU48" s="57"/>
      <c r="BV48" s="57"/>
      <c r="BW48" s="57"/>
      <c r="BX48" s="57"/>
      <c r="BY48" s="57"/>
      <c r="BZ48" s="57"/>
      <c r="CA48" s="57"/>
      <c r="CB48" s="56">
        <v>45730</v>
      </c>
      <c r="CC48" s="57">
        <v>45821</v>
      </c>
      <c r="CD48" s="57">
        <v>45912</v>
      </c>
      <c r="CE48" s="57">
        <v>46003</v>
      </c>
      <c r="CF48" s="57"/>
      <c r="CG48" s="57"/>
      <c r="CH48" s="57"/>
      <c r="CI48" s="57"/>
      <c r="CJ48" s="57"/>
      <c r="CK48" s="57"/>
      <c r="CL48" s="57"/>
      <c r="CM48" s="57"/>
      <c r="CN48" s="56">
        <v>45736</v>
      </c>
      <c r="CO48" s="57">
        <v>45827</v>
      </c>
      <c r="CP48" s="57">
        <v>45918</v>
      </c>
      <c r="CQ48" s="57">
        <v>46009</v>
      </c>
      <c r="CR48" s="57"/>
      <c r="CS48" s="57"/>
      <c r="CT48" s="57"/>
      <c r="CU48" s="57"/>
      <c r="CV48" s="57"/>
      <c r="CW48" s="57"/>
      <c r="CX48" s="57"/>
      <c r="CY48" s="57"/>
      <c r="CZ48" s="56" t="s">
        <v>5034</v>
      </c>
      <c r="DA48" s="57"/>
      <c r="DB48" s="57"/>
      <c r="DC48" s="57"/>
      <c r="DD48" s="57"/>
      <c r="DE48" s="57"/>
      <c r="DF48" s="57"/>
      <c r="DG48" s="57"/>
      <c r="DH48" s="57"/>
      <c r="DI48" s="57"/>
      <c r="DJ48" s="57"/>
      <c r="DK48" s="58"/>
      <c r="DL48" s="59">
        <v>4</v>
      </c>
      <c r="DM48" s="60">
        <v>4</v>
      </c>
      <c r="DN48" s="61">
        <v>4</v>
      </c>
      <c r="DO48" s="60">
        <v>4</v>
      </c>
      <c r="DP48" s="60">
        <v>0</v>
      </c>
      <c r="DQ48" s="59">
        <v>16</v>
      </c>
      <c r="DR48" s="62">
        <v>790</v>
      </c>
      <c r="DS48" s="62" t="s">
        <v>5034</v>
      </c>
      <c r="DU48" s="62" t="s">
        <v>5034</v>
      </c>
      <c r="DV48" s="63">
        <v>44722.356153368055</v>
      </c>
      <c r="DW48" s="64">
        <v>2022</v>
      </c>
      <c r="DX48" s="65">
        <v>6</v>
      </c>
    </row>
    <row r="49" spans="2:128" ht="15" x14ac:dyDescent="0.25">
      <c r="B49" s="43" t="s">
        <v>5022</v>
      </c>
      <c r="C49" s="43" t="s">
        <v>4802</v>
      </c>
      <c r="D49" s="43" t="s">
        <v>4843</v>
      </c>
      <c r="E49" s="49">
        <v>43775</v>
      </c>
      <c r="F49" s="49"/>
      <c r="G49" s="50">
        <v>1</v>
      </c>
      <c r="H49" s="43" t="s">
        <v>4798</v>
      </c>
      <c r="I49" s="43" t="s">
        <v>5023</v>
      </c>
      <c r="J49" s="43"/>
      <c r="K49" s="43">
        <v>2</v>
      </c>
      <c r="L49" s="43">
        <v>3</v>
      </c>
      <c r="M49" s="43"/>
      <c r="N49" s="43"/>
      <c r="O49" s="43" t="s">
        <v>4725</v>
      </c>
      <c r="P49" s="43" t="s">
        <v>5024</v>
      </c>
      <c r="Q49" s="43" t="s">
        <v>5042</v>
      </c>
      <c r="R49" s="43" t="s">
        <v>5045</v>
      </c>
      <c r="S49" s="43" t="s">
        <v>5026</v>
      </c>
      <c r="T49" s="51" t="s">
        <v>5027</v>
      </c>
      <c r="U49" s="52" t="s">
        <v>5028</v>
      </c>
      <c r="V49" s="53" t="s">
        <v>3884</v>
      </c>
      <c r="W49" s="54" t="s">
        <v>2580</v>
      </c>
      <c r="X49" s="55" t="s">
        <v>4889</v>
      </c>
      <c r="Y49" t="s">
        <v>4896</v>
      </c>
      <c r="Z49" t="s">
        <v>4800</v>
      </c>
      <c r="AA49" t="s">
        <v>4891</v>
      </c>
      <c r="AI49" s="54"/>
      <c r="AJ49" s="56">
        <v>45740</v>
      </c>
      <c r="AK49" s="57">
        <v>45831</v>
      </c>
      <c r="AL49" s="57">
        <v>45922</v>
      </c>
      <c r="AM49" s="57">
        <v>46013</v>
      </c>
      <c r="AN49" s="57"/>
      <c r="AO49" s="57"/>
      <c r="AP49" s="57"/>
      <c r="AQ49" s="57"/>
      <c r="AR49" s="57"/>
      <c r="AS49" s="57"/>
      <c r="AT49" s="57"/>
      <c r="AU49" s="57"/>
      <c r="AV49" s="57"/>
      <c r="AW49" s="57"/>
      <c r="AX49" s="57"/>
      <c r="AY49" s="57"/>
      <c r="AZ49" s="57"/>
      <c r="BA49" s="57"/>
      <c r="BB49" s="57"/>
      <c r="BC49" s="58"/>
      <c r="BD49" s="55" t="s">
        <v>5030</v>
      </c>
      <c r="BE49" t="s">
        <v>5031</v>
      </c>
      <c r="BF49" t="s">
        <v>5032</v>
      </c>
      <c r="BG49" t="s">
        <v>5033</v>
      </c>
      <c r="BO49" s="54"/>
      <c r="BP49" s="56">
        <v>45712</v>
      </c>
      <c r="BQ49" s="57">
        <v>45803</v>
      </c>
      <c r="BR49" s="57">
        <v>45894</v>
      </c>
      <c r="BS49" s="57">
        <v>45985</v>
      </c>
      <c r="BT49" s="57"/>
      <c r="BU49" s="57"/>
      <c r="BV49" s="57"/>
      <c r="BW49" s="57"/>
      <c r="BX49" s="57"/>
      <c r="BY49" s="57"/>
      <c r="BZ49" s="57"/>
      <c r="CA49" s="57"/>
      <c r="CB49" s="56" t="s">
        <v>5034</v>
      </c>
      <c r="CC49" s="57"/>
      <c r="CD49" s="57"/>
      <c r="CE49" s="57"/>
      <c r="CF49" s="57"/>
      <c r="CG49" s="57"/>
      <c r="CH49" s="57"/>
      <c r="CI49" s="57"/>
      <c r="CJ49" s="57"/>
      <c r="CK49" s="57"/>
      <c r="CL49" s="57"/>
      <c r="CM49" s="57"/>
      <c r="CN49" s="56">
        <v>45736</v>
      </c>
      <c r="CO49" s="57">
        <v>45827</v>
      </c>
      <c r="CP49" s="57">
        <v>45918</v>
      </c>
      <c r="CQ49" s="57">
        <v>46009</v>
      </c>
      <c r="CR49" s="57"/>
      <c r="CS49" s="57"/>
      <c r="CT49" s="57"/>
      <c r="CU49" s="57"/>
      <c r="CV49" s="57"/>
      <c r="CW49" s="57"/>
      <c r="CX49" s="57"/>
      <c r="CY49" s="57"/>
      <c r="CZ49" s="56" t="s">
        <v>5034</v>
      </c>
      <c r="DA49" s="57"/>
      <c r="DB49" s="57"/>
      <c r="DC49" s="57"/>
      <c r="DD49" s="57"/>
      <c r="DE49" s="57"/>
      <c r="DF49" s="57"/>
      <c r="DG49" s="57"/>
      <c r="DH49" s="57"/>
      <c r="DI49" s="57"/>
      <c r="DJ49" s="57"/>
      <c r="DK49" s="58"/>
      <c r="DL49" s="59">
        <v>4</v>
      </c>
      <c r="DM49" s="60">
        <v>4</v>
      </c>
      <c r="DN49" s="61">
        <v>0</v>
      </c>
      <c r="DO49" s="60">
        <v>4</v>
      </c>
      <c r="DP49" s="60">
        <v>0</v>
      </c>
      <c r="DQ49" s="59">
        <v>12</v>
      </c>
      <c r="DR49" s="62">
        <v>806</v>
      </c>
      <c r="DS49" s="62" t="s">
        <v>5034</v>
      </c>
      <c r="DU49" s="62" t="s">
        <v>5034</v>
      </c>
      <c r="DV49" s="63">
        <v>44483.750669259258</v>
      </c>
      <c r="DW49" s="64">
        <v>2021</v>
      </c>
      <c r="DX49" s="65">
        <v>10</v>
      </c>
    </row>
    <row r="50" spans="2:128" ht="15" x14ac:dyDescent="0.25">
      <c r="B50" s="43" t="s">
        <v>5022</v>
      </c>
      <c r="C50" s="43" t="s">
        <v>4818</v>
      </c>
      <c r="D50" s="43" t="s">
        <v>4117</v>
      </c>
      <c r="E50" s="49">
        <v>43852</v>
      </c>
      <c r="F50" s="49"/>
      <c r="G50" s="50">
        <v>1</v>
      </c>
      <c r="H50" s="43" t="s">
        <v>4892</v>
      </c>
      <c r="I50" s="43" t="s">
        <v>5023</v>
      </c>
      <c r="J50" s="43"/>
      <c r="K50" s="43">
        <v>5</v>
      </c>
      <c r="L50" s="43">
        <v>6</v>
      </c>
      <c r="M50" s="43"/>
      <c r="N50" s="43"/>
      <c r="O50" s="43" t="s">
        <v>4725</v>
      </c>
      <c r="P50" s="43" t="s">
        <v>5024</v>
      </c>
      <c r="Q50" s="43"/>
      <c r="R50" s="43" t="s">
        <v>5038</v>
      </c>
      <c r="S50" s="43" t="s">
        <v>5026</v>
      </c>
      <c r="T50" s="51" t="s">
        <v>5027</v>
      </c>
      <c r="U50" s="52" t="s">
        <v>5028</v>
      </c>
      <c r="V50" s="53" t="s">
        <v>3884</v>
      </c>
      <c r="W50" s="54" t="s">
        <v>2553</v>
      </c>
      <c r="X50" s="55" t="s">
        <v>5070</v>
      </c>
      <c r="Y50" t="s">
        <v>5071</v>
      </c>
      <c r="Z50" t="s">
        <v>5072</v>
      </c>
      <c r="AA50" t="s">
        <v>5073</v>
      </c>
      <c r="AI50" s="54"/>
      <c r="AJ50" s="56">
        <v>45743</v>
      </c>
      <c r="AK50" s="57">
        <v>45834</v>
      </c>
      <c r="AL50" s="57">
        <v>45925</v>
      </c>
      <c r="AM50" s="57">
        <v>46017</v>
      </c>
      <c r="AN50" s="57"/>
      <c r="AO50" s="57"/>
      <c r="AP50" s="57"/>
      <c r="AQ50" s="57"/>
      <c r="AR50" s="57"/>
      <c r="AS50" s="57"/>
      <c r="AT50" s="57"/>
      <c r="AU50" s="57"/>
      <c r="AV50" s="57"/>
      <c r="AW50" s="57"/>
      <c r="AX50" s="57"/>
      <c r="AY50" s="57"/>
      <c r="AZ50" s="57"/>
      <c r="BA50" s="57"/>
      <c r="BB50" s="57"/>
      <c r="BC50" s="58"/>
      <c r="BD50" s="55" t="s">
        <v>5030</v>
      </c>
      <c r="BE50" t="s">
        <v>5031</v>
      </c>
      <c r="BF50" t="s">
        <v>5032</v>
      </c>
      <c r="BG50" t="s">
        <v>5033</v>
      </c>
      <c r="BO50" s="54"/>
      <c r="BP50" s="56">
        <v>45712</v>
      </c>
      <c r="BQ50" s="57">
        <v>45803</v>
      </c>
      <c r="BR50" s="57">
        <v>45894</v>
      </c>
      <c r="BS50" s="57">
        <v>45985</v>
      </c>
      <c r="BT50" s="57"/>
      <c r="BU50" s="57"/>
      <c r="BV50" s="57"/>
      <c r="BW50" s="57"/>
      <c r="BX50" s="57"/>
      <c r="BY50" s="57"/>
      <c r="BZ50" s="57"/>
      <c r="CA50" s="57"/>
      <c r="CB50" s="56" t="s">
        <v>5034</v>
      </c>
      <c r="CC50" s="57"/>
      <c r="CD50" s="57"/>
      <c r="CE50" s="57"/>
      <c r="CF50" s="57"/>
      <c r="CG50" s="57"/>
      <c r="CH50" s="57"/>
      <c r="CI50" s="57"/>
      <c r="CJ50" s="57"/>
      <c r="CK50" s="57"/>
      <c r="CL50" s="57"/>
      <c r="CM50" s="57"/>
      <c r="CN50" s="56">
        <v>45736</v>
      </c>
      <c r="CO50" s="57">
        <v>45827</v>
      </c>
      <c r="CP50" s="57">
        <v>45918</v>
      </c>
      <c r="CQ50" s="57">
        <v>46009</v>
      </c>
      <c r="CR50" s="57"/>
      <c r="CS50" s="57"/>
      <c r="CT50" s="57"/>
      <c r="CU50" s="57"/>
      <c r="CV50" s="57"/>
      <c r="CW50" s="57"/>
      <c r="CX50" s="57"/>
      <c r="CY50" s="57"/>
      <c r="CZ50" s="56" t="s">
        <v>5034</v>
      </c>
      <c r="DA50" s="57"/>
      <c r="DB50" s="57"/>
      <c r="DC50" s="57"/>
      <c r="DD50" s="57"/>
      <c r="DE50" s="57"/>
      <c r="DF50" s="57"/>
      <c r="DG50" s="57"/>
      <c r="DH50" s="57"/>
      <c r="DI50" s="57"/>
      <c r="DJ50" s="57"/>
      <c r="DK50" s="58"/>
      <c r="DL50" s="59">
        <v>4</v>
      </c>
      <c r="DM50" s="60">
        <v>4</v>
      </c>
      <c r="DN50" s="61">
        <v>0</v>
      </c>
      <c r="DO50" s="60">
        <v>4</v>
      </c>
      <c r="DP50" s="60">
        <v>0</v>
      </c>
      <c r="DQ50" s="59">
        <v>12</v>
      </c>
      <c r="DR50" s="62">
        <v>818</v>
      </c>
      <c r="DS50" s="62" t="s">
        <v>5034</v>
      </c>
      <c r="DU50" s="62" t="s">
        <v>5034</v>
      </c>
      <c r="DV50" s="63">
        <v>44483.751765486108</v>
      </c>
      <c r="DW50" s="64">
        <v>2021</v>
      </c>
      <c r="DX50" s="65">
        <v>10</v>
      </c>
    </row>
    <row r="51" spans="2:128" ht="15" x14ac:dyDescent="0.25">
      <c r="B51" s="43" t="s">
        <v>5022</v>
      </c>
      <c r="C51" s="43" t="s">
        <v>4818</v>
      </c>
      <c r="D51" s="43" t="s">
        <v>4844</v>
      </c>
      <c r="E51" s="49">
        <v>43852</v>
      </c>
      <c r="F51" s="49"/>
      <c r="G51" s="50">
        <v>1</v>
      </c>
      <c r="H51" s="43" t="s">
        <v>4892</v>
      </c>
      <c r="I51" s="43" t="s">
        <v>5023</v>
      </c>
      <c r="J51" s="43"/>
      <c r="K51" s="43">
        <v>5</v>
      </c>
      <c r="L51" s="43">
        <v>6</v>
      </c>
      <c r="M51" s="43"/>
      <c r="N51" s="43"/>
      <c r="O51" s="43" t="s">
        <v>4725</v>
      </c>
      <c r="P51" s="43" t="s">
        <v>5024</v>
      </c>
      <c r="Q51" s="43"/>
      <c r="R51" s="43" t="s">
        <v>5038</v>
      </c>
      <c r="S51" s="43" t="s">
        <v>5026</v>
      </c>
      <c r="T51" s="51" t="s">
        <v>5027</v>
      </c>
      <c r="U51" s="52" t="s">
        <v>5028</v>
      </c>
      <c r="V51" s="53" t="s">
        <v>3884</v>
      </c>
      <c r="W51" s="54" t="s">
        <v>2562</v>
      </c>
      <c r="X51" s="55" t="s">
        <v>5070</v>
      </c>
      <c r="Y51" t="s">
        <v>5071</v>
      </c>
      <c r="Z51" t="s">
        <v>5072</v>
      </c>
      <c r="AA51" t="s">
        <v>5073</v>
      </c>
      <c r="AI51" s="54"/>
      <c r="AJ51" s="56">
        <v>45743</v>
      </c>
      <c r="AK51" s="57">
        <v>45834</v>
      </c>
      <c r="AL51" s="57">
        <v>45925</v>
      </c>
      <c r="AM51" s="57">
        <v>46017</v>
      </c>
      <c r="AN51" s="57"/>
      <c r="AO51" s="57"/>
      <c r="AP51" s="57"/>
      <c r="AQ51" s="57"/>
      <c r="AR51" s="57"/>
      <c r="AS51" s="57"/>
      <c r="AT51" s="57"/>
      <c r="AU51" s="57"/>
      <c r="AV51" s="57"/>
      <c r="AW51" s="57"/>
      <c r="AX51" s="57"/>
      <c r="AY51" s="57"/>
      <c r="AZ51" s="57"/>
      <c r="BA51" s="57"/>
      <c r="BB51" s="57"/>
      <c r="BC51" s="58"/>
      <c r="BD51" s="55" t="s">
        <v>5030</v>
      </c>
      <c r="BE51" t="s">
        <v>5031</v>
      </c>
      <c r="BF51" t="s">
        <v>5032</v>
      </c>
      <c r="BG51" t="s">
        <v>5033</v>
      </c>
      <c r="BO51" s="54"/>
      <c r="BP51" s="56">
        <v>45712</v>
      </c>
      <c r="BQ51" s="57">
        <v>45803</v>
      </c>
      <c r="BR51" s="57">
        <v>45894</v>
      </c>
      <c r="BS51" s="57">
        <v>45985</v>
      </c>
      <c r="BT51" s="57"/>
      <c r="BU51" s="57"/>
      <c r="BV51" s="57"/>
      <c r="BW51" s="57"/>
      <c r="BX51" s="57"/>
      <c r="BY51" s="57"/>
      <c r="BZ51" s="57"/>
      <c r="CA51" s="57"/>
      <c r="CB51" s="56" t="s">
        <v>5034</v>
      </c>
      <c r="CC51" s="57"/>
      <c r="CD51" s="57"/>
      <c r="CE51" s="57"/>
      <c r="CF51" s="57"/>
      <c r="CG51" s="57"/>
      <c r="CH51" s="57"/>
      <c r="CI51" s="57"/>
      <c r="CJ51" s="57"/>
      <c r="CK51" s="57"/>
      <c r="CL51" s="57"/>
      <c r="CM51" s="57"/>
      <c r="CN51" s="56">
        <v>45736</v>
      </c>
      <c r="CO51" s="57">
        <v>45827</v>
      </c>
      <c r="CP51" s="57">
        <v>45918</v>
      </c>
      <c r="CQ51" s="57">
        <v>46009</v>
      </c>
      <c r="CR51" s="57"/>
      <c r="CS51" s="57"/>
      <c r="CT51" s="57"/>
      <c r="CU51" s="57"/>
      <c r="CV51" s="57"/>
      <c r="CW51" s="57"/>
      <c r="CX51" s="57"/>
      <c r="CY51" s="57"/>
      <c r="CZ51" s="56" t="s">
        <v>5034</v>
      </c>
      <c r="DA51" s="57"/>
      <c r="DB51" s="57"/>
      <c r="DC51" s="57"/>
      <c r="DD51" s="57"/>
      <c r="DE51" s="57"/>
      <c r="DF51" s="57"/>
      <c r="DG51" s="57"/>
      <c r="DH51" s="57"/>
      <c r="DI51" s="57"/>
      <c r="DJ51" s="57"/>
      <c r="DK51" s="58"/>
      <c r="DL51" s="59">
        <v>4</v>
      </c>
      <c r="DM51" s="60">
        <v>4</v>
      </c>
      <c r="DN51" s="61">
        <v>0</v>
      </c>
      <c r="DO51" s="60">
        <v>4</v>
      </c>
      <c r="DP51" s="60">
        <v>0</v>
      </c>
      <c r="DQ51" s="59">
        <v>12</v>
      </c>
      <c r="DR51" s="62">
        <v>830</v>
      </c>
      <c r="DS51" s="62" t="s">
        <v>5034</v>
      </c>
      <c r="DU51" s="62" t="s">
        <v>5034</v>
      </c>
      <c r="DV51" s="63">
        <v>44627.47481446759</v>
      </c>
      <c r="DW51" s="64">
        <v>2022</v>
      </c>
      <c r="DX51" s="65">
        <v>3</v>
      </c>
    </row>
    <row r="52" spans="2:128" ht="15" x14ac:dyDescent="0.25">
      <c r="B52" s="43" t="s">
        <v>5022</v>
      </c>
      <c r="C52" s="43" t="s">
        <v>4802</v>
      </c>
      <c r="D52" s="43" t="s">
        <v>2545</v>
      </c>
      <c r="E52" s="49">
        <v>43866</v>
      </c>
      <c r="F52" s="49"/>
      <c r="G52" s="50">
        <v>1</v>
      </c>
      <c r="H52" s="43" t="s">
        <v>4798</v>
      </c>
      <c r="I52" s="43" t="s">
        <v>5023</v>
      </c>
      <c r="J52" s="43"/>
      <c r="K52" s="43">
        <v>2</v>
      </c>
      <c r="L52" s="43">
        <v>3</v>
      </c>
      <c r="M52" s="43"/>
      <c r="N52" s="43"/>
      <c r="O52" s="43" t="s">
        <v>4725</v>
      </c>
      <c r="P52" s="43" t="s">
        <v>5024</v>
      </c>
      <c r="Q52" s="43" t="s">
        <v>5042</v>
      </c>
      <c r="R52" s="43" t="s">
        <v>5045</v>
      </c>
      <c r="S52" s="43" t="s">
        <v>5026</v>
      </c>
      <c r="T52" s="51" t="s">
        <v>5027</v>
      </c>
      <c r="U52" s="52" t="s">
        <v>5028</v>
      </c>
      <c r="V52" s="53" t="s">
        <v>3884</v>
      </c>
      <c r="W52" s="54" t="s">
        <v>2544</v>
      </c>
      <c r="X52" s="55" t="s">
        <v>4889</v>
      </c>
      <c r="Y52" t="s">
        <v>4896</v>
      </c>
      <c r="Z52" t="s">
        <v>4800</v>
      </c>
      <c r="AA52" t="s">
        <v>4891</v>
      </c>
      <c r="AI52" s="54"/>
      <c r="AJ52" s="56">
        <v>45740</v>
      </c>
      <c r="AK52" s="57">
        <v>45831</v>
      </c>
      <c r="AL52" s="57">
        <v>45922</v>
      </c>
      <c r="AM52" s="57">
        <v>46013</v>
      </c>
      <c r="AN52" s="57"/>
      <c r="AO52" s="57"/>
      <c r="AP52" s="57"/>
      <c r="AQ52" s="57"/>
      <c r="AR52" s="57"/>
      <c r="AS52" s="57"/>
      <c r="AT52" s="57"/>
      <c r="AU52" s="57"/>
      <c r="AV52" s="57"/>
      <c r="AW52" s="57"/>
      <c r="AX52" s="57"/>
      <c r="AY52" s="57"/>
      <c r="AZ52" s="57"/>
      <c r="BA52" s="57"/>
      <c r="BB52" s="57"/>
      <c r="BC52" s="58"/>
      <c r="BD52" s="55" t="s">
        <v>5030</v>
      </c>
      <c r="BE52" t="s">
        <v>5031</v>
      </c>
      <c r="BF52" t="s">
        <v>5032</v>
      </c>
      <c r="BG52" t="s">
        <v>5033</v>
      </c>
      <c r="BO52" s="54"/>
      <c r="BP52" s="56">
        <v>45712</v>
      </c>
      <c r="BQ52" s="57">
        <v>45803</v>
      </c>
      <c r="BR52" s="57">
        <v>45894</v>
      </c>
      <c r="BS52" s="57">
        <v>45985</v>
      </c>
      <c r="BT52" s="57"/>
      <c r="BU52" s="57"/>
      <c r="BV52" s="57"/>
      <c r="BW52" s="57"/>
      <c r="BX52" s="57"/>
      <c r="BY52" s="57"/>
      <c r="BZ52" s="57"/>
      <c r="CA52" s="57"/>
      <c r="CB52" s="56" t="s">
        <v>5034</v>
      </c>
      <c r="CC52" s="57"/>
      <c r="CD52" s="57"/>
      <c r="CE52" s="57"/>
      <c r="CF52" s="57"/>
      <c r="CG52" s="57"/>
      <c r="CH52" s="57"/>
      <c r="CI52" s="57"/>
      <c r="CJ52" s="57"/>
      <c r="CK52" s="57"/>
      <c r="CL52" s="57"/>
      <c r="CM52" s="57"/>
      <c r="CN52" s="56">
        <v>45736</v>
      </c>
      <c r="CO52" s="57">
        <v>45827</v>
      </c>
      <c r="CP52" s="57">
        <v>45918</v>
      </c>
      <c r="CQ52" s="57">
        <v>46009</v>
      </c>
      <c r="CR52" s="57"/>
      <c r="CS52" s="57"/>
      <c r="CT52" s="57"/>
      <c r="CU52" s="57"/>
      <c r="CV52" s="57"/>
      <c r="CW52" s="57"/>
      <c r="CX52" s="57"/>
      <c r="CY52" s="57"/>
      <c r="CZ52" s="56" t="s">
        <v>5034</v>
      </c>
      <c r="DA52" s="57"/>
      <c r="DB52" s="57"/>
      <c r="DC52" s="57"/>
      <c r="DD52" s="57"/>
      <c r="DE52" s="57"/>
      <c r="DF52" s="57"/>
      <c r="DG52" s="57"/>
      <c r="DH52" s="57"/>
      <c r="DI52" s="57"/>
      <c r="DJ52" s="57"/>
      <c r="DK52" s="58"/>
      <c r="DL52" s="59">
        <v>4</v>
      </c>
      <c r="DM52" s="60">
        <v>4</v>
      </c>
      <c r="DN52" s="61">
        <v>0</v>
      </c>
      <c r="DO52" s="60">
        <v>4</v>
      </c>
      <c r="DP52" s="60">
        <v>0</v>
      </c>
      <c r="DQ52" s="59">
        <v>12</v>
      </c>
      <c r="DR52" s="62">
        <v>842</v>
      </c>
      <c r="DS52" s="62" t="s">
        <v>5034</v>
      </c>
      <c r="DU52" s="62" t="s">
        <v>5034</v>
      </c>
      <c r="DV52" s="63">
        <v>44483.750759525465</v>
      </c>
      <c r="DW52" s="64">
        <v>2021</v>
      </c>
      <c r="DX52" s="65">
        <v>10</v>
      </c>
    </row>
    <row r="53" spans="2:128" ht="15" x14ac:dyDescent="0.25">
      <c r="B53" s="43" t="s">
        <v>5022</v>
      </c>
      <c r="C53" s="43" t="s">
        <v>4802</v>
      </c>
      <c r="D53" s="43" t="s">
        <v>4113</v>
      </c>
      <c r="E53" s="49">
        <v>43880</v>
      </c>
      <c r="F53" s="49">
        <v>45664</v>
      </c>
      <c r="G53" s="50">
        <v>1</v>
      </c>
      <c r="H53" s="43" t="s">
        <v>4798</v>
      </c>
      <c r="I53" s="43" t="s">
        <v>5023</v>
      </c>
      <c r="J53" s="43"/>
      <c r="K53" s="43">
        <v>2</v>
      </c>
      <c r="L53" s="43">
        <v>3</v>
      </c>
      <c r="M53" s="43"/>
      <c r="N53" s="43"/>
      <c r="O53" s="43" t="s">
        <v>4725</v>
      </c>
      <c r="P53" s="43" t="s">
        <v>5024</v>
      </c>
      <c r="Q53" s="43" t="s">
        <v>5042</v>
      </c>
      <c r="R53" s="43" t="s">
        <v>5043</v>
      </c>
      <c r="S53" s="43" t="s">
        <v>5026</v>
      </c>
      <c r="T53" s="51" t="s">
        <v>5027</v>
      </c>
      <c r="U53" s="52" t="s">
        <v>5028</v>
      </c>
      <c r="V53" s="53" t="s">
        <v>3896</v>
      </c>
      <c r="W53" s="54" t="s">
        <v>5034</v>
      </c>
      <c r="X53" s="55" t="s">
        <v>5034</v>
      </c>
      <c r="AI53" s="54"/>
      <c r="AJ53" s="56" t="s">
        <v>5034</v>
      </c>
      <c r="AK53" s="57"/>
      <c r="AL53" s="57"/>
      <c r="AM53" s="57"/>
      <c r="AN53" s="57"/>
      <c r="AO53" s="57"/>
      <c r="AP53" s="57"/>
      <c r="AQ53" s="57"/>
      <c r="AR53" s="57"/>
      <c r="AS53" s="57"/>
      <c r="AT53" s="57"/>
      <c r="AU53" s="57"/>
      <c r="AV53" s="57"/>
      <c r="AW53" s="57"/>
      <c r="AX53" s="57"/>
      <c r="AY53" s="57"/>
      <c r="AZ53" s="57"/>
      <c r="BA53" s="57"/>
      <c r="BB53" s="57"/>
      <c r="BC53" s="58"/>
      <c r="BD53" s="55" t="s">
        <v>5034</v>
      </c>
      <c r="BO53" s="54"/>
      <c r="BP53" s="56" t="s">
        <v>5034</v>
      </c>
      <c r="BQ53" s="57"/>
      <c r="BR53" s="57"/>
      <c r="BS53" s="57"/>
      <c r="BT53" s="57"/>
      <c r="BU53" s="57"/>
      <c r="BV53" s="57"/>
      <c r="BW53" s="57"/>
      <c r="BX53" s="57"/>
      <c r="BY53" s="57"/>
      <c r="BZ53" s="57"/>
      <c r="CA53" s="57"/>
      <c r="CB53" s="56" t="s">
        <v>5034</v>
      </c>
      <c r="CC53" s="57"/>
      <c r="CD53" s="57"/>
      <c r="CE53" s="57"/>
      <c r="CF53" s="57"/>
      <c r="CG53" s="57"/>
      <c r="CH53" s="57"/>
      <c r="CI53" s="57"/>
      <c r="CJ53" s="57"/>
      <c r="CK53" s="57"/>
      <c r="CL53" s="57"/>
      <c r="CM53" s="57"/>
      <c r="CN53" s="56" t="s">
        <v>5034</v>
      </c>
      <c r="CO53" s="57"/>
      <c r="CP53" s="57"/>
      <c r="CQ53" s="57"/>
      <c r="CR53" s="57"/>
      <c r="CS53" s="57"/>
      <c r="CT53" s="57"/>
      <c r="CU53" s="57"/>
      <c r="CV53" s="57"/>
      <c r="CW53" s="57"/>
      <c r="CX53" s="57"/>
      <c r="CY53" s="57"/>
      <c r="CZ53" s="56" t="s">
        <v>5034</v>
      </c>
      <c r="DA53" s="57"/>
      <c r="DB53" s="57"/>
      <c r="DC53" s="57"/>
      <c r="DD53" s="57"/>
      <c r="DE53" s="57"/>
      <c r="DF53" s="57"/>
      <c r="DG53" s="57"/>
      <c r="DH53" s="57"/>
      <c r="DI53" s="57"/>
      <c r="DJ53" s="57"/>
      <c r="DK53" s="58"/>
      <c r="DL53" s="59">
        <v>0</v>
      </c>
      <c r="DM53" s="60">
        <v>0</v>
      </c>
      <c r="DN53" s="61">
        <v>0</v>
      </c>
      <c r="DO53" s="60">
        <v>0</v>
      </c>
      <c r="DP53" s="60">
        <v>0</v>
      </c>
      <c r="DQ53" s="59">
        <v>0</v>
      </c>
      <c r="DR53" s="62" t="s">
        <v>5034</v>
      </c>
      <c r="DS53" s="62" t="s">
        <v>5034</v>
      </c>
      <c r="DU53" s="62" t="s">
        <v>5034</v>
      </c>
      <c r="DV53" s="63">
        <v>44483.750949641202</v>
      </c>
      <c r="DW53" s="64">
        <v>2021</v>
      </c>
      <c r="DX53" s="65">
        <v>10</v>
      </c>
    </row>
    <row r="54" spans="2:128" ht="15" x14ac:dyDescent="0.25">
      <c r="B54" s="43" t="s">
        <v>5022</v>
      </c>
      <c r="C54" s="43" t="s">
        <v>4845</v>
      </c>
      <c r="D54" s="43" t="s">
        <v>2572</v>
      </c>
      <c r="E54" s="49">
        <v>43929</v>
      </c>
      <c r="F54" s="49"/>
      <c r="G54" s="50">
        <v>1</v>
      </c>
      <c r="H54" s="43" t="s">
        <v>4798</v>
      </c>
      <c r="I54" s="43" t="s">
        <v>5023</v>
      </c>
      <c r="J54" s="43"/>
      <c r="K54" s="43">
        <v>2</v>
      </c>
      <c r="L54" s="43">
        <v>2</v>
      </c>
      <c r="M54" s="43"/>
      <c r="N54" s="43"/>
      <c r="O54" s="43" t="s">
        <v>4725</v>
      </c>
      <c r="P54" s="43" t="s">
        <v>5024</v>
      </c>
      <c r="Q54" s="43" t="s">
        <v>5074</v>
      </c>
      <c r="R54" s="43" t="s">
        <v>5047</v>
      </c>
      <c r="S54" s="43" t="s">
        <v>5026</v>
      </c>
      <c r="T54" s="51" t="s">
        <v>5027</v>
      </c>
      <c r="U54" s="52" t="s">
        <v>5028</v>
      </c>
      <c r="V54" s="53" t="s">
        <v>3884</v>
      </c>
      <c r="W54" s="54" t="s">
        <v>2571</v>
      </c>
      <c r="X54" s="55" t="s">
        <v>4889</v>
      </c>
      <c r="Y54" t="s">
        <v>4896</v>
      </c>
      <c r="Z54" t="s">
        <v>4800</v>
      </c>
      <c r="AA54" t="s">
        <v>4891</v>
      </c>
      <c r="AI54" s="54"/>
      <c r="AJ54" s="56">
        <v>45740</v>
      </c>
      <c r="AK54" s="57">
        <v>45831</v>
      </c>
      <c r="AL54" s="57">
        <v>45922</v>
      </c>
      <c r="AM54" s="57">
        <v>46013</v>
      </c>
      <c r="AN54" s="57"/>
      <c r="AO54" s="57"/>
      <c r="AP54" s="57"/>
      <c r="AQ54" s="57"/>
      <c r="AR54" s="57"/>
      <c r="AS54" s="57"/>
      <c r="AT54" s="57"/>
      <c r="AU54" s="57"/>
      <c r="AV54" s="57"/>
      <c r="AW54" s="57"/>
      <c r="AX54" s="57"/>
      <c r="AY54" s="57"/>
      <c r="AZ54" s="57"/>
      <c r="BA54" s="57"/>
      <c r="BB54" s="57"/>
      <c r="BC54" s="58"/>
      <c r="BD54" s="55" t="s">
        <v>5030</v>
      </c>
      <c r="BE54" t="s">
        <v>5031</v>
      </c>
      <c r="BF54" t="s">
        <v>5032</v>
      </c>
      <c r="BG54" t="s">
        <v>5033</v>
      </c>
      <c r="BO54" s="54"/>
      <c r="BP54" s="56">
        <v>45712</v>
      </c>
      <c r="BQ54" s="57">
        <v>45803</v>
      </c>
      <c r="BR54" s="57">
        <v>45894</v>
      </c>
      <c r="BS54" s="57">
        <v>45985</v>
      </c>
      <c r="BT54" s="57"/>
      <c r="BU54" s="57"/>
      <c r="BV54" s="57"/>
      <c r="BW54" s="57"/>
      <c r="BX54" s="57"/>
      <c r="BY54" s="57"/>
      <c r="BZ54" s="57"/>
      <c r="CA54" s="57"/>
      <c r="CB54" s="56" t="s">
        <v>5034</v>
      </c>
      <c r="CC54" s="57"/>
      <c r="CD54" s="57"/>
      <c r="CE54" s="57"/>
      <c r="CF54" s="57"/>
      <c r="CG54" s="57"/>
      <c r="CH54" s="57"/>
      <c r="CI54" s="57"/>
      <c r="CJ54" s="57"/>
      <c r="CK54" s="57"/>
      <c r="CL54" s="57"/>
      <c r="CM54" s="57"/>
      <c r="CN54" s="56">
        <v>45736</v>
      </c>
      <c r="CO54" s="57">
        <v>45827</v>
      </c>
      <c r="CP54" s="57">
        <v>45918</v>
      </c>
      <c r="CQ54" s="57">
        <v>46009</v>
      </c>
      <c r="CR54" s="57"/>
      <c r="CS54" s="57"/>
      <c r="CT54" s="57"/>
      <c r="CU54" s="57"/>
      <c r="CV54" s="57"/>
      <c r="CW54" s="57"/>
      <c r="CX54" s="57"/>
      <c r="CY54" s="57"/>
      <c r="CZ54" s="56" t="s">
        <v>5034</v>
      </c>
      <c r="DA54" s="57"/>
      <c r="DB54" s="57"/>
      <c r="DC54" s="57"/>
      <c r="DD54" s="57"/>
      <c r="DE54" s="57"/>
      <c r="DF54" s="57"/>
      <c r="DG54" s="57"/>
      <c r="DH54" s="57"/>
      <c r="DI54" s="57"/>
      <c r="DJ54" s="57"/>
      <c r="DK54" s="58"/>
      <c r="DL54" s="59">
        <v>4</v>
      </c>
      <c r="DM54" s="60">
        <v>4</v>
      </c>
      <c r="DN54" s="61">
        <v>0</v>
      </c>
      <c r="DO54" s="60">
        <v>4</v>
      </c>
      <c r="DP54" s="60">
        <v>0</v>
      </c>
      <c r="DQ54" s="59">
        <v>12</v>
      </c>
      <c r="DR54" s="62">
        <v>854</v>
      </c>
      <c r="DS54" s="62" t="s">
        <v>5034</v>
      </c>
      <c r="DU54" s="62" t="s">
        <v>5034</v>
      </c>
      <c r="DV54" s="63">
        <v>45084.584395798614</v>
      </c>
      <c r="DW54" s="64">
        <v>2023</v>
      </c>
      <c r="DX54" s="65">
        <v>6</v>
      </c>
    </row>
    <row r="55" spans="2:128" ht="15" x14ac:dyDescent="0.25">
      <c r="B55" s="43" t="s">
        <v>5022</v>
      </c>
      <c r="C55" s="43" t="s">
        <v>4802</v>
      </c>
      <c r="D55" s="43" t="s">
        <v>4846</v>
      </c>
      <c r="E55" s="49">
        <v>44097</v>
      </c>
      <c r="F55" s="49"/>
      <c r="G55" s="50">
        <v>1</v>
      </c>
      <c r="H55" s="43" t="s">
        <v>4798</v>
      </c>
      <c r="I55" s="43" t="s">
        <v>5023</v>
      </c>
      <c r="J55" s="43"/>
      <c r="K55" s="43">
        <v>2</v>
      </c>
      <c r="L55" s="43">
        <v>3</v>
      </c>
      <c r="M55" s="43"/>
      <c r="N55" s="43"/>
      <c r="O55" s="43" t="s">
        <v>4725</v>
      </c>
      <c r="P55" s="43" t="s">
        <v>5063</v>
      </c>
      <c r="Q55" s="43" t="s">
        <v>5075</v>
      </c>
      <c r="R55" s="43" t="s">
        <v>5045</v>
      </c>
      <c r="S55" s="43" t="s">
        <v>5026</v>
      </c>
      <c r="T55" s="51" t="s">
        <v>5027</v>
      </c>
      <c r="U55" s="52" t="s">
        <v>5028</v>
      </c>
      <c r="V55" s="53" t="s">
        <v>3884</v>
      </c>
      <c r="W55" s="54" t="s">
        <v>2511</v>
      </c>
      <c r="X55" s="55" t="s">
        <v>4889</v>
      </c>
      <c r="Y55" t="s">
        <v>4896</v>
      </c>
      <c r="Z55" t="s">
        <v>4800</v>
      </c>
      <c r="AA55" t="s">
        <v>4891</v>
      </c>
      <c r="AI55" s="54"/>
      <c r="AJ55" s="56">
        <v>45740</v>
      </c>
      <c r="AK55" s="57">
        <v>45831</v>
      </c>
      <c r="AL55" s="57">
        <v>45922</v>
      </c>
      <c r="AM55" s="57">
        <v>46013</v>
      </c>
      <c r="AN55" s="57"/>
      <c r="AO55" s="57"/>
      <c r="AP55" s="57"/>
      <c r="AQ55" s="57"/>
      <c r="AR55" s="57"/>
      <c r="AS55" s="57"/>
      <c r="AT55" s="57"/>
      <c r="AU55" s="57"/>
      <c r="AV55" s="57"/>
      <c r="AW55" s="57"/>
      <c r="AX55" s="57"/>
      <c r="AY55" s="57"/>
      <c r="AZ55" s="57"/>
      <c r="BA55" s="57"/>
      <c r="BB55" s="57"/>
      <c r="BC55" s="58"/>
      <c r="BD55" s="55" t="s">
        <v>5030</v>
      </c>
      <c r="BE55" t="s">
        <v>5031</v>
      </c>
      <c r="BF55" t="s">
        <v>5032</v>
      </c>
      <c r="BG55" t="s">
        <v>5033</v>
      </c>
      <c r="BO55" s="54"/>
      <c r="BP55" s="56">
        <v>45712</v>
      </c>
      <c r="BQ55" s="57">
        <v>45803</v>
      </c>
      <c r="BR55" s="57">
        <v>45894</v>
      </c>
      <c r="BS55" s="57">
        <v>45985</v>
      </c>
      <c r="BT55" s="57"/>
      <c r="BU55" s="57"/>
      <c r="BV55" s="57"/>
      <c r="BW55" s="57"/>
      <c r="BX55" s="57"/>
      <c r="BY55" s="57"/>
      <c r="BZ55" s="57"/>
      <c r="CA55" s="57"/>
      <c r="CB55" s="56" t="s">
        <v>5034</v>
      </c>
      <c r="CC55" s="57"/>
      <c r="CD55" s="57"/>
      <c r="CE55" s="57"/>
      <c r="CF55" s="57"/>
      <c r="CG55" s="57"/>
      <c r="CH55" s="57"/>
      <c r="CI55" s="57"/>
      <c r="CJ55" s="57"/>
      <c r="CK55" s="57"/>
      <c r="CL55" s="57"/>
      <c r="CM55" s="57"/>
      <c r="CN55" s="56">
        <v>45736</v>
      </c>
      <c r="CO55" s="57">
        <v>45827</v>
      </c>
      <c r="CP55" s="57">
        <v>45918</v>
      </c>
      <c r="CQ55" s="57">
        <v>46009</v>
      </c>
      <c r="CR55" s="57"/>
      <c r="CS55" s="57"/>
      <c r="CT55" s="57"/>
      <c r="CU55" s="57"/>
      <c r="CV55" s="57"/>
      <c r="CW55" s="57"/>
      <c r="CX55" s="57"/>
      <c r="CY55" s="57"/>
      <c r="CZ55" s="56" t="s">
        <v>5034</v>
      </c>
      <c r="DA55" s="57"/>
      <c r="DB55" s="57"/>
      <c r="DC55" s="57"/>
      <c r="DD55" s="57"/>
      <c r="DE55" s="57"/>
      <c r="DF55" s="57"/>
      <c r="DG55" s="57"/>
      <c r="DH55" s="57"/>
      <c r="DI55" s="57"/>
      <c r="DJ55" s="57"/>
      <c r="DK55" s="58"/>
      <c r="DL55" s="59">
        <v>4</v>
      </c>
      <c r="DM55" s="60">
        <v>4</v>
      </c>
      <c r="DN55" s="61">
        <v>0</v>
      </c>
      <c r="DO55" s="60">
        <v>4</v>
      </c>
      <c r="DP55" s="60">
        <v>0</v>
      </c>
      <c r="DQ55" s="59">
        <v>12</v>
      </c>
      <c r="DR55" s="62">
        <v>886</v>
      </c>
      <c r="DS55" s="62" t="s">
        <v>5034</v>
      </c>
      <c r="DU55" s="62" t="s">
        <v>5034</v>
      </c>
      <c r="DV55" s="63">
        <v>44988</v>
      </c>
      <c r="DW55" s="64">
        <v>2023</v>
      </c>
      <c r="DX55" s="65">
        <v>3</v>
      </c>
    </row>
    <row r="56" spans="2:128" ht="15" x14ac:dyDescent="0.25">
      <c r="B56" s="43" t="s">
        <v>5022</v>
      </c>
      <c r="C56" s="43" t="s">
        <v>4801</v>
      </c>
      <c r="D56" s="43" t="s">
        <v>4847</v>
      </c>
      <c r="E56" s="49">
        <v>44165</v>
      </c>
      <c r="F56" s="49"/>
      <c r="G56" s="50">
        <v>1</v>
      </c>
      <c r="H56" s="43" t="s">
        <v>4799</v>
      </c>
      <c r="I56" s="43" t="s">
        <v>5076</v>
      </c>
      <c r="J56" s="43"/>
      <c r="K56" s="43">
        <v>2</v>
      </c>
      <c r="L56" s="43">
        <v>2</v>
      </c>
      <c r="M56" s="43"/>
      <c r="N56" s="43"/>
      <c r="O56" s="43"/>
      <c r="P56" s="43" t="s">
        <v>5077</v>
      </c>
      <c r="Q56" s="43"/>
      <c r="R56" s="43" t="s">
        <v>5078</v>
      </c>
      <c r="S56" s="43" t="s">
        <v>5079</v>
      </c>
      <c r="T56" s="51" t="s">
        <v>5027</v>
      </c>
      <c r="U56" s="52" t="s">
        <v>5028</v>
      </c>
      <c r="V56" s="53" t="s">
        <v>3884</v>
      </c>
      <c r="W56" s="54" t="s">
        <v>5080</v>
      </c>
      <c r="X56" s="55" t="s">
        <v>4889</v>
      </c>
      <c r="Y56" t="s">
        <v>4800</v>
      </c>
      <c r="AI56" s="54"/>
      <c r="AJ56" s="56">
        <v>45740</v>
      </c>
      <c r="AK56" s="57">
        <v>45922</v>
      </c>
      <c r="AL56" s="57"/>
      <c r="AM56" s="57"/>
      <c r="AN56" s="57"/>
      <c r="AO56" s="57"/>
      <c r="AP56" s="57"/>
      <c r="AQ56" s="57"/>
      <c r="AR56" s="57"/>
      <c r="AS56" s="57"/>
      <c r="AT56" s="57"/>
      <c r="AU56" s="57"/>
      <c r="AV56" s="57"/>
      <c r="AW56" s="57"/>
      <c r="AX56" s="57"/>
      <c r="AY56" s="57"/>
      <c r="AZ56" s="57"/>
      <c r="BA56" s="57"/>
      <c r="BB56" s="57"/>
      <c r="BC56" s="58"/>
      <c r="BD56" s="55" t="s">
        <v>5030</v>
      </c>
      <c r="BE56" t="s">
        <v>5032</v>
      </c>
      <c r="BO56" s="54"/>
      <c r="BP56" s="56">
        <v>45712</v>
      </c>
      <c r="BQ56" s="57">
        <v>45894</v>
      </c>
      <c r="BR56" s="57"/>
      <c r="BS56" s="57"/>
      <c r="BT56" s="57"/>
      <c r="BU56" s="57"/>
      <c r="BV56" s="57"/>
      <c r="BW56" s="57"/>
      <c r="BX56" s="57"/>
      <c r="BY56" s="57"/>
      <c r="BZ56" s="57"/>
      <c r="CA56" s="57"/>
      <c r="CB56" s="56" t="s">
        <v>5034</v>
      </c>
      <c r="CC56" s="57"/>
      <c r="CD56" s="57"/>
      <c r="CE56" s="57"/>
      <c r="CF56" s="57"/>
      <c r="CG56" s="57"/>
      <c r="CH56" s="57"/>
      <c r="CI56" s="57"/>
      <c r="CJ56" s="57"/>
      <c r="CK56" s="57"/>
      <c r="CL56" s="57"/>
      <c r="CM56" s="57"/>
      <c r="CN56" s="56">
        <v>45736</v>
      </c>
      <c r="CO56" s="57">
        <v>45918</v>
      </c>
      <c r="CP56" s="57"/>
      <c r="CQ56" s="57"/>
      <c r="CR56" s="57"/>
      <c r="CS56" s="57"/>
      <c r="CT56" s="57"/>
      <c r="CU56" s="57"/>
      <c r="CV56" s="57"/>
      <c r="CW56" s="57"/>
      <c r="CX56" s="57"/>
      <c r="CY56" s="57"/>
      <c r="CZ56" s="56" t="s">
        <v>5034</v>
      </c>
      <c r="DA56" s="57"/>
      <c r="DB56" s="57"/>
      <c r="DC56" s="57"/>
      <c r="DD56" s="57"/>
      <c r="DE56" s="57"/>
      <c r="DF56" s="57"/>
      <c r="DG56" s="57"/>
      <c r="DH56" s="57"/>
      <c r="DI56" s="57"/>
      <c r="DJ56" s="57"/>
      <c r="DK56" s="58"/>
      <c r="DL56" s="59">
        <v>2</v>
      </c>
      <c r="DM56" s="60">
        <v>2</v>
      </c>
      <c r="DN56" s="61">
        <v>0</v>
      </c>
      <c r="DO56" s="60">
        <v>2</v>
      </c>
      <c r="DP56" s="60">
        <v>0</v>
      </c>
      <c r="DQ56" s="59">
        <v>6</v>
      </c>
      <c r="DR56" s="62">
        <v>898</v>
      </c>
      <c r="DS56" s="62" t="s">
        <v>5034</v>
      </c>
      <c r="DU56" s="62" t="s">
        <v>5034</v>
      </c>
      <c r="DV56" s="63">
        <v>45469</v>
      </c>
      <c r="DW56" s="64">
        <v>2024</v>
      </c>
      <c r="DX56" s="65">
        <v>6</v>
      </c>
    </row>
    <row r="57" spans="2:128" ht="15" x14ac:dyDescent="0.25">
      <c r="B57" s="43" t="s">
        <v>5022</v>
      </c>
      <c r="C57" s="43" t="s">
        <v>4801</v>
      </c>
      <c r="D57" s="43" t="s">
        <v>4847</v>
      </c>
      <c r="E57" s="49">
        <v>44165</v>
      </c>
      <c r="F57" s="49"/>
      <c r="G57" s="50">
        <v>1</v>
      </c>
      <c r="H57" s="43" t="s">
        <v>4799</v>
      </c>
      <c r="I57" s="43" t="s">
        <v>5076</v>
      </c>
      <c r="J57" s="43"/>
      <c r="K57" s="43">
        <v>2</v>
      </c>
      <c r="L57" s="43">
        <v>2</v>
      </c>
      <c r="M57" s="43"/>
      <c r="N57" s="43"/>
      <c r="O57" s="43"/>
      <c r="P57" s="43" t="s">
        <v>5077</v>
      </c>
      <c r="Q57" s="43"/>
      <c r="R57" s="43" t="s">
        <v>5078</v>
      </c>
      <c r="S57" s="43" t="s">
        <v>5079</v>
      </c>
      <c r="T57" s="51" t="s">
        <v>5027</v>
      </c>
      <c r="U57" s="52" t="s">
        <v>5028</v>
      </c>
      <c r="V57" s="53" t="s">
        <v>3896</v>
      </c>
      <c r="W57" s="54" t="s">
        <v>5034</v>
      </c>
      <c r="X57" s="55" t="s">
        <v>5034</v>
      </c>
      <c r="AI57" s="54"/>
      <c r="AJ57" s="56" t="s">
        <v>5034</v>
      </c>
      <c r="AK57" s="57"/>
      <c r="AL57" s="57"/>
      <c r="AM57" s="57"/>
      <c r="AN57" s="57"/>
      <c r="AO57" s="57"/>
      <c r="AP57" s="57"/>
      <c r="AQ57" s="57"/>
      <c r="AR57" s="57"/>
      <c r="AS57" s="57"/>
      <c r="AT57" s="57"/>
      <c r="AU57" s="57"/>
      <c r="AV57" s="57"/>
      <c r="AW57" s="57"/>
      <c r="AX57" s="57"/>
      <c r="AY57" s="57"/>
      <c r="AZ57" s="57"/>
      <c r="BA57" s="57"/>
      <c r="BB57" s="57"/>
      <c r="BC57" s="58"/>
      <c r="BD57" s="55" t="s">
        <v>5034</v>
      </c>
      <c r="BO57" s="54"/>
      <c r="BP57" s="56" t="s">
        <v>5034</v>
      </c>
      <c r="BQ57" s="57"/>
      <c r="BR57" s="57"/>
      <c r="BS57" s="57"/>
      <c r="BT57" s="57"/>
      <c r="BU57" s="57"/>
      <c r="BV57" s="57"/>
      <c r="BW57" s="57"/>
      <c r="BX57" s="57"/>
      <c r="BY57" s="57"/>
      <c r="BZ57" s="57"/>
      <c r="CA57" s="57"/>
      <c r="CB57" s="56" t="s">
        <v>5034</v>
      </c>
      <c r="CC57" s="57"/>
      <c r="CD57" s="57"/>
      <c r="CE57" s="57"/>
      <c r="CF57" s="57"/>
      <c r="CG57" s="57"/>
      <c r="CH57" s="57"/>
      <c r="CI57" s="57"/>
      <c r="CJ57" s="57"/>
      <c r="CK57" s="57"/>
      <c r="CL57" s="57"/>
      <c r="CM57" s="57"/>
      <c r="CN57" s="56" t="s">
        <v>5034</v>
      </c>
      <c r="CO57" s="57"/>
      <c r="CP57" s="57"/>
      <c r="CQ57" s="57"/>
      <c r="CR57" s="57"/>
      <c r="CS57" s="57"/>
      <c r="CT57" s="57"/>
      <c r="CU57" s="57"/>
      <c r="CV57" s="57"/>
      <c r="CW57" s="57"/>
      <c r="CX57" s="57"/>
      <c r="CY57" s="57"/>
      <c r="CZ57" s="56" t="s">
        <v>5034</v>
      </c>
      <c r="DA57" s="57"/>
      <c r="DB57" s="57"/>
      <c r="DC57" s="57"/>
      <c r="DD57" s="57"/>
      <c r="DE57" s="57"/>
      <c r="DF57" s="57"/>
      <c r="DG57" s="57"/>
      <c r="DH57" s="57"/>
      <c r="DI57" s="57"/>
      <c r="DJ57" s="57"/>
      <c r="DK57" s="58"/>
      <c r="DL57" s="59">
        <v>0</v>
      </c>
      <c r="DM57" s="60">
        <v>0</v>
      </c>
      <c r="DN57" s="61">
        <v>0</v>
      </c>
      <c r="DO57" s="60">
        <v>0</v>
      </c>
      <c r="DP57" s="60">
        <v>0</v>
      </c>
      <c r="DQ57" s="59">
        <v>0</v>
      </c>
      <c r="DR57" s="62" t="s">
        <v>5034</v>
      </c>
      <c r="DS57" s="62" t="s">
        <v>5034</v>
      </c>
      <c r="DU57" s="62" t="s">
        <v>5034</v>
      </c>
      <c r="DV57" s="63">
        <v>45469</v>
      </c>
      <c r="DW57" s="64">
        <v>2024</v>
      </c>
      <c r="DX57" s="65">
        <v>6</v>
      </c>
    </row>
    <row r="58" spans="2:128" ht="15" x14ac:dyDescent="0.25">
      <c r="B58" s="43" t="s">
        <v>5022</v>
      </c>
      <c r="C58" s="43" t="s">
        <v>4801</v>
      </c>
      <c r="D58" s="43" t="s">
        <v>4848</v>
      </c>
      <c r="E58" s="49">
        <v>44165</v>
      </c>
      <c r="F58" s="49"/>
      <c r="G58" s="50">
        <v>1</v>
      </c>
      <c r="H58" s="43" t="s">
        <v>4799</v>
      </c>
      <c r="I58" s="43" t="s">
        <v>5076</v>
      </c>
      <c r="J58" s="43">
        <v>8</v>
      </c>
      <c r="K58" s="43">
        <v>2</v>
      </c>
      <c r="L58" s="43">
        <v>2</v>
      </c>
      <c r="M58" s="43"/>
      <c r="N58" s="43"/>
      <c r="O58" s="43"/>
      <c r="P58" s="43" t="s">
        <v>5077</v>
      </c>
      <c r="Q58" s="43"/>
      <c r="R58" s="43" t="s">
        <v>5081</v>
      </c>
      <c r="S58" s="43" t="s">
        <v>5026</v>
      </c>
      <c r="T58" s="51" t="s">
        <v>5078</v>
      </c>
      <c r="U58" s="52" t="s">
        <v>5028</v>
      </c>
      <c r="V58" s="53" t="s">
        <v>3884</v>
      </c>
      <c r="W58" s="54" t="s">
        <v>5082</v>
      </c>
      <c r="X58" s="55" t="s">
        <v>4889</v>
      </c>
      <c r="Y58" t="s">
        <v>4800</v>
      </c>
      <c r="AI58" s="54"/>
      <c r="AJ58" s="56">
        <v>45740</v>
      </c>
      <c r="AK58" s="57">
        <v>45922</v>
      </c>
      <c r="AL58" s="57"/>
      <c r="AM58" s="57"/>
      <c r="AN58" s="57"/>
      <c r="AO58" s="57"/>
      <c r="AP58" s="57"/>
      <c r="AQ58" s="57"/>
      <c r="AR58" s="57"/>
      <c r="AS58" s="57"/>
      <c r="AT58" s="57"/>
      <c r="AU58" s="57"/>
      <c r="AV58" s="57"/>
      <c r="AW58" s="57"/>
      <c r="AX58" s="57"/>
      <c r="AY58" s="57"/>
      <c r="AZ58" s="57"/>
      <c r="BA58" s="57"/>
      <c r="BB58" s="57"/>
      <c r="BC58" s="58"/>
      <c r="BD58" s="55" t="s">
        <v>5030</v>
      </c>
      <c r="BE58" t="s">
        <v>5032</v>
      </c>
      <c r="BO58" s="54"/>
      <c r="BP58" s="56">
        <v>45712</v>
      </c>
      <c r="BQ58" s="57">
        <v>45894</v>
      </c>
      <c r="BR58" s="57"/>
      <c r="BS58" s="57"/>
      <c r="BT58" s="57"/>
      <c r="BU58" s="57"/>
      <c r="BV58" s="57"/>
      <c r="BW58" s="57"/>
      <c r="BX58" s="57"/>
      <c r="BY58" s="57"/>
      <c r="BZ58" s="57"/>
      <c r="CA58" s="57"/>
      <c r="CB58" s="56">
        <v>45728</v>
      </c>
      <c r="CC58" s="57">
        <v>45910</v>
      </c>
      <c r="CD58" s="57"/>
      <c r="CE58" s="57"/>
      <c r="CF58" s="57"/>
      <c r="CG58" s="57"/>
      <c r="CH58" s="57"/>
      <c r="CI58" s="57"/>
      <c r="CJ58" s="57"/>
      <c r="CK58" s="57"/>
      <c r="CL58" s="57"/>
      <c r="CM58" s="57"/>
      <c r="CN58" s="56">
        <v>45736</v>
      </c>
      <c r="CO58" s="57">
        <v>45918</v>
      </c>
      <c r="CP58" s="57"/>
      <c r="CQ58" s="57"/>
      <c r="CR58" s="57"/>
      <c r="CS58" s="57"/>
      <c r="CT58" s="57"/>
      <c r="CU58" s="57"/>
      <c r="CV58" s="57"/>
      <c r="CW58" s="57"/>
      <c r="CX58" s="57"/>
      <c r="CY58" s="57"/>
      <c r="CZ58" s="56" t="s">
        <v>5034</v>
      </c>
      <c r="DA58" s="57"/>
      <c r="DB58" s="57"/>
      <c r="DC58" s="57"/>
      <c r="DD58" s="57"/>
      <c r="DE58" s="57"/>
      <c r="DF58" s="57"/>
      <c r="DG58" s="57"/>
      <c r="DH58" s="57"/>
      <c r="DI58" s="57"/>
      <c r="DJ58" s="57"/>
      <c r="DK58" s="58"/>
      <c r="DL58" s="59">
        <v>2</v>
      </c>
      <c r="DM58" s="60">
        <v>2</v>
      </c>
      <c r="DN58" s="61">
        <v>2</v>
      </c>
      <c r="DO58" s="60">
        <v>2</v>
      </c>
      <c r="DP58" s="60">
        <v>0</v>
      </c>
      <c r="DQ58" s="59">
        <v>8</v>
      </c>
      <c r="DR58" s="62">
        <v>904</v>
      </c>
      <c r="DS58" s="62" t="s">
        <v>5034</v>
      </c>
      <c r="DU58" s="62" t="s">
        <v>5034</v>
      </c>
      <c r="DV58" s="63">
        <v>45344</v>
      </c>
      <c r="DW58" s="64">
        <v>2024</v>
      </c>
      <c r="DX58" s="65">
        <v>2</v>
      </c>
    </row>
    <row r="59" spans="2:128" ht="15" x14ac:dyDescent="0.25">
      <c r="B59" s="43" t="s">
        <v>5022</v>
      </c>
      <c r="C59" s="43" t="s">
        <v>4801</v>
      </c>
      <c r="D59" s="43" t="s">
        <v>4849</v>
      </c>
      <c r="E59" s="49">
        <v>44165</v>
      </c>
      <c r="F59" s="49"/>
      <c r="G59" s="50">
        <v>1</v>
      </c>
      <c r="H59" s="43" t="s">
        <v>4799</v>
      </c>
      <c r="I59" s="43" t="s">
        <v>5076</v>
      </c>
      <c r="J59" s="43"/>
      <c r="K59" s="43">
        <v>2</v>
      </c>
      <c r="L59" s="43">
        <v>2</v>
      </c>
      <c r="M59" s="43"/>
      <c r="N59" s="43"/>
      <c r="O59" s="43"/>
      <c r="P59" s="43" t="s">
        <v>5077</v>
      </c>
      <c r="Q59" s="43"/>
      <c r="R59" s="43" t="s">
        <v>5078</v>
      </c>
      <c r="S59" s="43" t="s">
        <v>5079</v>
      </c>
      <c r="T59" s="51" t="s">
        <v>5027</v>
      </c>
      <c r="U59" s="52" t="s">
        <v>5028</v>
      </c>
      <c r="V59" s="53" t="s">
        <v>3884</v>
      </c>
      <c r="W59" s="54" t="s">
        <v>5083</v>
      </c>
      <c r="X59" s="55" t="s">
        <v>4889</v>
      </c>
      <c r="Y59" t="s">
        <v>4800</v>
      </c>
      <c r="AI59" s="54"/>
      <c r="AJ59" s="56">
        <v>45740</v>
      </c>
      <c r="AK59" s="57">
        <v>45922</v>
      </c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57"/>
      <c r="AY59" s="57"/>
      <c r="AZ59" s="57"/>
      <c r="BA59" s="57"/>
      <c r="BB59" s="57"/>
      <c r="BC59" s="58"/>
      <c r="BD59" s="55" t="s">
        <v>5030</v>
      </c>
      <c r="BE59" t="s">
        <v>5032</v>
      </c>
      <c r="BO59" s="54"/>
      <c r="BP59" s="56">
        <v>45712</v>
      </c>
      <c r="BQ59" s="57">
        <v>45894</v>
      </c>
      <c r="BR59" s="57"/>
      <c r="BS59" s="57"/>
      <c r="BT59" s="57"/>
      <c r="BU59" s="57"/>
      <c r="BV59" s="57"/>
      <c r="BW59" s="57"/>
      <c r="BX59" s="57"/>
      <c r="BY59" s="57"/>
      <c r="BZ59" s="57"/>
      <c r="CA59" s="57"/>
      <c r="CB59" s="56" t="s">
        <v>5034</v>
      </c>
      <c r="CC59" s="57"/>
      <c r="CD59" s="57"/>
      <c r="CE59" s="57"/>
      <c r="CF59" s="57"/>
      <c r="CG59" s="57"/>
      <c r="CH59" s="57"/>
      <c r="CI59" s="57"/>
      <c r="CJ59" s="57"/>
      <c r="CK59" s="57"/>
      <c r="CL59" s="57"/>
      <c r="CM59" s="57"/>
      <c r="CN59" s="56">
        <v>45736</v>
      </c>
      <c r="CO59" s="57">
        <v>45918</v>
      </c>
      <c r="CP59" s="57"/>
      <c r="CQ59" s="57"/>
      <c r="CR59" s="57"/>
      <c r="CS59" s="57"/>
      <c r="CT59" s="57"/>
      <c r="CU59" s="57"/>
      <c r="CV59" s="57"/>
      <c r="CW59" s="57"/>
      <c r="CX59" s="57"/>
      <c r="CY59" s="57"/>
      <c r="CZ59" s="56" t="s">
        <v>5034</v>
      </c>
      <c r="DA59" s="57"/>
      <c r="DB59" s="57"/>
      <c r="DC59" s="57"/>
      <c r="DD59" s="57"/>
      <c r="DE59" s="57"/>
      <c r="DF59" s="57"/>
      <c r="DG59" s="57"/>
      <c r="DH59" s="57"/>
      <c r="DI59" s="57"/>
      <c r="DJ59" s="57"/>
      <c r="DK59" s="58"/>
      <c r="DL59" s="59">
        <v>2</v>
      </c>
      <c r="DM59" s="60">
        <v>2</v>
      </c>
      <c r="DN59" s="61">
        <v>0</v>
      </c>
      <c r="DO59" s="60">
        <v>2</v>
      </c>
      <c r="DP59" s="60">
        <v>0</v>
      </c>
      <c r="DQ59" s="59">
        <v>6</v>
      </c>
      <c r="DR59" s="62">
        <v>956</v>
      </c>
      <c r="DS59" s="62" t="s">
        <v>5034</v>
      </c>
      <c r="DU59" s="62" t="s">
        <v>5034</v>
      </c>
      <c r="DV59" s="63">
        <v>45469</v>
      </c>
      <c r="DW59" s="64">
        <v>2024</v>
      </c>
      <c r="DX59" s="65">
        <v>6</v>
      </c>
    </row>
    <row r="60" spans="2:128" ht="15" x14ac:dyDescent="0.25">
      <c r="B60" s="43" t="s">
        <v>5022</v>
      </c>
      <c r="C60" s="43" t="s">
        <v>4801</v>
      </c>
      <c r="D60" s="43" t="s">
        <v>4849</v>
      </c>
      <c r="E60" s="49">
        <v>44165</v>
      </c>
      <c r="F60" s="49"/>
      <c r="G60" s="50">
        <v>1</v>
      </c>
      <c r="H60" s="43" t="s">
        <v>4799</v>
      </c>
      <c r="I60" s="43" t="s">
        <v>5076</v>
      </c>
      <c r="J60" s="43"/>
      <c r="K60" s="43">
        <v>2</v>
      </c>
      <c r="L60" s="43">
        <v>2</v>
      </c>
      <c r="M60" s="43"/>
      <c r="N60" s="43"/>
      <c r="O60" s="43"/>
      <c r="P60" s="43" t="s">
        <v>5077</v>
      </c>
      <c r="Q60" s="43"/>
      <c r="R60" s="43" t="s">
        <v>5078</v>
      </c>
      <c r="S60" s="43" t="s">
        <v>5079</v>
      </c>
      <c r="T60" s="51" t="s">
        <v>5027</v>
      </c>
      <c r="U60" s="52" t="s">
        <v>5028</v>
      </c>
      <c r="V60" s="53" t="s">
        <v>3896</v>
      </c>
      <c r="W60" s="54" t="s">
        <v>5034</v>
      </c>
      <c r="X60" s="55" t="s">
        <v>5034</v>
      </c>
      <c r="AI60" s="54"/>
      <c r="AJ60" s="56" t="s">
        <v>5034</v>
      </c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  <c r="AV60" s="57"/>
      <c r="AW60" s="57"/>
      <c r="AX60" s="57"/>
      <c r="AY60" s="57"/>
      <c r="AZ60" s="57"/>
      <c r="BA60" s="57"/>
      <c r="BB60" s="57"/>
      <c r="BC60" s="58"/>
      <c r="BD60" s="55" t="s">
        <v>5034</v>
      </c>
      <c r="BO60" s="54"/>
      <c r="BP60" s="56" t="s">
        <v>5034</v>
      </c>
      <c r="BQ60" s="57"/>
      <c r="BR60" s="57"/>
      <c r="BS60" s="57"/>
      <c r="BT60" s="57"/>
      <c r="BU60" s="57"/>
      <c r="BV60" s="57"/>
      <c r="BW60" s="57"/>
      <c r="BX60" s="57"/>
      <c r="BY60" s="57"/>
      <c r="BZ60" s="57"/>
      <c r="CA60" s="57"/>
      <c r="CB60" s="56" t="s">
        <v>5034</v>
      </c>
      <c r="CC60" s="57"/>
      <c r="CD60" s="57"/>
      <c r="CE60" s="57"/>
      <c r="CF60" s="57"/>
      <c r="CG60" s="57"/>
      <c r="CH60" s="57"/>
      <c r="CI60" s="57"/>
      <c r="CJ60" s="57"/>
      <c r="CK60" s="57"/>
      <c r="CL60" s="57"/>
      <c r="CM60" s="57"/>
      <c r="CN60" s="56" t="s">
        <v>5034</v>
      </c>
      <c r="CO60" s="57"/>
      <c r="CP60" s="57"/>
      <c r="CQ60" s="57"/>
      <c r="CR60" s="57"/>
      <c r="CS60" s="57"/>
      <c r="CT60" s="57"/>
      <c r="CU60" s="57"/>
      <c r="CV60" s="57"/>
      <c r="CW60" s="57"/>
      <c r="CX60" s="57"/>
      <c r="CY60" s="57"/>
      <c r="CZ60" s="56" t="s">
        <v>5034</v>
      </c>
      <c r="DA60" s="57"/>
      <c r="DB60" s="57"/>
      <c r="DC60" s="57"/>
      <c r="DD60" s="57"/>
      <c r="DE60" s="57"/>
      <c r="DF60" s="57"/>
      <c r="DG60" s="57"/>
      <c r="DH60" s="57"/>
      <c r="DI60" s="57"/>
      <c r="DJ60" s="57"/>
      <c r="DK60" s="58"/>
      <c r="DL60" s="59">
        <v>0</v>
      </c>
      <c r="DM60" s="60">
        <v>0</v>
      </c>
      <c r="DN60" s="61">
        <v>0</v>
      </c>
      <c r="DO60" s="60">
        <v>0</v>
      </c>
      <c r="DP60" s="60">
        <v>0</v>
      </c>
      <c r="DQ60" s="59">
        <v>0</v>
      </c>
      <c r="DR60" s="62" t="s">
        <v>5034</v>
      </c>
      <c r="DS60" s="62" t="s">
        <v>5034</v>
      </c>
      <c r="DU60" s="62" t="s">
        <v>5034</v>
      </c>
      <c r="DV60" s="63">
        <v>45469</v>
      </c>
      <c r="DW60" s="64">
        <v>2024</v>
      </c>
      <c r="DX60" s="65">
        <v>6</v>
      </c>
    </row>
    <row r="61" spans="2:128" ht="15" x14ac:dyDescent="0.25">
      <c r="B61" s="43" t="s">
        <v>5022</v>
      </c>
      <c r="C61" s="43" t="s">
        <v>4825</v>
      </c>
      <c r="D61" s="43" t="s">
        <v>4850</v>
      </c>
      <c r="E61" s="49">
        <v>44202</v>
      </c>
      <c r="F61" s="49"/>
      <c r="G61" s="50">
        <v>1</v>
      </c>
      <c r="H61" s="43" t="s">
        <v>4798</v>
      </c>
      <c r="I61" s="43" t="s">
        <v>5023</v>
      </c>
      <c r="J61" s="43">
        <v>6</v>
      </c>
      <c r="K61" s="43">
        <v>2</v>
      </c>
      <c r="L61" s="43">
        <v>3</v>
      </c>
      <c r="M61" s="43"/>
      <c r="N61" s="43"/>
      <c r="O61" s="43" t="s">
        <v>5066</v>
      </c>
      <c r="P61" s="43" t="s">
        <v>5024</v>
      </c>
      <c r="Q61" s="43" t="s">
        <v>5054</v>
      </c>
      <c r="R61" s="43" t="s">
        <v>5047</v>
      </c>
      <c r="S61" s="43" t="s">
        <v>5026</v>
      </c>
      <c r="T61" s="51" t="s">
        <v>5027</v>
      </c>
      <c r="U61" s="52" t="s">
        <v>5028</v>
      </c>
      <c r="V61" s="53" t="s">
        <v>3884</v>
      </c>
      <c r="W61" s="54" t="s">
        <v>846</v>
      </c>
      <c r="X61" s="55" t="s">
        <v>4889</v>
      </c>
      <c r="Y61" t="s">
        <v>4896</v>
      </c>
      <c r="Z61" t="s">
        <v>4800</v>
      </c>
      <c r="AA61" t="s">
        <v>4891</v>
      </c>
      <c r="AI61" s="54"/>
      <c r="AJ61" s="56">
        <v>45740</v>
      </c>
      <c r="AK61" s="57">
        <v>45831</v>
      </c>
      <c r="AL61" s="57">
        <v>45922</v>
      </c>
      <c r="AM61" s="57">
        <v>46013</v>
      </c>
      <c r="AN61" s="57"/>
      <c r="AO61" s="57"/>
      <c r="AP61" s="57"/>
      <c r="AQ61" s="57"/>
      <c r="AR61" s="57"/>
      <c r="AS61" s="57"/>
      <c r="AT61" s="57"/>
      <c r="AU61" s="57"/>
      <c r="AV61" s="57"/>
      <c r="AW61" s="57"/>
      <c r="AX61" s="57"/>
      <c r="AY61" s="57"/>
      <c r="AZ61" s="57"/>
      <c r="BA61" s="57"/>
      <c r="BB61" s="57"/>
      <c r="BC61" s="58"/>
      <c r="BD61" s="55" t="s">
        <v>5030</v>
      </c>
      <c r="BE61" t="s">
        <v>5031</v>
      </c>
      <c r="BF61" t="s">
        <v>5032</v>
      </c>
      <c r="BG61" t="s">
        <v>5033</v>
      </c>
      <c r="BO61" s="54"/>
      <c r="BP61" s="56">
        <v>45712</v>
      </c>
      <c r="BQ61" s="57">
        <v>45803</v>
      </c>
      <c r="BR61" s="57">
        <v>45894</v>
      </c>
      <c r="BS61" s="57">
        <v>45985</v>
      </c>
      <c r="BT61" s="57"/>
      <c r="BU61" s="57"/>
      <c r="BV61" s="57"/>
      <c r="BW61" s="57"/>
      <c r="BX61" s="57"/>
      <c r="BY61" s="57"/>
      <c r="BZ61" s="57"/>
      <c r="CA61" s="57"/>
      <c r="CB61" s="56">
        <v>45730</v>
      </c>
      <c r="CC61" s="57">
        <v>45821</v>
      </c>
      <c r="CD61" s="57">
        <v>45912</v>
      </c>
      <c r="CE61" s="57">
        <v>46003</v>
      </c>
      <c r="CF61" s="57"/>
      <c r="CG61" s="57"/>
      <c r="CH61" s="57"/>
      <c r="CI61" s="57"/>
      <c r="CJ61" s="57"/>
      <c r="CK61" s="57"/>
      <c r="CL61" s="57"/>
      <c r="CM61" s="57"/>
      <c r="CN61" s="56">
        <v>45736</v>
      </c>
      <c r="CO61" s="57">
        <v>45827</v>
      </c>
      <c r="CP61" s="57">
        <v>45918</v>
      </c>
      <c r="CQ61" s="57">
        <v>46009</v>
      </c>
      <c r="CR61" s="57"/>
      <c r="CS61" s="57"/>
      <c r="CT61" s="57"/>
      <c r="CU61" s="57"/>
      <c r="CV61" s="57"/>
      <c r="CW61" s="57"/>
      <c r="CX61" s="57"/>
      <c r="CY61" s="57"/>
      <c r="CZ61" s="56" t="s">
        <v>5034</v>
      </c>
      <c r="DA61" s="57"/>
      <c r="DB61" s="57"/>
      <c r="DC61" s="57"/>
      <c r="DD61" s="57"/>
      <c r="DE61" s="57"/>
      <c r="DF61" s="57"/>
      <c r="DG61" s="57"/>
      <c r="DH61" s="57"/>
      <c r="DI61" s="57"/>
      <c r="DJ61" s="57"/>
      <c r="DK61" s="58"/>
      <c r="DL61" s="59">
        <v>4</v>
      </c>
      <c r="DM61" s="60">
        <v>4</v>
      </c>
      <c r="DN61" s="61">
        <v>4</v>
      </c>
      <c r="DO61" s="60">
        <v>4</v>
      </c>
      <c r="DP61" s="60">
        <v>0</v>
      </c>
      <c r="DQ61" s="59">
        <v>16</v>
      </c>
      <c r="DR61" s="62">
        <v>964</v>
      </c>
      <c r="DS61" s="62" t="s">
        <v>5034</v>
      </c>
      <c r="DU61" s="62" t="s">
        <v>5034</v>
      </c>
      <c r="DV61" s="63">
        <v>45084.581275798613</v>
      </c>
      <c r="DW61" s="64">
        <v>2023</v>
      </c>
      <c r="DX61" s="65">
        <v>6</v>
      </c>
    </row>
    <row r="62" spans="2:128" ht="15" x14ac:dyDescent="0.25">
      <c r="B62" s="43" t="s">
        <v>5022</v>
      </c>
      <c r="C62" s="43" t="s">
        <v>4801</v>
      </c>
      <c r="D62" s="43" t="s">
        <v>2494</v>
      </c>
      <c r="E62" s="49">
        <v>44277</v>
      </c>
      <c r="F62" s="49"/>
      <c r="G62" s="50">
        <v>1</v>
      </c>
      <c r="H62" s="43" t="s">
        <v>4798</v>
      </c>
      <c r="I62" s="43" t="s">
        <v>5023</v>
      </c>
      <c r="J62" s="43">
        <v>7</v>
      </c>
      <c r="K62" s="43">
        <v>2</v>
      </c>
      <c r="L62" s="43">
        <v>2</v>
      </c>
      <c r="M62" s="43"/>
      <c r="N62" s="43"/>
      <c r="O62" s="43" t="s">
        <v>4725</v>
      </c>
      <c r="P62" s="43" t="s">
        <v>5035</v>
      </c>
      <c r="Q62" s="43" t="s">
        <v>5084</v>
      </c>
      <c r="R62" s="43" t="s">
        <v>5068</v>
      </c>
      <c r="S62" s="43" t="s">
        <v>5026</v>
      </c>
      <c r="T62" s="51" t="s">
        <v>5027</v>
      </c>
      <c r="U62" s="52" t="s">
        <v>5028</v>
      </c>
      <c r="V62" s="53" t="s">
        <v>3884</v>
      </c>
      <c r="W62" s="54" t="s">
        <v>2493</v>
      </c>
      <c r="X62" s="55" t="s">
        <v>4889</v>
      </c>
      <c r="Y62" t="s">
        <v>4896</v>
      </c>
      <c r="Z62" t="s">
        <v>4800</v>
      </c>
      <c r="AA62" t="s">
        <v>4891</v>
      </c>
      <c r="AI62" s="54"/>
      <c r="AJ62" s="56">
        <v>45740</v>
      </c>
      <c r="AK62" s="57">
        <v>45831</v>
      </c>
      <c r="AL62" s="57">
        <v>45922</v>
      </c>
      <c r="AM62" s="57">
        <v>46013</v>
      </c>
      <c r="AN62" s="57"/>
      <c r="AO62" s="57"/>
      <c r="AP62" s="57"/>
      <c r="AQ62" s="57"/>
      <c r="AR62" s="57"/>
      <c r="AS62" s="57"/>
      <c r="AT62" s="57"/>
      <c r="AU62" s="57"/>
      <c r="AV62" s="57"/>
      <c r="AW62" s="57"/>
      <c r="AX62" s="57"/>
      <c r="AY62" s="57"/>
      <c r="AZ62" s="57"/>
      <c r="BA62" s="57"/>
      <c r="BB62" s="57"/>
      <c r="BC62" s="58"/>
      <c r="BD62" s="55" t="s">
        <v>5030</v>
      </c>
      <c r="BE62" t="s">
        <v>5031</v>
      </c>
      <c r="BF62" t="s">
        <v>5032</v>
      </c>
      <c r="BG62" t="s">
        <v>5033</v>
      </c>
      <c r="BO62" s="54"/>
      <c r="BP62" s="56">
        <v>45712</v>
      </c>
      <c r="BQ62" s="57">
        <v>45803</v>
      </c>
      <c r="BR62" s="57">
        <v>45894</v>
      </c>
      <c r="BS62" s="57">
        <v>45985</v>
      </c>
      <c r="BT62" s="57"/>
      <c r="BU62" s="57"/>
      <c r="BV62" s="57"/>
      <c r="BW62" s="57"/>
      <c r="BX62" s="57"/>
      <c r="BY62" s="57"/>
      <c r="BZ62" s="57"/>
      <c r="CA62" s="57"/>
      <c r="CB62" s="56">
        <v>45729</v>
      </c>
      <c r="CC62" s="57">
        <v>45820</v>
      </c>
      <c r="CD62" s="57">
        <v>45911</v>
      </c>
      <c r="CE62" s="57">
        <v>46002</v>
      </c>
      <c r="CF62" s="57"/>
      <c r="CG62" s="57"/>
      <c r="CH62" s="57"/>
      <c r="CI62" s="57"/>
      <c r="CJ62" s="57"/>
      <c r="CK62" s="57"/>
      <c r="CL62" s="57"/>
      <c r="CM62" s="57"/>
      <c r="CN62" s="56">
        <v>45736</v>
      </c>
      <c r="CO62" s="57">
        <v>45827</v>
      </c>
      <c r="CP62" s="57">
        <v>45918</v>
      </c>
      <c r="CQ62" s="57">
        <v>46009</v>
      </c>
      <c r="CR62" s="57"/>
      <c r="CS62" s="57"/>
      <c r="CT62" s="57"/>
      <c r="CU62" s="57"/>
      <c r="CV62" s="57"/>
      <c r="CW62" s="57"/>
      <c r="CX62" s="57"/>
      <c r="CY62" s="57"/>
      <c r="CZ62" s="56" t="s">
        <v>5034</v>
      </c>
      <c r="DA62" s="57"/>
      <c r="DB62" s="57"/>
      <c r="DC62" s="57"/>
      <c r="DD62" s="57"/>
      <c r="DE62" s="57"/>
      <c r="DF62" s="57"/>
      <c r="DG62" s="57"/>
      <c r="DH62" s="57"/>
      <c r="DI62" s="57"/>
      <c r="DJ62" s="57"/>
      <c r="DK62" s="58"/>
      <c r="DL62" s="59">
        <v>4</v>
      </c>
      <c r="DM62" s="60">
        <v>4</v>
      </c>
      <c r="DN62" s="61">
        <v>4</v>
      </c>
      <c r="DO62" s="60">
        <v>4</v>
      </c>
      <c r="DP62" s="60">
        <v>0</v>
      </c>
      <c r="DQ62" s="59">
        <v>16</v>
      </c>
      <c r="DR62" s="62">
        <v>1000</v>
      </c>
      <c r="DS62" s="62" t="s">
        <v>5034</v>
      </c>
      <c r="DU62" s="62" t="s">
        <v>5034</v>
      </c>
      <c r="DV62" s="63">
        <v>45306</v>
      </c>
      <c r="DW62" s="64">
        <v>2024</v>
      </c>
      <c r="DX62" s="65">
        <v>1</v>
      </c>
    </row>
    <row r="63" spans="2:128" ht="15" x14ac:dyDescent="0.25">
      <c r="B63" s="43" t="s">
        <v>5022</v>
      </c>
      <c r="C63" s="43" t="s">
        <v>4802</v>
      </c>
      <c r="D63" s="43" t="s">
        <v>4851</v>
      </c>
      <c r="E63" s="49">
        <v>44286</v>
      </c>
      <c r="F63" s="49"/>
      <c r="G63" s="50">
        <v>1</v>
      </c>
      <c r="H63" s="43" t="s">
        <v>4798</v>
      </c>
      <c r="I63" s="43" t="s">
        <v>5023</v>
      </c>
      <c r="J63" s="43"/>
      <c r="K63" s="43">
        <v>2</v>
      </c>
      <c r="L63" s="43">
        <v>3</v>
      </c>
      <c r="M63" s="43"/>
      <c r="N63" s="43"/>
      <c r="O63" s="43" t="s">
        <v>4725</v>
      </c>
      <c r="P63" s="43" t="s">
        <v>5024</v>
      </c>
      <c r="Q63" s="43" t="s">
        <v>5085</v>
      </c>
      <c r="R63" s="43" t="s">
        <v>5045</v>
      </c>
      <c r="S63" s="43" t="s">
        <v>5026</v>
      </c>
      <c r="T63" s="51" t="s">
        <v>5027</v>
      </c>
      <c r="U63" s="52" t="s">
        <v>5028</v>
      </c>
      <c r="V63" s="53" t="s">
        <v>3884</v>
      </c>
      <c r="W63" s="54" t="s">
        <v>941</v>
      </c>
      <c r="X63" s="55" t="s">
        <v>4889</v>
      </c>
      <c r="Y63" t="s">
        <v>4896</v>
      </c>
      <c r="Z63" t="s">
        <v>4800</v>
      </c>
      <c r="AA63" t="s">
        <v>4891</v>
      </c>
      <c r="AI63" s="54"/>
      <c r="AJ63" s="56">
        <v>45740</v>
      </c>
      <c r="AK63" s="57">
        <v>45831</v>
      </c>
      <c r="AL63" s="57">
        <v>45922</v>
      </c>
      <c r="AM63" s="57">
        <v>46013</v>
      </c>
      <c r="AN63" s="57"/>
      <c r="AO63" s="57"/>
      <c r="AP63" s="57"/>
      <c r="AQ63" s="57"/>
      <c r="AR63" s="57"/>
      <c r="AS63" s="57"/>
      <c r="AT63" s="57"/>
      <c r="AU63" s="57"/>
      <c r="AV63" s="57"/>
      <c r="AW63" s="57"/>
      <c r="AX63" s="57"/>
      <c r="AY63" s="57"/>
      <c r="AZ63" s="57"/>
      <c r="BA63" s="57"/>
      <c r="BB63" s="57"/>
      <c r="BC63" s="58"/>
      <c r="BD63" s="55" t="s">
        <v>5030</v>
      </c>
      <c r="BE63" t="s">
        <v>5031</v>
      </c>
      <c r="BF63" t="s">
        <v>5032</v>
      </c>
      <c r="BG63" t="s">
        <v>5033</v>
      </c>
      <c r="BO63" s="54"/>
      <c r="BP63" s="56">
        <v>45712</v>
      </c>
      <c r="BQ63" s="57">
        <v>45803</v>
      </c>
      <c r="BR63" s="57">
        <v>45894</v>
      </c>
      <c r="BS63" s="57">
        <v>45985</v>
      </c>
      <c r="BT63" s="57"/>
      <c r="BU63" s="57"/>
      <c r="BV63" s="57"/>
      <c r="BW63" s="57"/>
      <c r="BX63" s="57"/>
      <c r="BY63" s="57"/>
      <c r="BZ63" s="57"/>
      <c r="CA63" s="57"/>
      <c r="CB63" s="56" t="s">
        <v>5034</v>
      </c>
      <c r="CC63" s="57"/>
      <c r="CD63" s="57"/>
      <c r="CE63" s="57"/>
      <c r="CF63" s="57"/>
      <c r="CG63" s="57"/>
      <c r="CH63" s="57"/>
      <c r="CI63" s="57"/>
      <c r="CJ63" s="57"/>
      <c r="CK63" s="57"/>
      <c r="CL63" s="57"/>
      <c r="CM63" s="57"/>
      <c r="CN63" s="56">
        <v>45736</v>
      </c>
      <c r="CO63" s="57">
        <v>45827</v>
      </c>
      <c r="CP63" s="57">
        <v>45918</v>
      </c>
      <c r="CQ63" s="57">
        <v>46009</v>
      </c>
      <c r="CR63" s="57"/>
      <c r="CS63" s="57"/>
      <c r="CT63" s="57"/>
      <c r="CU63" s="57"/>
      <c r="CV63" s="57"/>
      <c r="CW63" s="57"/>
      <c r="CX63" s="57"/>
      <c r="CY63" s="57"/>
      <c r="CZ63" s="56" t="s">
        <v>5034</v>
      </c>
      <c r="DA63" s="57"/>
      <c r="DB63" s="57"/>
      <c r="DC63" s="57"/>
      <c r="DD63" s="57"/>
      <c r="DE63" s="57"/>
      <c r="DF63" s="57"/>
      <c r="DG63" s="57"/>
      <c r="DH63" s="57"/>
      <c r="DI63" s="57"/>
      <c r="DJ63" s="57"/>
      <c r="DK63" s="58"/>
      <c r="DL63" s="59">
        <v>4</v>
      </c>
      <c r="DM63" s="60">
        <v>4</v>
      </c>
      <c r="DN63" s="61">
        <v>0</v>
      </c>
      <c r="DO63" s="60">
        <v>4</v>
      </c>
      <c r="DP63" s="60">
        <v>0</v>
      </c>
      <c r="DQ63" s="59">
        <v>12</v>
      </c>
      <c r="DR63" s="62">
        <v>1016</v>
      </c>
      <c r="DS63" s="62" t="s">
        <v>5034</v>
      </c>
      <c r="DU63" s="62" t="s">
        <v>5034</v>
      </c>
      <c r="DV63" s="63">
        <v>44483.750573761572</v>
      </c>
      <c r="DW63" s="64">
        <v>2021</v>
      </c>
      <c r="DX63" s="65">
        <v>10</v>
      </c>
    </row>
    <row r="64" spans="2:128" ht="15" x14ac:dyDescent="0.25">
      <c r="B64" s="43" t="s">
        <v>5022</v>
      </c>
      <c r="C64" s="43" t="s">
        <v>4802</v>
      </c>
      <c r="D64" s="43" t="s">
        <v>4852</v>
      </c>
      <c r="E64" s="49">
        <v>44286</v>
      </c>
      <c r="F64" s="49"/>
      <c r="G64" s="50">
        <v>1</v>
      </c>
      <c r="H64" s="43" t="s">
        <v>4798</v>
      </c>
      <c r="I64" s="43" t="s">
        <v>5023</v>
      </c>
      <c r="J64" s="43"/>
      <c r="K64" s="43">
        <v>2</v>
      </c>
      <c r="L64" s="43">
        <v>3</v>
      </c>
      <c r="M64" s="43"/>
      <c r="N64" s="43"/>
      <c r="O64" s="43" t="s">
        <v>4725</v>
      </c>
      <c r="P64" s="43" t="s">
        <v>5063</v>
      </c>
      <c r="Q64" s="43" t="s">
        <v>5085</v>
      </c>
      <c r="R64" s="43" t="s">
        <v>5045</v>
      </c>
      <c r="S64" s="43" t="s">
        <v>5026</v>
      </c>
      <c r="T64" s="51" t="s">
        <v>5027</v>
      </c>
      <c r="U64" s="52" t="s">
        <v>5028</v>
      </c>
      <c r="V64" s="53" t="s">
        <v>3884</v>
      </c>
      <c r="W64" s="54" t="s">
        <v>917</v>
      </c>
      <c r="X64" s="55" t="s">
        <v>4889</v>
      </c>
      <c r="Y64" t="s">
        <v>4896</v>
      </c>
      <c r="Z64" t="s">
        <v>4800</v>
      </c>
      <c r="AA64" t="s">
        <v>4891</v>
      </c>
      <c r="AI64" s="54"/>
      <c r="AJ64" s="56">
        <v>45740</v>
      </c>
      <c r="AK64" s="57">
        <v>45831</v>
      </c>
      <c r="AL64" s="57">
        <v>45922</v>
      </c>
      <c r="AM64" s="57">
        <v>46013</v>
      </c>
      <c r="AN64" s="57"/>
      <c r="AO64" s="57"/>
      <c r="AP64" s="57"/>
      <c r="AQ64" s="57"/>
      <c r="AR64" s="57"/>
      <c r="AS64" s="57"/>
      <c r="AT64" s="57"/>
      <c r="AU64" s="57"/>
      <c r="AV64" s="57"/>
      <c r="AW64" s="57"/>
      <c r="AX64" s="57"/>
      <c r="AY64" s="57"/>
      <c r="AZ64" s="57"/>
      <c r="BA64" s="57"/>
      <c r="BB64" s="57"/>
      <c r="BC64" s="58"/>
      <c r="BD64" s="55" t="s">
        <v>5030</v>
      </c>
      <c r="BE64" t="s">
        <v>5031</v>
      </c>
      <c r="BF64" t="s">
        <v>5032</v>
      </c>
      <c r="BG64" t="s">
        <v>5033</v>
      </c>
      <c r="BO64" s="54"/>
      <c r="BP64" s="56">
        <v>45712</v>
      </c>
      <c r="BQ64" s="57">
        <v>45803</v>
      </c>
      <c r="BR64" s="57">
        <v>45894</v>
      </c>
      <c r="BS64" s="57">
        <v>45985</v>
      </c>
      <c r="BT64" s="57"/>
      <c r="BU64" s="57"/>
      <c r="BV64" s="57"/>
      <c r="BW64" s="57"/>
      <c r="BX64" s="57"/>
      <c r="BY64" s="57"/>
      <c r="BZ64" s="57"/>
      <c r="CA64" s="57"/>
      <c r="CB64" s="56" t="s">
        <v>5034</v>
      </c>
      <c r="CC64" s="57"/>
      <c r="CD64" s="57"/>
      <c r="CE64" s="57"/>
      <c r="CF64" s="57"/>
      <c r="CG64" s="57"/>
      <c r="CH64" s="57"/>
      <c r="CI64" s="57"/>
      <c r="CJ64" s="57"/>
      <c r="CK64" s="57"/>
      <c r="CL64" s="57"/>
      <c r="CM64" s="57"/>
      <c r="CN64" s="56">
        <v>45736</v>
      </c>
      <c r="CO64" s="57">
        <v>45827</v>
      </c>
      <c r="CP64" s="57">
        <v>45918</v>
      </c>
      <c r="CQ64" s="57">
        <v>46009</v>
      </c>
      <c r="CR64" s="57"/>
      <c r="CS64" s="57"/>
      <c r="CT64" s="57"/>
      <c r="CU64" s="57"/>
      <c r="CV64" s="57"/>
      <c r="CW64" s="57"/>
      <c r="CX64" s="57"/>
      <c r="CY64" s="57"/>
      <c r="CZ64" s="56" t="s">
        <v>5034</v>
      </c>
      <c r="DA64" s="57"/>
      <c r="DB64" s="57"/>
      <c r="DC64" s="57"/>
      <c r="DD64" s="57"/>
      <c r="DE64" s="57"/>
      <c r="DF64" s="57"/>
      <c r="DG64" s="57"/>
      <c r="DH64" s="57"/>
      <c r="DI64" s="57"/>
      <c r="DJ64" s="57"/>
      <c r="DK64" s="58"/>
      <c r="DL64" s="59">
        <v>4</v>
      </c>
      <c r="DM64" s="60">
        <v>4</v>
      </c>
      <c r="DN64" s="61">
        <v>0</v>
      </c>
      <c r="DO64" s="60">
        <v>4</v>
      </c>
      <c r="DP64" s="60">
        <v>0</v>
      </c>
      <c r="DQ64" s="59">
        <v>12</v>
      </c>
      <c r="DR64" s="62">
        <v>1028</v>
      </c>
      <c r="DS64" s="62" t="s">
        <v>5034</v>
      </c>
      <c r="DU64" s="62" t="s">
        <v>5034</v>
      </c>
      <c r="DV64" s="63">
        <v>44483.75325130787</v>
      </c>
      <c r="DW64" s="64">
        <v>2021</v>
      </c>
      <c r="DX64" s="65">
        <v>10</v>
      </c>
    </row>
    <row r="65" spans="2:128" ht="15" x14ac:dyDescent="0.25">
      <c r="B65" s="43" t="s">
        <v>5022</v>
      </c>
      <c r="C65" s="43" t="s">
        <v>4845</v>
      </c>
      <c r="D65" s="43" t="s">
        <v>4853</v>
      </c>
      <c r="E65" s="49">
        <v>44300</v>
      </c>
      <c r="F65" s="49"/>
      <c r="G65" s="50">
        <v>1</v>
      </c>
      <c r="H65" s="43" t="s">
        <v>4798</v>
      </c>
      <c r="I65" s="43" t="s">
        <v>5023</v>
      </c>
      <c r="J65" s="43">
        <v>7</v>
      </c>
      <c r="K65" s="43">
        <v>2</v>
      </c>
      <c r="L65" s="43">
        <v>2</v>
      </c>
      <c r="M65" s="43"/>
      <c r="N65" s="43"/>
      <c r="O65" s="43"/>
      <c r="P65" s="43" t="s">
        <v>5024</v>
      </c>
      <c r="Q65" s="43"/>
      <c r="R65" s="43" t="s">
        <v>5086</v>
      </c>
      <c r="S65" s="43" t="s">
        <v>5026</v>
      </c>
      <c r="T65" s="51" t="s">
        <v>5027</v>
      </c>
      <c r="U65" s="52" t="s">
        <v>5028</v>
      </c>
      <c r="V65" s="53" t="s">
        <v>3884</v>
      </c>
      <c r="W65" s="54" t="s">
        <v>929</v>
      </c>
      <c r="X65" s="55" t="s">
        <v>4889</v>
      </c>
      <c r="Y65" t="s">
        <v>4896</v>
      </c>
      <c r="Z65" t="s">
        <v>4800</v>
      </c>
      <c r="AA65" t="s">
        <v>4891</v>
      </c>
      <c r="AI65" s="54"/>
      <c r="AJ65" s="56">
        <v>45740</v>
      </c>
      <c r="AK65" s="57">
        <v>45831</v>
      </c>
      <c r="AL65" s="57">
        <v>45922</v>
      </c>
      <c r="AM65" s="57">
        <v>46013</v>
      </c>
      <c r="AN65" s="57"/>
      <c r="AO65" s="57"/>
      <c r="AP65" s="57"/>
      <c r="AQ65" s="57"/>
      <c r="AR65" s="57"/>
      <c r="AS65" s="57"/>
      <c r="AT65" s="57"/>
      <c r="AU65" s="57"/>
      <c r="AV65" s="57"/>
      <c r="AW65" s="57"/>
      <c r="AX65" s="57"/>
      <c r="AY65" s="57"/>
      <c r="AZ65" s="57"/>
      <c r="BA65" s="57"/>
      <c r="BB65" s="57"/>
      <c r="BC65" s="58"/>
      <c r="BD65" s="55" t="s">
        <v>5030</v>
      </c>
      <c r="BE65" t="s">
        <v>5031</v>
      </c>
      <c r="BF65" t="s">
        <v>5032</v>
      </c>
      <c r="BG65" t="s">
        <v>5033</v>
      </c>
      <c r="BO65" s="54"/>
      <c r="BP65" s="56">
        <v>45712</v>
      </c>
      <c r="BQ65" s="57">
        <v>45803</v>
      </c>
      <c r="BR65" s="57">
        <v>45894</v>
      </c>
      <c r="BS65" s="57">
        <v>45985</v>
      </c>
      <c r="BT65" s="57"/>
      <c r="BU65" s="57"/>
      <c r="BV65" s="57"/>
      <c r="BW65" s="57"/>
      <c r="BX65" s="57"/>
      <c r="BY65" s="57"/>
      <c r="BZ65" s="57"/>
      <c r="CA65" s="57"/>
      <c r="CB65" s="56">
        <v>45729</v>
      </c>
      <c r="CC65" s="57">
        <v>45820</v>
      </c>
      <c r="CD65" s="57">
        <v>45911</v>
      </c>
      <c r="CE65" s="57">
        <v>46002</v>
      </c>
      <c r="CF65" s="57"/>
      <c r="CG65" s="57"/>
      <c r="CH65" s="57"/>
      <c r="CI65" s="57"/>
      <c r="CJ65" s="57"/>
      <c r="CK65" s="57"/>
      <c r="CL65" s="57"/>
      <c r="CM65" s="57"/>
      <c r="CN65" s="56">
        <v>45736</v>
      </c>
      <c r="CO65" s="57">
        <v>45827</v>
      </c>
      <c r="CP65" s="57">
        <v>45918</v>
      </c>
      <c r="CQ65" s="57">
        <v>46009</v>
      </c>
      <c r="CR65" s="57"/>
      <c r="CS65" s="57"/>
      <c r="CT65" s="57"/>
      <c r="CU65" s="57"/>
      <c r="CV65" s="57"/>
      <c r="CW65" s="57"/>
      <c r="CX65" s="57"/>
      <c r="CY65" s="57"/>
      <c r="CZ65" s="56" t="s">
        <v>5034</v>
      </c>
      <c r="DA65" s="57"/>
      <c r="DB65" s="57"/>
      <c r="DC65" s="57"/>
      <c r="DD65" s="57"/>
      <c r="DE65" s="57"/>
      <c r="DF65" s="57"/>
      <c r="DG65" s="57"/>
      <c r="DH65" s="57"/>
      <c r="DI65" s="57"/>
      <c r="DJ65" s="57"/>
      <c r="DK65" s="58"/>
      <c r="DL65" s="59">
        <v>4</v>
      </c>
      <c r="DM65" s="60">
        <v>4</v>
      </c>
      <c r="DN65" s="61">
        <v>4</v>
      </c>
      <c r="DO65" s="60">
        <v>4</v>
      </c>
      <c r="DP65" s="60">
        <v>0</v>
      </c>
      <c r="DQ65" s="59">
        <v>16</v>
      </c>
      <c r="DR65" s="62">
        <v>1040</v>
      </c>
      <c r="DS65" s="62" t="s">
        <v>5034</v>
      </c>
      <c r="DU65" s="62" t="s">
        <v>5034</v>
      </c>
      <c r="DV65" s="63">
        <v>45622</v>
      </c>
      <c r="DW65" s="64">
        <v>2024</v>
      </c>
      <c r="DX65" s="65">
        <v>11</v>
      </c>
    </row>
    <row r="66" spans="2:128" ht="15" x14ac:dyDescent="0.25">
      <c r="B66" s="43" t="s">
        <v>5022</v>
      </c>
      <c r="C66" s="43" t="s">
        <v>4802</v>
      </c>
      <c r="D66" s="43" t="s">
        <v>903</v>
      </c>
      <c r="E66" s="49">
        <v>44321</v>
      </c>
      <c r="F66" s="49"/>
      <c r="G66" s="50">
        <v>1</v>
      </c>
      <c r="H66" s="43" t="s">
        <v>4798</v>
      </c>
      <c r="I66" s="43" t="s">
        <v>5023</v>
      </c>
      <c r="J66" s="43"/>
      <c r="K66" s="43">
        <v>2</v>
      </c>
      <c r="L66" s="43">
        <v>3</v>
      </c>
      <c r="M66" s="43"/>
      <c r="N66" s="43" t="s">
        <v>5087</v>
      </c>
      <c r="O66" s="43" t="s">
        <v>4725</v>
      </c>
      <c r="P66" s="43" t="s">
        <v>5063</v>
      </c>
      <c r="Q66" s="43" t="s">
        <v>5088</v>
      </c>
      <c r="R66" s="43" t="s">
        <v>5038</v>
      </c>
      <c r="S66" s="43" t="s">
        <v>5026</v>
      </c>
      <c r="T66" s="51" t="s">
        <v>5027</v>
      </c>
      <c r="U66" s="52" t="s">
        <v>5028</v>
      </c>
      <c r="V66" s="53" t="s">
        <v>3884</v>
      </c>
      <c r="W66" s="54" t="s">
        <v>902</v>
      </c>
      <c r="X66" s="55" t="s">
        <v>4889</v>
      </c>
      <c r="Y66" t="s">
        <v>4896</v>
      </c>
      <c r="Z66" t="s">
        <v>4800</v>
      </c>
      <c r="AA66" t="s">
        <v>4891</v>
      </c>
      <c r="AI66" s="54"/>
      <c r="AJ66" s="56">
        <v>45740</v>
      </c>
      <c r="AK66" s="57">
        <v>45831</v>
      </c>
      <c r="AL66" s="57">
        <v>45922</v>
      </c>
      <c r="AM66" s="57">
        <v>46013</v>
      </c>
      <c r="AN66" s="57"/>
      <c r="AO66" s="57"/>
      <c r="AP66" s="57"/>
      <c r="AQ66" s="57"/>
      <c r="AR66" s="57"/>
      <c r="AS66" s="57"/>
      <c r="AT66" s="57"/>
      <c r="AU66" s="57"/>
      <c r="AV66" s="57"/>
      <c r="AW66" s="57"/>
      <c r="AX66" s="57"/>
      <c r="AY66" s="57"/>
      <c r="AZ66" s="57"/>
      <c r="BA66" s="57"/>
      <c r="BB66" s="57"/>
      <c r="BC66" s="58"/>
      <c r="BD66" s="55" t="s">
        <v>5030</v>
      </c>
      <c r="BE66" t="s">
        <v>5031</v>
      </c>
      <c r="BF66" t="s">
        <v>5032</v>
      </c>
      <c r="BG66" t="s">
        <v>5033</v>
      </c>
      <c r="BO66" s="54"/>
      <c r="BP66" s="56">
        <v>45712</v>
      </c>
      <c r="BQ66" s="57">
        <v>45803</v>
      </c>
      <c r="BR66" s="57">
        <v>45894</v>
      </c>
      <c r="BS66" s="57">
        <v>45985</v>
      </c>
      <c r="BT66" s="57"/>
      <c r="BU66" s="57"/>
      <c r="BV66" s="57"/>
      <c r="BW66" s="57"/>
      <c r="BX66" s="57"/>
      <c r="BY66" s="57"/>
      <c r="BZ66" s="57"/>
      <c r="CA66" s="57"/>
      <c r="CB66" s="56" t="s">
        <v>5034</v>
      </c>
      <c r="CC66" s="57"/>
      <c r="CD66" s="57"/>
      <c r="CE66" s="57"/>
      <c r="CF66" s="57"/>
      <c r="CG66" s="57"/>
      <c r="CH66" s="57"/>
      <c r="CI66" s="57"/>
      <c r="CJ66" s="57"/>
      <c r="CK66" s="57"/>
      <c r="CL66" s="57"/>
      <c r="CM66" s="57"/>
      <c r="CN66" s="56">
        <v>45736</v>
      </c>
      <c r="CO66" s="57">
        <v>45827</v>
      </c>
      <c r="CP66" s="57">
        <v>45918</v>
      </c>
      <c r="CQ66" s="57">
        <v>46009</v>
      </c>
      <c r="CR66" s="57"/>
      <c r="CS66" s="57"/>
      <c r="CT66" s="57"/>
      <c r="CU66" s="57"/>
      <c r="CV66" s="57"/>
      <c r="CW66" s="57"/>
      <c r="CX66" s="57"/>
      <c r="CY66" s="57"/>
      <c r="CZ66" s="56" t="s">
        <v>5034</v>
      </c>
      <c r="DA66" s="57"/>
      <c r="DB66" s="57"/>
      <c r="DC66" s="57"/>
      <c r="DD66" s="57"/>
      <c r="DE66" s="57"/>
      <c r="DF66" s="57"/>
      <c r="DG66" s="57"/>
      <c r="DH66" s="57"/>
      <c r="DI66" s="57"/>
      <c r="DJ66" s="57"/>
      <c r="DK66" s="58"/>
      <c r="DL66" s="59">
        <v>4</v>
      </c>
      <c r="DM66" s="60">
        <v>4</v>
      </c>
      <c r="DN66" s="61">
        <v>0</v>
      </c>
      <c r="DO66" s="60">
        <v>4</v>
      </c>
      <c r="DP66" s="60">
        <v>0</v>
      </c>
      <c r="DQ66" s="59">
        <v>12</v>
      </c>
      <c r="DR66" s="62">
        <v>1104</v>
      </c>
      <c r="DS66" s="62" t="s">
        <v>5034</v>
      </c>
      <c r="DU66" s="62" t="s">
        <v>5034</v>
      </c>
      <c r="DV66" s="63">
        <v>44610.311862893519</v>
      </c>
      <c r="DW66" s="64">
        <v>2022</v>
      </c>
      <c r="DX66" s="65">
        <v>2</v>
      </c>
    </row>
    <row r="67" spans="2:128" ht="15" x14ac:dyDescent="0.25">
      <c r="B67" s="43" t="s">
        <v>5022</v>
      </c>
      <c r="C67" s="43" t="s">
        <v>4854</v>
      </c>
      <c r="D67" s="43" t="s">
        <v>2422</v>
      </c>
      <c r="E67" s="49">
        <v>44321</v>
      </c>
      <c r="F67" s="49"/>
      <c r="G67" s="50">
        <v>1</v>
      </c>
      <c r="H67" s="43" t="s">
        <v>4891</v>
      </c>
      <c r="I67" s="43" t="s">
        <v>5033</v>
      </c>
      <c r="J67" s="43">
        <v>6</v>
      </c>
      <c r="K67" s="43">
        <v>2</v>
      </c>
      <c r="L67" s="43">
        <v>3</v>
      </c>
      <c r="M67" s="43"/>
      <c r="N67" s="43"/>
      <c r="O67" s="43" t="s">
        <v>4725</v>
      </c>
      <c r="P67" s="43" t="s">
        <v>5024</v>
      </c>
      <c r="Q67" s="43" t="s">
        <v>5089</v>
      </c>
      <c r="R67" s="43" t="s">
        <v>5045</v>
      </c>
      <c r="S67" s="43" t="s">
        <v>5026</v>
      </c>
      <c r="T67" s="51" t="s">
        <v>5027</v>
      </c>
      <c r="U67" s="52" t="s">
        <v>5028</v>
      </c>
      <c r="V67" s="53" t="s">
        <v>3884</v>
      </c>
      <c r="W67" s="54" t="s">
        <v>2421</v>
      </c>
      <c r="X67" s="55" t="s">
        <v>4891</v>
      </c>
      <c r="AI67" s="54"/>
      <c r="AJ67" s="56">
        <v>46013</v>
      </c>
      <c r="AK67" s="57"/>
      <c r="AL67" s="57"/>
      <c r="AM67" s="57"/>
      <c r="AN67" s="57"/>
      <c r="AO67" s="57"/>
      <c r="AP67" s="57"/>
      <c r="AQ67" s="57"/>
      <c r="AR67" s="57"/>
      <c r="AS67" s="57"/>
      <c r="AT67" s="57"/>
      <c r="AU67" s="57"/>
      <c r="AV67" s="57"/>
      <c r="AW67" s="57"/>
      <c r="AX67" s="57"/>
      <c r="AY67" s="57"/>
      <c r="AZ67" s="57"/>
      <c r="BA67" s="57"/>
      <c r="BB67" s="57"/>
      <c r="BC67" s="58"/>
      <c r="BD67" s="55" t="s">
        <v>5033</v>
      </c>
      <c r="BO67" s="54"/>
      <c r="BP67" s="56">
        <v>45985</v>
      </c>
      <c r="BQ67" s="57"/>
      <c r="BR67" s="57"/>
      <c r="BS67" s="57"/>
      <c r="BT67" s="57"/>
      <c r="BU67" s="57"/>
      <c r="BV67" s="57"/>
      <c r="BW67" s="57"/>
      <c r="BX67" s="57"/>
      <c r="BY67" s="57"/>
      <c r="BZ67" s="57"/>
      <c r="CA67" s="57"/>
      <c r="CB67" s="56">
        <v>46003</v>
      </c>
      <c r="CC67" s="57"/>
      <c r="CD67" s="57"/>
      <c r="CE67" s="57"/>
      <c r="CF67" s="57"/>
      <c r="CG67" s="57"/>
      <c r="CH67" s="57"/>
      <c r="CI67" s="57"/>
      <c r="CJ67" s="57"/>
      <c r="CK67" s="57"/>
      <c r="CL67" s="57"/>
      <c r="CM67" s="57"/>
      <c r="CN67" s="56">
        <v>46009</v>
      </c>
      <c r="CO67" s="57"/>
      <c r="CP67" s="57"/>
      <c r="CQ67" s="57"/>
      <c r="CR67" s="57"/>
      <c r="CS67" s="57"/>
      <c r="CT67" s="57"/>
      <c r="CU67" s="57"/>
      <c r="CV67" s="57"/>
      <c r="CW67" s="57"/>
      <c r="CX67" s="57"/>
      <c r="CY67" s="57"/>
      <c r="CZ67" s="56" t="s">
        <v>5034</v>
      </c>
      <c r="DA67" s="57"/>
      <c r="DB67" s="57"/>
      <c r="DC67" s="57"/>
      <c r="DD67" s="57"/>
      <c r="DE67" s="57"/>
      <c r="DF67" s="57"/>
      <c r="DG67" s="57"/>
      <c r="DH67" s="57"/>
      <c r="DI67" s="57"/>
      <c r="DJ67" s="57"/>
      <c r="DK67" s="58"/>
      <c r="DL67" s="59">
        <v>1</v>
      </c>
      <c r="DM67" s="60">
        <v>1</v>
      </c>
      <c r="DN67" s="61">
        <v>1</v>
      </c>
      <c r="DO67" s="60">
        <v>1</v>
      </c>
      <c r="DP67" s="60">
        <v>0</v>
      </c>
      <c r="DQ67" s="59">
        <v>4</v>
      </c>
      <c r="DR67" s="62">
        <v>1116</v>
      </c>
      <c r="DS67" s="62" t="s">
        <v>5034</v>
      </c>
      <c r="DU67" s="62" t="s">
        <v>5034</v>
      </c>
      <c r="DV67" s="63">
        <v>45236.558134942126</v>
      </c>
      <c r="DW67" s="64">
        <v>2023</v>
      </c>
      <c r="DX67" s="65">
        <v>11</v>
      </c>
    </row>
    <row r="68" spans="2:128" ht="15" x14ac:dyDescent="0.25">
      <c r="B68" s="43" t="s">
        <v>5022</v>
      </c>
      <c r="C68" s="43" t="s">
        <v>4802</v>
      </c>
      <c r="D68" s="43" t="s">
        <v>4083</v>
      </c>
      <c r="E68" s="49">
        <v>44328</v>
      </c>
      <c r="F68" s="49"/>
      <c r="G68" s="50">
        <v>1</v>
      </c>
      <c r="H68" s="43" t="s">
        <v>4798</v>
      </c>
      <c r="I68" s="43" t="s">
        <v>5023</v>
      </c>
      <c r="J68" s="43">
        <v>7</v>
      </c>
      <c r="K68" s="43">
        <v>2</v>
      </c>
      <c r="L68" s="43">
        <v>3</v>
      </c>
      <c r="M68" s="43"/>
      <c r="N68" s="43" t="s">
        <v>5090</v>
      </c>
      <c r="O68" s="43" t="s">
        <v>4725</v>
      </c>
      <c r="P68" s="43" t="s">
        <v>5063</v>
      </c>
      <c r="Q68" s="43" t="s">
        <v>5091</v>
      </c>
      <c r="R68" s="43" t="s">
        <v>5038</v>
      </c>
      <c r="S68" s="43" t="s">
        <v>5026</v>
      </c>
      <c r="T68" s="51" t="s">
        <v>5027</v>
      </c>
      <c r="U68" s="52" t="s">
        <v>5028</v>
      </c>
      <c r="V68" s="53" t="s">
        <v>3884</v>
      </c>
      <c r="W68" s="54" t="s">
        <v>2469</v>
      </c>
      <c r="X68" s="55" t="s">
        <v>4889</v>
      </c>
      <c r="Y68" t="s">
        <v>4896</v>
      </c>
      <c r="Z68" t="s">
        <v>4800</v>
      </c>
      <c r="AA68" t="s">
        <v>4891</v>
      </c>
      <c r="AI68" s="54"/>
      <c r="AJ68" s="56">
        <v>45740</v>
      </c>
      <c r="AK68" s="57">
        <v>45831</v>
      </c>
      <c r="AL68" s="57">
        <v>45922</v>
      </c>
      <c r="AM68" s="57">
        <v>46013</v>
      </c>
      <c r="AN68" s="57"/>
      <c r="AO68" s="57"/>
      <c r="AP68" s="57"/>
      <c r="AQ68" s="57"/>
      <c r="AR68" s="57"/>
      <c r="AS68" s="57"/>
      <c r="AT68" s="57"/>
      <c r="AU68" s="57"/>
      <c r="AV68" s="57"/>
      <c r="AW68" s="57"/>
      <c r="AX68" s="57"/>
      <c r="AY68" s="57"/>
      <c r="AZ68" s="57"/>
      <c r="BA68" s="57"/>
      <c r="BB68" s="57"/>
      <c r="BC68" s="58"/>
      <c r="BD68" s="55" t="s">
        <v>5030</v>
      </c>
      <c r="BE68" t="s">
        <v>5031</v>
      </c>
      <c r="BF68" t="s">
        <v>5032</v>
      </c>
      <c r="BG68" t="s">
        <v>5033</v>
      </c>
      <c r="BO68" s="54"/>
      <c r="BP68" s="56">
        <v>45712</v>
      </c>
      <c r="BQ68" s="57">
        <v>45803</v>
      </c>
      <c r="BR68" s="57">
        <v>45894</v>
      </c>
      <c r="BS68" s="57">
        <v>45985</v>
      </c>
      <c r="BT68" s="57"/>
      <c r="BU68" s="57"/>
      <c r="BV68" s="57"/>
      <c r="BW68" s="57"/>
      <c r="BX68" s="57"/>
      <c r="BY68" s="57"/>
      <c r="BZ68" s="57"/>
      <c r="CA68" s="57"/>
      <c r="CB68" s="56">
        <v>45729</v>
      </c>
      <c r="CC68" s="57">
        <v>45820</v>
      </c>
      <c r="CD68" s="57">
        <v>45911</v>
      </c>
      <c r="CE68" s="57">
        <v>46002</v>
      </c>
      <c r="CF68" s="57"/>
      <c r="CG68" s="57"/>
      <c r="CH68" s="57"/>
      <c r="CI68" s="57"/>
      <c r="CJ68" s="57"/>
      <c r="CK68" s="57"/>
      <c r="CL68" s="57"/>
      <c r="CM68" s="57"/>
      <c r="CN68" s="56">
        <v>45736</v>
      </c>
      <c r="CO68" s="57">
        <v>45827</v>
      </c>
      <c r="CP68" s="57">
        <v>45918</v>
      </c>
      <c r="CQ68" s="57">
        <v>46009</v>
      </c>
      <c r="CR68" s="57"/>
      <c r="CS68" s="57"/>
      <c r="CT68" s="57"/>
      <c r="CU68" s="57"/>
      <c r="CV68" s="57"/>
      <c r="CW68" s="57"/>
      <c r="CX68" s="57"/>
      <c r="CY68" s="57"/>
      <c r="CZ68" s="56" t="s">
        <v>5034</v>
      </c>
      <c r="DA68" s="57"/>
      <c r="DB68" s="57"/>
      <c r="DC68" s="57"/>
      <c r="DD68" s="57"/>
      <c r="DE68" s="57"/>
      <c r="DF68" s="57"/>
      <c r="DG68" s="57"/>
      <c r="DH68" s="57"/>
      <c r="DI68" s="57"/>
      <c r="DJ68" s="57"/>
      <c r="DK68" s="58"/>
      <c r="DL68" s="59">
        <v>4</v>
      </c>
      <c r="DM68" s="60">
        <v>4</v>
      </c>
      <c r="DN68" s="61">
        <v>4</v>
      </c>
      <c r="DO68" s="60">
        <v>4</v>
      </c>
      <c r="DP68" s="60">
        <v>0</v>
      </c>
      <c r="DQ68" s="59">
        <v>16</v>
      </c>
      <c r="DR68" s="62">
        <v>1120</v>
      </c>
      <c r="DS68" s="62" t="s">
        <v>5034</v>
      </c>
      <c r="DU68" s="62" t="s">
        <v>5034</v>
      </c>
      <c r="DV68" s="63">
        <v>44900.647156134262</v>
      </c>
      <c r="DW68" s="64">
        <v>2022</v>
      </c>
      <c r="DX68" s="65">
        <v>12</v>
      </c>
    </row>
    <row r="69" spans="2:128" ht="15" x14ac:dyDescent="0.25">
      <c r="B69" s="43" t="s">
        <v>5022</v>
      </c>
      <c r="C69" s="43" t="s">
        <v>4854</v>
      </c>
      <c r="D69" s="43" t="s">
        <v>2433</v>
      </c>
      <c r="E69" s="49">
        <v>44349</v>
      </c>
      <c r="F69" s="49"/>
      <c r="G69" s="50">
        <v>1</v>
      </c>
      <c r="H69" s="43" t="s">
        <v>4891</v>
      </c>
      <c r="I69" s="43" t="s">
        <v>5033</v>
      </c>
      <c r="J69" s="43">
        <v>6</v>
      </c>
      <c r="K69" s="43">
        <v>2</v>
      </c>
      <c r="L69" s="43">
        <v>3</v>
      </c>
      <c r="M69" s="43"/>
      <c r="N69" s="43"/>
      <c r="O69" s="43" t="s">
        <v>4725</v>
      </c>
      <c r="P69" s="43" t="s">
        <v>5024</v>
      </c>
      <c r="Q69" s="43" t="s">
        <v>5092</v>
      </c>
      <c r="R69" s="43" t="s">
        <v>5045</v>
      </c>
      <c r="S69" s="43" t="s">
        <v>5026</v>
      </c>
      <c r="T69" s="51" t="s">
        <v>5027</v>
      </c>
      <c r="U69" s="52" t="s">
        <v>5028</v>
      </c>
      <c r="V69" s="53" t="s">
        <v>3884</v>
      </c>
      <c r="W69" s="54" t="s">
        <v>2432</v>
      </c>
      <c r="X69" s="55" t="s">
        <v>4891</v>
      </c>
      <c r="AI69" s="54"/>
      <c r="AJ69" s="56">
        <v>46013</v>
      </c>
      <c r="AK69" s="57"/>
      <c r="AL69" s="57"/>
      <c r="AM69" s="57"/>
      <c r="AN69" s="57"/>
      <c r="AO69" s="57"/>
      <c r="AP69" s="57"/>
      <c r="AQ69" s="57"/>
      <c r="AR69" s="57"/>
      <c r="AS69" s="57"/>
      <c r="AT69" s="57"/>
      <c r="AU69" s="57"/>
      <c r="AV69" s="57"/>
      <c r="AW69" s="57"/>
      <c r="AX69" s="57"/>
      <c r="AY69" s="57"/>
      <c r="AZ69" s="57"/>
      <c r="BA69" s="57"/>
      <c r="BB69" s="57"/>
      <c r="BC69" s="58"/>
      <c r="BD69" s="55" t="s">
        <v>5033</v>
      </c>
      <c r="BO69" s="54"/>
      <c r="BP69" s="56">
        <v>45985</v>
      </c>
      <c r="BQ69" s="57"/>
      <c r="BR69" s="57"/>
      <c r="BS69" s="57"/>
      <c r="BT69" s="57"/>
      <c r="BU69" s="57"/>
      <c r="BV69" s="57"/>
      <c r="BW69" s="57"/>
      <c r="BX69" s="57"/>
      <c r="BY69" s="57"/>
      <c r="BZ69" s="57"/>
      <c r="CA69" s="57"/>
      <c r="CB69" s="56">
        <v>46003</v>
      </c>
      <c r="CC69" s="57"/>
      <c r="CD69" s="57"/>
      <c r="CE69" s="57"/>
      <c r="CF69" s="57"/>
      <c r="CG69" s="57"/>
      <c r="CH69" s="57"/>
      <c r="CI69" s="57"/>
      <c r="CJ69" s="57"/>
      <c r="CK69" s="57"/>
      <c r="CL69" s="57"/>
      <c r="CM69" s="57"/>
      <c r="CN69" s="56">
        <v>46009</v>
      </c>
      <c r="CO69" s="57"/>
      <c r="CP69" s="57"/>
      <c r="CQ69" s="57"/>
      <c r="CR69" s="57"/>
      <c r="CS69" s="57"/>
      <c r="CT69" s="57"/>
      <c r="CU69" s="57"/>
      <c r="CV69" s="57"/>
      <c r="CW69" s="57"/>
      <c r="CX69" s="57"/>
      <c r="CY69" s="57"/>
      <c r="CZ69" s="56" t="s">
        <v>5034</v>
      </c>
      <c r="DA69" s="57"/>
      <c r="DB69" s="57"/>
      <c r="DC69" s="57"/>
      <c r="DD69" s="57"/>
      <c r="DE69" s="57"/>
      <c r="DF69" s="57"/>
      <c r="DG69" s="57"/>
      <c r="DH69" s="57"/>
      <c r="DI69" s="57"/>
      <c r="DJ69" s="57"/>
      <c r="DK69" s="58"/>
      <c r="DL69" s="59">
        <v>1</v>
      </c>
      <c r="DM69" s="60">
        <v>1</v>
      </c>
      <c r="DN69" s="61">
        <v>1</v>
      </c>
      <c r="DO69" s="60">
        <v>1</v>
      </c>
      <c r="DP69" s="60">
        <v>0</v>
      </c>
      <c r="DQ69" s="59">
        <v>4</v>
      </c>
      <c r="DR69" s="62">
        <v>1136</v>
      </c>
      <c r="DS69" s="62" t="s">
        <v>5034</v>
      </c>
      <c r="DU69" s="62" t="s">
        <v>5034</v>
      </c>
      <c r="DV69" s="63">
        <v>45236.626975590276</v>
      </c>
      <c r="DW69" s="64">
        <v>2023</v>
      </c>
      <c r="DX69" s="65">
        <v>11</v>
      </c>
    </row>
    <row r="70" spans="2:128" ht="15" x14ac:dyDescent="0.25">
      <c r="B70" s="43" t="s">
        <v>5022</v>
      </c>
      <c r="C70" s="43" t="s">
        <v>4802</v>
      </c>
      <c r="D70" s="43" t="s">
        <v>3959</v>
      </c>
      <c r="E70" s="49">
        <v>44349</v>
      </c>
      <c r="F70" s="49"/>
      <c r="G70" s="50">
        <v>1</v>
      </c>
      <c r="H70" s="43" t="s">
        <v>4798</v>
      </c>
      <c r="I70" s="43" t="s">
        <v>5023</v>
      </c>
      <c r="J70" s="43"/>
      <c r="K70" s="43">
        <v>2</v>
      </c>
      <c r="L70" s="43">
        <v>3</v>
      </c>
      <c r="M70" s="43"/>
      <c r="N70" s="43"/>
      <c r="O70" s="43" t="s">
        <v>4725</v>
      </c>
      <c r="P70" s="43" t="s">
        <v>5024</v>
      </c>
      <c r="Q70" s="43" t="s">
        <v>5093</v>
      </c>
      <c r="R70" s="43" t="s">
        <v>5043</v>
      </c>
      <c r="S70" s="43" t="s">
        <v>5026</v>
      </c>
      <c r="T70" s="51" t="s">
        <v>5027</v>
      </c>
      <c r="U70" s="52" t="s">
        <v>5028</v>
      </c>
      <c r="V70" s="53" t="s">
        <v>3884</v>
      </c>
      <c r="W70" s="54" t="s">
        <v>2448</v>
      </c>
      <c r="X70" s="55" t="s">
        <v>4889</v>
      </c>
      <c r="Y70" t="s">
        <v>4896</v>
      </c>
      <c r="Z70" t="s">
        <v>4800</v>
      </c>
      <c r="AA70" t="s">
        <v>4891</v>
      </c>
      <c r="AI70" s="54"/>
      <c r="AJ70" s="56">
        <v>45740</v>
      </c>
      <c r="AK70" s="57">
        <v>45831</v>
      </c>
      <c r="AL70" s="57">
        <v>45922</v>
      </c>
      <c r="AM70" s="57">
        <v>46013</v>
      </c>
      <c r="AN70" s="57"/>
      <c r="AO70" s="57"/>
      <c r="AP70" s="57"/>
      <c r="AQ70" s="57"/>
      <c r="AR70" s="57"/>
      <c r="AS70" s="57"/>
      <c r="AT70" s="57"/>
      <c r="AU70" s="57"/>
      <c r="AV70" s="57"/>
      <c r="AW70" s="57"/>
      <c r="AX70" s="57"/>
      <c r="AY70" s="57"/>
      <c r="AZ70" s="57"/>
      <c r="BA70" s="57"/>
      <c r="BB70" s="57"/>
      <c r="BC70" s="58"/>
      <c r="BD70" s="55" t="s">
        <v>5030</v>
      </c>
      <c r="BE70" t="s">
        <v>5031</v>
      </c>
      <c r="BF70" t="s">
        <v>5032</v>
      </c>
      <c r="BG70" t="s">
        <v>5033</v>
      </c>
      <c r="BO70" s="54"/>
      <c r="BP70" s="56">
        <v>45712</v>
      </c>
      <c r="BQ70" s="57">
        <v>45803</v>
      </c>
      <c r="BR70" s="57">
        <v>45894</v>
      </c>
      <c r="BS70" s="57">
        <v>45985</v>
      </c>
      <c r="BT70" s="57"/>
      <c r="BU70" s="57"/>
      <c r="BV70" s="57"/>
      <c r="BW70" s="57"/>
      <c r="BX70" s="57"/>
      <c r="BY70" s="57"/>
      <c r="BZ70" s="57"/>
      <c r="CA70" s="57"/>
      <c r="CB70" s="56" t="s">
        <v>5034</v>
      </c>
      <c r="CC70" s="57"/>
      <c r="CD70" s="57"/>
      <c r="CE70" s="57"/>
      <c r="CF70" s="57"/>
      <c r="CG70" s="57"/>
      <c r="CH70" s="57"/>
      <c r="CI70" s="57"/>
      <c r="CJ70" s="57"/>
      <c r="CK70" s="57"/>
      <c r="CL70" s="57"/>
      <c r="CM70" s="57"/>
      <c r="CN70" s="56">
        <v>45736</v>
      </c>
      <c r="CO70" s="57">
        <v>45827</v>
      </c>
      <c r="CP70" s="57">
        <v>45918</v>
      </c>
      <c r="CQ70" s="57">
        <v>46009</v>
      </c>
      <c r="CR70" s="57"/>
      <c r="CS70" s="57"/>
      <c r="CT70" s="57"/>
      <c r="CU70" s="57"/>
      <c r="CV70" s="57"/>
      <c r="CW70" s="57"/>
      <c r="CX70" s="57"/>
      <c r="CY70" s="57"/>
      <c r="CZ70" s="56" t="s">
        <v>5034</v>
      </c>
      <c r="DA70" s="57"/>
      <c r="DB70" s="57"/>
      <c r="DC70" s="57"/>
      <c r="DD70" s="57"/>
      <c r="DE70" s="57"/>
      <c r="DF70" s="57"/>
      <c r="DG70" s="57"/>
      <c r="DH70" s="57"/>
      <c r="DI70" s="57"/>
      <c r="DJ70" s="57"/>
      <c r="DK70" s="58"/>
      <c r="DL70" s="59">
        <v>4</v>
      </c>
      <c r="DM70" s="60">
        <v>4</v>
      </c>
      <c r="DN70" s="61">
        <v>0</v>
      </c>
      <c r="DO70" s="60">
        <v>4</v>
      </c>
      <c r="DP70" s="60">
        <v>0</v>
      </c>
      <c r="DQ70" s="59">
        <v>12</v>
      </c>
      <c r="DR70" s="62">
        <v>1140</v>
      </c>
      <c r="DS70" s="62" t="s">
        <v>5034</v>
      </c>
      <c r="DU70" s="62" t="s">
        <v>5034</v>
      </c>
      <c r="DV70" s="63">
        <v>44992.413680844904</v>
      </c>
      <c r="DW70" s="64">
        <v>2023</v>
      </c>
      <c r="DX70" s="65">
        <v>3</v>
      </c>
    </row>
    <row r="71" spans="2:128" ht="15" x14ac:dyDescent="0.25">
      <c r="B71" s="43" t="s">
        <v>5022</v>
      </c>
      <c r="C71" s="43" t="s">
        <v>4854</v>
      </c>
      <c r="D71" s="43" t="s">
        <v>2443</v>
      </c>
      <c r="E71" s="49">
        <v>44349</v>
      </c>
      <c r="F71" s="49"/>
      <c r="G71" s="50">
        <v>1</v>
      </c>
      <c r="H71" s="43" t="s">
        <v>4891</v>
      </c>
      <c r="I71" s="43" t="s">
        <v>5033</v>
      </c>
      <c r="J71" s="43">
        <v>6</v>
      </c>
      <c r="K71" s="43">
        <v>2</v>
      </c>
      <c r="L71" s="43">
        <v>3</v>
      </c>
      <c r="M71" s="43"/>
      <c r="N71" s="43"/>
      <c r="O71" s="43" t="s">
        <v>4725</v>
      </c>
      <c r="P71" s="43" t="s">
        <v>5024</v>
      </c>
      <c r="Q71" s="43" t="s">
        <v>5092</v>
      </c>
      <c r="R71" s="43" t="s">
        <v>5045</v>
      </c>
      <c r="S71" s="43" t="s">
        <v>5026</v>
      </c>
      <c r="T71" s="51" t="s">
        <v>5027</v>
      </c>
      <c r="U71" s="52" t="s">
        <v>5028</v>
      </c>
      <c r="V71" s="53" t="s">
        <v>3884</v>
      </c>
      <c r="W71" s="54" t="s">
        <v>2442</v>
      </c>
      <c r="X71" s="55" t="s">
        <v>4891</v>
      </c>
      <c r="AI71" s="54"/>
      <c r="AJ71" s="56">
        <v>46013</v>
      </c>
      <c r="AK71" s="57"/>
      <c r="AL71" s="57"/>
      <c r="AM71" s="57"/>
      <c r="AN71" s="57"/>
      <c r="AO71" s="57"/>
      <c r="AP71" s="57"/>
      <c r="AQ71" s="57"/>
      <c r="AR71" s="57"/>
      <c r="AS71" s="57"/>
      <c r="AT71" s="57"/>
      <c r="AU71" s="57"/>
      <c r="AV71" s="57"/>
      <c r="AW71" s="57"/>
      <c r="AX71" s="57"/>
      <c r="AY71" s="57"/>
      <c r="AZ71" s="57"/>
      <c r="BA71" s="57"/>
      <c r="BB71" s="57"/>
      <c r="BC71" s="58"/>
      <c r="BD71" s="55" t="s">
        <v>5033</v>
      </c>
      <c r="BO71" s="54"/>
      <c r="BP71" s="56">
        <v>45985</v>
      </c>
      <c r="BQ71" s="57"/>
      <c r="BR71" s="57"/>
      <c r="BS71" s="57"/>
      <c r="BT71" s="57"/>
      <c r="BU71" s="57"/>
      <c r="BV71" s="57"/>
      <c r="BW71" s="57"/>
      <c r="BX71" s="57"/>
      <c r="BY71" s="57"/>
      <c r="BZ71" s="57"/>
      <c r="CA71" s="57"/>
      <c r="CB71" s="56">
        <v>46003</v>
      </c>
      <c r="CC71" s="57"/>
      <c r="CD71" s="57"/>
      <c r="CE71" s="57"/>
      <c r="CF71" s="57"/>
      <c r="CG71" s="57"/>
      <c r="CH71" s="57"/>
      <c r="CI71" s="57"/>
      <c r="CJ71" s="57"/>
      <c r="CK71" s="57"/>
      <c r="CL71" s="57"/>
      <c r="CM71" s="57"/>
      <c r="CN71" s="56">
        <v>46009</v>
      </c>
      <c r="CO71" s="57"/>
      <c r="CP71" s="57"/>
      <c r="CQ71" s="57"/>
      <c r="CR71" s="57"/>
      <c r="CS71" s="57"/>
      <c r="CT71" s="57"/>
      <c r="CU71" s="57"/>
      <c r="CV71" s="57"/>
      <c r="CW71" s="57"/>
      <c r="CX71" s="57"/>
      <c r="CY71" s="57"/>
      <c r="CZ71" s="56" t="s">
        <v>5034</v>
      </c>
      <c r="DA71" s="57"/>
      <c r="DB71" s="57"/>
      <c r="DC71" s="57"/>
      <c r="DD71" s="57"/>
      <c r="DE71" s="57"/>
      <c r="DF71" s="57"/>
      <c r="DG71" s="57"/>
      <c r="DH71" s="57"/>
      <c r="DI71" s="57"/>
      <c r="DJ71" s="57"/>
      <c r="DK71" s="58"/>
      <c r="DL71" s="59">
        <v>1</v>
      </c>
      <c r="DM71" s="60">
        <v>1</v>
      </c>
      <c r="DN71" s="61">
        <v>1</v>
      </c>
      <c r="DO71" s="60">
        <v>1</v>
      </c>
      <c r="DP71" s="60">
        <v>0</v>
      </c>
      <c r="DQ71" s="59">
        <v>4</v>
      </c>
      <c r="DR71" s="62">
        <v>1152</v>
      </c>
      <c r="DS71" s="62" t="s">
        <v>5034</v>
      </c>
      <c r="DU71" s="62" t="s">
        <v>5034</v>
      </c>
      <c r="DV71" s="63">
        <v>45236.559790208332</v>
      </c>
      <c r="DW71" s="64">
        <v>2023</v>
      </c>
      <c r="DX71" s="65">
        <v>11</v>
      </c>
    </row>
    <row r="72" spans="2:128" ht="15" x14ac:dyDescent="0.25">
      <c r="B72" s="43" t="s">
        <v>5022</v>
      </c>
      <c r="C72" s="43" t="s">
        <v>4802</v>
      </c>
      <c r="D72" s="43" t="s">
        <v>888</v>
      </c>
      <c r="E72" s="49">
        <v>44356</v>
      </c>
      <c r="F72" s="49"/>
      <c r="G72" s="50">
        <v>1</v>
      </c>
      <c r="H72" s="43" t="s">
        <v>4798</v>
      </c>
      <c r="I72" s="43" t="s">
        <v>5023</v>
      </c>
      <c r="J72" s="43"/>
      <c r="K72" s="43">
        <v>2</v>
      </c>
      <c r="L72" s="43">
        <v>2</v>
      </c>
      <c r="M72" s="43"/>
      <c r="N72" s="43" t="s">
        <v>995</v>
      </c>
      <c r="O72" s="43"/>
      <c r="P72" s="43" t="s">
        <v>5024</v>
      </c>
      <c r="Q72" s="43" t="s">
        <v>5093</v>
      </c>
      <c r="R72" s="43" t="s">
        <v>5043</v>
      </c>
      <c r="S72" s="43" t="s">
        <v>5026</v>
      </c>
      <c r="T72" s="51" t="s">
        <v>5027</v>
      </c>
      <c r="U72" s="52" t="s">
        <v>5028</v>
      </c>
      <c r="V72" s="53" t="s">
        <v>3884</v>
      </c>
      <c r="W72" s="54" t="s">
        <v>887</v>
      </c>
      <c r="X72" s="55" t="s">
        <v>4889</v>
      </c>
      <c r="Y72" t="s">
        <v>4896</v>
      </c>
      <c r="Z72" t="s">
        <v>4800</v>
      </c>
      <c r="AA72" t="s">
        <v>4891</v>
      </c>
      <c r="AI72" s="54"/>
      <c r="AJ72" s="56">
        <v>45740</v>
      </c>
      <c r="AK72" s="57">
        <v>45831</v>
      </c>
      <c r="AL72" s="57">
        <v>45922</v>
      </c>
      <c r="AM72" s="57">
        <v>46013</v>
      </c>
      <c r="AN72" s="57"/>
      <c r="AO72" s="57"/>
      <c r="AP72" s="57"/>
      <c r="AQ72" s="57"/>
      <c r="AR72" s="57"/>
      <c r="AS72" s="57"/>
      <c r="AT72" s="57"/>
      <c r="AU72" s="57"/>
      <c r="AV72" s="57"/>
      <c r="AW72" s="57"/>
      <c r="AX72" s="57"/>
      <c r="AY72" s="57"/>
      <c r="AZ72" s="57"/>
      <c r="BA72" s="57"/>
      <c r="BB72" s="57"/>
      <c r="BC72" s="58"/>
      <c r="BD72" s="55" t="s">
        <v>5030</v>
      </c>
      <c r="BE72" t="s">
        <v>5031</v>
      </c>
      <c r="BF72" t="s">
        <v>5032</v>
      </c>
      <c r="BG72" t="s">
        <v>5033</v>
      </c>
      <c r="BO72" s="54"/>
      <c r="BP72" s="56">
        <v>45712</v>
      </c>
      <c r="BQ72" s="57">
        <v>45803</v>
      </c>
      <c r="BR72" s="57">
        <v>45894</v>
      </c>
      <c r="BS72" s="57">
        <v>45985</v>
      </c>
      <c r="BT72" s="57"/>
      <c r="BU72" s="57"/>
      <c r="BV72" s="57"/>
      <c r="BW72" s="57"/>
      <c r="BX72" s="57"/>
      <c r="BY72" s="57"/>
      <c r="BZ72" s="57"/>
      <c r="CA72" s="57"/>
      <c r="CB72" s="56" t="s">
        <v>5034</v>
      </c>
      <c r="CC72" s="57"/>
      <c r="CD72" s="57"/>
      <c r="CE72" s="57"/>
      <c r="CF72" s="57"/>
      <c r="CG72" s="57"/>
      <c r="CH72" s="57"/>
      <c r="CI72" s="57"/>
      <c r="CJ72" s="57"/>
      <c r="CK72" s="57"/>
      <c r="CL72" s="57"/>
      <c r="CM72" s="57"/>
      <c r="CN72" s="56">
        <v>45736</v>
      </c>
      <c r="CO72" s="57">
        <v>45827</v>
      </c>
      <c r="CP72" s="57">
        <v>45918</v>
      </c>
      <c r="CQ72" s="57">
        <v>46009</v>
      </c>
      <c r="CR72" s="57"/>
      <c r="CS72" s="57"/>
      <c r="CT72" s="57"/>
      <c r="CU72" s="57"/>
      <c r="CV72" s="57"/>
      <c r="CW72" s="57"/>
      <c r="CX72" s="57"/>
      <c r="CY72" s="57"/>
      <c r="CZ72" s="56" t="s">
        <v>5034</v>
      </c>
      <c r="DA72" s="57"/>
      <c r="DB72" s="57"/>
      <c r="DC72" s="57"/>
      <c r="DD72" s="57"/>
      <c r="DE72" s="57"/>
      <c r="DF72" s="57"/>
      <c r="DG72" s="57"/>
      <c r="DH72" s="57"/>
      <c r="DI72" s="57"/>
      <c r="DJ72" s="57"/>
      <c r="DK72" s="58"/>
      <c r="DL72" s="59">
        <v>4</v>
      </c>
      <c r="DM72" s="60">
        <v>4</v>
      </c>
      <c r="DN72" s="61">
        <v>0</v>
      </c>
      <c r="DO72" s="60">
        <v>4</v>
      </c>
      <c r="DP72" s="60">
        <v>0</v>
      </c>
      <c r="DQ72" s="59">
        <v>12</v>
      </c>
      <c r="DR72" s="62">
        <v>1156</v>
      </c>
      <c r="DS72" s="62" t="s">
        <v>5034</v>
      </c>
      <c r="DU72" s="62" t="s">
        <v>5034</v>
      </c>
      <c r="DV72" s="63">
        <v>44698.595036446757</v>
      </c>
      <c r="DW72" s="64">
        <v>2022</v>
      </c>
      <c r="DX72" s="65">
        <v>5</v>
      </c>
    </row>
    <row r="73" spans="2:128" ht="15" x14ac:dyDescent="0.25">
      <c r="B73" s="43" t="s">
        <v>5022</v>
      </c>
      <c r="C73" s="43" t="s">
        <v>4855</v>
      </c>
      <c r="D73" s="43" t="s">
        <v>871</v>
      </c>
      <c r="E73" s="49">
        <v>44377</v>
      </c>
      <c r="F73" s="49"/>
      <c r="G73" s="50">
        <v>1</v>
      </c>
      <c r="H73" s="43" t="s">
        <v>4798</v>
      </c>
      <c r="I73" s="43" t="s">
        <v>5023</v>
      </c>
      <c r="J73" s="43"/>
      <c r="K73" s="43">
        <v>2</v>
      </c>
      <c r="L73" s="43">
        <v>3</v>
      </c>
      <c r="M73" s="43"/>
      <c r="N73" s="43"/>
      <c r="O73" s="43"/>
      <c r="P73" s="43" t="s">
        <v>5094</v>
      </c>
      <c r="Q73" s="43" t="s">
        <v>5095</v>
      </c>
      <c r="R73" s="43" t="s">
        <v>5086</v>
      </c>
      <c r="S73" s="43" t="s">
        <v>5026</v>
      </c>
      <c r="T73" s="51" t="s">
        <v>5027</v>
      </c>
      <c r="U73" s="52" t="s">
        <v>5028</v>
      </c>
      <c r="V73" s="53" t="s">
        <v>3884</v>
      </c>
      <c r="W73" s="54" t="s">
        <v>870</v>
      </c>
      <c r="X73" s="55" t="s">
        <v>4889</v>
      </c>
      <c r="Y73" t="s">
        <v>4896</v>
      </c>
      <c r="Z73" t="s">
        <v>4800</v>
      </c>
      <c r="AA73" t="s">
        <v>4891</v>
      </c>
      <c r="AI73" s="54"/>
      <c r="AJ73" s="56">
        <v>45740</v>
      </c>
      <c r="AK73" s="57">
        <v>45831</v>
      </c>
      <c r="AL73" s="57">
        <v>45922</v>
      </c>
      <c r="AM73" s="57">
        <v>46013</v>
      </c>
      <c r="AN73" s="57"/>
      <c r="AO73" s="57"/>
      <c r="AP73" s="57"/>
      <c r="AQ73" s="57"/>
      <c r="AR73" s="57"/>
      <c r="AS73" s="57"/>
      <c r="AT73" s="57"/>
      <c r="AU73" s="57"/>
      <c r="AV73" s="57"/>
      <c r="AW73" s="57"/>
      <c r="AX73" s="57"/>
      <c r="AY73" s="57"/>
      <c r="AZ73" s="57"/>
      <c r="BA73" s="57"/>
      <c r="BB73" s="57"/>
      <c r="BC73" s="58"/>
      <c r="BD73" s="55" t="s">
        <v>5030</v>
      </c>
      <c r="BE73" t="s">
        <v>5031</v>
      </c>
      <c r="BF73" t="s">
        <v>5032</v>
      </c>
      <c r="BG73" t="s">
        <v>5033</v>
      </c>
      <c r="BO73" s="54"/>
      <c r="BP73" s="56">
        <v>45712</v>
      </c>
      <c r="BQ73" s="57">
        <v>45803</v>
      </c>
      <c r="BR73" s="57">
        <v>45894</v>
      </c>
      <c r="BS73" s="57">
        <v>45985</v>
      </c>
      <c r="BT73" s="57"/>
      <c r="BU73" s="57"/>
      <c r="BV73" s="57"/>
      <c r="BW73" s="57"/>
      <c r="BX73" s="57"/>
      <c r="BY73" s="57"/>
      <c r="BZ73" s="57"/>
      <c r="CA73" s="57"/>
      <c r="CB73" s="56" t="s">
        <v>5034</v>
      </c>
      <c r="CC73" s="57"/>
      <c r="CD73" s="57"/>
      <c r="CE73" s="57"/>
      <c r="CF73" s="57"/>
      <c r="CG73" s="57"/>
      <c r="CH73" s="57"/>
      <c r="CI73" s="57"/>
      <c r="CJ73" s="57"/>
      <c r="CK73" s="57"/>
      <c r="CL73" s="57"/>
      <c r="CM73" s="57"/>
      <c r="CN73" s="56">
        <v>45736</v>
      </c>
      <c r="CO73" s="57">
        <v>45827</v>
      </c>
      <c r="CP73" s="57">
        <v>45918</v>
      </c>
      <c r="CQ73" s="57">
        <v>46009</v>
      </c>
      <c r="CR73" s="57"/>
      <c r="CS73" s="57"/>
      <c r="CT73" s="57"/>
      <c r="CU73" s="57"/>
      <c r="CV73" s="57"/>
      <c r="CW73" s="57"/>
      <c r="CX73" s="57"/>
      <c r="CY73" s="57"/>
      <c r="CZ73" s="56" t="s">
        <v>5034</v>
      </c>
      <c r="DA73" s="57"/>
      <c r="DB73" s="57"/>
      <c r="DC73" s="57"/>
      <c r="DD73" s="57"/>
      <c r="DE73" s="57"/>
      <c r="DF73" s="57"/>
      <c r="DG73" s="57"/>
      <c r="DH73" s="57"/>
      <c r="DI73" s="57"/>
      <c r="DJ73" s="57"/>
      <c r="DK73" s="58"/>
      <c r="DL73" s="59">
        <v>4</v>
      </c>
      <c r="DM73" s="60">
        <v>4</v>
      </c>
      <c r="DN73" s="61">
        <v>0</v>
      </c>
      <c r="DO73" s="60">
        <v>4</v>
      </c>
      <c r="DP73" s="60">
        <v>0</v>
      </c>
      <c r="DQ73" s="59">
        <v>12</v>
      </c>
      <c r="DR73" s="62">
        <v>1168</v>
      </c>
      <c r="DS73" s="62" t="s">
        <v>5034</v>
      </c>
      <c r="DU73" s="62" t="s">
        <v>5034</v>
      </c>
      <c r="DV73" s="63">
        <v>44627.473579710648</v>
      </c>
      <c r="DW73" s="64">
        <v>2022</v>
      </c>
      <c r="DX73" s="65">
        <v>3</v>
      </c>
    </row>
    <row r="74" spans="2:128" ht="15" x14ac:dyDescent="0.25">
      <c r="B74" s="43" t="s">
        <v>5022</v>
      </c>
      <c r="C74" s="43" t="s">
        <v>4856</v>
      </c>
      <c r="D74" s="43" t="s">
        <v>4857</v>
      </c>
      <c r="E74" s="49">
        <v>44386</v>
      </c>
      <c r="F74" s="49"/>
      <c r="G74" s="50">
        <v>1</v>
      </c>
      <c r="H74" s="43" t="s">
        <v>4888</v>
      </c>
      <c r="I74" s="43" t="s">
        <v>5031</v>
      </c>
      <c r="J74" s="43">
        <v>6</v>
      </c>
      <c r="K74" s="43">
        <v>2</v>
      </c>
      <c r="L74" s="43">
        <v>3</v>
      </c>
      <c r="M74" s="43"/>
      <c r="N74" s="43"/>
      <c r="O74" s="43" t="s">
        <v>4725</v>
      </c>
      <c r="P74" s="43" t="s">
        <v>5094</v>
      </c>
      <c r="Q74" s="43" t="s">
        <v>5096</v>
      </c>
      <c r="R74" s="43" t="s">
        <v>5068</v>
      </c>
      <c r="S74" s="43" t="s">
        <v>5026</v>
      </c>
      <c r="T74" s="51" t="s">
        <v>5027</v>
      </c>
      <c r="U74" s="52" t="s">
        <v>5028</v>
      </c>
      <c r="V74" s="53" t="s">
        <v>3884</v>
      </c>
      <c r="W74" s="54" t="s">
        <v>892</v>
      </c>
      <c r="X74" s="55" t="s">
        <v>4888</v>
      </c>
      <c r="AI74" s="54"/>
      <c r="AJ74" s="56">
        <v>45839</v>
      </c>
      <c r="AK74" s="57"/>
      <c r="AL74" s="57"/>
      <c r="AM74" s="57"/>
      <c r="AN74" s="57"/>
      <c r="AO74" s="57"/>
      <c r="AP74" s="57"/>
      <c r="AQ74" s="57"/>
      <c r="AR74" s="57"/>
      <c r="AS74" s="57"/>
      <c r="AT74" s="57"/>
      <c r="AU74" s="57"/>
      <c r="AV74" s="57"/>
      <c r="AW74" s="57"/>
      <c r="AX74" s="57"/>
      <c r="AY74" s="57"/>
      <c r="AZ74" s="57"/>
      <c r="BA74" s="57"/>
      <c r="BB74" s="57"/>
      <c r="BC74" s="58"/>
      <c r="BD74" s="55" t="s">
        <v>5031</v>
      </c>
      <c r="BO74" s="54"/>
      <c r="BP74" s="56">
        <v>45803</v>
      </c>
      <c r="BQ74" s="57"/>
      <c r="BR74" s="57"/>
      <c r="BS74" s="57"/>
      <c r="BT74" s="57"/>
      <c r="BU74" s="57"/>
      <c r="BV74" s="57"/>
      <c r="BW74" s="57"/>
      <c r="BX74" s="57"/>
      <c r="BY74" s="57"/>
      <c r="BZ74" s="57"/>
      <c r="CA74" s="57"/>
      <c r="CB74" s="56">
        <v>45831</v>
      </c>
      <c r="CC74" s="57"/>
      <c r="CD74" s="57"/>
      <c r="CE74" s="57"/>
      <c r="CF74" s="57"/>
      <c r="CG74" s="57"/>
      <c r="CH74" s="57"/>
      <c r="CI74" s="57"/>
      <c r="CJ74" s="57"/>
      <c r="CK74" s="57"/>
      <c r="CL74" s="57"/>
      <c r="CM74" s="57"/>
      <c r="CN74" s="56">
        <v>45835</v>
      </c>
      <c r="CO74" s="57"/>
      <c r="CP74" s="57"/>
      <c r="CQ74" s="57"/>
      <c r="CR74" s="57"/>
      <c r="CS74" s="57"/>
      <c r="CT74" s="57"/>
      <c r="CU74" s="57"/>
      <c r="CV74" s="57"/>
      <c r="CW74" s="57"/>
      <c r="CX74" s="57"/>
      <c r="CY74" s="57"/>
      <c r="CZ74" s="56" t="s">
        <v>5034</v>
      </c>
      <c r="DA74" s="57"/>
      <c r="DB74" s="57"/>
      <c r="DC74" s="57"/>
      <c r="DD74" s="57"/>
      <c r="DE74" s="57"/>
      <c r="DF74" s="57"/>
      <c r="DG74" s="57"/>
      <c r="DH74" s="57"/>
      <c r="DI74" s="57"/>
      <c r="DJ74" s="57"/>
      <c r="DK74" s="58"/>
      <c r="DL74" s="59">
        <v>1</v>
      </c>
      <c r="DM74" s="60">
        <v>1</v>
      </c>
      <c r="DN74" s="61">
        <v>1</v>
      </c>
      <c r="DO74" s="60">
        <v>1</v>
      </c>
      <c r="DP74" s="60">
        <v>0</v>
      </c>
      <c r="DQ74" s="59">
        <v>4</v>
      </c>
      <c r="DR74" s="62">
        <v>1180</v>
      </c>
      <c r="DS74" s="62" t="s">
        <v>5034</v>
      </c>
      <c r="DU74" s="62" t="s">
        <v>5034</v>
      </c>
      <c r="DV74" s="63">
        <v>45028.331805960646</v>
      </c>
      <c r="DW74" s="64">
        <v>2023</v>
      </c>
      <c r="DX74" s="65">
        <v>4</v>
      </c>
    </row>
    <row r="75" spans="2:128" ht="15" x14ac:dyDescent="0.25">
      <c r="B75" s="43" t="s">
        <v>5022</v>
      </c>
      <c r="C75" s="43" t="s">
        <v>4802</v>
      </c>
      <c r="D75" s="43" t="s">
        <v>4858</v>
      </c>
      <c r="E75" s="49">
        <v>44391</v>
      </c>
      <c r="F75" s="49"/>
      <c r="G75" s="50">
        <v>1</v>
      </c>
      <c r="H75" s="43" t="s">
        <v>4798</v>
      </c>
      <c r="I75" s="43" t="s">
        <v>5023</v>
      </c>
      <c r="J75" s="43"/>
      <c r="K75" s="43">
        <v>2</v>
      </c>
      <c r="L75" s="43">
        <v>3</v>
      </c>
      <c r="M75" s="43"/>
      <c r="N75" s="43"/>
      <c r="O75" s="43" t="s">
        <v>4725</v>
      </c>
      <c r="P75" s="43" t="s">
        <v>5024</v>
      </c>
      <c r="Q75" s="43" t="s">
        <v>5093</v>
      </c>
      <c r="R75" s="43" t="s">
        <v>5045</v>
      </c>
      <c r="S75" s="43" t="s">
        <v>5026</v>
      </c>
      <c r="T75" s="51" t="s">
        <v>5027</v>
      </c>
      <c r="U75" s="43" t="s">
        <v>5028</v>
      </c>
      <c r="V75" s="53" t="s">
        <v>3884</v>
      </c>
      <c r="W75" s="54" t="s">
        <v>2403</v>
      </c>
      <c r="X75" s="55" t="s">
        <v>4889</v>
      </c>
      <c r="Y75" t="s">
        <v>4896</v>
      </c>
      <c r="Z75" t="s">
        <v>4800</v>
      </c>
      <c r="AA75" t="s">
        <v>4891</v>
      </c>
      <c r="AI75" s="54"/>
      <c r="AJ75" s="56">
        <v>45740</v>
      </c>
      <c r="AK75" s="57">
        <v>45831</v>
      </c>
      <c r="AL75" s="57">
        <v>45922</v>
      </c>
      <c r="AM75" s="57">
        <v>46013</v>
      </c>
      <c r="AN75" s="57"/>
      <c r="AO75" s="57"/>
      <c r="AP75" s="57"/>
      <c r="AQ75" s="57"/>
      <c r="AR75" s="57"/>
      <c r="AS75" s="57"/>
      <c r="AT75" s="57"/>
      <c r="AU75" s="57"/>
      <c r="AV75" s="57"/>
      <c r="AW75" s="57"/>
      <c r="AX75" s="57"/>
      <c r="AY75" s="57"/>
      <c r="AZ75" s="57"/>
      <c r="BA75" s="57"/>
      <c r="BB75" s="57"/>
      <c r="BC75" s="58"/>
      <c r="BD75" s="55" t="s">
        <v>5030</v>
      </c>
      <c r="BE75" t="s">
        <v>5031</v>
      </c>
      <c r="BF75" t="s">
        <v>5032</v>
      </c>
      <c r="BG75" t="s">
        <v>5033</v>
      </c>
      <c r="BO75" s="54"/>
      <c r="BP75" s="56">
        <v>45712</v>
      </c>
      <c r="BQ75" s="57">
        <v>45803</v>
      </c>
      <c r="BR75" s="57">
        <v>45894</v>
      </c>
      <c r="BS75" s="57">
        <v>45985</v>
      </c>
      <c r="BT75" s="57"/>
      <c r="BU75" s="57"/>
      <c r="BV75" s="57"/>
      <c r="BW75" s="57"/>
      <c r="BX75" s="57"/>
      <c r="BY75" s="57"/>
      <c r="BZ75" s="57"/>
      <c r="CA75" s="57"/>
      <c r="CB75" s="56" t="s">
        <v>5034</v>
      </c>
      <c r="CC75" s="57"/>
      <c r="CD75" s="57"/>
      <c r="CE75" s="57"/>
      <c r="CF75" s="57"/>
      <c r="CG75" s="57"/>
      <c r="CH75" s="57"/>
      <c r="CI75" s="57"/>
      <c r="CJ75" s="57"/>
      <c r="CK75" s="57"/>
      <c r="CL75" s="57"/>
      <c r="CM75" s="57"/>
      <c r="CN75" s="56">
        <v>45736</v>
      </c>
      <c r="CO75" s="57">
        <v>45827</v>
      </c>
      <c r="CP75" s="57">
        <v>45918</v>
      </c>
      <c r="CQ75" s="57">
        <v>46009</v>
      </c>
      <c r="CR75" s="57"/>
      <c r="CS75" s="57"/>
      <c r="CT75" s="57"/>
      <c r="CU75" s="57"/>
      <c r="CV75" s="57"/>
      <c r="CW75" s="57"/>
      <c r="CX75" s="57"/>
      <c r="CY75" s="57"/>
      <c r="CZ75" s="56" t="s">
        <v>5034</v>
      </c>
      <c r="DA75" s="57"/>
      <c r="DB75" s="57"/>
      <c r="DC75" s="57"/>
      <c r="DD75" s="57"/>
      <c r="DE75" s="57"/>
      <c r="DF75" s="57"/>
      <c r="DG75" s="57"/>
      <c r="DH75" s="57"/>
      <c r="DI75" s="57"/>
      <c r="DJ75" s="57"/>
      <c r="DK75" s="58"/>
      <c r="DL75" s="59">
        <v>4</v>
      </c>
      <c r="DM75" s="60">
        <v>4</v>
      </c>
      <c r="DN75" s="61">
        <v>0</v>
      </c>
      <c r="DO75" s="60">
        <v>4</v>
      </c>
      <c r="DP75" s="60">
        <v>0</v>
      </c>
      <c r="DQ75" s="59">
        <v>12</v>
      </c>
      <c r="DR75" s="62">
        <v>1184</v>
      </c>
      <c r="DS75" s="62" t="s">
        <v>5034</v>
      </c>
      <c r="DU75" s="62" t="s">
        <v>5034</v>
      </c>
      <c r="DV75" s="63">
        <v>44992.61665880787</v>
      </c>
      <c r="DW75" s="64">
        <v>2023</v>
      </c>
      <c r="DX75" s="65">
        <v>3</v>
      </c>
    </row>
    <row r="76" spans="2:128" ht="15" x14ac:dyDescent="0.25">
      <c r="B76" s="43" t="s">
        <v>5022</v>
      </c>
      <c r="C76" s="43" t="s">
        <v>4818</v>
      </c>
      <c r="D76" s="43" t="s">
        <v>2395</v>
      </c>
      <c r="E76" s="49">
        <v>44393</v>
      </c>
      <c r="F76" s="49"/>
      <c r="G76" s="50">
        <v>1</v>
      </c>
      <c r="H76" s="43" t="s">
        <v>4890</v>
      </c>
      <c r="I76" s="43" t="s">
        <v>5023</v>
      </c>
      <c r="J76" s="43"/>
      <c r="K76" s="43">
        <v>2</v>
      </c>
      <c r="L76" s="43">
        <v>2</v>
      </c>
      <c r="M76" s="43"/>
      <c r="N76" s="43"/>
      <c r="O76" s="43" t="s">
        <v>4725</v>
      </c>
      <c r="P76" s="43" t="s">
        <v>5024</v>
      </c>
      <c r="Q76" s="43" t="s">
        <v>5097</v>
      </c>
      <c r="R76" s="43" t="s">
        <v>5038</v>
      </c>
      <c r="S76" s="43" t="s">
        <v>5026</v>
      </c>
      <c r="T76" s="51" t="s">
        <v>5027</v>
      </c>
      <c r="U76" s="52" t="s">
        <v>5028</v>
      </c>
      <c r="V76" s="53" t="s">
        <v>3884</v>
      </c>
      <c r="W76" s="54" t="s">
        <v>2394</v>
      </c>
      <c r="X76" s="55" t="s">
        <v>5048</v>
      </c>
      <c r="Y76" t="s">
        <v>4894</v>
      </c>
      <c r="Z76" t="s">
        <v>5049</v>
      </c>
      <c r="AA76" t="s">
        <v>4893</v>
      </c>
      <c r="AI76" s="54"/>
      <c r="AJ76" s="56">
        <v>45670</v>
      </c>
      <c r="AK76" s="57">
        <v>45761</v>
      </c>
      <c r="AL76" s="57">
        <v>45852</v>
      </c>
      <c r="AM76" s="57">
        <v>45943</v>
      </c>
      <c r="AN76" s="57"/>
      <c r="AO76" s="57"/>
      <c r="AP76" s="57"/>
      <c r="AQ76" s="57"/>
      <c r="AR76" s="57"/>
      <c r="AS76" s="57"/>
      <c r="AT76" s="57"/>
      <c r="AU76" s="57"/>
      <c r="AV76" s="57"/>
      <c r="AW76" s="57"/>
      <c r="AX76" s="57"/>
      <c r="AY76" s="57"/>
      <c r="AZ76" s="57"/>
      <c r="BA76" s="57"/>
      <c r="BB76" s="57"/>
      <c r="BC76" s="58"/>
      <c r="BD76" s="55" t="s">
        <v>5030</v>
      </c>
      <c r="BE76" t="s">
        <v>5031</v>
      </c>
      <c r="BF76" t="s">
        <v>5032</v>
      </c>
      <c r="BG76" t="s">
        <v>5033</v>
      </c>
      <c r="BO76" s="54"/>
      <c r="BP76" s="56">
        <v>45712</v>
      </c>
      <c r="BQ76" s="57">
        <v>45803</v>
      </c>
      <c r="BR76" s="57">
        <v>45894</v>
      </c>
      <c r="BS76" s="57">
        <v>45985</v>
      </c>
      <c r="BT76" s="57"/>
      <c r="BU76" s="57"/>
      <c r="BV76" s="57"/>
      <c r="BW76" s="57"/>
      <c r="BX76" s="57"/>
      <c r="BY76" s="57"/>
      <c r="BZ76" s="57"/>
      <c r="CA76" s="57"/>
      <c r="CB76" s="56" t="s">
        <v>5034</v>
      </c>
      <c r="CC76" s="57"/>
      <c r="CD76" s="57"/>
      <c r="CE76" s="57"/>
      <c r="CF76" s="57"/>
      <c r="CG76" s="57"/>
      <c r="CH76" s="57"/>
      <c r="CI76" s="57"/>
      <c r="CJ76" s="57"/>
      <c r="CK76" s="57"/>
      <c r="CL76" s="57"/>
      <c r="CM76" s="57"/>
      <c r="CN76" s="56">
        <v>45666</v>
      </c>
      <c r="CO76" s="57">
        <v>45757</v>
      </c>
      <c r="CP76" s="57">
        <v>45848</v>
      </c>
      <c r="CQ76" s="57">
        <v>45939</v>
      </c>
      <c r="CR76" s="57"/>
      <c r="CS76" s="57"/>
      <c r="CT76" s="57"/>
      <c r="CU76" s="57"/>
      <c r="CV76" s="57"/>
      <c r="CW76" s="57"/>
      <c r="CX76" s="57"/>
      <c r="CY76" s="57"/>
      <c r="CZ76" s="56" t="s">
        <v>5034</v>
      </c>
      <c r="DA76" s="57"/>
      <c r="DB76" s="57"/>
      <c r="DC76" s="57"/>
      <c r="DD76" s="57"/>
      <c r="DE76" s="57"/>
      <c r="DF76" s="57"/>
      <c r="DG76" s="57"/>
      <c r="DH76" s="57"/>
      <c r="DI76" s="57"/>
      <c r="DJ76" s="57"/>
      <c r="DK76" s="58"/>
      <c r="DL76" s="59">
        <v>4</v>
      </c>
      <c r="DM76" s="60">
        <v>4</v>
      </c>
      <c r="DN76" s="61">
        <v>0</v>
      </c>
      <c r="DO76" s="60">
        <v>4</v>
      </c>
      <c r="DP76" s="60">
        <v>0</v>
      </c>
      <c r="DQ76" s="59">
        <v>12</v>
      </c>
      <c r="DR76" s="62">
        <v>1196</v>
      </c>
      <c r="DS76" s="62" t="s">
        <v>5034</v>
      </c>
      <c r="DU76" s="62" t="s">
        <v>5034</v>
      </c>
      <c r="DV76" s="63">
        <v>44610.310698263886</v>
      </c>
      <c r="DW76" s="64">
        <v>2022</v>
      </c>
      <c r="DX76" s="65">
        <v>2</v>
      </c>
    </row>
    <row r="77" spans="2:128" ht="15" x14ac:dyDescent="0.25">
      <c r="B77" s="43" t="s">
        <v>5022</v>
      </c>
      <c r="C77" s="43" t="s">
        <v>4825</v>
      </c>
      <c r="D77" s="43" t="s">
        <v>2389</v>
      </c>
      <c r="E77" s="49">
        <v>44405</v>
      </c>
      <c r="F77" s="49"/>
      <c r="G77" s="50">
        <v>1</v>
      </c>
      <c r="H77" s="43" t="s">
        <v>4798</v>
      </c>
      <c r="I77" s="43" t="s">
        <v>5023</v>
      </c>
      <c r="J77" s="43">
        <v>6</v>
      </c>
      <c r="K77" s="43">
        <v>2</v>
      </c>
      <c r="L77" s="43">
        <v>3</v>
      </c>
      <c r="M77" s="43"/>
      <c r="N77" s="43"/>
      <c r="O77" s="43" t="s">
        <v>5066</v>
      </c>
      <c r="P77" s="43" t="s">
        <v>5063</v>
      </c>
      <c r="Q77" s="43" t="s">
        <v>5064</v>
      </c>
      <c r="R77" s="43" t="s">
        <v>5047</v>
      </c>
      <c r="S77" s="43" t="s">
        <v>5026</v>
      </c>
      <c r="T77" s="51" t="s">
        <v>5027</v>
      </c>
      <c r="U77" s="43" t="s">
        <v>5028</v>
      </c>
      <c r="V77" s="53" t="s">
        <v>3884</v>
      </c>
      <c r="W77" s="54" t="s">
        <v>2388</v>
      </c>
      <c r="X77" s="55" t="s">
        <v>4889</v>
      </c>
      <c r="Y77" t="s">
        <v>4896</v>
      </c>
      <c r="Z77" t="s">
        <v>4800</v>
      </c>
      <c r="AA77" t="s">
        <v>4891</v>
      </c>
      <c r="AI77" s="54"/>
      <c r="AJ77" s="56">
        <v>45740</v>
      </c>
      <c r="AK77" s="57">
        <v>45831</v>
      </c>
      <c r="AL77" s="57">
        <v>45922</v>
      </c>
      <c r="AM77" s="57">
        <v>46013</v>
      </c>
      <c r="AN77" s="57"/>
      <c r="AO77" s="57"/>
      <c r="AP77" s="57"/>
      <c r="AQ77" s="57"/>
      <c r="AR77" s="57"/>
      <c r="AS77" s="57"/>
      <c r="AT77" s="57"/>
      <c r="AU77" s="57"/>
      <c r="AV77" s="57"/>
      <c r="AW77" s="57"/>
      <c r="AX77" s="57"/>
      <c r="AY77" s="57"/>
      <c r="AZ77" s="57"/>
      <c r="BA77" s="57"/>
      <c r="BB77" s="57"/>
      <c r="BC77" s="58"/>
      <c r="BD77" s="55" t="s">
        <v>5030</v>
      </c>
      <c r="BE77" t="s">
        <v>5031</v>
      </c>
      <c r="BF77" t="s">
        <v>5032</v>
      </c>
      <c r="BG77" t="s">
        <v>5033</v>
      </c>
      <c r="BO77" s="54"/>
      <c r="BP77" s="56">
        <v>45712</v>
      </c>
      <c r="BQ77" s="57">
        <v>45803</v>
      </c>
      <c r="BR77" s="57">
        <v>45894</v>
      </c>
      <c r="BS77" s="57">
        <v>45985</v>
      </c>
      <c r="BT77" s="57"/>
      <c r="BU77" s="57"/>
      <c r="BV77" s="57"/>
      <c r="BW77" s="57"/>
      <c r="BX77" s="57"/>
      <c r="BY77" s="57"/>
      <c r="BZ77" s="57"/>
      <c r="CA77" s="57"/>
      <c r="CB77" s="56">
        <v>45730</v>
      </c>
      <c r="CC77" s="57">
        <v>45821</v>
      </c>
      <c r="CD77" s="57">
        <v>45912</v>
      </c>
      <c r="CE77" s="57">
        <v>46003</v>
      </c>
      <c r="CF77" s="57"/>
      <c r="CG77" s="57"/>
      <c r="CH77" s="57"/>
      <c r="CI77" s="57"/>
      <c r="CJ77" s="57"/>
      <c r="CK77" s="57"/>
      <c r="CL77" s="57"/>
      <c r="CM77" s="57"/>
      <c r="CN77" s="56">
        <v>45736</v>
      </c>
      <c r="CO77" s="57">
        <v>45827</v>
      </c>
      <c r="CP77" s="57">
        <v>45918</v>
      </c>
      <c r="CQ77" s="57">
        <v>46009</v>
      </c>
      <c r="CR77" s="57"/>
      <c r="CS77" s="57"/>
      <c r="CT77" s="57"/>
      <c r="CU77" s="57"/>
      <c r="CV77" s="57"/>
      <c r="CW77" s="57"/>
      <c r="CX77" s="57"/>
      <c r="CY77" s="57"/>
      <c r="CZ77" s="56" t="s">
        <v>5034</v>
      </c>
      <c r="DA77" s="57"/>
      <c r="DB77" s="57"/>
      <c r="DC77" s="57"/>
      <c r="DD77" s="57"/>
      <c r="DE77" s="57"/>
      <c r="DF77" s="57"/>
      <c r="DG77" s="57"/>
      <c r="DH77" s="57"/>
      <c r="DI77" s="57"/>
      <c r="DJ77" s="57"/>
      <c r="DK77" s="58"/>
      <c r="DL77" s="59">
        <v>4</v>
      </c>
      <c r="DM77" s="60">
        <v>4</v>
      </c>
      <c r="DN77" s="61">
        <v>4</v>
      </c>
      <c r="DO77" s="60">
        <v>4</v>
      </c>
      <c r="DP77" s="60">
        <v>0</v>
      </c>
      <c r="DQ77" s="59">
        <v>16</v>
      </c>
      <c r="DR77" s="62">
        <v>1208</v>
      </c>
      <c r="DS77" s="62" t="s">
        <v>5034</v>
      </c>
      <c r="DU77" s="62" t="s">
        <v>5034</v>
      </c>
      <c r="DV77" s="63">
        <v>44761.347048090276</v>
      </c>
      <c r="DW77" s="64">
        <v>2022</v>
      </c>
      <c r="DX77" s="65">
        <v>7</v>
      </c>
    </row>
    <row r="78" spans="2:128" ht="15" x14ac:dyDescent="0.25">
      <c r="B78" s="43" t="s">
        <v>5022</v>
      </c>
      <c r="C78" s="43" t="s">
        <v>4859</v>
      </c>
      <c r="D78" s="43" t="s">
        <v>2368</v>
      </c>
      <c r="E78" s="49">
        <v>44426</v>
      </c>
      <c r="F78" s="49"/>
      <c r="G78" s="50">
        <v>1</v>
      </c>
      <c r="H78" s="43" t="s">
        <v>4798</v>
      </c>
      <c r="I78" s="43" t="s">
        <v>5023</v>
      </c>
      <c r="J78" s="43"/>
      <c r="K78" s="43">
        <v>2</v>
      </c>
      <c r="L78" s="43">
        <v>3</v>
      </c>
      <c r="M78" s="43"/>
      <c r="N78" s="43"/>
      <c r="O78" s="43" t="s">
        <v>5059</v>
      </c>
      <c r="P78" s="43" t="s">
        <v>5024</v>
      </c>
      <c r="Q78" s="43" t="s">
        <v>5093</v>
      </c>
      <c r="R78" s="43" t="s">
        <v>5098</v>
      </c>
      <c r="S78" s="43" t="s">
        <v>5026</v>
      </c>
      <c r="T78" s="51" t="s">
        <v>5027</v>
      </c>
      <c r="U78" s="43" t="s">
        <v>5028</v>
      </c>
      <c r="V78" s="53" t="s">
        <v>3884</v>
      </c>
      <c r="W78" s="54" t="s">
        <v>2367</v>
      </c>
      <c r="X78" s="55" t="s">
        <v>4889</v>
      </c>
      <c r="Y78" t="s">
        <v>4896</v>
      </c>
      <c r="Z78" t="s">
        <v>4800</v>
      </c>
      <c r="AA78" t="s">
        <v>4891</v>
      </c>
      <c r="AI78" s="54"/>
      <c r="AJ78" s="56">
        <v>45740</v>
      </c>
      <c r="AK78" s="57">
        <v>45831</v>
      </c>
      <c r="AL78" s="57">
        <v>45922</v>
      </c>
      <c r="AM78" s="57">
        <v>46013</v>
      </c>
      <c r="AN78" s="57"/>
      <c r="AO78" s="57"/>
      <c r="AP78" s="57"/>
      <c r="AQ78" s="57"/>
      <c r="AR78" s="57"/>
      <c r="AS78" s="57"/>
      <c r="AT78" s="57"/>
      <c r="AU78" s="57"/>
      <c r="AV78" s="57"/>
      <c r="AW78" s="57"/>
      <c r="AX78" s="57"/>
      <c r="AY78" s="57"/>
      <c r="AZ78" s="57"/>
      <c r="BA78" s="57"/>
      <c r="BB78" s="57"/>
      <c r="BC78" s="58"/>
      <c r="BD78" s="55" t="s">
        <v>5030</v>
      </c>
      <c r="BE78" t="s">
        <v>5031</v>
      </c>
      <c r="BF78" t="s">
        <v>5032</v>
      </c>
      <c r="BG78" t="s">
        <v>5033</v>
      </c>
      <c r="BO78" s="54"/>
      <c r="BP78" s="56">
        <v>45712</v>
      </c>
      <c r="BQ78" s="57">
        <v>45803</v>
      </c>
      <c r="BR78" s="57">
        <v>45894</v>
      </c>
      <c r="BS78" s="57">
        <v>45985</v>
      </c>
      <c r="BT78" s="57"/>
      <c r="BU78" s="57"/>
      <c r="BV78" s="57"/>
      <c r="BW78" s="57"/>
      <c r="BX78" s="57"/>
      <c r="BY78" s="57"/>
      <c r="BZ78" s="57"/>
      <c r="CA78" s="57"/>
      <c r="CB78" s="56" t="s">
        <v>5034</v>
      </c>
      <c r="CC78" s="57"/>
      <c r="CD78" s="57"/>
      <c r="CE78" s="57"/>
      <c r="CF78" s="57"/>
      <c r="CG78" s="57"/>
      <c r="CH78" s="57"/>
      <c r="CI78" s="57"/>
      <c r="CJ78" s="57"/>
      <c r="CK78" s="57"/>
      <c r="CL78" s="57"/>
      <c r="CM78" s="57"/>
      <c r="CN78" s="56">
        <v>45736</v>
      </c>
      <c r="CO78" s="57">
        <v>45827</v>
      </c>
      <c r="CP78" s="57">
        <v>45918</v>
      </c>
      <c r="CQ78" s="57">
        <v>46009</v>
      </c>
      <c r="CR78" s="57"/>
      <c r="CS78" s="57"/>
      <c r="CT78" s="57"/>
      <c r="CU78" s="57"/>
      <c r="CV78" s="57"/>
      <c r="CW78" s="57"/>
      <c r="CX78" s="57"/>
      <c r="CY78" s="57"/>
      <c r="CZ78" s="56" t="s">
        <v>5034</v>
      </c>
      <c r="DA78" s="57"/>
      <c r="DB78" s="57"/>
      <c r="DC78" s="57"/>
      <c r="DD78" s="57"/>
      <c r="DE78" s="57"/>
      <c r="DF78" s="57"/>
      <c r="DG78" s="57"/>
      <c r="DH78" s="57"/>
      <c r="DI78" s="57"/>
      <c r="DJ78" s="57"/>
      <c r="DK78" s="58"/>
      <c r="DL78" s="59">
        <v>4</v>
      </c>
      <c r="DM78" s="60">
        <v>4</v>
      </c>
      <c r="DN78" s="61">
        <v>0</v>
      </c>
      <c r="DO78" s="60">
        <v>4</v>
      </c>
      <c r="DP78" s="60">
        <v>0</v>
      </c>
      <c r="DQ78" s="59">
        <v>12</v>
      </c>
      <c r="DR78" s="62">
        <v>1224</v>
      </c>
      <c r="DS78" s="62" t="s">
        <v>5034</v>
      </c>
      <c r="DU78" s="62" t="s">
        <v>5034</v>
      </c>
      <c r="DV78" s="63">
        <v>44992.618154467593</v>
      </c>
      <c r="DW78" s="64">
        <v>2023</v>
      </c>
      <c r="DX78" s="65">
        <v>3</v>
      </c>
    </row>
    <row r="79" spans="2:128" ht="15" x14ac:dyDescent="0.25">
      <c r="B79" s="43" t="s">
        <v>5022</v>
      </c>
      <c r="C79" s="43" t="s">
        <v>4855</v>
      </c>
      <c r="D79" s="43" t="s">
        <v>857</v>
      </c>
      <c r="E79" s="49">
        <v>44433</v>
      </c>
      <c r="F79" s="49"/>
      <c r="G79" s="50">
        <v>1</v>
      </c>
      <c r="H79" s="43" t="s">
        <v>4798</v>
      </c>
      <c r="I79" s="43" t="s">
        <v>5023</v>
      </c>
      <c r="J79" s="43"/>
      <c r="K79" s="43">
        <v>2</v>
      </c>
      <c r="L79" s="43">
        <v>3</v>
      </c>
      <c r="M79" s="43"/>
      <c r="N79" s="43"/>
      <c r="O79" s="43"/>
      <c r="P79" s="43" t="s">
        <v>5099</v>
      </c>
      <c r="Q79" s="43" t="s">
        <v>5100</v>
      </c>
      <c r="R79" s="43" t="s">
        <v>5086</v>
      </c>
      <c r="S79" s="43" t="s">
        <v>5026</v>
      </c>
      <c r="T79" s="51" t="s">
        <v>5027</v>
      </c>
      <c r="U79" s="43" t="s">
        <v>5028</v>
      </c>
      <c r="V79" s="53" t="s">
        <v>3884</v>
      </c>
      <c r="W79" s="54" t="s">
        <v>5101</v>
      </c>
      <c r="X79" s="55" t="s">
        <v>4889</v>
      </c>
      <c r="Y79" t="s">
        <v>4896</v>
      </c>
      <c r="Z79" t="s">
        <v>4800</v>
      </c>
      <c r="AA79" t="s">
        <v>4891</v>
      </c>
      <c r="AI79" s="54"/>
      <c r="AJ79" s="56">
        <v>45740</v>
      </c>
      <c r="AK79" s="57">
        <v>45831</v>
      </c>
      <c r="AL79" s="57">
        <v>45922</v>
      </c>
      <c r="AM79" s="57">
        <v>46013</v>
      </c>
      <c r="AN79" s="57"/>
      <c r="AO79" s="57"/>
      <c r="AP79" s="57"/>
      <c r="AQ79" s="57"/>
      <c r="AR79" s="57"/>
      <c r="AS79" s="57"/>
      <c r="AT79" s="57"/>
      <c r="AU79" s="57"/>
      <c r="AV79" s="57"/>
      <c r="AW79" s="57"/>
      <c r="AX79" s="57"/>
      <c r="AY79" s="57"/>
      <c r="AZ79" s="57"/>
      <c r="BA79" s="57"/>
      <c r="BB79" s="57"/>
      <c r="BC79" s="58"/>
      <c r="BD79" s="55" t="s">
        <v>5030</v>
      </c>
      <c r="BE79" t="s">
        <v>5031</v>
      </c>
      <c r="BF79" t="s">
        <v>5032</v>
      </c>
      <c r="BG79" t="s">
        <v>5033</v>
      </c>
      <c r="BO79" s="54"/>
      <c r="BP79" s="56">
        <v>45712</v>
      </c>
      <c r="BQ79" s="57">
        <v>45803</v>
      </c>
      <c r="BR79" s="57">
        <v>45894</v>
      </c>
      <c r="BS79" s="57">
        <v>45985</v>
      </c>
      <c r="BT79" s="57"/>
      <c r="BU79" s="57"/>
      <c r="BV79" s="57"/>
      <c r="BW79" s="57"/>
      <c r="BX79" s="57"/>
      <c r="BY79" s="57"/>
      <c r="BZ79" s="57"/>
      <c r="CA79" s="57"/>
      <c r="CB79" s="56" t="s">
        <v>5034</v>
      </c>
      <c r="CC79" s="57"/>
      <c r="CD79" s="57"/>
      <c r="CE79" s="57"/>
      <c r="CF79" s="57"/>
      <c r="CG79" s="57"/>
      <c r="CH79" s="57"/>
      <c r="CI79" s="57"/>
      <c r="CJ79" s="57"/>
      <c r="CK79" s="57"/>
      <c r="CL79" s="57"/>
      <c r="CM79" s="57"/>
      <c r="CN79" s="56">
        <v>45736</v>
      </c>
      <c r="CO79" s="57">
        <v>45827</v>
      </c>
      <c r="CP79" s="57">
        <v>45918</v>
      </c>
      <c r="CQ79" s="57">
        <v>46009</v>
      </c>
      <c r="CR79" s="57"/>
      <c r="CS79" s="57"/>
      <c r="CT79" s="57"/>
      <c r="CU79" s="57"/>
      <c r="CV79" s="57"/>
      <c r="CW79" s="57"/>
      <c r="CX79" s="57"/>
      <c r="CY79" s="57"/>
      <c r="CZ79" s="56" t="s">
        <v>5034</v>
      </c>
      <c r="DA79" s="57"/>
      <c r="DB79" s="57"/>
      <c r="DC79" s="57"/>
      <c r="DD79" s="57"/>
      <c r="DE79" s="57"/>
      <c r="DF79" s="57"/>
      <c r="DG79" s="57"/>
      <c r="DH79" s="57"/>
      <c r="DI79" s="57"/>
      <c r="DJ79" s="57"/>
      <c r="DK79" s="58"/>
      <c r="DL79" s="59">
        <v>4</v>
      </c>
      <c r="DM79" s="60">
        <v>4</v>
      </c>
      <c r="DN79" s="61">
        <v>0</v>
      </c>
      <c r="DO79" s="60">
        <v>4</v>
      </c>
      <c r="DP79" s="60">
        <v>0</v>
      </c>
      <c r="DQ79" s="59">
        <v>12</v>
      </c>
      <c r="DR79" s="62">
        <v>1236</v>
      </c>
      <c r="DS79" s="62" t="s">
        <v>5034</v>
      </c>
      <c r="DU79" s="62" t="s">
        <v>5034</v>
      </c>
      <c r="DV79" s="63">
        <v>44627.471723148148</v>
      </c>
      <c r="DW79" s="64">
        <v>2022</v>
      </c>
      <c r="DX79" s="65">
        <v>3</v>
      </c>
    </row>
    <row r="80" spans="2:128" ht="15" x14ac:dyDescent="0.25">
      <c r="B80" s="43" t="s">
        <v>5022</v>
      </c>
      <c r="C80" s="43" t="s">
        <v>4855</v>
      </c>
      <c r="D80" s="43" t="s">
        <v>857</v>
      </c>
      <c r="E80" s="49">
        <v>44525</v>
      </c>
      <c r="F80" s="49"/>
      <c r="G80" s="50">
        <v>1</v>
      </c>
      <c r="H80" s="43" t="s">
        <v>4798</v>
      </c>
      <c r="I80" s="43" t="s">
        <v>5023</v>
      </c>
      <c r="J80" s="43"/>
      <c r="K80" s="43">
        <v>2</v>
      </c>
      <c r="L80" s="43">
        <v>3</v>
      </c>
      <c r="M80" s="43"/>
      <c r="N80" s="43"/>
      <c r="O80" s="43"/>
      <c r="P80" s="43" t="s">
        <v>5099</v>
      </c>
      <c r="Q80" s="43" t="s">
        <v>5100</v>
      </c>
      <c r="R80" s="43" t="s">
        <v>5086</v>
      </c>
      <c r="S80" s="43" t="s">
        <v>5026</v>
      </c>
      <c r="T80" s="51" t="s">
        <v>5027</v>
      </c>
      <c r="U80" s="52" t="s">
        <v>5028</v>
      </c>
      <c r="V80" s="53" t="s">
        <v>3896</v>
      </c>
      <c r="W80" s="54" t="s">
        <v>5034</v>
      </c>
      <c r="X80" s="55" t="s">
        <v>5034</v>
      </c>
      <c r="AI80" s="54"/>
      <c r="AJ80" s="56" t="s">
        <v>5034</v>
      </c>
      <c r="AK80" s="57"/>
      <c r="AL80" s="57"/>
      <c r="AM80" s="57"/>
      <c r="AN80" s="57"/>
      <c r="AO80" s="57"/>
      <c r="AP80" s="57"/>
      <c r="AQ80" s="57"/>
      <c r="AR80" s="57"/>
      <c r="AS80" s="57"/>
      <c r="AT80" s="57"/>
      <c r="AU80" s="57"/>
      <c r="AV80" s="57"/>
      <c r="AW80" s="57"/>
      <c r="AX80" s="57"/>
      <c r="AY80" s="57"/>
      <c r="AZ80" s="57"/>
      <c r="BA80" s="57"/>
      <c r="BB80" s="57"/>
      <c r="BC80" s="58"/>
      <c r="BD80" s="55" t="s">
        <v>5034</v>
      </c>
      <c r="BO80" s="54"/>
      <c r="BP80" s="56" t="s">
        <v>5034</v>
      </c>
      <c r="BQ80" s="57"/>
      <c r="BR80" s="57"/>
      <c r="BS80" s="57"/>
      <c r="BT80" s="57"/>
      <c r="BU80" s="57"/>
      <c r="BV80" s="57"/>
      <c r="BW80" s="57"/>
      <c r="BX80" s="57"/>
      <c r="BY80" s="57"/>
      <c r="BZ80" s="57"/>
      <c r="CA80" s="57"/>
      <c r="CB80" s="56" t="s">
        <v>5034</v>
      </c>
      <c r="CC80" s="57"/>
      <c r="CD80" s="57"/>
      <c r="CE80" s="57"/>
      <c r="CF80" s="57"/>
      <c r="CG80" s="57"/>
      <c r="CH80" s="57"/>
      <c r="CI80" s="57"/>
      <c r="CJ80" s="57"/>
      <c r="CK80" s="57"/>
      <c r="CL80" s="57"/>
      <c r="CM80" s="57"/>
      <c r="CN80" s="56" t="s">
        <v>5034</v>
      </c>
      <c r="CO80" s="57"/>
      <c r="CP80" s="57"/>
      <c r="CQ80" s="57"/>
      <c r="CR80" s="57"/>
      <c r="CS80" s="57"/>
      <c r="CT80" s="57"/>
      <c r="CU80" s="57"/>
      <c r="CV80" s="57"/>
      <c r="CW80" s="57"/>
      <c r="CX80" s="57"/>
      <c r="CY80" s="57"/>
      <c r="CZ80" s="56" t="s">
        <v>5034</v>
      </c>
      <c r="DA80" s="57"/>
      <c r="DB80" s="57"/>
      <c r="DC80" s="57"/>
      <c r="DD80" s="57"/>
      <c r="DE80" s="57"/>
      <c r="DF80" s="57"/>
      <c r="DG80" s="57"/>
      <c r="DH80" s="57"/>
      <c r="DI80" s="57"/>
      <c r="DJ80" s="57"/>
      <c r="DK80" s="58"/>
      <c r="DL80" s="59">
        <v>0</v>
      </c>
      <c r="DM80" s="60">
        <v>0</v>
      </c>
      <c r="DN80" s="61">
        <v>0</v>
      </c>
      <c r="DO80" s="60">
        <v>0</v>
      </c>
      <c r="DP80" s="60">
        <v>0</v>
      </c>
      <c r="DQ80" s="59">
        <v>0</v>
      </c>
      <c r="DR80" s="62" t="s">
        <v>5034</v>
      </c>
      <c r="DS80" s="62" t="s">
        <v>5034</v>
      </c>
      <c r="DU80" s="62" t="s">
        <v>5034</v>
      </c>
      <c r="DV80" s="63">
        <v>44627.471723148148</v>
      </c>
      <c r="DW80" s="64">
        <v>2022</v>
      </c>
      <c r="DX80" s="65">
        <v>3</v>
      </c>
    </row>
    <row r="81" spans="2:128" ht="15" x14ac:dyDescent="0.25">
      <c r="B81" s="43" t="s">
        <v>5022</v>
      </c>
      <c r="C81" s="43" t="s">
        <v>4855</v>
      </c>
      <c r="D81" s="43" t="s">
        <v>865</v>
      </c>
      <c r="E81" s="49">
        <v>44433</v>
      </c>
      <c r="F81" s="49"/>
      <c r="G81" s="50">
        <v>1</v>
      </c>
      <c r="H81" s="43" t="s">
        <v>4798</v>
      </c>
      <c r="I81" s="43" t="s">
        <v>5023</v>
      </c>
      <c r="J81" s="43"/>
      <c r="K81" s="43">
        <v>2</v>
      </c>
      <c r="L81" s="43">
        <v>3</v>
      </c>
      <c r="M81" s="43"/>
      <c r="N81" s="43"/>
      <c r="O81" s="43"/>
      <c r="P81" s="43" t="s">
        <v>864</v>
      </c>
      <c r="Q81" s="43" t="s">
        <v>5100</v>
      </c>
      <c r="R81" s="43" t="s">
        <v>5086</v>
      </c>
      <c r="S81" s="43" t="s">
        <v>5026</v>
      </c>
      <c r="T81" s="51" t="s">
        <v>5027</v>
      </c>
      <c r="U81" s="52" t="s">
        <v>5028</v>
      </c>
      <c r="V81" s="53" t="s">
        <v>3884</v>
      </c>
      <c r="W81" s="54" t="s">
        <v>864</v>
      </c>
      <c r="X81" s="55" t="s">
        <v>4889</v>
      </c>
      <c r="Y81" t="s">
        <v>4896</v>
      </c>
      <c r="Z81" t="s">
        <v>4800</v>
      </c>
      <c r="AA81" t="s">
        <v>4891</v>
      </c>
      <c r="AI81" s="54"/>
      <c r="AJ81" s="56">
        <v>45740</v>
      </c>
      <c r="AK81" s="57">
        <v>45831</v>
      </c>
      <c r="AL81" s="57">
        <v>45922</v>
      </c>
      <c r="AM81" s="57">
        <v>46013</v>
      </c>
      <c r="AN81" s="57"/>
      <c r="AO81" s="57"/>
      <c r="AP81" s="57"/>
      <c r="AQ81" s="57"/>
      <c r="AR81" s="57"/>
      <c r="AS81" s="57"/>
      <c r="AT81" s="57"/>
      <c r="AU81" s="57"/>
      <c r="AV81" s="57"/>
      <c r="AW81" s="57"/>
      <c r="AX81" s="57"/>
      <c r="AY81" s="57"/>
      <c r="AZ81" s="57"/>
      <c r="BA81" s="57"/>
      <c r="BB81" s="57"/>
      <c r="BC81" s="58"/>
      <c r="BD81" s="55" t="s">
        <v>5030</v>
      </c>
      <c r="BE81" t="s">
        <v>5031</v>
      </c>
      <c r="BF81" t="s">
        <v>5032</v>
      </c>
      <c r="BG81" t="s">
        <v>5033</v>
      </c>
      <c r="BO81" s="54"/>
      <c r="BP81" s="56">
        <v>45712</v>
      </c>
      <c r="BQ81" s="57">
        <v>45803</v>
      </c>
      <c r="BR81" s="57">
        <v>45894</v>
      </c>
      <c r="BS81" s="57">
        <v>45985</v>
      </c>
      <c r="BT81" s="57"/>
      <c r="BU81" s="57"/>
      <c r="BV81" s="57"/>
      <c r="BW81" s="57"/>
      <c r="BX81" s="57"/>
      <c r="BY81" s="57"/>
      <c r="BZ81" s="57"/>
      <c r="CA81" s="57"/>
      <c r="CB81" s="56" t="s">
        <v>5034</v>
      </c>
      <c r="CC81" s="57"/>
      <c r="CD81" s="57"/>
      <c r="CE81" s="57"/>
      <c r="CF81" s="57"/>
      <c r="CG81" s="57"/>
      <c r="CH81" s="57"/>
      <c r="CI81" s="57"/>
      <c r="CJ81" s="57"/>
      <c r="CK81" s="57"/>
      <c r="CL81" s="57"/>
      <c r="CM81" s="57"/>
      <c r="CN81" s="56">
        <v>45736</v>
      </c>
      <c r="CO81" s="57">
        <v>45827</v>
      </c>
      <c r="CP81" s="57">
        <v>45918</v>
      </c>
      <c r="CQ81" s="57">
        <v>46009</v>
      </c>
      <c r="CR81" s="57"/>
      <c r="CS81" s="57"/>
      <c r="CT81" s="57"/>
      <c r="CU81" s="57"/>
      <c r="CV81" s="57"/>
      <c r="CW81" s="57"/>
      <c r="CX81" s="57"/>
      <c r="CY81" s="57"/>
      <c r="CZ81" s="56" t="s">
        <v>5034</v>
      </c>
      <c r="DA81" s="57"/>
      <c r="DB81" s="57"/>
      <c r="DC81" s="57"/>
      <c r="DD81" s="57"/>
      <c r="DE81" s="57"/>
      <c r="DF81" s="57"/>
      <c r="DG81" s="57"/>
      <c r="DH81" s="57"/>
      <c r="DI81" s="57"/>
      <c r="DJ81" s="57"/>
      <c r="DK81" s="58"/>
      <c r="DL81" s="59">
        <v>4</v>
      </c>
      <c r="DM81" s="60">
        <v>4</v>
      </c>
      <c r="DN81" s="61">
        <v>0</v>
      </c>
      <c r="DO81" s="60">
        <v>4</v>
      </c>
      <c r="DP81" s="60">
        <v>0</v>
      </c>
      <c r="DQ81" s="59">
        <v>12</v>
      </c>
      <c r="DR81" s="62">
        <v>1248</v>
      </c>
      <c r="DS81" s="62" t="s">
        <v>5034</v>
      </c>
      <c r="DU81" s="62" t="s">
        <v>5034</v>
      </c>
      <c r="DV81" s="63">
        <v>44629.430889861113</v>
      </c>
      <c r="DW81" s="64">
        <v>2022</v>
      </c>
      <c r="DX81" s="65">
        <v>3</v>
      </c>
    </row>
    <row r="82" spans="2:128" ht="15" x14ac:dyDescent="0.25">
      <c r="B82" s="43" t="s">
        <v>5022</v>
      </c>
      <c r="C82" s="43" t="s">
        <v>4802</v>
      </c>
      <c r="D82" s="43" t="s">
        <v>2362</v>
      </c>
      <c r="E82" s="49">
        <v>44461</v>
      </c>
      <c r="F82" s="49"/>
      <c r="G82" s="50">
        <v>1</v>
      </c>
      <c r="H82" s="43" t="s">
        <v>4890</v>
      </c>
      <c r="I82" s="43" t="s">
        <v>5102</v>
      </c>
      <c r="J82" s="43"/>
      <c r="K82" s="43">
        <v>2</v>
      </c>
      <c r="L82" s="43">
        <v>2</v>
      </c>
      <c r="M82" s="43"/>
      <c r="N82" s="43"/>
      <c r="O82" s="43" t="s">
        <v>4725</v>
      </c>
      <c r="P82" s="43" t="s">
        <v>5024</v>
      </c>
      <c r="Q82" s="43" t="s">
        <v>5103</v>
      </c>
      <c r="R82" s="43" t="s">
        <v>5047</v>
      </c>
      <c r="S82" s="43" t="s">
        <v>5026</v>
      </c>
      <c r="T82" s="51" t="s">
        <v>5027</v>
      </c>
      <c r="U82" s="52" t="s">
        <v>5028</v>
      </c>
      <c r="V82" s="53" t="s">
        <v>3884</v>
      </c>
      <c r="W82" s="54" t="s">
        <v>2361</v>
      </c>
      <c r="X82" s="55" t="s">
        <v>5048</v>
      </c>
      <c r="Y82" t="s">
        <v>4894</v>
      </c>
      <c r="Z82" t="s">
        <v>5049</v>
      </c>
      <c r="AA82" t="s">
        <v>4893</v>
      </c>
      <c r="AI82" s="54"/>
      <c r="AJ82" s="56">
        <v>45670</v>
      </c>
      <c r="AK82" s="57">
        <v>45761</v>
      </c>
      <c r="AL82" s="57">
        <v>45852</v>
      </c>
      <c r="AM82" s="57">
        <v>45943</v>
      </c>
      <c r="AN82" s="57"/>
      <c r="AO82" s="57"/>
      <c r="AP82" s="57"/>
      <c r="AQ82" s="57"/>
      <c r="AR82" s="57"/>
      <c r="AS82" s="57"/>
      <c r="AT82" s="57"/>
      <c r="AU82" s="57"/>
      <c r="AV82" s="57"/>
      <c r="AW82" s="57"/>
      <c r="AX82" s="57"/>
      <c r="AY82" s="57"/>
      <c r="AZ82" s="57"/>
      <c r="BA82" s="57"/>
      <c r="BB82" s="57"/>
      <c r="BC82" s="58"/>
      <c r="BD82" s="55" t="s">
        <v>5104</v>
      </c>
      <c r="BE82" t="s">
        <v>5105</v>
      </c>
      <c r="BF82" t="s">
        <v>5106</v>
      </c>
      <c r="BG82" t="s">
        <v>5107</v>
      </c>
      <c r="BO82" s="54"/>
      <c r="BP82" s="56">
        <v>45663</v>
      </c>
      <c r="BQ82" s="57">
        <v>45754</v>
      </c>
      <c r="BR82" s="57">
        <v>45845</v>
      </c>
      <c r="BS82" s="57">
        <v>45936</v>
      </c>
      <c r="BT82" s="57"/>
      <c r="BU82" s="57"/>
      <c r="BV82" s="57"/>
      <c r="BW82" s="57"/>
      <c r="BX82" s="57"/>
      <c r="BY82" s="57"/>
      <c r="BZ82" s="57"/>
      <c r="CA82" s="57"/>
      <c r="CB82" s="56" t="s">
        <v>5034</v>
      </c>
      <c r="CC82" s="57"/>
      <c r="CD82" s="57"/>
      <c r="CE82" s="57"/>
      <c r="CF82" s="57"/>
      <c r="CG82" s="57"/>
      <c r="CH82" s="57"/>
      <c r="CI82" s="57"/>
      <c r="CJ82" s="57"/>
      <c r="CK82" s="57"/>
      <c r="CL82" s="57"/>
      <c r="CM82" s="57"/>
      <c r="CN82" s="56">
        <v>45666</v>
      </c>
      <c r="CO82" s="57">
        <v>45757</v>
      </c>
      <c r="CP82" s="57">
        <v>45848</v>
      </c>
      <c r="CQ82" s="57">
        <v>45939</v>
      </c>
      <c r="CR82" s="57"/>
      <c r="CS82" s="57"/>
      <c r="CT82" s="57"/>
      <c r="CU82" s="57"/>
      <c r="CV82" s="57"/>
      <c r="CW82" s="57"/>
      <c r="CX82" s="57"/>
      <c r="CY82" s="57"/>
      <c r="CZ82" s="56" t="s">
        <v>5034</v>
      </c>
      <c r="DA82" s="57"/>
      <c r="DB82" s="57"/>
      <c r="DC82" s="57"/>
      <c r="DD82" s="57"/>
      <c r="DE82" s="57"/>
      <c r="DF82" s="57"/>
      <c r="DG82" s="57"/>
      <c r="DH82" s="57"/>
      <c r="DI82" s="57"/>
      <c r="DJ82" s="57"/>
      <c r="DK82" s="58"/>
      <c r="DL82" s="59">
        <v>4</v>
      </c>
      <c r="DM82" s="60">
        <v>4</v>
      </c>
      <c r="DN82" s="61">
        <v>0</v>
      </c>
      <c r="DO82" s="60">
        <v>4</v>
      </c>
      <c r="DP82" s="60">
        <v>0</v>
      </c>
      <c r="DQ82" s="59">
        <v>12</v>
      </c>
      <c r="DR82" s="62">
        <v>1260</v>
      </c>
      <c r="DS82" s="62" t="s">
        <v>5034</v>
      </c>
      <c r="DU82" s="62" t="s">
        <v>5034</v>
      </c>
      <c r="DV82" s="63">
        <v>45198.439690798608</v>
      </c>
      <c r="DW82" s="64">
        <v>2023</v>
      </c>
      <c r="DX82" s="65">
        <v>9</v>
      </c>
    </row>
    <row r="83" spans="2:128" ht="15" x14ac:dyDescent="0.25">
      <c r="B83" s="43" t="s">
        <v>5022</v>
      </c>
      <c r="C83" s="43" t="s">
        <v>4859</v>
      </c>
      <c r="D83" s="43" t="s">
        <v>2330</v>
      </c>
      <c r="E83" s="49">
        <v>44470</v>
      </c>
      <c r="F83" s="49"/>
      <c r="G83" s="50">
        <v>1</v>
      </c>
      <c r="H83" s="43" t="s">
        <v>4798</v>
      </c>
      <c r="I83" s="43" t="s">
        <v>5023</v>
      </c>
      <c r="J83" s="43"/>
      <c r="K83" s="43">
        <v>2</v>
      </c>
      <c r="L83" s="43">
        <v>3</v>
      </c>
      <c r="M83" s="43"/>
      <c r="N83" s="43"/>
      <c r="O83" s="43" t="s">
        <v>5059</v>
      </c>
      <c r="P83" s="43" t="s">
        <v>5024</v>
      </c>
      <c r="Q83" s="43" t="s">
        <v>5093</v>
      </c>
      <c r="R83" s="43" t="s">
        <v>5098</v>
      </c>
      <c r="S83" s="43" t="s">
        <v>5026</v>
      </c>
      <c r="T83" s="51" t="s">
        <v>5027</v>
      </c>
      <c r="U83" s="52" t="s">
        <v>5028</v>
      </c>
      <c r="V83" s="53" t="s">
        <v>3884</v>
      </c>
      <c r="W83" s="54" t="s">
        <v>2329</v>
      </c>
      <c r="X83" s="55" t="s">
        <v>4889</v>
      </c>
      <c r="Y83" t="s">
        <v>4896</v>
      </c>
      <c r="Z83" t="s">
        <v>4800</v>
      </c>
      <c r="AA83" t="s">
        <v>4891</v>
      </c>
      <c r="AI83" s="54"/>
      <c r="AJ83" s="56">
        <v>45740</v>
      </c>
      <c r="AK83" s="57">
        <v>45831</v>
      </c>
      <c r="AL83" s="57">
        <v>45922</v>
      </c>
      <c r="AM83" s="57">
        <v>46013</v>
      </c>
      <c r="AN83" s="57"/>
      <c r="AO83" s="57"/>
      <c r="AP83" s="57"/>
      <c r="AQ83" s="57"/>
      <c r="AR83" s="57"/>
      <c r="AS83" s="57"/>
      <c r="AT83" s="57"/>
      <c r="AU83" s="57"/>
      <c r="AV83" s="57"/>
      <c r="AW83" s="57"/>
      <c r="AX83" s="57"/>
      <c r="AY83" s="57"/>
      <c r="AZ83" s="57"/>
      <c r="BA83" s="57"/>
      <c r="BB83" s="57"/>
      <c r="BC83" s="58"/>
      <c r="BD83" s="55" t="s">
        <v>5030</v>
      </c>
      <c r="BE83" t="s">
        <v>5031</v>
      </c>
      <c r="BF83" t="s">
        <v>5032</v>
      </c>
      <c r="BG83" t="s">
        <v>5033</v>
      </c>
      <c r="BO83" s="54"/>
      <c r="BP83" s="56">
        <v>45712</v>
      </c>
      <c r="BQ83" s="57">
        <v>45803</v>
      </c>
      <c r="BR83" s="57">
        <v>45894</v>
      </c>
      <c r="BS83" s="57">
        <v>45985</v>
      </c>
      <c r="BT83" s="57"/>
      <c r="BU83" s="57"/>
      <c r="BV83" s="57"/>
      <c r="BW83" s="57"/>
      <c r="BX83" s="57"/>
      <c r="BY83" s="57"/>
      <c r="BZ83" s="57"/>
      <c r="CA83" s="57"/>
      <c r="CB83" s="56" t="s">
        <v>5034</v>
      </c>
      <c r="CC83" s="57"/>
      <c r="CD83" s="57"/>
      <c r="CE83" s="57"/>
      <c r="CF83" s="57"/>
      <c r="CG83" s="57"/>
      <c r="CH83" s="57"/>
      <c r="CI83" s="57"/>
      <c r="CJ83" s="57"/>
      <c r="CK83" s="57"/>
      <c r="CL83" s="57"/>
      <c r="CM83" s="57"/>
      <c r="CN83" s="56">
        <v>45736</v>
      </c>
      <c r="CO83" s="57">
        <v>45827</v>
      </c>
      <c r="CP83" s="57">
        <v>45918</v>
      </c>
      <c r="CQ83" s="57">
        <v>46009</v>
      </c>
      <c r="CR83" s="57"/>
      <c r="CS83" s="57"/>
      <c r="CT83" s="57"/>
      <c r="CU83" s="57"/>
      <c r="CV83" s="57"/>
      <c r="CW83" s="57"/>
      <c r="CX83" s="57"/>
      <c r="CY83" s="57"/>
      <c r="CZ83" s="56" t="s">
        <v>5034</v>
      </c>
      <c r="DA83" s="57"/>
      <c r="DB83" s="57"/>
      <c r="DC83" s="57"/>
      <c r="DD83" s="57"/>
      <c r="DE83" s="57"/>
      <c r="DF83" s="57"/>
      <c r="DG83" s="57"/>
      <c r="DH83" s="57"/>
      <c r="DI83" s="57"/>
      <c r="DJ83" s="57"/>
      <c r="DK83" s="58"/>
      <c r="DL83" s="59">
        <v>4</v>
      </c>
      <c r="DM83" s="60">
        <v>4</v>
      </c>
      <c r="DN83" s="61">
        <v>0</v>
      </c>
      <c r="DO83" s="60">
        <v>4</v>
      </c>
      <c r="DP83" s="60">
        <v>0</v>
      </c>
      <c r="DQ83" s="59">
        <v>12</v>
      </c>
      <c r="DR83" s="62">
        <v>1272</v>
      </c>
      <c r="DS83" s="62" t="s">
        <v>5034</v>
      </c>
      <c r="DU83" s="62" t="s">
        <v>5034</v>
      </c>
      <c r="DV83" s="63">
        <v>44865.596558495374</v>
      </c>
      <c r="DW83" s="64">
        <v>2022</v>
      </c>
      <c r="DX83" s="65">
        <v>10</v>
      </c>
    </row>
    <row r="84" spans="2:128" ht="15" x14ac:dyDescent="0.25">
      <c r="B84" s="43" t="s">
        <v>5022</v>
      </c>
      <c r="C84" s="43" t="s">
        <v>4859</v>
      </c>
      <c r="D84" s="43" t="s">
        <v>2332</v>
      </c>
      <c r="E84" s="49">
        <v>44470</v>
      </c>
      <c r="F84" s="49"/>
      <c r="G84" s="50">
        <v>1</v>
      </c>
      <c r="H84" s="43" t="s">
        <v>4798</v>
      </c>
      <c r="I84" s="43" t="s">
        <v>5023</v>
      </c>
      <c r="J84" s="43"/>
      <c r="K84" s="43">
        <v>2</v>
      </c>
      <c r="L84" s="43">
        <v>3</v>
      </c>
      <c r="M84" s="43"/>
      <c r="N84" s="43"/>
      <c r="O84" s="43" t="s">
        <v>5059</v>
      </c>
      <c r="P84" s="43" t="s">
        <v>5063</v>
      </c>
      <c r="Q84" s="43" t="s">
        <v>5108</v>
      </c>
      <c r="R84" s="43" t="s">
        <v>5098</v>
      </c>
      <c r="S84" s="43" t="s">
        <v>5026</v>
      </c>
      <c r="T84" s="51" t="s">
        <v>5027</v>
      </c>
      <c r="U84" s="52" t="s">
        <v>5028</v>
      </c>
      <c r="V84" s="53" t="s">
        <v>3884</v>
      </c>
      <c r="W84" s="54" t="s">
        <v>2331</v>
      </c>
      <c r="X84" s="55" t="s">
        <v>4889</v>
      </c>
      <c r="Y84" t="s">
        <v>4896</v>
      </c>
      <c r="Z84" t="s">
        <v>4800</v>
      </c>
      <c r="AA84" t="s">
        <v>4891</v>
      </c>
      <c r="AI84" s="54"/>
      <c r="AJ84" s="56">
        <v>45740</v>
      </c>
      <c r="AK84" s="57">
        <v>45831</v>
      </c>
      <c r="AL84" s="57">
        <v>45922</v>
      </c>
      <c r="AM84" s="57">
        <v>46013</v>
      </c>
      <c r="AN84" s="57"/>
      <c r="AO84" s="57"/>
      <c r="AP84" s="57"/>
      <c r="AQ84" s="57"/>
      <c r="AR84" s="57"/>
      <c r="AS84" s="57"/>
      <c r="AT84" s="57"/>
      <c r="AU84" s="57"/>
      <c r="AV84" s="57"/>
      <c r="AW84" s="57"/>
      <c r="AX84" s="57"/>
      <c r="AY84" s="57"/>
      <c r="AZ84" s="57"/>
      <c r="BA84" s="57"/>
      <c r="BB84" s="57"/>
      <c r="BC84" s="58"/>
      <c r="BD84" s="55" t="s">
        <v>5030</v>
      </c>
      <c r="BE84" t="s">
        <v>5031</v>
      </c>
      <c r="BF84" t="s">
        <v>5032</v>
      </c>
      <c r="BG84" t="s">
        <v>5033</v>
      </c>
      <c r="BO84" s="54"/>
      <c r="BP84" s="56">
        <v>45712</v>
      </c>
      <c r="BQ84" s="57">
        <v>45803</v>
      </c>
      <c r="BR84" s="57">
        <v>45894</v>
      </c>
      <c r="BS84" s="57">
        <v>45985</v>
      </c>
      <c r="BT84" s="57"/>
      <c r="BU84" s="57"/>
      <c r="BV84" s="57"/>
      <c r="BW84" s="57"/>
      <c r="BX84" s="57"/>
      <c r="BY84" s="57"/>
      <c r="BZ84" s="57"/>
      <c r="CA84" s="57"/>
      <c r="CB84" s="56" t="s">
        <v>5034</v>
      </c>
      <c r="CC84" s="57"/>
      <c r="CD84" s="57"/>
      <c r="CE84" s="57"/>
      <c r="CF84" s="57"/>
      <c r="CG84" s="57"/>
      <c r="CH84" s="57"/>
      <c r="CI84" s="57"/>
      <c r="CJ84" s="57"/>
      <c r="CK84" s="57"/>
      <c r="CL84" s="57"/>
      <c r="CM84" s="57"/>
      <c r="CN84" s="56">
        <v>45736</v>
      </c>
      <c r="CO84" s="57">
        <v>45827</v>
      </c>
      <c r="CP84" s="57">
        <v>45918</v>
      </c>
      <c r="CQ84" s="57">
        <v>46009</v>
      </c>
      <c r="CR84" s="57"/>
      <c r="CS84" s="57"/>
      <c r="CT84" s="57"/>
      <c r="CU84" s="57"/>
      <c r="CV84" s="57"/>
      <c r="CW84" s="57"/>
      <c r="CX84" s="57"/>
      <c r="CY84" s="57"/>
      <c r="CZ84" s="56" t="s">
        <v>5034</v>
      </c>
      <c r="DA84" s="57"/>
      <c r="DB84" s="57"/>
      <c r="DC84" s="57"/>
      <c r="DD84" s="57"/>
      <c r="DE84" s="57"/>
      <c r="DF84" s="57"/>
      <c r="DG84" s="57"/>
      <c r="DH84" s="57"/>
      <c r="DI84" s="57"/>
      <c r="DJ84" s="57"/>
      <c r="DK84" s="58"/>
      <c r="DL84" s="59">
        <v>4</v>
      </c>
      <c r="DM84" s="60">
        <v>4</v>
      </c>
      <c r="DN84" s="61">
        <v>0</v>
      </c>
      <c r="DO84" s="60">
        <v>4</v>
      </c>
      <c r="DP84" s="60">
        <v>0</v>
      </c>
      <c r="DQ84" s="59">
        <v>12</v>
      </c>
      <c r="DR84" s="62">
        <v>1284</v>
      </c>
      <c r="DS84" s="62" t="s">
        <v>5034</v>
      </c>
      <c r="DU84" s="62" t="s">
        <v>5034</v>
      </c>
      <c r="DV84" s="63">
        <v>44865.602864814813</v>
      </c>
      <c r="DW84" s="64">
        <v>2022</v>
      </c>
      <c r="DX84" s="65">
        <v>10</v>
      </c>
    </row>
    <row r="85" spans="2:128" ht="15" x14ac:dyDescent="0.25">
      <c r="B85" s="43" t="s">
        <v>5022</v>
      </c>
      <c r="C85" s="43" t="s">
        <v>4859</v>
      </c>
      <c r="D85" s="43" t="s">
        <v>4776</v>
      </c>
      <c r="E85" s="49">
        <v>44470</v>
      </c>
      <c r="F85" s="49"/>
      <c r="G85" s="50">
        <v>1</v>
      </c>
      <c r="H85" s="43" t="s">
        <v>4798</v>
      </c>
      <c r="I85" s="43" t="s">
        <v>5023</v>
      </c>
      <c r="J85" s="43"/>
      <c r="K85" s="43">
        <v>2</v>
      </c>
      <c r="L85" s="43">
        <v>3</v>
      </c>
      <c r="M85" s="43"/>
      <c r="N85" s="43"/>
      <c r="O85" s="43" t="s">
        <v>5059</v>
      </c>
      <c r="P85" s="43" t="s">
        <v>5063</v>
      </c>
      <c r="Q85" s="43" t="s">
        <v>5109</v>
      </c>
      <c r="R85" s="43" t="s">
        <v>5098</v>
      </c>
      <c r="S85" s="43" t="s">
        <v>5026</v>
      </c>
      <c r="T85" s="51" t="s">
        <v>5027</v>
      </c>
      <c r="U85" s="52" t="s">
        <v>5028</v>
      </c>
      <c r="V85" s="53" t="s">
        <v>3884</v>
      </c>
      <c r="W85" s="54" t="s">
        <v>2352</v>
      </c>
      <c r="X85" s="55" t="s">
        <v>4889</v>
      </c>
      <c r="Y85" t="s">
        <v>4896</v>
      </c>
      <c r="Z85" t="s">
        <v>4800</v>
      </c>
      <c r="AA85" t="s">
        <v>4891</v>
      </c>
      <c r="AI85" s="54"/>
      <c r="AJ85" s="56">
        <v>45740</v>
      </c>
      <c r="AK85" s="57">
        <v>45831</v>
      </c>
      <c r="AL85" s="57">
        <v>45922</v>
      </c>
      <c r="AM85" s="57">
        <v>46013</v>
      </c>
      <c r="AN85" s="57"/>
      <c r="AO85" s="57"/>
      <c r="AP85" s="57"/>
      <c r="AQ85" s="57"/>
      <c r="AR85" s="57"/>
      <c r="AS85" s="57"/>
      <c r="AT85" s="57"/>
      <c r="AU85" s="57"/>
      <c r="AV85" s="57"/>
      <c r="AW85" s="57"/>
      <c r="AX85" s="57"/>
      <c r="AY85" s="57"/>
      <c r="AZ85" s="57"/>
      <c r="BA85" s="57"/>
      <c r="BB85" s="57"/>
      <c r="BC85" s="58"/>
      <c r="BD85" s="55" t="s">
        <v>5030</v>
      </c>
      <c r="BE85" t="s">
        <v>5031</v>
      </c>
      <c r="BF85" t="s">
        <v>5032</v>
      </c>
      <c r="BG85" t="s">
        <v>5033</v>
      </c>
      <c r="BO85" s="54"/>
      <c r="BP85" s="56">
        <v>45712</v>
      </c>
      <c r="BQ85" s="57">
        <v>45803</v>
      </c>
      <c r="BR85" s="57">
        <v>45894</v>
      </c>
      <c r="BS85" s="57">
        <v>45985</v>
      </c>
      <c r="BT85" s="57"/>
      <c r="BU85" s="57"/>
      <c r="BV85" s="57"/>
      <c r="BW85" s="57"/>
      <c r="BX85" s="57"/>
      <c r="BY85" s="57"/>
      <c r="BZ85" s="57"/>
      <c r="CA85" s="57"/>
      <c r="CB85" s="56" t="s">
        <v>5034</v>
      </c>
      <c r="CC85" s="57"/>
      <c r="CD85" s="57"/>
      <c r="CE85" s="57"/>
      <c r="CF85" s="57"/>
      <c r="CG85" s="57"/>
      <c r="CH85" s="57"/>
      <c r="CI85" s="57"/>
      <c r="CJ85" s="57"/>
      <c r="CK85" s="57"/>
      <c r="CL85" s="57"/>
      <c r="CM85" s="57"/>
      <c r="CN85" s="56">
        <v>45736</v>
      </c>
      <c r="CO85" s="57">
        <v>45827</v>
      </c>
      <c r="CP85" s="57">
        <v>45918</v>
      </c>
      <c r="CQ85" s="57">
        <v>46009</v>
      </c>
      <c r="CR85" s="57"/>
      <c r="CS85" s="57"/>
      <c r="CT85" s="57"/>
      <c r="CU85" s="57"/>
      <c r="CV85" s="57"/>
      <c r="CW85" s="57"/>
      <c r="CX85" s="57"/>
      <c r="CY85" s="57"/>
      <c r="CZ85" s="56" t="s">
        <v>5034</v>
      </c>
      <c r="DA85" s="57"/>
      <c r="DB85" s="57"/>
      <c r="DC85" s="57"/>
      <c r="DD85" s="57"/>
      <c r="DE85" s="57"/>
      <c r="DF85" s="57"/>
      <c r="DG85" s="57"/>
      <c r="DH85" s="57"/>
      <c r="DI85" s="57"/>
      <c r="DJ85" s="57"/>
      <c r="DK85" s="58"/>
      <c r="DL85" s="59">
        <v>4</v>
      </c>
      <c r="DM85" s="60">
        <v>4</v>
      </c>
      <c r="DN85" s="61">
        <v>0</v>
      </c>
      <c r="DO85" s="60">
        <v>4</v>
      </c>
      <c r="DP85" s="60">
        <v>0</v>
      </c>
      <c r="DQ85" s="59">
        <v>12</v>
      </c>
      <c r="DR85" s="62">
        <v>1296</v>
      </c>
      <c r="DS85" s="62" t="s">
        <v>5034</v>
      </c>
      <c r="DU85" s="62" t="s">
        <v>5034</v>
      </c>
      <c r="DV85" s="63">
        <v>44865.601369525466</v>
      </c>
      <c r="DW85" s="64">
        <v>2022</v>
      </c>
      <c r="DX85" s="65">
        <v>10</v>
      </c>
    </row>
    <row r="86" spans="2:128" ht="15" x14ac:dyDescent="0.25">
      <c r="B86" s="43" t="s">
        <v>5022</v>
      </c>
      <c r="C86" s="43" t="s">
        <v>4802</v>
      </c>
      <c r="D86" s="43" t="s">
        <v>4777</v>
      </c>
      <c r="E86" s="49">
        <v>44497</v>
      </c>
      <c r="F86" s="49"/>
      <c r="G86" s="50">
        <v>1</v>
      </c>
      <c r="H86" s="43" t="s">
        <v>4798</v>
      </c>
      <c r="I86" s="43" t="s">
        <v>5023</v>
      </c>
      <c r="J86" s="43"/>
      <c r="K86" s="43">
        <v>2</v>
      </c>
      <c r="L86" s="43">
        <v>3</v>
      </c>
      <c r="M86" s="43"/>
      <c r="N86" s="43"/>
      <c r="O86" s="43" t="s">
        <v>4725</v>
      </c>
      <c r="P86" s="43" t="s">
        <v>5063</v>
      </c>
      <c r="Q86" s="43" t="s">
        <v>5110</v>
      </c>
      <c r="R86" s="43" t="s">
        <v>5038</v>
      </c>
      <c r="S86" s="43" t="s">
        <v>5026</v>
      </c>
      <c r="T86" s="51" t="s">
        <v>5027</v>
      </c>
      <c r="U86" s="52" t="s">
        <v>5028</v>
      </c>
      <c r="V86" s="53" t="s">
        <v>3884</v>
      </c>
      <c r="W86" s="54" t="s">
        <v>3728</v>
      </c>
      <c r="X86" s="55" t="s">
        <v>4889</v>
      </c>
      <c r="Y86" t="s">
        <v>4896</v>
      </c>
      <c r="Z86" t="s">
        <v>4800</v>
      </c>
      <c r="AA86" t="s">
        <v>4891</v>
      </c>
      <c r="AI86" s="54"/>
      <c r="AJ86" s="56">
        <v>45740</v>
      </c>
      <c r="AK86" s="57">
        <v>45831</v>
      </c>
      <c r="AL86" s="57">
        <v>45922</v>
      </c>
      <c r="AM86" s="57">
        <v>46013</v>
      </c>
      <c r="AN86" s="57"/>
      <c r="AO86" s="57"/>
      <c r="AP86" s="57"/>
      <c r="AQ86" s="57"/>
      <c r="AR86" s="57"/>
      <c r="AS86" s="57"/>
      <c r="AT86" s="57"/>
      <c r="AU86" s="57"/>
      <c r="AV86" s="57"/>
      <c r="AW86" s="57"/>
      <c r="AX86" s="57"/>
      <c r="AY86" s="57"/>
      <c r="AZ86" s="57"/>
      <c r="BA86" s="57"/>
      <c r="BB86" s="57"/>
      <c r="BC86" s="58"/>
      <c r="BD86" s="55" t="s">
        <v>5030</v>
      </c>
      <c r="BE86" t="s">
        <v>5031</v>
      </c>
      <c r="BF86" t="s">
        <v>5032</v>
      </c>
      <c r="BG86" t="s">
        <v>5033</v>
      </c>
      <c r="BO86" s="54"/>
      <c r="BP86" s="56">
        <v>45712</v>
      </c>
      <c r="BQ86" s="57">
        <v>45803</v>
      </c>
      <c r="BR86" s="57">
        <v>45894</v>
      </c>
      <c r="BS86" s="57">
        <v>45985</v>
      </c>
      <c r="BT86" s="57"/>
      <c r="BU86" s="57"/>
      <c r="BV86" s="57"/>
      <c r="BW86" s="57"/>
      <c r="BX86" s="57"/>
      <c r="BY86" s="57"/>
      <c r="BZ86" s="57"/>
      <c r="CA86" s="57"/>
      <c r="CB86" s="56" t="s">
        <v>5034</v>
      </c>
      <c r="CC86" s="57"/>
      <c r="CD86" s="57"/>
      <c r="CE86" s="57"/>
      <c r="CF86" s="57"/>
      <c r="CG86" s="57"/>
      <c r="CH86" s="57"/>
      <c r="CI86" s="57"/>
      <c r="CJ86" s="57"/>
      <c r="CK86" s="57"/>
      <c r="CL86" s="57"/>
      <c r="CM86" s="57"/>
      <c r="CN86" s="56">
        <v>45736</v>
      </c>
      <c r="CO86" s="57">
        <v>45827</v>
      </c>
      <c r="CP86" s="57">
        <v>45918</v>
      </c>
      <c r="CQ86" s="57">
        <v>46009</v>
      </c>
      <c r="CR86" s="57"/>
      <c r="CS86" s="57"/>
      <c r="CT86" s="57"/>
      <c r="CU86" s="57"/>
      <c r="CV86" s="57"/>
      <c r="CW86" s="57"/>
      <c r="CX86" s="57"/>
      <c r="CY86" s="57"/>
      <c r="CZ86" s="56" t="s">
        <v>5034</v>
      </c>
      <c r="DA86" s="57"/>
      <c r="DB86" s="57"/>
      <c r="DC86" s="57"/>
      <c r="DD86" s="57"/>
      <c r="DE86" s="57"/>
      <c r="DF86" s="57"/>
      <c r="DG86" s="57"/>
      <c r="DH86" s="57"/>
      <c r="DI86" s="57"/>
      <c r="DJ86" s="57"/>
      <c r="DK86" s="58"/>
      <c r="DL86" s="59">
        <v>4</v>
      </c>
      <c r="DM86" s="60">
        <v>4</v>
      </c>
      <c r="DN86" s="61">
        <v>0</v>
      </c>
      <c r="DO86" s="60">
        <v>4</v>
      </c>
      <c r="DP86" s="60">
        <v>0</v>
      </c>
      <c r="DQ86" s="59">
        <v>12</v>
      </c>
      <c r="DR86" s="62">
        <v>1336</v>
      </c>
      <c r="DS86" s="62" t="s">
        <v>5034</v>
      </c>
      <c r="DU86" s="62" t="s">
        <v>5034</v>
      </c>
      <c r="DV86" s="63">
        <v>44610.309710821763</v>
      </c>
      <c r="DW86" s="64">
        <v>2022</v>
      </c>
      <c r="DX86" s="65">
        <v>2</v>
      </c>
    </row>
    <row r="87" spans="2:128" ht="15" x14ac:dyDescent="0.25">
      <c r="B87" s="43" t="s">
        <v>5022</v>
      </c>
      <c r="C87" s="43" t="s">
        <v>4860</v>
      </c>
      <c r="D87" s="43" t="s">
        <v>4147</v>
      </c>
      <c r="E87" s="49">
        <v>44518</v>
      </c>
      <c r="F87" s="49"/>
      <c r="G87" s="50">
        <v>1</v>
      </c>
      <c r="H87" s="43" t="s">
        <v>4798</v>
      </c>
      <c r="I87" s="43" t="s">
        <v>5023</v>
      </c>
      <c r="J87" s="43"/>
      <c r="K87" s="43">
        <v>2</v>
      </c>
      <c r="L87" s="43">
        <v>2</v>
      </c>
      <c r="M87" s="43"/>
      <c r="N87" s="43" t="s">
        <v>995</v>
      </c>
      <c r="O87" s="43" t="s">
        <v>5111</v>
      </c>
      <c r="P87" s="43" t="s">
        <v>5024</v>
      </c>
      <c r="Q87" s="43" t="s">
        <v>5112</v>
      </c>
      <c r="R87" s="43" t="s">
        <v>5081</v>
      </c>
      <c r="S87" s="43" t="s">
        <v>5026</v>
      </c>
      <c r="T87" s="51" t="s">
        <v>5027</v>
      </c>
      <c r="U87" s="52" t="s">
        <v>5028</v>
      </c>
      <c r="V87" s="53" t="s">
        <v>3884</v>
      </c>
      <c r="W87" s="54" t="s">
        <v>3707</v>
      </c>
      <c r="X87" s="55" t="s">
        <v>4889</v>
      </c>
      <c r="Y87" t="s">
        <v>4896</v>
      </c>
      <c r="Z87" t="s">
        <v>4800</v>
      </c>
      <c r="AA87" t="s">
        <v>4891</v>
      </c>
      <c r="AI87" s="54"/>
      <c r="AJ87" s="56">
        <v>45740</v>
      </c>
      <c r="AK87" s="57">
        <v>45831</v>
      </c>
      <c r="AL87" s="57">
        <v>45922</v>
      </c>
      <c r="AM87" s="57">
        <v>46013</v>
      </c>
      <c r="AN87" s="57"/>
      <c r="AO87" s="57"/>
      <c r="AP87" s="57"/>
      <c r="AQ87" s="57"/>
      <c r="AR87" s="57"/>
      <c r="AS87" s="57"/>
      <c r="AT87" s="57"/>
      <c r="AU87" s="57"/>
      <c r="AV87" s="57"/>
      <c r="AW87" s="57"/>
      <c r="AX87" s="57"/>
      <c r="AY87" s="57"/>
      <c r="AZ87" s="57"/>
      <c r="BA87" s="57"/>
      <c r="BB87" s="57"/>
      <c r="BC87" s="58"/>
      <c r="BD87" s="55" t="s">
        <v>5030</v>
      </c>
      <c r="BE87" t="s">
        <v>5031</v>
      </c>
      <c r="BF87" t="s">
        <v>5032</v>
      </c>
      <c r="BG87" t="s">
        <v>5033</v>
      </c>
      <c r="BO87" s="54"/>
      <c r="BP87" s="56">
        <v>45712</v>
      </c>
      <c r="BQ87" s="57">
        <v>45803</v>
      </c>
      <c r="BR87" s="57">
        <v>45894</v>
      </c>
      <c r="BS87" s="57">
        <v>45985</v>
      </c>
      <c r="BT87" s="57"/>
      <c r="BU87" s="57"/>
      <c r="BV87" s="57"/>
      <c r="BW87" s="57"/>
      <c r="BX87" s="57"/>
      <c r="BY87" s="57"/>
      <c r="BZ87" s="57"/>
      <c r="CA87" s="57"/>
      <c r="CB87" s="56" t="s">
        <v>5034</v>
      </c>
      <c r="CC87" s="57"/>
      <c r="CD87" s="57"/>
      <c r="CE87" s="57"/>
      <c r="CF87" s="57"/>
      <c r="CG87" s="57"/>
      <c r="CH87" s="57"/>
      <c r="CI87" s="57"/>
      <c r="CJ87" s="57"/>
      <c r="CK87" s="57"/>
      <c r="CL87" s="57"/>
      <c r="CM87" s="57"/>
      <c r="CN87" s="56">
        <v>45736</v>
      </c>
      <c r="CO87" s="57">
        <v>45827</v>
      </c>
      <c r="CP87" s="57">
        <v>45918</v>
      </c>
      <c r="CQ87" s="57">
        <v>46009</v>
      </c>
      <c r="CR87" s="57"/>
      <c r="CS87" s="57"/>
      <c r="CT87" s="57"/>
      <c r="CU87" s="57"/>
      <c r="CV87" s="57"/>
      <c r="CW87" s="57"/>
      <c r="CX87" s="57"/>
      <c r="CY87" s="57"/>
      <c r="CZ87" s="56" t="s">
        <v>5034</v>
      </c>
      <c r="DA87" s="57"/>
      <c r="DB87" s="57"/>
      <c r="DC87" s="57"/>
      <c r="DD87" s="57"/>
      <c r="DE87" s="57"/>
      <c r="DF87" s="57"/>
      <c r="DG87" s="57"/>
      <c r="DH87" s="57"/>
      <c r="DI87" s="57"/>
      <c r="DJ87" s="57"/>
      <c r="DK87" s="58"/>
      <c r="DL87" s="59">
        <v>4</v>
      </c>
      <c r="DM87" s="60">
        <v>4</v>
      </c>
      <c r="DN87" s="61">
        <v>0</v>
      </c>
      <c r="DO87" s="60">
        <v>4</v>
      </c>
      <c r="DP87" s="60">
        <v>0</v>
      </c>
      <c r="DQ87" s="59">
        <v>12</v>
      </c>
      <c r="DR87" s="62">
        <v>1348</v>
      </c>
      <c r="DS87" s="62" t="s">
        <v>5034</v>
      </c>
      <c r="DU87" s="62" t="s">
        <v>5034</v>
      </c>
      <c r="DV87" s="63">
        <v>44910.442887210651</v>
      </c>
      <c r="DW87" s="64">
        <v>2022</v>
      </c>
      <c r="DX87" s="65">
        <v>12</v>
      </c>
    </row>
    <row r="88" spans="2:128" ht="15" x14ac:dyDescent="0.25">
      <c r="B88" s="43" t="s">
        <v>5022</v>
      </c>
      <c r="C88" s="43" t="s">
        <v>4860</v>
      </c>
      <c r="D88" s="43" t="s">
        <v>3999</v>
      </c>
      <c r="E88" s="49">
        <v>44518</v>
      </c>
      <c r="F88" s="49"/>
      <c r="G88" s="50">
        <v>1</v>
      </c>
      <c r="H88" s="43" t="s">
        <v>4798</v>
      </c>
      <c r="I88" s="43" t="s">
        <v>5023</v>
      </c>
      <c r="J88" s="43">
        <v>6</v>
      </c>
      <c r="K88" s="43">
        <v>2</v>
      </c>
      <c r="L88" s="43">
        <v>3</v>
      </c>
      <c r="M88" s="43"/>
      <c r="N88" s="43" t="s">
        <v>864</v>
      </c>
      <c r="O88" s="43" t="s">
        <v>5111</v>
      </c>
      <c r="P88" s="43" t="s">
        <v>5063</v>
      </c>
      <c r="Q88" s="43" t="s">
        <v>5113</v>
      </c>
      <c r="R88" s="43" t="s">
        <v>5081</v>
      </c>
      <c r="S88" s="43" t="s">
        <v>5026</v>
      </c>
      <c r="T88" s="51" t="s">
        <v>5027</v>
      </c>
      <c r="U88" s="43" t="s">
        <v>5028</v>
      </c>
      <c r="V88" s="53" t="s">
        <v>3884</v>
      </c>
      <c r="W88" s="54" t="s">
        <v>4741</v>
      </c>
      <c r="X88" s="55" t="s">
        <v>4889</v>
      </c>
      <c r="Y88" t="s">
        <v>4896</v>
      </c>
      <c r="Z88" t="s">
        <v>4800</v>
      </c>
      <c r="AA88" t="s">
        <v>4891</v>
      </c>
      <c r="AI88" s="54"/>
      <c r="AJ88" s="56">
        <v>45740</v>
      </c>
      <c r="AK88" s="57">
        <v>45831</v>
      </c>
      <c r="AL88" s="57">
        <v>45922</v>
      </c>
      <c r="AM88" s="57">
        <v>46013</v>
      </c>
      <c r="AN88" s="57"/>
      <c r="AO88" s="57"/>
      <c r="AP88" s="57"/>
      <c r="AQ88" s="57"/>
      <c r="AR88" s="57"/>
      <c r="AS88" s="57"/>
      <c r="AT88" s="57"/>
      <c r="AU88" s="57"/>
      <c r="AV88" s="57"/>
      <c r="AW88" s="57"/>
      <c r="AX88" s="57"/>
      <c r="AY88" s="57"/>
      <c r="AZ88" s="57"/>
      <c r="BA88" s="57"/>
      <c r="BB88" s="57"/>
      <c r="BC88" s="58"/>
      <c r="BD88" s="55" t="s">
        <v>5030</v>
      </c>
      <c r="BE88" t="s">
        <v>5031</v>
      </c>
      <c r="BF88" t="s">
        <v>5032</v>
      </c>
      <c r="BG88" t="s">
        <v>5033</v>
      </c>
      <c r="BO88" s="54"/>
      <c r="BP88" s="56">
        <v>45712</v>
      </c>
      <c r="BQ88" s="57">
        <v>45803</v>
      </c>
      <c r="BR88" s="57">
        <v>45894</v>
      </c>
      <c r="BS88" s="57">
        <v>45985</v>
      </c>
      <c r="BT88" s="57"/>
      <c r="BU88" s="57"/>
      <c r="BV88" s="57"/>
      <c r="BW88" s="57"/>
      <c r="BX88" s="57"/>
      <c r="BY88" s="57"/>
      <c r="BZ88" s="57"/>
      <c r="CA88" s="57"/>
      <c r="CB88" s="56">
        <v>45730</v>
      </c>
      <c r="CC88" s="57">
        <v>45821</v>
      </c>
      <c r="CD88" s="57">
        <v>45912</v>
      </c>
      <c r="CE88" s="57">
        <v>46003</v>
      </c>
      <c r="CF88" s="57"/>
      <c r="CG88" s="57"/>
      <c r="CH88" s="57"/>
      <c r="CI88" s="57"/>
      <c r="CJ88" s="57"/>
      <c r="CK88" s="57"/>
      <c r="CL88" s="57"/>
      <c r="CM88" s="57"/>
      <c r="CN88" s="56">
        <v>45736</v>
      </c>
      <c r="CO88" s="57">
        <v>45827</v>
      </c>
      <c r="CP88" s="57">
        <v>45918</v>
      </c>
      <c r="CQ88" s="57">
        <v>46009</v>
      </c>
      <c r="CR88" s="57"/>
      <c r="CS88" s="57"/>
      <c r="CT88" s="57"/>
      <c r="CU88" s="57"/>
      <c r="CV88" s="57"/>
      <c r="CW88" s="57"/>
      <c r="CX88" s="57"/>
      <c r="CY88" s="57"/>
      <c r="CZ88" s="56" t="s">
        <v>5034</v>
      </c>
      <c r="DA88" s="57"/>
      <c r="DB88" s="57"/>
      <c r="DC88" s="57"/>
      <c r="DD88" s="57"/>
      <c r="DE88" s="57"/>
      <c r="DF88" s="57"/>
      <c r="DG88" s="57"/>
      <c r="DH88" s="57"/>
      <c r="DI88" s="57"/>
      <c r="DJ88" s="57"/>
      <c r="DK88" s="58"/>
      <c r="DL88" s="59">
        <v>4</v>
      </c>
      <c r="DM88" s="60">
        <v>4</v>
      </c>
      <c r="DN88" s="61">
        <v>4</v>
      </c>
      <c r="DO88" s="60">
        <v>4</v>
      </c>
      <c r="DP88" s="60">
        <v>0</v>
      </c>
      <c r="DQ88" s="59">
        <v>16</v>
      </c>
      <c r="DR88" s="62">
        <v>1360</v>
      </c>
      <c r="DS88" s="62" t="s">
        <v>5034</v>
      </c>
      <c r="DU88" s="62" t="s">
        <v>5034</v>
      </c>
      <c r="DV88" s="63">
        <v>44910.440751782407</v>
      </c>
      <c r="DW88" s="64">
        <v>2022</v>
      </c>
      <c r="DX88" s="65">
        <v>12</v>
      </c>
    </row>
    <row r="89" spans="2:128" ht="15" x14ac:dyDescent="0.25">
      <c r="B89" s="43" t="s">
        <v>5022</v>
      </c>
      <c r="C89" s="43" t="s">
        <v>4860</v>
      </c>
      <c r="D89" s="43" t="s">
        <v>3999</v>
      </c>
      <c r="E89" s="49">
        <v>44533</v>
      </c>
      <c r="F89" s="49"/>
      <c r="G89" s="50">
        <v>1</v>
      </c>
      <c r="H89" s="43" t="s">
        <v>4798</v>
      </c>
      <c r="I89" s="43" t="s">
        <v>5023</v>
      </c>
      <c r="J89" s="43">
        <v>6</v>
      </c>
      <c r="K89" s="43">
        <v>2</v>
      </c>
      <c r="L89" s="43">
        <v>3</v>
      </c>
      <c r="M89" s="43"/>
      <c r="N89" s="43" t="s">
        <v>864</v>
      </c>
      <c r="O89" s="43" t="s">
        <v>5111</v>
      </c>
      <c r="P89" s="43" t="s">
        <v>5063</v>
      </c>
      <c r="Q89" s="43" t="s">
        <v>5113</v>
      </c>
      <c r="R89" s="43" t="s">
        <v>5081</v>
      </c>
      <c r="S89" s="43" t="s">
        <v>5026</v>
      </c>
      <c r="T89" s="51" t="s">
        <v>5027</v>
      </c>
      <c r="U89" s="43" t="s">
        <v>5028</v>
      </c>
      <c r="V89" s="53" t="s">
        <v>3896</v>
      </c>
      <c r="W89" s="54" t="s">
        <v>5034</v>
      </c>
      <c r="X89" s="55" t="s">
        <v>5034</v>
      </c>
      <c r="AI89" s="54"/>
      <c r="AJ89" s="56" t="s">
        <v>5034</v>
      </c>
      <c r="AK89" s="57"/>
      <c r="AL89" s="57"/>
      <c r="AM89" s="57"/>
      <c r="AN89" s="57"/>
      <c r="AO89" s="57"/>
      <c r="AP89" s="57"/>
      <c r="AQ89" s="57"/>
      <c r="AR89" s="57"/>
      <c r="AS89" s="57"/>
      <c r="AT89" s="57"/>
      <c r="AU89" s="57"/>
      <c r="AV89" s="57"/>
      <c r="AW89" s="57"/>
      <c r="AX89" s="57"/>
      <c r="AY89" s="57"/>
      <c r="AZ89" s="57"/>
      <c r="BA89" s="57"/>
      <c r="BB89" s="57"/>
      <c r="BC89" s="58"/>
      <c r="BD89" s="55" t="s">
        <v>5034</v>
      </c>
      <c r="BO89" s="54"/>
      <c r="BP89" s="56" t="s">
        <v>5034</v>
      </c>
      <c r="BQ89" s="57"/>
      <c r="BR89" s="57"/>
      <c r="BS89" s="57"/>
      <c r="BT89" s="57"/>
      <c r="BU89" s="57"/>
      <c r="BV89" s="57"/>
      <c r="BW89" s="57"/>
      <c r="BX89" s="57"/>
      <c r="BY89" s="57"/>
      <c r="BZ89" s="57"/>
      <c r="CA89" s="57"/>
      <c r="CB89" s="56" t="s">
        <v>5034</v>
      </c>
      <c r="CC89" s="57"/>
      <c r="CD89" s="57"/>
      <c r="CE89" s="57"/>
      <c r="CF89" s="57"/>
      <c r="CG89" s="57"/>
      <c r="CH89" s="57"/>
      <c r="CI89" s="57"/>
      <c r="CJ89" s="57"/>
      <c r="CK89" s="57"/>
      <c r="CL89" s="57"/>
      <c r="CM89" s="57"/>
      <c r="CN89" s="56" t="s">
        <v>5034</v>
      </c>
      <c r="CO89" s="57"/>
      <c r="CP89" s="57"/>
      <c r="CQ89" s="57"/>
      <c r="CR89" s="57"/>
      <c r="CS89" s="57"/>
      <c r="CT89" s="57"/>
      <c r="CU89" s="57"/>
      <c r="CV89" s="57"/>
      <c r="CW89" s="57"/>
      <c r="CX89" s="57"/>
      <c r="CY89" s="57"/>
      <c r="CZ89" s="56" t="s">
        <v>5034</v>
      </c>
      <c r="DA89" s="57"/>
      <c r="DB89" s="57"/>
      <c r="DC89" s="57"/>
      <c r="DD89" s="57"/>
      <c r="DE89" s="57"/>
      <c r="DF89" s="57"/>
      <c r="DG89" s="57"/>
      <c r="DH89" s="57"/>
      <c r="DI89" s="57"/>
      <c r="DJ89" s="57"/>
      <c r="DK89" s="58"/>
      <c r="DL89" s="59">
        <v>0</v>
      </c>
      <c r="DM89" s="60">
        <v>0</v>
      </c>
      <c r="DN89" s="61">
        <v>0</v>
      </c>
      <c r="DO89" s="60">
        <v>0</v>
      </c>
      <c r="DP89" s="60">
        <v>0</v>
      </c>
      <c r="DQ89" s="59">
        <v>0</v>
      </c>
      <c r="DR89" s="62" t="s">
        <v>5034</v>
      </c>
      <c r="DS89" s="62" t="s">
        <v>5034</v>
      </c>
      <c r="DU89" s="62" t="s">
        <v>5034</v>
      </c>
      <c r="DV89" s="63">
        <v>44910.440751782407</v>
      </c>
      <c r="DW89" s="64">
        <v>2022</v>
      </c>
      <c r="DX89" s="65">
        <v>12</v>
      </c>
    </row>
    <row r="90" spans="2:128" ht="15" x14ac:dyDescent="0.25">
      <c r="B90" s="43" t="s">
        <v>5022</v>
      </c>
      <c r="C90" s="43" t="s">
        <v>4859</v>
      </c>
      <c r="D90" s="43" t="s">
        <v>3671</v>
      </c>
      <c r="E90" s="49">
        <v>44566</v>
      </c>
      <c r="F90" s="49"/>
      <c r="G90" s="50">
        <v>1</v>
      </c>
      <c r="H90" s="43" t="s">
        <v>4798</v>
      </c>
      <c r="I90" s="43" t="s">
        <v>5023</v>
      </c>
      <c r="J90" s="43"/>
      <c r="K90" s="43">
        <v>2</v>
      </c>
      <c r="L90" s="43">
        <v>3</v>
      </c>
      <c r="M90" s="43"/>
      <c r="N90" s="43"/>
      <c r="O90" s="43" t="s">
        <v>5059</v>
      </c>
      <c r="P90" s="43" t="s">
        <v>5024</v>
      </c>
      <c r="Q90" s="43" t="s">
        <v>5114</v>
      </c>
      <c r="R90" s="43" t="s">
        <v>5098</v>
      </c>
      <c r="S90" s="43" t="s">
        <v>5026</v>
      </c>
      <c r="T90" s="51" t="s">
        <v>5027</v>
      </c>
      <c r="U90" s="43" t="s">
        <v>5028</v>
      </c>
      <c r="V90" s="53" t="s">
        <v>3884</v>
      </c>
      <c r="W90" s="54" t="s">
        <v>3670</v>
      </c>
      <c r="X90" s="55" t="s">
        <v>4889</v>
      </c>
      <c r="Y90" t="s">
        <v>4896</v>
      </c>
      <c r="Z90" t="s">
        <v>4800</v>
      </c>
      <c r="AA90" t="s">
        <v>4891</v>
      </c>
      <c r="AI90" s="54"/>
      <c r="AJ90" s="56">
        <v>45740</v>
      </c>
      <c r="AK90" s="57">
        <v>45831</v>
      </c>
      <c r="AL90" s="57">
        <v>45922</v>
      </c>
      <c r="AM90" s="57">
        <v>46013</v>
      </c>
      <c r="AN90" s="57"/>
      <c r="AO90" s="57"/>
      <c r="AP90" s="57"/>
      <c r="AQ90" s="57"/>
      <c r="AR90" s="57"/>
      <c r="AS90" s="57"/>
      <c r="AT90" s="57"/>
      <c r="AU90" s="57"/>
      <c r="AV90" s="57"/>
      <c r="AW90" s="57"/>
      <c r="AX90" s="57"/>
      <c r="AY90" s="57"/>
      <c r="AZ90" s="57"/>
      <c r="BA90" s="57"/>
      <c r="BB90" s="57"/>
      <c r="BC90" s="58"/>
      <c r="BD90" s="55" t="s">
        <v>5030</v>
      </c>
      <c r="BE90" t="s">
        <v>5031</v>
      </c>
      <c r="BF90" t="s">
        <v>5032</v>
      </c>
      <c r="BG90" t="s">
        <v>5033</v>
      </c>
      <c r="BO90" s="54"/>
      <c r="BP90" s="56">
        <v>45712</v>
      </c>
      <c r="BQ90" s="57">
        <v>45803</v>
      </c>
      <c r="BR90" s="57">
        <v>45894</v>
      </c>
      <c r="BS90" s="57">
        <v>45985</v>
      </c>
      <c r="BT90" s="57"/>
      <c r="BU90" s="57"/>
      <c r="BV90" s="57"/>
      <c r="BW90" s="57"/>
      <c r="BX90" s="57"/>
      <c r="BY90" s="57"/>
      <c r="BZ90" s="57"/>
      <c r="CA90" s="57"/>
      <c r="CB90" s="56" t="s">
        <v>5034</v>
      </c>
      <c r="CC90" s="57"/>
      <c r="CD90" s="57"/>
      <c r="CE90" s="57"/>
      <c r="CF90" s="57"/>
      <c r="CG90" s="57"/>
      <c r="CH90" s="57"/>
      <c r="CI90" s="57"/>
      <c r="CJ90" s="57"/>
      <c r="CK90" s="57"/>
      <c r="CL90" s="57"/>
      <c r="CM90" s="57"/>
      <c r="CN90" s="56">
        <v>45736</v>
      </c>
      <c r="CO90" s="57">
        <v>45827</v>
      </c>
      <c r="CP90" s="57">
        <v>45918</v>
      </c>
      <c r="CQ90" s="57">
        <v>46009</v>
      </c>
      <c r="CR90" s="57"/>
      <c r="CS90" s="57"/>
      <c r="CT90" s="57"/>
      <c r="CU90" s="57"/>
      <c r="CV90" s="57"/>
      <c r="CW90" s="57"/>
      <c r="CX90" s="57"/>
      <c r="CY90" s="57"/>
      <c r="CZ90" s="56" t="s">
        <v>5034</v>
      </c>
      <c r="DA90" s="57"/>
      <c r="DB90" s="57"/>
      <c r="DC90" s="57"/>
      <c r="DD90" s="57"/>
      <c r="DE90" s="57"/>
      <c r="DF90" s="57"/>
      <c r="DG90" s="57"/>
      <c r="DH90" s="57"/>
      <c r="DI90" s="57"/>
      <c r="DJ90" s="57"/>
      <c r="DK90" s="58"/>
      <c r="DL90" s="59">
        <v>4</v>
      </c>
      <c r="DM90" s="60">
        <v>4</v>
      </c>
      <c r="DN90" s="61">
        <v>0</v>
      </c>
      <c r="DO90" s="60">
        <v>4</v>
      </c>
      <c r="DP90" s="60">
        <v>0</v>
      </c>
      <c r="DQ90" s="59">
        <v>12</v>
      </c>
      <c r="DR90" s="62">
        <v>1376</v>
      </c>
      <c r="DS90" s="62" t="s">
        <v>5034</v>
      </c>
      <c r="DU90" s="62" t="s">
        <v>5034</v>
      </c>
      <c r="DV90" s="63">
        <v>44865.605852604167</v>
      </c>
      <c r="DW90" s="64">
        <v>2022</v>
      </c>
      <c r="DX90" s="65">
        <v>10</v>
      </c>
    </row>
    <row r="91" spans="2:128" ht="15" x14ac:dyDescent="0.25">
      <c r="B91" s="43" t="s">
        <v>5022</v>
      </c>
      <c r="C91" s="43" t="s">
        <v>4859</v>
      </c>
      <c r="D91" s="43" t="s">
        <v>3680</v>
      </c>
      <c r="E91" s="49">
        <v>44566</v>
      </c>
      <c r="F91" s="49"/>
      <c r="G91" s="50">
        <v>1</v>
      </c>
      <c r="H91" s="43" t="s">
        <v>4798</v>
      </c>
      <c r="I91" s="43" t="s">
        <v>5023</v>
      </c>
      <c r="J91" s="43"/>
      <c r="K91" s="43">
        <v>2</v>
      </c>
      <c r="L91" s="43">
        <v>3</v>
      </c>
      <c r="M91" s="43"/>
      <c r="N91" s="43"/>
      <c r="O91" s="43" t="s">
        <v>5059</v>
      </c>
      <c r="P91" s="43" t="s">
        <v>5024</v>
      </c>
      <c r="Q91" s="43" t="s">
        <v>5114</v>
      </c>
      <c r="R91" s="43" t="s">
        <v>5098</v>
      </c>
      <c r="S91" s="43" t="s">
        <v>5026</v>
      </c>
      <c r="T91" s="51" t="s">
        <v>5027</v>
      </c>
      <c r="U91" s="43" t="s">
        <v>5028</v>
      </c>
      <c r="V91" s="53" t="s">
        <v>3884</v>
      </c>
      <c r="W91" s="54" t="s">
        <v>3679</v>
      </c>
      <c r="X91" s="55" t="s">
        <v>4889</v>
      </c>
      <c r="Y91" t="s">
        <v>4896</v>
      </c>
      <c r="Z91" t="s">
        <v>4800</v>
      </c>
      <c r="AA91" t="s">
        <v>4891</v>
      </c>
      <c r="AI91" s="54"/>
      <c r="AJ91" s="56">
        <v>45740</v>
      </c>
      <c r="AK91" s="57">
        <v>45831</v>
      </c>
      <c r="AL91" s="57">
        <v>45922</v>
      </c>
      <c r="AM91" s="57">
        <v>46013</v>
      </c>
      <c r="AN91" s="57"/>
      <c r="AO91" s="57"/>
      <c r="AP91" s="57"/>
      <c r="AQ91" s="57"/>
      <c r="AR91" s="57"/>
      <c r="AS91" s="57"/>
      <c r="AT91" s="57"/>
      <c r="AU91" s="57"/>
      <c r="AV91" s="57"/>
      <c r="AW91" s="57"/>
      <c r="AX91" s="57"/>
      <c r="AY91" s="57"/>
      <c r="AZ91" s="57"/>
      <c r="BA91" s="57"/>
      <c r="BB91" s="57"/>
      <c r="BC91" s="58"/>
      <c r="BD91" s="55" t="s">
        <v>5030</v>
      </c>
      <c r="BE91" t="s">
        <v>5031</v>
      </c>
      <c r="BF91" t="s">
        <v>5032</v>
      </c>
      <c r="BG91" t="s">
        <v>5033</v>
      </c>
      <c r="BO91" s="54"/>
      <c r="BP91" s="56">
        <v>45712</v>
      </c>
      <c r="BQ91" s="57">
        <v>45803</v>
      </c>
      <c r="BR91" s="57">
        <v>45894</v>
      </c>
      <c r="BS91" s="57">
        <v>45985</v>
      </c>
      <c r="BT91" s="57"/>
      <c r="BU91" s="57"/>
      <c r="BV91" s="57"/>
      <c r="BW91" s="57"/>
      <c r="BX91" s="57"/>
      <c r="BY91" s="57"/>
      <c r="BZ91" s="57"/>
      <c r="CA91" s="57"/>
      <c r="CB91" s="56" t="s">
        <v>5034</v>
      </c>
      <c r="CC91" s="57"/>
      <c r="CD91" s="57"/>
      <c r="CE91" s="57"/>
      <c r="CF91" s="57"/>
      <c r="CG91" s="57"/>
      <c r="CH91" s="57"/>
      <c r="CI91" s="57"/>
      <c r="CJ91" s="57"/>
      <c r="CK91" s="57"/>
      <c r="CL91" s="57"/>
      <c r="CM91" s="57"/>
      <c r="CN91" s="56">
        <v>45736</v>
      </c>
      <c r="CO91" s="57">
        <v>45827</v>
      </c>
      <c r="CP91" s="57">
        <v>45918</v>
      </c>
      <c r="CQ91" s="57">
        <v>46009</v>
      </c>
      <c r="CR91" s="57"/>
      <c r="CS91" s="57"/>
      <c r="CT91" s="57"/>
      <c r="CU91" s="57"/>
      <c r="CV91" s="57"/>
      <c r="CW91" s="57"/>
      <c r="CX91" s="57"/>
      <c r="CY91" s="57"/>
      <c r="CZ91" s="56" t="s">
        <v>5034</v>
      </c>
      <c r="DA91" s="57"/>
      <c r="DB91" s="57"/>
      <c r="DC91" s="57"/>
      <c r="DD91" s="57"/>
      <c r="DE91" s="57"/>
      <c r="DF91" s="57"/>
      <c r="DG91" s="57"/>
      <c r="DH91" s="57"/>
      <c r="DI91" s="57"/>
      <c r="DJ91" s="57"/>
      <c r="DK91" s="58"/>
      <c r="DL91" s="59">
        <v>4</v>
      </c>
      <c r="DM91" s="60">
        <v>4</v>
      </c>
      <c r="DN91" s="61">
        <v>0</v>
      </c>
      <c r="DO91" s="60">
        <v>4</v>
      </c>
      <c r="DP91" s="60">
        <v>0</v>
      </c>
      <c r="DQ91" s="59">
        <v>12</v>
      </c>
      <c r="DR91" s="62">
        <v>1388</v>
      </c>
      <c r="DS91" s="62" t="s">
        <v>5034</v>
      </c>
      <c r="DU91" s="62" t="s">
        <v>5034</v>
      </c>
      <c r="DV91" s="63">
        <v>44865.60484777778</v>
      </c>
      <c r="DW91" s="64">
        <v>2022</v>
      </c>
      <c r="DX91" s="65">
        <v>10</v>
      </c>
    </row>
    <row r="92" spans="2:128" ht="15" x14ac:dyDescent="0.25">
      <c r="B92" s="43" t="s">
        <v>5022</v>
      </c>
      <c r="C92" s="43" t="s">
        <v>4859</v>
      </c>
      <c r="D92" s="43" t="s">
        <v>3653</v>
      </c>
      <c r="E92" s="49">
        <v>44566</v>
      </c>
      <c r="F92" s="49"/>
      <c r="G92" s="50">
        <v>1</v>
      </c>
      <c r="H92" s="43" t="s">
        <v>4798</v>
      </c>
      <c r="I92" s="43" t="s">
        <v>5023</v>
      </c>
      <c r="J92" s="43"/>
      <c r="K92" s="43">
        <v>2</v>
      </c>
      <c r="L92" s="43">
        <v>3</v>
      </c>
      <c r="M92" s="43"/>
      <c r="N92" s="43"/>
      <c r="O92" s="43" t="s">
        <v>5059</v>
      </c>
      <c r="P92" s="43" t="s">
        <v>5063</v>
      </c>
      <c r="Q92" s="43" t="s">
        <v>5115</v>
      </c>
      <c r="R92" s="43" t="s">
        <v>5098</v>
      </c>
      <c r="S92" s="43" t="s">
        <v>5026</v>
      </c>
      <c r="T92" s="51" t="s">
        <v>5027</v>
      </c>
      <c r="U92" s="43" t="s">
        <v>5028</v>
      </c>
      <c r="V92" s="53" t="s">
        <v>3884</v>
      </c>
      <c r="W92" s="54" t="s">
        <v>3652</v>
      </c>
      <c r="X92" s="55" t="s">
        <v>4889</v>
      </c>
      <c r="Y92" t="s">
        <v>4896</v>
      </c>
      <c r="Z92" t="s">
        <v>4800</v>
      </c>
      <c r="AA92" t="s">
        <v>4891</v>
      </c>
      <c r="AI92" s="54"/>
      <c r="AJ92" s="56">
        <v>45740</v>
      </c>
      <c r="AK92" s="57">
        <v>45831</v>
      </c>
      <c r="AL92" s="57">
        <v>45922</v>
      </c>
      <c r="AM92" s="57">
        <v>46013</v>
      </c>
      <c r="AN92" s="57"/>
      <c r="AO92" s="57"/>
      <c r="AP92" s="57"/>
      <c r="AQ92" s="57"/>
      <c r="AR92" s="57"/>
      <c r="AS92" s="57"/>
      <c r="AT92" s="57"/>
      <c r="AU92" s="57"/>
      <c r="AV92" s="57"/>
      <c r="AW92" s="57"/>
      <c r="AX92" s="57"/>
      <c r="AY92" s="57"/>
      <c r="AZ92" s="57"/>
      <c r="BA92" s="57"/>
      <c r="BB92" s="57"/>
      <c r="BC92" s="58"/>
      <c r="BD92" s="55" t="s">
        <v>5030</v>
      </c>
      <c r="BE92" t="s">
        <v>5031</v>
      </c>
      <c r="BF92" t="s">
        <v>5032</v>
      </c>
      <c r="BG92" t="s">
        <v>5033</v>
      </c>
      <c r="BO92" s="54"/>
      <c r="BP92" s="56">
        <v>45712</v>
      </c>
      <c r="BQ92" s="57">
        <v>45803</v>
      </c>
      <c r="BR92" s="57">
        <v>45894</v>
      </c>
      <c r="BS92" s="57">
        <v>45985</v>
      </c>
      <c r="BT92" s="57"/>
      <c r="BU92" s="57"/>
      <c r="BV92" s="57"/>
      <c r="BW92" s="57"/>
      <c r="BX92" s="57"/>
      <c r="BY92" s="57"/>
      <c r="BZ92" s="57"/>
      <c r="CA92" s="57"/>
      <c r="CB92" s="56" t="s">
        <v>5034</v>
      </c>
      <c r="CC92" s="57"/>
      <c r="CD92" s="57"/>
      <c r="CE92" s="57"/>
      <c r="CF92" s="57"/>
      <c r="CG92" s="57"/>
      <c r="CH92" s="57"/>
      <c r="CI92" s="57"/>
      <c r="CJ92" s="57"/>
      <c r="CK92" s="57"/>
      <c r="CL92" s="57"/>
      <c r="CM92" s="57"/>
      <c r="CN92" s="56">
        <v>45736</v>
      </c>
      <c r="CO92" s="57">
        <v>45827</v>
      </c>
      <c r="CP92" s="57">
        <v>45918</v>
      </c>
      <c r="CQ92" s="57">
        <v>46009</v>
      </c>
      <c r="CR92" s="57"/>
      <c r="CS92" s="57"/>
      <c r="CT92" s="57"/>
      <c r="CU92" s="57"/>
      <c r="CV92" s="57"/>
      <c r="CW92" s="57"/>
      <c r="CX92" s="57"/>
      <c r="CY92" s="57"/>
      <c r="CZ92" s="56" t="s">
        <v>5034</v>
      </c>
      <c r="DA92" s="57"/>
      <c r="DB92" s="57"/>
      <c r="DC92" s="57"/>
      <c r="DD92" s="57"/>
      <c r="DE92" s="57"/>
      <c r="DF92" s="57"/>
      <c r="DG92" s="57"/>
      <c r="DH92" s="57"/>
      <c r="DI92" s="57"/>
      <c r="DJ92" s="57"/>
      <c r="DK92" s="58"/>
      <c r="DL92" s="59">
        <v>4</v>
      </c>
      <c r="DM92" s="60">
        <v>4</v>
      </c>
      <c r="DN92" s="61">
        <v>0</v>
      </c>
      <c r="DO92" s="60">
        <v>4</v>
      </c>
      <c r="DP92" s="60">
        <v>0</v>
      </c>
      <c r="DQ92" s="59">
        <v>12</v>
      </c>
      <c r="DR92" s="62">
        <v>1400</v>
      </c>
      <c r="DS92" s="62" t="s">
        <v>5034</v>
      </c>
      <c r="DU92" s="62" t="s">
        <v>5034</v>
      </c>
      <c r="DV92" s="63">
        <v>44865.609082106479</v>
      </c>
      <c r="DW92" s="64">
        <v>2022</v>
      </c>
      <c r="DX92" s="65">
        <v>10</v>
      </c>
    </row>
    <row r="93" spans="2:128" ht="15" x14ac:dyDescent="0.25">
      <c r="B93" s="43" t="s">
        <v>5022</v>
      </c>
      <c r="C93" s="43" t="s">
        <v>4859</v>
      </c>
      <c r="D93" s="43" t="s">
        <v>3662</v>
      </c>
      <c r="E93" s="49">
        <v>44566</v>
      </c>
      <c r="F93" s="49"/>
      <c r="G93" s="50">
        <v>1</v>
      </c>
      <c r="H93" s="43" t="s">
        <v>4798</v>
      </c>
      <c r="I93" s="43" t="s">
        <v>5023</v>
      </c>
      <c r="J93" s="43"/>
      <c r="K93" s="43">
        <v>2</v>
      </c>
      <c r="L93" s="43">
        <v>3</v>
      </c>
      <c r="M93" s="43"/>
      <c r="N93" s="43"/>
      <c r="O93" s="43" t="s">
        <v>5059</v>
      </c>
      <c r="P93" s="43" t="s">
        <v>5063</v>
      </c>
      <c r="Q93" s="43" t="s">
        <v>5115</v>
      </c>
      <c r="R93" s="43" t="s">
        <v>5098</v>
      </c>
      <c r="S93" s="43" t="s">
        <v>5026</v>
      </c>
      <c r="T93" s="51" t="s">
        <v>5027</v>
      </c>
      <c r="U93" s="43" t="s">
        <v>5028</v>
      </c>
      <c r="V93" s="53" t="s">
        <v>3884</v>
      </c>
      <c r="W93" s="54" t="s">
        <v>3661</v>
      </c>
      <c r="X93" s="55" t="s">
        <v>4889</v>
      </c>
      <c r="Y93" t="s">
        <v>4896</v>
      </c>
      <c r="Z93" t="s">
        <v>4800</v>
      </c>
      <c r="AA93" t="s">
        <v>4891</v>
      </c>
      <c r="AI93" s="54"/>
      <c r="AJ93" s="56">
        <v>45740</v>
      </c>
      <c r="AK93" s="57">
        <v>45831</v>
      </c>
      <c r="AL93" s="57">
        <v>45922</v>
      </c>
      <c r="AM93" s="57">
        <v>46013</v>
      </c>
      <c r="AN93" s="57"/>
      <c r="AO93" s="57"/>
      <c r="AP93" s="57"/>
      <c r="AQ93" s="57"/>
      <c r="AR93" s="57"/>
      <c r="AS93" s="57"/>
      <c r="AT93" s="57"/>
      <c r="AU93" s="57"/>
      <c r="AV93" s="57"/>
      <c r="AW93" s="57"/>
      <c r="AX93" s="57"/>
      <c r="AY93" s="57"/>
      <c r="AZ93" s="57"/>
      <c r="BA93" s="57"/>
      <c r="BB93" s="57"/>
      <c r="BC93" s="58"/>
      <c r="BD93" s="55" t="s">
        <v>5030</v>
      </c>
      <c r="BE93" t="s">
        <v>5031</v>
      </c>
      <c r="BF93" t="s">
        <v>5032</v>
      </c>
      <c r="BG93" t="s">
        <v>5033</v>
      </c>
      <c r="BO93" s="54"/>
      <c r="BP93" s="56">
        <v>45712</v>
      </c>
      <c r="BQ93" s="57">
        <v>45803</v>
      </c>
      <c r="BR93" s="57">
        <v>45894</v>
      </c>
      <c r="BS93" s="57">
        <v>45985</v>
      </c>
      <c r="BT93" s="57"/>
      <c r="BU93" s="57"/>
      <c r="BV93" s="57"/>
      <c r="BW93" s="57"/>
      <c r="BX93" s="57"/>
      <c r="BY93" s="57"/>
      <c r="BZ93" s="57"/>
      <c r="CA93" s="57"/>
      <c r="CB93" s="56" t="s">
        <v>5034</v>
      </c>
      <c r="CC93" s="57"/>
      <c r="CD93" s="57"/>
      <c r="CE93" s="57"/>
      <c r="CF93" s="57"/>
      <c r="CG93" s="57"/>
      <c r="CH93" s="57"/>
      <c r="CI93" s="57"/>
      <c r="CJ93" s="57"/>
      <c r="CK93" s="57"/>
      <c r="CL93" s="57"/>
      <c r="CM93" s="57"/>
      <c r="CN93" s="56">
        <v>45736</v>
      </c>
      <c r="CO93" s="57">
        <v>45827</v>
      </c>
      <c r="CP93" s="57">
        <v>45918</v>
      </c>
      <c r="CQ93" s="57">
        <v>46009</v>
      </c>
      <c r="CR93" s="57"/>
      <c r="CS93" s="57"/>
      <c r="CT93" s="57"/>
      <c r="CU93" s="57"/>
      <c r="CV93" s="57"/>
      <c r="CW93" s="57"/>
      <c r="CX93" s="57"/>
      <c r="CY93" s="57"/>
      <c r="CZ93" s="56" t="s">
        <v>5034</v>
      </c>
      <c r="DA93" s="57"/>
      <c r="DB93" s="57"/>
      <c r="DC93" s="57"/>
      <c r="DD93" s="57"/>
      <c r="DE93" s="57"/>
      <c r="DF93" s="57"/>
      <c r="DG93" s="57"/>
      <c r="DH93" s="57"/>
      <c r="DI93" s="57"/>
      <c r="DJ93" s="57"/>
      <c r="DK93" s="58"/>
      <c r="DL93" s="59">
        <v>4</v>
      </c>
      <c r="DM93" s="60">
        <v>4</v>
      </c>
      <c r="DN93" s="61">
        <v>0</v>
      </c>
      <c r="DO93" s="60">
        <v>4</v>
      </c>
      <c r="DP93" s="60">
        <v>0</v>
      </c>
      <c r="DQ93" s="59">
        <v>12</v>
      </c>
      <c r="DR93" s="62">
        <v>1412</v>
      </c>
      <c r="DS93" s="62" t="s">
        <v>5034</v>
      </c>
      <c r="DU93" s="62" t="s">
        <v>5034</v>
      </c>
      <c r="DV93" s="63">
        <v>44865.607705034723</v>
      </c>
      <c r="DW93" s="64">
        <v>2022</v>
      </c>
      <c r="DX93" s="65">
        <v>10</v>
      </c>
    </row>
    <row r="94" spans="2:128" ht="15" x14ac:dyDescent="0.25">
      <c r="B94" s="43" t="s">
        <v>5022</v>
      </c>
      <c r="C94" s="43" t="s">
        <v>4860</v>
      </c>
      <c r="D94" s="43" t="s">
        <v>4861</v>
      </c>
      <c r="E94" s="49">
        <v>44583</v>
      </c>
      <c r="F94" s="49"/>
      <c r="G94" s="50">
        <v>1</v>
      </c>
      <c r="H94" s="43" t="s">
        <v>4798</v>
      </c>
      <c r="I94" s="43" t="s">
        <v>5023</v>
      </c>
      <c r="J94" s="43"/>
      <c r="K94" s="43">
        <v>2</v>
      </c>
      <c r="L94" s="43">
        <v>2</v>
      </c>
      <c r="M94" s="43"/>
      <c r="N94" s="43" t="s">
        <v>995</v>
      </c>
      <c r="O94" s="43" t="s">
        <v>5116</v>
      </c>
      <c r="P94" s="43" t="s">
        <v>5024</v>
      </c>
      <c r="Q94" s="43" t="s">
        <v>5117</v>
      </c>
      <c r="R94" s="43" t="s">
        <v>5081</v>
      </c>
      <c r="S94" s="43" t="s">
        <v>5026</v>
      </c>
      <c r="T94" s="51" t="s">
        <v>5027</v>
      </c>
      <c r="U94" s="43" t="s">
        <v>5028</v>
      </c>
      <c r="V94" s="53" t="s">
        <v>3884</v>
      </c>
      <c r="W94" s="54" t="s">
        <v>3643</v>
      </c>
      <c r="X94" s="55" t="s">
        <v>4889</v>
      </c>
      <c r="Y94" t="s">
        <v>4896</v>
      </c>
      <c r="Z94" t="s">
        <v>4800</v>
      </c>
      <c r="AA94" t="s">
        <v>4891</v>
      </c>
      <c r="AI94" s="54"/>
      <c r="AJ94" s="56">
        <v>45740</v>
      </c>
      <c r="AK94" s="57">
        <v>45831</v>
      </c>
      <c r="AL94" s="57">
        <v>45922</v>
      </c>
      <c r="AM94" s="57">
        <v>46013</v>
      </c>
      <c r="AN94" s="57"/>
      <c r="AO94" s="57"/>
      <c r="AP94" s="57"/>
      <c r="AQ94" s="57"/>
      <c r="AR94" s="57"/>
      <c r="AS94" s="57"/>
      <c r="AT94" s="57"/>
      <c r="AU94" s="57"/>
      <c r="AV94" s="57"/>
      <c r="AW94" s="57"/>
      <c r="AX94" s="57"/>
      <c r="AY94" s="57"/>
      <c r="AZ94" s="57"/>
      <c r="BA94" s="57"/>
      <c r="BB94" s="57"/>
      <c r="BC94" s="58"/>
      <c r="BD94" s="55" t="s">
        <v>5030</v>
      </c>
      <c r="BE94" t="s">
        <v>5031</v>
      </c>
      <c r="BF94" t="s">
        <v>5032</v>
      </c>
      <c r="BG94" t="s">
        <v>5033</v>
      </c>
      <c r="BO94" s="54"/>
      <c r="BP94" s="56">
        <v>45712</v>
      </c>
      <c r="BQ94" s="57">
        <v>45803</v>
      </c>
      <c r="BR94" s="57">
        <v>45894</v>
      </c>
      <c r="BS94" s="57">
        <v>45985</v>
      </c>
      <c r="BT94" s="57"/>
      <c r="BU94" s="57"/>
      <c r="BV94" s="57"/>
      <c r="BW94" s="57"/>
      <c r="BX94" s="57"/>
      <c r="BY94" s="57"/>
      <c r="BZ94" s="57"/>
      <c r="CA94" s="57"/>
      <c r="CB94" s="56" t="s">
        <v>5034</v>
      </c>
      <c r="CC94" s="57"/>
      <c r="CD94" s="57"/>
      <c r="CE94" s="57"/>
      <c r="CF94" s="57"/>
      <c r="CG94" s="57"/>
      <c r="CH94" s="57"/>
      <c r="CI94" s="57"/>
      <c r="CJ94" s="57"/>
      <c r="CK94" s="57"/>
      <c r="CL94" s="57"/>
      <c r="CM94" s="57"/>
      <c r="CN94" s="56">
        <v>45736</v>
      </c>
      <c r="CO94" s="57">
        <v>45827</v>
      </c>
      <c r="CP94" s="57">
        <v>45918</v>
      </c>
      <c r="CQ94" s="57">
        <v>46009</v>
      </c>
      <c r="CR94" s="57"/>
      <c r="CS94" s="57"/>
      <c r="CT94" s="57"/>
      <c r="CU94" s="57"/>
      <c r="CV94" s="57"/>
      <c r="CW94" s="57"/>
      <c r="CX94" s="57"/>
      <c r="CY94" s="57"/>
      <c r="CZ94" s="56" t="s">
        <v>5034</v>
      </c>
      <c r="DA94" s="57"/>
      <c r="DB94" s="57"/>
      <c r="DC94" s="57"/>
      <c r="DD94" s="57"/>
      <c r="DE94" s="57"/>
      <c r="DF94" s="57"/>
      <c r="DG94" s="57"/>
      <c r="DH94" s="57"/>
      <c r="DI94" s="57"/>
      <c r="DJ94" s="57"/>
      <c r="DK94" s="58"/>
      <c r="DL94" s="59">
        <v>4</v>
      </c>
      <c r="DM94" s="60">
        <v>4</v>
      </c>
      <c r="DN94" s="61">
        <v>0</v>
      </c>
      <c r="DO94" s="60">
        <v>4</v>
      </c>
      <c r="DP94" s="60">
        <v>0</v>
      </c>
      <c r="DQ94" s="59">
        <v>12</v>
      </c>
      <c r="DR94" s="62">
        <v>1424</v>
      </c>
      <c r="DS94" s="62" t="s">
        <v>5034</v>
      </c>
      <c r="DU94" s="62" t="s">
        <v>5034</v>
      </c>
      <c r="DV94" s="63">
        <v>45334</v>
      </c>
      <c r="DW94" s="64">
        <v>2024</v>
      </c>
      <c r="DX94" s="65">
        <v>2</v>
      </c>
    </row>
    <row r="95" spans="2:128" ht="15" x14ac:dyDescent="0.25">
      <c r="B95" s="43" t="s">
        <v>5022</v>
      </c>
      <c r="C95" s="43" t="s">
        <v>4860</v>
      </c>
      <c r="D95" s="43" t="s">
        <v>4778</v>
      </c>
      <c r="E95" s="49">
        <v>44622</v>
      </c>
      <c r="F95" s="49"/>
      <c r="G95" s="50">
        <v>1</v>
      </c>
      <c r="H95" s="43" t="s">
        <v>4798</v>
      </c>
      <c r="I95" s="43" t="s">
        <v>5023</v>
      </c>
      <c r="J95" s="43"/>
      <c r="K95" s="43">
        <v>2</v>
      </c>
      <c r="L95" s="43">
        <v>3</v>
      </c>
      <c r="M95" s="43"/>
      <c r="N95" s="43"/>
      <c r="O95" s="43" t="s">
        <v>5111</v>
      </c>
      <c r="P95" s="43" t="s">
        <v>5063</v>
      </c>
      <c r="Q95" s="43" t="s">
        <v>5118</v>
      </c>
      <c r="R95" s="43" t="s">
        <v>5081</v>
      </c>
      <c r="S95" s="43" t="s">
        <v>5026</v>
      </c>
      <c r="T95" s="51" t="s">
        <v>5027</v>
      </c>
      <c r="U95" s="52" t="s">
        <v>5028</v>
      </c>
      <c r="V95" s="53" t="s">
        <v>3884</v>
      </c>
      <c r="W95" s="54" t="s">
        <v>3618</v>
      </c>
      <c r="X95" s="55" t="s">
        <v>4889</v>
      </c>
      <c r="Y95" t="s">
        <v>4896</v>
      </c>
      <c r="Z95" t="s">
        <v>4800</v>
      </c>
      <c r="AA95" t="s">
        <v>4891</v>
      </c>
      <c r="AI95" s="54"/>
      <c r="AJ95" s="56">
        <v>45740</v>
      </c>
      <c r="AK95" s="57">
        <v>45831</v>
      </c>
      <c r="AL95" s="57">
        <v>45922</v>
      </c>
      <c r="AM95" s="57">
        <v>46013</v>
      </c>
      <c r="AN95" s="57"/>
      <c r="AO95" s="57"/>
      <c r="AP95" s="57"/>
      <c r="AQ95" s="57"/>
      <c r="AR95" s="57"/>
      <c r="AS95" s="57"/>
      <c r="AT95" s="57"/>
      <c r="AU95" s="57"/>
      <c r="AV95" s="57"/>
      <c r="AW95" s="57"/>
      <c r="AX95" s="57"/>
      <c r="AY95" s="57"/>
      <c r="AZ95" s="57"/>
      <c r="BA95" s="57"/>
      <c r="BB95" s="57"/>
      <c r="BC95" s="58"/>
      <c r="BD95" s="55" t="s">
        <v>5030</v>
      </c>
      <c r="BE95" t="s">
        <v>5031</v>
      </c>
      <c r="BF95" t="s">
        <v>5032</v>
      </c>
      <c r="BG95" t="s">
        <v>5033</v>
      </c>
      <c r="BO95" s="54"/>
      <c r="BP95" s="56">
        <v>45712</v>
      </c>
      <c r="BQ95" s="57">
        <v>45803</v>
      </c>
      <c r="BR95" s="57">
        <v>45894</v>
      </c>
      <c r="BS95" s="57">
        <v>45985</v>
      </c>
      <c r="BT95" s="57"/>
      <c r="BU95" s="57"/>
      <c r="BV95" s="57"/>
      <c r="BW95" s="57"/>
      <c r="BX95" s="57"/>
      <c r="BY95" s="57"/>
      <c r="BZ95" s="57"/>
      <c r="CA95" s="57"/>
      <c r="CB95" s="56" t="s">
        <v>5034</v>
      </c>
      <c r="CC95" s="57"/>
      <c r="CD95" s="57"/>
      <c r="CE95" s="57"/>
      <c r="CF95" s="57"/>
      <c r="CG95" s="57"/>
      <c r="CH95" s="57"/>
      <c r="CI95" s="57"/>
      <c r="CJ95" s="57"/>
      <c r="CK95" s="57"/>
      <c r="CL95" s="57"/>
      <c r="CM95" s="57"/>
      <c r="CN95" s="56">
        <v>45736</v>
      </c>
      <c r="CO95" s="57">
        <v>45827</v>
      </c>
      <c r="CP95" s="57">
        <v>45918</v>
      </c>
      <c r="CQ95" s="57">
        <v>46009</v>
      </c>
      <c r="CR95" s="57"/>
      <c r="CS95" s="57"/>
      <c r="CT95" s="57"/>
      <c r="CU95" s="57"/>
      <c r="CV95" s="57"/>
      <c r="CW95" s="57"/>
      <c r="CX95" s="57"/>
      <c r="CY95" s="57"/>
      <c r="CZ95" s="56" t="s">
        <v>5034</v>
      </c>
      <c r="DA95" s="57"/>
      <c r="DB95" s="57"/>
      <c r="DC95" s="57"/>
      <c r="DD95" s="57"/>
      <c r="DE95" s="57"/>
      <c r="DF95" s="57"/>
      <c r="DG95" s="57"/>
      <c r="DH95" s="57"/>
      <c r="DI95" s="57"/>
      <c r="DJ95" s="57"/>
      <c r="DK95" s="58"/>
      <c r="DL95" s="59">
        <v>4</v>
      </c>
      <c r="DM95" s="60">
        <v>4</v>
      </c>
      <c r="DN95" s="61">
        <v>0</v>
      </c>
      <c r="DO95" s="60">
        <v>4</v>
      </c>
      <c r="DP95" s="60">
        <v>0</v>
      </c>
      <c r="DQ95" s="59">
        <v>12</v>
      </c>
      <c r="DR95" s="62">
        <v>1448</v>
      </c>
      <c r="DS95" s="62" t="s">
        <v>5034</v>
      </c>
      <c r="DU95" s="62" t="s">
        <v>5034</v>
      </c>
      <c r="DV95" s="63">
        <v>44910.454852719908</v>
      </c>
      <c r="DW95" s="64">
        <v>2022</v>
      </c>
      <c r="DX95" s="65">
        <v>12</v>
      </c>
    </row>
    <row r="96" spans="2:128" ht="15" x14ac:dyDescent="0.25">
      <c r="B96" s="43" t="s">
        <v>5022</v>
      </c>
      <c r="C96" s="43" t="s">
        <v>4801</v>
      </c>
      <c r="D96" s="43" t="s">
        <v>601</v>
      </c>
      <c r="E96" s="49">
        <v>44687</v>
      </c>
      <c r="F96" s="49"/>
      <c r="G96" s="50">
        <v>1</v>
      </c>
      <c r="H96" s="43" t="s">
        <v>4799</v>
      </c>
      <c r="I96" s="43" t="s">
        <v>5076</v>
      </c>
      <c r="J96" s="43">
        <v>8</v>
      </c>
      <c r="K96" s="43">
        <v>2</v>
      </c>
      <c r="L96" s="43">
        <v>2</v>
      </c>
      <c r="M96" s="43"/>
      <c r="N96" s="43"/>
      <c r="O96" s="43" t="s">
        <v>5119</v>
      </c>
      <c r="P96" s="43" t="s">
        <v>5077</v>
      </c>
      <c r="Q96" s="43" t="s">
        <v>5120</v>
      </c>
      <c r="R96" s="43" t="s">
        <v>5047</v>
      </c>
      <c r="S96" s="43" t="s">
        <v>5026</v>
      </c>
      <c r="T96" s="51" t="s">
        <v>5027</v>
      </c>
      <c r="U96" s="52" t="s">
        <v>5028</v>
      </c>
      <c r="V96" s="53" t="s">
        <v>3884</v>
      </c>
      <c r="W96" s="54" t="s">
        <v>5121</v>
      </c>
      <c r="X96" s="55" t="s">
        <v>4889</v>
      </c>
      <c r="Y96" t="s">
        <v>4800</v>
      </c>
      <c r="AI96" s="54"/>
      <c r="AJ96" s="56">
        <v>45740</v>
      </c>
      <c r="AK96" s="57">
        <v>45922</v>
      </c>
      <c r="AL96" s="57"/>
      <c r="AM96" s="57"/>
      <c r="AN96" s="57"/>
      <c r="AO96" s="57"/>
      <c r="AP96" s="57"/>
      <c r="AQ96" s="57"/>
      <c r="AR96" s="57"/>
      <c r="AS96" s="57"/>
      <c r="AT96" s="57"/>
      <c r="AU96" s="57"/>
      <c r="AV96" s="57"/>
      <c r="AW96" s="57"/>
      <c r="AX96" s="57"/>
      <c r="AY96" s="57"/>
      <c r="AZ96" s="57"/>
      <c r="BA96" s="57"/>
      <c r="BB96" s="57"/>
      <c r="BC96" s="58"/>
      <c r="BD96" s="55" t="s">
        <v>5030</v>
      </c>
      <c r="BE96" t="s">
        <v>5032</v>
      </c>
      <c r="BO96" s="54"/>
      <c r="BP96" s="56">
        <v>45712</v>
      </c>
      <c r="BQ96" s="57">
        <v>45894</v>
      </c>
      <c r="BR96" s="57"/>
      <c r="BS96" s="57"/>
      <c r="BT96" s="57"/>
      <c r="BU96" s="57"/>
      <c r="BV96" s="57"/>
      <c r="BW96" s="57"/>
      <c r="BX96" s="57"/>
      <c r="BY96" s="57"/>
      <c r="BZ96" s="57"/>
      <c r="CA96" s="57"/>
      <c r="CB96" s="56">
        <v>45728</v>
      </c>
      <c r="CC96" s="57">
        <v>45910</v>
      </c>
      <c r="CD96" s="57"/>
      <c r="CE96" s="57"/>
      <c r="CF96" s="57"/>
      <c r="CG96" s="57"/>
      <c r="CH96" s="57"/>
      <c r="CI96" s="57"/>
      <c r="CJ96" s="57"/>
      <c r="CK96" s="57"/>
      <c r="CL96" s="57"/>
      <c r="CM96" s="57"/>
      <c r="CN96" s="56">
        <v>45736</v>
      </c>
      <c r="CO96" s="57">
        <v>45918</v>
      </c>
      <c r="CP96" s="57"/>
      <c r="CQ96" s="57"/>
      <c r="CR96" s="57"/>
      <c r="CS96" s="57"/>
      <c r="CT96" s="57"/>
      <c r="CU96" s="57"/>
      <c r="CV96" s="57"/>
      <c r="CW96" s="57"/>
      <c r="CX96" s="57"/>
      <c r="CY96" s="57"/>
      <c r="CZ96" s="56" t="s">
        <v>5034</v>
      </c>
      <c r="DA96" s="57"/>
      <c r="DB96" s="57"/>
      <c r="DC96" s="57"/>
      <c r="DD96" s="57"/>
      <c r="DE96" s="57"/>
      <c r="DF96" s="57"/>
      <c r="DG96" s="57"/>
      <c r="DH96" s="57"/>
      <c r="DI96" s="57"/>
      <c r="DJ96" s="57"/>
      <c r="DK96" s="58"/>
      <c r="DL96" s="59">
        <v>2</v>
      </c>
      <c r="DM96" s="60">
        <v>2</v>
      </c>
      <c r="DN96" s="61">
        <v>2</v>
      </c>
      <c r="DO96" s="60">
        <v>2</v>
      </c>
      <c r="DP96" s="60">
        <v>0</v>
      </c>
      <c r="DQ96" s="59">
        <v>8</v>
      </c>
      <c r="DR96" s="62">
        <v>1463</v>
      </c>
      <c r="DS96" s="62" t="s">
        <v>5034</v>
      </c>
      <c r="DU96" s="62" t="s">
        <v>5034</v>
      </c>
      <c r="DV96" s="63">
        <v>45531</v>
      </c>
      <c r="DW96" s="64">
        <v>2024</v>
      </c>
      <c r="DX96" s="65">
        <v>8</v>
      </c>
    </row>
    <row r="97" spans="2:128" ht="15" x14ac:dyDescent="0.25">
      <c r="B97" s="43" t="s">
        <v>5022</v>
      </c>
      <c r="C97" s="43" t="s">
        <v>4801</v>
      </c>
      <c r="D97" s="43" t="s">
        <v>601</v>
      </c>
      <c r="E97" s="49">
        <v>44687</v>
      </c>
      <c r="F97" s="49"/>
      <c r="G97" s="50">
        <v>1</v>
      </c>
      <c r="H97" s="43" t="s">
        <v>4799</v>
      </c>
      <c r="I97" s="43" t="s">
        <v>5076</v>
      </c>
      <c r="J97" s="43">
        <v>8</v>
      </c>
      <c r="K97" s="43">
        <v>2</v>
      </c>
      <c r="L97" s="43">
        <v>2</v>
      </c>
      <c r="M97" s="43"/>
      <c r="N97" s="43"/>
      <c r="O97" s="43" t="s">
        <v>5119</v>
      </c>
      <c r="P97" s="43" t="s">
        <v>5077</v>
      </c>
      <c r="Q97" s="43" t="s">
        <v>5120</v>
      </c>
      <c r="R97" s="43" t="s">
        <v>5047</v>
      </c>
      <c r="S97" s="43" t="s">
        <v>5026</v>
      </c>
      <c r="T97" s="51" t="s">
        <v>5027</v>
      </c>
      <c r="U97" s="43" t="s">
        <v>5028</v>
      </c>
      <c r="V97" s="53" t="s">
        <v>3896</v>
      </c>
      <c r="W97" s="54" t="s">
        <v>5034</v>
      </c>
      <c r="X97" s="55" t="s">
        <v>5034</v>
      </c>
      <c r="AI97" s="54"/>
      <c r="AJ97" s="56" t="s">
        <v>5034</v>
      </c>
      <c r="AK97" s="57"/>
      <c r="AL97" s="57"/>
      <c r="AM97" s="57"/>
      <c r="AN97" s="57"/>
      <c r="AO97" s="57"/>
      <c r="AP97" s="57"/>
      <c r="AQ97" s="57"/>
      <c r="AR97" s="57"/>
      <c r="AS97" s="57"/>
      <c r="AT97" s="57"/>
      <c r="AU97" s="57"/>
      <c r="AV97" s="57"/>
      <c r="AW97" s="57"/>
      <c r="AX97" s="57"/>
      <c r="AY97" s="57"/>
      <c r="AZ97" s="57"/>
      <c r="BA97" s="57"/>
      <c r="BB97" s="57"/>
      <c r="BC97" s="58"/>
      <c r="BD97" s="55" t="s">
        <v>5034</v>
      </c>
      <c r="BO97" s="54"/>
      <c r="BP97" s="56" t="s">
        <v>5034</v>
      </c>
      <c r="BQ97" s="57"/>
      <c r="BR97" s="57"/>
      <c r="BS97" s="57"/>
      <c r="BT97" s="57"/>
      <c r="BU97" s="57"/>
      <c r="BV97" s="57"/>
      <c r="BW97" s="57"/>
      <c r="BX97" s="57"/>
      <c r="BY97" s="57"/>
      <c r="BZ97" s="57"/>
      <c r="CA97" s="57"/>
      <c r="CB97" s="56" t="s">
        <v>5034</v>
      </c>
      <c r="CC97" s="57"/>
      <c r="CD97" s="57"/>
      <c r="CE97" s="57"/>
      <c r="CF97" s="57"/>
      <c r="CG97" s="57"/>
      <c r="CH97" s="57"/>
      <c r="CI97" s="57"/>
      <c r="CJ97" s="57"/>
      <c r="CK97" s="57"/>
      <c r="CL97" s="57"/>
      <c r="CM97" s="57"/>
      <c r="CN97" s="56" t="s">
        <v>5034</v>
      </c>
      <c r="CO97" s="57"/>
      <c r="CP97" s="57"/>
      <c r="CQ97" s="57"/>
      <c r="CR97" s="57"/>
      <c r="CS97" s="57"/>
      <c r="CT97" s="57"/>
      <c r="CU97" s="57"/>
      <c r="CV97" s="57"/>
      <c r="CW97" s="57"/>
      <c r="CX97" s="57"/>
      <c r="CY97" s="57"/>
      <c r="CZ97" s="56" t="s">
        <v>5034</v>
      </c>
      <c r="DA97" s="57"/>
      <c r="DB97" s="57"/>
      <c r="DC97" s="57"/>
      <c r="DD97" s="57"/>
      <c r="DE97" s="57"/>
      <c r="DF97" s="57"/>
      <c r="DG97" s="57"/>
      <c r="DH97" s="57"/>
      <c r="DI97" s="57"/>
      <c r="DJ97" s="57"/>
      <c r="DK97" s="58"/>
      <c r="DL97" s="59">
        <v>0</v>
      </c>
      <c r="DM97" s="60">
        <v>0</v>
      </c>
      <c r="DN97" s="61">
        <v>0</v>
      </c>
      <c r="DO97" s="60">
        <v>0</v>
      </c>
      <c r="DP97" s="60">
        <v>0</v>
      </c>
      <c r="DQ97" s="59">
        <v>0</v>
      </c>
      <c r="DR97" s="62" t="s">
        <v>5034</v>
      </c>
      <c r="DS97" s="62" t="s">
        <v>5034</v>
      </c>
      <c r="DU97" s="62" t="s">
        <v>5034</v>
      </c>
      <c r="DV97" s="63">
        <v>45531</v>
      </c>
      <c r="DW97" s="64">
        <v>2024</v>
      </c>
      <c r="DX97" s="65">
        <v>8</v>
      </c>
    </row>
    <row r="98" spans="2:128" ht="15" x14ac:dyDescent="0.25">
      <c r="B98" s="43" t="s">
        <v>5022</v>
      </c>
      <c r="C98" s="43" t="s">
        <v>4801</v>
      </c>
      <c r="D98" s="43" t="s">
        <v>2202</v>
      </c>
      <c r="E98" s="49">
        <v>44693</v>
      </c>
      <c r="F98" s="49"/>
      <c r="G98" s="50">
        <v>1</v>
      </c>
      <c r="H98" s="43" t="s">
        <v>4798</v>
      </c>
      <c r="I98" s="43" t="s">
        <v>5023</v>
      </c>
      <c r="J98" s="43">
        <v>9</v>
      </c>
      <c r="K98" s="43">
        <v>2</v>
      </c>
      <c r="L98" s="43">
        <v>2</v>
      </c>
      <c r="M98" s="43"/>
      <c r="N98" s="43"/>
      <c r="O98" s="43" t="s">
        <v>5119</v>
      </c>
      <c r="P98" s="43" t="s">
        <v>5122</v>
      </c>
      <c r="Q98" s="43" t="s">
        <v>5123</v>
      </c>
      <c r="R98" s="43" t="s">
        <v>5045</v>
      </c>
      <c r="S98" s="43" t="s">
        <v>5026</v>
      </c>
      <c r="T98" s="51" t="s">
        <v>5027</v>
      </c>
      <c r="U98" s="52" t="s">
        <v>5028</v>
      </c>
      <c r="V98" s="53" t="s">
        <v>3884</v>
      </c>
      <c r="W98" s="54" t="s">
        <v>2201</v>
      </c>
      <c r="X98" s="55" t="s">
        <v>4889</v>
      </c>
      <c r="Y98" t="s">
        <v>4896</v>
      </c>
      <c r="Z98" t="s">
        <v>4800</v>
      </c>
      <c r="AA98" t="s">
        <v>4891</v>
      </c>
      <c r="AI98" s="54"/>
      <c r="AJ98" s="56">
        <v>45740</v>
      </c>
      <c r="AK98" s="57">
        <v>45831</v>
      </c>
      <c r="AL98" s="57">
        <v>45922</v>
      </c>
      <c r="AM98" s="57">
        <v>46013</v>
      </c>
      <c r="AN98" s="57"/>
      <c r="AO98" s="57"/>
      <c r="AP98" s="57"/>
      <c r="AQ98" s="57"/>
      <c r="AR98" s="57"/>
      <c r="AS98" s="57"/>
      <c r="AT98" s="57"/>
      <c r="AU98" s="57"/>
      <c r="AV98" s="57"/>
      <c r="AW98" s="57"/>
      <c r="AX98" s="57"/>
      <c r="AY98" s="57"/>
      <c r="AZ98" s="57"/>
      <c r="BA98" s="57"/>
      <c r="BB98" s="57"/>
      <c r="BC98" s="58"/>
      <c r="BD98" s="55" t="s">
        <v>5030</v>
      </c>
      <c r="BE98" t="s">
        <v>5031</v>
      </c>
      <c r="BF98" t="s">
        <v>5032</v>
      </c>
      <c r="BG98" t="s">
        <v>5033</v>
      </c>
      <c r="BO98" s="54"/>
      <c r="BP98" s="56">
        <v>45712</v>
      </c>
      <c r="BQ98" s="57">
        <v>45803</v>
      </c>
      <c r="BR98" s="57">
        <v>45894</v>
      </c>
      <c r="BS98" s="57">
        <v>45985</v>
      </c>
      <c r="BT98" s="57"/>
      <c r="BU98" s="57"/>
      <c r="BV98" s="57"/>
      <c r="BW98" s="57"/>
      <c r="BX98" s="57"/>
      <c r="BY98" s="57"/>
      <c r="BZ98" s="57"/>
      <c r="CA98" s="57"/>
      <c r="CB98" s="56">
        <v>45727</v>
      </c>
      <c r="CC98" s="57">
        <v>45818</v>
      </c>
      <c r="CD98" s="57">
        <v>45909</v>
      </c>
      <c r="CE98" s="57">
        <v>46000</v>
      </c>
      <c r="CF98" s="57"/>
      <c r="CG98" s="57"/>
      <c r="CH98" s="57"/>
      <c r="CI98" s="57"/>
      <c r="CJ98" s="57"/>
      <c r="CK98" s="57"/>
      <c r="CL98" s="57"/>
      <c r="CM98" s="57"/>
      <c r="CN98" s="56">
        <v>45736</v>
      </c>
      <c r="CO98" s="57">
        <v>45827</v>
      </c>
      <c r="CP98" s="57">
        <v>45918</v>
      </c>
      <c r="CQ98" s="57">
        <v>46009</v>
      </c>
      <c r="CR98" s="57"/>
      <c r="CS98" s="57"/>
      <c r="CT98" s="57"/>
      <c r="CU98" s="57"/>
      <c r="CV98" s="57"/>
      <c r="CW98" s="57"/>
      <c r="CX98" s="57"/>
      <c r="CY98" s="57"/>
      <c r="CZ98" s="56" t="s">
        <v>5034</v>
      </c>
      <c r="DA98" s="57"/>
      <c r="DB98" s="57"/>
      <c r="DC98" s="57"/>
      <c r="DD98" s="57"/>
      <c r="DE98" s="57"/>
      <c r="DF98" s="57"/>
      <c r="DG98" s="57"/>
      <c r="DH98" s="57"/>
      <c r="DI98" s="57"/>
      <c r="DJ98" s="57"/>
      <c r="DK98" s="58"/>
      <c r="DL98" s="59">
        <v>4</v>
      </c>
      <c r="DM98" s="60">
        <v>4</v>
      </c>
      <c r="DN98" s="61">
        <v>4</v>
      </c>
      <c r="DO98" s="60">
        <v>4</v>
      </c>
      <c r="DP98" s="60">
        <v>0</v>
      </c>
      <c r="DQ98" s="59">
        <v>16</v>
      </c>
      <c r="DR98" s="62">
        <v>1471</v>
      </c>
      <c r="DS98" s="62" t="s">
        <v>5034</v>
      </c>
      <c r="DU98" s="62" t="s">
        <v>5034</v>
      </c>
      <c r="DV98" s="63">
        <v>45344</v>
      </c>
      <c r="DW98" s="64">
        <v>2024</v>
      </c>
      <c r="DX98" s="65">
        <v>2</v>
      </c>
    </row>
    <row r="99" spans="2:128" ht="15" x14ac:dyDescent="0.25">
      <c r="B99" s="43" t="s">
        <v>5022</v>
      </c>
      <c r="C99" s="43" t="s">
        <v>4854</v>
      </c>
      <c r="D99" s="43" t="s">
        <v>3591</v>
      </c>
      <c r="E99" s="49">
        <v>44699</v>
      </c>
      <c r="F99" s="49"/>
      <c r="G99" s="50">
        <v>1</v>
      </c>
      <c r="H99" s="43" t="s">
        <v>4889</v>
      </c>
      <c r="I99" s="43" t="s">
        <v>5030</v>
      </c>
      <c r="J99" s="43"/>
      <c r="K99" s="43">
        <v>2</v>
      </c>
      <c r="L99" s="43">
        <v>3</v>
      </c>
      <c r="M99" s="43"/>
      <c r="N99" s="43"/>
      <c r="O99" s="43" t="s">
        <v>5059</v>
      </c>
      <c r="P99" s="43" t="s">
        <v>5024</v>
      </c>
      <c r="Q99" s="43" t="s">
        <v>5124</v>
      </c>
      <c r="R99" s="43" t="s">
        <v>5045</v>
      </c>
      <c r="S99" s="43" t="s">
        <v>5026</v>
      </c>
      <c r="T99" s="51" t="s">
        <v>5027</v>
      </c>
      <c r="U99" s="52" t="s">
        <v>5028</v>
      </c>
      <c r="V99" s="53" t="s">
        <v>3884</v>
      </c>
      <c r="W99" s="54" t="s">
        <v>3590</v>
      </c>
      <c r="X99" s="55" t="s">
        <v>4889</v>
      </c>
      <c r="AI99" s="54"/>
      <c r="AJ99" s="56">
        <v>45740</v>
      </c>
      <c r="AK99" s="57"/>
      <c r="AL99" s="57"/>
      <c r="AM99" s="57"/>
      <c r="AN99" s="57"/>
      <c r="AO99" s="57"/>
      <c r="AP99" s="57"/>
      <c r="AQ99" s="57"/>
      <c r="AR99" s="57"/>
      <c r="AS99" s="57"/>
      <c r="AT99" s="57"/>
      <c r="AU99" s="57"/>
      <c r="AV99" s="57"/>
      <c r="AW99" s="57"/>
      <c r="AX99" s="57"/>
      <c r="AY99" s="57"/>
      <c r="AZ99" s="57"/>
      <c r="BA99" s="57"/>
      <c r="BB99" s="57"/>
      <c r="BC99" s="58"/>
      <c r="BD99" s="55" t="s">
        <v>5030</v>
      </c>
      <c r="BO99" s="54"/>
      <c r="BP99" s="56">
        <v>45712</v>
      </c>
      <c r="BQ99" s="57"/>
      <c r="BR99" s="57"/>
      <c r="BS99" s="57"/>
      <c r="BT99" s="57"/>
      <c r="BU99" s="57"/>
      <c r="BV99" s="57"/>
      <c r="BW99" s="57"/>
      <c r="BX99" s="57"/>
      <c r="BY99" s="57"/>
      <c r="BZ99" s="57"/>
      <c r="CA99" s="57"/>
      <c r="CB99" s="56" t="s">
        <v>5034</v>
      </c>
      <c r="CC99" s="57"/>
      <c r="CD99" s="57"/>
      <c r="CE99" s="57"/>
      <c r="CF99" s="57"/>
      <c r="CG99" s="57"/>
      <c r="CH99" s="57"/>
      <c r="CI99" s="57"/>
      <c r="CJ99" s="57"/>
      <c r="CK99" s="57"/>
      <c r="CL99" s="57"/>
      <c r="CM99" s="57"/>
      <c r="CN99" s="56">
        <v>45736</v>
      </c>
      <c r="CO99" s="57"/>
      <c r="CP99" s="57"/>
      <c r="CQ99" s="57"/>
      <c r="CR99" s="57"/>
      <c r="CS99" s="57"/>
      <c r="CT99" s="57"/>
      <c r="CU99" s="57"/>
      <c r="CV99" s="57"/>
      <c r="CW99" s="57"/>
      <c r="CX99" s="57"/>
      <c r="CY99" s="57"/>
      <c r="CZ99" s="56" t="s">
        <v>5034</v>
      </c>
      <c r="DA99" s="57"/>
      <c r="DB99" s="57"/>
      <c r="DC99" s="57"/>
      <c r="DD99" s="57"/>
      <c r="DE99" s="57"/>
      <c r="DF99" s="57"/>
      <c r="DG99" s="57"/>
      <c r="DH99" s="57"/>
      <c r="DI99" s="57"/>
      <c r="DJ99" s="57"/>
      <c r="DK99" s="58"/>
      <c r="DL99" s="59">
        <v>1</v>
      </c>
      <c r="DM99" s="60">
        <v>1</v>
      </c>
      <c r="DN99" s="61">
        <v>0</v>
      </c>
      <c r="DO99" s="60">
        <v>1</v>
      </c>
      <c r="DP99" s="60">
        <v>0</v>
      </c>
      <c r="DQ99" s="59">
        <v>3</v>
      </c>
      <c r="DR99" s="62">
        <v>1487</v>
      </c>
      <c r="DS99" s="62" t="s">
        <v>5034</v>
      </c>
      <c r="DU99" s="62" t="s">
        <v>5034</v>
      </c>
      <c r="DV99" s="63">
        <v>45400</v>
      </c>
      <c r="DW99" s="64">
        <v>2024</v>
      </c>
      <c r="DX99" s="65">
        <v>4</v>
      </c>
    </row>
    <row r="100" spans="2:128" ht="15" x14ac:dyDescent="0.25">
      <c r="B100" s="43" t="s">
        <v>5022</v>
      </c>
      <c r="C100" s="43" t="s">
        <v>4854</v>
      </c>
      <c r="D100" s="43" t="s">
        <v>3576</v>
      </c>
      <c r="E100" s="49">
        <v>44699</v>
      </c>
      <c r="F100" s="49"/>
      <c r="G100" s="50">
        <v>1</v>
      </c>
      <c r="H100" s="43" t="s">
        <v>4889</v>
      </c>
      <c r="I100" s="43" t="s">
        <v>5030</v>
      </c>
      <c r="J100" s="43"/>
      <c r="K100" s="43">
        <v>2</v>
      </c>
      <c r="L100" s="43">
        <v>3</v>
      </c>
      <c r="M100" s="43"/>
      <c r="N100" s="43"/>
      <c r="O100" s="43" t="s">
        <v>5059</v>
      </c>
      <c r="P100" s="43" t="s">
        <v>5024</v>
      </c>
      <c r="Q100" s="43" t="s">
        <v>5124</v>
      </c>
      <c r="R100" s="43" t="s">
        <v>5045</v>
      </c>
      <c r="S100" s="43" t="s">
        <v>5026</v>
      </c>
      <c r="T100" s="51" t="s">
        <v>5027</v>
      </c>
      <c r="U100" s="52" t="s">
        <v>5028</v>
      </c>
      <c r="V100" s="53" t="s">
        <v>3884</v>
      </c>
      <c r="W100" s="54" t="s">
        <v>3575</v>
      </c>
      <c r="X100" s="55" t="s">
        <v>4889</v>
      </c>
      <c r="AI100" s="54"/>
      <c r="AJ100" s="56">
        <v>45740</v>
      </c>
      <c r="AK100" s="57"/>
      <c r="AL100" s="57"/>
      <c r="AM100" s="57"/>
      <c r="AN100" s="57"/>
      <c r="AO100" s="57"/>
      <c r="AP100" s="57"/>
      <c r="AQ100" s="57"/>
      <c r="AR100" s="57"/>
      <c r="AS100" s="57"/>
      <c r="AT100" s="57"/>
      <c r="AU100" s="57"/>
      <c r="AV100" s="57"/>
      <c r="AW100" s="57"/>
      <c r="AX100" s="57"/>
      <c r="AY100" s="57"/>
      <c r="AZ100" s="57"/>
      <c r="BA100" s="57"/>
      <c r="BB100" s="57"/>
      <c r="BC100" s="58"/>
      <c r="BD100" s="55" t="s">
        <v>5030</v>
      </c>
      <c r="BO100" s="54"/>
      <c r="BP100" s="56">
        <v>45712</v>
      </c>
      <c r="BQ100" s="57"/>
      <c r="BR100" s="57"/>
      <c r="BS100" s="57"/>
      <c r="BT100" s="57"/>
      <c r="BU100" s="57"/>
      <c r="BV100" s="57"/>
      <c r="BW100" s="57"/>
      <c r="BX100" s="57"/>
      <c r="BY100" s="57"/>
      <c r="BZ100" s="57"/>
      <c r="CA100" s="57"/>
      <c r="CB100" s="56" t="s">
        <v>5034</v>
      </c>
      <c r="CC100" s="57"/>
      <c r="CD100" s="57"/>
      <c r="CE100" s="57"/>
      <c r="CF100" s="57"/>
      <c r="CG100" s="57"/>
      <c r="CH100" s="57"/>
      <c r="CI100" s="57"/>
      <c r="CJ100" s="57"/>
      <c r="CK100" s="57"/>
      <c r="CL100" s="57"/>
      <c r="CM100" s="57"/>
      <c r="CN100" s="56">
        <v>45736</v>
      </c>
      <c r="CO100" s="57"/>
      <c r="CP100" s="57"/>
      <c r="CQ100" s="57"/>
      <c r="CR100" s="57"/>
      <c r="CS100" s="57"/>
      <c r="CT100" s="57"/>
      <c r="CU100" s="57"/>
      <c r="CV100" s="57"/>
      <c r="CW100" s="57"/>
      <c r="CX100" s="57"/>
      <c r="CY100" s="57"/>
      <c r="CZ100" s="56" t="s">
        <v>5034</v>
      </c>
      <c r="DA100" s="57"/>
      <c r="DB100" s="57"/>
      <c r="DC100" s="57"/>
      <c r="DD100" s="57"/>
      <c r="DE100" s="57"/>
      <c r="DF100" s="57"/>
      <c r="DG100" s="57"/>
      <c r="DH100" s="57"/>
      <c r="DI100" s="57"/>
      <c r="DJ100" s="57"/>
      <c r="DK100" s="58"/>
      <c r="DL100" s="59">
        <v>1</v>
      </c>
      <c r="DM100" s="60">
        <v>1</v>
      </c>
      <c r="DN100" s="61">
        <v>0</v>
      </c>
      <c r="DO100" s="60">
        <v>1</v>
      </c>
      <c r="DP100" s="60">
        <v>0</v>
      </c>
      <c r="DQ100" s="59">
        <v>3</v>
      </c>
      <c r="DR100" s="62">
        <v>1490</v>
      </c>
      <c r="DS100" s="62" t="s">
        <v>5034</v>
      </c>
      <c r="DU100" s="62" t="s">
        <v>5034</v>
      </c>
      <c r="DV100" s="63">
        <v>45400</v>
      </c>
      <c r="DW100" s="64">
        <v>2024</v>
      </c>
      <c r="DX100" s="65">
        <v>4</v>
      </c>
    </row>
    <row r="101" spans="2:128" ht="15" x14ac:dyDescent="0.25">
      <c r="B101" s="43" t="s">
        <v>5022</v>
      </c>
      <c r="C101" s="43" t="s">
        <v>4854</v>
      </c>
      <c r="D101" s="43" t="s">
        <v>3560</v>
      </c>
      <c r="E101" s="49">
        <v>44699</v>
      </c>
      <c r="F101" s="49">
        <v>45699</v>
      </c>
      <c r="G101" s="50">
        <v>1</v>
      </c>
      <c r="H101" s="43" t="s">
        <v>4889</v>
      </c>
      <c r="I101" s="43" t="s">
        <v>5030</v>
      </c>
      <c r="J101" s="43"/>
      <c r="K101" s="43">
        <v>2</v>
      </c>
      <c r="L101" s="43">
        <v>3</v>
      </c>
      <c r="M101" s="43"/>
      <c r="N101" s="43"/>
      <c r="O101" s="43" t="s">
        <v>5059</v>
      </c>
      <c r="P101" s="43" t="s">
        <v>5024</v>
      </c>
      <c r="Q101" s="43" t="s">
        <v>5124</v>
      </c>
      <c r="R101" s="43" t="s">
        <v>5045</v>
      </c>
      <c r="S101" s="43" t="s">
        <v>5026</v>
      </c>
      <c r="T101" s="51" t="s">
        <v>5027</v>
      </c>
      <c r="U101" s="52" t="s">
        <v>5028</v>
      </c>
      <c r="V101" s="53" t="s">
        <v>3896</v>
      </c>
      <c r="W101" s="54" t="s">
        <v>5034</v>
      </c>
      <c r="X101" s="55" t="s">
        <v>5034</v>
      </c>
      <c r="AI101" s="54"/>
      <c r="AJ101" s="56" t="s">
        <v>5034</v>
      </c>
      <c r="AK101" s="57"/>
      <c r="AL101" s="57"/>
      <c r="AM101" s="57"/>
      <c r="AN101" s="57"/>
      <c r="AO101" s="57"/>
      <c r="AP101" s="57"/>
      <c r="AQ101" s="57"/>
      <c r="AR101" s="57"/>
      <c r="AS101" s="57"/>
      <c r="AT101" s="57"/>
      <c r="AU101" s="57"/>
      <c r="AV101" s="57"/>
      <c r="AW101" s="57"/>
      <c r="AX101" s="57"/>
      <c r="AY101" s="57"/>
      <c r="AZ101" s="57"/>
      <c r="BA101" s="57"/>
      <c r="BB101" s="57"/>
      <c r="BC101" s="58"/>
      <c r="BD101" s="55" t="s">
        <v>5034</v>
      </c>
      <c r="BO101" s="54"/>
      <c r="BP101" s="56" t="s">
        <v>5034</v>
      </c>
      <c r="BQ101" s="57"/>
      <c r="BR101" s="57"/>
      <c r="BS101" s="57"/>
      <c r="BT101" s="57"/>
      <c r="BU101" s="57"/>
      <c r="BV101" s="57"/>
      <c r="BW101" s="57"/>
      <c r="BX101" s="57"/>
      <c r="BY101" s="57"/>
      <c r="BZ101" s="57"/>
      <c r="CA101" s="57"/>
      <c r="CB101" s="56" t="s">
        <v>5034</v>
      </c>
      <c r="CC101" s="57"/>
      <c r="CD101" s="57"/>
      <c r="CE101" s="57"/>
      <c r="CF101" s="57"/>
      <c r="CG101" s="57"/>
      <c r="CH101" s="57"/>
      <c r="CI101" s="57"/>
      <c r="CJ101" s="57"/>
      <c r="CK101" s="57"/>
      <c r="CL101" s="57"/>
      <c r="CM101" s="57"/>
      <c r="CN101" s="56" t="s">
        <v>5034</v>
      </c>
      <c r="CO101" s="57"/>
      <c r="CP101" s="57"/>
      <c r="CQ101" s="57"/>
      <c r="CR101" s="57"/>
      <c r="CS101" s="57"/>
      <c r="CT101" s="57"/>
      <c r="CU101" s="57"/>
      <c r="CV101" s="57"/>
      <c r="CW101" s="57"/>
      <c r="CX101" s="57"/>
      <c r="CY101" s="57"/>
      <c r="CZ101" s="56" t="s">
        <v>5034</v>
      </c>
      <c r="DA101" s="57"/>
      <c r="DB101" s="57"/>
      <c r="DC101" s="57"/>
      <c r="DD101" s="57"/>
      <c r="DE101" s="57"/>
      <c r="DF101" s="57"/>
      <c r="DG101" s="57"/>
      <c r="DH101" s="57"/>
      <c r="DI101" s="57"/>
      <c r="DJ101" s="57"/>
      <c r="DK101" s="58"/>
      <c r="DL101" s="59">
        <v>0</v>
      </c>
      <c r="DM101" s="60">
        <v>0</v>
      </c>
      <c r="DN101" s="61">
        <v>0</v>
      </c>
      <c r="DO101" s="60">
        <v>0</v>
      </c>
      <c r="DP101" s="60">
        <v>0</v>
      </c>
      <c r="DQ101" s="59">
        <v>0</v>
      </c>
      <c r="DR101" s="62" t="s">
        <v>5034</v>
      </c>
      <c r="DS101" s="62" t="s">
        <v>5034</v>
      </c>
      <c r="DU101" s="62" t="s">
        <v>5034</v>
      </c>
      <c r="DV101" s="63">
        <v>45400</v>
      </c>
      <c r="DW101" s="64">
        <v>2024</v>
      </c>
      <c r="DX101" s="65">
        <v>4</v>
      </c>
    </row>
    <row r="102" spans="2:128" ht="15" x14ac:dyDescent="0.25">
      <c r="B102" s="43" t="s">
        <v>5022</v>
      </c>
      <c r="C102" s="43" t="s">
        <v>4860</v>
      </c>
      <c r="D102" s="43" t="s">
        <v>3627</v>
      </c>
      <c r="E102" s="49">
        <v>44739</v>
      </c>
      <c r="F102" s="49"/>
      <c r="G102" s="50">
        <v>1</v>
      </c>
      <c r="H102" s="43" t="s">
        <v>4800</v>
      </c>
      <c r="I102" s="43" t="s">
        <v>5032</v>
      </c>
      <c r="J102" s="43">
        <v>6</v>
      </c>
      <c r="K102" s="43">
        <v>2</v>
      </c>
      <c r="L102" s="43">
        <v>3</v>
      </c>
      <c r="M102" s="43"/>
      <c r="N102" s="43"/>
      <c r="O102" s="43" t="s">
        <v>5125</v>
      </c>
      <c r="P102" s="43" t="s">
        <v>5024</v>
      </c>
      <c r="Q102" s="43" t="s">
        <v>5126</v>
      </c>
      <c r="R102" s="43" t="s">
        <v>5045</v>
      </c>
      <c r="S102" s="43" t="s">
        <v>5026</v>
      </c>
      <c r="T102" s="51" t="s">
        <v>5027</v>
      </c>
      <c r="U102" s="43" t="s">
        <v>5028</v>
      </c>
      <c r="V102" s="53" t="s">
        <v>3884</v>
      </c>
      <c r="W102" s="54" t="s">
        <v>3626</v>
      </c>
      <c r="X102" s="55" t="s">
        <v>4800</v>
      </c>
      <c r="AI102" s="54"/>
      <c r="AJ102" s="56">
        <v>45922</v>
      </c>
      <c r="AK102" s="57"/>
      <c r="AL102" s="57"/>
      <c r="AM102" s="57"/>
      <c r="AN102" s="57"/>
      <c r="AO102" s="57"/>
      <c r="AP102" s="57"/>
      <c r="AQ102" s="57"/>
      <c r="AR102" s="57"/>
      <c r="AS102" s="57"/>
      <c r="AT102" s="57"/>
      <c r="AU102" s="57"/>
      <c r="AV102" s="57"/>
      <c r="AW102" s="57"/>
      <c r="AX102" s="57"/>
      <c r="AY102" s="57"/>
      <c r="AZ102" s="57"/>
      <c r="BA102" s="57"/>
      <c r="BB102" s="57"/>
      <c r="BC102" s="58"/>
      <c r="BD102" s="55" t="s">
        <v>5032</v>
      </c>
      <c r="BO102" s="54"/>
      <c r="BP102" s="56">
        <v>45894</v>
      </c>
      <c r="BQ102" s="57"/>
      <c r="BR102" s="57"/>
      <c r="BS102" s="57"/>
      <c r="BT102" s="57"/>
      <c r="BU102" s="57"/>
      <c r="BV102" s="57"/>
      <c r="BW102" s="57"/>
      <c r="BX102" s="57"/>
      <c r="BY102" s="57"/>
      <c r="BZ102" s="57"/>
      <c r="CA102" s="57"/>
      <c r="CB102" s="56">
        <v>45912</v>
      </c>
      <c r="CC102" s="57"/>
      <c r="CD102" s="57"/>
      <c r="CE102" s="57"/>
      <c r="CF102" s="57"/>
      <c r="CG102" s="57"/>
      <c r="CH102" s="57"/>
      <c r="CI102" s="57"/>
      <c r="CJ102" s="57"/>
      <c r="CK102" s="57"/>
      <c r="CL102" s="57"/>
      <c r="CM102" s="57"/>
      <c r="CN102" s="56">
        <v>45918</v>
      </c>
      <c r="CO102" s="57"/>
      <c r="CP102" s="57"/>
      <c r="CQ102" s="57"/>
      <c r="CR102" s="57"/>
      <c r="CS102" s="57"/>
      <c r="CT102" s="57"/>
      <c r="CU102" s="57"/>
      <c r="CV102" s="57"/>
      <c r="CW102" s="57"/>
      <c r="CX102" s="57"/>
      <c r="CY102" s="57"/>
      <c r="CZ102" s="56" t="s">
        <v>5034</v>
      </c>
      <c r="DA102" s="57"/>
      <c r="DB102" s="57"/>
      <c r="DC102" s="57"/>
      <c r="DD102" s="57"/>
      <c r="DE102" s="57"/>
      <c r="DF102" s="57"/>
      <c r="DG102" s="57"/>
      <c r="DH102" s="57"/>
      <c r="DI102" s="57"/>
      <c r="DJ102" s="57"/>
      <c r="DK102" s="58"/>
      <c r="DL102" s="59">
        <v>1</v>
      </c>
      <c r="DM102" s="60">
        <v>1</v>
      </c>
      <c r="DN102" s="61">
        <v>1</v>
      </c>
      <c r="DO102" s="60">
        <v>1</v>
      </c>
      <c r="DP102" s="60">
        <v>0</v>
      </c>
      <c r="DQ102" s="59">
        <v>4</v>
      </c>
      <c r="DR102" s="62">
        <v>1493</v>
      </c>
      <c r="DS102" s="62" t="s">
        <v>5034</v>
      </c>
      <c r="DU102" s="62" t="s">
        <v>5034</v>
      </c>
      <c r="DV102" s="63">
        <v>45169.536259803244</v>
      </c>
      <c r="DW102" s="64">
        <v>2023</v>
      </c>
      <c r="DX102" s="65">
        <v>8</v>
      </c>
    </row>
    <row r="103" spans="2:128" ht="15" x14ac:dyDescent="0.25">
      <c r="B103" s="43" t="s">
        <v>5022</v>
      </c>
      <c r="C103" s="43" t="s">
        <v>4862</v>
      </c>
      <c r="D103" s="43" t="s">
        <v>3545</v>
      </c>
      <c r="E103" s="49">
        <v>44763</v>
      </c>
      <c r="F103" s="49">
        <v>45699</v>
      </c>
      <c r="G103" s="50">
        <v>1</v>
      </c>
      <c r="H103" s="43" t="s">
        <v>4894</v>
      </c>
      <c r="I103" s="43" t="s">
        <v>5105</v>
      </c>
      <c r="J103" s="43"/>
      <c r="K103" s="43">
        <v>2</v>
      </c>
      <c r="L103" s="43">
        <v>3</v>
      </c>
      <c r="M103" s="43"/>
      <c r="N103" s="43"/>
      <c r="O103" s="43" t="s">
        <v>4725</v>
      </c>
      <c r="P103" s="43" t="s">
        <v>5063</v>
      </c>
      <c r="Q103" s="43" t="s">
        <v>5127</v>
      </c>
      <c r="R103" s="43" t="s">
        <v>5047</v>
      </c>
      <c r="S103" s="43" t="s">
        <v>5026</v>
      </c>
      <c r="T103" s="51" t="s">
        <v>5027</v>
      </c>
      <c r="U103" s="43" t="s">
        <v>5028</v>
      </c>
      <c r="V103" s="53" t="s">
        <v>3896</v>
      </c>
      <c r="W103" s="54" t="s">
        <v>5034</v>
      </c>
      <c r="X103" s="55" t="s">
        <v>5034</v>
      </c>
      <c r="AI103" s="54"/>
      <c r="AJ103" s="56" t="s">
        <v>5034</v>
      </c>
      <c r="AK103" s="57"/>
      <c r="AL103" s="57"/>
      <c r="AM103" s="57"/>
      <c r="AN103" s="57"/>
      <c r="AO103" s="57"/>
      <c r="AP103" s="57"/>
      <c r="AQ103" s="57"/>
      <c r="AR103" s="57"/>
      <c r="AS103" s="57"/>
      <c r="AT103" s="57"/>
      <c r="AU103" s="57"/>
      <c r="AV103" s="57"/>
      <c r="AW103" s="57"/>
      <c r="AX103" s="57"/>
      <c r="AY103" s="57"/>
      <c r="AZ103" s="57"/>
      <c r="BA103" s="57"/>
      <c r="BB103" s="57"/>
      <c r="BC103" s="58"/>
      <c r="BD103" s="55" t="s">
        <v>5034</v>
      </c>
      <c r="BO103" s="54"/>
      <c r="BP103" s="56" t="s">
        <v>5034</v>
      </c>
      <c r="BQ103" s="57"/>
      <c r="BR103" s="57"/>
      <c r="BS103" s="57"/>
      <c r="BT103" s="57"/>
      <c r="BU103" s="57"/>
      <c r="BV103" s="57"/>
      <c r="BW103" s="57"/>
      <c r="BX103" s="57"/>
      <c r="BY103" s="57"/>
      <c r="BZ103" s="57"/>
      <c r="CA103" s="57"/>
      <c r="CB103" s="56" t="s">
        <v>5034</v>
      </c>
      <c r="CC103" s="57"/>
      <c r="CD103" s="57"/>
      <c r="CE103" s="57"/>
      <c r="CF103" s="57"/>
      <c r="CG103" s="57"/>
      <c r="CH103" s="57"/>
      <c r="CI103" s="57"/>
      <c r="CJ103" s="57"/>
      <c r="CK103" s="57"/>
      <c r="CL103" s="57"/>
      <c r="CM103" s="57"/>
      <c r="CN103" s="56" t="s">
        <v>5034</v>
      </c>
      <c r="CO103" s="57"/>
      <c r="CP103" s="57"/>
      <c r="CQ103" s="57"/>
      <c r="CR103" s="57"/>
      <c r="CS103" s="57"/>
      <c r="CT103" s="57"/>
      <c r="CU103" s="57"/>
      <c r="CV103" s="57"/>
      <c r="CW103" s="57"/>
      <c r="CX103" s="57"/>
      <c r="CY103" s="57"/>
      <c r="CZ103" s="56" t="s">
        <v>5034</v>
      </c>
      <c r="DA103" s="57"/>
      <c r="DB103" s="57"/>
      <c r="DC103" s="57"/>
      <c r="DD103" s="57"/>
      <c r="DE103" s="57"/>
      <c r="DF103" s="57"/>
      <c r="DG103" s="57"/>
      <c r="DH103" s="57"/>
      <c r="DI103" s="57"/>
      <c r="DJ103" s="57"/>
      <c r="DK103" s="58"/>
      <c r="DL103" s="59">
        <v>0</v>
      </c>
      <c r="DM103" s="60">
        <v>0</v>
      </c>
      <c r="DN103" s="61">
        <v>0</v>
      </c>
      <c r="DO103" s="60">
        <v>0</v>
      </c>
      <c r="DP103" s="60">
        <v>0</v>
      </c>
      <c r="DQ103" s="59">
        <v>0</v>
      </c>
      <c r="DR103" s="62" t="s">
        <v>5034</v>
      </c>
      <c r="DS103" s="62" t="s">
        <v>5034</v>
      </c>
      <c r="DU103" s="62" t="s">
        <v>5034</v>
      </c>
      <c r="DV103" s="63">
        <v>45321</v>
      </c>
      <c r="DW103" s="64">
        <v>2024</v>
      </c>
      <c r="DX103" s="65">
        <v>1</v>
      </c>
    </row>
    <row r="104" spans="2:128" ht="15" x14ac:dyDescent="0.25">
      <c r="B104" s="43" t="s">
        <v>5022</v>
      </c>
      <c r="C104" s="43" t="s">
        <v>4862</v>
      </c>
      <c r="D104" s="43" t="s">
        <v>3527</v>
      </c>
      <c r="E104" s="49">
        <v>44763</v>
      </c>
      <c r="F104" s="49">
        <v>45699</v>
      </c>
      <c r="G104" s="50">
        <v>1</v>
      </c>
      <c r="H104" s="43" t="s">
        <v>4894</v>
      </c>
      <c r="I104" s="43" t="s">
        <v>5105</v>
      </c>
      <c r="J104" s="43"/>
      <c r="K104" s="43">
        <v>2</v>
      </c>
      <c r="L104" s="43">
        <v>3</v>
      </c>
      <c r="M104" s="43"/>
      <c r="N104" s="43"/>
      <c r="O104" s="43" t="s">
        <v>4725</v>
      </c>
      <c r="P104" s="43" t="s">
        <v>3526</v>
      </c>
      <c r="Q104" s="43" t="s">
        <v>5127</v>
      </c>
      <c r="R104" s="43" t="s">
        <v>5086</v>
      </c>
      <c r="S104" s="43" t="s">
        <v>5026</v>
      </c>
      <c r="T104" s="51" t="s">
        <v>5027</v>
      </c>
      <c r="U104" s="52" t="s">
        <v>5028</v>
      </c>
      <c r="V104" s="53" t="s">
        <v>3896</v>
      </c>
      <c r="W104" s="54" t="s">
        <v>5034</v>
      </c>
      <c r="X104" s="55" t="s">
        <v>5034</v>
      </c>
      <c r="AI104" s="54"/>
      <c r="AJ104" s="56" t="s">
        <v>5034</v>
      </c>
      <c r="AK104" s="57"/>
      <c r="AL104" s="57"/>
      <c r="AM104" s="57"/>
      <c r="AN104" s="57"/>
      <c r="AO104" s="57"/>
      <c r="AP104" s="57"/>
      <c r="AQ104" s="57"/>
      <c r="AR104" s="57"/>
      <c r="AS104" s="57"/>
      <c r="AT104" s="57"/>
      <c r="AU104" s="57"/>
      <c r="AV104" s="57"/>
      <c r="AW104" s="57"/>
      <c r="AX104" s="57"/>
      <c r="AY104" s="57"/>
      <c r="AZ104" s="57"/>
      <c r="BA104" s="57"/>
      <c r="BB104" s="57"/>
      <c r="BC104" s="58"/>
      <c r="BD104" s="55" t="s">
        <v>5034</v>
      </c>
      <c r="BO104" s="54"/>
      <c r="BP104" s="56" t="s">
        <v>5034</v>
      </c>
      <c r="BQ104" s="57"/>
      <c r="BR104" s="57"/>
      <c r="BS104" s="57"/>
      <c r="BT104" s="57"/>
      <c r="BU104" s="57"/>
      <c r="BV104" s="57"/>
      <c r="BW104" s="57"/>
      <c r="BX104" s="57"/>
      <c r="BY104" s="57"/>
      <c r="BZ104" s="57"/>
      <c r="CA104" s="57"/>
      <c r="CB104" s="56" t="s">
        <v>5034</v>
      </c>
      <c r="CC104" s="57"/>
      <c r="CD104" s="57"/>
      <c r="CE104" s="57"/>
      <c r="CF104" s="57"/>
      <c r="CG104" s="57"/>
      <c r="CH104" s="57"/>
      <c r="CI104" s="57"/>
      <c r="CJ104" s="57"/>
      <c r="CK104" s="57"/>
      <c r="CL104" s="57"/>
      <c r="CM104" s="57"/>
      <c r="CN104" s="56" t="s">
        <v>5034</v>
      </c>
      <c r="CO104" s="57"/>
      <c r="CP104" s="57"/>
      <c r="CQ104" s="57"/>
      <c r="CR104" s="57"/>
      <c r="CS104" s="57"/>
      <c r="CT104" s="57"/>
      <c r="CU104" s="57"/>
      <c r="CV104" s="57"/>
      <c r="CW104" s="57"/>
      <c r="CX104" s="57"/>
      <c r="CY104" s="57"/>
      <c r="CZ104" s="56" t="s">
        <v>5034</v>
      </c>
      <c r="DA104" s="57"/>
      <c r="DB104" s="57"/>
      <c r="DC104" s="57"/>
      <c r="DD104" s="57"/>
      <c r="DE104" s="57"/>
      <c r="DF104" s="57"/>
      <c r="DG104" s="57"/>
      <c r="DH104" s="57"/>
      <c r="DI104" s="57"/>
      <c r="DJ104" s="57"/>
      <c r="DK104" s="58"/>
      <c r="DL104" s="59">
        <v>0</v>
      </c>
      <c r="DM104" s="60">
        <v>0</v>
      </c>
      <c r="DN104" s="61">
        <v>0</v>
      </c>
      <c r="DO104" s="60">
        <v>0</v>
      </c>
      <c r="DP104" s="60">
        <v>0</v>
      </c>
      <c r="DQ104" s="59">
        <v>0</v>
      </c>
      <c r="DR104" s="62" t="s">
        <v>5034</v>
      </c>
      <c r="DS104" s="62" t="s">
        <v>5034</v>
      </c>
      <c r="DU104" s="62" t="s">
        <v>5034</v>
      </c>
      <c r="DV104" s="63">
        <v>45321</v>
      </c>
      <c r="DW104" s="64">
        <v>2024</v>
      </c>
      <c r="DX104" s="65">
        <v>1</v>
      </c>
    </row>
    <row r="105" spans="2:128" ht="15" x14ac:dyDescent="0.25">
      <c r="B105" s="43" t="s">
        <v>5022</v>
      </c>
      <c r="C105" s="43" t="s">
        <v>4862</v>
      </c>
      <c r="D105" s="43" t="s">
        <v>3536</v>
      </c>
      <c r="E105" s="49">
        <v>44768</v>
      </c>
      <c r="F105" s="49">
        <v>45699</v>
      </c>
      <c r="G105" s="50">
        <v>1</v>
      </c>
      <c r="H105" s="43" t="s">
        <v>4894</v>
      </c>
      <c r="I105" s="43" t="s">
        <v>5105</v>
      </c>
      <c r="J105" s="43"/>
      <c r="K105" s="43">
        <v>2</v>
      </c>
      <c r="L105" s="43">
        <v>3</v>
      </c>
      <c r="M105" s="43"/>
      <c r="N105" s="43"/>
      <c r="O105" s="43" t="s">
        <v>4725</v>
      </c>
      <c r="P105" s="43" t="s">
        <v>5024</v>
      </c>
      <c r="Q105" s="43" t="s">
        <v>5127</v>
      </c>
      <c r="R105" s="43" t="s">
        <v>5047</v>
      </c>
      <c r="S105" s="43" t="s">
        <v>5026</v>
      </c>
      <c r="T105" s="51" t="s">
        <v>5027</v>
      </c>
      <c r="U105" s="52" t="s">
        <v>5028</v>
      </c>
      <c r="V105" s="53" t="s">
        <v>3896</v>
      </c>
      <c r="W105" s="54" t="s">
        <v>5034</v>
      </c>
      <c r="X105" s="55" t="s">
        <v>5034</v>
      </c>
      <c r="AI105" s="54"/>
      <c r="AJ105" s="56" t="s">
        <v>5034</v>
      </c>
      <c r="AK105" s="57"/>
      <c r="AL105" s="57"/>
      <c r="AM105" s="57"/>
      <c r="AN105" s="57"/>
      <c r="AO105" s="57"/>
      <c r="AP105" s="57"/>
      <c r="AQ105" s="57"/>
      <c r="AR105" s="57"/>
      <c r="AS105" s="57"/>
      <c r="AT105" s="57"/>
      <c r="AU105" s="57"/>
      <c r="AV105" s="57"/>
      <c r="AW105" s="57"/>
      <c r="AX105" s="57"/>
      <c r="AY105" s="57"/>
      <c r="AZ105" s="57"/>
      <c r="BA105" s="57"/>
      <c r="BB105" s="57"/>
      <c r="BC105" s="58"/>
      <c r="BD105" s="55" t="s">
        <v>5034</v>
      </c>
      <c r="BO105" s="54"/>
      <c r="BP105" s="56" t="s">
        <v>5034</v>
      </c>
      <c r="BQ105" s="57"/>
      <c r="BR105" s="57"/>
      <c r="BS105" s="57"/>
      <c r="BT105" s="57"/>
      <c r="BU105" s="57"/>
      <c r="BV105" s="57"/>
      <c r="BW105" s="57"/>
      <c r="BX105" s="57"/>
      <c r="BY105" s="57"/>
      <c r="BZ105" s="57"/>
      <c r="CA105" s="57"/>
      <c r="CB105" s="56" t="s">
        <v>5034</v>
      </c>
      <c r="CC105" s="57"/>
      <c r="CD105" s="57"/>
      <c r="CE105" s="57"/>
      <c r="CF105" s="57"/>
      <c r="CG105" s="57"/>
      <c r="CH105" s="57"/>
      <c r="CI105" s="57"/>
      <c r="CJ105" s="57"/>
      <c r="CK105" s="57"/>
      <c r="CL105" s="57"/>
      <c r="CM105" s="57"/>
      <c r="CN105" s="56" t="s">
        <v>5034</v>
      </c>
      <c r="CO105" s="57"/>
      <c r="CP105" s="57"/>
      <c r="CQ105" s="57"/>
      <c r="CR105" s="57"/>
      <c r="CS105" s="57"/>
      <c r="CT105" s="57"/>
      <c r="CU105" s="57"/>
      <c r="CV105" s="57"/>
      <c r="CW105" s="57"/>
      <c r="CX105" s="57"/>
      <c r="CY105" s="57"/>
      <c r="CZ105" s="56" t="s">
        <v>5034</v>
      </c>
      <c r="DA105" s="57"/>
      <c r="DB105" s="57"/>
      <c r="DC105" s="57"/>
      <c r="DD105" s="57"/>
      <c r="DE105" s="57"/>
      <c r="DF105" s="57"/>
      <c r="DG105" s="57"/>
      <c r="DH105" s="57"/>
      <c r="DI105" s="57"/>
      <c r="DJ105" s="57"/>
      <c r="DK105" s="58"/>
      <c r="DL105" s="59">
        <v>0</v>
      </c>
      <c r="DM105" s="60">
        <v>0</v>
      </c>
      <c r="DN105" s="61">
        <v>0</v>
      </c>
      <c r="DO105" s="60">
        <v>0</v>
      </c>
      <c r="DP105" s="60">
        <v>0</v>
      </c>
      <c r="DQ105" s="59">
        <v>0</v>
      </c>
      <c r="DR105" s="62" t="s">
        <v>5034</v>
      </c>
      <c r="DS105" s="62" t="s">
        <v>5034</v>
      </c>
      <c r="DU105" s="62" t="s">
        <v>5034</v>
      </c>
      <c r="DV105" s="63">
        <v>45321</v>
      </c>
      <c r="DW105" s="64">
        <v>2024</v>
      </c>
      <c r="DX105" s="65">
        <v>1</v>
      </c>
    </row>
    <row r="106" spans="2:128" ht="15" x14ac:dyDescent="0.25">
      <c r="B106" s="43" t="s">
        <v>5022</v>
      </c>
      <c r="C106" s="43" t="s">
        <v>4862</v>
      </c>
      <c r="D106" s="43" t="s">
        <v>3518</v>
      </c>
      <c r="E106" s="49">
        <v>44768</v>
      </c>
      <c r="F106" s="49">
        <v>45699</v>
      </c>
      <c r="G106" s="50">
        <v>1</v>
      </c>
      <c r="H106" s="43" t="s">
        <v>4894</v>
      </c>
      <c r="I106" s="43" t="s">
        <v>5105</v>
      </c>
      <c r="J106" s="43"/>
      <c r="K106" s="43">
        <v>2</v>
      </c>
      <c r="L106" s="43">
        <v>3</v>
      </c>
      <c r="M106" s="43"/>
      <c r="N106" s="43"/>
      <c r="O106" s="43" t="s">
        <v>4725</v>
      </c>
      <c r="P106" s="43" t="s">
        <v>5024</v>
      </c>
      <c r="Q106" s="43" t="s">
        <v>5127</v>
      </c>
      <c r="R106" s="43" t="s">
        <v>5086</v>
      </c>
      <c r="S106" s="43" t="s">
        <v>5026</v>
      </c>
      <c r="T106" s="51" t="s">
        <v>5027</v>
      </c>
      <c r="U106" s="52" t="s">
        <v>5028</v>
      </c>
      <c r="V106" s="53" t="s">
        <v>3896</v>
      </c>
      <c r="W106" s="54" t="s">
        <v>5034</v>
      </c>
      <c r="X106" s="55" t="s">
        <v>5034</v>
      </c>
      <c r="AI106" s="54"/>
      <c r="AJ106" s="56" t="s">
        <v>5034</v>
      </c>
      <c r="AK106" s="57"/>
      <c r="AL106" s="57"/>
      <c r="AM106" s="57"/>
      <c r="AN106" s="57"/>
      <c r="AO106" s="57"/>
      <c r="AP106" s="57"/>
      <c r="AQ106" s="57"/>
      <c r="AR106" s="57"/>
      <c r="AS106" s="57"/>
      <c r="AT106" s="57"/>
      <c r="AU106" s="57"/>
      <c r="AV106" s="57"/>
      <c r="AW106" s="57"/>
      <c r="AX106" s="57"/>
      <c r="AY106" s="57"/>
      <c r="AZ106" s="57"/>
      <c r="BA106" s="57"/>
      <c r="BB106" s="57"/>
      <c r="BC106" s="58"/>
      <c r="BD106" s="55" t="s">
        <v>5034</v>
      </c>
      <c r="BO106" s="54"/>
      <c r="BP106" s="56" t="s">
        <v>5034</v>
      </c>
      <c r="BQ106" s="57"/>
      <c r="BR106" s="57"/>
      <c r="BS106" s="57"/>
      <c r="BT106" s="57"/>
      <c r="BU106" s="57"/>
      <c r="BV106" s="57"/>
      <c r="BW106" s="57"/>
      <c r="BX106" s="57"/>
      <c r="BY106" s="57"/>
      <c r="BZ106" s="57"/>
      <c r="CA106" s="57"/>
      <c r="CB106" s="56" t="s">
        <v>5034</v>
      </c>
      <c r="CC106" s="57"/>
      <c r="CD106" s="57"/>
      <c r="CE106" s="57"/>
      <c r="CF106" s="57"/>
      <c r="CG106" s="57"/>
      <c r="CH106" s="57"/>
      <c r="CI106" s="57"/>
      <c r="CJ106" s="57"/>
      <c r="CK106" s="57"/>
      <c r="CL106" s="57"/>
      <c r="CM106" s="57"/>
      <c r="CN106" s="56" t="s">
        <v>5034</v>
      </c>
      <c r="CO106" s="57"/>
      <c r="CP106" s="57"/>
      <c r="CQ106" s="57"/>
      <c r="CR106" s="57"/>
      <c r="CS106" s="57"/>
      <c r="CT106" s="57"/>
      <c r="CU106" s="57"/>
      <c r="CV106" s="57"/>
      <c r="CW106" s="57"/>
      <c r="CX106" s="57"/>
      <c r="CY106" s="57"/>
      <c r="CZ106" s="56" t="s">
        <v>5034</v>
      </c>
      <c r="DA106" s="57"/>
      <c r="DB106" s="57"/>
      <c r="DC106" s="57"/>
      <c r="DD106" s="57"/>
      <c r="DE106" s="57"/>
      <c r="DF106" s="57"/>
      <c r="DG106" s="57"/>
      <c r="DH106" s="57"/>
      <c r="DI106" s="57"/>
      <c r="DJ106" s="57"/>
      <c r="DK106" s="58"/>
      <c r="DL106" s="59">
        <v>0</v>
      </c>
      <c r="DM106" s="60">
        <v>0</v>
      </c>
      <c r="DN106" s="61">
        <v>0</v>
      </c>
      <c r="DO106" s="60">
        <v>0</v>
      </c>
      <c r="DP106" s="60">
        <v>0</v>
      </c>
      <c r="DQ106" s="59">
        <v>0</v>
      </c>
      <c r="DR106" s="62" t="s">
        <v>5034</v>
      </c>
      <c r="DS106" s="62" t="s">
        <v>5034</v>
      </c>
      <c r="DU106" s="62" t="s">
        <v>5034</v>
      </c>
      <c r="DV106" s="63">
        <v>45321</v>
      </c>
      <c r="DW106" s="64">
        <v>2024</v>
      </c>
      <c r="DX106" s="65">
        <v>1</v>
      </c>
    </row>
    <row r="107" spans="2:128" ht="15" x14ac:dyDescent="0.25">
      <c r="B107" s="43" t="s">
        <v>5022</v>
      </c>
      <c r="C107" s="43" t="s">
        <v>4862</v>
      </c>
      <c r="D107" s="43" t="s">
        <v>4063</v>
      </c>
      <c r="E107" s="49">
        <v>44775</v>
      </c>
      <c r="F107" s="49">
        <v>45699</v>
      </c>
      <c r="G107" s="50">
        <v>1</v>
      </c>
      <c r="H107" s="43" t="s">
        <v>4894</v>
      </c>
      <c r="I107" s="43" t="s">
        <v>5105</v>
      </c>
      <c r="J107" s="43"/>
      <c r="K107" s="43">
        <v>2</v>
      </c>
      <c r="L107" s="43">
        <v>3</v>
      </c>
      <c r="M107" s="43"/>
      <c r="N107" s="43"/>
      <c r="O107" s="43" t="s">
        <v>4725</v>
      </c>
      <c r="P107" s="43" t="s">
        <v>5024</v>
      </c>
      <c r="Q107" s="43" t="s">
        <v>5127</v>
      </c>
      <c r="R107" s="43" t="s">
        <v>5038</v>
      </c>
      <c r="S107" s="43" t="s">
        <v>5026</v>
      </c>
      <c r="T107" s="51" t="s">
        <v>5027</v>
      </c>
      <c r="U107" s="52" t="s">
        <v>5028</v>
      </c>
      <c r="V107" s="53" t="s">
        <v>3896</v>
      </c>
      <c r="W107" s="54" t="s">
        <v>5034</v>
      </c>
      <c r="X107" s="55" t="s">
        <v>5034</v>
      </c>
      <c r="AI107" s="54"/>
      <c r="AJ107" s="56" t="s">
        <v>5034</v>
      </c>
      <c r="AK107" s="57"/>
      <c r="AL107" s="57"/>
      <c r="AM107" s="57"/>
      <c r="AN107" s="57"/>
      <c r="AO107" s="57"/>
      <c r="AP107" s="57"/>
      <c r="AQ107" s="57"/>
      <c r="AR107" s="57"/>
      <c r="AS107" s="57"/>
      <c r="AT107" s="57"/>
      <c r="AU107" s="57"/>
      <c r="AV107" s="57"/>
      <c r="AW107" s="57"/>
      <c r="AX107" s="57"/>
      <c r="AY107" s="57"/>
      <c r="AZ107" s="57"/>
      <c r="BA107" s="57"/>
      <c r="BB107" s="57"/>
      <c r="BC107" s="58"/>
      <c r="BD107" s="55" t="s">
        <v>5034</v>
      </c>
      <c r="BO107" s="54"/>
      <c r="BP107" s="56" t="s">
        <v>5034</v>
      </c>
      <c r="BQ107" s="57"/>
      <c r="BR107" s="57"/>
      <c r="BS107" s="57"/>
      <c r="BT107" s="57"/>
      <c r="BU107" s="57"/>
      <c r="BV107" s="57"/>
      <c r="BW107" s="57"/>
      <c r="BX107" s="57"/>
      <c r="BY107" s="57"/>
      <c r="BZ107" s="57"/>
      <c r="CA107" s="57"/>
      <c r="CB107" s="56" t="s">
        <v>5034</v>
      </c>
      <c r="CC107" s="57"/>
      <c r="CD107" s="57"/>
      <c r="CE107" s="57"/>
      <c r="CF107" s="57"/>
      <c r="CG107" s="57"/>
      <c r="CH107" s="57"/>
      <c r="CI107" s="57"/>
      <c r="CJ107" s="57"/>
      <c r="CK107" s="57"/>
      <c r="CL107" s="57"/>
      <c r="CM107" s="57"/>
      <c r="CN107" s="56" t="s">
        <v>5034</v>
      </c>
      <c r="CO107" s="57"/>
      <c r="CP107" s="57"/>
      <c r="CQ107" s="57"/>
      <c r="CR107" s="57"/>
      <c r="CS107" s="57"/>
      <c r="CT107" s="57"/>
      <c r="CU107" s="57"/>
      <c r="CV107" s="57"/>
      <c r="CW107" s="57"/>
      <c r="CX107" s="57"/>
      <c r="CY107" s="57"/>
      <c r="CZ107" s="56" t="s">
        <v>5034</v>
      </c>
      <c r="DA107" s="57"/>
      <c r="DB107" s="57"/>
      <c r="DC107" s="57"/>
      <c r="DD107" s="57"/>
      <c r="DE107" s="57"/>
      <c r="DF107" s="57"/>
      <c r="DG107" s="57"/>
      <c r="DH107" s="57"/>
      <c r="DI107" s="57"/>
      <c r="DJ107" s="57"/>
      <c r="DK107" s="58"/>
      <c r="DL107" s="59">
        <v>0</v>
      </c>
      <c r="DM107" s="60">
        <v>0</v>
      </c>
      <c r="DN107" s="61">
        <v>0</v>
      </c>
      <c r="DO107" s="60">
        <v>0</v>
      </c>
      <c r="DP107" s="60">
        <v>0</v>
      </c>
      <c r="DQ107" s="59">
        <v>0</v>
      </c>
      <c r="DR107" s="62" t="s">
        <v>5034</v>
      </c>
      <c r="DS107" s="62" t="s">
        <v>5034</v>
      </c>
      <c r="DU107" s="62" t="s">
        <v>5034</v>
      </c>
      <c r="DV107" s="63">
        <v>45320</v>
      </c>
      <c r="DW107" s="64">
        <v>2024</v>
      </c>
      <c r="DX107" s="65">
        <v>1</v>
      </c>
    </row>
    <row r="108" spans="2:128" ht="15" x14ac:dyDescent="0.25">
      <c r="B108" s="43" t="s">
        <v>5022</v>
      </c>
      <c r="C108" s="43" t="s">
        <v>4862</v>
      </c>
      <c r="D108" s="43" t="s">
        <v>3500</v>
      </c>
      <c r="E108" s="49">
        <v>44775</v>
      </c>
      <c r="F108" s="49">
        <v>45699</v>
      </c>
      <c r="G108" s="50">
        <v>1</v>
      </c>
      <c r="H108" s="43" t="s">
        <v>4894</v>
      </c>
      <c r="I108" s="43" t="s">
        <v>5105</v>
      </c>
      <c r="J108" s="43"/>
      <c r="K108" s="43">
        <v>2</v>
      </c>
      <c r="L108" s="43">
        <v>3</v>
      </c>
      <c r="M108" s="43"/>
      <c r="N108" s="43"/>
      <c r="O108" s="43" t="s">
        <v>4725</v>
      </c>
      <c r="P108" s="43" t="s">
        <v>3499</v>
      </c>
      <c r="Q108" s="43" t="s">
        <v>5127</v>
      </c>
      <c r="R108" s="43" t="s">
        <v>5038</v>
      </c>
      <c r="S108" s="43" t="s">
        <v>5026</v>
      </c>
      <c r="T108" s="51" t="s">
        <v>5027</v>
      </c>
      <c r="U108" s="52" t="s">
        <v>5028</v>
      </c>
      <c r="V108" s="53" t="s">
        <v>3896</v>
      </c>
      <c r="W108" s="54" t="s">
        <v>5034</v>
      </c>
      <c r="X108" s="55" t="s">
        <v>5034</v>
      </c>
      <c r="AI108" s="54"/>
      <c r="AJ108" s="56" t="s">
        <v>5034</v>
      </c>
      <c r="AK108" s="57"/>
      <c r="AL108" s="57"/>
      <c r="AM108" s="57"/>
      <c r="AN108" s="57"/>
      <c r="AO108" s="57"/>
      <c r="AP108" s="57"/>
      <c r="AQ108" s="57"/>
      <c r="AR108" s="57"/>
      <c r="AS108" s="57"/>
      <c r="AT108" s="57"/>
      <c r="AU108" s="57"/>
      <c r="AV108" s="57"/>
      <c r="AW108" s="57"/>
      <c r="AX108" s="57"/>
      <c r="AY108" s="57"/>
      <c r="AZ108" s="57"/>
      <c r="BA108" s="57"/>
      <c r="BB108" s="57"/>
      <c r="BC108" s="58"/>
      <c r="BD108" s="55" t="s">
        <v>5034</v>
      </c>
      <c r="BO108" s="54"/>
      <c r="BP108" s="56" t="s">
        <v>5034</v>
      </c>
      <c r="BQ108" s="57"/>
      <c r="BR108" s="57"/>
      <c r="BS108" s="57"/>
      <c r="BT108" s="57"/>
      <c r="BU108" s="57"/>
      <c r="BV108" s="57"/>
      <c r="BW108" s="57"/>
      <c r="BX108" s="57"/>
      <c r="BY108" s="57"/>
      <c r="BZ108" s="57"/>
      <c r="CA108" s="57"/>
      <c r="CB108" s="56" t="s">
        <v>5034</v>
      </c>
      <c r="CC108" s="57"/>
      <c r="CD108" s="57"/>
      <c r="CE108" s="57"/>
      <c r="CF108" s="57"/>
      <c r="CG108" s="57"/>
      <c r="CH108" s="57"/>
      <c r="CI108" s="57"/>
      <c r="CJ108" s="57"/>
      <c r="CK108" s="57"/>
      <c r="CL108" s="57"/>
      <c r="CM108" s="57"/>
      <c r="CN108" s="56" t="s">
        <v>5034</v>
      </c>
      <c r="CO108" s="57"/>
      <c r="CP108" s="57"/>
      <c r="CQ108" s="57"/>
      <c r="CR108" s="57"/>
      <c r="CS108" s="57"/>
      <c r="CT108" s="57"/>
      <c r="CU108" s="57"/>
      <c r="CV108" s="57"/>
      <c r="CW108" s="57"/>
      <c r="CX108" s="57"/>
      <c r="CY108" s="57"/>
      <c r="CZ108" s="56" t="s">
        <v>5034</v>
      </c>
      <c r="DA108" s="57"/>
      <c r="DB108" s="57"/>
      <c r="DC108" s="57"/>
      <c r="DD108" s="57"/>
      <c r="DE108" s="57"/>
      <c r="DF108" s="57"/>
      <c r="DG108" s="57"/>
      <c r="DH108" s="57"/>
      <c r="DI108" s="57"/>
      <c r="DJ108" s="57"/>
      <c r="DK108" s="58"/>
      <c r="DL108" s="59">
        <v>0</v>
      </c>
      <c r="DM108" s="60">
        <v>0</v>
      </c>
      <c r="DN108" s="61">
        <v>0</v>
      </c>
      <c r="DO108" s="60">
        <v>0</v>
      </c>
      <c r="DP108" s="60">
        <v>0</v>
      </c>
      <c r="DQ108" s="59">
        <v>0</v>
      </c>
      <c r="DR108" s="62" t="s">
        <v>5034</v>
      </c>
      <c r="DS108" s="62" t="s">
        <v>5034</v>
      </c>
      <c r="DU108" s="62" t="s">
        <v>5034</v>
      </c>
      <c r="DV108" s="63">
        <v>45320</v>
      </c>
      <c r="DW108" s="64">
        <v>2024</v>
      </c>
      <c r="DX108" s="65">
        <v>1</v>
      </c>
    </row>
    <row r="109" spans="2:128" ht="15" x14ac:dyDescent="0.25">
      <c r="B109" s="43" t="s">
        <v>5022</v>
      </c>
      <c r="C109" s="43" t="s">
        <v>4825</v>
      </c>
      <c r="D109" s="43" t="s">
        <v>3491</v>
      </c>
      <c r="E109" s="49">
        <v>44845</v>
      </c>
      <c r="F109" s="49"/>
      <c r="G109" s="50">
        <v>5</v>
      </c>
      <c r="H109" s="43" t="s">
        <v>4887</v>
      </c>
      <c r="I109" s="43" t="s">
        <v>5023</v>
      </c>
      <c r="J109" s="43">
        <v>9</v>
      </c>
      <c r="K109" s="43">
        <v>2</v>
      </c>
      <c r="L109" s="43">
        <v>3</v>
      </c>
      <c r="M109" s="43"/>
      <c r="N109" s="43"/>
      <c r="O109" s="43" t="s">
        <v>5128</v>
      </c>
      <c r="P109" s="43" t="s">
        <v>5024</v>
      </c>
      <c r="Q109" s="43" t="s">
        <v>5129</v>
      </c>
      <c r="R109" s="43" t="s">
        <v>5047</v>
      </c>
      <c r="S109" s="43" t="s">
        <v>5026</v>
      </c>
      <c r="T109" s="51" t="s">
        <v>5027</v>
      </c>
      <c r="U109" s="52" t="s">
        <v>5028</v>
      </c>
      <c r="V109" s="53" t="s">
        <v>3884</v>
      </c>
      <c r="W109" s="54" t="s">
        <v>3490</v>
      </c>
      <c r="X109" s="55" t="s">
        <v>4886</v>
      </c>
      <c r="Y109" t="s">
        <v>4888</v>
      </c>
      <c r="Z109" t="s">
        <v>5130</v>
      </c>
      <c r="AA109" t="s">
        <v>5131</v>
      </c>
      <c r="AI109" s="54"/>
      <c r="AJ109" s="56">
        <v>45748</v>
      </c>
      <c r="AK109" s="57">
        <v>45749</v>
      </c>
      <c r="AL109" s="57">
        <v>45750</v>
      </c>
      <c r="AM109" s="57">
        <v>45751</v>
      </c>
      <c r="AN109" s="57">
        <v>45754</v>
      </c>
      <c r="AO109" s="57">
        <v>45839</v>
      </c>
      <c r="AP109" s="57">
        <v>45840</v>
      </c>
      <c r="AQ109" s="57">
        <v>45841</v>
      </c>
      <c r="AR109" s="57">
        <v>45842</v>
      </c>
      <c r="AS109" s="57">
        <v>45845</v>
      </c>
      <c r="AT109" s="57">
        <v>45931</v>
      </c>
      <c r="AU109" s="57">
        <v>45932</v>
      </c>
      <c r="AV109" s="57">
        <v>45933</v>
      </c>
      <c r="AW109" s="57">
        <v>45936</v>
      </c>
      <c r="AX109" s="57">
        <v>45937</v>
      </c>
      <c r="AY109" s="57">
        <v>46024</v>
      </c>
      <c r="AZ109" s="57">
        <v>46027</v>
      </c>
      <c r="BA109" s="57">
        <v>46028</v>
      </c>
      <c r="BB109" s="57">
        <v>46029</v>
      </c>
      <c r="BC109" s="58">
        <v>46030</v>
      </c>
      <c r="BD109" s="55" t="s">
        <v>5030</v>
      </c>
      <c r="BE109" t="s">
        <v>5031</v>
      </c>
      <c r="BF109" t="s">
        <v>5032</v>
      </c>
      <c r="BG109" t="s">
        <v>5033</v>
      </c>
      <c r="BO109" s="54"/>
      <c r="BP109" s="56">
        <v>45712</v>
      </c>
      <c r="BQ109" s="57">
        <v>45803</v>
      </c>
      <c r="BR109" s="57">
        <v>45894</v>
      </c>
      <c r="BS109" s="57">
        <v>45985</v>
      </c>
      <c r="BT109" s="57"/>
      <c r="BU109" s="57"/>
      <c r="BV109" s="57"/>
      <c r="BW109" s="57"/>
      <c r="BX109" s="57"/>
      <c r="BY109" s="57"/>
      <c r="BZ109" s="57"/>
      <c r="CA109" s="57"/>
      <c r="CB109" s="56">
        <v>45735</v>
      </c>
      <c r="CC109" s="57">
        <v>45826</v>
      </c>
      <c r="CD109" s="57">
        <v>45918</v>
      </c>
      <c r="CE109" s="57">
        <v>46009</v>
      </c>
      <c r="CF109" s="57"/>
      <c r="CG109" s="57"/>
      <c r="CH109" s="57"/>
      <c r="CI109" s="57"/>
      <c r="CJ109" s="57"/>
      <c r="CK109" s="57"/>
      <c r="CL109" s="57"/>
      <c r="CM109" s="57"/>
      <c r="CN109" s="56">
        <v>45744</v>
      </c>
      <c r="CO109" s="57">
        <v>45835</v>
      </c>
      <c r="CP109" s="57">
        <v>45929</v>
      </c>
      <c r="CQ109" s="57">
        <v>46021</v>
      </c>
      <c r="CR109" s="57"/>
      <c r="CS109" s="57"/>
      <c r="CT109" s="57"/>
      <c r="CU109" s="57"/>
      <c r="CV109" s="57"/>
      <c r="CW109" s="57"/>
      <c r="CX109" s="57"/>
      <c r="CY109" s="57"/>
      <c r="CZ109" s="56" t="s">
        <v>5034</v>
      </c>
      <c r="DA109" s="57"/>
      <c r="DB109" s="57"/>
      <c r="DC109" s="57"/>
      <c r="DD109" s="57"/>
      <c r="DE109" s="57"/>
      <c r="DF109" s="57"/>
      <c r="DG109" s="57"/>
      <c r="DH109" s="57"/>
      <c r="DI109" s="57"/>
      <c r="DJ109" s="57"/>
      <c r="DK109" s="58"/>
      <c r="DL109" s="59">
        <v>20</v>
      </c>
      <c r="DM109" s="60">
        <v>4</v>
      </c>
      <c r="DN109" s="61">
        <v>4</v>
      </c>
      <c r="DO109" s="60">
        <v>4</v>
      </c>
      <c r="DP109" s="60">
        <v>0</v>
      </c>
      <c r="DQ109" s="59">
        <v>32</v>
      </c>
      <c r="DR109" s="62">
        <v>1513</v>
      </c>
      <c r="DS109" s="62" t="s">
        <v>5034</v>
      </c>
      <c r="DU109" s="62" t="s">
        <v>5034</v>
      </c>
      <c r="DV109" s="63">
        <v>45028.344096863424</v>
      </c>
      <c r="DW109" s="64">
        <v>2023</v>
      </c>
      <c r="DX109" s="65">
        <v>4</v>
      </c>
    </row>
    <row r="110" spans="2:128" ht="15" x14ac:dyDescent="0.25">
      <c r="B110" s="43" t="s">
        <v>5022</v>
      </c>
      <c r="C110" s="43" t="s">
        <v>4862</v>
      </c>
      <c r="D110" s="43" t="s">
        <v>3461</v>
      </c>
      <c r="E110" s="49">
        <v>44881</v>
      </c>
      <c r="F110" s="49"/>
      <c r="G110" s="50">
        <v>1</v>
      </c>
      <c r="H110" s="43" t="s">
        <v>4890</v>
      </c>
      <c r="I110" s="43" t="s">
        <v>5102</v>
      </c>
      <c r="J110" s="43"/>
      <c r="K110" s="43">
        <v>2</v>
      </c>
      <c r="L110" s="43">
        <v>3</v>
      </c>
      <c r="M110" s="43"/>
      <c r="N110" s="43"/>
      <c r="O110" s="43" t="s">
        <v>5132</v>
      </c>
      <c r="P110" s="43" t="s">
        <v>5024</v>
      </c>
      <c r="Q110" s="43" t="s">
        <v>5133</v>
      </c>
      <c r="R110" s="43" t="s">
        <v>5047</v>
      </c>
      <c r="S110" s="43" t="s">
        <v>5026</v>
      </c>
      <c r="T110" s="51" t="s">
        <v>5027</v>
      </c>
      <c r="U110" s="52" t="s">
        <v>5028</v>
      </c>
      <c r="V110" s="53" t="s">
        <v>3884</v>
      </c>
      <c r="W110" s="54" t="s">
        <v>3460</v>
      </c>
      <c r="X110" s="55" t="s">
        <v>5048</v>
      </c>
      <c r="Y110" t="s">
        <v>4894</v>
      </c>
      <c r="Z110" t="s">
        <v>5049</v>
      </c>
      <c r="AA110" t="s">
        <v>4893</v>
      </c>
      <c r="AI110" s="54"/>
      <c r="AJ110" s="56">
        <v>45670</v>
      </c>
      <c r="AK110" s="57">
        <v>45761</v>
      </c>
      <c r="AL110" s="57">
        <v>45852</v>
      </c>
      <c r="AM110" s="57">
        <v>45943</v>
      </c>
      <c r="AN110" s="57"/>
      <c r="AO110" s="57"/>
      <c r="AP110" s="57"/>
      <c r="AQ110" s="57"/>
      <c r="AR110" s="57"/>
      <c r="AS110" s="57"/>
      <c r="AT110" s="57"/>
      <c r="AU110" s="57"/>
      <c r="AV110" s="57"/>
      <c r="AW110" s="57"/>
      <c r="AX110" s="57"/>
      <c r="AY110" s="57"/>
      <c r="AZ110" s="57"/>
      <c r="BA110" s="57"/>
      <c r="BB110" s="57"/>
      <c r="BC110" s="58"/>
      <c r="BD110" s="55" t="s">
        <v>5104</v>
      </c>
      <c r="BE110" t="s">
        <v>5105</v>
      </c>
      <c r="BF110" t="s">
        <v>5106</v>
      </c>
      <c r="BG110" t="s">
        <v>5107</v>
      </c>
      <c r="BO110" s="54"/>
      <c r="BP110" s="56">
        <v>45663</v>
      </c>
      <c r="BQ110" s="57">
        <v>45754</v>
      </c>
      <c r="BR110" s="57">
        <v>45845</v>
      </c>
      <c r="BS110" s="57">
        <v>45936</v>
      </c>
      <c r="BT110" s="57"/>
      <c r="BU110" s="57"/>
      <c r="BV110" s="57"/>
      <c r="BW110" s="57"/>
      <c r="BX110" s="57"/>
      <c r="BY110" s="57"/>
      <c r="BZ110" s="57"/>
      <c r="CA110" s="57"/>
      <c r="CB110" s="56" t="s">
        <v>5034</v>
      </c>
      <c r="CC110" s="57"/>
      <c r="CD110" s="57"/>
      <c r="CE110" s="57"/>
      <c r="CF110" s="57"/>
      <c r="CG110" s="57"/>
      <c r="CH110" s="57"/>
      <c r="CI110" s="57"/>
      <c r="CJ110" s="57"/>
      <c r="CK110" s="57"/>
      <c r="CL110" s="57"/>
      <c r="CM110" s="57"/>
      <c r="CN110" s="56">
        <v>45666</v>
      </c>
      <c r="CO110" s="57">
        <v>45757</v>
      </c>
      <c r="CP110" s="57">
        <v>45848</v>
      </c>
      <c r="CQ110" s="57">
        <v>45939</v>
      </c>
      <c r="CR110" s="57"/>
      <c r="CS110" s="57"/>
      <c r="CT110" s="57"/>
      <c r="CU110" s="57"/>
      <c r="CV110" s="57"/>
      <c r="CW110" s="57"/>
      <c r="CX110" s="57"/>
      <c r="CY110" s="57"/>
      <c r="CZ110" s="56" t="s">
        <v>5034</v>
      </c>
      <c r="DA110" s="57"/>
      <c r="DB110" s="57"/>
      <c r="DC110" s="57"/>
      <c r="DD110" s="57"/>
      <c r="DE110" s="57"/>
      <c r="DF110" s="57"/>
      <c r="DG110" s="57"/>
      <c r="DH110" s="57"/>
      <c r="DI110" s="57"/>
      <c r="DJ110" s="57"/>
      <c r="DK110" s="58"/>
      <c r="DL110" s="59">
        <v>4</v>
      </c>
      <c r="DM110" s="60">
        <v>4</v>
      </c>
      <c r="DN110" s="61">
        <v>0</v>
      </c>
      <c r="DO110" s="60">
        <v>4</v>
      </c>
      <c r="DP110" s="60">
        <v>0</v>
      </c>
      <c r="DQ110" s="59">
        <v>12</v>
      </c>
      <c r="DR110" s="62">
        <v>1557</v>
      </c>
      <c r="DS110" s="62" t="s">
        <v>5034</v>
      </c>
      <c r="DU110" s="62" t="s">
        <v>5034</v>
      </c>
      <c r="DV110" s="63">
        <v>45198.441839953703</v>
      </c>
      <c r="DW110" s="64">
        <v>2023</v>
      </c>
      <c r="DX110" s="65">
        <v>9</v>
      </c>
    </row>
    <row r="111" spans="2:128" ht="15" x14ac:dyDescent="0.25">
      <c r="B111" s="43" t="s">
        <v>5022</v>
      </c>
      <c r="C111" s="43" t="s">
        <v>4862</v>
      </c>
      <c r="D111" s="43" t="s">
        <v>3470</v>
      </c>
      <c r="E111" s="49">
        <v>44881</v>
      </c>
      <c r="F111" s="49"/>
      <c r="G111" s="50">
        <v>1</v>
      </c>
      <c r="H111" s="43" t="s">
        <v>4890</v>
      </c>
      <c r="I111" s="43" t="s">
        <v>5102</v>
      </c>
      <c r="J111" s="43"/>
      <c r="K111" s="43">
        <v>2</v>
      </c>
      <c r="L111" s="43">
        <v>3</v>
      </c>
      <c r="M111" s="43"/>
      <c r="N111" s="43"/>
      <c r="O111" s="43" t="s">
        <v>5132</v>
      </c>
      <c r="P111" s="43" t="s">
        <v>5024</v>
      </c>
      <c r="Q111" s="43" t="s">
        <v>5133</v>
      </c>
      <c r="R111" s="43" t="s">
        <v>5047</v>
      </c>
      <c r="S111" s="43" t="s">
        <v>5026</v>
      </c>
      <c r="T111" s="51" t="s">
        <v>5027</v>
      </c>
      <c r="U111" s="52" t="s">
        <v>5028</v>
      </c>
      <c r="V111" s="53" t="s">
        <v>3884</v>
      </c>
      <c r="W111" s="54" t="s">
        <v>3469</v>
      </c>
      <c r="X111" s="55" t="s">
        <v>5048</v>
      </c>
      <c r="Y111" t="s">
        <v>4894</v>
      </c>
      <c r="Z111" t="s">
        <v>5049</v>
      </c>
      <c r="AA111" t="s">
        <v>4893</v>
      </c>
      <c r="AI111" s="54"/>
      <c r="AJ111" s="56">
        <v>45670</v>
      </c>
      <c r="AK111" s="57">
        <v>45761</v>
      </c>
      <c r="AL111" s="57">
        <v>45852</v>
      </c>
      <c r="AM111" s="57">
        <v>45943</v>
      </c>
      <c r="AN111" s="57"/>
      <c r="AO111" s="57"/>
      <c r="AP111" s="57"/>
      <c r="AQ111" s="57"/>
      <c r="AR111" s="57"/>
      <c r="AS111" s="57"/>
      <c r="AT111" s="57"/>
      <c r="AU111" s="57"/>
      <c r="AV111" s="57"/>
      <c r="AW111" s="57"/>
      <c r="AX111" s="57"/>
      <c r="AY111" s="57"/>
      <c r="AZ111" s="57"/>
      <c r="BA111" s="57"/>
      <c r="BB111" s="57"/>
      <c r="BC111" s="58"/>
      <c r="BD111" s="55" t="s">
        <v>5104</v>
      </c>
      <c r="BE111" t="s">
        <v>5105</v>
      </c>
      <c r="BF111" t="s">
        <v>5106</v>
      </c>
      <c r="BG111" t="s">
        <v>5107</v>
      </c>
      <c r="BO111" s="54"/>
      <c r="BP111" s="56">
        <v>45663</v>
      </c>
      <c r="BQ111" s="57">
        <v>45754</v>
      </c>
      <c r="BR111" s="57">
        <v>45845</v>
      </c>
      <c r="BS111" s="57">
        <v>45936</v>
      </c>
      <c r="BT111" s="57"/>
      <c r="BU111" s="57"/>
      <c r="BV111" s="57"/>
      <c r="BW111" s="57"/>
      <c r="BX111" s="57"/>
      <c r="BY111" s="57"/>
      <c r="BZ111" s="57"/>
      <c r="CA111" s="57"/>
      <c r="CB111" s="56" t="s">
        <v>5034</v>
      </c>
      <c r="CC111" s="57"/>
      <c r="CD111" s="57"/>
      <c r="CE111" s="57"/>
      <c r="CF111" s="57"/>
      <c r="CG111" s="57"/>
      <c r="CH111" s="57"/>
      <c r="CI111" s="57"/>
      <c r="CJ111" s="57"/>
      <c r="CK111" s="57"/>
      <c r="CL111" s="57"/>
      <c r="CM111" s="57"/>
      <c r="CN111" s="56">
        <v>45666</v>
      </c>
      <c r="CO111" s="57">
        <v>45757</v>
      </c>
      <c r="CP111" s="57">
        <v>45848</v>
      </c>
      <c r="CQ111" s="57">
        <v>45939</v>
      </c>
      <c r="CR111" s="57"/>
      <c r="CS111" s="57"/>
      <c r="CT111" s="57"/>
      <c r="CU111" s="57"/>
      <c r="CV111" s="57"/>
      <c r="CW111" s="57"/>
      <c r="CX111" s="57"/>
      <c r="CY111" s="57"/>
      <c r="CZ111" s="56" t="s">
        <v>5034</v>
      </c>
      <c r="DA111" s="57"/>
      <c r="DB111" s="57"/>
      <c r="DC111" s="57"/>
      <c r="DD111" s="57"/>
      <c r="DE111" s="57"/>
      <c r="DF111" s="57"/>
      <c r="DG111" s="57"/>
      <c r="DH111" s="57"/>
      <c r="DI111" s="57"/>
      <c r="DJ111" s="57"/>
      <c r="DK111" s="58"/>
      <c r="DL111" s="59">
        <v>4</v>
      </c>
      <c r="DM111" s="60">
        <v>4</v>
      </c>
      <c r="DN111" s="61">
        <v>0</v>
      </c>
      <c r="DO111" s="60">
        <v>4</v>
      </c>
      <c r="DP111" s="60">
        <v>0</v>
      </c>
      <c r="DQ111" s="59">
        <v>12</v>
      </c>
      <c r="DR111" s="62">
        <v>1569</v>
      </c>
      <c r="DS111" s="62" t="s">
        <v>5034</v>
      </c>
      <c r="DU111" s="62" t="s">
        <v>5034</v>
      </c>
      <c r="DV111" s="63">
        <v>45198.443464999997</v>
      </c>
      <c r="DW111" s="64">
        <v>2023</v>
      </c>
      <c r="DX111" s="65">
        <v>9</v>
      </c>
    </row>
    <row r="112" spans="2:128" ht="15" x14ac:dyDescent="0.25">
      <c r="B112" s="43" t="s">
        <v>5022</v>
      </c>
      <c r="C112" s="43" t="s">
        <v>4863</v>
      </c>
      <c r="D112" s="43" t="s">
        <v>4864</v>
      </c>
      <c r="E112" s="49">
        <v>44901</v>
      </c>
      <c r="F112" s="49"/>
      <c r="G112" s="50">
        <v>1</v>
      </c>
      <c r="H112" s="43" t="s">
        <v>4798</v>
      </c>
      <c r="I112" s="43" t="s">
        <v>5023</v>
      </c>
      <c r="J112" s="43">
        <v>7</v>
      </c>
      <c r="K112" s="43">
        <v>2</v>
      </c>
      <c r="L112" s="43">
        <v>2</v>
      </c>
      <c r="M112" s="43"/>
      <c r="N112" s="43"/>
      <c r="O112" s="43" t="s">
        <v>5134</v>
      </c>
      <c r="P112" s="43" t="s">
        <v>5035</v>
      </c>
      <c r="Q112" s="43" t="s">
        <v>5135</v>
      </c>
      <c r="R112" s="43" t="s">
        <v>5038</v>
      </c>
      <c r="S112" s="43" t="s">
        <v>5026</v>
      </c>
      <c r="T112" s="51" t="s">
        <v>5027</v>
      </c>
      <c r="U112" s="52" t="s">
        <v>5028</v>
      </c>
      <c r="V112" s="53" t="s">
        <v>3884</v>
      </c>
      <c r="W112" s="54" t="s">
        <v>3448</v>
      </c>
      <c r="X112" s="55" t="s">
        <v>4889</v>
      </c>
      <c r="Y112" t="s">
        <v>4896</v>
      </c>
      <c r="Z112" t="s">
        <v>4800</v>
      </c>
      <c r="AA112" t="s">
        <v>4891</v>
      </c>
      <c r="AI112" s="54"/>
      <c r="AJ112" s="56">
        <v>45740</v>
      </c>
      <c r="AK112" s="57">
        <v>45831</v>
      </c>
      <c r="AL112" s="57">
        <v>45922</v>
      </c>
      <c r="AM112" s="57">
        <v>46013</v>
      </c>
      <c r="AN112" s="57"/>
      <c r="AO112" s="57"/>
      <c r="AP112" s="57"/>
      <c r="AQ112" s="57"/>
      <c r="AR112" s="57"/>
      <c r="AS112" s="57"/>
      <c r="AT112" s="57"/>
      <c r="AU112" s="57"/>
      <c r="AV112" s="57"/>
      <c r="AW112" s="57"/>
      <c r="AX112" s="57"/>
      <c r="AY112" s="57"/>
      <c r="AZ112" s="57"/>
      <c r="BA112" s="57"/>
      <c r="BB112" s="57"/>
      <c r="BC112" s="58"/>
      <c r="BD112" s="55" t="s">
        <v>5030</v>
      </c>
      <c r="BE112" t="s">
        <v>5031</v>
      </c>
      <c r="BF112" t="s">
        <v>5032</v>
      </c>
      <c r="BG112" t="s">
        <v>5033</v>
      </c>
      <c r="BO112" s="54"/>
      <c r="BP112" s="56">
        <v>45712</v>
      </c>
      <c r="BQ112" s="57">
        <v>45803</v>
      </c>
      <c r="BR112" s="57">
        <v>45894</v>
      </c>
      <c r="BS112" s="57">
        <v>45985</v>
      </c>
      <c r="BT112" s="57"/>
      <c r="BU112" s="57"/>
      <c r="BV112" s="57"/>
      <c r="BW112" s="57"/>
      <c r="BX112" s="57"/>
      <c r="BY112" s="57"/>
      <c r="BZ112" s="57"/>
      <c r="CA112" s="57"/>
      <c r="CB112" s="56">
        <v>45729</v>
      </c>
      <c r="CC112" s="57">
        <v>45820</v>
      </c>
      <c r="CD112" s="57">
        <v>45911</v>
      </c>
      <c r="CE112" s="57">
        <v>46002</v>
      </c>
      <c r="CF112" s="57"/>
      <c r="CG112" s="57"/>
      <c r="CH112" s="57"/>
      <c r="CI112" s="57"/>
      <c r="CJ112" s="57"/>
      <c r="CK112" s="57"/>
      <c r="CL112" s="57"/>
      <c r="CM112" s="57"/>
      <c r="CN112" s="56">
        <v>45736</v>
      </c>
      <c r="CO112" s="57">
        <v>45827</v>
      </c>
      <c r="CP112" s="57">
        <v>45918</v>
      </c>
      <c r="CQ112" s="57">
        <v>46009</v>
      </c>
      <c r="CR112" s="57"/>
      <c r="CS112" s="57"/>
      <c r="CT112" s="57"/>
      <c r="CU112" s="57"/>
      <c r="CV112" s="57"/>
      <c r="CW112" s="57"/>
      <c r="CX112" s="57"/>
      <c r="CY112" s="57"/>
      <c r="CZ112" s="56" t="s">
        <v>5034</v>
      </c>
      <c r="DA112" s="57"/>
      <c r="DB112" s="57"/>
      <c r="DC112" s="57"/>
      <c r="DD112" s="57"/>
      <c r="DE112" s="57"/>
      <c r="DF112" s="57"/>
      <c r="DG112" s="57"/>
      <c r="DH112" s="57"/>
      <c r="DI112" s="57"/>
      <c r="DJ112" s="57"/>
      <c r="DK112" s="58"/>
      <c r="DL112" s="59">
        <v>4</v>
      </c>
      <c r="DM112" s="60">
        <v>4</v>
      </c>
      <c r="DN112" s="61">
        <v>4</v>
      </c>
      <c r="DO112" s="60">
        <v>4</v>
      </c>
      <c r="DP112" s="60">
        <v>0</v>
      </c>
      <c r="DQ112" s="59">
        <v>16</v>
      </c>
      <c r="DR112" s="62">
        <v>1581</v>
      </c>
      <c r="DS112" s="62" t="s">
        <v>5034</v>
      </c>
      <c r="DU112" s="62" t="s">
        <v>5034</v>
      </c>
      <c r="DV112" s="63">
        <v>45229.588307280093</v>
      </c>
      <c r="DW112" s="64">
        <v>2023</v>
      </c>
      <c r="DX112" s="65">
        <v>10</v>
      </c>
    </row>
    <row r="113" spans="2:128" ht="15" x14ac:dyDescent="0.25">
      <c r="B113" s="43" t="s">
        <v>5022</v>
      </c>
      <c r="C113" s="43" t="s">
        <v>4855</v>
      </c>
      <c r="D113" s="43" t="s">
        <v>4779</v>
      </c>
      <c r="E113" s="49">
        <v>44944</v>
      </c>
      <c r="F113" s="49"/>
      <c r="G113" s="50">
        <v>1</v>
      </c>
      <c r="H113" s="43" t="s">
        <v>4798</v>
      </c>
      <c r="I113" s="43" t="s">
        <v>5023</v>
      </c>
      <c r="J113" s="43"/>
      <c r="K113" s="43">
        <v>2</v>
      </c>
      <c r="L113" s="43">
        <v>3</v>
      </c>
      <c r="M113" s="43"/>
      <c r="N113" s="43" t="s">
        <v>5090</v>
      </c>
      <c r="O113" s="43"/>
      <c r="P113" s="43" t="s">
        <v>2117</v>
      </c>
      <c r="Q113" s="43" t="s">
        <v>5136</v>
      </c>
      <c r="R113" s="43" t="s">
        <v>5086</v>
      </c>
      <c r="S113" s="43" t="s">
        <v>5026</v>
      </c>
      <c r="T113" s="51" t="s">
        <v>5027</v>
      </c>
      <c r="U113" s="52" t="s">
        <v>5028</v>
      </c>
      <c r="V113" s="53" t="s">
        <v>3884</v>
      </c>
      <c r="W113" s="54" t="s">
        <v>2117</v>
      </c>
      <c r="X113" s="55" t="s">
        <v>4889</v>
      </c>
      <c r="Y113" t="s">
        <v>4896</v>
      </c>
      <c r="Z113" t="s">
        <v>4800</v>
      </c>
      <c r="AA113" t="s">
        <v>4891</v>
      </c>
      <c r="AI113" s="54"/>
      <c r="AJ113" s="56">
        <v>45740</v>
      </c>
      <c r="AK113" s="57">
        <v>45831</v>
      </c>
      <c r="AL113" s="57">
        <v>45922</v>
      </c>
      <c r="AM113" s="57">
        <v>46013</v>
      </c>
      <c r="AN113" s="57"/>
      <c r="AO113" s="57"/>
      <c r="AP113" s="57"/>
      <c r="AQ113" s="57"/>
      <c r="AR113" s="57"/>
      <c r="AS113" s="57"/>
      <c r="AT113" s="57"/>
      <c r="AU113" s="57"/>
      <c r="AV113" s="57"/>
      <c r="AW113" s="57"/>
      <c r="AX113" s="57"/>
      <c r="AY113" s="57"/>
      <c r="AZ113" s="57"/>
      <c r="BA113" s="57"/>
      <c r="BB113" s="57"/>
      <c r="BC113" s="58"/>
      <c r="BD113" s="55" t="s">
        <v>5030</v>
      </c>
      <c r="BE113" t="s">
        <v>5031</v>
      </c>
      <c r="BF113" t="s">
        <v>5032</v>
      </c>
      <c r="BG113" t="s">
        <v>5033</v>
      </c>
      <c r="BO113" s="54"/>
      <c r="BP113" s="56">
        <v>45712</v>
      </c>
      <c r="BQ113" s="57">
        <v>45803</v>
      </c>
      <c r="BR113" s="57">
        <v>45894</v>
      </c>
      <c r="BS113" s="57">
        <v>45985</v>
      </c>
      <c r="BT113" s="57"/>
      <c r="BU113" s="57"/>
      <c r="BV113" s="57"/>
      <c r="BW113" s="57"/>
      <c r="BX113" s="57"/>
      <c r="BY113" s="57"/>
      <c r="BZ113" s="57"/>
      <c r="CA113" s="57"/>
      <c r="CB113" s="56" t="s">
        <v>5034</v>
      </c>
      <c r="CC113" s="57"/>
      <c r="CD113" s="57"/>
      <c r="CE113" s="57"/>
      <c r="CF113" s="57"/>
      <c r="CG113" s="57"/>
      <c r="CH113" s="57"/>
      <c r="CI113" s="57"/>
      <c r="CJ113" s="57"/>
      <c r="CK113" s="57"/>
      <c r="CL113" s="57"/>
      <c r="CM113" s="57"/>
      <c r="CN113" s="56">
        <v>45736</v>
      </c>
      <c r="CO113" s="57">
        <v>45827</v>
      </c>
      <c r="CP113" s="57">
        <v>45918</v>
      </c>
      <c r="CQ113" s="57">
        <v>46009</v>
      </c>
      <c r="CR113" s="57"/>
      <c r="CS113" s="57"/>
      <c r="CT113" s="57"/>
      <c r="CU113" s="57"/>
      <c r="CV113" s="57"/>
      <c r="CW113" s="57"/>
      <c r="CX113" s="57"/>
      <c r="CY113" s="57"/>
      <c r="CZ113" s="56" t="s">
        <v>5034</v>
      </c>
      <c r="DA113" s="57"/>
      <c r="DB113" s="57"/>
      <c r="DC113" s="57"/>
      <c r="DD113" s="57"/>
      <c r="DE113" s="57"/>
      <c r="DF113" s="57"/>
      <c r="DG113" s="57"/>
      <c r="DH113" s="57"/>
      <c r="DI113" s="57"/>
      <c r="DJ113" s="57"/>
      <c r="DK113" s="58"/>
      <c r="DL113" s="59">
        <v>4</v>
      </c>
      <c r="DM113" s="60">
        <v>4</v>
      </c>
      <c r="DN113" s="61">
        <v>0</v>
      </c>
      <c r="DO113" s="60">
        <v>4</v>
      </c>
      <c r="DP113" s="60">
        <v>0</v>
      </c>
      <c r="DQ113" s="59">
        <v>12</v>
      </c>
      <c r="DR113" s="62">
        <v>1597</v>
      </c>
      <c r="DS113" s="62" t="s">
        <v>5034</v>
      </c>
      <c r="DU113" s="62" t="s">
        <v>5034</v>
      </c>
      <c r="DV113" s="63">
        <v>44992.610355173609</v>
      </c>
      <c r="DW113" s="64">
        <v>2023</v>
      </c>
      <c r="DX113" s="65">
        <v>3</v>
      </c>
    </row>
    <row r="114" spans="2:128" ht="15" x14ac:dyDescent="0.25">
      <c r="B114" s="43" t="s">
        <v>5022</v>
      </c>
      <c r="C114" s="43" t="s">
        <v>4855</v>
      </c>
      <c r="D114" s="43" t="s">
        <v>4780</v>
      </c>
      <c r="E114" s="49">
        <v>44952</v>
      </c>
      <c r="F114" s="49"/>
      <c r="G114" s="50">
        <v>1</v>
      </c>
      <c r="H114" s="43" t="s">
        <v>4798</v>
      </c>
      <c r="I114" s="43" t="s">
        <v>5023</v>
      </c>
      <c r="J114" s="43"/>
      <c r="K114" s="43">
        <v>2</v>
      </c>
      <c r="L114" s="43">
        <v>3</v>
      </c>
      <c r="M114" s="43"/>
      <c r="N114" s="43" t="s">
        <v>5087</v>
      </c>
      <c r="O114" s="43"/>
      <c r="P114" s="43" t="s">
        <v>2090</v>
      </c>
      <c r="Q114" s="43" t="s">
        <v>5137</v>
      </c>
      <c r="R114" s="43" t="s">
        <v>5086</v>
      </c>
      <c r="S114" s="43" t="s">
        <v>5026</v>
      </c>
      <c r="T114" s="51" t="s">
        <v>5027</v>
      </c>
      <c r="U114" s="52" t="s">
        <v>5028</v>
      </c>
      <c r="V114" s="53" t="s">
        <v>3884</v>
      </c>
      <c r="W114" s="54" t="s">
        <v>2090</v>
      </c>
      <c r="X114" s="55" t="s">
        <v>4889</v>
      </c>
      <c r="Y114" t="s">
        <v>4896</v>
      </c>
      <c r="Z114" t="s">
        <v>4800</v>
      </c>
      <c r="AA114" t="s">
        <v>4891</v>
      </c>
      <c r="AI114" s="54"/>
      <c r="AJ114" s="56">
        <v>45740</v>
      </c>
      <c r="AK114" s="57">
        <v>45831</v>
      </c>
      <c r="AL114" s="57">
        <v>45922</v>
      </c>
      <c r="AM114" s="57">
        <v>46013</v>
      </c>
      <c r="AN114" s="57"/>
      <c r="AO114" s="57"/>
      <c r="AP114" s="57"/>
      <c r="AQ114" s="57"/>
      <c r="AR114" s="57"/>
      <c r="AS114" s="57"/>
      <c r="AT114" s="57"/>
      <c r="AU114" s="57"/>
      <c r="AV114" s="57"/>
      <c r="AW114" s="57"/>
      <c r="AX114" s="57"/>
      <c r="AY114" s="57"/>
      <c r="AZ114" s="57"/>
      <c r="BA114" s="57"/>
      <c r="BB114" s="57"/>
      <c r="BC114" s="58"/>
      <c r="BD114" s="55" t="s">
        <v>5030</v>
      </c>
      <c r="BE114" t="s">
        <v>5031</v>
      </c>
      <c r="BF114" t="s">
        <v>5032</v>
      </c>
      <c r="BG114" t="s">
        <v>5033</v>
      </c>
      <c r="BO114" s="54"/>
      <c r="BP114" s="56">
        <v>45712</v>
      </c>
      <c r="BQ114" s="57">
        <v>45803</v>
      </c>
      <c r="BR114" s="57">
        <v>45894</v>
      </c>
      <c r="BS114" s="57">
        <v>45985</v>
      </c>
      <c r="BT114" s="57"/>
      <c r="BU114" s="57"/>
      <c r="BV114" s="57"/>
      <c r="BW114" s="57"/>
      <c r="BX114" s="57"/>
      <c r="BY114" s="57"/>
      <c r="BZ114" s="57"/>
      <c r="CA114" s="57"/>
      <c r="CB114" s="56" t="s">
        <v>5034</v>
      </c>
      <c r="CC114" s="57"/>
      <c r="CD114" s="57"/>
      <c r="CE114" s="57"/>
      <c r="CF114" s="57"/>
      <c r="CG114" s="57"/>
      <c r="CH114" s="57"/>
      <c r="CI114" s="57"/>
      <c r="CJ114" s="57"/>
      <c r="CK114" s="57"/>
      <c r="CL114" s="57"/>
      <c r="CM114" s="57"/>
      <c r="CN114" s="56">
        <v>45736</v>
      </c>
      <c r="CO114" s="57">
        <v>45827</v>
      </c>
      <c r="CP114" s="57">
        <v>45918</v>
      </c>
      <c r="CQ114" s="57">
        <v>46009</v>
      </c>
      <c r="CR114" s="57"/>
      <c r="CS114" s="57"/>
      <c r="CT114" s="57"/>
      <c r="CU114" s="57"/>
      <c r="CV114" s="57"/>
      <c r="CW114" s="57"/>
      <c r="CX114" s="57"/>
      <c r="CY114" s="57"/>
      <c r="CZ114" s="56" t="s">
        <v>5034</v>
      </c>
      <c r="DA114" s="57"/>
      <c r="DB114" s="57"/>
      <c r="DC114" s="57"/>
      <c r="DD114" s="57"/>
      <c r="DE114" s="57"/>
      <c r="DF114" s="57"/>
      <c r="DG114" s="57"/>
      <c r="DH114" s="57"/>
      <c r="DI114" s="57"/>
      <c r="DJ114" s="57"/>
      <c r="DK114" s="58"/>
      <c r="DL114" s="59">
        <v>4</v>
      </c>
      <c r="DM114" s="60">
        <v>4</v>
      </c>
      <c r="DN114" s="61">
        <v>0</v>
      </c>
      <c r="DO114" s="60">
        <v>4</v>
      </c>
      <c r="DP114" s="60">
        <v>0</v>
      </c>
      <c r="DQ114" s="59">
        <v>12</v>
      </c>
      <c r="DR114" s="62">
        <v>1633</v>
      </c>
      <c r="DS114" s="62" t="s">
        <v>5034</v>
      </c>
      <c r="DU114" s="62" t="s">
        <v>5034</v>
      </c>
      <c r="DV114" s="63">
        <v>44992.613278935183</v>
      </c>
      <c r="DW114" s="64">
        <v>2023</v>
      </c>
      <c r="DX114" s="65">
        <v>3</v>
      </c>
    </row>
    <row r="115" spans="2:128" ht="15" x14ac:dyDescent="0.25">
      <c r="B115" s="43" t="s">
        <v>5022</v>
      </c>
      <c r="C115" s="43" t="s">
        <v>4802</v>
      </c>
      <c r="D115" s="43" t="s">
        <v>3437</v>
      </c>
      <c r="E115" s="49">
        <v>44987</v>
      </c>
      <c r="F115" s="49"/>
      <c r="G115" s="50">
        <v>5</v>
      </c>
      <c r="H115" s="43" t="s">
        <v>4889</v>
      </c>
      <c r="I115" s="43" t="s">
        <v>5030</v>
      </c>
      <c r="J115" s="43"/>
      <c r="K115" s="43">
        <v>2</v>
      </c>
      <c r="L115" s="43">
        <v>3</v>
      </c>
      <c r="M115" s="43"/>
      <c r="N115" s="43"/>
      <c r="O115" s="43" t="s">
        <v>5059</v>
      </c>
      <c r="P115" s="43" t="s">
        <v>5024</v>
      </c>
      <c r="Q115" s="43" t="s">
        <v>5138</v>
      </c>
      <c r="R115" s="43" t="s">
        <v>5081</v>
      </c>
      <c r="S115" s="43" t="s">
        <v>5026</v>
      </c>
      <c r="T115" s="51" t="s">
        <v>5027</v>
      </c>
      <c r="U115" s="52" t="s">
        <v>5028</v>
      </c>
      <c r="V115" s="53" t="s">
        <v>3884</v>
      </c>
      <c r="W115" s="54" t="s">
        <v>3436</v>
      </c>
      <c r="X115" s="55" t="s">
        <v>4889</v>
      </c>
      <c r="AI115" s="54"/>
      <c r="AJ115" s="56">
        <v>45740</v>
      </c>
      <c r="AK115" s="57">
        <v>45741</v>
      </c>
      <c r="AL115" s="57">
        <v>45742</v>
      </c>
      <c r="AM115" s="57">
        <v>45743</v>
      </c>
      <c r="AN115" s="57">
        <v>45744</v>
      </c>
      <c r="AO115" s="57"/>
      <c r="AP115" s="57"/>
      <c r="AQ115" s="57"/>
      <c r="AR115" s="57"/>
      <c r="AS115" s="57"/>
      <c r="AT115" s="57"/>
      <c r="AU115" s="57"/>
      <c r="AV115" s="57"/>
      <c r="AW115" s="57"/>
      <c r="AX115" s="57"/>
      <c r="AY115" s="57"/>
      <c r="AZ115" s="57"/>
      <c r="BA115" s="57"/>
      <c r="BB115" s="57"/>
      <c r="BC115" s="58"/>
      <c r="BD115" s="55" t="s">
        <v>5030</v>
      </c>
      <c r="BO115" s="54"/>
      <c r="BP115" s="56">
        <v>45712</v>
      </c>
      <c r="BQ115" s="57"/>
      <c r="BR115" s="57"/>
      <c r="BS115" s="57"/>
      <c r="BT115" s="57"/>
      <c r="BU115" s="57"/>
      <c r="BV115" s="57"/>
      <c r="BW115" s="57"/>
      <c r="BX115" s="57"/>
      <c r="BY115" s="57"/>
      <c r="BZ115" s="57"/>
      <c r="CA115" s="57"/>
      <c r="CB115" s="56" t="s">
        <v>5034</v>
      </c>
      <c r="CC115" s="57"/>
      <c r="CD115" s="57"/>
      <c r="CE115" s="57"/>
      <c r="CF115" s="57"/>
      <c r="CG115" s="57"/>
      <c r="CH115" s="57"/>
      <c r="CI115" s="57"/>
      <c r="CJ115" s="57"/>
      <c r="CK115" s="57"/>
      <c r="CL115" s="57"/>
      <c r="CM115" s="57"/>
      <c r="CN115" s="56">
        <v>45736</v>
      </c>
      <c r="CO115" s="57"/>
      <c r="CP115" s="57"/>
      <c r="CQ115" s="57"/>
      <c r="CR115" s="57"/>
      <c r="CS115" s="57"/>
      <c r="CT115" s="57"/>
      <c r="CU115" s="57"/>
      <c r="CV115" s="57"/>
      <c r="CW115" s="57"/>
      <c r="CX115" s="57"/>
      <c r="CY115" s="57"/>
      <c r="CZ115" s="56" t="s">
        <v>5034</v>
      </c>
      <c r="DA115" s="57"/>
      <c r="DB115" s="57"/>
      <c r="DC115" s="57"/>
      <c r="DD115" s="57"/>
      <c r="DE115" s="57"/>
      <c r="DF115" s="57"/>
      <c r="DG115" s="57"/>
      <c r="DH115" s="57"/>
      <c r="DI115" s="57"/>
      <c r="DJ115" s="57"/>
      <c r="DK115" s="58"/>
      <c r="DL115" s="59">
        <v>5</v>
      </c>
      <c r="DM115" s="60">
        <v>1</v>
      </c>
      <c r="DN115" s="61">
        <v>0</v>
      </c>
      <c r="DO115" s="60">
        <v>1</v>
      </c>
      <c r="DP115" s="60">
        <v>0</v>
      </c>
      <c r="DQ115" s="59">
        <v>7</v>
      </c>
      <c r="DR115" s="62">
        <v>1661</v>
      </c>
      <c r="DS115" s="62" t="s">
        <v>5034</v>
      </c>
      <c r="DU115" s="62" t="s">
        <v>5034</v>
      </c>
      <c r="DV115" s="63">
        <v>45362</v>
      </c>
      <c r="DW115" s="64">
        <v>2024</v>
      </c>
      <c r="DX115" s="65">
        <v>3</v>
      </c>
    </row>
    <row r="116" spans="2:128" ht="15" x14ac:dyDescent="0.25">
      <c r="B116" s="43" t="s">
        <v>5022</v>
      </c>
      <c r="C116" s="43" t="s">
        <v>4863</v>
      </c>
      <c r="D116" s="43" t="s">
        <v>4865</v>
      </c>
      <c r="E116" s="49">
        <v>45040</v>
      </c>
      <c r="F116" s="49"/>
      <c r="G116" s="50">
        <v>1</v>
      </c>
      <c r="H116" s="43" t="s">
        <v>4798</v>
      </c>
      <c r="I116" s="43" t="s">
        <v>5023</v>
      </c>
      <c r="J116" s="43">
        <v>7</v>
      </c>
      <c r="K116" s="43">
        <v>2</v>
      </c>
      <c r="L116" s="43">
        <v>2</v>
      </c>
      <c r="M116" s="43"/>
      <c r="N116" s="43"/>
      <c r="O116" s="43" t="s">
        <v>5134</v>
      </c>
      <c r="P116" s="43" t="s">
        <v>5024</v>
      </c>
      <c r="Q116" s="43" t="s">
        <v>5139</v>
      </c>
      <c r="R116" s="43" t="s">
        <v>5038</v>
      </c>
      <c r="S116" s="43" t="s">
        <v>5026</v>
      </c>
      <c r="T116" s="51" t="s">
        <v>5027</v>
      </c>
      <c r="U116" s="52" t="s">
        <v>5028</v>
      </c>
      <c r="V116" s="53" t="s">
        <v>3884</v>
      </c>
      <c r="W116" s="54" t="s">
        <v>3394</v>
      </c>
      <c r="X116" s="55" t="s">
        <v>4889</v>
      </c>
      <c r="Y116" t="s">
        <v>4896</v>
      </c>
      <c r="Z116" t="s">
        <v>4800</v>
      </c>
      <c r="AA116" t="s">
        <v>4891</v>
      </c>
      <c r="AI116" s="54"/>
      <c r="AJ116" s="56">
        <v>45740</v>
      </c>
      <c r="AK116" s="57">
        <v>45831</v>
      </c>
      <c r="AL116" s="57">
        <v>45922</v>
      </c>
      <c r="AM116" s="57">
        <v>46013</v>
      </c>
      <c r="AN116" s="57"/>
      <c r="AO116" s="57"/>
      <c r="AP116" s="57"/>
      <c r="AQ116" s="57"/>
      <c r="AR116" s="57"/>
      <c r="AS116" s="57"/>
      <c r="AT116" s="57"/>
      <c r="AU116" s="57"/>
      <c r="AV116" s="57"/>
      <c r="AW116" s="57"/>
      <c r="AX116" s="57"/>
      <c r="AY116" s="57"/>
      <c r="AZ116" s="57"/>
      <c r="BA116" s="57"/>
      <c r="BB116" s="57"/>
      <c r="BC116" s="58"/>
      <c r="BD116" s="55" t="s">
        <v>5030</v>
      </c>
      <c r="BE116" t="s">
        <v>5031</v>
      </c>
      <c r="BF116" t="s">
        <v>5032</v>
      </c>
      <c r="BG116" t="s">
        <v>5033</v>
      </c>
      <c r="BO116" s="54"/>
      <c r="BP116" s="56">
        <v>45712</v>
      </c>
      <c r="BQ116" s="57">
        <v>45803</v>
      </c>
      <c r="BR116" s="57">
        <v>45894</v>
      </c>
      <c r="BS116" s="57">
        <v>45985</v>
      </c>
      <c r="BT116" s="57"/>
      <c r="BU116" s="57"/>
      <c r="BV116" s="57"/>
      <c r="BW116" s="57"/>
      <c r="BX116" s="57"/>
      <c r="BY116" s="57"/>
      <c r="BZ116" s="57"/>
      <c r="CA116" s="57"/>
      <c r="CB116" s="56">
        <v>45729</v>
      </c>
      <c r="CC116" s="57">
        <v>45820</v>
      </c>
      <c r="CD116" s="57">
        <v>45911</v>
      </c>
      <c r="CE116" s="57">
        <v>46002</v>
      </c>
      <c r="CF116" s="57"/>
      <c r="CG116" s="57"/>
      <c r="CH116" s="57"/>
      <c r="CI116" s="57"/>
      <c r="CJ116" s="57"/>
      <c r="CK116" s="57"/>
      <c r="CL116" s="57"/>
      <c r="CM116" s="57"/>
      <c r="CN116" s="56">
        <v>45736</v>
      </c>
      <c r="CO116" s="57">
        <v>45827</v>
      </c>
      <c r="CP116" s="57">
        <v>45918</v>
      </c>
      <c r="CQ116" s="57">
        <v>46009</v>
      </c>
      <c r="CR116" s="57"/>
      <c r="CS116" s="57"/>
      <c r="CT116" s="57"/>
      <c r="CU116" s="57"/>
      <c r="CV116" s="57"/>
      <c r="CW116" s="57"/>
      <c r="CX116" s="57"/>
      <c r="CY116" s="57"/>
      <c r="CZ116" s="56" t="s">
        <v>5034</v>
      </c>
      <c r="DA116" s="57"/>
      <c r="DB116" s="57"/>
      <c r="DC116" s="57"/>
      <c r="DD116" s="57"/>
      <c r="DE116" s="57"/>
      <c r="DF116" s="57"/>
      <c r="DG116" s="57"/>
      <c r="DH116" s="57"/>
      <c r="DI116" s="57"/>
      <c r="DJ116" s="57"/>
      <c r="DK116" s="58"/>
      <c r="DL116" s="59">
        <v>4</v>
      </c>
      <c r="DM116" s="60">
        <v>4</v>
      </c>
      <c r="DN116" s="61">
        <v>4</v>
      </c>
      <c r="DO116" s="60">
        <v>4</v>
      </c>
      <c r="DP116" s="60">
        <v>0</v>
      </c>
      <c r="DQ116" s="59">
        <v>16</v>
      </c>
      <c r="DR116" s="62">
        <v>1668</v>
      </c>
      <c r="DS116" s="62" t="s">
        <v>5034</v>
      </c>
      <c r="DU116" s="62" t="s">
        <v>5034</v>
      </c>
      <c r="DV116" s="63">
        <v>45168.565546631944</v>
      </c>
      <c r="DW116" s="64">
        <v>2023</v>
      </c>
      <c r="DX116" s="65">
        <v>8</v>
      </c>
    </row>
    <row r="117" spans="2:128" ht="15" x14ac:dyDescent="0.25">
      <c r="B117" s="43" t="s">
        <v>5022</v>
      </c>
      <c r="C117" s="43" t="s">
        <v>4863</v>
      </c>
      <c r="D117" s="43" t="s">
        <v>4137</v>
      </c>
      <c r="E117" s="49">
        <v>45040</v>
      </c>
      <c r="F117" s="49"/>
      <c r="G117" s="50">
        <v>1</v>
      </c>
      <c r="H117" s="43" t="s">
        <v>4798</v>
      </c>
      <c r="I117" s="43" t="s">
        <v>5023</v>
      </c>
      <c r="J117" s="43">
        <v>7</v>
      </c>
      <c r="K117" s="43">
        <v>2</v>
      </c>
      <c r="L117" s="43">
        <v>2</v>
      </c>
      <c r="M117" s="43"/>
      <c r="N117" s="43"/>
      <c r="O117" s="43" t="s">
        <v>5134</v>
      </c>
      <c r="P117" s="43" t="s">
        <v>5024</v>
      </c>
      <c r="Q117" s="43" t="s">
        <v>5093</v>
      </c>
      <c r="R117" s="43" t="s">
        <v>5038</v>
      </c>
      <c r="S117" s="43" t="s">
        <v>5026</v>
      </c>
      <c r="T117" s="51" t="s">
        <v>5027</v>
      </c>
      <c r="U117" s="52" t="s">
        <v>5028</v>
      </c>
      <c r="V117" s="53" t="s">
        <v>3884</v>
      </c>
      <c r="W117" s="54" t="s">
        <v>3421</v>
      </c>
      <c r="X117" s="55" t="s">
        <v>4889</v>
      </c>
      <c r="Y117" t="s">
        <v>4896</v>
      </c>
      <c r="Z117" t="s">
        <v>4800</v>
      </c>
      <c r="AA117" t="s">
        <v>4891</v>
      </c>
      <c r="AI117" s="54"/>
      <c r="AJ117" s="56">
        <v>45740</v>
      </c>
      <c r="AK117" s="57">
        <v>45831</v>
      </c>
      <c r="AL117" s="57">
        <v>45922</v>
      </c>
      <c r="AM117" s="57">
        <v>46013</v>
      </c>
      <c r="AN117" s="57"/>
      <c r="AO117" s="57"/>
      <c r="AP117" s="57"/>
      <c r="AQ117" s="57"/>
      <c r="AR117" s="57"/>
      <c r="AS117" s="57"/>
      <c r="AT117" s="57"/>
      <c r="AU117" s="57"/>
      <c r="AV117" s="57"/>
      <c r="AW117" s="57"/>
      <c r="AX117" s="57"/>
      <c r="AY117" s="57"/>
      <c r="AZ117" s="57"/>
      <c r="BA117" s="57"/>
      <c r="BB117" s="57"/>
      <c r="BC117" s="58"/>
      <c r="BD117" s="55" t="s">
        <v>5030</v>
      </c>
      <c r="BE117" t="s">
        <v>5031</v>
      </c>
      <c r="BF117" t="s">
        <v>5032</v>
      </c>
      <c r="BG117" t="s">
        <v>5033</v>
      </c>
      <c r="BO117" s="54"/>
      <c r="BP117" s="56">
        <v>45712</v>
      </c>
      <c r="BQ117" s="57">
        <v>45803</v>
      </c>
      <c r="BR117" s="57">
        <v>45894</v>
      </c>
      <c r="BS117" s="57">
        <v>45985</v>
      </c>
      <c r="BT117" s="57"/>
      <c r="BU117" s="57"/>
      <c r="BV117" s="57"/>
      <c r="BW117" s="57"/>
      <c r="BX117" s="57"/>
      <c r="BY117" s="57"/>
      <c r="BZ117" s="57"/>
      <c r="CA117" s="57"/>
      <c r="CB117" s="56">
        <v>45729</v>
      </c>
      <c r="CC117" s="57">
        <v>45820</v>
      </c>
      <c r="CD117" s="57">
        <v>45911</v>
      </c>
      <c r="CE117" s="57">
        <v>46002</v>
      </c>
      <c r="CF117" s="57"/>
      <c r="CG117" s="57"/>
      <c r="CH117" s="57"/>
      <c r="CI117" s="57"/>
      <c r="CJ117" s="57"/>
      <c r="CK117" s="57"/>
      <c r="CL117" s="57"/>
      <c r="CM117" s="57"/>
      <c r="CN117" s="56">
        <v>45736</v>
      </c>
      <c r="CO117" s="57">
        <v>45827</v>
      </c>
      <c r="CP117" s="57">
        <v>45918</v>
      </c>
      <c r="CQ117" s="57">
        <v>46009</v>
      </c>
      <c r="CR117" s="57"/>
      <c r="CS117" s="57"/>
      <c r="CT117" s="57"/>
      <c r="CU117" s="57"/>
      <c r="CV117" s="57"/>
      <c r="CW117" s="57"/>
      <c r="CX117" s="57"/>
      <c r="CY117" s="57"/>
      <c r="CZ117" s="56" t="s">
        <v>5034</v>
      </c>
      <c r="DA117" s="57"/>
      <c r="DB117" s="57"/>
      <c r="DC117" s="57"/>
      <c r="DD117" s="57"/>
      <c r="DE117" s="57"/>
      <c r="DF117" s="57"/>
      <c r="DG117" s="57"/>
      <c r="DH117" s="57"/>
      <c r="DI117" s="57"/>
      <c r="DJ117" s="57"/>
      <c r="DK117" s="58"/>
      <c r="DL117" s="59">
        <v>4</v>
      </c>
      <c r="DM117" s="60">
        <v>4</v>
      </c>
      <c r="DN117" s="61">
        <v>4</v>
      </c>
      <c r="DO117" s="60">
        <v>4</v>
      </c>
      <c r="DP117" s="60">
        <v>0</v>
      </c>
      <c r="DQ117" s="59">
        <v>16</v>
      </c>
      <c r="DR117" s="62">
        <v>1684</v>
      </c>
      <c r="DS117" s="62" t="s">
        <v>5034</v>
      </c>
      <c r="DU117" s="62" t="s">
        <v>5034</v>
      </c>
      <c r="DV117" s="63">
        <v>45169.315542928241</v>
      </c>
      <c r="DW117" s="64">
        <v>2023</v>
      </c>
      <c r="DX117" s="65">
        <v>8</v>
      </c>
    </row>
    <row r="118" spans="2:128" ht="15" x14ac:dyDescent="0.25">
      <c r="B118" s="43" t="s">
        <v>5022</v>
      </c>
      <c r="C118" s="43" t="s">
        <v>4802</v>
      </c>
      <c r="D118" s="43" t="s">
        <v>3021</v>
      </c>
      <c r="E118" s="49">
        <v>45070</v>
      </c>
      <c r="F118" s="49"/>
      <c r="G118" s="50">
        <v>1</v>
      </c>
      <c r="H118" s="43" t="s">
        <v>4889</v>
      </c>
      <c r="I118" s="43" t="s">
        <v>5030</v>
      </c>
      <c r="J118" s="43">
        <v>6</v>
      </c>
      <c r="K118" s="43">
        <v>2</v>
      </c>
      <c r="L118" s="43">
        <v>2</v>
      </c>
      <c r="M118" s="43"/>
      <c r="N118" s="43"/>
      <c r="O118" s="43" t="s">
        <v>5140</v>
      </c>
      <c r="P118" s="43" t="s">
        <v>3020</v>
      </c>
      <c r="Q118" s="43"/>
      <c r="R118" s="43" t="s">
        <v>5045</v>
      </c>
      <c r="S118" s="43" t="s">
        <v>5026</v>
      </c>
      <c r="T118" s="51" t="s">
        <v>5027</v>
      </c>
      <c r="U118" s="52" t="s">
        <v>5028</v>
      </c>
      <c r="V118" s="53" t="s">
        <v>3884</v>
      </c>
      <c r="W118" s="54" t="s">
        <v>3020</v>
      </c>
      <c r="X118" s="55" t="s">
        <v>4889</v>
      </c>
      <c r="AI118" s="54"/>
      <c r="AJ118" s="56">
        <v>45740</v>
      </c>
      <c r="AK118" s="57"/>
      <c r="AL118" s="57"/>
      <c r="AM118" s="57"/>
      <c r="AN118" s="57"/>
      <c r="AO118" s="57"/>
      <c r="AP118" s="57"/>
      <c r="AQ118" s="57"/>
      <c r="AR118" s="57"/>
      <c r="AS118" s="57"/>
      <c r="AT118" s="57"/>
      <c r="AU118" s="57"/>
      <c r="AV118" s="57"/>
      <c r="AW118" s="57"/>
      <c r="AX118" s="57"/>
      <c r="AY118" s="57"/>
      <c r="AZ118" s="57"/>
      <c r="BA118" s="57"/>
      <c r="BB118" s="57"/>
      <c r="BC118" s="58"/>
      <c r="BD118" s="55" t="s">
        <v>5030</v>
      </c>
      <c r="BO118" s="54"/>
      <c r="BP118" s="56">
        <v>45712</v>
      </c>
      <c r="BQ118" s="57"/>
      <c r="BR118" s="57"/>
      <c r="BS118" s="57"/>
      <c r="BT118" s="57"/>
      <c r="BU118" s="57"/>
      <c r="BV118" s="57"/>
      <c r="BW118" s="57"/>
      <c r="BX118" s="57"/>
      <c r="BY118" s="57"/>
      <c r="BZ118" s="57"/>
      <c r="CA118" s="57"/>
      <c r="CB118" s="56">
        <v>45730</v>
      </c>
      <c r="CC118" s="57"/>
      <c r="CD118" s="57"/>
      <c r="CE118" s="57"/>
      <c r="CF118" s="57"/>
      <c r="CG118" s="57"/>
      <c r="CH118" s="57"/>
      <c r="CI118" s="57"/>
      <c r="CJ118" s="57"/>
      <c r="CK118" s="57"/>
      <c r="CL118" s="57"/>
      <c r="CM118" s="57"/>
      <c r="CN118" s="56">
        <v>45736</v>
      </c>
      <c r="CO118" s="57"/>
      <c r="CP118" s="57"/>
      <c r="CQ118" s="57"/>
      <c r="CR118" s="57"/>
      <c r="CS118" s="57"/>
      <c r="CT118" s="57"/>
      <c r="CU118" s="57"/>
      <c r="CV118" s="57"/>
      <c r="CW118" s="57"/>
      <c r="CX118" s="57"/>
      <c r="CY118" s="57"/>
      <c r="CZ118" s="56" t="s">
        <v>5034</v>
      </c>
      <c r="DA118" s="57"/>
      <c r="DB118" s="57"/>
      <c r="DC118" s="57"/>
      <c r="DD118" s="57"/>
      <c r="DE118" s="57"/>
      <c r="DF118" s="57"/>
      <c r="DG118" s="57"/>
      <c r="DH118" s="57"/>
      <c r="DI118" s="57"/>
      <c r="DJ118" s="57"/>
      <c r="DK118" s="58"/>
      <c r="DL118" s="59">
        <v>1</v>
      </c>
      <c r="DM118" s="60">
        <v>1</v>
      </c>
      <c r="DN118" s="61">
        <v>1</v>
      </c>
      <c r="DO118" s="60">
        <v>1</v>
      </c>
      <c r="DP118" s="60">
        <v>0</v>
      </c>
      <c r="DQ118" s="59">
        <v>4</v>
      </c>
      <c r="DR118" s="62">
        <v>1700</v>
      </c>
      <c r="DS118" s="62" t="s">
        <v>5034</v>
      </c>
      <c r="DU118" s="62" t="s">
        <v>5034</v>
      </c>
      <c r="DV118" s="63">
        <v>45495</v>
      </c>
      <c r="DW118" s="64">
        <v>2024</v>
      </c>
      <c r="DX118" s="65">
        <v>7</v>
      </c>
    </row>
    <row r="119" spans="2:128" ht="15" x14ac:dyDescent="0.25">
      <c r="B119" s="43" t="s">
        <v>5022</v>
      </c>
      <c r="C119" s="43" t="s">
        <v>4860</v>
      </c>
      <c r="D119" s="43" t="s">
        <v>4866</v>
      </c>
      <c r="E119" s="49">
        <v>45149</v>
      </c>
      <c r="F119" s="49"/>
      <c r="G119" s="50">
        <v>1</v>
      </c>
      <c r="H119" s="43" t="s">
        <v>4896</v>
      </c>
      <c r="I119" s="43" t="s">
        <v>5031</v>
      </c>
      <c r="J119" s="43"/>
      <c r="K119" s="43">
        <v>2</v>
      </c>
      <c r="L119" s="43">
        <v>3</v>
      </c>
      <c r="M119" s="43"/>
      <c r="N119" s="43"/>
      <c r="O119" s="43" t="s">
        <v>5141</v>
      </c>
      <c r="P119" s="43" t="s">
        <v>3359</v>
      </c>
      <c r="Q119" s="43"/>
      <c r="R119" s="43" t="s">
        <v>5081</v>
      </c>
      <c r="S119" s="43" t="s">
        <v>5026</v>
      </c>
      <c r="T119" s="51" t="s">
        <v>5027</v>
      </c>
      <c r="U119" s="52" t="s">
        <v>5028</v>
      </c>
      <c r="V119" s="53" t="s">
        <v>3884</v>
      </c>
      <c r="W119" s="54" t="s">
        <v>3359</v>
      </c>
      <c r="X119" s="55" t="s">
        <v>4896</v>
      </c>
      <c r="AI119" s="54"/>
      <c r="AJ119" s="56">
        <v>45831</v>
      </c>
      <c r="AK119" s="57"/>
      <c r="AL119" s="57"/>
      <c r="AM119" s="57"/>
      <c r="AN119" s="57"/>
      <c r="AO119" s="57"/>
      <c r="AP119" s="57"/>
      <c r="AQ119" s="57"/>
      <c r="AR119" s="57"/>
      <c r="AS119" s="57"/>
      <c r="AT119" s="57"/>
      <c r="AU119" s="57"/>
      <c r="AV119" s="57"/>
      <c r="AW119" s="57"/>
      <c r="AX119" s="57"/>
      <c r="AY119" s="57"/>
      <c r="AZ119" s="57"/>
      <c r="BA119" s="57"/>
      <c r="BB119" s="57"/>
      <c r="BC119" s="58"/>
      <c r="BD119" s="55" t="s">
        <v>5031</v>
      </c>
      <c r="BO119" s="54"/>
      <c r="BP119" s="56">
        <v>45803</v>
      </c>
      <c r="BQ119" s="57"/>
      <c r="BR119" s="57"/>
      <c r="BS119" s="57"/>
      <c r="BT119" s="57"/>
      <c r="BU119" s="57"/>
      <c r="BV119" s="57"/>
      <c r="BW119" s="57"/>
      <c r="BX119" s="57"/>
      <c r="BY119" s="57"/>
      <c r="BZ119" s="57"/>
      <c r="CA119" s="57"/>
      <c r="CB119" s="56" t="s">
        <v>5034</v>
      </c>
      <c r="CC119" s="57"/>
      <c r="CD119" s="57"/>
      <c r="CE119" s="57"/>
      <c r="CF119" s="57"/>
      <c r="CG119" s="57"/>
      <c r="CH119" s="57"/>
      <c r="CI119" s="57"/>
      <c r="CJ119" s="57"/>
      <c r="CK119" s="57"/>
      <c r="CL119" s="57"/>
      <c r="CM119" s="57"/>
      <c r="CN119" s="56">
        <v>45827</v>
      </c>
      <c r="CO119" s="57"/>
      <c r="CP119" s="57"/>
      <c r="CQ119" s="57"/>
      <c r="CR119" s="57"/>
      <c r="CS119" s="57"/>
      <c r="CT119" s="57"/>
      <c r="CU119" s="57"/>
      <c r="CV119" s="57"/>
      <c r="CW119" s="57"/>
      <c r="CX119" s="57"/>
      <c r="CY119" s="57"/>
      <c r="CZ119" s="56" t="s">
        <v>5034</v>
      </c>
      <c r="DA119" s="57"/>
      <c r="DB119" s="57"/>
      <c r="DC119" s="57"/>
      <c r="DD119" s="57"/>
      <c r="DE119" s="57"/>
      <c r="DF119" s="57"/>
      <c r="DG119" s="57"/>
      <c r="DH119" s="57"/>
      <c r="DI119" s="57"/>
      <c r="DJ119" s="57"/>
      <c r="DK119" s="58"/>
      <c r="DL119" s="59">
        <v>1</v>
      </c>
      <c r="DM119" s="60">
        <v>1</v>
      </c>
      <c r="DN119" s="61">
        <v>0</v>
      </c>
      <c r="DO119" s="60">
        <v>1</v>
      </c>
      <c r="DP119" s="60">
        <v>0</v>
      </c>
      <c r="DQ119" s="59">
        <v>3</v>
      </c>
      <c r="DR119" s="62">
        <v>1704</v>
      </c>
      <c r="DS119" s="62" t="s">
        <v>5034</v>
      </c>
      <c r="DU119" s="62" t="s">
        <v>5034</v>
      </c>
      <c r="DV119" s="63">
        <v>45406</v>
      </c>
      <c r="DW119" s="64">
        <v>2024</v>
      </c>
      <c r="DX119" s="65">
        <v>4</v>
      </c>
    </row>
    <row r="120" spans="2:128" ht="15" x14ac:dyDescent="0.25">
      <c r="B120" s="43" t="s">
        <v>5022</v>
      </c>
      <c r="C120" s="43" t="s">
        <v>4860</v>
      </c>
      <c r="D120" s="43" t="s">
        <v>4867</v>
      </c>
      <c r="E120" s="49">
        <v>45149</v>
      </c>
      <c r="F120" s="49"/>
      <c r="G120" s="50">
        <v>1</v>
      </c>
      <c r="H120" s="43" t="s">
        <v>4896</v>
      </c>
      <c r="I120" s="43" t="s">
        <v>5031</v>
      </c>
      <c r="J120" s="43"/>
      <c r="K120" s="43">
        <v>2</v>
      </c>
      <c r="L120" s="43">
        <v>3</v>
      </c>
      <c r="M120" s="43"/>
      <c r="N120" s="43"/>
      <c r="O120" s="43" t="s">
        <v>5141</v>
      </c>
      <c r="P120" s="43" t="s">
        <v>3350</v>
      </c>
      <c r="Q120" s="43"/>
      <c r="R120" s="43" t="s">
        <v>5081</v>
      </c>
      <c r="S120" s="43" t="s">
        <v>5026</v>
      </c>
      <c r="T120" s="51" t="s">
        <v>5027</v>
      </c>
      <c r="U120" s="52" t="s">
        <v>5028</v>
      </c>
      <c r="V120" s="53" t="s">
        <v>3884</v>
      </c>
      <c r="W120" s="54" t="s">
        <v>3350</v>
      </c>
      <c r="X120" s="55" t="s">
        <v>4896</v>
      </c>
      <c r="AI120" s="54"/>
      <c r="AJ120" s="56">
        <v>45831</v>
      </c>
      <c r="AK120" s="57"/>
      <c r="AL120" s="57"/>
      <c r="AM120" s="57"/>
      <c r="AN120" s="57"/>
      <c r="AO120" s="57"/>
      <c r="AP120" s="57"/>
      <c r="AQ120" s="57"/>
      <c r="AR120" s="57"/>
      <c r="AS120" s="57"/>
      <c r="AT120" s="57"/>
      <c r="AU120" s="57"/>
      <c r="AV120" s="57"/>
      <c r="AW120" s="57"/>
      <c r="AX120" s="57"/>
      <c r="AY120" s="57"/>
      <c r="AZ120" s="57"/>
      <c r="BA120" s="57"/>
      <c r="BB120" s="57"/>
      <c r="BC120" s="58"/>
      <c r="BD120" s="55" t="s">
        <v>5031</v>
      </c>
      <c r="BO120" s="54"/>
      <c r="BP120" s="56">
        <v>45803</v>
      </c>
      <c r="BQ120" s="57"/>
      <c r="BR120" s="57"/>
      <c r="BS120" s="57"/>
      <c r="BT120" s="57"/>
      <c r="BU120" s="57"/>
      <c r="BV120" s="57"/>
      <c r="BW120" s="57"/>
      <c r="BX120" s="57"/>
      <c r="BY120" s="57"/>
      <c r="BZ120" s="57"/>
      <c r="CA120" s="57"/>
      <c r="CB120" s="56" t="s">
        <v>5034</v>
      </c>
      <c r="CC120" s="57"/>
      <c r="CD120" s="57"/>
      <c r="CE120" s="57"/>
      <c r="CF120" s="57"/>
      <c r="CG120" s="57"/>
      <c r="CH120" s="57"/>
      <c r="CI120" s="57"/>
      <c r="CJ120" s="57"/>
      <c r="CK120" s="57"/>
      <c r="CL120" s="57"/>
      <c r="CM120" s="57"/>
      <c r="CN120" s="56">
        <v>45827</v>
      </c>
      <c r="CO120" s="57"/>
      <c r="CP120" s="57"/>
      <c r="CQ120" s="57"/>
      <c r="CR120" s="57"/>
      <c r="CS120" s="57"/>
      <c r="CT120" s="57"/>
      <c r="CU120" s="57"/>
      <c r="CV120" s="57"/>
      <c r="CW120" s="57"/>
      <c r="CX120" s="57"/>
      <c r="CY120" s="57"/>
      <c r="CZ120" s="56" t="s">
        <v>5034</v>
      </c>
      <c r="DA120" s="57"/>
      <c r="DB120" s="57"/>
      <c r="DC120" s="57"/>
      <c r="DD120" s="57"/>
      <c r="DE120" s="57"/>
      <c r="DF120" s="57"/>
      <c r="DG120" s="57"/>
      <c r="DH120" s="57"/>
      <c r="DI120" s="57"/>
      <c r="DJ120" s="57"/>
      <c r="DK120" s="58"/>
      <c r="DL120" s="59">
        <v>1</v>
      </c>
      <c r="DM120" s="60">
        <v>1</v>
      </c>
      <c r="DN120" s="61">
        <v>0</v>
      </c>
      <c r="DO120" s="60">
        <v>1</v>
      </c>
      <c r="DP120" s="60">
        <v>0</v>
      </c>
      <c r="DQ120" s="59">
        <v>3</v>
      </c>
      <c r="DR120" s="62">
        <v>1707</v>
      </c>
      <c r="DS120" s="62" t="s">
        <v>5034</v>
      </c>
      <c r="DU120" s="62" t="s">
        <v>5034</v>
      </c>
      <c r="DV120" s="63">
        <v>45406</v>
      </c>
      <c r="DW120" s="64">
        <v>2024</v>
      </c>
      <c r="DX120" s="65">
        <v>4</v>
      </c>
    </row>
    <row r="121" spans="2:128" ht="15" x14ac:dyDescent="0.25">
      <c r="B121" s="43" t="s">
        <v>5022</v>
      </c>
      <c r="C121" s="43" t="s">
        <v>4859</v>
      </c>
      <c r="D121" s="43" t="s">
        <v>4868</v>
      </c>
      <c r="E121" s="49">
        <v>45153</v>
      </c>
      <c r="F121" s="49"/>
      <c r="G121" s="50">
        <v>1</v>
      </c>
      <c r="H121" s="43" t="s">
        <v>4798</v>
      </c>
      <c r="I121" s="43" t="s">
        <v>5023</v>
      </c>
      <c r="J121" s="43"/>
      <c r="K121" s="43">
        <v>2</v>
      </c>
      <c r="L121" s="43">
        <v>3</v>
      </c>
      <c r="M121" s="43"/>
      <c r="N121" s="43"/>
      <c r="O121" s="43" t="s">
        <v>5059</v>
      </c>
      <c r="P121" s="43" t="s">
        <v>5024</v>
      </c>
      <c r="Q121" s="43"/>
      <c r="R121" s="43" t="s">
        <v>5098</v>
      </c>
      <c r="S121" s="43" t="s">
        <v>5026</v>
      </c>
      <c r="T121" s="51" t="s">
        <v>5027</v>
      </c>
      <c r="U121" s="52" t="s">
        <v>5028</v>
      </c>
      <c r="V121" s="53" t="s">
        <v>3884</v>
      </c>
      <c r="W121" s="54" t="s">
        <v>3341</v>
      </c>
      <c r="X121" s="55" t="s">
        <v>4889</v>
      </c>
      <c r="Y121" t="s">
        <v>4896</v>
      </c>
      <c r="Z121" t="s">
        <v>4800</v>
      </c>
      <c r="AA121" t="s">
        <v>4891</v>
      </c>
      <c r="AI121" s="54"/>
      <c r="AJ121" s="56">
        <v>45740</v>
      </c>
      <c r="AK121" s="57">
        <v>45831</v>
      </c>
      <c r="AL121" s="57">
        <v>45922</v>
      </c>
      <c r="AM121" s="57">
        <v>46013</v>
      </c>
      <c r="AN121" s="57"/>
      <c r="AO121" s="57"/>
      <c r="AP121" s="57"/>
      <c r="AQ121" s="57"/>
      <c r="AR121" s="57"/>
      <c r="AS121" s="57"/>
      <c r="AT121" s="57"/>
      <c r="AU121" s="57"/>
      <c r="AV121" s="57"/>
      <c r="AW121" s="57"/>
      <c r="AX121" s="57"/>
      <c r="AY121" s="57"/>
      <c r="AZ121" s="57"/>
      <c r="BA121" s="57"/>
      <c r="BB121" s="57"/>
      <c r="BC121" s="58"/>
      <c r="BD121" s="55" t="s">
        <v>5030</v>
      </c>
      <c r="BE121" t="s">
        <v>5031</v>
      </c>
      <c r="BF121" t="s">
        <v>5032</v>
      </c>
      <c r="BG121" t="s">
        <v>5033</v>
      </c>
      <c r="BO121" s="54"/>
      <c r="BP121" s="56">
        <v>45712</v>
      </c>
      <c r="BQ121" s="57">
        <v>45803</v>
      </c>
      <c r="BR121" s="57">
        <v>45894</v>
      </c>
      <c r="BS121" s="57">
        <v>45985</v>
      </c>
      <c r="BT121" s="57"/>
      <c r="BU121" s="57"/>
      <c r="BV121" s="57"/>
      <c r="BW121" s="57"/>
      <c r="BX121" s="57"/>
      <c r="BY121" s="57"/>
      <c r="BZ121" s="57"/>
      <c r="CA121" s="57"/>
      <c r="CB121" s="56" t="s">
        <v>5034</v>
      </c>
      <c r="CC121" s="57"/>
      <c r="CD121" s="57"/>
      <c r="CE121" s="57"/>
      <c r="CF121" s="57"/>
      <c r="CG121" s="57"/>
      <c r="CH121" s="57"/>
      <c r="CI121" s="57"/>
      <c r="CJ121" s="57"/>
      <c r="CK121" s="57"/>
      <c r="CL121" s="57"/>
      <c r="CM121" s="57"/>
      <c r="CN121" s="56">
        <v>45736</v>
      </c>
      <c r="CO121" s="57">
        <v>45827</v>
      </c>
      <c r="CP121" s="57">
        <v>45918</v>
      </c>
      <c r="CQ121" s="57">
        <v>46009</v>
      </c>
      <c r="CR121" s="57"/>
      <c r="CS121" s="57"/>
      <c r="CT121" s="57"/>
      <c r="CU121" s="57"/>
      <c r="CV121" s="57"/>
      <c r="CW121" s="57"/>
      <c r="CX121" s="57"/>
      <c r="CY121" s="57"/>
      <c r="CZ121" s="56" t="s">
        <v>5034</v>
      </c>
      <c r="DA121" s="57"/>
      <c r="DB121" s="57"/>
      <c r="DC121" s="57"/>
      <c r="DD121" s="57"/>
      <c r="DE121" s="57"/>
      <c r="DF121" s="57"/>
      <c r="DG121" s="57"/>
      <c r="DH121" s="57"/>
      <c r="DI121" s="57"/>
      <c r="DJ121" s="57"/>
      <c r="DK121" s="58"/>
      <c r="DL121" s="59">
        <v>4</v>
      </c>
      <c r="DM121" s="60">
        <v>4</v>
      </c>
      <c r="DN121" s="61">
        <v>0</v>
      </c>
      <c r="DO121" s="60">
        <v>4</v>
      </c>
      <c r="DP121" s="60">
        <v>0</v>
      </c>
      <c r="DQ121" s="59">
        <v>12</v>
      </c>
      <c r="DR121" s="62">
        <v>1710</v>
      </c>
      <c r="DS121" s="62" t="s">
        <v>5034</v>
      </c>
      <c r="DU121" s="62" t="s">
        <v>5034</v>
      </c>
      <c r="DV121" s="63">
        <v>45169.374536435185</v>
      </c>
      <c r="DW121" s="64">
        <v>2023</v>
      </c>
      <c r="DX121" s="65">
        <v>8</v>
      </c>
    </row>
    <row r="122" spans="2:128" ht="15" x14ac:dyDescent="0.25">
      <c r="B122" s="43" t="s">
        <v>5022</v>
      </c>
      <c r="C122" s="43" t="s">
        <v>4802</v>
      </c>
      <c r="D122" s="43" t="s">
        <v>4869</v>
      </c>
      <c r="E122" s="49">
        <v>45156</v>
      </c>
      <c r="F122" s="49"/>
      <c r="G122" s="50">
        <v>1</v>
      </c>
      <c r="H122" s="43" t="s">
        <v>4896</v>
      </c>
      <c r="I122" s="43" t="s">
        <v>5031</v>
      </c>
      <c r="J122" s="43">
        <v>7</v>
      </c>
      <c r="K122" s="43">
        <v>2</v>
      </c>
      <c r="L122" s="43">
        <v>3</v>
      </c>
      <c r="M122" s="43"/>
      <c r="N122" s="43"/>
      <c r="O122" s="43" t="s">
        <v>5119</v>
      </c>
      <c r="P122" s="43" t="s">
        <v>2990</v>
      </c>
      <c r="Q122" s="43"/>
      <c r="R122" s="43" t="s">
        <v>5047</v>
      </c>
      <c r="S122" s="43" t="s">
        <v>5026</v>
      </c>
      <c r="T122" s="51" t="s">
        <v>5027</v>
      </c>
      <c r="U122" s="52" t="s">
        <v>5028</v>
      </c>
      <c r="V122" s="53" t="s">
        <v>3884</v>
      </c>
      <c r="W122" s="54" t="s">
        <v>2990</v>
      </c>
      <c r="X122" s="55" t="s">
        <v>4896</v>
      </c>
      <c r="AI122" s="54"/>
      <c r="AJ122" s="56">
        <v>45831</v>
      </c>
      <c r="AK122" s="57"/>
      <c r="AL122" s="57"/>
      <c r="AM122" s="57"/>
      <c r="AN122" s="57"/>
      <c r="AO122" s="57"/>
      <c r="AP122" s="57"/>
      <c r="AQ122" s="57"/>
      <c r="AR122" s="57"/>
      <c r="AS122" s="57"/>
      <c r="AT122" s="57"/>
      <c r="AU122" s="57"/>
      <c r="AV122" s="57"/>
      <c r="AW122" s="57"/>
      <c r="AX122" s="57"/>
      <c r="AY122" s="57"/>
      <c r="AZ122" s="57"/>
      <c r="BA122" s="57"/>
      <c r="BB122" s="57"/>
      <c r="BC122" s="58"/>
      <c r="BD122" s="55" t="s">
        <v>5031</v>
      </c>
      <c r="BO122" s="54"/>
      <c r="BP122" s="56">
        <v>45803</v>
      </c>
      <c r="BQ122" s="57"/>
      <c r="BR122" s="57"/>
      <c r="BS122" s="57"/>
      <c r="BT122" s="57"/>
      <c r="BU122" s="57"/>
      <c r="BV122" s="57"/>
      <c r="BW122" s="57"/>
      <c r="BX122" s="57"/>
      <c r="BY122" s="57"/>
      <c r="BZ122" s="57"/>
      <c r="CA122" s="57"/>
      <c r="CB122" s="56">
        <v>45820</v>
      </c>
      <c r="CC122" s="57"/>
      <c r="CD122" s="57"/>
      <c r="CE122" s="57"/>
      <c r="CF122" s="57"/>
      <c r="CG122" s="57"/>
      <c r="CH122" s="57"/>
      <c r="CI122" s="57"/>
      <c r="CJ122" s="57"/>
      <c r="CK122" s="57"/>
      <c r="CL122" s="57"/>
      <c r="CM122" s="57"/>
      <c r="CN122" s="56">
        <v>45827</v>
      </c>
      <c r="CO122" s="57"/>
      <c r="CP122" s="57"/>
      <c r="CQ122" s="57"/>
      <c r="CR122" s="57"/>
      <c r="CS122" s="57"/>
      <c r="CT122" s="57"/>
      <c r="CU122" s="57"/>
      <c r="CV122" s="57"/>
      <c r="CW122" s="57"/>
      <c r="CX122" s="57"/>
      <c r="CY122" s="57"/>
      <c r="CZ122" s="56" t="s">
        <v>5034</v>
      </c>
      <c r="DA122" s="57"/>
      <c r="DB122" s="57"/>
      <c r="DC122" s="57"/>
      <c r="DD122" s="57"/>
      <c r="DE122" s="57"/>
      <c r="DF122" s="57"/>
      <c r="DG122" s="57"/>
      <c r="DH122" s="57"/>
      <c r="DI122" s="57"/>
      <c r="DJ122" s="57"/>
      <c r="DK122" s="58"/>
      <c r="DL122" s="59">
        <v>1</v>
      </c>
      <c r="DM122" s="60">
        <v>1</v>
      </c>
      <c r="DN122" s="61">
        <v>1</v>
      </c>
      <c r="DO122" s="60">
        <v>1</v>
      </c>
      <c r="DP122" s="60">
        <v>0</v>
      </c>
      <c r="DQ122" s="59">
        <v>4</v>
      </c>
      <c r="DR122" s="62">
        <v>1722</v>
      </c>
      <c r="DS122" s="62" t="s">
        <v>5034</v>
      </c>
      <c r="DU122" s="62" t="s">
        <v>5034</v>
      </c>
      <c r="DV122" s="63">
        <v>45377</v>
      </c>
      <c r="DW122" s="64">
        <v>2024</v>
      </c>
      <c r="DX122" s="65">
        <v>3</v>
      </c>
    </row>
    <row r="123" spans="2:128" ht="15" x14ac:dyDescent="0.25">
      <c r="B123" s="43" t="s">
        <v>5022</v>
      </c>
      <c r="C123" s="43" t="s">
        <v>4854</v>
      </c>
      <c r="D123" s="43" t="s">
        <v>4870</v>
      </c>
      <c r="E123" s="49">
        <v>45170</v>
      </c>
      <c r="F123" s="49"/>
      <c r="G123" s="50">
        <v>1</v>
      </c>
      <c r="H123" s="43" t="s">
        <v>4896</v>
      </c>
      <c r="I123" s="43" t="s">
        <v>5031</v>
      </c>
      <c r="J123" s="43"/>
      <c r="K123" s="43">
        <v>2</v>
      </c>
      <c r="L123" s="43">
        <v>3</v>
      </c>
      <c r="M123" s="43"/>
      <c r="N123" s="43"/>
      <c r="O123" s="43" t="s">
        <v>5059</v>
      </c>
      <c r="P123" s="43" t="s">
        <v>3784</v>
      </c>
      <c r="Q123" s="43"/>
      <c r="R123" s="43" t="s">
        <v>5045</v>
      </c>
      <c r="S123" s="43" t="s">
        <v>5026</v>
      </c>
      <c r="T123" s="51" t="s">
        <v>5027</v>
      </c>
      <c r="U123" s="52" t="s">
        <v>5028</v>
      </c>
      <c r="V123" s="53" t="s">
        <v>3884</v>
      </c>
      <c r="W123" s="54" t="s">
        <v>3784</v>
      </c>
      <c r="X123" s="55" t="s">
        <v>4896</v>
      </c>
      <c r="AI123" s="54"/>
      <c r="AJ123" s="56">
        <v>45831</v>
      </c>
      <c r="AK123" s="57"/>
      <c r="AL123" s="57"/>
      <c r="AM123" s="57"/>
      <c r="AN123" s="57"/>
      <c r="AO123" s="57"/>
      <c r="AP123" s="57"/>
      <c r="AQ123" s="57"/>
      <c r="AR123" s="57"/>
      <c r="AS123" s="57"/>
      <c r="AT123" s="57"/>
      <c r="AU123" s="57"/>
      <c r="AV123" s="57"/>
      <c r="AW123" s="57"/>
      <c r="AX123" s="57"/>
      <c r="AY123" s="57"/>
      <c r="AZ123" s="57"/>
      <c r="BA123" s="57"/>
      <c r="BB123" s="57"/>
      <c r="BC123" s="58"/>
      <c r="BD123" s="55" t="s">
        <v>5031</v>
      </c>
      <c r="BO123" s="54"/>
      <c r="BP123" s="56">
        <v>45803</v>
      </c>
      <c r="BQ123" s="57"/>
      <c r="BR123" s="57"/>
      <c r="BS123" s="57"/>
      <c r="BT123" s="57"/>
      <c r="BU123" s="57"/>
      <c r="BV123" s="57"/>
      <c r="BW123" s="57"/>
      <c r="BX123" s="57"/>
      <c r="BY123" s="57"/>
      <c r="BZ123" s="57"/>
      <c r="CA123" s="57"/>
      <c r="CB123" s="56" t="s">
        <v>5034</v>
      </c>
      <c r="CC123" s="57"/>
      <c r="CD123" s="57"/>
      <c r="CE123" s="57"/>
      <c r="CF123" s="57"/>
      <c r="CG123" s="57"/>
      <c r="CH123" s="57"/>
      <c r="CI123" s="57"/>
      <c r="CJ123" s="57"/>
      <c r="CK123" s="57"/>
      <c r="CL123" s="57"/>
      <c r="CM123" s="57"/>
      <c r="CN123" s="56">
        <v>45827</v>
      </c>
      <c r="CO123" s="57"/>
      <c r="CP123" s="57"/>
      <c r="CQ123" s="57"/>
      <c r="CR123" s="57"/>
      <c r="CS123" s="57"/>
      <c r="CT123" s="57"/>
      <c r="CU123" s="57"/>
      <c r="CV123" s="57"/>
      <c r="CW123" s="57"/>
      <c r="CX123" s="57"/>
      <c r="CY123" s="57"/>
      <c r="CZ123" s="56" t="s">
        <v>5034</v>
      </c>
      <c r="DA123" s="57"/>
      <c r="DB123" s="57"/>
      <c r="DC123" s="57"/>
      <c r="DD123" s="57"/>
      <c r="DE123" s="57"/>
      <c r="DF123" s="57"/>
      <c r="DG123" s="57"/>
      <c r="DH123" s="57"/>
      <c r="DI123" s="57"/>
      <c r="DJ123" s="57"/>
      <c r="DK123" s="58"/>
      <c r="DL123" s="59">
        <v>1</v>
      </c>
      <c r="DM123" s="60">
        <v>1</v>
      </c>
      <c r="DN123" s="61">
        <v>0</v>
      </c>
      <c r="DO123" s="60">
        <v>1</v>
      </c>
      <c r="DP123" s="60">
        <v>0</v>
      </c>
      <c r="DQ123" s="59">
        <v>3</v>
      </c>
      <c r="DR123" s="62">
        <v>1726</v>
      </c>
      <c r="DS123" s="62" t="s">
        <v>5034</v>
      </c>
      <c r="DU123" s="62" t="s">
        <v>5034</v>
      </c>
      <c r="DV123" s="63">
        <v>45406</v>
      </c>
      <c r="DW123" s="64">
        <v>2024</v>
      </c>
      <c r="DX123" s="65">
        <v>4</v>
      </c>
    </row>
    <row r="124" spans="2:128" ht="15" x14ac:dyDescent="0.25">
      <c r="B124" s="43" t="s">
        <v>5022</v>
      </c>
      <c r="C124" s="43" t="s">
        <v>4854</v>
      </c>
      <c r="D124" s="43" t="s">
        <v>4871</v>
      </c>
      <c r="E124" s="49">
        <v>45170</v>
      </c>
      <c r="F124" s="49"/>
      <c r="G124" s="50">
        <v>1</v>
      </c>
      <c r="H124" s="43" t="s">
        <v>4891</v>
      </c>
      <c r="I124" s="43" t="s">
        <v>5033</v>
      </c>
      <c r="J124" s="43">
        <v>5</v>
      </c>
      <c r="K124" s="43">
        <v>2</v>
      </c>
      <c r="L124" s="43">
        <v>3</v>
      </c>
      <c r="M124" s="43"/>
      <c r="N124" s="43"/>
      <c r="O124" s="43" t="s">
        <v>4725</v>
      </c>
      <c r="P124" s="43" t="s">
        <v>5063</v>
      </c>
      <c r="Q124" s="43"/>
      <c r="R124" s="43" t="s">
        <v>5045</v>
      </c>
      <c r="S124" s="43" t="s">
        <v>5026</v>
      </c>
      <c r="T124" s="51" t="s">
        <v>5027</v>
      </c>
      <c r="U124" s="52" t="s">
        <v>5028</v>
      </c>
      <c r="V124" s="53" t="s">
        <v>3884</v>
      </c>
      <c r="W124" s="54" t="s">
        <v>3796</v>
      </c>
      <c r="X124" s="55" t="s">
        <v>4891</v>
      </c>
      <c r="AI124" s="54"/>
      <c r="AJ124" s="56">
        <v>46013</v>
      </c>
      <c r="AK124" s="57"/>
      <c r="AL124" s="57"/>
      <c r="AM124" s="57"/>
      <c r="AN124" s="57"/>
      <c r="AO124" s="57"/>
      <c r="AP124" s="57"/>
      <c r="AQ124" s="57"/>
      <c r="AR124" s="57"/>
      <c r="AS124" s="57"/>
      <c r="AT124" s="57"/>
      <c r="AU124" s="57"/>
      <c r="AV124" s="57"/>
      <c r="AW124" s="57"/>
      <c r="AX124" s="57"/>
      <c r="AY124" s="57"/>
      <c r="AZ124" s="57"/>
      <c r="BA124" s="57"/>
      <c r="BB124" s="57"/>
      <c r="BC124" s="58"/>
      <c r="BD124" s="55" t="s">
        <v>5033</v>
      </c>
      <c r="BO124" s="54"/>
      <c r="BP124" s="56">
        <v>45985</v>
      </c>
      <c r="BQ124" s="57"/>
      <c r="BR124" s="57"/>
      <c r="BS124" s="57"/>
      <c r="BT124" s="57"/>
      <c r="BU124" s="57"/>
      <c r="BV124" s="57"/>
      <c r="BW124" s="57"/>
      <c r="BX124" s="57"/>
      <c r="BY124" s="57"/>
      <c r="BZ124" s="57"/>
      <c r="CA124" s="57"/>
      <c r="CB124" s="56">
        <v>46006</v>
      </c>
      <c r="CC124" s="57"/>
      <c r="CD124" s="57"/>
      <c r="CE124" s="57"/>
      <c r="CF124" s="57"/>
      <c r="CG124" s="57"/>
      <c r="CH124" s="57"/>
      <c r="CI124" s="57"/>
      <c r="CJ124" s="57"/>
      <c r="CK124" s="57"/>
      <c r="CL124" s="57"/>
      <c r="CM124" s="57"/>
      <c r="CN124" s="56">
        <v>46009</v>
      </c>
      <c r="CO124" s="57"/>
      <c r="CP124" s="57"/>
      <c r="CQ124" s="57"/>
      <c r="CR124" s="57"/>
      <c r="CS124" s="57"/>
      <c r="CT124" s="57"/>
      <c r="CU124" s="57"/>
      <c r="CV124" s="57"/>
      <c r="CW124" s="57"/>
      <c r="CX124" s="57"/>
      <c r="CY124" s="57"/>
      <c r="CZ124" s="56" t="s">
        <v>5034</v>
      </c>
      <c r="DA124" s="57"/>
      <c r="DB124" s="57"/>
      <c r="DC124" s="57"/>
      <c r="DD124" s="57"/>
      <c r="DE124" s="57"/>
      <c r="DF124" s="57"/>
      <c r="DG124" s="57"/>
      <c r="DH124" s="57"/>
      <c r="DI124" s="57"/>
      <c r="DJ124" s="57"/>
      <c r="DK124" s="58"/>
      <c r="DL124" s="59">
        <v>1</v>
      </c>
      <c r="DM124" s="60">
        <v>1</v>
      </c>
      <c r="DN124" s="61">
        <v>1</v>
      </c>
      <c r="DO124" s="60">
        <v>1</v>
      </c>
      <c r="DP124" s="60">
        <v>0</v>
      </c>
      <c r="DQ124" s="59">
        <v>4</v>
      </c>
      <c r="DR124" s="62">
        <v>1729</v>
      </c>
      <c r="DS124" s="62" t="s">
        <v>5034</v>
      </c>
      <c r="DU124" s="62" t="s">
        <v>5034</v>
      </c>
      <c r="DV124" s="63">
        <v>45245</v>
      </c>
      <c r="DW124" s="64">
        <v>2023</v>
      </c>
      <c r="DX124" s="65">
        <v>11</v>
      </c>
    </row>
    <row r="125" spans="2:128" ht="15" x14ac:dyDescent="0.25">
      <c r="B125" s="43" t="s">
        <v>5022</v>
      </c>
      <c r="C125" s="43" t="s">
        <v>4854</v>
      </c>
      <c r="D125" s="43" t="s">
        <v>4872</v>
      </c>
      <c r="E125" s="49">
        <v>45197</v>
      </c>
      <c r="F125" s="49"/>
      <c r="G125" s="50">
        <v>1</v>
      </c>
      <c r="H125" s="43" t="s">
        <v>4896</v>
      </c>
      <c r="I125" s="43" t="s">
        <v>5031</v>
      </c>
      <c r="J125" s="43"/>
      <c r="K125" s="43">
        <v>2</v>
      </c>
      <c r="L125" s="43">
        <v>3</v>
      </c>
      <c r="M125" s="43"/>
      <c r="N125" s="43" t="s">
        <v>5090</v>
      </c>
      <c r="O125" s="43" t="s">
        <v>5059</v>
      </c>
      <c r="P125" s="43" t="s">
        <v>3767</v>
      </c>
      <c r="Q125" s="43"/>
      <c r="R125" s="43" t="s">
        <v>5045</v>
      </c>
      <c r="S125" s="43" t="s">
        <v>5026</v>
      </c>
      <c r="T125" s="51" t="s">
        <v>5027</v>
      </c>
      <c r="U125" s="52" t="s">
        <v>5028</v>
      </c>
      <c r="V125" s="53" t="s">
        <v>3884</v>
      </c>
      <c r="W125" s="54" t="s">
        <v>3767</v>
      </c>
      <c r="X125" s="55" t="s">
        <v>4896</v>
      </c>
      <c r="AI125" s="54"/>
      <c r="AJ125" s="56">
        <v>45831</v>
      </c>
      <c r="AK125" s="57"/>
      <c r="AL125" s="57"/>
      <c r="AM125" s="57"/>
      <c r="AN125" s="57"/>
      <c r="AO125" s="57"/>
      <c r="AP125" s="57"/>
      <c r="AQ125" s="57"/>
      <c r="AR125" s="57"/>
      <c r="AS125" s="57"/>
      <c r="AT125" s="57"/>
      <c r="AU125" s="57"/>
      <c r="AV125" s="57"/>
      <c r="AW125" s="57"/>
      <c r="AX125" s="57"/>
      <c r="AY125" s="57"/>
      <c r="AZ125" s="57"/>
      <c r="BA125" s="57"/>
      <c r="BB125" s="57"/>
      <c r="BC125" s="58"/>
      <c r="BD125" s="55" t="s">
        <v>5031</v>
      </c>
      <c r="BO125" s="54"/>
      <c r="BP125" s="56">
        <v>45803</v>
      </c>
      <c r="BQ125" s="57"/>
      <c r="BR125" s="57"/>
      <c r="BS125" s="57"/>
      <c r="BT125" s="57"/>
      <c r="BU125" s="57"/>
      <c r="BV125" s="57"/>
      <c r="BW125" s="57"/>
      <c r="BX125" s="57"/>
      <c r="BY125" s="57"/>
      <c r="BZ125" s="57"/>
      <c r="CA125" s="57"/>
      <c r="CB125" s="56" t="s">
        <v>5034</v>
      </c>
      <c r="CC125" s="57"/>
      <c r="CD125" s="57"/>
      <c r="CE125" s="57"/>
      <c r="CF125" s="57"/>
      <c r="CG125" s="57"/>
      <c r="CH125" s="57"/>
      <c r="CI125" s="57"/>
      <c r="CJ125" s="57"/>
      <c r="CK125" s="57"/>
      <c r="CL125" s="57"/>
      <c r="CM125" s="57"/>
      <c r="CN125" s="56">
        <v>45827</v>
      </c>
      <c r="CO125" s="57"/>
      <c r="CP125" s="57"/>
      <c r="CQ125" s="57"/>
      <c r="CR125" s="57"/>
      <c r="CS125" s="57"/>
      <c r="CT125" s="57"/>
      <c r="CU125" s="57"/>
      <c r="CV125" s="57"/>
      <c r="CW125" s="57"/>
      <c r="CX125" s="57"/>
      <c r="CY125" s="57"/>
      <c r="CZ125" s="56" t="s">
        <v>5034</v>
      </c>
      <c r="DA125" s="57"/>
      <c r="DB125" s="57"/>
      <c r="DC125" s="57"/>
      <c r="DD125" s="57"/>
      <c r="DE125" s="57"/>
      <c r="DF125" s="57"/>
      <c r="DG125" s="57"/>
      <c r="DH125" s="57"/>
      <c r="DI125" s="57"/>
      <c r="DJ125" s="57"/>
      <c r="DK125" s="58"/>
      <c r="DL125" s="59">
        <v>1</v>
      </c>
      <c r="DM125" s="60">
        <v>1</v>
      </c>
      <c r="DN125" s="61">
        <v>0</v>
      </c>
      <c r="DO125" s="60">
        <v>1</v>
      </c>
      <c r="DP125" s="60">
        <v>0</v>
      </c>
      <c r="DQ125" s="59">
        <v>3</v>
      </c>
      <c r="DR125" s="62">
        <v>1733</v>
      </c>
      <c r="DS125" s="62" t="s">
        <v>5034</v>
      </c>
      <c r="DU125" s="62" t="s">
        <v>5034</v>
      </c>
      <c r="DV125" s="63">
        <v>45406</v>
      </c>
      <c r="DW125" s="64">
        <v>2024</v>
      </c>
      <c r="DX125" s="65">
        <v>4</v>
      </c>
    </row>
    <row r="126" spans="2:128" ht="15" x14ac:dyDescent="0.25">
      <c r="B126" s="43" t="s">
        <v>5022</v>
      </c>
      <c r="C126" s="43"/>
      <c r="D126" s="43" t="s">
        <v>2193</v>
      </c>
      <c r="E126" s="49">
        <v>45238</v>
      </c>
      <c r="F126" s="49"/>
      <c r="G126" s="50">
        <v>1</v>
      </c>
      <c r="H126" s="43" t="s">
        <v>4798</v>
      </c>
      <c r="I126" s="43" t="s">
        <v>5023</v>
      </c>
      <c r="J126" s="43"/>
      <c r="K126" s="43">
        <v>2</v>
      </c>
      <c r="L126" s="43">
        <v>3</v>
      </c>
      <c r="M126" s="43"/>
      <c r="N126" s="43" t="s">
        <v>5142</v>
      </c>
      <c r="O126" s="43" t="s">
        <v>5119</v>
      </c>
      <c r="P126" s="43" t="s">
        <v>2192</v>
      </c>
      <c r="Q126" s="43"/>
      <c r="R126" s="43" t="s">
        <v>5047</v>
      </c>
      <c r="S126" s="43" t="s">
        <v>5026</v>
      </c>
      <c r="T126" s="51" t="s">
        <v>5027</v>
      </c>
      <c r="U126" s="52" t="s">
        <v>5028</v>
      </c>
      <c r="V126" s="53" t="s">
        <v>3884</v>
      </c>
      <c r="W126" s="54" t="s">
        <v>2192</v>
      </c>
      <c r="X126" s="55" t="s">
        <v>4889</v>
      </c>
      <c r="Y126" t="s">
        <v>4896</v>
      </c>
      <c r="Z126" t="s">
        <v>4800</v>
      </c>
      <c r="AA126" t="s">
        <v>4891</v>
      </c>
      <c r="AI126" s="54"/>
      <c r="AJ126" s="56">
        <v>45740</v>
      </c>
      <c r="AK126" s="57">
        <v>45831</v>
      </c>
      <c r="AL126" s="57">
        <v>45922</v>
      </c>
      <c r="AM126" s="57">
        <v>46013</v>
      </c>
      <c r="AN126" s="57"/>
      <c r="AO126" s="57"/>
      <c r="AP126" s="57"/>
      <c r="AQ126" s="57"/>
      <c r="AR126" s="57"/>
      <c r="AS126" s="57"/>
      <c r="AT126" s="57"/>
      <c r="AU126" s="57"/>
      <c r="AV126" s="57"/>
      <c r="AW126" s="57"/>
      <c r="AX126" s="57"/>
      <c r="AY126" s="57"/>
      <c r="AZ126" s="57"/>
      <c r="BA126" s="57"/>
      <c r="BB126" s="57"/>
      <c r="BC126" s="58"/>
      <c r="BD126" s="55" t="s">
        <v>5030</v>
      </c>
      <c r="BE126" t="s">
        <v>5031</v>
      </c>
      <c r="BF126" t="s">
        <v>5032</v>
      </c>
      <c r="BG126" t="s">
        <v>5033</v>
      </c>
      <c r="BO126" s="54"/>
      <c r="BP126" s="56">
        <v>45712</v>
      </c>
      <c r="BQ126" s="57">
        <v>45803</v>
      </c>
      <c r="BR126" s="57">
        <v>45894</v>
      </c>
      <c r="BS126" s="57">
        <v>45985</v>
      </c>
      <c r="BT126" s="57"/>
      <c r="BU126" s="57"/>
      <c r="BV126" s="57"/>
      <c r="BW126" s="57"/>
      <c r="BX126" s="57"/>
      <c r="BY126" s="57"/>
      <c r="BZ126" s="57"/>
      <c r="CA126" s="57"/>
      <c r="CB126" s="56" t="s">
        <v>5034</v>
      </c>
      <c r="CC126" s="57"/>
      <c r="CD126" s="57"/>
      <c r="CE126" s="57"/>
      <c r="CF126" s="57"/>
      <c r="CG126" s="57"/>
      <c r="CH126" s="57"/>
      <c r="CI126" s="57"/>
      <c r="CJ126" s="57"/>
      <c r="CK126" s="57"/>
      <c r="CL126" s="57"/>
      <c r="CM126" s="57"/>
      <c r="CN126" s="56">
        <v>45736</v>
      </c>
      <c r="CO126" s="57">
        <v>45827</v>
      </c>
      <c r="CP126" s="57">
        <v>45918</v>
      </c>
      <c r="CQ126" s="57">
        <v>46009</v>
      </c>
      <c r="CR126" s="57"/>
      <c r="CS126" s="57"/>
      <c r="CT126" s="57"/>
      <c r="CU126" s="57"/>
      <c r="CV126" s="57"/>
      <c r="CW126" s="57"/>
      <c r="CX126" s="57"/>
      <c r="CY126" s="57"/>
      <c r="CZ126" s="56" t="s">
        <v>5034</v>
      </c>
      <c r="DA126" s="57"/>
      <c r="DB126" s="57"/>
      <c r="DC126" s="57"/>
      <c r="DD126" s="57"/>
      <c r="DE126" s="57"/>
      <c r="DF126" s="57"/>
      <c r="DG126" s="57"/>
      <c r="DH126" s="57"/>
      <c r="DI126" s="57"/>
      <c r="DJ126" s="57"/>
      <c r="DK126" s="58"/>
      <c r="DL126" s="59">
        <v>4</v>
      </c>
      <c r="DM126" s="60">
        <v>4</v>
      </c>
      <c r="DN126" s="61">
        <v>0</v>
      </c>
      <c r="DO126" s="60">
        <v>4</v>
      </c>
      <c r="DP126" s="60">
        <v>0</v>
      </c>
      <c r="DQ126" s="59">
        <v>12</v>
      </c>
      <c r="DR126" s="62">
        <v>1736</v>
      </c>
      <c r="DS126" s="62" t="s">
        <v>5034</v>
      </c>
      <c r="DU126" s="62" t="s">
        <v>5034</v>
      </c>
      <c r="DV126" s="63">
        <v>45245</v>
      </c>
      <c r="DW126" s="64">
        <v>2023</v>
      </c>
      <c r="DX126" s="65">
        <v>11</v>
      </c>
    </row>
    <row r="127" spans="2:128" ht="15" x14ac:dyDescent="0.25">
      <c r="B127" s="43" t="s">
        <v>5022</v>
      </c>
      <c r="C127" s="43" t="s">
        <v>4873</v>
      </c>
      <c r="D127" s="43" t="s">
        <v>1926</v>
      </c>
      <c r="E127" s="49">
        <v>45239</v>
      </c>
      <c r="F127" s="49"/>
      <c r="G127" s="50">
        <v>1</v>
      </c>
      <c r="H127" s="43" t="s">
        <v>4799</v>
      </c>
      <c r="I127" s="43" t="s">
        <v>5076</v>
      </c>
      <c r="J127" s="43">
        <v>6</v>
      </c>
      <c r="K127" s="43">
        <v>2</v>
      </c>
      <c r="L127" s="43">
        <v>3</v>
      </c>
      <c r="M127" s="43"/>
      <c r="N127" s="43"/>
      <c r="O127" s="43"/>
      <c r="P127" s="43" t="s">
        <v>1925</v>
      </c>
      <c r="Q127" s="43"/>
      <c r="R127" s="43" t="s">
        <v>5068</v>
      </c>
      <c r="S127" s="43" t="s">
        <v>5026</v>
      </c>
      <c r="T127" s="51" t="s">
        <v>5027</v>
      </c>
      <c r="U127" s="52" t="s">
        <v>5028</v>
      </c>
      <c r="V127" s="53" t="s">
        <v>3884</v>
      </c>
      <c r="W127" s="54" t="s">
        <v>1925</v>
      </c>
      <c r="X127" s="55" t="s">
        <v>4889</v>
      </c>
      <c r="Y127" t="s">
        <v>4800</v>
      </c>
      <c r="AI127" s="54"/>
      <c r="AJ127" s="56">
        <v>45740</v>
      </c>
      <c r="AK127" s="57">
        <v>45922</v>
      </c>
      <c r="AL127" s="57"/>
      <c r="AM127" s="57"/>
      <c r="AN127" s="57"/>
      <c r="AO127" s="57"/>
      <c r="AP127" s="57"/>
      <c r="AQ127" s="57"/>
      <c r="AR127" s="57"/>
      <c r="AS127" s="57"/>
      <c r="AT127" s="57"/>
      <c r="AU127" s="57"/>
      <c r="AV127" s="57"/>
      <c r="AW127" s="57"/>
      <c r="AX127" s="57"/>
      <c r="AY127" s="57"/>
      <c r="AZ127" s="57"/>
      <c r="BA127" s="57"/>
      <c r="BB127" s="57"/>
      <c r="BC127" s="58"/>
      <c r="BD127" s="55" t="s">
        <v>5030</v>
      </c>
      <c r="BE127" t="s">
        <v>5032</v>
      </c>
      <c r="BO127" s="54"/>
      <c r="BP127" s="56">
        <v>45712</v>
      </c>
      <c r="BQ127" s="57">
        <v>45894</v>
      </c>
      <c r="BR127" s="57"/>
      <c r="BS127" s="57"/>
      <c r="BT127" s="57"/>
      <c r="BU127" s="57"/>
      <c r="BV127" s="57"/>
      <c r="BW127" s="57"/>
      <c r="BX127" s="57"/>
      <c r="BY127" s="57"/>
      <c r="BZ127" s="57"/>
      <c r="CA127" s="57"/>
      <c r="CB127" s="56">
        <v>45730</v>
      </c>
      <c r="CC127" s="57">
        <v>45912</v>
      </c>
      <c r="CD127" s="57"/>
      <c r="CE127" s="57"/>
      <c r="CF127" s="57"/>
      <c r="CG127" s="57"/>
      <c r="CH127" s="57"/>
      <c r="CI127" s="57"/>
      <c r="CJ127" s="57"/>
      <c r="CK127" s="57"/>
      <c r="CL127" s="57"/>
      <c r="CM127" s="57"/>
      <c r="CN127" s="56">
        <v>45736</v>
      </c>
      <c r="CO127" s="57">
        <v>45918</v>
      </c>
      <c r="CP127" s="57"/>
      <c r="CQ127" s="57"/>
      <c r="CR127" s="57"/>
      <c r="CS127" s="57"/>
      <c r="CT127" s="57"/>
      <c r="CU127" s="57"/>
      <c r="CV127" s="57"/>
      <c r="CW127" s="57"/>
      <c r="CX127" s="57"/>
      <c r="CY127" s="57"/>
      <c r="CZ127" s="56" t="s">
        <v>5034</v>
      </c>
      <c r="DA127" s="57"/>
      <c r="DB127" s="57"/>
      <c r="DC127" s="57"/>
      <c r="DD127" s="57"/>
      <c r="DE127" s="57"/>
      <c r="DF127" s="57"/>
      <c r="DG127" s="57"/>
      <c r="DH127" s="57"/>
      <c r="DI127" s="57"/>
      <c r="DJ127" s="57"/>
      <c r="DK127" s="58"/>
      <c r="DL127" s="59">
        <v>2</v>
      </c>
      <c r="DM127" s="60">
        <v>2</v>
      </c>
      <c r="DN127" s="61">
        <v>2</v>
      </c>
      <c r="DO127" s="60">
        <v>2</v>
      </c>
      <c r="DP127" s="60">
        <v>0</v>
      </c>
      <c r="DQ127" s="59">
        <v>8</v>
      </c>
      <c r="DR127" s="62">
        <v>1748</v>
      </c>
      <c r="DS127" s="62" t="s">
        <v>5034</v>
      </c>
      <c r="DU127" s="62" t="s">
        <v>5034</v>
      </c>
      <c r="DV127" s="63">
        <v>45352</v>
      </c>
      <c r="DW127" s="64">
        <v>2024</v>
      </c>
      <c r="DX127" s="65">
        <v>3</v>
      </c>
    </row>
    <row r="128" spans="2:128" ht="15" x14ac:dyDescent="0.25">
      <c r="B128" s="43" t="s">
        <v>5022</v>
      </c>
      <c r="C128" s="43"/>
      <c r="D128" s="43" t="s">
        <v>1710</v>
      </c>
      <c r="E128" s="49">
        <v>45246</v>
      </c>
      <c r="F128" s="49"/>
      <c r="G128" s="50">
        <v>1</v>
      </c>
      <c r="H128" s="43" t="s">
        <v>4798</v>
      </c>
      <c r="I128" s="43" t="s">
        <v>5023</v>
      </c>
      <c r="J128" s="43"/>
      <c r="K128" s="43">
        <v>2</v>
      </c>
      <c r="L128" s="43">
        <v>3</v>
      </c>
      <c r="M128" s="43"/>
      <c r="N128" s="43" t="s">
        <v>995</v>
      </c>
      <c r="O128" s="43"/>
      <c r="P128" s="43" t="s">
        <v>5024</v>
      </c>
      <c r="Q128" s="43"/>
      <c r="R128" s="43" t="s">
        <v>5038</v>
      </c>
      <c r="S128" s="43" t="s">
        <v>5026</v>
      </c>
      <c r="T128" s="51" t="s">
        <v>5027</v>
      </c>
      <c r="U128" s="52" t="s">
        <v>5028</v>
      </c>
      <c r="V128" s="53" t="s">
        <v>3884</v>
      </c>
      <c r="W128" s="54" t="s">
        <v>1709</v>
      </c>
      <c r="X128" s="55" t="s">
        <v>4889</v>
      </c>
      <c r="Y128" t="s">
        <v>4896</v>
      </c>
      <c r="Z128" t="s">
        <v>4800</v>
      </c>
      <c r="AA128" t="s">
        <v>4891</v>
      </c>
      <c r="AI128" s="54"/>
      <c r="AJ128" s="56">
        <v>45740</v>
      </c>
      <c r="AK128" s="57">
        <v>45831</v>
      </c>
      <c r="AL128" s="57">
        <v>45922</v>
      </c>
      <c r="AM128" s="57">
        <v>46013</v>
      </c>
      <c r="AN128" s="57"/>
      <c r="AO128" s="57"/>
      <c r="AP128" s="57"/>
      <c r="AQ128" s="57"/>
      <c r="AR128" s="57"/>
      <c r="AS128" s="57"/>
      <c r="AT128" s="57"/>
      <c r="AU128" s="57"/>
      <c r="AV128" s="57"/>
      <c r="AW128" s="57"/>
      <c r="AX128" s="57"/>
      <c r="AY128" s="57"/>
      <c r="AZ128" s="57"/>
      <c r="BA128" s="57"/>
      <c r="BB128" s="57"/>
      <c r="BC128" s="58"/>
      <c r="BD128" s="55" t="s">
        <v>5030</v>
      </c>
      <c r="BE128" t="s">
        <v>5031</v>
      </c>
      <c r="BF128" t="s">
        <v>5032</v>
      </c>
      <c r="BG128" t="s">
        <v>5033</v>
      </c>
      <c r="BO128" s="54"/>
      <c r="BP128" s="56">
        <v>45712</v>
      </c>
      <c r="BQ128" s="57">
        <v>45803</v>
      </c>
      <c r="BR128" s="57">
        <v>45894</v>
      </c>
      <c r="BS128" s="57">
        <v>45985</v>
      </c>
      <c r="BT128" s="57"/>
      <c r="BU128" s="57"/>
      <c r="BV128" s="57"/>
      <c r="BW128" s="57"/>
      <c r="BX128" s="57"/>
      <c r="BY128" s="57"/>
      <c r="BZ128" s="57"/>
      <c r="CA128" s="57"/>
      <c r="CB128" s="56" t="s">
        <v>5034</v>
      </c>
      <c r="CC128" s="57"/>
      <c r="CD128" s="57"/>
      <c r="CE128" s="57"/>
      <c r="CF128" s="57"/>
      <c r="CG128" s="57"/>
      <c r="CH128" s="57"/>
      <c r="CI128" s="57"/>
      <c r="CJ128" s="57"/>
      <c r="CK128" s="57"/>
      <c r="CL128" s="57"/>
      <c r="CM128" s="57"/>
      <c r="CN128" s="56">
        <v>45736</v>
      </c>
      <c r="CO128" s="57">
        <v>45827</v>
      </c>
      <c r="CP128" s="57">
        <v>45918</v>
      </c>
      <c r="CQ128" s="57">
        <v>46009</v>
      </c>
      <c r="CR128" s="57"/>
      <c r="CS128" s="57"/>
      <c r="CT128" s="57"/>
      <c r="CU128" s="57"/>
      <c r="CV128" s="57"/>
      <c r="CW128" s="57"/>
      <c r="CX128" s="57"/>
      <c r="CY128" s="57"/>
      <c r="CZ128" s="56" t="s">
        <v>5034</v>
      </c>
      <c r="DA128" s="57"/>
      <c r="DB128" s="57"/>
      <c r="DC128" s="57"/>
      <c r="DD128" s="57"/>
      <c r="DE128" s="57"/>
      <c r="DF128" s="57"/>
      <c r="DG128" s="57"/>
      <c r="DH128" s="57"/>
      <c r="DI128" s="57"/>
      <c r="DJ128" s="57"/>
      <c r="DK128" s="58"/>
      <c r="DL128" s="59">
        <v>4</v>
      </c>
      <c r="DM128" s="60">
        <v>4</v>
      </c>
      <c r="DN128" s="61">
        <v>0</v>
      </c>
      <c r="DO128" s="60">
        <v>4</v>
      </c>
      <c r="DP128" s="60">
        <v>0</v>
      </c>
      <c r="DQ128" s="59">
        <v>12</v>
      </c>
      <c r="DR128" s="62">
        <v>1756</v>
      </c>
      <c r="DS128" s="62" t="s">
        <v>5034</v>
      </c>
      <c r="DU128" s="62" t="s">
        <v>5034</v>
      </c>
      <c r="DV128" s="63">
        <v>45250</v>
      </c>
      <c r="DW128" s="64">
        <v>2023</v>
      </c>
      <c r="DX128" s="65">
        <v>11</v>
      </c>
    </row>
    <row r="129" spans="2:128" ht="15" x14ac:dyDescent="0.25">
      <c r="B129" s="43" t="s">
        <v>5022</v>
      </c>
      <c r="C129" s="43" t="s">
        <v>4873</v>
      </c>
      <c r="D129" s="43" t="s">
        <v>1880</v>
      </c>
      <c r="E129" s="49">
        <v>45254</v>
      </c>
      <c r="F129" s="49"/>
      <c r="G129" s="50">
        <v>1</v>
      </c>
      <c r="H129" s="43" t="s">
        <v>4799</v>
      </c>
      <c r="I129" s="43" t="s">
        <v>5076</v>
      </c>
      <c r="J129" s="43">
        <v>6</v>
      </c>
      <c r="K129" s="43">
        <v>2</v>
      </c>
      <c r="L129" s="43">
        <v>3</v>
      </c>
      <c r="M129" s="43"/>
      <c r="N129" s="43" t="s">
        <v>1925</v>
      </c>
      <c r="O129" s="43"/>
      <c r="P129" s="43" t="s">
        <v>1925</v>
      </c>
      <c r="Q129" s="43"/>
      <c r="R129" s="43" t="s">
        <v>5068</v>
      </c>
      <c r="S129" s="43" t="s">
        <v>5026</v>
      </c>
      <c r="T129" s="51" t="s">
        <v>5027</v>
      </c>
      <c r="U129" s="52" t="s">
        <v>5028</v>
      </c>
      <c r="V129" s="53" t="s">
        <v>3884</v>
      </c>
      <c r="W129" s="54" t="s">
        <v>1879</v>
      </c>
      <c r="X129" s="55" t="s">
        <v>4889</v>
      </c>
      <c r="Y129" t="s">
        <v>4800</v>
      </c>
      <c r="AI129" s="54"/>
      <c r="AJ129" s="56">
        <v>45740</v>
      </c>
      <c r="AK129" s="57">
        <v>45922</v>
      </c>
      <c r="AL129" s="57"/>
      <c r="AM129" s="57"/>
      <c r="AN129" s="57"/>
      <c r="AO129" s="57"/>
      <c r="AP129" s="57"/>
      <c r="AQ129" s="57"/>
      <c r="AR129" s="57"/>
      <c r="AS129" s="57"/>
      <c r="AT129" s="57"/>
      <c r="AU129" s="57"/>
      <c r="AV129" s="57"/>
      <c r="AW129" s="57"/>
      <c r="AX129" s="57"/>
      <c r="AY129" s="57"/>
      <c r="AZ129" s="57"/>
      <c r="BA129" s="57"/>
      <c r="BB129" s="57"/>
      <c r="BC129" s="58"/>
      <c r="BD129" s="55" t="s">
        <v>5030</v>
      </c>
      <c r="BE129" t="s">
        <v>5032</v>
      </c>
      <c r="BO129" s="54"/>
      <c r="BP129" s="56">
        <v>45712</v>
      </c>
      <c r="BQ129" s="57">
        <v>45894</v>
      </c>
      <c r="BR129" s="57"/>
      <c r="BS129" s="57"/>
      <c r="BT129" s="57"/>
      <c r="BU129" s="57"/>
      <c r="BV129" s="57"/>
      <c r="BW129" s="57"/>
      <c r="BX129" s="57"/>
      <c r="BY129" s="57"/>
      <c r="BZ129" s="57"/>
      <c r="CA129" s="57"/>
      <c r="CB129" s="56">
        <v>45730</v>
      </c>
      <c r="CC129" s="57">
        <v>45912</v>
      </c>
      <c r="CD129" s="57"/>
      <c r="CE129" s="57"/>
      <c r="CF129" s="57"/>
      <c r="CG129" s="57"/>
      <c r="CH129" s="57"/>
      <c r="CI129" s="57"/>
      <c r="CJ129" s="57"/>
      <c r="CK129" s="57"/>
      <c r="CL129" s="57"/>
      <c r="CM129" s="57"/>
      <c r="CN129" s="56">
        <v>45736</v>
      </c>
      <c r="CO129" s="57">
        <v>45918</v>
      </c>
      <c r="CP129" s="57"/>
      <c r="CQ129" s="57"/>
      <c r="CR129" s="57"/>
      <c r="CS129" s="57"/>
      <c r="CT129" s="57"/>
      <c r="CU129" s="57"/>
      <c r="CV129" s="57"/>
      <c r="CW129" s="57"/>
      <c r="CX129" s="57"/>
      <c r="CY129" s="57"/>
      <c r="CZ129" s="56" t="s">
        <v>5034</v>
      </c>
      <c r="DA129" s="57"/>
      <c r="DB129" s="57"/>
      <c r="DC129" s="57"/>
      <c r="DD129" s="57"/>
      <c r="DE129" s="57"/>
      <c r="DF129" s="57"/>
      <c r="DG129" s="57"/>
      <c r="DH129" s="57"/>
      <c r="DI129" s="57"/>
      <c r="DJ129" s="57"/>
      <c r="DK129" s="58"/>
      <c r="DL129" s="59">
        <v>2</v>
      </c>
      <c r="DM129" s="60">
        <v>2</v>
      </c>
      <c r="DN129" s="61">
        <v>2</v>
      </c>
      <c r="DO129" s="60">
        <v>2</v>
      </c>
      <c r="DP129" s="60">
        <v>0</v>
      </c>
      <c r="DQ129" s="59">
        <v>8</v>
      </c>
      <c r="DR129" s="62">
        <v>1768</v>
      </c>
      <c r="DS129" s="62" t="s">
        <v>5034</v>
      </c>
      <c r="DU129" s="62" t="s">
        <v>5034</v>
      </c>
      <c r="DV129" s="63">
        <v>45352</v>
      </c>
      <c r="DW129" s="64">
        <v>2024</v>
      </c>
      <c r="DX129" s="65">
        <v>3</v>
      </c>
    </row>
    <row r="130" spans="2:128" ht="15" x14ac:dyDescent="0.25">
      <c r="B130" s="43" t="s">
        <v>5022</v>
      </c>
      <c r="C130" s="43" t="s">
        <v>4873</v>
      </c>
      <c r="D130" s="43" t="s">
        <v>1889</v>
      </c>
      <c r="E130" s="49">
        <v>45254</v>
      </c>
      <c r="F130" s="49"/>
      <c r="G130" s="50">
        <v>1</v>
      </c>
      <c r="H130" s="43" t="s">
        <v>4799</v>
      </c>
      <c r="I130" s="43" t="s">
        <v>5076</v>
      </c>
      <c r="J130" s="43">
        <v>6</v>
      </c>
      <c r="K130" s="43">
        <v>2</v>
      </c>
      <c r="L130" s="43">
        <v>3</v>
      </c>
      <c r="M130" s="43"/>
      <c r="N130" s="43" t="s">
        <v>1925</v>
      </c>
      <c r="O130" s="43"/>
      <c r="P130" s="43" t="s">
        <v>1925</v>
      </c>
      <c r="Q130" s="43"/>
      <c r="R130" s="43" t="s">
        <v>5068</v>
      </c>
      <c r="S130" s="43" t="s">
        <v>5026</v>
      </c>
      <c r="T130" s="51" t="s">
        <v>5027</v>
      </c>
      <c r="U130" s="52" t="s">
        <v>5028</v>
      </c>
      <c r="V130" s="53" t="s">
        <v>3884</v>
      </c>
      <c r="W130" s="54" t="s">
        <v>1888</v>
      </c>
      <c r="X130" s="55" t="s">
        <v>4889</v>
      </c>
      <c r="Y130" t="s">
        <v>4800</v>
      </c>
      <c r="AI130" s="54"/>
      <c r="AJ130" s="56">
        <v>45740</v>
      </c>
      <c r="AK130" s="57">
        <v>45922</v>
      </c>
      <c r="AL130" s="57"/>
      <c r="AM130" s="57"/>
      <c r="AN130" s="57"/>
      <c r="AO130" s="57"/>
      <c r="AP130" s="57"/>
      <c r="AQ130" s="57"/>
      <c r="AR130" s="57"/>
      <c r="AS130" s="57"/>
      <c r="AT130" s="57"/>
      <c r="AU130" s="57"/>
      <c r="AV130" s="57"/>
      <c r="AW130" s="57"/>
      <c r="AX130" s="57"/>
      <c r="AY130" s="57"/>
      <c r="AZ130" s="57"/>
      <c r="BA130" s="57"/>
      <c r="BB130" s="57"/>
      <c r="BC130" s="58"/>
      <c r="BD130" s="55" t="s">
        <v>5030</v>
      </c>
      <c r="BE130" t="s">
        <v>5032</v>
      </c>
      <c r="BO130" s="54"/>
      <c r="BP130" s="56">
        <v>45712</v>
      </c>
      <c r="BQ130" s="57">
        <v>45894</v>
      </c>
      <c r="BR130" s="57"/>
      <c r="BS130" s="57"/>
      <c r="BT130" s="57"/>
      <c r="BU130" s="57"/>
      <c r="BV130" s="57"/>
      <c r="BW130" s="57"/>
      <c r="BX130" s="57"/>
      <c r="BY130" s="57"/>
      <c r="BZ130" s="57"/>
      <c r="CA130" s="57"/>
      <c r="CB130" s="56">
        <v>45730</v>
      </c>
      <c r="CC130" s="57">
        <v>45912</v>
      </c>
      <c r="CD130" s="57"/>
      <c r="CE130" s="57"/>
      <c r="CF130" s="57"/>
      <c r="CG130" s="57"/>
      <c r="CH130" s="57"/>
      <c r="CI130" s="57"/>
      <c r="CJ130" s="57"/>
      <c r="CK130" s="57"/>
      <c r="CL130" s="57"/>
      <c r="CM130" s="57"/>
      <c r="CN130" s="56">
        <v>45736</v>
      </c>
      <c r="CO130" s="57">
        <v>45918</v>
      </c>
      <c r="CP130" s="57"/>
      <c r="CQ130" s="57"/>
      <c r="CR130" s="57"/>
      <c r="CS130" s="57"/>
      <c r="CT130" s="57"/>
      <c r="CU130" s="57"/>
      <c r="CV130" s="57"/>
      <c r="CW130" s="57"/>
      <c r="CX130" s="57"/>
      <c r="CY130" s="57"/>
      <c r="CZ130" s="56" t="s">
        <v>5034</v>
      </c>
      <c r="DA130" s="57"/>
      <c r="DB130" s="57"/>
      <c r="DC130" s="57"/>
      <c r="DD130" s="57"/>
      <c r="DE130" s="57"/>
      <c r="DF130" s="57"/>
      <c r="DG130" s="57"/>
      <c r="DH130" s="57"/>
      <c r="DI130" s="57"/>
      <c r="DJ130" s="57"/>
      <c r="DK130" s="58"/>
      <c r="DL130" s="59">
        <v>2</v>
      </c>
      <c r="DM130" s="60">
        <v>2</v>
      </c>
      <c r="DN130" s="61">
        <v>2</v>
      </c>
      <c r="DO130" s="60">
        <v>2</v>
      </c>
      <c r="DP130" s="60">
        <v>0</v>
      </c>
      <c r="DQ130" s="59">
        <v>8</v>
      </c>
      <c r="DR130" s="62">
        <v>1776</v>
      </c>
      <c r="DS130" s="62" t="s">
        <v>5034</v>
      </c>
      <c r="DU130" s="62" t="s">
        <v>5034</v>
      </c>
      <c r="DV130" s="63">
        <v>45352</v>
      </c>
      <c r="DW130" s="64">
        <v>2024</v>
      </c>
      <c r="DX130" s="65">
        <v>3</v>
      </c>
    </row>
    <row r="131" spans="2:128" ht="15" x14ac:dyDescent="0.25">
      <c r="B131" s="43" t="s">
        <v>5022</v>
      </c>
      <c r="C131" s="43" t="s">
        <v>4873</v>
      </c>
      <c r="D131" s="43" t="s">
        <v>4874</v>
      </c>
      <c r="E131" s="49">
        <v>45254</v>
      </c>
      <c r="F131" s="49"/>
      <c r="G131" s="50">
        <v>1</v>
      </c>
      <c r="H131" s="43" t="s">
        <v>4799</v>
      </c>
      <c r="I131" s="43" t="s">
        <v>5076</v>
      </c>
      <c r="J131" s="43">
        <v>6</v>
      </c>
      <c r="K131" s="43">
        <v>2</v>
      </c>
      <c r="L131" s="43">
        <v>3</v>
      </c>
      <c r="M131" s="43"/>
      <c r="N131" s="43" t="s">
        <v>1925</v>
      </c>
      <c r="O131" s="43"/>
      <c r="P131" s="43" t="s">
        <v>1925</v>
      </c>
      <c r="Q131" s="43"/>
      <c r="R131" s="43" t="s">
        <v>5068</v>
      </c>
      <c r="S131" s="43" t="s">
        <v>5026</v>
      </c>
      <c r="T131" s="51" t="s">
        <v>5027</v>
      </c>
      <c r="U131" s="52" t="s">
        <v>5028</v>
      </c>
      <c r="V131" s="53" t="s">
        <v>3884</v>
      </c>
      <c r="W131" s="54" t="s">
        <v>1838</v>
      </c>
      <c r="X131" s="55" t="s">
        <v>4889</v>
      </c>
      <c r="Y131" t="s">
        <v>4800</v>
      </c>
      <c r="AI131" s="54"/>
      <c r="AJ131" s="56">
        <v>45740</v>
      </c>
      <c r="AK131" s="57">
        <v>45922</v>
      </c>
      <c r="AL131" s="57"/>
      <c r="AM131" s="57"/>
      <c r="AN131" s="57"/>
      <c r="AO131" s="57"/>
      <c r="AP131" s="57"/>
      <c r="AQ131" s="57"/>
      <c r="AR131" s="57"/>
      <c r="AS131" s="57"/>
      <c r="AT131" s="57"/>
      <c r="AU131" s="57"/>
      <c r="AV131" s="57"/>
      <c r="AW131" s="57"/>
      <c r="AX131" s="57"/>
      <c r="AY131" s="57"/>
      <c r="AZ131" s="57"/>
      <c r="BA131" s="57"/>
      <c r="BB131" s="57"/>
      <c r="BC131" s="58"/>
      <c r="BD131" s="55" t="s">
        <v>5030</v>
      </c>
      <c r="BE131" t="s">
        <v>5032</v>
      </c>
      <c r="BO131" s="54"/>
      <c r="BP131" s="56">
        <v>45712</v>
      </c>
      <c r="BQ131" s="57">
        <v>45894</v>
      </c>
      <c r="BR131" s="57"/>
      <c r="BS131" s="57"/>
      <c r="BT131" s="57"/>
      <c r="BU131" s="57"/>
      <c r="BV131" s="57"/>
      <c r="BW131" s="57"/>
      <c r="BX131" s="57"/>
      <c r="BY131" s="57"/>
      <c r="BZ131" s="57"/>
      <c r="CA131" s="57"/>
      <c r="CB131" s="56">
        <v>45730</v>
      </c>
      <c r="CC131" s="57">
        <v>45912</v>
      </c>
      <c r="CD131" s="57"/>
      <c r="CE131" s="57"/>
      <c r="CF131" s="57"/>
      <c r="CG131" s="57"/>
      <c r="CH131" s="57"/>
      <c r="CI131" s="57"/>
      <c r="CJ131" s="57"/>
      <c r="CK131" s="57"/>
      <c r="CL131" s="57"/>
      <c r="CM131" s="57"/>
      <c r="CN131" s="56">
        <v>45736</v>
      </c>
      <c r="CO131" s="57">
        <v>45918</v>
      </c>
      <c r="CP131" s="57"/>
      <c r="CQ131" s="57"/>
      <c r="CR131" s="57"/>
      <c r="CS131" s="57"/>
      <c r="CT131" s="57"/>
      <c r="CU131" s="57"/>
      <c r="CV131" s="57"/>
      <c r="CW131" s="57"/>
      <c r="CX131" s="57"/>
      <c r="CY131" s="57"/>
      <c r="CZ131" s="56" t="s">
        <v>5034</v>
      </c>
      <c r="DA131" s="57"/>
      <c r="DB131" s="57"/>
      <c r="DC131" s="57"/>
      <c r="DD131" s="57"/>
      <c r="DE131" s="57"/>
      <c r="DF131" s="57"/>
      <c r="DG131" s="57"/>
      <c r="DH131" s="57"/>
      <c r="DI131" s="57"/>
      <c r="DJ131" s="57"/>
      <c r="DK131" s="58"/>
      <c r="DL131" s="59">
        <v>2</v>
      </c>
      <c r="DM131" s="60">
        <v>2</v>
      </c>
      <c r="DN131" s="61">
        <v>2</v>
      </c>
      <c r="DO131" s="60">
        <v>2</v>
      </c>
      <c r="DP131" s="60">
        <v>0</v>
      </c>
      <c r="DQ131" s="59">
        <v>8</v>
      </c>
      <c r="DR131" s="62">
        <v>1784</v>
      </c>
      <c r="DS131" s="62" t="s">
        <v>5034</v>
      </c>
      <c r="DU131" s="62" t="s">
        <v>5034</v>
      </c>
      <c r="DV131" s="63">
        <v>45352</v>
      </c>
      <c r="DW131" s="64">
        <v>2024</v>
      </c>
      <c r="DX131" s="65">
        <v>3</v>
      </c>
    </row>
    <row r="132" spans="2:128" ht="15" x14ac:dyDescent="0.25">
      <c r="B132" s="43" t="s">
        <v>5022</v>
      </c>
      <c r="C132" s="43" t="s">
        <v>4873</v>
      </c>
      <c r="D132" s="43" t="s">
        <v>1917</v>
      </c>
      <c r="E132" s="49">
        <v>45254</v>
      </c>
      <c r="F132" s="49"/>
      <c r="G132" s="50">
        <v>1</v>
      </c>
      <c r="H132" s="43" t="s">
        <v>4799</v>
      </c>
      <c r="I132" s="43" t="s">
        <v>5076</v>
      </c>
      <c r="J132" s="43">
        <v>6</v>
      </c>
      <c r="K132" s="43">
        <v>2</v>
      </c>
      <c r="L132" s="43">
        <v>3</v>
      </c>
      <c r="M132" s="43"/>
      <c r="N132" s="43" t="s">
        <v>1925</v>
      </c>
      <c r="O132" s="43"/>
      <c r="P132" s="43" t="s">
        <v>1925</v>
      </c>
      <c r="Q132" s="43"/>
      <c r="R132" s="43" t="s">
        <v>5068</v>
      </c>
      <c r="S132" s="43" t="s">
        <v>5026</v>
      </c>
      <c r="T132" s="51" t="s">
        <v>5027</v>
      </c>
      <c r="U132" s="52" t="s">
        <v>5028</v>
      </c>
      <c r="V132" s="53" t="s">
        <v>3884</v>
      </c>
      <c r="W132" s="54" t="s">
        <v>1916</v>
      </c>
      <c r="X132" s="55" t="s">
        <v>4889</v>
      </c>
      <c r="Y132" t="s">
        <v>4800</v>
      </c>
      <c r="AI132" s="54"/>
      <c r="AJ132" s="56">
        <v>45740</v>
      </c>
      <c r="AK132" s="57">
        <v>45922</v>
      </c>
      <c r="AL132" s="57"/>
      <c r="AM132" s="57"/>
      <c r="AN132" s="57"/>
      <c r="AO132" s="57"/>
      <c r="AP132" s="57"/>
      <c r="AQ132" s="57"/>
      <c r="AR132" s="57"/>
      <c r="AS132" s="57"/>
      <c r="AT132" s="57"/>
      <c r="AU132" s="57"/>
      <c r="AV132" s="57"/>
      <c r="AW132" s="57"/>
      <c r="AX132" s="57"/>
      <c r="AY132" s="57"/>
      <c r="AZ132" s="57"/>
      <c r="BA132" s="57"/>
      <c r="BB132" s="57"/>
      <c r="BC132" s="58"/>
      <c r="BD132" s="55" t="s">
        <v>5030</v>
      </c>
      <c r="BE132" t="s">
        <v>5032</v>
      </c>
      <c r="BO132" s="54"/>
      <c r="BP132" s="56">
        <v>45712</v>
      </c>
      <c r="BQ132" s="57">
        <v>45894</v>
      </c>
      <c r="BR132" s="57"/>
      <c r="BS132" s="57"/>
      <c r="BT132" s="57"/>
      <c r="BU132" s="57"/>
      <c r="BV132" s="57"/>
      <c r="BW132" s="57"/>
      <c r="BX132" s="57"/>
      <c r="BY132" s="57"/>
      <c r="BZ132" s="57"/>
      <c r="CA132" s="57"/>
      <c r="CB132" s="56">
        <v>45730</v>
      </c>
      <c r="CC132" s="57">
        <v>45912</v>
      </c>
      <c r="CD132" s="57"/>
      <c r="CE132" s="57"/>
      <c r="CF132" s="57"/>
      <c r="CG132" s="57"/>
      <c r="CH132" s="57"/>
      <c r="CI132" s="57"/>
      <c r="CJ132" s="57"/>
      <c r="CK132" s="57"/>
      <c r="CL132" s="57"/>
      <c r="CM132" s="57"/>
      <c r="CN132" s="56">
        <v>45736</v>
      </c>
      <c r="CO132" s="57">
        <v>45918</v>
      </c>
      <c r="CP132" s="57"/>
      <c r="CQ132" s="57"/>
      <c r="CR132" s="57"/>
      <c r="CS132" s="57"/>
      <c r="CT132" s="57"/>
      <c r="CU132" s="57"/>
      <c r="CV132" s="57"/>
      <c r="CW132" s="57"/>
      <c r="CX132" s="57"/>
      <c r="CY132" s="57"/>
      <c r="CZ132" s="56" t="s">
        <v>5034</v>
      </c>
      <c r="DA132" s="57"/>
      <c r="DB132" s="57"/>
      <c r="DC132" s="57"/>
      <c r="DD132" s="57"/>
      <c r="DE132" s="57"/>
      <c r="DF132" s="57"/>
      <c r="DG132" s="57"/>
      <c r="DH132" s="57"/>
      <c r="DI132" s="57"/>
      <c r="DJ132" s="57"/>
      <c r="DK132" s="58"/>
      <c r="DL132" s="59">
        <v>2</v>
      </c>
      <c r="DM132" s="60">
        <v>2</v>
      </c>
      <c r="DN132" s="61">
        <v>2</v>
      </c>
      <c r="DO132" s="60">
        <v>2</v>
      </c>
      <c r="DP132" s="60">
        <v>0</v>
      </c>
      <c r="DQ132" s="59">
        <v>8</v>
      </c>
      <c r="DR132" s="62">
        <v>1792</v>
      </c>
      <c r="DS132" s="62" t="s">
        <v>5034</v>
      </c>
      <c r="DU132" s="62" t="s">
        <v>5034</v>
      </c>
      <c r="DV132" s="63">
        <v>45352</v>
      </c>
      <c r="DW132" s="64">
        <v>2024</v>
      </c>
      <c r="DX132" s="65">
        <v>3</v>
      </c>
    </row>
    <row r="133" spans="2:128" ht="15" x14ac:dyDescent="0.25">
      <c r="B133" s="43" t="s">
        <v>5022</v>
      </c>
      <c r="C133" s="43" t="s">
        <v>4873</v>
      </c>
      <c r="D133" s="43" t="s">
        <v>1908</v>
      </c>
      <c r="E133" s="49">
        <v>45254</v>
      </c>
      <c r="F133" s="49"/>
      <c r="G133" s="50">
        <v>1</v>
      </c>
      <c r="H133" s="43" t="s">
        <v>4799</v>
      </c>
      <c r="I133" s="43" t="s">
        <v>5076</v>
      </c>
      <c r="J133" s="43">
        <v>6</v>
      </c>
      <c r="K133" s="43">
        <v>2</v>
      </c>
      <c r="L133" s="43">
        <v>3</v>
      </c>
      <c r="M133" s="43"/>
      <c r="N133" s="43" t="s">
        <v>1925</v>
      </c>
      <c r="O133" s="43"/>
      <c r="P133" s="43" t="s">
        <v>1925</v>
      </c>
      <c r="Q133" s="43"/>
      <c r="R133" s="43" t="s">
        <v>5068</v>
      </c>
      <c r="S133" s="43" t="s">
        <v>5026</v>
      </c>
      <c r="T133" s="51" t="s">
        <v>5027</v>
      </c>
      <c r="U133" s="52" t="s">
        <v>5028</v>
      </c>
      <c r="V133" s="53" t="s">
        <v>3884</v>
      </c>
      <c r="W133" s="54" t="s">
        <v>1907</v>
      </c>
      <c r="X133" s="55" t="s">
        <v>4889</v>
      </c>
      <c r="Y133" t="s">
        <v>4800</v>
      </c>
      <c r="AI133" s="54"/>
      <c r="AJ133" s="56">
        <v>45740</v>
      </c>
      <c r="AK133" s="57">
        <v>45922</v>
      </c>
      <c r="AL133" s="57"/>
      <c r="AM133" s="57"/>
      <c r="AN133" s="57"/>
      <c r="AO133" s="57"/>
      <c r="AP133" s="57"/>
      <c r="AQ133" s="57"/>
      <c r="AR133" s="57"/>
      <c r="AS133" s="57"/>
      <c r="AT133" s="57"/>
      <c r="AU133" s="57"/>
      <c r="AV133" s="57"/>
      <c r="AW133" s="57"/>
      <c r="AX133" s="57"/>
      <c r="AY133" s="57"/>
      <c r="AZ133" s="57"/>
      <c r="BA133" s="57"/>
      <c r="BB133" s="57"/>
      <c r="BC133" s="58"/>
      <c r="BD133" s="55" t="s">
        <v>5030</v>
      </c>
      <c r="BE133" t="s">
        <v>5032</v>
      </c>
      <c r="BO133" s="54"/>
      <c r="BP133" s="56">
        <v>45712</v>
      </c>
      <c r="BQ133" s="57">
        <v>45894</v>
      </c>
      <c r="BR133" s="57"/>
      <c r="BS133" s="57"/>
      <c r="BT133" s="57"/>
      <c r="BU133" s="57"/>
      <c r="BV133" s="57"/>
      <c r="BW133" s="57"/>
      <c r="BX133" s="57"/>
      <c r="BY133" s="57"/>
      <c r="BZ133" s="57"/>
      <c r="CA133" s="57"/>
      <c r="CB133" s="56">
        <v>45730</v>
      </c>
      <c r="CC133" s="57">
        <v>45912</v>
      </c>
      <c r="CD133" s="57"/>
      <c r="CE133" s="57"/>
      <c r="CF133" s="57"/>
      <c r="CG133" s="57"/>
      <c r="CH133" s="57"/>
      <c r="CI133" s="57"/>
      <c r="CJ133" s="57"/>
      <c r="CK133" s="57"/>
      <c r="CL133" s="57"/>
      <c r="CM133" s="57"/>
      <c r="CN133" s="56">
        <v>45736</v>
      </c>
      <c r="CO133" s="57">
        <v>45918</v>
      </c>
      <c r="CP133" s="57"/>
      <c r="CQ133" s="57"/>
      <c r="CR133" s="57"/>
      <c r="CS133" s="57"/>
      <c r="CT133" s="57"/>
      <c r="CU133" s="57"/>
      <c r="CV133" s="57"/>
      <c r="CW133" s="57"/>
      <c r="CX133" s="57"/>
      <c r="CY133" s="57"/>
      <c r="CZ133" s="56" t="s">
        <v>5034</v>
      </c>
      <c r="DA133" s="57"/>
      <c r="DB133" s="57"/>
      <c r="DC133" s="57"/>
      <c r="DD133" s="57"/>
      <c r="DE133" s="57"/>
      <c r="DF133" s="57"/>
      <c r="DG133" s="57"/>
      <c r="DH133" s="57"/>
      <c r="DI133" s="57"/>
      <c r="DJ133" s="57"/>
      <c r="DK133" s="58"/>
      <c r="DL133" s="59">
        <v>2</v>
      </c>
      <c r="DM133" s="60">
        <v>2</v>
      </c>
      <c r="DN133" s="61">
        <v>2</v>
      </c>
      <c r="DO133" s="60">
        <v>2</v>
      </c>
      <c r="DP133" s="60">
        <v>0</v>
      </c>
      <c r="DQ133" s="59">
        <v>8</v>
      </c>
      <c r="DR133" s="62">
        <v>1800</v>
      </c>
      <c r="DS133" s="62" t="s">
        <v>5034</v>
      </c>
      <c r="DU133" s="62" t="s">
        <v>5034</v>
      </c>
      <c r="DV133" s="63">
        <v>45352</v>
      </c>
      <c r="DW133" s="64">
        <v>2024</v>
      </c>
      <c r="DX133" s="65">
        <v>3</v>
      </c>
    </row>
    <row r="134" spans="2:128" ht="15" x14ac:dyDescent="0.25">
      <c r="B134" s="43" t="s">
        <v>5022</v>
      </c>
      <c r="C134" s="43" t="s">
        <v>4873</v>
      </c>
      <c r="D134" s="43" t="s">
        <v>4875</v>
      </c>
      <c r="E134" s="49">
        <v>45254</v>
      </c>
      <c r="F134" s="49"/>
      <c r="G134" s="50">
        <v>1</v>
      </c>
      <c r="H134" s="43" t="s">
        <v>4799</v>
      </c>
      <c r="I134" s="43" t="s">
        <v>5076</v>
      </c>
      <c r="J134" s="43">
        <v>6</v>
      </c>
      <c r="K134" s="43">
        <v>2</v>
      </c>
      <c r="L134" s="43">
        <v>3</v>
      </c>
      <c r="M134" s="43"/>
      <c r="N134" s="43" t="s">
        <v>1925</v>
      </c>
      <c r="O134" s="43"/>
      <c r="P134" s="43" t="s">
        <v>1925</v>
      </c>
      <c r="Q134" s="43"/>
      <c r="R134" s="43" t="s">
        <v>5068</v>
      </c>
      <c r="S134" s="43" t="s">
        <v>5026</v>
      </c>
      <c r="T134" s="51" t="s">
        <v>5027</v>
      </c>
      <c r="U134" s="52" t="s">
        <v>5028</v>
      </c>
      <c r="V134" s="53" t="s">
        <v>3884</v>
      </c>
      <c r="W134" s="54" t="s">
        <v>1856</v>
      </c>
      <c r="X134" s="55" t="s">
        <v>4889</v>
      </c>
      <c r="Y134" t="s">
        <v>4800</v>
      </c>
      <c r="AI134" s="54"/>
      <c r="AJ134" s="56">
        <v>45740</v>
      </c>
      <c r="AK134" s="57">
        <v>45922</v>
      </c>
      <c r="AL134" s="57"/>
      <c r="AM134" s="57"/>
      <c r="AN134" s="57"/>
      <c r="AO134" s="57"/>
      <c r="AP134" s="57"/>
      <c r="AQ134" s="57"/>
      <c r="AR134" s="57"/>
      <c r="AS134" s="57"/>
      <c r="AT134" s="57"/>
      <c r="AU134" s="57"/>
      <c r="AV134" s="57"/>
      <c r="AW134" s="57"/>
      <c r="AX134" s="57"/>
      <c r="AY134" s="57"/>
      <c r="AZ134" s="57"/>
      <c r="BA134" s="57"/>
      <c r="BB134" s="57"/>
      <c r="BC134" s="58"/>
      <c r="BD134" s="55" t="s">
        <v>5030</v>
      </c>
      <c r="BE134" t="s">
        <v>5032</v>
      </c>
      <c r="BO134" s="54"/>
      <c r="BP134" s="56">
        <v>45712</v>
      </c>
      <c r="BQ134" s="57">
        <v>45894</v>
      </c>
      <c r="BR134" s="57"/>
      <c r="BS134" s="57"/>
      <c r="BT134" s="57"/>
      <c r="BU134" s="57"/>
      <c r="BV134" s="57"/>
      <c r="BW134" s="57"/>
      <c r="BX134" s="57"/>
      <c r="BY134" s="57"/>
      <c r="BZ134" s="57"/>
      <c r="CA134" s="57"/>
      <c r="CB134" s="56">
        <v>45730</v>
      </c>
      <c r="CC134" s="57">
        <v>45912</v>
      </c>
      <c r="CD134" s="57"/>
      <c r="CE134" s="57"/>
      <c r="CF134" s="57"/>
      <c r="CG134" s="57"/>
      <c r="CH134" s="57"/>
      <c r="CI134" s="57"/>
      <c r="CJ134" s="57"/>
      <c r="CK134" s="57"/>
      <c r="CL134" s="57"/>
      <c r="CM134" s="57"/>
      <c r="CN134" s="56">
        <v>45736</v>
      </c>
      <c r="CO134" s="57">
        <v>45918</v>
      </c>
      <c r="CP134" s="57"/>
      <c r="CQ134" s="57"/>
      <c r="CR134" s="57"/>
      <c r="CS134" s="57"/>
      <c r="CT134" s="57"/>
      <c r="CU134" s="57"/>
      <c r="CV134" s="57"/>
      <c r="CW134" s="57"/>
      <c r="CX134" s="57"/>
      <c r="CY134" s="57"/>
      <c r="CZ134" s="56" t="s">
        <v>5034</v>
      </c>
      <c r="DA134" s="57"/>
      <c r="DB134" s="57"/>
      <c r="DC134" s="57"/>
      <c r="DD134" s="57"/>
      <c r="DE134" s="57"/>
      <c r="DF134" s="57"/>
      <c r="DG134" s="57"/>
      <c r="DH134" s="57"/>
      <c r="DI134" s="57"/>
      <c r="DJ134" s="57"/>
      <c r="DK134" s="58"/>
      <c r="DL134" s="59">
        <v>2</v>
      </c>
      <c r="DM134" s="60">
        <v>2</v>
      </c>
      <c r="DN134" s="61">
        <v>2</v>
      </c>
      <c r="DO134" s="60">
        <v>2</v>
      </c>
      <c r="DP134" s="60">
        <v>0</v>
      </c>
      <c r="DQ134" s="59">
        <v>8</v>
      </c>
      <c r="DR134" s="62">
        <v>1808</v>
      </c>
      <c r="DS134" s="62" t="s">
        <v>5034</v>
      </c>
      <c r="DU134" s="62" t="s">
        <v>5034</v>
      </c>
      <c r="DV134" s="63">
        <v>45352</v>
      </c>
      <c r="DW134" s="64">
        <v>2024</v>
      </c>
      <c r="DX134" s="65">
        <v>3</v>
      </c>
    </row>
    <row r="135" spans="2:128" ht="15" x14ac:dyDescent="0.25">
      <c r="B135" s="43" t="s">
        <v>5022</v>
      </c>
      <c r="C135" s="43" t="s">
        <v>4873</v>
      </c>
      <c r="D135" s="43" t="s">
        <v>1899</v>
      </c>
      <c r="E135" s="49">
        <v>45254</v>
      </c>
      <c r="F135" s="49"/>
      <c r="G135" s="50">
        <v>1</v>
      </c>
      <c r="H135" s="43" t="s">
        <v>4799</v>
      </c>
      <c r="I135" s="43" t="s">
        <v>5076</v>
      </c>
      <c r="J135" s="43">
        <v>6</v>
      </c>
      <c r="K135" s="43">
        <v>2</v>
      </c>
      <c r="L135" s="43">
        <v>3</v>
      </c>
      <c r="M135" s="43"/>
      <c r="N135" s="43" t="s">
        <v>1925</v>
      </c>
      <c r="O135" s="43"/>
      <c r="P135" s="43" t="s">
        <v>1925</v>
      </c>
      <c r="Q135" s="43"/>
      <c r="R135" s="43" t="s">
        <v>5068</v>
      </c>
      <c r="S135" s="43" t="s">
        <v>5026</v>
      </c>
      <c r="T135" s="51" t="s">
        <v>5027</v>
      </c>
      <c r="U135" s="52" t="s">
        <v>5028</v>
      </c>
      <c r="V135" s="53" t="s">
        <v>3884</v>
      </c>
      <c r="W135" s="54" t="s">
        <v>1898</v>
      </c>
      <c r="X135" s="55" t="s">
        <v>4889</v>
      </c>
      <c r="Y135" t="s">
        <v>4800</v>
      </c>
      <c r="AI135" s="54"/>
      <c r="AJ135" s="56">
        <v>45740</v>
      </c>
      <c r="AK135" s="57">
        <v>45922</v>
      </c>
      <c r="AL135" s="57"/>
      <c r="AM135" s="57"/>
      <c r="AN135" s="57"/>
      <c r="AO135" s="57"/>
      <c r="AP135" s="57"/>
      <c r="AQ135" s="57"/>
      <c r="AR135" s="57"/>
      <c r="AS135" s="57"/>
      <c r="AT135" s="57"/>
      <c r="AU135" s="57"/>
      <c r="AV135" s="57"/>
      <c r="AW135" s="57"/>
      <c r="AX135" s="57"/>
      <c r="AY135" s="57"/>
      <c r="AZ135" s="57"/>
      <c r="BA135" s="57"/>
      <c r="BB135" s="57"/>
      <c r="BC135" s="58"/>
      <c r="BD135" s="55" t="s">
        <v>5030</v>
      </c>
      <c r="BE135" t="s">
        <v>5032</v>
      </c>
      <c r="BO135" s="54"/>
      <c r="BP135" s="56">
        <v>45712</v>
      </c>
      <c r="BQ135" s="57">
        <v>45894</v>
      </c>
      <c r="BR135" s="57"/>
      <c r="BS135" s="57"/>
      <c r="BT135" s="57"/>
      <c r="BU135" s="57"/>
      <c r="BV135" s="57"/>
      <c r="BW135" s="57"/>
      <c r="BX135" s="57"/>
      <c r="BY135" s="57"/>
      <c r="BZ135" s="57"/>
      <c r="CA135" s="57"/>
      <c r="CB135" s="56">
        <v>45730</v>
      </c>
      <c r="CC135" s="57">
        <v>45912</v>
      </c>
      <c r="CD135" s="57"/>
      <c r="CE135" s="57"/>
      <c r="CF135" s="57"/>
      <c r="CG135" s="57"/>
      <c r="CH135" s="57"/>
      <c r="CI135" s="57"/>
      <c r="CJ135" s="57"/>
      <c r="CK135" s="57"/>
      <c r="CL135" s="57"/>
      <c r="CM135" s="57"/>
      <c r="CN135" s="56">
        <v>45736</v>
      </c>
      <c r="CO135" s="57">
        <v>45918</v>
      </c>
      <c r="CP135" s="57"/>
      <c r="CQ135" s="57"/>
      <c r="CR135" s="57"/>
      <c r="CS135" s="57"/>
      <c r="CT135" s="57"/>
      <c r="CU135" s="57"/>
      <c r="CV135" s="57"/>
      <c r="CW135" s="57"/>
      <c r="CX135" s="57"/>
      <c r="CY135" s="57"/>
      <c r="CZ135" s="56" t="s">
        <v>5034</v>
      </c>
      <c r="DA135" s="57"/>
      <c r="DB135" s="57"/>
      <c r="DC135" s="57"/>
      <c r="DD135" s="57"/>
      <c r="DE135" s="57"/>
      <c r="DF135" s="57"/>
      <c r="DG135" s="57"/>
      <c r="DH135" s="57"/>
      <c r="DI135" s="57"/>
      <c r="DJ135" s="57"/>
      <c r="DK135" s="58"/>
      <c r="DL135" s="59">
        <v>2</v>
      </c>
      <c r="DM135" s="60">
        <v>2</v>
      </c>
      <c r="DN135" s="61">
        <v>2</v>
      </c>
      <c r="DO135" s="60">
        <v>2</v>
      </c>
      <c r="DP135" s="60">
        <v>0</v>
      </c>
      <c r="DQ135" s="59">
        <v>8</v>
      </c>
      <c r="DR135" s="62">
        <v>1816</v>
      </c>
      <c r="DS135" s="62" t="s">
        <v>5034</v>
      </c>
      <c r="DU135" s="62" t="s">
        <v>5034</v>
      </c>
      <c r="DV135" s="63">
        <v>45352</v>
      </c>
      <c r="DW135" s="64">
        <v>2024</v>
      </c>
      <c r="DX135" s="65">
        <v>3</v>
      </c>
    </row>
    <row r="136" spans="2:128" ht="15" x14ac:dyDescent="0.25">
      <c r="B136" s="43" t="s">
        <v>5022</v>
      </c>
      <c r="C136" s="43" t="s">
        <v>4873</v>
      </c>
      <c r="D136" s="43" t="s">
        <v>1871</v>
      </c>
      <c r="E136" s="49">
        <v>45254</v>
      </c>
      <c r="F136" s="49"/>
      <c r="G136" s="50">
        <v>1</v>
      </c>
      <c r="H136" s="43" t="s">
        <v>4799</v>
      </c>
      <c r="I136" s="43" t="s">
        <v>5076</v>
      </c>
      <c r="J136" s="43">
        <v>6</v>
      </c>
      <c r="K136" s="43">
        <v>2</v>
      </c>
      <c r="L136" s="43">
        <v>3</v>
      </c>
      <c r="M136" s="43"/>
      <c r="N136" s="43" t="s">
        <v>1925</v>
      </c>
      <c r="O136" s="43"/>
      <c r="P136" s="43" t="s">
        <v>1925</v>
      </c>
      <c r="Q136" s="43"/>
      <c r="R136" s="43" t="s">
        <v>5068</v>
      </c>
      <c r="S136" s="43" t="s">
        <v>5026</v>
      </c>
      <c r="T136" s="51" t="s">
        <v>5027</v>
      </c>
      <c r="U136" s="52" t="s">
        <v>5028</v>
      </c>
      <c r="V136" s="53" t="s">
        <v>3884</v>
      </c>
      <c r="W136" s="54" t="s">
        <v>1870</v>
      </c>
      <c r="X136" s="55" t="s">
        <v>4889</v>
      </c>
      <c r="Y136" t="s">
        <v>4800</v>
      </c>
      <c r="AI136" s="54"/>
      <c r="AJ136" s="56">
        <v>45740</v>
      </c>
      <c r="AK136" s="57">
        <v>45922</v>
      </c>
      <c r="AL136" s="57"/>
      <c r="AM136" s="57"/>
      <c r="AN136" s="57"/>
      <c r="AO136" s="57"/>
      <c r="AP136" s="57"/>
      <c r="AQ136" s="57"/>
      <c r="AR136" s="57"/>
      <c r="AS136" s="57"/>
      <c r="AT136" s="57"/>
      <c r="AU136" s="57"/>
      <c r="AV136" s="57"/>
      <c r="AW136" s="57"/>
      <c r="AX136" s="57"/>
      <c r="AY136" s="57"/>
      <c r="AZ136" s="57"/>
      <c r="BA136" s="57"/>
      <c r="BB136" s="57"/>
      <c r="BC136" s="58"/>
      <c r="BD136" s="55" t="s">
        <v>5030</v>
      </c>
      <c r="BE136" t="s">
        <v>5032</v>
      </c>
      <c r="BO136" s="54"/>
      <c r="BP136" s="56">
        <v>45712</v>
      </c>
      <c r="BQ136" s="57">
        <v>45894</v>
      </c>
      <c r="BR136" s="57"/>
      <c r="BS136" s="57"/>
      <c r="BT136" s="57"/>
      <c r="BU136" s="57"/>
      <c r="BV136" s="57"/>
      <c r="BW136" s="57"/>
      <c r="BX136" s="57"/>
      <c r="BY136" s="57"/>
      <c r="BZ136" s="57"/>
      <c r="CA136" s="57"/>
      <c r="CB136" s="56">
        <v>45730</v>
      </c>
      <c r="CC136" s="57">
        <v>45912</v>
      </c>
      <c r="CD136" s="57"/>
      <c r="CE136" s="57"/>
      <c r="CF136" s="57"/>
      <c r="CG136" s="57"/>
      <c r="CH136" s="57"/>
      <c r="CI136" s="57"/>
      <c r="CJ136" s="57"/>
      <c r="CK136" s="57"/>
      <c r="CL136" s="57"/>
      <c r="CM136" s="57"/>
      <c r="CN136" s="56">
        <v>45736</v>
      </c>
      <c r="CO136" s="57">
        <v>45918</v>
      </c>
      <c r="CP136" s="57"/>
      <c r="CQ136" s="57"/>
      <c r="CR136" s="57"/>
      <c r="CS136" s="57"/>
      <c r="CT136" s="57"/>
      <c r="CU136" s="57"/>
      <c r="CV136" s="57"/>
      <c r="CW136" s="57"/>
      <c r="CX136" s="57"/>
      <c r="CY136" s="57"/>
      <c r="CZ136" s="56" t="s">
        <v>5034</v>
      </c>
      <c r="DA136" s="57"/>
      <c r="DB136" s="57"/>
      <c r="DC136" s="57"/>
      <c r="DD136" s="57"/>
      <c r="DE136" s="57"/>
      <c r="DF136" s="57"/>
      <c r="DG136" s="57"/>
      <c r="DH136" s="57"/>
      <c r="DI136" s="57"/>
      <c r="DJ136" s="57"/>
      <c r="DK136" s="58"/>
      <c r="DL136" s="59">
        <v>2</v>
      </c>
      <c r="DM136" s="60">
        <v>2</v>
      </c>
      <c r="DN136" s="61">
        <v>2</v>
      </c>
      <c r="DO136" s="60">
        <v>2</v>
      </c>
      <c r="DP136" s="60">
        <v>0</v>
      </c>
      <c r="DQ136" s="59">
        <v>8</v>
      </c>
      <c r="DR136" s="62">
        <v>1824</v>
      </c>
      <c r="DS136" s="62" t="s">
        <v>5034</v>
      </c>
      <c r="DU136" s="62" t="s">
        <v>5034</v>
      </c>
      <c r="DV136" s="63">
        <v>45352</v>
      </c>
      <c r="DW136" s="64">
        <v>2024</v>
      </c>
      <c r="DX136" s="65">
        <v>3</v>
      </c>
    </row>
    <row r="137" spans="2:128" ht="15" x14ac:dyDescent="0.25">
      <c r="B137" s="43" t="s">
        <v>5022</v>
      </c>
      <c r="C137" s="43" t="s">
        <v>4873</v>
      </c>
      <c r="D137" s="43" t="s">
        <v>4876</v>
      </c>
      <c r="E137" s="49">
        <v>45254</v>
      </c>
      <c r="F137" s="49"/>
      <c r="G137" s="50">
        <v>1</v>
      </c>
      <c r="H137" s="43" t="s">
        <v>4799</v>
      </c>
      <c r="I137" s="43" t="s">
        <v>5076</v>
      </c>
      <c r="J137" s="43">
        <v>6</v>
      </c>
      <c r="K137" s="43">
        <v>2</v>
      </c>
      <c r="L137" s="43">
        <v>3</v>
      </c>
      <c r="M137" s="43"/>
      <c r="N137" s="43" t="s">
        <v>1925</v>
      </c>
      <c r="O137" s="43"/>
      <c r="P137" s="43" t="s">
        <v>1925</v>
      </c>
      <c r="Q137" s="43"/>
      <c r="R137" s="43" t="s">
        <v>5068</v>
      </c>
      <c r="S137" s="43" t="s">
        <v>5026</v>
      </c>
      <c r="T137" s="51" t="s">
        <v>5027</v>
      </c>
      <c r="U137" s="52" t="s">
        <v>5028</v>
      </c>
      <c r="V137" s="53" t="s">
        <v>3884</v>
      </c>
      <c r="W137" s="54" t="s">
        <v>1847</v>
      </c>
      <c r="X137" s="55" t="s">
        <v>4889</v>
      </c>
      <c r="Y137" t="s">
        <v>4800</v>
      </c>
      <c r="AI137" s="54"/>
      <c r="AJ137" s="56">
        <v>45740</v>
      </c>
      <c r="AK137" s="57">
        <v>45922</v>
      </c>
      <c r="AL137" s="57"/>
      <c r="AM137" s="57"/>
      <c r="AN137" s="57"/>
      <c r="AO137" s="57"/>
      <c r="AP137" s="57"/>
      <c r="AQ137" s="57"/>
      <c r="AR137" s="57"/>
      <c r="AS137" s="57"/>
      <c r="AT137" s="57"/>
      <c r="AU137" s="57"/>
      <c r="AV137" s="57"/>
      <c r="AW137" s="57"/>
      <c r="AX137" s="57"/>
      <c r="AY137" s="57"/>
      <c r="AZ137" s="57"/>
      <c r="BA137" s="57"/>
      <c r="BB137" s="57"/>
      <c r="BC137" s="58"/>
      <c r="BD137" s="55" t="s">
        <v>5030</v>
      </c>
      <c r="BE137" t="s">
        <v>5032</v>
      </c>
      <c r="BO137" s="54"/>
      <c r="BP137" s="56">
        <v>45712</v>
      </c>
      <c r="BQ137" s="57">
        <v>45894</v>
      </c>
      <c r="BR137" s="57"/>
      <c r="BS137" s="57"/>
      <c r="BT137" s="57"/>
      <c r="BU137" s="57"/>
      <c r="BV137" s="57"/>
      <c r="BW137" s="57"/>
      <c r="BX137" s="57"/>
      <c r="BY137" s="57"/>
      <c r="BZ137" s="57"/>
      <c r="CA137" s="57"/>
      <c r="CB137" s="56">
        <v>45730</v>
      </c>
      <c r="CC137" s="57">
        <v>45912</v>
      </c>
      <c r="CD137" s="57"/>
      <c r="CE137" s="57"/>
      <c r="CF137" s="57"/>
      <c r="CG137" s="57"/>
      <c r="CH137" s="57"/>
      <c r="CI137" s="57"/>
      <c r="CJ137" s="57"/>
      <c r="CK137" s="57"/>
      <c r="CL137" s="57"/>
      <c r="CM137" s="57"/>
      <c r="CN137" s="56">
        <v>45736</v>
      </c>
      <c r="CO137" s="57">
        <v>45918</v>
      </c>
      <c r="CP137" s="57"/>
      <c r="CQ137" s="57"/>
      <c r="CR137" s="57"/>
      <c r="CS137" s="57"/>
      <c r="CT137" s="57"/>
      <c r="CU137" s="57"/>
      <c r="CV137" s="57"/>
      <c r="CW137" s="57"/>
      <c r="CX137" s="57"/>
      <c r="CY137" s="57"/>
      <c r="CZ137" s="56" t="s">
        <v>5034</v>
      </c>
      <c r="DA137" s="57"/>
      <c r="DB137" s="57"/>
      <c r="DC137" s="57"/>
      <c r="DD137" s="57"/>
      <c r="DE137" s="57"/>
      <c r="DF137" s="57"/>
      <c r="DG137" s="57"/>
      <c r="DH137" s="57"/>
      <c r="DI137" s="57"/>
      <c r="DJ137" s="57"/>
      <c r="DK137" s="58"/>
      <c r="DL137" s="59">
        <v>2</v>
      </c>
      <c r="DM137" s="60">
        <v>2</v>
      </c>
      <c r="DN137" s="61">
        <v>2</v>
      </c>
      <c r="DO137" s="60">
        <v>2</v>
      </c>
      <c r="DP137" s="60">
        <v>0</v>
      </c>
      <c r="DQ137" s="59">
        <v>8</v>
      </c>
      <c r="DR137" s="62">
        <v>1832</v>
      </c>
      <c r="DS137" s="62" t="s">
        <v>5034</v>
      </c>
      <c r="DU137" s="62" t="s">
        <v>5034</v>
      </c>
      <c r="DV137" s="63">
        <v>45352</v>
      </c>
      <c r="DW137" s="64">
        <v>2024</v>
      </c>
      <c r="DX137" s="65">
        <v>3</v>
      </c>
    </row>
    <row r="138" spans="2:128" ht="15" x14ac:dyDescent="0.25">
      <c r="B138" s="43" t="s">
        <v>5022</v>
      </c>
      <c r="C138" s="43" t="s">
        <v>4873</v>
      </c>
      <c r="D138" s="43" t="s">
        <v>4877</v>
      </c>
      <c r="E138" s="49">
        <v>45254</v>
      </c>
      <c r="F138" s="49"/>
      <c r="G138" s="50">
        <v>1</v>
      </c>
      <c r="H138" s="43" t="s">
        <v>4799</v>
      </c>
      <c r="I138" s="43" t="s">
        <v>5076</v>
      </c>
      <c r="J138" s="43">
        <v>6</v>
      </c>
      <c r="K138" s="43">
        <v>2</v>
      </c>
      <c r="L138" s="43">
        <v>3</v>
      </c>
      <c r="M138" s="43"/>
      <c r="N138" s="43" t="s">
        <v>1925</v>
      </c>
      <c r="O138" s="43"/>
      <c r="P138" s="43" t="s">
        <v>1925</v>
      </c>
      <c r="Q138" s="43"/>
      <c r="R138" s="43" t="s">
        <v>5068</v>
      </c>
      <c r="S138" s="43" t="s">
        <v>5026</v>
      </c>
      <c r="T138" s="51" t="s">
        <v>5027</v>
      </c>
      <c r="U138" s="52" t="s">
        <v>5028</v>
      </c>
      <c r="V138" s="53" t="s">
        <v>3884</v>
      </c>
      <c r="W138" s="54" t="s">
        <v>1829</v>
      </c>
      <c r="X138" s="55" t="s">
        <v>4889</v>
      </c>
      <c r="Y138" t="s">
        <v>4800</v>
      </c>
      <c r="AI138" s="54"/>
      <c r="AJ138" s="56">
        <v>45740</v>
      </c>
      <c r="AK138" s="57">
        <v>45922</v>
      </c>
      <c r="AL138" s="57"/>
      <c r="AM138" s="57"/>
      <c r="AN138" s="57"/>
      <c r="AO138" s="57"/>
      <c r="AP138" s="57"/>
      <c r="AQ138" s="57"/>
      <c r="AR138" s="57"/>
      <c r="AS138" s="57"/>
      <c r="AT138" s="57"/>
      <c r="AU138" s="57"/>
      <c r="AV138" s="57"/>
      <c r="AW138" s="57"/>
      <c r="AX138" s="57"/>
      <c r="AY138" s="57"/>
      <c r="AZ138" s="57"/>
      <c r="BA138" s="57"/>
      <c r="BB138" s="57"/>
      <c r="BC138" s="58"/>
      <c r="BD138" s="55" t="s">
        <v>5030</v>
      </c>
      <c r="BE138" t="s">
        <v>5032</v>
      </c>
      <c r="BO138" s="54"/>
      <c r="BP138" s="56">
        <v>45712</v>
      </c>
      <c r="BQ138" s="57">
        <v>45894</v>
      </c>
      <c r="BR138" s="57"/>
      <c r="BS138" s="57"/>
      <c r="BT138" s="57"/>
      <c r="BU138" s="57"/>
      <c r="BV138" s="57"/>
      <c r="BW138" s="57"/>
      <c r="BX138" s="57"/>
      <c r="BY138" s="57"/>
      <c r="BZ138" s="57"/>
      <c r="CA138" s="57"/>
      <c r="CB138" s="56">
        <v>45730</v>
      </c>
      <c r="CC138" s="57">
        <v>45912</v>
      </c>
      <c r="CD138" s="57"/>
      <c r="CE138" s="57"/>
      <c r="CF138" s="57"/>
      <c r="CG138" s="57"/>
      <c r="CH138" s="57"/>
      <c r="CI138" s="57"/>
      <c r="CJ138" s="57"/>
      <c r="CK138" s="57"/>
      <c r="CL138" s="57"/>
      <c r="CM138" s="57"/>
      <c r="CN138" s="56">
        <v>45736</v>
      </c>
      <c r="CO138" s="57">
        <v>45918</v>
      </c>
      <c r="CP138" s="57"/>
      <c r="CQ138" s="57"/>
      <c r="CR138" s="57"/>
      <c r="CS138" s="57"/>
      <c r="CT138" s="57"/>
      <c r="CU138" s="57"/>
      <c r="CV138" s="57"/>
      <c r="CW138" s="57"/>
      <c r="CX138" s="57"/>
      <c r="CY138" s="57"/>
      <c r="CZ138" s="56" t="s">
        <v>5034</v>
      </c>
      <c r="DA138" s="57"/>
      <c r="DB138" s="57"/>
      <c r="DC138" s="57"/>
      <c r="DD138" s="57"/>
      <c r="DE138" s="57"/>
      <c r="DF138" s="57"/>
      <c r="DG138" s="57"/>
      <c r="DH138" s="57"/>
      <c r="DI138" s="57"/>
      <c r="DJ138" s="57"/>
      <c r="DK138" s="58"/>
      <c r="DL138" s="59">
        <v>2</v>
      </c>
      <c r="DM138" s="60">
        <v>2</v>
      </c>
      <c r="DN138" s="61">
        <v>2</v>
      </c>
      <c r="DO138" s="60">
        <v>2</v>
      </c>
      <c r="DP138" s="60">
        <v>0</v>
      </c>
      <c r="DQ138" s="59">
        <v>8</v>
      </c>
      <c r="DR138" s="62">
        <v>1840</v>
      </c>
      <c r="DS138" s="62" t="s">
        <v>5034</v>
      </c>
      <c r="DU138" s="62" t="s">
        <v>5034</v>
      </c>
      <c r="DV138" s="63">
        <v>45352</v>
      </c>
      <c r="DW138" s="64">
        <v>2024</v>
      </c>
      <c r="DX138" s="65">
        <v>3</v>
      </c>
    </row>
    <row r="139" spans="2:128" ht="15" x14ac:dyDescent="0.25">
      <c r="B139" s="43" t="s">
        <v>5022</v>
      </c>
      <c r="C139" s="43" t="s">
        <v>4873</v>
      </c>
      <c r="D139" s="43" t="s">
        <v>4878</v>
      </c>
      <c r="E139" s="49">
        <v>45254</v>
      </c>
      <c r="F139" s="49"/>
      <c r="G139" s="50">
        <v>1</v>
      </c>
      <c r="H139" s="43" t="s">
        <v>4799</v>
      </c>
      <c r="I139" s="43" t="s">
        <v>5076</v>
      </c>
      <c r="J139" s="43">
        <v>6</v>
      </c>
      <c r="K139" s="43">
        <v>2</v>
      </c>
      <c r="L139" s="43">
        <v>3</v>
      </c>
      <c r="M139" s="43"/>
      <c r="N139" s="43" t="s">
        <v>1925</v>
      </c>
      <c r="O139" s="43"/>
      <c r="P139" s="43" t="s">
        <v>1925</v>
      </c>
      <c r="Q139" s="43"/>
      <c r="R139" s="43" t="s">
        <v>5068</v>
      </c>
      <c r="S139" s="43" t="s">
        <v>5026</v>
      </c>
      <c r="T139" s="51" t="s">
        <v>5027</v>
      </c>
      <c r="U139" s="52" t="s">
        <v>5028</v>
      </c>
      <c r="V139" s="53" t="s">
        <v>3884</v>
      </c>
      <c r="W139" s="54" t="s">
        <v>1859</v>
      </c>
      <c r="X139" s="55" t="s">
        <v>4889</v>
      </c>
      <c r="Y139" t="s">
        <v>4800</v>
      </c>
      <c r="AI139" s="54"/>
      <c r="AJ139" s="56">
        <v>45740</v>
      </c>
      <c r="AK139" s="57">
        <v>45922</v>
      </c>
      <c r="AL139" s="57"/>
      <c r="AM139" s="57"/>
      <c r="AN139" s="57"/>
      <c r="AO139" s="57"/>
      <c r="AP139" s="57"/>
      <c r="AQ139" s="57"/>
      <c r="AR139" s="57"/>
      <c r="AS139" s="57"/>
      <c r="AT139" s="57"/>
      <c r="AU139" s="57"/>
      <c r="AV139" s="57"/>
      <c r="AW139" s="57"/>
      <c r="AX139" s="57"/>
      <c r="AY139" s="57"/>
      <c r="AZ139" s="57"/>
      <c r="BA139" s="57"/>
      <c r="BB139" s="57"/>
      <c r="BC139" s="58"/>
      <c r="BD139" s="55" t="s">
        <v>5030</v>
      </c>
      <c r="BE139" t="s">
        <v>5032</v>
      </c>
      <c r="BO139" s="54"/>
      <c r="BP139" s="56">
        <v>45712</v>
      </c>
      <c r="BQ139" s="57">
        <v>45894</v>
      </c>
      <c r="BR139" s="57"/>
      <c r="BS139" s="57"/>
      <c r="BT139" s="57"/>
      <c r="BU139" s="57"/>
      <c r="BV139" s="57"/>
      <c r="BW139" s="57"/>
      <c r="BX139" s="57"/>
      <c r="BY139" s="57"/>
      <c r="BZ139" s="57"/>
      <c r="CA139" s="57"/>
      <c r="CB139" s="56">
        <v>45730</v>
      </c>
      <c r="CC139" s="57">
        <v>45912</v>
      </c>
      <c r="CD139" s="57"/>
      <c r="CE139" s="57"/>
      <c r="CF139" s="57"/>
      <c r="CG139" s="57"/>
      <c r="CH139" s="57"/>
      <c r="CI139" s="57"/>
      <c r="CJ139" s="57"/>
      <c r="CK139" s="57"/>
      <c r="CL139" s="57"/>
      <c r="CM139" s="57"/>
      <c r="CN139" s="56">
        <v>45736</v>
      </c>
      <c r="CO139" s="57">
        <v>45918</v>
      </c>
      <c r="CP139" s="57"/>
      <c r="CQ139" s="57"/>
      <c r="CR139" s="57"/>
      <c r="CS139" s="57"/>
      <c r="CT139" s="57"/>
      <c r="CU139" s="57"/>
      <c r="CV139" s="57"/>
      <c r="CW139" s="57"/>
      <c r="CX139" s="57"/>
      <c r="CY139" s="57"/>
      <c r="CZ139" s="56" t="s">
        <v>5034</v>
      </c>
      <c r="DA139" s="57"/>
      <c r="DB139" s="57"/>
      <c r="DC139" s="57"/>
      <c r="DD139" s="57"/>
      <c r="DE139" s="57"/>
      <c r="DF139" s="57"/>
      <c r="DG139" s="57"/>
      <c r="DH139" s="57"/>
      <c r="DI139" s="57"/>
      <c r="DJ139" s="57"/>
      <c r="DK139" s="58"/>
      <c r="DL139" s="59">
        <v>2</v>
      </c>
      <c r="DM139" s="60">
        <v>2</v>
      </c>
      <c r="DN139" s="61">
        <v>2</v>
      </c>
      <c r="DO139" s="60">
        <v>2</v>
      </c>
      <c r="DP139" s="60">
        <v>0</v>
      </c>
      <c r="DQ139" s="59">
        <v>8</v>
      </c>
      <c r="DR139" s="62">
        <v>1848</v>
      </c>
      <c r="DS139" s="62" t="s">
        <v>5034</v>
      </c>
      <c r="DU139" s="62" t="s">
        <v>5034</v>
      </c>
      <c r="DV139" s="63">
        <v>45352</v>
      </c>
      <c r="DW139" s="64">
        <v>2024</v>
      </c>
      <c r="DX139" s="65">
        <v>3</v>
      </c>
    </row>
    <row r="140" spans="2:128" ht="15" x14ac:dyDescent="0.25">
      <c r="B140" s="43" t="s">
        <v>5022</v>
      </c>
      <c r="C140" s="43" t="s">
        <v>4879</v>
      </c>
      <c r="D140" s="43" t="s">
        <v>2925</v>
      </c>
      <c r="E140" s="49">
        <v>45393</v>
      </c>
      <c r="F140" s="49"/>
      <c r="G140" s="50">
        <v>1</v>
      </c>
      <c r="H140" s="43" t="s">
        <v>4896</v>
      </c>
      <c r="I140" s="43" t="s">
        <v>5031</v>
      </c>
      <c r="J140" s="43"/>
      <c r="K140" s="43">
        <v>2</v>
      </c>
      <c r="L140" s="43">
        <v>3</v>
      </c>
      <c r="M140" s="43"/>
      <c r="N140" s="43" t="s">
        <v>856</v>
      </c>
      <c r="O140" s="43" t="s">
        <v>5143</v>
      </c>
      <c r="P140" s="43" t="s">
        <v>5063</v>
      </c>
      <c r="Q140" s="43"/>
      <c r="R140" s="43" t="s">
        <v>5038</v>
      </c>
      <c r="S140" s="43" t="s">
        <v>5026</v>
      </c>
      <c r="T140" s="51" t="s">
        <v>5027</v>
      </c>
      <c r="U140" s="52" t="s">
        <v>5028</v>
      </c>
      <c r="V140" s="53" t="s">
        <v>3884</v>
      </c>
      <c r="W140" s="54" t="s">
        <v>2924</v>
      </c>
      <c r="X140" s="55" t="s">
        <v>4896</v>
      </c>
      <c r="AI140" s="54"/>
      <c r="AJ140" s="56">
        <v>45831</v>
      </c>
      <c r="AK140" s="57"/>
      <c r="AL140" s="57"/>
      <c r="AM140" s="57"/>
      <c r="AN140" s="57"/>
      <c r="AO140" s="57"/>
      <c r="AP140" s="57"/>
      <c r="AQ140" s="57"/>
      <c r="AR140" s="57"/>
      <c r="AS140" s="57"/>
      <c r="AT140" s="57"/>
      <c r="AU140" s="57"/>
      <c r="AV140" s="57"/>
      <c r="AW140" s="57"/>
      <c r="AX140" s="57"/>
      <c r="AY140" s="57"/>
      <c r="AZ140" s="57"/>
      <c r="BA140" s="57"/>
      <c r="BB140" s="57"/>
      <c r="BC140" s="58"/>
      <c r="BD140" s="55" t="s">
        <v>5031</v>
      </c>
      <c r="BO140" s="54"/>
      <c r="BP140" s="56">
        <v>45803</v>
      </c>
      <c r="BQ140" s="57"/>
      <c r="BR140" s="57"/>
      <c r="BS140" s="57"/>
      <c r="BT140" s="57"/>
      <c r="BU140" s="57"/>
      <c r="BV140" s="57"/>
      <c r="BW140" s="57"/>
      <c r="BX140" s="57"/>
      <c r="BY140" s="57"/>
      <c r="BZ140" s="57"/>
      <c r="CA140" s="57"/>
      <c r="CB140" s="56" t="s">
        <v>5034</v>
      </c>
      <c r="CC140" s="57"/>
      <c r="CD140" s="57"/>
      <c r="CE140" s="57"/>
      <c r="CF140" s="57"/>
      <c r="CG140" s="57"/>
      <c r="CH140" s="57"/>
      <c r="CI140" s="57"/>
      <c r="CJ140" s="57"/>
      <c r="CK140" s="57"/>
      <c r="CL140" s="57"/>
      <c r="CM140" s="57"/>
      <c r="CN140" s="56">
        <v>45827</v>
      </c>
      <c r="CO140" s="57"/>
      <c r="CP140" s="57"/>
      <c r="CQ140" s="57"/>
      <c r="CR140" s="57"/>
      <c r="CS140" s="57"/>
      <c r="CT140" s="57"/>
      <c r="CU140" s="57"/>
      <c r="CV140" s="57"/>
      <c r="CW140" s="57"/>
      <c r="CX140" s="57"/>
      <c r="CY140" s="57"/>
      <c r="CZ140" s="56" t="s">
        <v>5034</v>
      </c>
      <c r="DA140" s="57"/>
      <c r="DB140" s="57"/>
      <c r="DC140" s="57"/>
      <c r="DD140" s="57"/>
      <c r="DE140" s="57"/>
      <c r="DF140" s="57"/>
      <c r="DG140" s="57"/>
      <c r="DH140" s="57"/>
      <c r="DI140" s="57"/>
      <c r="DJ140" s="57"/>
      <c r="DK140" s="58"/>
      <c r="DL140" s="59">
        <v>1</v>
      </c>
      <c r="DM140" s="60">
        <v>1</v>
      </c>
      <c r="DN140" s="61">
        <v>0</v>
      </c>
      <c r="DO140" s="60">
        <v>1</v>
      </c>
      <c r="DP140" s="60">
        <v>0</v>
      </c>
      <c r="DQ140" s="59">
        <v>3</v>
      </c>
      <c r="DR140" s="62">
        <v>1859</v>
      </c>
      <c r="DS140" s="62" t="s">
        <v>5034</v>
      </c>
      <c r="DU140" s="62" t="s">
        <v>5034</v>
      </c>
      <c r="DV140" s="63">
        <v>45449</v>
      </c>
      <c r="DW140" s="64">
        <v>2024</v>
      </c>
      <c r="DX140" s="65">
        <v>6</v>
      </c>
    </row>
    <row r="141" spans="2:128" ht="15" x14ac:dyDescent="0.25">
      <c r="B141" s="43" t="s">
        <v>5022</v>
      </c>
      <c r="C141" s="43" t="s">
        <v>4860</v>
      </c>
      <c r="D141" s="43" t="s">
        <v>3319</v>
      </c>
      <c r="E141" s="49">
        <v>45405</v>
      </c>
      <c r="F141" s="49"/>
      <c r="G141" s="50">
        <v>1</v>
      </c>
      <c r="H141" s="43" t="s">
        <v>4800</v>
      </c>
      <c r="I141" s="43" t="s">
        <v>5032</v>
      </c>
      <c r="J141" s="43"/>
      <c r="K141" s="43">
        <v>2</v>
      </c>
      <c r="L141" s="43">
        <v>3</v>
      </c>
      <c r="M141" s="43"/>
      <c r="N141" s="43" t="s">
        <v>995</v>
      </c>
      <c r="O141" s="43" t="s">
        <v>5116</v>
      </c>
      <c r="P141" s="43" t="s">
        <v>5024</v>
      </c>
      <c r="Q141" s="43"/>
      <c r="R141" s="43" t="s">
        <v>5081</v>
      </c>
      <c r="S141" s="43" t="s">
        <v>5026</v>
      </c>
      <c r="T141" s="51" t="s">
        <v>5027</v>
      </c>
      <c r="U141" s="52" t="s">
        <v>5028</v>
      </c>
      <c r="V141" s="53" t="s">
        <v>3884</v>
      </c>
      <c r="W141" s="54" t="s">
        <v>3318</v>
      </c>
      <c r="X141" s="55" t="s">
        <v>4800</v>
      </c>
      <c r="AI141" s="54"/>
      <c r="AJ141" s="56">
        <v>45922</v>
      </c>
      <c r="AK141" s="57"/>
      <c r="AL141" s="57"/>
      <c r="AM141" s="57"/>
      <c r="AN141" s="57"/>
      <c r="AO141" s="57"/>
      <c r="AP141" s="57"/>
      <c r="AQ141" s="57"/>
      <c r="AR141" s="57"/>
      <c r="AS141" s="57"/>
      <c r="AT141" s="57"/>
      <c r="AU141" s="57"/>
      <c r="AV141" s="57"/>
      <c r="AW141" s="57"/>
      <c r="AX141" s="57"/>
      <c r="AY141" s="57"/>
      <c r="AZ141" s="57"/>
      <c r="BA141" s="57"/>
      <c r="BB141" s="57"/>
      <c r="BC141" s="58"/>
      <c r="BD141" s="55" t="s">
        <v>5032</v>
      </c>
      <c r="BO141" s="54"/>
      <c r="BP141" s="56">
        <v>45894</v>
      </c>
      <c r="BQ141" s="57"/>
      <c r="BR141" s="57"/>
      <c r="BS141" s="57"/>
      <c r="BT141" s="57"/>
      <c r="BU141" s="57"/>
      <c r="BV141" s="57"/>
      <c r="BW141" s="57"/>
      <c r="BX141" s="57"/>
      <c r="BY141" s="57"/>
      <c r="BZ141" s="57"/>
      <c r="CA141" s="57"/>
      <c r="CB141" s="56" t="s">
        <v>5034</v>
      </c>
      <c r="CC141" s="57"/>
      <c r="CD141" s="57"/>
      <c r="CE141" s="57"/>
      <c r="CF141" s="57"/>
      <c r="CG141" s="57"/>
      <c r="CH141" s="57"/>
      <c r="CI141" s="57"/>
      <c r="CJ141" s="57"/>
      <c r="CK141" s="57"/>
      <c r="CL141" s="57"/>
      <c r="CM141" s="57"/>
      <c r="CN141" s="56">
        <v>45918</v>
      </c>
      <c r="CO141" s="57"/>
      <c r="CP141" s="57"/>
      <c r="CQ141" s="57"/>
      <c r="CR141" s="57"/>
      <c r="CS141" s="57"/>
      <c r="CT141" s="57"/>
      <c r="CU141" s="57"/>
      <c r="CV141" s="57"/>
      <c r="CW141" s="57"/>
      <c r="CX141" s="57"/>
      <c r="CY141" s="57"/>
      <c r="CZ141" s="56" t="s">
        <v>5034</v>
      </c>
      <c r="DA141" s="57"/>
      <c r="DB141" s="57"/>
      <c r="DC141" s="57"/>
      <c r="DD141" s="57"/>
      <c r="DE141" s="57"/>
      <c r="DF141" s="57"/>
      <c r="DG141" s="57"/>
      <c r="DH141" s="57"/>
      <c r="DI141" s="57"/>
      <c r="DJ141" s="57"/>
      <c r="DK141" s="58"/>
      <c r="DL141" s="59">
        <v>1</v>
      </c>
      <c r="DM141" s="60">
        <v>1</v>
      </c>
      <c r="DN141" s="61">
        <v>0</v>
      </c>
      <c r="DO141" s="60">
        <v>1</v>
      </c>
      <c r="DP141" s="60">
        <v>0</v>
      </c>
      <c r="DQ141" s="59">
        <v>3</v>
      </c>
      <c r="DR141" s="62">
        <v>1862</v>
      </c>
      <c r="DS141" s="62" t="s">
        <v>5034</v>
      </c>
      <c r="DU141" s="62" t="s">
        <v>5034</v>
      </c>
      <c r="DV141" s="63">
        <v>45552</v>
      </c>
      <c r="DW141" s="64">
        <v>2024</v>
      </c>
      <c r="DX141" s="65">
        <v>9</v>
      </c>
    </row>
    <row r="142" spans="2:128" ht="15" x14ac:dyDescent="0.25">
      <c r="B142" s="43" t="s">
        <v>5022</v>
      </c>
      <c r="C142" s="43" t="s">
        <v>4879</v>
      </c>
      <c r="D142" s="43" t="s">
        <v>4880</v>
      </c>
      <c r="E142" s="49">
        <v>45418</v>
      </c>
      <c r="F142" s="49"/>
      <c r="G142" s="50">
        <v>1</v>
      </c>
      <c r="H142" s="43" t="s">
        <v>4798</v>
      </c>
      <c r="I142" s="43" t="s">
        <v>5023</v>
      </c>
      <c r="J142" s="43"/>
      <c r="K142" s="43">
        <v>2</v>
      </c>
      <c r="L142" s="43">
        <v>3</v>
      </c>
      <c r="M142" s="43"/>
      <c r="N142" s="43" t="s">
        <v>856</v>
      </c>
      <c r="O142" s="43" t="s">
        <v>5144</v>
      </c>
      <c r="P142" s="43" t="s">
        <v>5063</v>
      </c>
      <c r="Q142" s="43"/>
      <c r="R142" s="43" t="s">
        <v>5068</v>
      </c>
      <c r="S142" s="43" t="s">
        <v>5026</v>
      </c>
      <c r="T142" s="51" t="s">
        <v>5027</v>
      </c>
      <c r="U142" s="52" t="s">
        <v>5028</v>
      </c>
      <c r="V142" s="53" t="s">
        <v>3884</v>
      </c>
      <c r="W142" s="54" t="s">
        <v>2909</v>
      </c>
      <c r="X142" s="55" t="s">
        <v>4889</v>
      </c>
      <c r="Y142" t="s">
        <v>4896</v>
      </c>
      <c r="Z142" t="s">
        <v>4800</v>
      </c>
      <c r="AA142" t="s">
        <v>4891</v>
      </c>
      <c r="AI142" s="54"/>
      <c r="AJ142" s="56">
        <v>45740</v>
      </c>
      <c r="AK142" s="57">
        <v>45831</v>
      </c>
      <c r="AL142" s="57">
        <v>45922</v>
      </c>
      <c r="AM142" s="57">
        <v>46013</v>
      </c>
      <c r="AN142" s="57"/>
      <c r="AO142" s="57"/>
      <c r="AP142" s="57"/>
      <c r="AQ142" s="57"/>
      <c r="AR142" s="57"/>
      <c r="AS142" s="57"/>
      <c r="AT142" s="57"/>
      <c r="AU142" s="57"/>
      <c r="AV142" s="57"/>
      <c r="AW142" s="57"/>
      <c r="AX142" s="57"/>
      <c r="AY142" s="57"/>
      <c r="AZ142" s="57"/>
      <c r="BA142" s="57"/>
      <c r="BB142" s="57"/>
      <c r="BC142" s="58"/>
      <c r="BD142" s="55" t="s">
        <v>5030</v>
      </c>
      <c r="BE142" t="s">
        <v>5031</v>
      </c>
      <c r="BF142" t="s">
        <v>5032</v>
      </c>
      <c r="BG142" t="s">
        <v>5033</v>
      </c>
      <c r="BO142" s="54"/>
      <c r="BP142" s="56">
        <v>45712</v>
      </c>
      <c r="BQ142" s="57">
        <v>45803</v>
      </c>
      <c r="BR142" s="57">
        <v>45894</v>
      </c>
      <c r="BS142" s="57">
        <v>45985</v>
      </c>
      <c r="BT142" s="57"/>
      <c r="BU142" s="57"/>
      <c r="BV142" s="57"/>
      <c r="BW142" s="57"/>
      <c r="BX142" s="57"/>
      <c r="BY142" s="57"/>
      <c r="BZ142" s="57"/>
      <c r="CA142" s="57"/>
      <c r="CB142" s="56" t="s">
        <v>5034</v>
      </c>
      <c r="CC142" s="57"/>
      <c r="CD142" s="57"/>
      <c r="CE142" s="57"/>
      <c r="CF142" s="57"/>
      <c r="CG142" s="57"/>
      <c r="CH142" s="57"/>
      <c r="CI142" s="57"/>
      <c r="CJ142" s="57"/>
      <c r="CK142" s="57"/>
      <c r="CL142" s="57"/>
      <c r="CM142" s="57"/>
      <c r="CN142" s="56">
        <v>45736</v>
      </c>
      <c r="CO142" s="57">
        <v>45827</v>
      </c>
      <c r="CP142" s="57">
        <v>45918</v>
      </c>
      <c r="CQ142" s="57">
        <v>46009</v>
      </c>
      <c r="CR142" s="57"/>
      <c r="CS142" s="57"/>
      <c r="CT142" s="57"/>
      <c r="CU142" s="57"/>
      <c r="CV142" s="57"/>
      <c r="CW142" s="57"/>
      <c r="CX142" s="57"/>
      <c r="CY142" s="57"/>
      <c r="CZ142" s="56" t="s">
        <v>5034</v>
      </c>
      <c r="DA142" s="57"/>
      <c r="DB142" s="57"/>
      <c r="DC142" s="57"/>
      <c r="DD142" s="57"/>
      <c r="DE142" s="57"/>
      <c r="DF142" s="57"/>
      <c r="DG142" s="57"/>
      <c r="DH142" s="57"/>
      <c r="DI142" s="57"/>
      <c r="DJ142" s="57"/>
      <c r="DK142" s="58"/>
      <c r="DL142" s="59">
        <v>4</v>
      </c>
      <c r="DM142" s="60">
        <v>4</v>
      </c>
      <c r="DN142" s="61">
        <v>0</v>
      </c>
      <c r="DO142" s="60">
        <v>4</v>
      </c>
      <c r="DP142" s="60">
        <v>0</v>
      </c>
      <c r="DQ142" s="59">
        <v>12</v>
      </c>
      <c r="DR142" s="62">
        <v>1865</v>
      </c>
      <c r="DS142" s="62" t="s">
        <v>5034</v>
      </c>
      <c r="DU142" s="62" t="s">
        <v>5034</v>
      </c>
      <c r="DV142" s="63">
        <v>45460</v>
      </c>
      <c r="DW142" s="64">
        <v>2024</v>
      </c>
      <c r="DX142" s="65">
        <v>6</v>
      </c>
    </row>
    <row r="143" spans="2:128" ht="15" x14ac:dyDescent="0.25">
      <c r="B143" s="43" t="s">
        <v>5022</v>
      </c>
      <c r="C143" s="43" t="s">
        <v>4879</v>
      </c>
      <c r="D143" s="43" t="s">
        <v>2895</v>
      </c>
      <c r="E143" s="49">
        <v>45429</v>
      </c>
      <c r="F143" s="49"/>
      <c r="G143" s="50">
        <v>1</v>
      </c>
      <c r="H143" s="43" t="s">
        <v>4798</v>
      </c>
      <c r="I143" s="43" t="s">
        <v>5023</v>
      </c>
      <c r="J143" s="43"/>
      <c r="K143" s="43">
        <v>2</v>
      </c>
      <c r="L143" s="43">
        <v>3</v>
      </c>
      <c r="M143" s="43"/>
      <c r="N143" s="43" t="s">
        <v>856</v>
      </c>
      <c r="O143" s="43" t="s">
        <v>5144</v>
      </c>
      <c r="P143" s="43" t="s">
        <v>5063</v>
      </c>
      <c r="Q143" s="43"/>
      <c r="R143" s="43" t="s">
        <v>5098</v>
      </c>
      <c r="S143" s="43" t="s">
        <v>5026</v>
      </c>
      <c r="T143" s="51" t="s">
        <v>5027</v>
      </c>
      <c r="U143" s="52" t="s">
        <v>5028</v>
      </c>
      <c r="V143" s="53" t="s">
        <v>3884</v>
      </c>
      <c r="W143" s="54" t="s">
        <v>2894</v>
      </c>
      <c r="X143" s="55" t="s">
        <v>4889</v>
      </c>
      <c r="Y143" t="s">
        <v>4896</v>
      </c>
      <c r="Z143" t="s">
        <v>4800</v>
      </c>
      <c r="AA143" t="s">
        <v>4891</v>
      </c>
      <c r="AI143" s="54"/>
      <c r="AJ143" s="56">
        <v>45740</v>
      </c>
      <c r="AK143" s="57">
        <v>45831</v>
      </c>
      <c r="AL143" s="57">
        <v>45922</v>
      </c>
      <c r="AM143" s="57">
        <v>46013</v>
      </c>
      <c r="AN143" s="57"/>
      <c r="AO143" s="57"/>
      <c r="AP143" s="57"/>
      <c r="AQ143" s="57"/>
      <c r="AR143" s="57"/>
      <c r="AS143" s="57"/>
      <c r="AT143" s="57"/>
      <c r="AU143" s="57"/>
      <c r="AV143" s="57"/>
      <c r="AW143" s="57"/>
      <c r="AX143" s="57"/>
      <c r="AY143" s="57"/>
      <c r="AZ143" s="57"/>
      <c r="BA143" s="57"/>
      <c r="BB143" s="57"/>
      <c r="BC143" s="58"/>
      <c r="BD143" s="55" t="s">
        <v>5030</v>
      </c>
      <c r="BE143" t="s">
        <v>5031</v>
      </c>
      <c r="BF143" t="s">
        <v>5032</v>
      </c>
      <c r="BG143" t="s">
        <v>5033</v>
      </c>
      <c r="BO143" s="54"/>
      <c r="BP143" s="56">
        <v>45712</v>
      </c>
      <c r="BQ143" s="57">
        <v>45803</v>
      </c>
      <c r="BR143" s="57">
        <v>45894</v>
      </c>
      <c r="BS143" s="57">
        <v>45985</v>
      </c>
      <c r="BT143" s="57"/>
      <c r="BU143" s="57"/>
      <c r="BV143" s="57"/>
      <c r="BW143" s="57"/>
      <c r="BX143" s="57"/>
      <c r="BY143" s="57"/>
      <c r="BZ143" s="57"/>
      <c r="CA143" s="57"/>
      <c r="CB143" s="56" t="s">
        <v>5034</v>
      </c>
      <c r="CC143" s="57"/>
      <c r="CD143" s="57"/>
      <c r="CE143" s="57"/>
      <c r="CF143" s="57"/>
      <c r="CG143" s="57"/>
      <c r="CH143" s="57"/>
      <c r="CI143" s="57"/>
      <c r="CJ143" s="57"/>
      <c r="CK143" s="57"/>
      <c r="CL143" s="57"/>
      <c r="CM143" s="57"/>
      <c r="CN143" s="56">
        <v>45736</v>
      </c>
      <c r="CO143" s="57">
        <v>45827</v>
      </c>
      <c r="CP143" s="57">
        <v>45918</v>
      </c>
      <c r="CQ143" s="57">
        <v>46009</v>
      </c>
      <c r="CR143" s="57"/>
      <c r="CS143" s="57"/>
      <c r="CT143" s="57"/>
      <c r="CU143" s="57"/>
      <c r="CV143" s="57"/>
      <c r="CW143" s="57"/>
      <c r="CX143" s="57"/>
      <c r="CY143" s="57"/>
      <c r="CZ143" s="56" t="s">
        <v>5034</v>
      </c>
      <c r="DA143" s="57"/>
      <c r="DB143" s="57"/>
      <c r="DC143" s="57"/>
      <c r="DD143" s="57"/>
      <c r="DE143" s="57"/>
      <c r="DF143" s="57"/>
      <c r="DG143" s="57"/>
      <c r="DH143" s="57"/>
      <c r="DI143" s="57"/>
      <c r="DJ143" s="57"/>
      <c r="DK143" s="58"/>
      <c r="DL143" s="59">
        <v>4</v>
      </c>
      <c r="DM143" s="60">
        <v>4</v>
      </c>
      <c r="DN143" s="61">
        <v>0</v>
      </c>
      <c r="DO143" s="60">
        <v>4</v>
      </c>
      <c r="DP143" s="60">
        <v>0</v>
      </c>
      <c r="DQ143" s="59">
        <v>12</v>
      </c>
      <c r="DR143" s="62">
        <v>1877</v>
      </c>
      <c r="DS143" s="62" t="s">
        <v>5034</v>
      </c>
      <c r="DU143" s="62" t="s">
        <v>5034</v>
      </c>
      <c r="DV143" s="63">
        <v>45455</v>
      </c>
      <c r="DW143" s="64">
        <v>2024</v>
      </c>
      <c r="DX143" s="65">
        <v>6</v>
      </c>
    </row>
    <row r="144" spans="2:128" ht="15" x14ac:dyDescent="0.25">
      <c r="B144" s="43" t="s">
        <v>5022</v>
      </c>
      <c r="C144" s="43" t="s">
        <v>4879</v>
      </c>
      <c r="D144" s="43" t="s">
        <v>2871</v>
      </c>
      <c r="E144" s="49">
        <v>45446</v>
      </c>
      <c r="F144" s="49"/>
      <c r="G144" s="50">
        <v>1</v>
      </c>
      <c r="H144" s="43" t="s">
        <v>4798</v>
      </c>
      <c r="I144" s="43" t="s">
        <v>5023</v>
      </c>
      <c r="J144" s="43"/>
      <c r="K144" s="43">
        <v>2</v>
      </c>
      <c r="L144" s="43">
        <v>3</v>
      </c>
      <c r="M144" s="43"/>
      <c r="N144" s="43" t="s">
        <v>856</v>
      </c>
      <c r="O144" s="43" t="s">
        <v>5144</v>
      </c>
      <c r="P144" s="43" t="s">
        <v>5063</v>
      </c>
      <c r="Q144" s="43"/>
      <c r="R144" s="43" t="s">
        <v>5098</v>
      </c>
      <c r="S144" s="43" t="s">
        <v>5026</v>
      </c>
      <c r="T144" s="51" t="s">
        <v>5027</v>
      </c>
      <c r="U144" s="52" t="s">
        <v>5028</v>
      </c>
      <c r="V144" s="53" t="s">
        <v>3884</v>
      </c>
      <c r="W144" s="54" t="s">
        <v>2870</v>
      </c>
      <c r="X144" s="55" t="s">
        <v>4889</v>
      </c>
      <c r="Y144" t="s">
        <v>4896</v>
      </c>
      <c r="Z144" t="s">
        <v>4800</v>
      </c>
      <c r="AA144" t="s">
        <v>4891</v>
      </c>
      <c r="AI144" s="54"/>
      <c r="AJ144" s="56">
        <v>45740</v>
      </c>
      <c r="AK144" s="57">
        <v>45831</v>
      </c>
      <c r="AL144" s="57">
        <v>45922</v>
      </c>
      <c r="AM144" s="57">
        <v>46013</v>
      </c>
      <c r="AN144" s="57"/>
      <c r="AO144" s="57"/>
      <c r="AP144" s="57"/>
      <c r="AQ144" s="57"/>
      <c r="AR144" s="57"/>
      <c r="AS144" s="57"/>
      <c r="AT144" s="57"/>
      <c r="AU144" s="57"/>
      <c r="AV144" s="57"/>
      <c r="AW144" s="57"/>
      <c r="AX144" s="57"/>
      <c r="AY144" s="57"/>
      <c r="AZ144" s="57"/>
      <c r="BA144" s="57"/>
      <c r="BB144" s="57"/>
      <c r="BC144" s="58"/>
      <c r="BD144" s="55" t="s">
        <v>5030</v>
      </c>
      <c r="BE144" t="s">
        <v>5031</v>
      </c>
      <c r="BF144" t="s">
        <v>5032</v>
      </c>
      <c r="BG144" t="s">
        <v>5033</v>
      </c>
      <c r="BO144" s="54"/>
      <c r="BP144" s="56">
        <v>45712</v>
      </c>
      <c r="BQ144" s="57">
        <v>45803</v>
      </c>
      <c r="BR144" s="57">
        <v>45894</v>
      </c>
      <c r="BS144" s="57">
        <v>45985</v>
      </c>
      <c r="BT144" s="57"/>
      <c r="BU144" s="57"/>
      <c r="BV144" s="57"/>
      <c r="BW144" s="57"/>
      <c r="BX144" s="57"/>
      <c r="BY144" s="57"/>
      <c r="BZ144" s="57"/>
      <c r="CA144" s="57"/>
      <c r="CB144" s="56" t="s">
        <v>5034</v>
      </c>
      <c r="CC144" s="57"/>
      <c r="CD144" s="57"/>
      <c r="CE144" s="57"/>
      <c r="CF144" s="57"/>
      <c r="CG144" s="57"/>
      <c r="CH144" s="57"/>
      <c r="CI144" s="57"/>
      <c r="CJ144" s="57"/>
      <c r="CK144" s="57"/>
      <c r="CL144" s="57"/>
      <c r="CM144" s="57"/>
      <c r="CN144" s="56">
        <v>45736</v>
      </c>
      <c r="CO144" s="57">
        <v>45827</v>
      </c>
      <c r="CP144" s="57">
        <v>45918</v>
      </c>
      <c r="CQ144" s="57">
        <v>46009</v>
      </c>
      <c r="CR144" s="57"/>
      <c r="CS144" s="57"/>
      <c r="CT144" s="57"/>
      <c r="CU144" s="57"/>
      <c r="CV144" s="57"/>
      <c r="CW144" s="57"/>
      <c r="CX144" s="57"/>
      <c r="CY144" s="57"/>
      <c r="CZ144" s="56" t="s">
        <v>5034</v>
      </c>
      <c r="DA144" s="57"/>
      <c r="DB144" s="57"/>
      <c r="DC144" s="57"/>
      <c r="DD144" s="57"/>
      <c r="DE144" s="57"/>
      <c r="DF144" s="57"/>
      <c r="DG144" s="57"/>
      <c r="DH144" s="57"/>
      <c r="DI144" s="57"/>
      <c r="DJ144" s="57"/>
      <c r="DK144" s="58"/>
      <c r="DL144" s="59">
        <v>4</v>
      </c>
      <c r="DM144" s="60">
        <v>4</v>
      </c>
      <c r="DN144" s="61">
        <v>0</v>
      </c>
      <c r="DO144" s="60">
        <v>4</v>
      </c>
      <c r="DP144" s="60">
        <v>0</v>
      </c>
      <c r="DQ144" s="59">
        <v>12</v>
      </c>
      <c r="DR144" s="62">
        <v>1889</v>
      </c>
      <c r="DS144" s="62" t="s">
        <v>5034</v>
      </c>
      <c r="DU144" s="62" t="s">
        <v>5034</v>
      </c>
      <c r="DV144" s="63">
        <v>45456</v>
      </c>
      <c r="DW144" s="64">
        <v>2024</v>
      </c>
      <c r="DX144" s="65">
        <v>6</v>
      </c>
    </row>
    <row r="145" spans="2:128" ht="15" x14ac:dyDescent="0.25">
      <c r="B145" s="43" t="s">
        <v>5022</v>
      </c>
      <c r="C145" s="43" t="s">
        <v>4854</v>
      </c>
      <c r="D145" s="43" t="s">
        <v>4095</v>
      </c>
      <c r="E145" s="49">
        <v>45476</v>
      </c>
      <c r="F145" s="49"/>
      <c r="G145" s="50">
        <v>1</v>
      </c>
      <c r="H145" s="43" t="s">
        <v>4887</v>
      </c>
      <c r="I145" s="43" t="s">
        <v>5023</v>
      </c>
      <c r="J145" s="43"/>
      <c r="K145" s="43">
        <v>2</v>
      </c>
      <c r="L145" s="43">
        <v>3</v>
      </c>
      <c r="M145" s="43"/>
      <c r="N145" s="43" t="s">
        <v>995</v>
      </c>
      <c r="O145" s="43" t="s">
        <v>5145</v>
      </c>
      <c r="P145" s="43" t="s">
        <v>5024</v>
      </c>
      <c r="Q145" s="43"/>
      <c r="R145" s="43" t="s">
        <v>5045</v>
      </c>
      <c r="S145" s="43" t="s">
        <v>5026</v>
      </c>
      <c r="T145" s="51" t="s">
        <v>5027</v>
      </c>
      <c r="U145" s="52" t="s">
        <v>5028</v>
      </c>
      <c r="V145" s="53" t="s">
        <v>3884</v>
      </c>
      <c r="W145" s="54" t="s">
        <v>3329</v>
      </c>
      <c r="X145" s="55" t="s">
        <v>4886</v>
      </c>
      <c r="Y145" t="s">
        <v>4888</v>
      </c>
      <c r="Z145" t="s">
        <v>5130</v>
      </c>
      <c r="AA145" t="s">
        <v>5131</v>
      </c>
      <c r="AI145" s="54"/>
      <c r="AJ145" s="56">
        <v>45748</v>
      </c>
      <c r="AK145" s="57">
        <v>45839</v>
      </c>
      <c r="AL145" s="57">
        <v>45931</v>
      </c>
      <c r="AM145" s="57">
        <v>46024</v>
      </c>
      <c r="AN145" s="57"/>
      <c r="AO145" s="57"/>
      <c r="AP145" s="57"/>
      <c r="AQ145" s="57"/>
      <c r="AR145" s="57"/>
      <c r="AS145" s="57"/>
      <c r="AT145" s="57"/>
      <c r="AU145" s="57"/>
      <c r="AV145" s="57"/>
      <c r="AW145" s="57"/>
      <c r="AX145" s="57"/>
      <c r="AY145" s="57"/>
      <c r="AZ145" s="57"/>
      <c r="BA145" s="57"/>
      <c r="BB145" s="57"/>
      <c r="BC145" s="58"/>
      <c r="BD145" s="55" t="s">
        <v>5030</v>
      </c>
      <c r="BE145" t="s">
        <v>5031</v>
      </c>
      <c r="BF145" t="s">
        <v>5032</v>
      </c>
      <c r="BG145" t="s">
        <v>5033</v>
      </c>
      <c r="BO145" s="54"/>
      <c r="BP145" s="56">
        <v>45712</v>
      </c>
      <c r="BQ145" s="57">
        <v>45803</v>
      </c>
      <c r="BR145" s="57">
        <v>45894</v>
      </c>
      <c r="BS145" s="57">
        <v>45985</v>
      </c>
      <c r="BT145" s="57"/>
      <c r="BU145" s="57"/>
      <c r="BV145" s="57"/>
      <c r="BW145" s="57"/>
      <c r="BX145" s="57"/>
      <c r="BY145" s="57"/>
      <c r="BZ145" s="57"/>
      <c r="CA145" s="57"/>
      <c r="CB145" s="56" t="s">
        <v>5034</v>
      </c>
      <c r="CC145" s="57"/>
      <c r="CD145" s="57"/>
      <c r="CE145" s="57"/>
      <c r="CF145" s="57"/>
      <c r="CG145" s="57"/>
      <c r="CH145" s="57"/>
      <c r="CI145" s="57"/>
      <c r="CJ145" s="57"/>
      <c r="CK145" s="57"/>
      <c r="CL145" s="57"/>
      <c r="CM145" s="57"/>
      <c r="CN145" s="56">
        <v>45744</v>
      </c>
      <c r="CO145" s="57">
        <v>45835</v>
      </c>
      <c r="CP145" s="57">
        <v>45929</v>
      </c>
      <c r="CQ145" s="57">
        <v>46021</v>
      </c>
      <c r="CR145" s="57"/>
      <c r="CS145" s="57"/>
      <c r="CT145" s="57"/>
      <c r="CU145" s="57"/>
      <c r="CV145" s="57"/>
      <c r="CW145" s="57"/>
      <c r="CX145" s="57"/>
      <c r="CY145" s="57"/>
      <c r="CZ145" s="56" t="s">
        <v>5034</v>
      </c>
      <c r="DA145" s="57"/>
      <c r="DB145" s="57"/>
      <c r="DC145" s="57"/>
      <c r="DD145" s="57"/>
      <c r="DE145" s="57"/>
      <c r="DF145" s="57"/>
      <c r="DG145" s="57"/>
      <c r="DH145" s="57"/>
      <c r="DI145" s="57"/>
      <c r="DJ145" s="57"/>
      <c r="DK145" s="58"/>
      <c r="DL145" s="59">
        <v>4</v>
      </c>
      <c r="DM145" s="60">
        <v>4</v>
      </c>
      <c r="DN145" s="61">
        <v>0</v>
      </c>
      <c r="DO145" s="60">
        <v>4</v>
      </c>
      <c r="DP145" s="60">
        <v>0</v>
      </c>
      <c r="DQ145" s="59">
        <v>12</v>
      </c>
      <c r="DR145" s="62">
        <v>1901</v>
      </c>
      <c r="DS145" s="62" t="s">
        <v>5034</v>
      </c>
      <c r="DU145" s="62" t="s">
        <v>5034</v>
      </c>
      <c r="DV145" s="63">
        <v>45537</v>
      </c>
      <c r="DW145" s="64">
        <v>2024</v>
      </c>
      <c r="DX145" s="65">
        <v>9</v>
      </c>
    </row>
    <row r="146" spans="2:128" ht="15" x14ac:dyDescent="0.25">
      <c r="B146" s="43" t="s">
        <v>5022</v>
      </c>
      <c r="C146" s="43" t="s">
        <v>4802</v>
      </c>
      <c r="D146" s="43" t="s">
        <v>1707</v>
      </c>
      <c r="E146" s="49">
        <v>45505</v>
      </c>
      <c r="F146" s="49"/>
      <c r="G146" s="50">
        <v>1</v>
      </c>
      <c r="H146" s="43" t="s">
        <v>4798</v>
      </c>
      <c r="I146" s="43" t="s">
        <v>5023</v>
      </c>
      <c r="J146" s="43"/>
      <c r="K146" s="43">
        <v>2</v>
      </c>
      <c r="L146" s="43">
        <v>3</v>
      </c>
      <c r="M146" s="43"/>
      <c r="N146" s="43"/>
      <c r="O146" s="43"/>
      <c r="P146" s="43" t="s">
        <v>5024</v>
      </c>
      <c r="Q146" s="43"/>
      <c r="R146" s="43" t="s">
        <v>5043</v>
      </c>
      <c r="S146" s="43" t="s">
        <v>5026</v>
      </c>
      <c r="T146" s="51" t="s">
        <v>5027</v>
      </c>
      <c r="U146" s="52" t="s">
        <v>5028</v>
      </c>
      <c r="V146" s="53" t="s">
        <v>3884</v>
      </c>
      <c r="W146" s="54" t="s">
        <v>1706</v>
      </c>
      <c r="X146" s="55" t="s">
        <v>4889</v>
      </c>
      <c r="Y146" t="s">
        <v>4896</v>
      </c>
      <c r="Z146" t="s">
        <v>4800</v>
      </c>
      <c r="AA146" t="s">
        <v>4891</v>
      </c>
      <c r="AI146" s="54"/>
      <c r="AJ146" s="56">
        <v>45740</v>
      </c>
      <c r="AK146" s="57">
        <v>45831</v>
      </c>
      <c r="AL146" s="57">
        <v>45922</v>
      </c>
      <c r="AM146" s="57">
        <v>46013</v>
      </c>
      <c r="AN146" s="57"/>
      <c r="AO146" s="57"/>
      <c r="AP146" s="57"/>
      <c r="AQ146" s="57"/>
      <c r="AR146" s="57"/>
      <c r="AS146" s="57"/>
      <c r="AT146" s="57"/>
      <c r="AU146" s="57"/>
      <c r="AV146" s="57"/>
      <c r="AW146" s="57"/>
      <c r="AX146" s="57"/>
      <c r="AY146" s="57"/>
      <c r="AZ146" s="57"/>
      <c r="BA146" s="57"/>
      <c r="BB146" s="57"/>
      <c r="BC146" s="58"/>
      <c r="BD146" s="55" t="s">
        <v>5030</v>
      </c>
      <c r="BE146" t="s">
        <v>5031</v>
      </c>
      <c r="BF146" t="s">
        <v>5032</v>
      </c>
      <c r="BG146" t="s">
        <v>5033</v>
      </c>
      <c r="BO146" s="54"/>
      <c r="BP146" s="56">
        <v>45712</v>
      </c>
      <c r="BQ146" s="57">
        <v>45803</v>
      </c>
      <c r="BR146" s="57">
        <v>45894</v>
      </c>
      <c r="BS146" s="57">
        <v>45985</v>
      </c>
      <c r="BT146" s="57"/>
      <c r="BU146" s="57"/>
      <c r="BV146" s="57"/>
      <c r="BW146" s="57"/>
      <c r="BX146" s="57"/>
      <c r="BY146" s="57"/>
      <c r="BZ146" s="57"/>
      <c r="CA146" s="57"/>
      <c r="CB146" s="56" t="s">
        <v>5034</v>
      </c>
      <c r="CC146" s="57"/>
      <c r="CD146" s="57"/>
      <c r="CE146" s="57"/>
      <c r="CF146" s="57"/>
      <c r="CG146" s="57"/>
      <c r="CH146" s="57"/>
      <c r="CI146" s="57"/>
      <c r="CJ146" s="57"/>
      <c r="CK146" s="57"/>
      <c r="CL146" s="57"/>
      <c r="CM146" s="57"/>
      <c r="CN146" s="56">
        <v>45736</v>
      </c>
      <c r="CO146" s="57">
        <v>45827</v>
      </c>
      <c r="CP146" s="57">
        <v>45918</v>
      </c>
      <c r="CQ146" s="57">
        <v>46009</v>
      </c>
      <c r="CR146" s="57"/>
      <c r="CS146" s="57"/>
      <c r="CT146" s="57"/>
      <c r="CU146" s="57"/>
      <c r="CV146" s="57"/>
      <c r="CW146" s="57"/>
      <c r="CX146" s="57"/>
      <c r="CY146" s="57"/>
      <c r="CZ146" s="56" t="s">
        <v>5034</v>
      </c>
      <c r="DA146" s="57"/>
      <c r="DB146" s="57"/>
      <c r="DC146" s="57"/>
      <c r="DD146" s="57"/>
      <c r="DE146" s="57"/>
      <c r="DF146" s="57"/>
      <c r="DG146" s="57"/>
      <c r="DH146" s="57"/>
      <c r="DI146" s="57"/>
      <c r="DJ146" s="57"/>
      <c r="DK146" s="58"/>
      <c r="DL146" s="59">
        <v>4</v>
      </c>
      <c r="DM146" s="60">
        <v>4</v>
      </c>
      <c r="DN146" s="61">
        <v>0</v>
      </c>
      <c r="DO146" s="60">
        <v>4</v>
      </c>
      <c r="DP146" s="60">
        <v>0</v>
      </c>
      <c r="DQ146" s="59">
        <v>12</v>
      </c>
      <c r="DR146" s="62">
        <v>1913</v>
      </c>
      <c r="DS146" s="62" t="s">
        <v>5034</v>
      </c>
      <c r="DU146" s="62" t="s">
        <v>5034</v>
      </c>
      <c r="DV146" s="63">
        <v>45505</v>
      </c>
      <c r="DW146" s="64">
        <v>2024</v>
      </c>
      <c r="DX146" s="65">
        <v>8</v>
      </c>
    </row>
    <row r="147" spans="2:128" ht="15" x14ac:dyDescent="0.25">
      <c r="B147" s="43" t="s">
        <v>5022</v>
      </c>
      <c r="C147" s="43" t="s">
        <v>4854</v>
      </c>
      <c r="D147" s="43" t="s">
        <v>3759</v>
      </c>
      <c r="E147" s="49">
        <v>45513</v>
      </c>
      <c r="F147" s="49"/>
      <c r="G147" s="50">
        <v>1</v>
      </c>
      <c r="H147" s="43" t="s">
        <v>4896</v>
      </c>
      <c r="I147" s="43" t="s">
        <v>5031</v>
      </c>
      <c r="J147" s="43"/>
      <c r="K147" s="43">
        <v>2</v>
      </c>
      <c r="L147" s="43">
        <v>3</v>
      </c>
      <c r="M147" s="43"/>
      <c r="N147" s="43" t="s">
        <v>5087</v>
      </c>
      <c r="O147" s="43" t="s">
        <v>5059</v>
      </c>
      <c r="P147" s="43" t="s">
        <v>5063</v>
      </c>
      <c r="Q147" s="43"/>
      <c r="R147" s="43" t="s">
        <v>5045</v>
      </c>
      <c r="S147" s="43" t="s">
        <v>5026</v>
      </c>
      <c r="T147" s="51" t="s">
        <v>5027</v>
      </c>
      <c r="U147" s="52" t="s">
        <v>5028</v>
      </c>
      <c r="V147" s="53" t="s">
        <v>3884</v>
      </c>
      <c r="W147" s="54" t="s">
        <v>3758</v>
      </c>
      <c r="X147" s="55" t="s">
        <v>4896</v>
      </c>
      <c r="AI147" s="54"/>
      <c r="AJ147" s="56">
        <v>45831</v>
      </c>
      <c r="AK147" s="57"/>
      <c r="AL147" s="57"/>
      <c r="AM147" s="57"/>
      <c r="AN147" s="57"/>
      <c r="AO147" s="57"/>
      <c r="AP147" s="57"/>
      <c r="AQ147" s="57"/>
      <c r="AR147" s="57"/>
      <c r="AS147" s="57"/>
      <c r="AT147" s="57"/>
      <c r="AU147" s="57"/>
      <c r="AV147" s="57"/>
      <c r="AW147" s="57"/>
      <c r="AX147" s="57"/>
      <c r="AY147" s="57"/>
      <c r="AZ147" s="57"/>
      <c r="BA147" s="57"/>
      <c r="BB147" s="57"/>
      <c r="BC147" s="58"/>
      <c r="BD147" s="55" t="s">
        <v>5031</v>
      </c>
      <c r="BO147" s="54"/>
      <c r="BP147" s="56">
        <v>45803</v>
      </c>
      <c r="BQ147" s="57"/>
      <c r="BR147" s="57"/>
      <c r="BS147" s="57"/>
      <c r="BT147" s="57"/>
      <c r="BU147" s="57"/>
      <c r="BV147" s="57"/>
      <c r="BW147" s="57"/>
      <c r="BX147" s="57"/>
      <c r="BY147" s="57"/>
      <c r="BZ147" s="57"/>
      <c r="CA147" s="57"/>
      <c r="CB147" s="56" t="s">
        <v>5034</v>
      </c>
      <c r="CC147" s="57"/>
      <c r="CD147" s="57"/>
      <c r="CE147" s="57"/>
      <c r="CF147" s="57"/>
      <c r="CG147" s="57"/>
      <c r="CH147" s="57"/>
      <c r="CI147" s="57"/>
      <c r="CJ147" s="57"/>
      <c r="CK147" s="57"/>
      <c r="CL147" s="57"/>
      <c r="CM147" s="57"/>
      <c r="CN147" s="56">
        <v>45827</v>
      </c>
      <c r="CO147" s="57"/>
      <c r="CP147" s="57"/>
      <c r="CQ147" s="57"/>
      <c r="CR147" s="57"/>
      <c r="CS147" s="57"/>
      <c r="CT147" s="57"/>
      <c r="CU147" s="57"/>
      <c r="CV147" s="57"/>
      <c r="CW147" s="57"/>
      <c r="CX147" s="57"/>
      <c r="CY147" s="57"/>
      <c r="CZ147" s="56" t="s">
        <v>5034</v>
      </c>
      <c r="DA147" s="57"/>
      <c r="DB147" s="57"/>
      <c r="DC147" s="57"/>
      <c r="DD147" s="57"/>
      <c r="DE147" s="57"/>
      <c r="DF147" s="57"/>
      <c r="DG147" s="57"/>
      <c r="DH147" s="57"/>
      <c r="DI147" s="57"/>
      <c r="DJ147" s="57"/>
      <c r="DK147" s="58"/>
      <c r="DL147" s="59">
        <v>1</v>
      </c>
      <c r="DM147" s="60">
        <v>1</v>
      </c>
      <c r="DN147" s="61">
        <v>0</v>
      </c>
      <c r="DO147" s="60">
        <v>1</v>
      </c>
      <c r="DP147" s="60">
        <v>0</v>
      </c>
      <c r="DQ147" s="59">
        <v>3</v>
      </c>
      <c r="DR147" s="62">
        <v>1925</v>
      </c>
      <c r="DS147" s="62" t="s">
        <v>5034</v>
      </c>
      <c r="DU147" s="62" t="s">
        <v>5034</v>
      </c>
      <c r="DV147" s="63">
        <v>45561</v>
      </c>
      <c r="DW147" s="64">
        <v>2024</v>
      </c>
      <c r="DX147" s="65">
        <v>9</v>
      </c>
    </row>
    <row r="148" spans="2:128" ht="15" x14ac:dyDescent="0.25">
      <c r="B148" s="43" t="s">
        <v>5022</v>
      </c>
      <c r="C148" s="43" t="s">
        <v>4802</v>
      </c>
      <c r="D148" s="43" t="s">
        <v>1689</v>
      </c>
      <c r="E148" s="49">
        <v>45513</v>
      </c>
      <c r="F148" s="49"/>
      <c r="G148" s="50">
        <v>1</v>
      </c>
      <c r="H148" s="43" t="s">
        <v>4798</v>
      </c>
      <c r="I148" s="43" t="s">
        <v>5023</v>
      </c>
      <c r="J148" s="43"/>
      <c r="K148" s="43">
        <v>2</v>
      </c>
      <c r="L148" s="43">
        <v>3</v>
      </c>
      <c r="M148" s="43"/>
      <c r="N148" s="43" t="s">
        <v>839</v>
      </c>
      <c r="O148" s="43"/>
      <c r="P148" s="43" t="s">
        <v>5063</v>
      </c>
      <c r="Q148" s="43"/>
      <c r="R148" s="43" t="s">
        <v>5043</v>
      </c>
      <c r="S148" s="43" t="s">
        <v>5026</v>
      </c>
      <c r="T148" s="51" t="s">
        <v>5027</v>
      </c>
      <c r="U148" s="52" t="s">
        <v>5028</v>
      </c>
      <c r="V148" s="53" t="s">
        <v>3884</v>
      </c>
      <c r="W148" s="54" t="s">
        <v>1688</v>
      </c>
      <c r="X148" s="55" t="s">
        <v>4889</v>
      </c>
      <c r="Y148" t="s">
        <v>4896</v>
      </c>
      <c r="Z148" t="s">
        <v>4800</v>
      </c>
      <c r="AA148" t="s">
        <v>4891</v>
      </c>
      <c r="AI148" s="54"/>
      <c r="AJ148" s="56">
        <v>45740</v>
      </c>
      <c r="AK148" s="57">
        <v>45831</v>
      </c>
      <c r="AL148" s="57">
        <v>45922</v>
      </c>
      <c r="AM148" s="57">
        <v>46013</v>
      </c>
      <c r="AN148" s="57"/>
      <c r="AO148" s="57"/>
      <c r="AP148" s="57"/>
      <c r="AQ148" s="57"/>
      <c r="AR148" s="57"/>
      <c r="AS148" s="57"/>
      <c r="AT148" s="57"/>
      <c r="AU148" s="57"/>
      <c r="AV148" s="57"/>
      <c r="AW148" s="57"/>
      <c r="AX148" s="57"/>
      <c r="AY148" s="57"/>
      <c r="AZ148" s="57"/>
      <c r="BA148" s="57"/>
      <c r="BB148" s="57"/>
      <c r="BC148" s="58"/>
      <c r="BD148" s="55" t="s">
        <v>5030</v>
      </c>
      <c r="BE148" t="s">
        <v>5031</v>
      </c>
      <c r="BF148" t="s">
        <v>5032</v>
      </c>
      <c r="BG148" t="s">
        <v>5033</v>
      </c>
      <c r="BO148" s="54"/>
      <c r="BP148" s="56">
        <v>45712</v>
      </c>
      <c r="BQ148" s="57">
        <v>45803</v>
      </c>
      <c r="BR148" s="57">
        <v>45894</v>
      </c>
      <c r="BS148" s="57">
        <v>45985</v>
      </c>
      <c r="BT148" s="57"/>
      <c r="BU148" s="57"/>
      <c r="BV148" s="57"/>
      <c r="BW148" s="57"/>
      <c r="BX148" s="57"/>
      <c r="BY148" s="57"/>
      <c r="BZ148" s="57"/>
      <c r="CA148" s="57"/>
      <c r="CB148" s="56" t="s">
        <v>5034</v>
      </c>
      <c r="CC148" s="57"/>
      <c r="CD148" s="57"/>
      <c r="CE148" s="57"/>
      <c r="CF148" s="57"/>
      <c r="CG148" s="57"/>
      <c r="CH148" s="57"/>
      <c r="CI148" s="57"/>
      <c r="CJ148" s="57"/>
      <c r="CK148" s="57"/>
      <c r="CL148" s="57"/>
      <c r="CM148" s="57"/>
      <c r="CN148" s="56">
        <v>45736</v>
      </c>
      <c r="CO148" s="57">
        <v>45827</v>
      </c>
      <c r="CP148" s="57">
        <v>45918</v>
      </c>
      <c r="CQ148" s="57">
        <v>46009</v>
      </c>
      <c r="CR148" s="57"/>
      <c r="CS148" s="57"/>
      <c r="CT148" s="57"/>
      <c r="CU148" s="57"/>
      <c r="CV148" s="57"/>
      <c r="CW148" s="57"/>
      <c r="CX148" s="57"/>
      <c r="CY148" s="57"/>
      <c r="CZ148" s="56" t="s">
        <v>5034</v>
      </c>
      <c r="DA148" s="57"/>
      <c r="DB148" s="57"/>
      <c r="DC148" s="57"/>
      <c r="DD148" s="57"/>
      <c r="DE148" s="57"/>
      <c r="DF148" s="57"/>
      <c r="DG148" s="57"/>
      <c r="DH148" s="57"/>
      <c r="DI148" s="57"/>
      <c r="DJ148" s="57"/>
      <c r="DK148" s="58"/>
      <c r="DL148" s="59">
        <v>4</v>
      </c>
      <c r="DM148" s="60">
        <v>4</v>
      </c>
      <c r="DN148" s="61">
        <v>0</v>
      </c>
      <c r="DO148" s="60">
        <v>4</v>
      </c>
      <c r="DP148" s="60">
        <v>0</v>
      </c>
      <c r="DQ148" s="59">
        <v>12</v>
      </c>
      <c r="DR148" s="62">
        <v>1928</v>
      </c>
      <c r="DS148" s="62" t="s">
        <v>5034</v>
      </c>
      <c r="DU148" s="62" t="s">
        <v>5034</v>
      </c>
      <c r="DV148" s="63">
        <v>45517</v>
      </c>
      <c r="DW148" s="64">
        <v>2024</v>
      </c>
      <c r="DX148" s="65">
        <v>8</v>
      </c>
    </row>
    <row r="149" spans="2:128" ht="15" x14ac:dyDescent="0.25">
      <c r="B149" s="43" t="s">
        <v>5022</v>
      </c>
      <c r="C149" s="43" t="s">
        <v>4879</v>
      </c>
      <c r="D149" s="43" t="s">
        <v>2844</v>
      </c>
      <c r="E149" s="49">
        <v>45520</v>
      </c>
      <c r="F149" s="49"/>
      <c r="G149" s="50">
        <v>1</v>
      </c>
      <c r="H149" s="43" t="s">
        <v>4798</v>
      </c>
      <c r="I149" s="43" t="s">
        <v>5023</v>
      </c>
      <c r="J149" s="43"/>
      <c r="K149" s="43">
        <v>2</v>
      </c>
      <c r="L149" s="43">
        <v>3</v>
      </c>
      <c r="M149" s="43"/>
      <c r="N149" s="43" t="s">
        <v>856</v>
      </c>
      <c r="O149" s="43" t="s">
        <v>5146</v>
      </c>
      <c r="P149" s="43" t="s">
        <v>5063</v>
      </c>
      <c r="Q149" s="43"/>
      <c r="R149" s="43" t="s">
        <v>5098</v>
      </c>
      <c r="S149" s="43" t="s">
        <v>5026</v>
      </c>
      <c r="T149" s="51" t="s">
        <v>5027</v>
      </c>
      <c r="U149" s="52" t="s">
        <v>5028</v>
      </c>
      <c r="V149" s="53" t="s">
        <v>3884</v>
      </c>
      <c r="W149" s="54" t="s">
        <v>2843</v>
      </c>
      <c r="X149" s="55" t="s">
        <v>4889</v>
      </c>
      <c r="Y149" t="s">
        <v>4896</v>
      </c>
      <c r="Z149" t="s">
        <v>4800</v>
      </c>
      <c r="AA149" t="s">
        <v>4891</v>
      </c>
      <c r="AI149" s="54"/>
      <c r="AJ149" s="56">
        <v>45740</v>
      </c>
      <c r="AK149" s="57">
        <v>45831</v>
      </c>
      <c r="AL149" s="57">
        <v>45922</v>
      </c>
      <c r="AM149" s="57">
        <v>46013</v>
      </c>
      <c r="AN149" s="57"/>
      <c r="AO149" s="57"/>
      <c r="AP149" s="57"/>
      <c r="AQ149" s="57"/>
      <c r="AR149" s="57"/>
      <c r="AS149" s="57"/>
      <c r="AT149" s="57"/>
      <c r="AU149" s="57"/>
      <c r="AV149" s="57"/>
      <c r="AW149" s="57"/>
      <c r="AX149" s="57"/>
      <c r="AY149" s="57"/>
      <c r="AZ149" s="57"/>
      <c r="BA149" s="57"/>
      <c r="BB149" s="57"/>
      <c r="BC149" s="58"/>
      <c r="BD149" s="55" t="s">
        <v>5030</v>
      </c>
      <c r="BE149" t="s">
        <v>5031</v>
      </c>
      <c r="BF149" t="s">
        <v>5032</v>
      </c>
      <c r="BG149" t="s">
        <v>5033</v>
      </c>
      <c r="BO149" s="54"/>
      <c r="BP149" s="56">
        <v>45712</v>
      </c>
      <c r="BQ149" s="57">
        <v>45803</v>
      </c>
      <c r="BR149" s="57">
        <v>45894</v>
      </c>
      <c r="BS149" s="57">
        <v>45985</v>
      </c>
      <c r="BT149" s="57"/>
      <c r="BU149" s="57"/>
      <c r="BV149" s="57"/>
      <c r="BW149" s="57"/>
      <c r="BX149" s="57"/>
      <c r="BY149" s="57"/>
      <c r="BZ149" s="57"/>
      <c r="CA149" s="57"/>
      <c r="CB149" s="56" t="s">
        <v>5034</v>
      </c>
      <c r="CC149" s="57"/>
      <c r="CD149" s="57"/>
      <c r="CE149" s="57"/>
      <c r="CF149" s="57"/>
      <c r="CG149" s="57"/>
      <c r="CH149" s="57"/>
      <c r="CI149" s="57"/>
      <c r="CJ149" s="57"/>
      <c r="CK149" s="57"/>
      <c r="CL149" s="57"/>
      <c r="CM149" s="57"/>
      <c r="CN149" s="56">
        <v>45736</v>
      </c>
      <c r="CO149" s="57">
        <v>45827</v>
      </c>
      <c r="CP149" s="57">
        <v>45918</v>
      </c>
      <c r="CQ149" s="57">
        <v>46009</v>
      </c>
      <c r="CR149" s="57"/>
      <c r="CS149" s="57"/>
      <c r="CT149" s="57"/>
      <c r="CU149" s="57"/>
      <c r="CV149" s="57"/>
      <c r="CW149" s="57"/>
      <c r="CX149" s="57"/>
      <c r="CY149" s="57"/>
      <c r="CZ149" s="56" t="s">
        <v>5034</v>
      </c>
      <c r="DA149" s="57"/>
      <c r="DB149" s="57"/>
      <c r="DC149" s="57"/>
      <c r="DD149" s="57"/>
      <c r="DE149" s="57"/>
      <c r="DF149" s="57"/>
      <c r="DG149" s="57"/>
      <c r="DH149" s="57"/>
      <c r="DI149" s="57"/>
      <c r="DJ149" s="57"/>
      <c r="DK149" s="58"/>
      <c r="DL149" s="59">
        <v>4</v>
      </c>
      <c r="DM149" s="60">
        <v>4</v>
      </c>
      <c r="DN149" s="61">
        <v>0</v>
      </c>
      <c r="DO149" s="60">
        <v>4</v>
      </c>
      <c r="DP149" s="60">
        <v>0</v>
      </c>
      <c r="DQ149" s="59">
        <v>12</v>
      </c>
      <c r="DR149" s="62">
        <v>1940</v>
      </c>
      <c r="DS149" s="62" t="s">
        <v>5034</v>
      </c>
      <c r="DU149" s="62" t="s">
        <v>5034</v>
      </c>
      <c r="DV149" s="63">
        <v>45551</v>
      </c>
      <c r="DW149" s="64">
        <v>2024</v>
      </c>
      <c r="DX149" s="65">
        <v>9</v>
      </c>
    </row>
    <row r="150" spans="2:128" ht="15" x14ac:dyDescent="0.25">
      <c r="B150" s="43" t="s">
        <v>5022</v>
      </c>
      <c r="C150" s="43" t="s">
        <v>4873</v>
      </c>
      <c r="D150" s="43" t="s">
        <v>1728</v>
      </c>
      <c r="E150" s="49">
        <v>45524</v>
      </c>
      <c r="F150" s="49"/>
      <c r="G150" s="50">
        <v>1</v>
      </c>
      <c r="H150" s="43" t="s">
        <v>4799</v>
      </c>
      <c r="I150" s="43" t="s">
        <v>5076</v>
      </c>
      <c r="J150" s="43">
        <v>6</v>
      </c>
      <c r="K150" s="43">
        <v>2</v>
      </c>
      <c r="L150" s="43">
        <v>3</v>
      </c>
      <c r="M150" s="43"/>
      <c r="N150" s="43"/>
      <c r="O150" s="43"/>
      <c r="P150" s="43" t="s">
        <v>1925</v>
      </c>
      <c r="Q150" s="43"/>
      <c r="R150" s="43" t="s">
        <v>5086</v>
      </c>
      <c r="S150" s="43" t="s">
        <v>5026</v>
      </c>
      <c r="T150" s="51" t="s">
        <v>5027</v>
      </c>
      <c r="U150" s="52" t="s">
        <v>5028</v>
      </c>
      <c r="V150" s="53" t="s">
        <v>3884</v>
      </c>
      <c r="W150" s="54" t="s">
        <v>1727</v>
      </c>
      <c r="X150" s="55" t="s">
        <v>4889</v>
      </c>
      <c r="Y150" t="s">
        <v>4800</v>
      </c>
      <c r="AI150" s="54"/>
      <c r="AJ150" s="56">
        <v>45740</v>
      </c>
      <c r="AK150" s="57">
        <v>45922</v>
      </c>
      <c r="AL150" s="57"/>
      <c r="AM150" s="57"/>
      <c r="AN150" s="57"/>
      <c r="AO150" s="57"/>
      <c r="AP150" s="57"/>
      <c r="AQ150" s="57"/>
      <c r="AR150" s="57"/>
      <c r="AS150" s="57"/>
      <c r="AT150" s="57"/>
      <c r="AU150" s="57"/>
      <c r="AV150" s="57"/>
      <c r="AW150" s="57"/>
      <c r="AX150" s="57"/>
      <c r="AY150" s="57"/>
      <c r="AZ150" s="57"/>
      <c r="BA150" s="57"/>
      <c r="BB150" s="57"/>
      <c r="BC150" s="58"/>
      <c r="BD150" s="55" t="s">
        <v>5030</v>
      </c>
      <c r="BE150" t="s">
        <v>5032</v>
      </c>
      <c r="BO150" s="54"/>
      <c r="BP150" s="56">
        <v>45712</v>
      </c>
      <c r="BQ150" s="57">
        <v>45894</v>
      </c>
      <c r="BR150" s="57"/>
      <c r="BS150" s="57"/>
      <c r="BT150" s="57"/>
      <c r="BU150" s="57"/>
      <c r="BV150" s="57"/>
      <c r="BW150" s="57"/>
      <c r="BX150" s="57"/>
      <c r="BY150" s="57"/>
      <c r="BZ150" s="57"/>
      <c r="CA150" s="57"/>
      <c r="CB150" s="56">
        <v>45730</v>
      </c>
      <c r="CC150" s="57">
        <v>45912</v>
      </c>
      <c r="CD150" s="57"/>
      <c r="CE150" s="57"/>
      <c r="CF150" s="57"/>
      <c r="CG150" s="57"/>
      <c r="CH150" s="57"/>
      <c r="CI150" s="57"/>
      <c r="CJ150" s="57"/>
      <c r="CK150" s="57"/>
      <c r="CL150" s="57"/>
      <c r="CM150" s="57"/>
      <c r="CN150" s="56">
        <v>45736</v>
      </c>
      <c r="CO150" s="57">
        <v>45918</v>
      </c>
      <c r="CP150" s="57"/>
      <c r="CQ150" s="57"/>
      <c r="CR150" s="57"/>
      <c r="CS150" s="57"/>
      <c r="CT150" s="57"/>
      <c r="CU150" s="57"/>
      <c r="CV150" s="57"/>
      <c r="CW150" s="57"/>
      <c r="CX150" s="57"/>
      <c r="CY150" s="57"/>
      <c r="CZ150" s="56" t="s">
        <v>5034</v>
      </c>
      <c r="DA150" s="57"/>
      <c r="DB150" s="57"/>
      <c r="DC150" s="57"/>
      <c r="DD150" s="57"/>
      <c r="DE150" s="57"/>
      <c r="DF150" s="57"/>
      <c r="DG150" s="57"/>
      <c r="DH150" s="57"/>
      <c r="DI150" s="57"/>
      <c r="DJ150" s="57"/>
      <c r="DK150" s="58"/>
      <c r="DL150" s="59">
        <v>2</v>
      </c>
      <c r="DM150" s="60">
        <v>2</v>
      </c>
      <c r="DN150" s="61">
        <v>2</v>
      </c>
      <c r="DO150" s="60">
        <v>2</v>
      </c>
      <c r="DP150" s="60">
        <v>0</v>
      </c>
      <c r="DQ150" s="59">
        <v>8</v>
      </c>
      <c r="DR150" s="62">
        <v>1952</v>
      </c>
      <c r="DS150" s="62" t="s">
        <v>5034</v>
      </c>
      <c r="DU150" s="62" t="s">
        <v>5034</v>
      </c>
      <c r="DV150" s="63">
        <v>45537</v>
      </c>
      <c r="DW150" s="64">
        <v>2024</v>
      </c>
      <c r="DX150" s="65">
        <v>9</v>
      </c>
    </row>
    <row r="151" spans="2:128" ht="15" x14ac:dyDescent="0.25">
      <c r="B151" s="43" t="s">
        <v>5022</v>
      </c>
      <c r="C151" s="43" t="s">
        <v>4873</v>
      </c>
      <c r="D151" s="43" t="s">
        <v>1783</v>
      </c>
      <c r="E151" s="49">
        <v>45524</v>
      </c>
      <c r="F151" s="49"/>
      <c r="G151" s="50">
        <v>1</v>
      </c>
      <c r="H151" s="43" t="s">
        <v>4799</v>
      </c>
      <c r="I151" s="43" t="s">
        <v>5076</v>
      </c>
      <c r="J151" s="43">
        <v>6</v>
      </c>
      <c r="K151" s="43">
        <v>2</v>
      </c>
      <c r="L151" s="43">
        <v>3</v>
      </c>
      <c r="M151" s="43"/>
      <c r="N151" s="43"/>
      <c r="O151" s="43"/>
      <c r="P151" s="43" t="s">
        <v>1925</v>
      </c>
      <c r="Q151" s="43"/>
      <c r="R151" s="43" t="s">
        <v>5086</v>
      </c>
      <c r="S151" s="43" t="s">
        <v>5026</v>
      </c>
      <c r="T151" s="51" t="s">
        <v>5027</v>
      </c>
      <c r="U151" s="52" t="s">
        <v>5028</v>
      </c>
      <c r="V151" s="53" t="s">
        <v>3884</v>
      </c>
      <c r="W151" s="54" t="s">
        <v>1782</v>
      </c>
      <c r="X151" s="55" t="s">
        <v>4889</v>
      </c>
      <c r="Y151" t="s">
        <v>4800</v>
      </c>
      <c r="AI151" s="54"/>
      <c r="AJ151" s="56">
        <v>45740</v>
      </c>
      <c r="AK151" s="57">
        <v>45922</v>
      </c>
      <c r="AL151" s="57"/>
      <c r="AM151" s="57"/>
      <c r="AN151" s="57"/>
      <c r="AO151" s="57"/>
      <c r="AP151" s="57"/>
      <c r="AQ151" s="57"/>
      <c r="AR151" s="57"/>
      <c r="AS151" s="57"/>
      <c r="AT151" s="57"/>
      <c r="AU151" s="57"/>
      <c r="AV151" s="57"/>
      <c r="AW151" s="57"/>
      <c r="AX151" s="57"/>
      <c r="AY151" s="57"/>
      <c r="AZ151" s="57"/>
      <c r="BA151" s="57"/>
      <c r="BB151" s="57"/>
      <c r="BC151" s="58"/>
      <c r="BD151" s="55" t="s">
        <v>5030</v>
      </c>
      <c r="BE151" t="s">
        <v>5032</v>
      </c>
      <c r="BO151" s="54"/>
      <c r="BP151" s="56">
        <v>45712</v>
      </c>
      <c r="BQ151" s="57">
        <v>45894</v>
      </c>
      <c r="BR151" s="57"/>
      <c r="BS151" s="57"/>
      <c r="BT151" s="57"/>
      <c r="BU151" s="57"/>
      <c r="BV151" s="57"/>
      <c r="BW151" s="57"/>
      <c r="BX151" s="57"/>
      <c r="BY151" s="57"/>
      <c r="BZ151" s="57"/>
      <c r="CA151" s="57"/>
      <c r="CB151" s="56">
        <v>45730</v>
      </c>
      <c r="CC151" s="57">
        <v>45912</v>
      </c>
      <c r="CD151" s="57"/>
      <c r="CE151" s="57"/>
      <c r="CF151" s="57"/>
      <c r="CG151" s="57"/>
      <c r="CH151" s="57"/>
      <c r="CI151" s="57"/>
      <c r="CJ151" s="57"/>
      <c r="CK151" s="57"/>
      <c r="CL151" s="57"/>
      <c r="CM151" s="57"/>
      <c r="CN151" s="56">
        <v>45736</v>
      </c>
      <c r="CO151" s="57">
        <v>45918</v>
      </c>
      <c r="CP151" s="57"/>
      <c r="CQ151" s="57"/>
      <c r="CR151" s="57"/>
      <c r="CS151" s="57"/>
      <c r="CT151" s="57"/>
      <c r="CU151" s="57"/>
      <c r="CV151" s="57"/>
      <c r="CW151" s="57"/>
      <c r="CX151" s="57"/>
      <c r="CY151" s="57"/>
      <c r="CZ151" s="56" t="s">
        <v>5034</v>
      </c>
      <c r="DA151" s="57"/>
      <c r="DB151" s="57"/>
      <c r="DC151" s="57"/>
      <c r="DD151" s="57"/>
      <c r="DE151" s="57"/>
      <c r="DF151" s="57"/>
      <c r="DG151" s="57"/>
      <c r="DH151" s="57"/>
      <c r="DI151" s="57"/>
      <c r="DJ151" s="57"/>
      <c r="DK151" s="58"/>
      <c r="DL151" s="59">
        <v>2</v>
      </c>
      <c r="DM151" s="60">
        <v>2</v>
      </c>
      <c r="DN151" s="61">
        <v>2</v>
      </c>
      <c r="DO151" s="60">
        <v>2</v>
      </c>
      <c r="DP151" s="60">
        <v>0</v>
      </c>
      <c r="DQ151" s="59">
        <v>8</v>
      </c>
      <c r="DR151" s="62">
        <v>1960</v>
      </c>
      <c r="DS151" s="62" t="s">
        <v>5034</v>
      </c>
      <c r="DU151" s="62" t="s">
        <v>5034</v>
      </c>
      <c r="DV151" s="63">
        <v>45537</v>
      </c>
      <c r="DW151" s="64">
        <v>2024</v>
      </c>
      <c r="DX151" s="65">
        <v>9</v>
      </c>
    </row>
    <row r="152" spans="2:128" ht="15" x14ac:dyDescent="0.25">
      <c r="B152" s="43" t="s">
        <v>5022</v>
      </c>
      <c r="C152" s="43" t="s">
        <v>4873</v>
      </c>
      <c r="D152" s="43" t="s">
        <v>1774</v>
      </c>
      <c r="E152" s="49">
        <v>45524</v>
      </c>
      <c r="F152" s="49"/>
      <c r="G152" s="50">
        <v>1</v>
      </c>
      <c r="H152" s="43" t="s">
        <v>4799</v>
      </c>
      <c r="I152" s="43" t="s">
        <v>5076</v>
      </c>
      <c r="J152" s="43">
        <v>6</v>
      </c>
      <c r="K152" s="43">
        <v>2</v>
      </c>
      <c r="L152" s="43">
        <v>3</v>
      </c>
      <c r="M152" s="43"/>
      <c r="N152" s="43"/>
      <c r="O152" s="43"/>
      <c r="P152" s="43" t="s">
        <v>1925</v>
      </c>
      <c r="Q152" s="43"/>
      <c r="R152" s="43" t="s">
        <v>5086</v>
      </c>
      <c r="S152" s="43" t="s">
        <v>5026</v>
      </c>
      <c r="T152" s="51" t="s">
        <v>5027</v>
      </c>
      <c r="U152" s="52" t="s">
        <v>5028</v>
      </c>
      <c r="V152" s="53" t="s">
        <v>3884</v>
      </c>
      <c r="W152" s="54" t="s">
        <v>1773</v>
      </c>
      <c r="X152" s="55" t="s">
        <v>4889</v>
      </c>
      <c r="Y152" t="s">
        <v>4800</v>
      </c>
      <c r="AI152" s="54"/>
      <c r="AJ152" s="56">
        <v>45740</v>
      </c>
      <c r="AK152" s="57">
        <v>45922</v>
      </c>
      <c r="AL152" s="57"/>
      <c r="AM152" s="57"/>
      <c r="AN152" s="57"/>
      <c r="AO152" s="57"/>
      <c r="AP152" s="57"/>
      <c r="AQ152" s="57"/>
      <c r="AR152" s="57"/>
      <c r="AS152" s="57"/>
      <c r="AT152" s="57"/>
      <c r="AU152" s="57"/>
      <c r="AV152" s="57"/>
      <c r="AW152" s="57"/>
      <c r="AX152" s="57"/>
      <c r="AY152" s="57"/>
      <c r="AZ152" s="57"/>
      <c r="BA152" s="57"/>
      <c r="BB152" s="57"/>
      <c r="BC152" s="58"/>
      <c r="BD152" s="55" t="s">
        <v>5030</v>
      </c>
      <c r="BE152" t="s">
        <v>5032</v>
      </c>
      <c r="BO152" s="54"/>
      <c r="BP152" s="56">
        <v>45712</v>
      </c>
      <c r="BQ152" s="57">
        <v>45894</v>
      </c>
      <c r="BR152" s="57"/>
      <c r="BS152" s="57"/>
      <c r="BT152" s="57"/>
      <c r="BU152" s="57"/>
      <c r="BV152" s="57"/>
      <c r="BW152" s="57"/>
      <c r="BX152" s="57"/>
      <c r="BY152" s="57"/>
      <c r="BZ152" s="57"/>
      <c r="CA152" s="57"/>
      <c r="CB152" s="56">
        <v>45730</v>
      </c>
      <c r="CC152" s="57">
        <v>45912</v>
      </c>
      <c r="CD152" s="57"/>
      <c r="CE152" s="57"/>
      <c r="CF152" s="57"/>
      <c r="CG152" s="57"/>
      <c r="CH152" s="57"/>
      <c r="CI152" s="57"/>
      <c r="CJ152" s="57"/>
      <c r="CK152" s="57"/>
      <c r="CL152" s="57"/>
      <c r="CM152" s="57"/>
      <c r="CN152" s="56">
        <v>45736</v>
      </c>
      <c r="CO152" s="57">
        <v>45918</v>
      </c>
      <c r="CP152" s="57"/>
      <c r="CQ152" s="57"/>
      <c r="CR152" s="57"/>
      <c r="CS152" s="57"/>
      <c r="CT152" s="57"/>
      <c r="CU152" s="57"/>
      <c r="CV152" s="57"/>
      <c r="CW152" s="57"/>
      <c r="CX152" s="57"/>
      <c r="CY152" s="57"/>
      <c r="CZ152" s="56" t="s">
        <v>5034</v>
      </c>
      <c r="DA152" s="57"/>
      <c r="DB152" s="57"/>
      <c r="DC152" s="57"/>
      <c r="DD152" s="57"/>
      <c r="DE152" s="57"/>
      <c r="DF152" s="57"/>
      <c r="DG152" s="57"/>
      <c r="DH152" s="57"/>
      <c r="DI152" s="57"/>
      <c r="DJ152" s="57"/>
      <c r="DK152" s="58"/>
      <c r="DL152" s="59">
        <v>2</v>
      </c>
      <c r="DM152" s="60">
        <v>2</v>
      </c>
      <c r="DN152" s="61">
        <v>2</v>
      </c>
      <c r="DO152" s="60">
        <v>2</v>
      </c>
      <c r="DP152" s="60">
        <v>0</v>
      </c>
      <c r="DQ152" s="59">
        <v>8</v>
      </c>
      <c r="DR152" s="62">
        <v>1968</v>
      </c>
      <c r="DS152" s="62" t="s">
        <v>5034</v>
      </c>
      <c r="DU152" s="62" t="s">
        <v>5034</v>
      </c>
      <c r="DV152" s="63">
        <v>45537</v>
      </c>
      <c r="DW152" s="64">
        <v>2024</v>
      </c>
      <c r="DX152" s="65">
        <v>9</v>
      </c>
    </row>
    <row r="153" spans="2:128" ht="15" x14ac:dyDescent="0.25">
      <c r="B153" s="43" t="s">
        <v>5022</v>
      </c>
      <c r="C153" s="43" t="s">
        <v>4873</v>
      </c>
      <c r="D153" s="43" t="s">
        <v>1811</v>
      </c>
      <c r="E153" s="49">
        <v>45524</v>
      </c>
      <c r="F153" s="49"/>
      <c r="G153" s="50">
        <v>1</v>
      </c>
      <c r="H153" s="43" t="s">
        <v>4799</v>
      </c>
      <c r="I153" s="43" t="s">
        <v>5076</v>
      </c>
      <c r="J153" s="43">
        <v>6</v>
      </c>
      <c r="K153" s="43">
        <v>2</v>
      </c>
      <c r="L153" s="43">
        <v>3</v>
      </c>
      <c r="M153" s="43"/>
      <c r="N153" s="43"/>
      <c r="O153" s="43"/>
      <c r="P153" s="43" t="s">
        <v>1925</v>
      </c>
      <c r="Q153" s="43"/>
      <c r="R153" s="43" t="s">
        <v>5086</v>
      </c>
      <c r="S153" s="43" t="s">
        <v>5026</v>
      </c>
      <c r="T153" s="51" t="s">
        <v>5027</v>
      </c>
      <c r="U153" s="52" t="s">
        <v>5028</v>
      </c>
      <c r="V153" s="53" t="s">
        <v>3884</v>
      </c>
      <c r="W153" s="54" t="s">
        <v>1810</v>
      </c>
      <c r="X153" s="55" t="s">
        <v>4889</v>
      </c>
      <c r="Y153" t="s">
        <v>4800</v>
      </c>
      <c r="AI153" s="54"/>
      <c r="AJ153" s="56">
        <v>45740</v>
      </c>
      <c r="AK153" s="57">
        <v>45922</v>
      </c>
      <c r="AL153" s="57"/>
      <c r="AM153" s="57"/>
      <c r="AN153" s="57"/>
      <c r="AO153" s="57"/>
      <c r="AP153" s="57"/>
      <c r="AQ153" s="57"/>
      <c r="AR153" s="57"/>
      <c r="AS153" s="57"/>
      <c r="AT153" s="57"/>
      <c r="AU153" s="57"/>
      <c r="AV153" s="57"/>
      <c r="AW153" s="57"/>
      <c r="AX153" s="57"/>
      <c r="AY153" s="57"/>
      <c r="AZ153" s="57"/>
      <c r="BA153" s="57"/>
      <c r="BB153" s="57"/>
      <c r="BC153" s="58"/>
      <c r="BD153" s="55" t="s">
        <v>5030</v>
      </c>
      <c r="BE153" t="s">
        <v>5032</v>
      </c>
      <c r="BO153" s="54"/>
      <c r="BP153" s="56">
        <v>45712</v>
      </c>
      <c r="BQ153" s="57">
        <v>45894</v>
      </c>
      <c r="BR153" s="57"/>
      <c r="BS153" s="57"/>
      <c r="BT153" s="57"/>
      <c r="BU153" s="57"/>
      <c r="BV153" s="57"/>
      <c r="BW153" s="57"/>
      <c r="BX153" s="57"/>
      <c r="BY153" s="57"/>
      <c r="BZ153" s="57"/>
      <c r="CA153" s="57"/>
      <c r="CB153" s="56">
        <v>45730</v>
      </c>
      <c r="CC153" s="57">
        <v>45912</v>
      </c>
      <c r="CD153" s="57"/>
      <c r="CE153" s="57"/>
      <c r="CF153" s="57"/>
      <c r="CG153" s="57"/>
      <c r="CH153" s="57"/>
      <c r="CI153" s="57"/>
      <c r="CJ153" s="57"/>
      <c r="CK153" s="57"/>
      <c r="CL153" s="57"/>
      <c r="CM153" s="57"/>
      <c r="CN153" s="56">
        <v>45736</v>
      </c>
      <c r="CO153" s="57">
        <v>45918</v>
      </c>
      <c r="CP153" s="57"/>
      <c r="CQ153" s="57"/>
      <c r="CR153" s="57"/>
      <c r="CS153" s="57"/>
      <c r="CT153" s="57"/>
      <c r="CU153" s="57"/>
      <c r="CV153" s="57"/>
      <c r="CW153" s="57"/>
      <c r="CX153" s="57"/>
      <c r="CY153" s="57"/>
      <c r="CZ153" s="56" t="s">
        <v>5034</v>
      </c>
      <c r="DA153" s="57"/>
      <c r="DB153" s="57"/>
      <c r="DC153" s="57"/>
      <c r="DD153" s="57"/>
      <c r="DE153" s="57"/>
      <c r="DF153" s="57"/>
      <c r="DG153" s="57"/>
      <c r="DH153" s="57"/>
      <c r="DI153" s="57"/>
      <c r="DJ153" s="57"/>
      <c r="DK153" s="58"/>
      <c r="DL153" s="59">
        <v>2</v>
      </c>
      <c r="DM153" s="60">
        <v>2</v>
      </c>
      <c r="DN153" s="61">
        <v>2</v>
      </c>
      <c r="DO153" s="60">
        <v>2</v>
      </c>
      <c r="DP153" s="60">
        <v>0</v>
      </c>
      <c r="DQ153" s="59">
        <v>8</v>
      </c>
      <c r="DR153" s="62">
        <v>1976</v>
      </c>
      <c r="DS153" s="62" t="s">
        <v>5034</v>
      </c>
      <c r="DU153" s="62" t="s">
        <v>5034</v>
      </c>
      <c r="DV153" s="63">
        <v>45537</v>
      </c>
      <c r="DW153" s="64">
        <v>2024</v>
      </c>
      <c r="DX153" s="65">
        <v>9</v>
      </c>
    </row>
    <row r="154" spans="2:128" ht="15" x14ac:dyDescent="0.25">
      <c r="B154" s="43" t="s">
        <v>5022</v>
      </c>
      <c r="C154" s="43" t="s">
        <v>4873</v>
      </c>
      <c r="D154" s="43" t="s">
        <v>1802</v>
      </c>
      <c r="E154" s="49">
        <v>45524</v>
      </c>
      <c r="F154" s="49"/>
      <c r="G154" s="50">
        <v>1</v>
      </c>
      <c r="H154" s="43" t="s">
        <v>4799</v>
      </c>
      <c r="I154" s="43" t="s">
        <v>5076</v>
      </c>
      <c r="J154" s="43">
        <v>6</v>
      </c>
      <c r="K154" s="43">
        <v>2</v>
      </c>
      <c r="L154" s="43">
        <v>3</v>
      </c>
      <c r="M154" s="43"/>
      <c r="N154" s="43"/>
      <c r="O154" s="43"/>
      <c r="P154" s="43" t="s">
        <v>1925</v>
      </c>
      <c r="Q154" s="43"/>
      <c r="R154" s="43" t="s">
        <v>5086</v>
      </c>
      <c r="S154" s="43" t="s">
        <v>5026</v>
      </c>
      <c r="T154" s="51" t="s">
        <v>5027</v>
      </c>
      <c r="U154" s="52" t="s">
        <v>5028</v>
      </c>
      <c r="V154" s="53" t="s">
        <v>3884</v>
      </c>
      <c r="W154" s="54" t="s">
        <v>1801</v>
      </c>
      <c r="X154" s="55" t="s">
        <v>4889</v>
      </c>
      <c r="Y154" t="s">
        <v>4800</v>
      </c>
      <c r="AI154" s="54"/>
      <c r="AJ154" s="56">
        <v>45740</v>
      </c>
      <c r="AK154" s="57">
        <v>45922</v>
      </c>
      <c r="AL154" s="57"/>
      <c r="AM154" s="57"/>
      <c r="AN154" s="57"/>
      <c r="AO154" s="57"/>
      <c r="AP154" s="57"/>
      <c r="AQ154" s="57"/>
      <c r="AR154" s="57"/>
      <c r="AS154" s="57"/>
      <c r="AT154" s="57"/>
      <c r="AU154" s="57"/>
      <c r="AV154" s="57"/>
      <c r="AW154" s="57"/>
      <c r="AX154" s="57"/>
      <c r="AY154" s="57"/>
      <c r="AZ154" s="57"/>
      <c r="BA154" s="57"/>
      <c r="BB154" s="57"/>
      <c r="BC154" s="58"/>
      <c r="BD154" s="55" t="s">
        <v>5030</v>
      </c>
      <c r="BE154" t="s">
        <v>5032</v>
      </c>
      <c r="BO154" s="54"/>
      <c r="BP154" s="56">
        <v>45712</v>
      </c>
      <c r="BQ154" s="57">
        <v>45894</v>
      </c>
      <c r="BR154" s="57"/>
      <c r="BS154" s="57"/>
      <c r="BT154" s="57"/>
      <c r="BU154" s="57"/>
      <c r="BV154" s="57"/>
      <c r="BW154" s="57"/>
      <c r="BX154" s="57"/>
      <c r="BY154" s="57"/>
      <c r="BZ154" s="57"/>
      <c r="CA154" s="57"/>
      <c r="CB154" s="56">
        <v>45730</v>
      </c>
      <c r="CC154" s="57">
        <v>45912</v>
      </c>
      <c r="CD154" s="57"/>
      <c r="CE154" s="57"/>
      <c r="CF154" s="57"/>
      <c r="CG154" s="57"/>
      <c r="CH154" s="57"/>
      <c r="CI154" s="57"/>
      <c r="CJ154" s="57"/>
      <c r="CK154" s="57"/>
      <c r="CL154" s="57"/>
      <c r="CM154" s="57"/>
      <c r="CN154" s="56">
        <v>45736</v>
      </c>
      <c r="CO154" s="57">
        <v>45918</v>
      </c>
      <c r="CP154" s="57"/>
      <c r="CQ154" s="57"/>
      <c r="CR154" s="57"/>
      <c r="CS154" s="57"/>
      <c r="CT154" s="57"/>
      <c r="CU154" s="57"/>
      <c r="CV154" s="57"/>
      <c r="CW154" s="57"/>
      <c r="CX154" s="57"/>
      <c r="CY154" s="57"/>
      <c r="CZ154" s="56" t="s">
        <v>5034</v>
      </c>
      <c r="DA154" s="57"/>
      <c r="DB154" s="57"/>
      <c r="DC154" s="57"/>
      <c r="DD154" s="57"/>
      <c r="DE154" s="57"/>
      <c r="DF154" s="57"/>
      <c r="DG154" s="57"/>
      <c r="DH154" s="57"/>
      <c r="DI154" s="57"/>
      <c r="DJ154" s="57"/>
      <c r="DK154" s="58"/>
      <c r="DL154" s="59">
        <v>2</v>
      </c>
      <c r="DM154" s="60">
        <v>2</v>
      </c>
      <c r="DN154" s="61">
        <v>2</v>
      </c>
      <c r="DO154" s="60">
        <v>2</v>
      </c>
      <c r="DP154" s="60">
        <v>0</v>
      </c>
      <c r="DQ154" s="59">
        <v>8</v>
      </c>
      <c r="DR154" s="62">
        <v>1984</v>
      </c>
      <c r="DS154" s="62" t="s">
        <v>5034</v>
      </c>
      <c r="DU154" s="62" t="s">
        <v>5034</v>
      </c>
      <c r="DV154" s="63">
        <v>45537</v>
      </c>
      <c r="DW154" s="64">
        <v>2024</v>
      </c>
      <c r="DX154" s="65">
        <v>9</v>
      </c>
    </row>
    <row r="155" spans="2:128" ht="15" x14ac:dyDescent="0.25">
      <c r="B155" s="43" t="s">
        <v>5022</v>
      </c>
      <c r="C155" s="43" t="s">
        <v>4873</v>
      </c>
      <c r="D155" s="43" t="s">
        <v>1792</v>
      </c>
      <c r="E155" s="49">
        <v>45524</v>
      </c>
      <c r="F155" s="49"/>
      <c r="G155" s="50">
        <v>1</v>
      </c>
      <c r="H155" s="43" t="s">
        <v>4799</v>
      </c>
      <c r="I155" s="43" t="s">
        <v>5076</v>
      </c>
      <c r="J155" s="43">
        <v>6</v>
      </c>
      <c r="K155" s="43">
        <v>2</v>
      </c>
      <c r="L155" s="43">
        <v>3</v>
      </c>
      <c r="M155" s="43"/>
      <c r="N155" s="43"/>
      <c r="O155" s="43"/>
      <c r="P155" s="43" t="s">
        <v>1925</v>
      </c>
      <c r="Q155" s="43"/>
      <c r="R155" s="43" t="s">
        <v>5086</v>
      </c>
      <c r="S155" s="43" t="s">
        <v>5026</v>
      </c>
      <c r="T155" s="51" t="s">
        <v>5027</v>
      </c>
      <c r="U155" s="52" t="s">
        <v>5028</v>
      </c>
      <c r="V155" s="53" t="s">
        <v>3884</v>
      </c>
      <c r="W155" s="54" t="s">
        <v>1791</v>
      </c>
      <c r="X155" s="55" t="s">
        <v>4889</v>
      </c>
      <c r="Y155" t="s">
        <v>4800</v>
      </c>
      <c r="AI155" s="54"/>
      <c r="AJ155" s="56">
        <v>45740</v>
      </c>
      <c r="AK155" s="57">
        <v>45922</v>
      </c>
      <c r="AL155" s="57"/>
      <c r="AM155" s="57"/>
      <c r="AN155" s="57"/>
      <c r="AO155" s="57"/>
      <c r="AP155" s="57"/>
      <c r="AQ155" s="57"/>
      <c r="AR155" s="57"/>
      <c r="AS155" s="57"/>
      <c r="AT155" s="57"/>
      <c r="AU155" s="57"/>
      <c r="AV155" s="57"/>
      <c r="AW155" s="57"/>
      <c r="AX155" s="57"/>
      <c r="AY155" s="57"/>
      <c r="AZ155" s="57"/>
      <c r="BA155" s="57"/>
      <c r="BB155" s="57"/>
      <c r="BC155" s="58"/>
      <c r="BD155" s="55" t="s">
        <v>5030</v>
      </c>
      <c r="BE155" t="s">
        <v>5032</v>
      </c>
      <c r="BO155" s="54"/>
      <c r="BP155" s="56">
        <v>45712</v>
      </c>
      <c r="BQ155" s="57">
        <v>45894</v>
      </c>
      <c r="BR155" s="57"/>
      <c r="BS155" s="57"/>
      <c r="BT155" s="57"/>
      <c r="BU155" s="57"/>
      <c r="BV155" s="57"/>
      <c r="BW155" s="57"/>
      <c r="BX155" s="57"/>
      <c r="BY155" s="57"/>
      <c r="BZ155" s="57"/>
      <c r="CA155" s="57"/>
      <c r="CB155" s="56">
        <v>45730</v>
      </c>
      <c r="CC155" s="57">
        <v>45912</v>
      </c>
      <c r="CD155" s="57"/>
      <c r="CE155" s="57"/>
      <c r="CF155" s="57"/>
      <c r="CG155" s="57"/>
      <c r="CH155" s="57"/>
      <c r="CI155" s="57"/>
      <c r="CJ155" s="57"/>
      <c r="CK155" s="57"/>
      <c r="CL155" s="57"/>
      <c r="CM155" s="57"/>
      <c r="CN155" s="56">
        <v>45736</v>
      </c>
      <c r="CO155" s="57">
        <v>45918</v>
      </c>
      <c r="CP155" s="57"/>
      <c r="CQ155" s="57"/>
      <c r="CR155" s="57"/>
      <c r="CS155" s="57"/>
      <c r="CT155" s="57"/>
      <c r="CU155" s="57"/>
      <c r="CV155" s="57"/>
      <c r="CW155" s="57"/>
      <c r="CX155" s="57"/>
      <c r="CY155" s="57"/>
      <c r="CZ155" s="56" t="s">
        <v>5034</v>
      </c>
      <c r="DA155" s="57"/>
      <c r="DB155" s="57"/>
      <c r="DC155" s="57"/>
      <c r="DD155" s="57"/>
      <c r="DE155" s="57"/>
      <c r="DF155" s="57"/>
      <c r="DG155" s="57"/>
      <c r="DH155" s="57"/>
      <c r="DI155" s="57"/>
      <c r="DJ155" s="57"/>
      <c r="DK155" s="58"/>
      <c r="DL155" s="59">
        <v>2</v>
      </c>
      <c r="DM155" s="60">
        <v>2</v>
      </c>
      <c r="DN155" s="61">
        <v>2</v>
      </c>
      <c r="DO155" s="60">
        <v>2</v>
      </c>
      <c r="DP155" s="60">
        <v>0</v>
      </c>
      <c r="DQ155" s="59">
        <v>8</v>
      </c>
      <c r="DR155" s="62">
        <v>1992</v>
      </c>
      <c r="DS155" s="62" t="s">
        <v>5034</v>
      </c>
      <c r="DU155" s="62" t="s">
        <v>5034</v>
      </c>
      <c r="DV155" s="63">
        <v>45537</v>
      </c>
      <c r="DW155" s="64">
        <v>2024</v>
      </c>
      <c r="DX155" s="65">
        <v>9</v>
      </c>
    </row>
    <row r="156" spans="2:128" ht="15" x14ac:dyDescent="0.25">
      <c r="B156" s="43" t="s">
        <v>5022</v>
      </c>
      <c r="C156" s="43" t="s">
        <v>4873</v>
      </c>
      <c r="D156" s="43" t="s">
        <v>1765</v>
      </c>
      <c r="E156" s="49">
        <v>45524</v>
      </c>
      <c r="F156" s="49"/>
      <c r="G156" s="50">
        <v>1</v>
      </c>
      <c r="H156" s="43" t="s">
        <v>4799</v>
      </c>
      <c r="I156" s="43" t="s">
        <v>5076</v>
      </c>
      <c r="J156" s="43">
        <v>6</v>
      </c>
      <c r="K156" s="43">
        <v>2</v>
      </c>
      <c r="L156" s="43">
        <v>3</v>
      </c>
      <c r="M156" s="43"/>
      <c r="N156" s="43"/>
      <c r="O156" s="43"/>
      <c r="P156" s="43" t="s">
        <v>1925</v>
      </c>
      <c r="Q156" s="43"/>
      <c r="R156" s="43" t="s">
        <v>5086</v>
      </c>
      <c r="S156" s="43" t="s">
        <v>5026</v>
      </c>
      <c r="T156" s="51" t="s">
        <v>5027</v>
      </c>
      <c r="U156" s="52" t="s">
        <v>5028</v>
      </c>
      <c r="V156" s="53" t="s">
        <v>3884</v>
      </c>
      <c r="W156" s="54" t="s">
        <v>1764</v>
      </c>
      <c r="X156" s="55" t="s">
        <v>4889</v>
      </c>
      <c r="Y156" t="s">
        <v>4800</v>
      </c>
      <c r="AI156" s="54"/>
      <c r="AJ156" s="56">
        <v>45740</v>
      </c>
      <c r="AK156" s="57">
        <v>45922</v>
      </c>
      <c r="AL156" s="57"/>
      <c r="AM156" s="57"/>
      <c r="AN156" s="57"/>
      <c r="AO156" s="57"/>
      <c r="AP156" s="57"/>
      <c r="AQ156" s="57"/>
      <c r="AR156" s="57"/>
      <c r="AS156" s="57"/>
      <c r="AT156" s="57"/>
      <c r="AU156" s="57"/>
      <c r="AV156" s="57"/>
      <c r="AW156" s="57"/>
      <c r="AX156" s="57"/>
      <c r="AY156" s="57"/>
      <c r="AZ156" s="57"/>
      <c r="BA156" s="57"/>
      <c r="BB156" s="57"/>
      <c r="BC156" s="58"/>
      <c r="BD156" s="55" t="s">
        <v>5030</v>
      </c>
      <c r="BE156" t="s">
        <v>5032</v>
      </c>
      <c r="BO156" s="54"/>
      <c r="BP156" s="56">
        <v>45712</v>
      </c>
      <c r="BQ156" s="57">
        <v>45894</v>
      </c>
      <c r="BR156" s="57"/>
      <c r="BS156" s="57"/>
      <c r="BT156" s="57"/>
      <c r="BU156" s="57"/>
      <c r="BV156" s="57"/>
      <c r="BW156" s="57"/>
      <c r="BX156" s="57"/>
      <c r="BY156" s="57"/>
      <c r="BZ156" s="57"/>
      <c r="CA156" s="57"/>
      <c r="CB156" s="56">
        <v>45730</v>
      </c>
      <c r="CC156" s="57">
        <v>45912</v>
      </c>
      <c r="CD156" s="57"/>
      <c r="CE156" s="57"/>
      <c r="CF156" s="57"/>
      <c r="CG156" s="57"/>
      <c r="CH156" s="57"/>
      <c r="CI156" s="57"/>
      <c r="CJ156" s="57"/>
      <c r="CK156" s="57"/>
      <c r="CL156" s="57"/>
      <c r="CM156" s="57"/>
      <c r="CN156" s="56">
        <v>45736</v>
      </c>
      <c r="CO156" s="57">
        <v>45918</v>
      </c>
      <c r="CP156" s="57"/>
      <c r="CQ156" s="57"/>
      <c r="CR156" s="57"/>
      <c r="CS156" s="57"/>
      <c r="CT156" s="57"/>
      <c r="CU156" s="57"/>
      <c r="CV156" s="57"/>
      <c r="CW156" s="57"/>
      <c r="CX156" s="57"/>
      <c r="CY156" s="57"/>
      <c r="CZ156" s="56" t="s">
        <v>5034</v>
      </c>
      <c r="DA156" s="57"/>
      <c r="DB156" s="57"/>
      <c r="DC156" s="57"/>
      <c r="DD156" s="57"/>
      <c r="DE156" s="57"/>
      <c r="DF156" s="57"/>
      <c r="DG156" s="57"/>
      <c r="DH156" s="57"/>
      <c r="DI156" s="57"/>
      <c r="DJ156" s="57"/>
      <c r="DK156" s="58"/>
      <c r="DL156" s="59">
        <v>2</v>
      </c>
      <c r="DM156" s="60">
        <v>2</v>
      </c>
      <c r="DN156" s="61">
        <v>2</v>
      </c>
      <c r="DO156" s="60">
        <v>2</v>
      </c>
      <c r="DP156" s="60">
        <v>0</v>
      </c>
      <c r="DQ156" s="59">
        <v>8</v>
      </c>
      <c r="DR156" s="62">
        <v>2000</v>
      </c>
      <c r="DS156" s="62" t="s">
        <v>5034</v>
      </c>
      <c r="DU156" s="62" t="s">
        <v>5034</v>
      </c>
      <c r="DV156" s="63">
        <v>45537</v>
      </c>
      <c r="DW156" s="64">
        <v>2024</v>
      </c>
      <c r="DX156" s="65">
        <v>9</v>
      </c>
    </row>
    <row r="157" spans="2:128" ht="15" x14ac:dyDescent="0.25">
      <c r="B157" s="43" t="s">
        <v>5022</v>
      </c>
      <c r="C157" s="43" t="s">
        <v>4873</v>
      </c>
      <c r="D157" s="43" t="s">
        <v>1746</v>
      </c>
      <c r="E157" s="49">
        <v>45524</v>
      </c>
      <c r="F157" s="49"/>
      <c r="G157" s="50">
        <v>1</v>
      </c>
      <c r="H157" s="43" t="s">
        <v>4799</v>
      </c>
      <c r="I157" s="43" t="s">
        <v>5076</v>
      </c>
      <c r="J157" s="43">
        <v>6</v>
      </c>
      <c r="K157" s="43">
        <v>2</v>
      </c>
      <c r="L157" s="43">
        <v>3</v>
      </c>
      <c r="M157" s="43"/>
      <c r="N157" s="43"/>
      <c r="O157" s="43"/>
      <c r="P157" s="43" t="s">
        <v>1925</v>
      </c>
      <c r="Q157" s="43"/>
      <c r="R157" s="43" t="s">
        <v>5086</v>
      </c>
      <c r="S157" s="43" t="s">
        <v>5026</v>
      </c>
      <c r="T157" s="51" t="s">
        <v>5027</v>
      </c>
      <c r="U157" s="52" t="s">
        <v>5028</v>
      </c>
      <c r="V157" s="53" t="s">
        <v>3884</v>
      </c>
      <c r="W157" s="54" t="s">
        <v>1745</v>
      </c>
      <c r="X157" s="55" t="s">
        <v>4889</v>
      </c>
      <c r="Y157" t="s">
        <v>4800</v>
      </c>
      <c r="AI157" s="54"/>
      <c r="AJ157" s="56">
        <v>45740</v>
      </c>
      <c r="AK157" s="57">
        <v>45922</v>
      </c>
      <c r="AL157" s="57"/>
      <c r="AM157" s="57"/>
      <c r="AN157" s="57"/>
      <c r="AO157" s="57"/>
      <c r="AP157" s="57"/>
      <c r="AQ157" s="57"/>
      <c r="AR157" s="57"/>
      <c r="AS157" s="57"/>
      <c r="AT157" s="57"/>
      <c r="AU157" s="57"/>
      <c r="AV157" s="57"/>
      <c r="AW157" s="57"/>
      <c r="AX157" s="57"/>
      <c r="AY157" s="57"/>
      <c r="AZ157" s="57"/>
      <c r="BA157" s="57"/>
      <c r="BB157" s="57"/>
      <c r="BC157" s="58"/>
      <c r="BD157" s="55" t="s">
        <v>5030</v>
      </c>
      <c r="BE157" t="s">
        <v>5032</v>
      </c>
      <c r="BO157" s="54"/>
      <c r="BP157" s="56">
        <v>45712</v>
      </c>
      <c r="BQ157" s="57">
        <v>45894</v>
      </c>
      <c r="BR157" s="57"/>
      <c r="BS157" s="57"/>
      <c r="BT157" s="57"/>
      <c r="BU157" s="57"/>
      <c r="BV157" s="57"/>
      <c r="BW157" s="57"/>
      <c r="BX157" s="57"/>
      <c r="BY157" s="57"/>
      <c r="BZ157" s="57"/>
      <c r="CA157" s="57"/>
      <c r="CB157" s="56">
        <v>45730</v>
      </c>
      <c r="CC157" s="57">
        <v>45912</v>
      </c>
      <c r="CD157" s="57"/>
      <c r="CE157" s="57"/>
      <c r="CF157" s="57"/>
      <c r="CG157" s="57"/>
      <c r="CH157" s="57"/>
      <c r="CI157" s="57"/>
      <c r="CJ157" s="57"/>
      <c r="CK157" s="57"/>
      <c r="CL157" s="57"/>
      <c r="CM157" s="57"/>
      <c r="CN157" s="56">
        <v>45736</v>
      </c>
      <c r="CO157" s="57">
        <v>45918</v>
      </c>
      <c r="CP157" s="57"/>
      <c r="CQ157" s="57"/>
      <c r="CR157" s="57"/>
      <c r="CS157" s="57"/>
      <c r="CT157" s="57"/>
      <c r="CU157" s="57"/>
      <c r="CV157" s="57"/>
      <c r="CW157" s="57"/>
      <c r="CX157" s="57"/>
      <c r="CY157" s="57"/>
      <c r="CZ157" s="56" t="s">
        <v>5034</v>
      </c>
      <c r="DA157" s="57"/>
      <c r="DB157" s="57"/>
      <c r="DC157" s="57"/>
      <c r="DD157" s="57"/>
      <c r="DE157" s="57"/>
      <c r="DF157" s="57"/>
      <c r="DG157" s="57"/>
      <c r="DH157" s="57"/>
      <c r="DI157" s="57"/>
      <c r="DJ157" s="57"/>
      <c r="DK157" s="58"/>
      <c r="DL157" s="59">
        <v>2</v>
      </c>
      <c r="DM157" s="60">
        <v>2</v>
      </c>
      <c r="DN157" s="61">
        <v>2</v>
      </c>
      <c r="DO157" s="60">
        <v>2</v>
      </c>
      <c r="DP157" s="60">
        <v>0</v>
      </c>
      <c r="DQ157" s="59">
        <v>8</v>
      </c>
      <c r="DR157" s="62">
        <v>2008</v>
      </c>
      <c r="DS157" s="62" t="s">
        <v>5034</v>
      </c>
      <c r="DU157" s="62" t="s">
        <v>5034</v>
      </c>
      <c r="DV157" s="63">
        <v>45537</v>
      </c>
      <c r="DW157" s="64">
        <v>2024</v>
      </c>
      <c r="DX157" s="65">
        <v>9</v>
      </c>
    </row>
    <row r="158" spans="2:128" ht="15" x14ac:dyDescent="0.25">
      <c r="B158" s="43" t="s">
        <v>5022</v>
      </c>
      <c r="C158" s="43" t="s">
        <v>4873</v>
      </c>
      <c r="D158" s="43" t="s">
        <v>1737</v>
      </c>
      <c r="E158" s="49">
        <v>45524</v>
      </c>
      <c r="F158" s="49"/>
      <c r="G158" s="50">
        <v>1</v>
      </c>
      <c r="H158" s="43" t="s">
        <v>4799</v>
      </c>
      <c r="I158" s="43" t="s">
        <v>5076</v>
      </c>
      <c r="J158" s="43">
        <v>6</v>
      </c>
      <c r="K158" s="43">
        <v>2</v>
      </c>
      <c r="L158" s="43">
        <v>3</v>
      </c>
      <c r="M158" s="43"/>
      <c r="N158" s="43"/>
      <c r="O158" s="43"/>
      <c r="P158" s="43" t="s">
        <v>1925</v>
      </c>
      <c r="Q158" s="43"/>
      <c r="R158" s="43" t="s">
        <v>5086</v>
      </c>
      <c r="S158" s="43" t="s">
        <v>5026</v>
      </c>
      <c r="T158" s="51" t="s">
        <v>5027</v>
      </c>
      <c r="U158" s="52" t="s">
        <v>5028</v>
      </c>
      <c r="V158" s="53" t="s">
        <v>3884</v>
      </c>
      <c r="W158" s="54" t="s">
        <v>1736</v>
      </c>
      <c r="X158" s="55" t="s">
        <v>4889</v>
      </c>
      <c r="Y158" t="s">
        <v>4800</v>
      </c>
      <c r="AI158" s="54"/>
      <c r="AJ158" s="56">
        <v>45740</v>
      </c>
      <c r="AK158" s="57">
        <v>45922</v>
      </c>
      <c r="AL158" s="57"/>
      <c r="AM158" s="57"/>
      <c r="AN158" s="57"/>
      <c r="AO158" s="57"/>
      <c r="AP158" s="57"/>
      <c r="AQ158" s="57"/>
      <c r="AR158" s="57"/>
      <c r="AS158" s="57"/>
      <c r="AT158" s="57"/>
      <c r="AU158" s="57"/>
      <c r="AV158" s="57"/>
      <c r="AW158" s="57"/>
      <c r="AX158" s="57"/>
      <c r="AY158" s="57"/>
      <c r="AZ158" s="57"/>
      <c r="BA158" s="57"/>
      <c r="BB158" s="57"/>
      <c r="BC158" s="58"/>
      <c r="BD158" s="55" t="s">
        <v>5030</v>
      </c>
      <c r="BE158" t="s">
        <v>5032</v>
      </c>
      <c r="BO158" s="54"/>
      <c r="BP158" s="56">
        <v>45712</v>
      </c>
      <c r="BQ158" s="57">
        <v>45894</v>
      </c>
      <c r="BR158" s="57"/>
      <c r="BS158" s="57"/>
      <c r="BT158" s="57"/>
      <c r="BU158" s="57"/>
      <c r="BV158" s="57"/>
      <c r="BW158" s="57"/>
      <c r="BX158" s="57"/>
      <c r="BY158" s="57"/>
      <c r="BZ158" s="57"/>
      <c r="CA158" s="57"/>
      <c r="CB158" s="56">
        <v>45730</v>
      </c>
      <c r="CC158" s="57">
        <v>45912</v>
      </c>
      <c r="CD158" s="57"/>
      <c r="CE158" s="57"/>
      <c r="CF158" s="57"/>
      <c r="CG158" s="57"/>
      <c r="CH158" s="57"/>
      <c r="CI158" s="57"/>
      <c r="CJ158" s="57"/>
      <c r="CK158" s="57"/>
      <c r="CL158" s="57"/>
      <c r="CM158" s="57"/>
      <c r="CN158" s="56">
        <v>45736</v>
      </c>
      <c r="CO158" s="57">
        <v>45918</v>
      </c>
      <c r="CP158" s="57"/>
      <c r="CQ158" s="57"/>
      <c r="CR158" s="57"/>
      <c r="CS158" s="57"/>
      <c r="CT158" s="57"/>
      <c r="CU158" s="57"/>
      <c r="CV158" s="57"/>
      <c r="CW158" s="57"/>
      <c r="CX158" s="57"/>
      <c r="CY158" s="57"/>
      <c r="CZ158" s="56" t="s">
        <v>5034</v>
      </c>
      <c r="DA158" s="57"/>
      <c r="DB158" s="57"/>
      <c r="DC158" s="57"/>
      <c r="DD158" s="57"/>
      <c r="DE158" s="57"/>
      <c r="DF158" s="57"/>
      <c r="DG158" s="57"/>
      <c r="DH158" s="57"/>
      <c r="DI158" s="57"/>
      <c r="DJ158" s="57"/>
      <c r="DK158" s="58"/>
      <c r="DL158" s="59">
        <v>2</v>
      </c>
      <c r="DM158" s="60">
        <v>2</v>
      </c>
      <c r="DN158" s="61">
        <v>2</v>
      </c>
      <c r="DO158" s="60">
        <v>2</v>
      </c>
      <c r="DP158" s="60">
        <v>0</v>
      </c>
      <c r="DQ158" s="59">
        <v>8</v>
      </c>
      <c r="DR158" s="62">
        <v>2016</v>
      </c>
      <c r="DS158" s="62" t="s">
        <v>5034</v>
      </c>
      <c r="DU158" s="62" t="s">
        <v>5034</v>
      </c>
      <c r="DV158" s="63">
        <v>45537</v>
      </c>
      <c r="DW158" s="64">
        <v>2024</v>
      </c>
      <c r="DX158" s="65">
        <v>9</v>
      </c>
    </row>
    <row r="159" spans="2:128" ht="15" x14ac:dyDescent="0.25">
      <c r="B159" s="43" t="s">
        <v>5022</v>
      </c>
      <c r="C159" s="43" t="s">
        <v>4873</v>
      </c>
      <c r="D159" s="43" t="s">
        <v>1719</v>
      </c>
      <c r="E159" s="49">
        <v>45524</v>
      </c>
      <c r="F159" s="49"/>
      <c r="G159" s="50">
        <v>1</v>
      </c>
      <c r="H159" s="43" t="s">
        <v>4799</v>
      </c>
      <c r="I159" s="43" t="s">
        <v>5076</v>
      </c>
      <c r="J159" s="43">
        <v>6</v>
      </c>
      <c r="K159" s="43">
        <v>2</v>
      </c>
      <c r="L159" s="43">
        <v>3</v>
      </c>
      <c r="M159" s="43"/>
      <c r="N159" s="43"/>
      <c r="O159" s="43"/>
      <c r="P159" s="43" t="s">
        <v>1925</v>
      </c>
      <c r="Q159" s="43"/>
      <c r="R159" s="43" t="s">
        <v>5086</v>
      </c>
      <c r="S159" s="43" t="s">
        <v>5026</v>
      </c>
      <c r="T159" s="51" t="s">
        <v>5027</v>
      </c>
      <c r="U159" s="52" t="s">
        <v>5028</v>
      </c>
      <c r="V159" s="53" t="s">
        <v>3884</v>
      </c>
      <c r="W159" s="54" t="s">
        <v>1718</v>
      </c>
      <c r="X159" s="55" t="s">
        <v>4889</v>
      </c>
      <c r="Y159" t="s">
        <v>4800</v>
      </c>
      <c r="AI159" s="54"/>
      <c r="AJ159" s="56">
        <v>45740</v>
      </c>
      <c r="AK159" s="57">
        <v>45922</v>
      </c>
      <c r="AL159" s="57"/>
      <c r="AM159" s="57"/>
      <c r="AN159" s="57"/>
      <c r="AO159" s="57"/>
      <c r="AP159" s="57"/>
      <c r="AQ159" s="57"/>
      <c r="AR159" s="57"/>
      <c r="AS159" s="57"/>
      <c r="AT159" s="57"/>
      <c r="AU159" s="57"/>
      <c r="AV159" s="57"/>
      <c r="AW159" s="57"/>
      <c r="AX159" s="57"/>
      <c r="AY159" s="57"/>
      <c r="AZ159" s="57"/>
      <c r="BA159" s="57"/>
      <c r="BB159" s="57"/>
      <c r="BC159" s="58"/>
      <c r="BD159" s="55" t="s">
        <v>5030</v>
      </c>
      <c r="BE159" t="s">
        <v>5032</v>
      </c>
      <c r="BO159" s="54"/>
      <c r="BP159" s="56">
        <v>45712</v>
      </c>
      <c r="BQ159" s="57">
        <v>45894</v>
      </c>
      <c r="BR159" s="57"/>
      <c r="BS159" s="57"/>
      <c r="BT159" s="57"/>
      <c r="BU159" s="57"/>
      <c r="BV159" s="57"/>
      <c r="BW159" s="57"/>
      <c r="BX159" s="57"/>
      <c r="BY159" s="57"/>
      <c r="BZ159" s="57"/>
      <c r="CA159" s="57"/>
      <c r="CB159" s="56">
        <v>45730</v>
      </c>
      <c r="CC159" s="57">
        <v>45912</v>
      </c>
      <c r="CD159" s="57"/>
      <c r="CE159" s="57"/>
      <c r="CF159" s="57"/>
      <c r="CG159" s="57"/>
      <c r="CH159" s="57"/>
      <c r="CI159" s="57"/>
      <c r="CJ159" s="57"/>
      <c r="CK159" s="57"/>
      <c r="CL159" s="57"/>
      <c r="CM159" s="57"/>
      <c r="CN159" s="56">
        <v>45736</v>
      </c>
      <c r="CO159" s="57">
        <v>45918</v>
      </c>
      <c r="CP159" s="57"/>
      <c r="CQ159" s="57"/>
      <c r="CR159" s="57"/>
      <c r="CS159" s="57"/>
      <c r="CT159" s="57"/>
      <c r="CU159" s="57"/>
      <c r="CV159" s="57"/>
      <c r="CW159" s="57"/>
      <c r="CX159" s="57"/>
      <c r="CY159" s="57"/>
      <c r="CZ159" s="56" t="s">
        <v>5034</v>
      </c>
      <c r="DA159" s="57"/>
      <c r="DB159" s="57"/>
      <c r="DC159" s="57"/>
      <c r="DD159" s="57"/>
      <c r="DE159" s="57"/>
      <c r="DF159" s="57"/>
      <c r="DG159" s="57"/>
      <c r="DH159" s="57"/>
      <c r="DI159" s="57"/>
      <c r="DJ159" s="57"/>
      <c r="DK159" s="58"/>
      <c r="DL159" s="59">
        <v>2</v>
      </c>
      <c r="DM159" s="60">
        <v>2</v>
      </c>
      <c r="DN159" s="61">
        <v>2</v>
      </c>
      <c r="DO159" s="60">
        <v>2</v>
      </c>
      <c r="DP159" s="60">
        <v>0</v>
      </c>
      <c r="DQ159" s="59">
        <v>8</v>
      </c>
      <c r="DR159" s="62">
        <v>2024</v>
      </c>
      <c r="DS159" s="62" t="s">
        <v>5034</v>
      </c>
      <c r="DU159" s="62" t="s">
        <v>5034</v>
      </c>
      <c r="DV159" s="63">
        <v>45537</v>
      </c>
      <c r="DW159" s="64">
        <v>2024</v>
      </c>
      <c r="DX159" s="65">
        <v>9</v>
      </c>
    </row>
    <row r="160" spans="2:128" ht="15" x14ac:dyDescent="0.25">
      <c r="B160" s="43" t="s">
        <v>5022</v>
      </c>
      <c r="C160" s="43" t="s">
        <v>4873</v>
      </c>
      <c r="D160" s="43" t="s">
        <v>1756</v>
      </c>
      <c r="E160" s="49">
        <v>45524</v>
      </c>
      <c r="F160" s="49"/>
      <c r="G160" s="50">
        <v>1</v>
      </c>
      <c r="H160" s="43" t="s">
        <v>4799</v>
      </c>
      <c r="I160" s="43" t="s">
        <v>5076</v>
      </c>
      <c r="J160" s="43">
        <v>6</v>
      </c>
      <c r="K160" s="43">
        <v>2</v>
      </c>
      <c r="L160" s="43">
        <v>3</v>
      </c>
      <c r="M160" s="43"/>
      <c r="N160" s="43"/>
      <c r="O160" s="43"/>
      <c r="P160" s="43" t="s">
        <v>1925</v>
      </c>
      <c r="Q160" s="43"/>
      <c r="R160" s="43" t="s">
        <v>5086</v>
      </c>
      <c r="S160" s="43" t="s">
        <v>5026</v>
      </c>
      <c r="T160" s="51" t="s">
        <v>5027</v>
      </c>
      <c r="U160" s="52" t="s">
        <v>5028</v>
      </c>
      <c r="V160" s="53" t="s">
        <v>3884</v>
      </c>
      <c r="W160" s="54" t="s">
        <v>1755</v>
      </c>
      <c r="X160" s="55" t="s">
        <v>4889</v>
      </c>
      <c r="Y160" t="s">
        <v>4800</v>
      </c>
      <c r="AI160" s="54"/>
      <c r="AJ160" s="56">
        <v>45740</v>
      </c>
      <c r="AK160" s="57">
        <v>45922</v>
      </c>
      <c r="AL160" s="57"/>
      <c r="AM160" s="57"/>
      <c r="AN160" s="57"/>
      <c r="AO160" s="57"/>
      <c r="AP160" s="57"/>
      <c r="AQ160" s="57"/>
      <c r="AR160" s="57"/>
      <c r="AS160" s="57"/>
      <c r="AT160" s="57"/>
      <c r="AU160" s="57"/>
      <c r="AV160" s="57"/>
      <c r="AW160" s="57"/>
      <c r="AX160" s="57"/>
      <c r="AY160" s="57"/>
      <c r="AZ160" s="57"/>
      <c r="BA160" s="57"/>
      <c r="BB160" s="57"/>
      <c r="BC160" s="58"/>
      <c r="BD160" s="55" t="s">
        <v>5030</v>
      </c>
      <c r="BE160" t="s">
        <v>5032</v>
      </c>
      <c r="BO160" s="54"/>
      <c r="BP160" s="56">
        <v>45712</v>
      </c>
      <c r="BQ160" s="57">
        <v>45894</v>
      </c>
      <c r="BR160" s="57"/>
      <c r="BS160" s="57"/>
      <c r="BT160" s="57"/>
      <c r="BU160" s="57"/>
      <c r="BV160" s="57"/>
      <c r="BW160" s="57"/>
      <c r="BX160" s="57"/>
      <c r="BY160" s="57"/>
      <c r="BZ160" s="57"/>
      <c r="CA160" s="57"/>
      <c r="CB160" s="56">
        <v>45730</v>
      </c>
      <c r="CC160" s="57">
        <v>45912</v>
      </c>
      <c r="CD160" s="57"/>
      <c r="CE160" s="57"/>
      <c r="CF160" s="57"/>
      <c r="CG160" s="57"/>
      <c r="CH160" s="57"/>
      <c r="CI160" s="57"/>
      <c r="CJ160" s="57"/>
      <c r="CK160" s="57"/>
      <c r="CL160" s="57"/>
      <c r="CM160" s="57"/>
      <c r="CN160" s="56">
        <v>45736</v>
      </c>
      <c r="CO160" s="57">
        <v>45918</v>
      </c>
      <c r="CP160" s="57"/>
      <c r="CQ160" s="57"/>
      <c r="CR160" s="57"/>
      <c r="CS160" s="57"/>
      <c r="CT160" s="57"/>
      <c r="CU160" s="57"/>
      <c r="CV160" s="57"/>
      <c r="CW160" s="57"/>
      <c r="CX160" s="57"/>
      <c r="CY160" s="57"/>
      <c r="CZ160" s="56" t="s">
        <v>5034</v>
      </c>
      <c r="DA160" s="57"/>
      <c r="DB160" s="57"/>
      <c r="DC160" s="57"/>
      <c r="DD160" s="57"/>
      <c r="DE160" s="57"/>
      <c r="DF160" s="57"/>
      <c r="DG160" s="57"/>
      <c r="DH160" s="57"/>
      <c r="DI160" s="57"/>
      <c r="DJ160" s="57"/>
      <c r="DK160" s="58"/>
      <c r="DL160" s="59">
        <v>2</v>
      </c>
      <c r="DM160" s="60">
        <v>2</v>
      </c>
      <c r="DN160" s="61">
        <v>2</v>
      </c>
      <c r="DO160" s="60">
        <v>2</v>
      </c>
      <c r="DP160" s="60">
        <v>0</v>
      </c>
      <c r="DQ160" s="59">
        <v>8</v>
      </c>
      <c r="DR160" s="62">
        <v>2032</v>
      </c>
      <c r="DS160" s="62" t="s">
        <v>5034</v>
      </c>
      <c r="DU160" s="62" t="s">
        <v>5034</v>
      </c>
      <c r="DV160" s="63">
        <v>45537</v>
      </c>
      <c r="DW160" s="64">
        <v>2024</v>
      </c>
      <c r="DX160" s="65">
        <v>9</v>
      </c>
    </row>
    <row r="161" spans="2:128" ht="15" x14ac:dyDescent="0.25">
      <c r="B161" s="43" t="s">
        <v>5022</v>
      </c>
      <c r="C161" s="43" t="s">
        <v>4802</v>
      </c>
      <c r="D161" s="43" t="s">
        <v>4163</v>
      </c>
      <c r="E161" s="49">
        <v>45525</v>
      </c>
      <c r="F161" s="49"/>
      <c r="G161" s="50">
        <v>1</v>
      </c>
      <c r="H161" s="43" t="s">
        <v>4890</v>
      </c>
      <c r="I161" s="43" t="s">
        <v>5102</v>
      </c>
      <c r="J161" s="43"/>
      <c r="K161" s="43">
        <v>2</v>
      </c>
      <c r="L161" s="43">
        <v>3</v>
      </c>
      <c r="M161" s="43"/>
      <c r="N161" s="43" t="s">
        <v>856</v>
      </c>
      <c r="O161" s="43"/>
      <c r="P161" s="43" t="s">
        <v>5063</v>
      </c>
      <c r="Q161" s="43"/>
      <c r="R161" s="43" t="s">
        <v>5047</v>
      </c>
      <c r="S161" s="43" t="s">
        <v>5026</v>
      </c>
      <c r="T161" s="51" t="s">
        <v>5027</v>
      </c>
      <c r="U161" s="52" t="s">
        <v>5028</v>
      </c>
      <c r="V161" s="53" t="s">
        <v>3884</v>
      </c>
      <c r="W161" s="54" t="s">
        <v>1673</v>
      </c>
      <c r="X161" s="55" t="s">
        <v>5048</v>
      </c>
      <c r="Y161" t="s">
        <v>4894</v>
      </c>
      <c r="Z161" t="s">
        <v>5049</v>
      </c>
      <c r="AA161" t="s">
        <v>4893</v>
      </c>
      <c r="AI161" s="54"/>
      <c r="AJ161" s="56">
        <v>45670</v>
      </c>
      <c r="AK161" s="57">
        <v>45761</v>
      </c>
      <c r="AL161" s="57">
        <v>45852</v>
      </c>
      <c r="AM161" s="57">
        <v>45943</v>
      </c>
      <c r="AN161" s="57"/>
      <c r="AO161" s="57"/>
      <c r="AP161" s="57"/>
      <c r="AQ161" s="57"/>
      <c r="AR161" s="57"/>
      <c r="AS161" s="57"/>
      <c r="AT161" s="57"/>
      <c r="AU161" s="57"/>
      <c r="AV161" s="57"/>
      <c r="AW161" s="57"/>
      <c r="AX161" s="57"/>
      <c r="AY161" s="57"/>
      <c r="AZ161" s="57"/>
      <c r="BA161" s="57"/>
      <c r="BB161" s="57"/>
      <c r="BC161" s="58"/>
      <c r="BD161" s="55" t="s">
        <v>5104</v>
      </c>
      <c r="BE161" t="s">
        <v>5105</v>
      </c>
      <c r="BF161" t="s">
        <v>5106</v>
      </c>
      <c r="BG161" t="s">
        <v>5107</v>
      </c>
      <c r="BO161" s="54"/>
      <c r="BP161" s="56">
        <v>45663</v>
      </c>
      <c r="BQ161" s="57">
        <v>45754</v>
      </c>
      <c r="BR161" s="57">
        <v>45845</v>
      </c>
      <c r="BS161" s="57">
        <v>45936</v>
      </c>
      <c r="BT161" s="57"/>
      <c r="BU161" s="57"/>
      <c r="BV161" s="57"/>
      <c r="BW161" s="57"/>
      <c r="BX161" s="57"/>
      <c r="BY161" s="57"/>
      <c r="BZ161" s="57"/>
      <c r="CA161" s="57"/>
      <c r="CB161" s="56" t="s">
        <v>5034</v>
      </c>
      <c r="CC161" s="57"/>
      <c r="CD161" s="57"/>
      <c r="CE161" s="57"/>
      <c r="CF161" s="57"/>
      <c r="CG161" s="57"/>
      <c r="CH161" s="57"/>
      <c r="CI161" s="57"/>
      <c r="CJ161" s="57"/>
      <c r="CK161" s="57"/>
      <c r="CL161" s="57"/>
      <c r="CM161" s="57"/>
      <c r="CN161" s="56">
        <v>45666</v>
      </c>
      <c r="CO161" s="57">
        <v>45757</v>
      </c>
      <c r="CP161" s="57">
        <v>45848</v>
      </c>
      <c r="CQ161" s="57">
        <v>45939</v>
      </c>
      <c r="CR161" s="57"/>
      <c r="CS161" s="57"/>
      <c r="CT161" s="57"/>
      <c r="CU161" s="57"/>
      <c r="CV161" s="57"/>
      <c r="CW161" s="57"/>
      <c r="CX161" s="57"/>
      <c r="CY161" s="57"/>
      <c r="CZ161" s="56" t="s">
        <v>5034</v>
      </c>
      <c r="DA161" s="57"/>
      <c r="DB161" s="57"/>
      <c r="DC161" s="57"/>
      <c r="DD161" s="57"/>
      <c r="DE161" s="57"/>
      <c r="DF161" s="57"/>
      <c r="DG161" s="57"/>
      <c r="DH161" s="57"/>
      <c r="DI161" s="57"/>
      <c r="DJ161" s="57"/>
      <c r="DK161" s="58"/>
      <c r="DL161" s="59">
        <v>4</v>
      </c>
      <c r="DM161" s="60">
        <v>4</v>
      </c>
      <c r="DN161" s="61">
        <v>0</v>
      </c>
      <c r="DO161" s="60">
        <v>4</v>
      </c>
      <c r="DP161" s="60">
        <v>0</v>
      </c>
      <c r="DQ161" s="59">
        <v>12</v>
      </c>
      <c r="DR161" s="62">
        <v>2040</v>
      </c>
      <c r="DS161" s="62" t="s">
        <v>5034</v>
      </c>
      <c r="DU161" s="62" t="s">
        <v>5034</v>
      </c>
      <c r="DV161" s="63">
        <v>45562</v>
      </c>
      <c r="DW161" s="64">
        <v>2024</v>
      </c>
      <c r="DX161" s="65">
        <v>9</v>
      </c>
    </row>
    <row r="162" spans="2:128" ht="15" x14ac:dyDescent="0.25">
      <c r="B162" s="43" t="s">
        <v>5022</v>
      </c>
      <c r="C162" s="43" t="s">
        <v>4854</v>
      </c>
      <c r="D162" s="43" t="s">
        <v>3744</v>
      </c>
      <c r="E162" s="49">
        <v>45579</v>
      </c>
      <c r="F162" s="49"/>
      <c r="G162" s="50">
        <v>1</v>
      </c>
      <c r="H162" s="43" t="s">
        <v>4896</v>
      </c>
      <c r="I162" s="43" t="s">
        <v>5031</v>
      </c>
      <c r="J162" s="43"/>
      <c r="K162" s="43">
        <v>2</v>
      </c>
      <c r="L162" s="43">
        <v>3</v>
      </c>
      <c r="M162" s="43"/>
      <c r="N162" s="43" t="s">
        <v>5087</v>
      </c>
      <c r="O162" s="43" t="s">
        <v>5059</v>
      </c>
      <c r="P162" s="43" t="s">
        <v>5063</v>
      </c>
      <c r="Q162" s="43"/>
      <c r="R162" s="43" t="s">
        <v>5045</v>
      </c>
      <c r="S162" s="43" t="s">
        <v>5026</v>
      </c>
      <c r="T162" s="51" t="s">
        <v>5027</v>
      </c>
      <c r="U162" s="52" t="s">
        <v>5028</v>
      </c>
      <c r="V162" s="53" t="s">
        <v>3884</v>
      </c>
      <c r="W162" s="54" t="s">
        <v>3743</v>
      </c>
      <c r="X162" s="55" t="s">
        <v>4896</v>
      </c>
      <c r="AI162" s="54"/>
      <c r="AJ162" s="56">
        <v>45831</v>
      </c>
      <c r="AK162" s="57"/>
      <c r="AL162" s="57"/>
      <c r="AM162" s="57"/>
      <c r="AN162" s="57"/>
      <c r="AO162" s="57"/>
      <c r="AP162" s="57"/>
      <c r="AQ162" s="57"/>
      <c r="AR162" s="57"/>
      <c r="AS162" s="57"/>
      <c r="AT162" s="57"/>
      <c r="AU162" s="57"/>
      <c r="AV162" s="57"/>
      <c r="AW162" s="57"/>
      <c r="AX162" s="57"/>
      <c r="AY162" s="57"/>
      <c r="AZ162" s="57"/>
      <c r="BA162" s="57"/>
      <c r="BB162" s="57"/>
      <c r="BC162" s="58"/>
      <c r="BD162" s="55" t="s">
        <v>5031</v>
      </c>
      <c r="BO162" s="54"/>
      <c r="BP162" s="56">
        <v>45803</v>
      </c>
      <c r="BQ162" s="57"/>
      <c r="BR162" s="57"/>
      <c r="BS162" s="57"/>
      <c r="BT162" s="57"/>
      <c r="BU162" s="57"/>
      <c r="BV162" s="57"/>
      <c r="BW162" s="57"/>
      <c r="BX162" s="57"/>
      <c r="BY162" s="57"/>
      <c r="BZ162" s="57"/>
      <c r="CA162" s="57"/>
      <c r="CB162" s="56" t="s">
        <v>5034</v>
      </c>
      <c r="CC162" s="57"/>
      <c r="CD162" s="57"/>
      <c r="CE162" s="57"/>
      <c r="CF162" s="57"/>
      <c r="CG162" s="57"/>
      <c r="CH162" s="57"/>
      <c r="CI162" s="57"/>
      <c r="CJ162" s="57"/>
      <c r="CK162" s="57"/>
      <c r="CL162" s="57"/>
      <c r="CM162" s="57"/>
      <c r="CN162" s="56">
        <v>45827</v>
      </c>
      <c r="CO162" s="57"/>
      <c r="CP162" s="57"/>
      <c r="CQ162" s="57"/>
      <c r="CR162" s="57"/>
      <c r="CS162" s="57"/>
      <c r="CT162" s="57"/>
      <c r="CU162" s="57"/>
      <c r="CV162" s="57"/>
      <c r="CW162" s="57"/>
      <c r="CX162" s="57"/>
      <c r="CY162" s="57"/>
      <c r="CZ162" s="56" t="s">
        <v>5034</v>
      </c>
      <c r="DA162" s="57"/>
      <c r="DB162" s="57"/>
      <c r="DC162" s="57"/>
      <c r="DD162" s="57"/>
      <c r="DE162" s="57"/>
      <c r="DF162" s="57"/>
      <c r="DG162" s="57"/>
      <c r="DH162" s="57"/>
      <c r="DI162" s="57"/>
      <c r="DJ162" s="57"/>
      <c r="DK162" s="58"/>
      <c r="DL162" s="59">
        <v>1</v>
      </c>
      <c r="DM162" s="60">
        <v>1</v>
      </c>
      <c r="DN162" s="61">
        <v>0</v>
      </c>
      <c r="DO162" s="60">
        <v>1</v>
      </c>
      <c r="DP162" s="60">
        <v>0</v>
      </c>
      <c r="DQ162" s="59">
        <v>3</v>
      </c>
      <c r="DR162" s="62">
        <v>2052</v>
      </c>
      <c r="DS162" s="62" t="s">
        <v>5034</v>
      </c>
      <c r="DU162" s="62" t="s">
        <v>5034</v>
      </c>
      <c r="DV162" s="63">
        <v>45579</v>
      </c>
      <c r="DW162" s="64">
        <v>2024</v>
      </c>
      <c r="DX162" s="65">
        <v>10</v>
      </c>
    </row>
    <row r="163" spans="2:128" ht="15" x14ac:dyDescent="0.25">
      <c r="B163" s="43" t="s">
        <v>5022</v>
      </c>
      <c r="C163" s="43" t="s">
        <v>4881</v>
      </c>
      <c r="D163" s="43" t="s">
        <v>4882</v>
      </c>
      <c r="E163" s="49">
        <v>45579</v>
      </c>
      <c r="F163" s="49"/>
      <c r="G163" s="50">
        <v>1</v>
      </c>
      <c r="H163" s="43" t="s">
        <v>4798</v>
      </c>
      <c r="I163" s="43" t="s">
        <v>5023</v>
      </c>
      <c r="J163" s="43"/>
      <c r="K163" s="43">
        <v>2</v>
      </c>
      <c r="L163" s="43">
        <v>3</v>
      </c>
      <c r="M163" s="43"/>
      <c r="N163" s="43" t="s">
        <v>995</v>
      </c>
      <c r="O163" s="43"/>
      <c r="P163" s="43" t="s">
        <v>5147</v>
      </c>
      <c r="Q163" s="43"/>
      <c r="R163" s="43" t="s">
        <v>5025</v>
      </c>
      <c r="S163" s="43" t="s">
        <v>5026</v>
      </c>
      <c r="T163" s="51" t="s">
        <v>5027</v>
      </c>
      <c r="U163" s="52" t="s">
        <v>5028</v>
      </c>
      <c r="V163" s="53" t="s">
        <v>3884</v>
      </c>
      <c r="W163" s="54" t="s">
        <v>4742</v>
      </c>
      <c r="X163" s="55" t="s">
        <v>4889</v>
      </c>
      <c r="Y163" t="s">
        <v>4896</v>
      </c>
      <c r="Z163" t="s">
        <v>4800</v>
      </c>
      <c r="AA163" t="s">
        <v>4891</v>
      </c>
      <c r="AI163" s="54"/>
      <c r="AJ163" s="56">
        <v>45740</v>
      </c>
      <c r="AK163" s="57">
        <v>45831</v>
      </c>
      <c r="AL163" s="57">
        <v>45922</v>
      </c>
      <c r="AM163" s="57">
        <v>46013</v>
      </c>
      <c r="AN163" s="57"/>
      <c r="AO163" s="57"/>
      <c r="AP163" s="57"/>
      <c r="AQ163" s="57"/>
      <c r="AR163" s="57"/>
      <c r="AS163" s="57"/>
      <c r="AT163" s="57"/>
      <c r="AU163" s="57"/>
      <c r="AV163" s="57"/>
      <c r="AW163" s="57"/>
      <c r="AX163" s="57"/>
      <c r="AY163" s="57"/>
      <c r="AZ163" s="57"/>
      <c r="BA163" s="57"/>
      <c r="BB163" s="57"/>
      <c r="BC163" s="58"/>
      <c r="BD163" s="55" t="s">
        <v>5030</v>
      </c>
      <c r="BE163" t="s">
        <v>5031</v>
      </c>
      <c r="BF163" t="s">
        <v>5032</v>
      </c>
      <c r="BG163" t="s">
        <v>5033</v>
      </c>
      <c r="BO163" s="54"/>
      <c r="BP163" s="56">
        <v>45712</v>
      </c>
      <c r="BQ163" s="57">
        <v>45803</v>
      </c>
      <c r="BR163" s="57">
        <v>45894</v>
      </c>
      <c r="BS163" s="57">
        <v>45985</v>
      </c>
      <c r="BT163" s="57"/>
      <c r="BU163" s="57"/>
      <c r="BV163" s="57"/>
      <c r="BW163" s="57"/>
      <c r="BX163" s="57"/>
      <c r="BY163" s="57"/>
      <c r="BZ163" s="57"/>
      <c r="CA163" s="57"/>
      <c r="CB163" s="56" t="s">
        <v>5034</v>
      </c>
      <c r="CC163" s="57"/>
      <c r="CD163" s="57"/>
      <c r="CE163" s="57"/>
      <c r="CF163" s="57"/>
      <c r="CG163" s="57"/>
      <c r="CH163" s="57"/>
      <c r="CI163" s="57"/>
      <c r="CJ163" s="57"/>
      <c r="CK163" s="57"/>
      <c r="CL163" s="57"/>
      <c r="CM163" s="57"/>
      <c r="CN163" s="56">
        <v>45736</v>
      </c>
      <c r="CO163" s="57">
        <v>45827</v>
      </c>
      <c r="CP163" s="57">
        <v>45918</v>
      </c>
      <c r="CQ163" s="57">
        <v>46009</v>
      </c>
      <c r="CR163" s="57"/>
      <c r="CS163" s="57"/>
      <c r="CT163" s="57"/>
      <c r="CU163" s="57"/>
      <c r="CV163" s="57"/>
      <c r="CW163" s="57"/>
      <c r="CX163" s="57"/>
      <c r="CY163" s="57"/>
      <c r="CZ163" s="56" t="s">
        <v>5034</v>
      </c>
      <c r="DA163" s="57"/>
      <c r="DB163" s="57"/>
      <c r="DC163" s="57"/>
      <c r="DD163" s="57"/>
      <c r="DE163" s="57"/>
      <c r="DF163" s="57"/>
      <c r="DG163" s="57"/>
      <c r="DH163" s="57"/>
      <c r="DI163" s="57"/>
      <c r="DJ163" s="57"/>
      <c r="DK163" s="58"/>
      <c r="DL163" s="59">
        <v>4</v>
      </c>
      <c r="DM163" s="60">
        <v>4</v>
      </c>
      <c r="DN163" s="61">
        <v>0</v>
      </c>
      <c r="DO163" s="60">
        <v>4</v>
      </c>
      <c r="DP163" s="60">
        <v>0</v>
      </c>
      <c r="DQ163" s="59">
        <v>12</v>
      </c>
      <c r="DR163" s="62">
        <v>2055</v>
      </c>
      <c r="DS163" s="62" t="s">
        <v>5034</v>
      </c>
      <c r="DU163" s="62" t="s">
        <v>5034</v>
      </c>
      <c r="DV163" s="63">
        <v>45579</v>
      </c>
      <c r="DW163" s="64">
        <v>2024</v>
      </c>
      <c r="DX163" s="65">
        <v>10</v>
      </c>
    </row>
    <row r="164" spans="2:128" ht="15" x14ac:dyDescent="0.25">
      <c r="B164" s="43" t="s">
        <v>5022</v>
      </c>
      <c r="C164" s="43" t="s">
        <v>4881</v>
      </c>
      <c r="D164" s="43" t="s">
        <v>4882</v>
      </c>
      <c r="E164" s="49">
        <v>45579</v>
      </c>
      <c r="F164" s="49"/>
      <c r="G164" s="50">
        <v>1</v>
      </c>
      <c r="H164" s="43" t="s">
        <v>4798</v>
      </c>
      <c r="I164" s="43" t="s">
        <v>5023</v>
      </c>
      <c r="J164" s="43"/>
      <c r="K164" s="43">
        <v>2</v>
      </c>
      <c r="L164" s="43">
        <v>3</v>
      </c>
      <c r="M164" s="43"/>
      <c r="N164" s="43" t="s">
        <v>995</v>
      </c>
      <c r="O164" s="43"/>
      <c r="P164" s="43" t="s">
        <v>5147</v>
      </c>
      <c r="Q164" s="43"/>
      <c r="R164" s="43" t="s">
        <v>5025</v>
      </c>
      <c r="S164" s="43" t="s">
        <v>5026</v>
      </c>
      <c r="T164" s="51" t="s">
        <v>5027</v>
      </c>
      <c r="U164" s="52" t="s">
        <v>5028</v>
      </c>
      <c r="V164" s="53" t="s">
        <v>3896</v>
      </c>
      <c r="W164" s="54" t="s">
        <v>5034</v>
      </c>
      <c r="X164" s="55" t="s">
        <v>5034</v>
      </c>
      <c r="AI164" s="54"/>
      <c r="AJ164" s="56" t="s">
        <v>5034</v>
      </c>
      <c r="AK164" s="57"/>
      <c r="AL164" s="57"/>
      <c r="AM164" s="57"/>
      <c r="AN164" s="57"/>
      <c r="AO164" s="57"/>
      <c r="AP164" s="57"/>
      <c r="AQ164" s="57"/>
      <c r="AR164" s="57"/>
      <c r="AS164" s="57"/>
      <c r="AT164" s="57"/>
      <c r="AU164" s="57"/>
      <c r="AV164" s="57"/>
      <c r="AW164" s="57"/>
      <c r="AX164" s="57"/>
      <c r="AY164" s="57"/>
      <c r="AZ164" s="57"/>
      <c r="BA164" s="57"/>
      <c r="BB164" s="57"/>
      <c r="BC164" s="58"/>
      <c r="BD164" s="55" t="s">
        <v>5034</v>
      </c>
      <c r="BO164" s="54"/>
      <c r="BP164" s="56" t="s">
        <v>5034</v>
      </c>
      <c r="BQ164" s="57"/>
      <c r="BR164" s="57"/>
      <c r="BS164" s="57"/>
      <c r="BT164" s="57"/>
      <c r="BU164" s="57"/>
      <c r="BV164" s="57"/>
      <c r="BW164" s="57"/>
      <c r="BX164" s="57"/>
      <c r="BY164" s="57"/>
      <c r="BZ164" s="57"/>
      <c r="CA164" s="57"/>
      <c r="CB164" s="56" t="s">
        <v>5034</v>
      </c>
      <c r="CC164" s="57"/>
      <c r="CD164" s="57"/>
      <c r="CE164" s="57"/>
      <c r="CF164" s="57"/>
      <c r="CG164" s="57"/>
      <c r="CH164" s="57"/>
      <c r="CI164" s="57"/>
      <c r="CJ164" s="57"/>
      <c r="CK164" s="57"/>
      <c r="CL164" s="57"/>
      <c r="CM164" s="57"/>
      <c r="CN164" s="56" t="s">
        <v>5034</v>
      </c>
      <c r="CO164" s="57"/>
      <c r="CP164" s="57"/>
      <c r="CQ164" s="57"/>
      <c r="CR164" s="57"/>
      <c r="CS164" s="57"/>
      <c r="CT164" s="57"/>
      <c r="CU164" s="57"/>
      <c r="CV164" s="57"/>
      <c r="CW164" s="57"/>
      <c r="CX164" s="57"/>
      <c r="CY164" s="57"/>
      <c r="CZ164" s="56" t="s">
        <v>5034</v>
      </c>
      <c r="DA164" s="57"/>
      <c r="DB164" s="57"/>
      <c r="DC164" s="57"/>
      <c r="DD164" s="57"/>
      <c r="DE164" s="57"/>
      <c r="DF164" s="57"/>
      <c r="DG164" s="57"/>
      <c r="DH164" s="57"/>
      <c r="DI164" s="57"/>
      <c r="DJ164" s="57"/>
      <c r="DK164" s="58"/>
      <c r="DL164" s="59">
        <v>0</v>
      </c>
      <c r="DM164" s="60">
        <v>0</v>
      </c>
      <c r="DN164" s="61">
        <v>0</v>
      </c>
      <c r="DO164" s="60">
        <v>0</v>
      </c>
      <c r="DP164" s="60">
        <v>0</v>
      </c>
      <c r="DQ164" s="59">
        <v>0</v>
      </c>
      <c r="DR164" s="62" t="s">
        <v>5034</v>
      </c>
      <c r="DS164" s="62" t="s">
        <v>5034</v>
      </c>
      <c r="DU164" s="62" t="s">
        <v>5034</v>
      </c>
      <c r="DV164" s="63">
        <v>45579</v>
      </c>
      <c r="DW164" s="64">
        <v>2024</v>
      </c>
      <c r="DX164" s="65">
        <v>10</v>
      </c>
    </row>
    <row r="165" spans="2:128" ht="15" x14ac:dyDescent="0.25">
      <c r="B165" s="43" t="s">
        <v>5022</v>
      </c>
      <c r="C165" s="43" t="s">
        <v>4881</v>
      </c>
      <c r="D165" s="43" t="s">
        <v>4882</v>
      </c>
      <c r="E165" s="49">
        <v>45579</v>
      </c>
      <c r="F165" s="49"/>
      <c r="G165" s="50">
        <v>1</v>
      </c>
      <c r="H165" s="43" t="s">
        <v>4798</v>
      </c>
      <c r="I165" s="43" t="s">
        <v>5023</v>
      </c>
      <c r="J165" s="43"/>
      <c r="K165" s="43">
        <v>2</v>
      </c>
      <c r="L165" s="43">
        <v>3</v>
      </c>
      <c r="M165" s="43"/>
      <c r="N165" s="43" t="s">
        <v>995</v>
      </c>
      <c r="O165" s="43"/>
      <c r="P165" s="43" t="s">
        <v>5147</v>
      </c>
      <c r="Q165" s="43"/>
      <c r="R165" s="43" t="s">
        <v>5025</v>
      </c>
      <c r="S165" s="43" t="s">
        <v>5026</v>
      </c>
      <c r="T165" s="51" t="s">
        <v>5027</v>
      </c>
      <c r="U165" s="52" t="s">
        <v>5028</v>
      </c>
      <c r="V165" s="53" t="s">
        <v>3896</v>
      </c>
      <c r="W165" s="54" t="s">
        <v>5034</v>
      </c>
      <c r="X165" s="55" t="s">
        <v>5034</v>
      </c>
      <c r="AI165" s="54"/>
      <c r="AJ165" s="56" t="s">
        <v>5034</v>
      </c>
      <c r="AK165" s="57"/>
      <c r="AL165" s="57"/>
      <c r="AM165" s="57"/>
      <c r="AN165" s="57"/>
      <c r="AO165" s="57"/>
      <c r="AP165" s="57"/>
      <c r="AQ165" s="57"/>
      <c r="AR165" s="57"/>
      <c r="AS165" s="57"/>
      <c r="AT165" s="57"/>
      <c r="AU165" s="57"/>
      <c r="AV165" s="57"/>
      <c r="AW165" s="57"/>
      <c r="AX165" s="57"/>
      <c r="AY165" s="57"/>
      <c r="AZ165" s="57"/>
      <c r="BA165" s="57"/>
      <c r="BB165" s="57"/>
      <c r="BC165" s="58"/>
      <c r="BD165" s="55" t="s">
        <v>5034</v>
      </c>
      <c r="BO165" s="54"/>
      <c r="BP165" s="56" t="s">
        <v>5034</v>
      </c>
      <c r="BQ165" s="57"/>
      <c r="BR165" s="57"/>
      <c r="BS165" s="57"/>
      <c r="BT165" s="57"/>
      <c r="BU165" s="57"/>
      <c r="BV165" s="57"/>
      <c r="BW165" s="57"/>
      <c r="BX165" s="57"/>
      <c r="BY165" s="57"/>
      <c r="BZ165" s="57"/>
      <c r="CA165" s="57"/>
      <c r="CB165" s="56" t="s">
        <v>5034</v>
      </c>
      <c r="CC165" s="57"/>
      <c r="CD165" s="57"/>
      <c r="CE165" s="57"/>
      <c r="CF165" s="57"/>
      <c r="CG165" s="57"/>
      <c r="CH165" s="57"/>
      <c r="CI165" s="57"/>
      <c r="CJ165" s="57"/>
      <c r="CK165" s="57"/>
      <c r="CL165" s="57"/>
      <c r="CM165" s="57"/>
      <c r="CN165" s="56" t="s">
        <v>5034</v>
      </c>
      <c r="CO165" s="57"/>
      <c r="CP165" s="57"/>
      <c r="CQ165" s="57"/>
      <c r="CR165" s="57"/>
      <c r="CS165" s="57"/>
      <c r="CT165" s="57"/>
      <c r="CU165" s="57"/>
      <c r="CV165" s="57"/>
      <c r="CW165" s="57"/>
      <c r="CX165" s="57"/>
      <c r="CY165" s="57"/>
      <c r="CZ165" s="56" t="s">
        <v>5034</v>
      </c>
      <c r="DA165" s="57"/>
      <c r="DB165" s="57"/>
      <c r="DC165" s="57"/>
      <c r="DD165" s="57"/>
      <c r="DE165" s="57"/>
      <c r="DF165" s="57"/>
      <c r="DG165" s="57"/>
      <c r="DH165" s="57"/>
      <c r="DI165" s="57"/>
      <c r="DJ165" s="57"/>
      <c r="DK165" s="58"/>
      <c r="DL165" s="59">
        <v>0</v>
      </c>
      <c r="DM165" s="60">
        <v>0</v>
      </c>
      <c r="DN165" s="61">
        <v>0</v>
      </c>
      <c r="DO165" s="60">
        <v>0</v>
      </c>
      <c r="DP165" s="60">
        <v>0</v>
      </c>
      <c r="DQ165" s="59">
        <v>0</v>
      </c>
      <c r="DR165" s="62" t="s">
        <v>5034</v>
      </c>
      <c r="DS165" s="62" t="s">
        <v>5034</v>
      </c>
      <c r="DU165" s="62" t="s">
        <v>5034</v>
      </c>
      <c r="DV165" s="63">
        <v>45579</v>
      </c>
      <c r="DW165" s="64">
        <v>2024</v>
      </c>
      <c r="DX165" s="65">
        <v>10</v>
      </c>
    </row>
    <row r="166" spans="2:128" ht="15" x14ac:dyDescent="0.25">
      <c r="B166" s="43" t="s">
        <v>5022</v>
      </c>
      <c r="C166" s="43" t="s">
        <v>4881</v>
      </c>
      <c r="D166" s="43" t="s">
        <v>4882</v>
      </c>
      <c r="E166" s="49">
        <v>45579</v>
      </c>
      <c r="F166" s="49"/>
      <c r="G166" s="50">
        <v>1</v>
      </c>
      <c r="H166" s="43" t="s">
        <v>4798</v>
      </c>
      <c r="I166" s="43" t="s">
        <v>5023</v>
      </c>
      <c r="J166" s="43"/>
      <c r="K166" s="43">
        <v>2</v>
      </c>
      <c r="L166" s="43">
        <v>3</v>
      </c>
      <c r="M166" s="43"/>
      <c r="N166" s="43" t="s">
        <v>995</v>
      </c>
      <c r="O166" s="43"/>
      <c r="P166" s="43" t="s">
        <v>5147</v>
      </c>
      <c r="Q166" s="43"/>
      <c r="R166" s="43" t="s">
        <v>5025</v>
      </c>
      <c r="S166" s="43" t="s">
        <v>5026</v>
      </c>
      <c r="T166" s="51" t="s">
        <v>5027</v>
      </c>
      <c r="U166" s="52" t="s">
        <v>5028</v>
      </c>
      <c r="V166" s="53" t="s">
        <v>3896</v>
      </c>
      <c r="W166" s="54" t="s">
        <v>5034</v>
      </c>
      <c r="X166" s="55" t="s">
        <v>5034</v>
      </c>
      <c r="AI166" s="54"/>
      <c r="AJ166" s="56" t="s">
        <v>5034</v>
      </c>
      <c r="AK166" s="57"/>
      <c r="AL166" s="57"/>
      <c r="AM166" s="57"/>
      <c r="AN166" s="57"/>
      <c r="AO166" s="57"/>
      <c r="AP166" s="57"/>
      <c r="AQ166" s="57"/>
      <c r="AR166" s="57"/>
      <c r="AS166" s="57"/>
      <c r="AT166" s="57"/>
      <c r="AU166" s="57"/>
      <c r="AV166" s="57"/>
      <c r="AW166" s="57"/>
      <c r="AX166" s="57"/>
      <c r="AY166" s="57"/>
      <c r="AZ166" s="57"/>
      <c r="BA166" s="57"/>
      <c r="BB166" s="57"/>
      <c r="BC166" s="58"/>
      <c r="BD166" s="55" t="s">
        <v>5034</v>
      </c>
      <c r="BO166" s="54"/>
      <c r="BP166" s="56" t="s">
        <v>5034</v>
      </c>
      <c r="BQ166" s="57"/>
      <c r="BR166" s="57"/>
      <c r="BS166" s="57"/>
      <c r="BT166" s="57"/>
      <c r="BU166" s="57"/>
      <c r="BV166" s="57"/>
      <c r="BW166" s="57"/>
      <c r="BX166" s="57"/>
      <c r="BY166" s="57"/>
      <c r="BZ166" s="57"/>
      <c r="CA166" s="57"/>
      <c r="CB166" s="56" t="s">
        <v>5034</v>
      </c>
      <c r="CC166" s="57"/>
      <c r="CD166" s="57"/>
      <c r="CE166" s="57"/>
      <c r="CF166" s="57"/>
      <c r="CG166" s="57"/>
      <c r="CH166" s="57"/>
      <c r="CI166" s="57"/>
      <c r="CJ166" s="57"/>
      <c r="CK166" s="57"/>
      <c r="CL166" s="57"/>
      <c r="CM166" s="57"/>
      <c r="CN166" s="56" t="s">
        <v>5034</v>
      </c>
      <c r="CO166" s="57"/>
      <c r="CP166" s="57"/>
      <c r="CQ166" s="57"/>
      <c r="CR166" s="57"/>
      <c r="CS166" s="57"/>
      <c r="CT166" s="57"/>
      <c r="CU166" s="57"/>
      <c r="CV166" s="57"/>
      <c r="CW166" s="57"/>
      <c r="CX166" s="57"/>
      <c r="CY166" s="57"/>
      <c r="CZ166" s="56" t="s">
        <v>5034</v>
      </c>
      <c r="DA166" s="57"/>
      <c r="DB166" s="57"/>
      <c r="DC166" s="57"/>
      <c r="DD166" s="57"/>
      <c r="DE166" s="57"/>
      <c r="DF166" s="57"/>
      <c r="DG166" s="57"/>
      <c r="DH166" s="57"/>
      <c r="DI166" s="57"/>
      <c r="DJ166" s="57"/>
      <c r="DK166" s="58"/>
      <c r="DL166" s="59">
        <v>0</v>
      </c>
      <c r="DM166" s="60">
        <v>0</v>
      </c>
      <c r="DN166" s="61">
        <v>0</v>
      </c>
      <c r="DO166" s="60">
        <v>0</v>
      </c>
      <c r="DP166" s="60">
        <v>0</v>
      </c>
      <c r="DQ166" s="59">
        <v>0</v>
      </c>
      <c r="DR166" s="62" t="s">
        <v>5034</v>
      </c>
      <c r="DS166" s="62" t="s">
        <v>5034</v>
      </c>
      <c r="DU166" s="62" t="s">
        <v>5034</v>
      </c>
      <c r="DV166" s="63">
        <v>45579</v>
      </c>
      <c r="DW166" s="64">
        <v>2024</v>
      </c>
      <c r="DX166" s="65">
        <v>10</v>
      </c>
    </row>
    <row r="167" spans="2:128" ht="15" x14ac:dyDescent="0.25">
      <c r="B167" s="43" t="s">
        <v>5022</v>
      </c>
      <c r="C167" s="43" t="s">
        <v>4881</v>
      </c>
      <c r="D167" s="43" t="s">
        <v>4882</v>
      </c>
      <c r="E167" s="49">
        <v>45579</v>
      </c>
      <c r="F167" s="49"/>
      <c r="G167" s="50">
        <v>1</v>
      </c>
      <c r="H167" s="43" t="s">
        <v>4798</v>
      </c>
      <c r="I167" s="43" t="s">
        <v>5023</v>
      </c>
      <c r="J167" s="43"/>
      <c r="K167" s="43">
        <v>2</v>
      </c>
      <c r="L167" s="43">
        <v>3</v>
      </c>
      <c r="M167" s="43"/>
      <c r="N167" s="43" t="s">
        <v>995</v>
      </c>
      <c r="O167" s="43"/>
      <c r="P167" s="43" t="s">
        <v>5147</v>
      </c>
      <c r="Q167" s="43"/>
      <c r="R167" s="43" t="s">
        <v>5025</v>
      </c>
      <c r="S167" s="43" t="s">
        <v>5026</v>
      </c>
      <c r="T167" s="51" t="s">
        <v>5027</v>
      </c>
      <c r="U167" s="52" t="s">
        <v>5028</v>
      </c>
      <c r="V167" s="53" t="s">
        <v>3896</v>
      </c>
      <c r="W167" s="54" t="s">
        <v>5034</v>
      </c>
      <c r="X167" s="55" t="s">
        <v>5034</v>
      </c>
      <c r="AI167" s="54"/>
      <c r="AJ167" s="56" t="s">
        <v>5034</v>
      </c>
      <c r="AK167" s="57"/>
      <c r="AL167" s="57"/>
      <c r="AM167" s="57"/>
      <c r="AN167" s="57"/>
      <c r="AO167" s="57"/>
      <c r="AP167" s="57"/>
      <c r="AQ167" s="57"/>
      <c r="AR167" s="57"/>
      <c r="AS167" s="57"/>
      <c r="AT167" s="57"/>
      <c r="AU167" s="57"/>
      <c r="AV167" s="57"/>
      <c r="AW167" s="57"/>
      <c r="AX167" s="57"/>
      <c r="AY167" s="57"/>
      <c r="AZ167" s="57"/>
      <c r="BA167" s="57"/>
      <c r="BB167" s="57"/>
      <c r="BC167" s="58"/>
      <c r="BD167" s="55" t="s">
        <v>5034</v>
      </c>
      <c r="BO167" s="54"/>
      <c r="BP167" s="56" t="s">
        <v>5034</v>
      </c>
      <c r="BQ167" s="57"/>
      <c r="BR167" s="57"/>
      <c r="BS167" s="57"/>
      <c r="BT167" s="57"/>
      <c r="BU167" s="57"/>
      <c r="BV167" s="57"/>
      <c r="BW167" s="57"/>
      <c r="BX167" s="57"/>
      <c r="BY167" s="57"/>
      <c r="BZ167" s="57"/>
      <c r="CA167" s="57"/>
      <c r="CB167" s="56" t="s">
        <v>5034</v>
      </c>
      <c r="CC167" s="57"/>
      <c r="CD167" s="57"/>
      <c r="CE167" s="57"/>
      <c r="CF167" s="57"/>
      <c r="CG167" s="57"/>
      <c r="CH167" s="57"/>
      <c r="CI167" s="57"/>
      <c r="CJ167" s="57"/>
      <c r="CK167" s="57"/>
      <c r="CL167" s="57"/>
      <c r="CM167" s="57"/>
      <c r="CN167" s="56" t="s">
        <v>5034</v>
      </c>
      <c r="CO167" s="57"/>
      <c r="CP167" s="57"/>
      <c r="CQ167" s="57"/>
      <c r="CR167" s="57"/>
      <c r="CS167" s="57"/>
      <c r="CT167" s="57"/>
      <c r="CU167" s="57"/>
      <c r="CV167" s="57"/>
      <c r="CW167" s="57"/>
      <c r="CX167" s="57"/>
      <c r="CY167" s="57"/>
      <c r="CZ167" s="56" t="s">
        <v>5034</v>
      </c>
      <c r="DA167" s="57"/>
      <c r="DB167" s="57"/>
      <c r="DC167" s="57"/>
      <c r="DD167" s="57"/>
      <c r="DE167" s="57"/>
      <c r="DF167" s="57"/>
      <c r="DG167" s="57"/>
      <c r="DH167" s="57"/>
      <c r="DI167" s="57"/>
      <c r="DJ167" s="57"/>
      <c r="DK167" s="58"/>
      <c r="DL167" s="59">
        <v>0</v>
      </c>
      <c r="DM167" s="60">
        <v>0</v>
      </c>
      <c r="DN167" s="61">
        <v>0</v>
      </c>
      <c r="DO167" s="60">
        <v>0</v>
      </c>
      <c r="DP167" s="60">
        <v>0</v>
      </c>
      <c r="DQ167" s="59">
        <v>0</v>
      </c>
      <c r="DR167" s="62" t="s">
        <v>5034</v>
      </c>
      <c r="DS167" s="62" t="s">
        <v>5034</v>
      </c>
      <c r="DU167" s="62" t="s">
        <v>5034</v>
      </c>
      <c r="DV167" s="63">
        <v>45579</v>
      </c>
      <c r="DW167" s="64">
        <v>2024</v>
      </c>
      <c r="DX167" s="65">
        <v>10</v>
      </c>
    </row>
    <row r="168" spans="2:128" ht="15" x14ac:dyDescent="0.25">
      <c r="B168" s="43" t="s">
        <v>5022</v>
      </c>
      <c r="C168" s="43" t="s">
        <v>4881</v>
      </c>
      <c r="D168" s="43" t="s">
        <v>4882</v>
      </c>
      <c r="E168" s="49">
        <v>45579</v>
      </c>
      <c r="F168" s="49"/>
      <c r="G168" s="50">
        <v>1</v>
      </c>
      <c r="H168" s="43" t="s">
        <v>4798</v>
      </c>
      <c r="I168" s="43" t="s">
        <v>5023</v>
      </c>
      <c r="J168" s="43"/>
      <c r="K168" s="43">
        <v>2</v>
      </c>
      <c r="L168" s="43">
        <v>3</v>
      </c>
      <c r="M168" s="43"/>
      <c r="N168" s="43" t="s">
        <v>995</v>
      </c>
      <c r="O168" s="43"/>
      <c r="P168" s="43" t="s">
        <v>5147</v>
      </c>
      <c r="Q168" s="43"/>
      <c r="R168" s="43" t="s">
        <v>5025</v>
      </c>
      <c r="S168" s="43" t="s">
        <v>5026</v>
      </c>
      <c r="T168" s="51" t="s">
        <v>5027</v>
      </c>
      <c r="U168" s="52" t="s">
        <v>5028</v>
      </c>
      <c r="V168" s="53" t="s">
        <v>3896</v>
      </c>
      <c r="W168" s="54" t="s">
        <v>5034</v>
      </c>
      <c r="X168" s="55" t="s">
        <v>5034</v>
      </c>
      <c r="AI168" s="54"/>
      <c r="AJ168" s="56" t="s">
        <v>5034</v>
      </c>
      <c r="AK168" s="57"/>
      <c r="AL168" s="57"/>
      <c r="AM168" s="57"/>
      <c r="AN168" s="57"/>
      <c r="AO168" s="57"/>
      <c r="AP168" s="57"/>
      <c r="AQ168" s="57"/>
      <c r="AR168" s="57"/>
      <c r="AS168" s="57"/>
      <c r="AT168" s="57"/>
      <c r="AU168" s="57"/>
      <c r="AV168" s="57"/>
      <c r="AW168" s="57"/>
      <c r="AX168" s="57"/>
      <c r="AY168" s="57"/>
      <c r="AZ168" s="57"/>
      <c r="BA168" s="57"/>
      <c r="BB168" s="57"/>
      <c r="BC168" s="58"/>
      <c r="BD168" s="55" t="s">
        <v>5034</v>
      </c>
      <c r="BO168" s="54"/>
      <c r="BP168" s="56" t="s">
        <v>5034</v>
      </c>
      <c r="BQ168" s="57"/>
      <c r="BR168" s="57"/>
      <c r="BS168" s="57"/>
      <c r="BT168" s="57"/>
      <c r="BU168" s="57"/>
      <c r="BV168" s="57"/>
      <c r="BW168" s="57"/>
      <c r="BX168" s="57"/>
      <c r="BY168" s="57"/>
      <c r="BZ168" s="57"/>
      <c r="CA168" s="57"/>
      <c r="CB168" s="56" t="s">
        <v>5034</v>
      </c>
      <c r="CC168" s="57"/>
      <c r="CD168" s="57"/>
      <c r="CE168" s="57"/>
      <c r="CF168" s="57"/>
      <c r="CG168" s="57"/>
      <c r="CH168" s="57"/>
      <c r="CI168" s="57"/>
      <c r="CJ168" s="57"/>
      <c r="CK168" s="57"/>
      <c r="CL168" s="57"/>
      <c r="CM168" s="57"/>
      <c r="CN168" s="56" t="s">
        <v>5034</v>
      </c>
      <c r="CO168" s="57"/>
      <c r="CP168" s="57"/>
      <c r="CQ168" s="57"/>
      <c r="CR168" s="57"/>
      <c r="CS168" s="57"/>
      <c r="CT168" s="57"/>
      <c r="CU168" s="57"/>
      <c r="CV168" s="57"/>
      <c r="CW168" s="57"/>
      <c r="CX168" s="57"/>
      <c r="CY168" s="57"/>
      <c r="CZ168" s="56" t="s">
        <v>5034</v>
      </c>
      <c r="DA168" s="57"/>
      <c r="DB168" s="57"/>
      <c r="DC168" s="57"/>
      <c r="DD168" s="57"/>
      <c r="DE168" s="57"/>
      <c r="DF168" s="57"/>
      <c r="DG168" s="57"/>
      <c r="DH168" s="57"/>
      <c r="DI168" s="57"/>
      <c r="DJ168" s="57"/>
      <c r="DK168" s="58"/>
      <c r="DL168" s="59">
        <v>0</v>
      </c>
      <c r="DM168" s="60">
        <v>0</v>
      </c>
      <c r="DN168" s="61">
        <v>0</v>
      </c>
      <c r="DO168" s="60">
        <v>0</v>
      </c>
      <c r="DP168" s="60">
        <v>0</v>
      </c>
      <c r="DQ168" s="59">
        <v>0</v>
      </c>
      <c r="DR168" s="62" t="s">
        <v>5034</v>
      </c>
      <c r="DS168" s="62" t="s">
        <v>5034</v>
      </c>
      <c r="DU168" s="62" t="s">
        <v>5034</v>
      </c>
      <c r="DV168" s="63">
        <v>45579</v>
      </c>
      <c r="DW168" s="64">
        <v>2024</v>
      </c>
      <c r="DX168" s="65">
        <v>10</v>
      </c>
    </row>
    <row r="169" spans="2:128" ht="15" x14ac:dyDescent="0.25">
      <c r="B169" s="43" t="s">
        <v>5022</v>
      </c>
      <c r="C169" s="43" t="s">
        <v>4881</v>
      </c>
      <c r="D169" s="43" t="s">
        <v>4882</v>
      </c>
      <c r="E169" s="49">
        <v>45579</v>
      </c>
      <c r="F169" s="49"/>
      <c r="G169" s="50">
        <v>1</v>
      </c>
      <c r="H169" s="43" t="s">
        <v>4798</v>
      </c>
      <c r="I169" s="43" t="s">
        <v>5023</v>
      </c>
      <c r="J169" s="43"/>
      <c r="K169" s="43">
        <v>2</v>
      </c>
      <c r="L169" s="43">
        <v>3</v>
      </c>
      <c r="M169" s="43"/>
      <c r="N169" s="43" t="s">
        <v>995</v>
      </c>
      <c r="O169" s="43"/>
      <c r="P169" s="43" t="s">
        <v>5147</v>
      </c>
      <c r="Q169" s="43"/>
      <c r="R169" s="43" t="s">
        <v>5025</v>
      </c>
      <c r="S169" s="43" t="s">
        <v>5026</v>
      </c>
      <c r="T169" s="51" t="s">
        <v>5027</v>
      </c>
      <c r="U169" s="52" t="s">
        <v>5028</v>
      </c>
      <c r="V169" s="53" t="s">
        <v>3896</v>
      </c>
      <c r="W169" s="54" t="s">
        <v>5034</v>
      </c>
      <c r="X169" s="55" t="s">
        <v>5034</v>
      </c>
      <c r="AI169" s="54"/>
      <c r="AJ169" s="56" t="s">
        <v>5034</v>
      </c>
      <c r="AK169" s="57"/>
      <c r="AL169" s="57"/>
      <c r="AM169" s="57"/>
      <c r="AN169" s="57"/>
      <c r="AO169" s="57"/>
      <c r="AP169" s="57"/>
      <c r="AQ169" s="57"/>
      <c r="AR169" s="57"/>
      <c r="AS169" s="57"/>
      <c r="AT169" s="57"/>
      <c r="AU169" s="57"/>
      <c r="AV169" s="57"/>
      <c r="AW169" s="57"/>
      <c r="AX169" s="57"/>
      <c r="AY169" s="57"/>
      <c r="AZ169" s="57"/>
      <c r="BA169" s="57"/>
      <c r="BB169" s="57"/>
      <c r="BC169" s="58"/>
      <c r="BD169" s="55" t="s">
        <v>5034</v>
      </c>
      <c r="BO169" s="54"/>
      <c r="BP169" s="56" t="s">
        <v>5034</v>
      </c>
      <c r="BQ169" s="57"/>
      <c r="BR169" s="57"/>
      <c r="BS169" s="57"/>
      <c r="BT169" s="57"/>
      <c r="BU169" s="57"/>
      <c r="BV169" s="57"/>
      <c r="BW169" s="57"/>
      <c r="BX169" s="57"/>
      <c r="BY169" s="57"/>
      <c r="BZ169" s="57"/>
      <c r="CA169" s="57"/>
      <c r="CB169" s="56" t="s">
        <v>5034</v>
      </c>
      <c r="CC169" s="57"/>
      <c r="CD169" s="57"/>
      <c r="CE169" s="57"/>
      <c r="CF169" s="57"/>
      <c r="CG169" s="57"/>
      <c r="CH169" s="57"/>
      <c r="CI169" s="57"/>
      <c r="CJ169" s="57"/>
      <c r="CK169" s="57"/>
      <c r="CL169" s="57"/>
      <c r="CM169" s="57"/>
      <c r="CN169" s="56" t="s">
        <v>5034</v>
      </c>
      <c r="CO169" s="57"/>
      <c r="CP169" s="57"/>
      <c r="CQ169" s="57"/>
      <c r="CR169" s="57"/>
      <c r="CS169" s="57"/>
      <c r="CT169" s="57"/>
      <c r="CU169" s="57"/>
      <c r="CV169" s="57"/>
      <c r="CW169" s="57"/>
      <c r="CX169" s="57"/>
      <c r="CY169" s="57"/>
      <c r="CZ169" s="56" t="s">
        <v>5034</v>
      </c>
      <c r="DA169" s="57"/>
      <c r="DB169" s="57"/>
      <c r="DC169" s="57"/>
      <c r="DD169" s="57"/>
      <c r="DE169" s="57"/>
      <c r="DF169" s="57"/>
      <c r="DG169" s="57"/>
      <c r="DH169" s="57"/>
      <c r="DI169" s="57"/>
      <c r="DJ169" s="57"/>
      <c r="DK169" s="58"/>
      <c r="DL169" s="59">
        <v>0</v>
      </c>
      <c r="DM169" s="60">
        <v>0</v>
      </c>
      <c r="DN169" s="61">
        <v>0</v>
      </c>
      <c r="DO169" s="60">
        <v>0</v>
      </c>
      <c r="DP169" s="60">
        <v>0</v>
      </c>
      <c r="DQ169" s="59">
        <v>0</v>
      </c>
      <c r="DR169" s="62" t="s">
        <v>5034</v>
      </c>
      <c r="DS169" s="62" t="s">
        <v>5034</v>
      </c>
      <c r="DU169" s="62" t="s">
        <v>5034</v>
      </c>
      <c r="DV169" s="63">
        <v>45579</v>
      </c>
      <c r="DW169" s="64">
        <v>2024</v>
      </c>
      <c r="DX169" s="65">
        <v>10</v>
      </c>
    </row>
    <row r="170" spans="2:128" ht="15" x14ac:dyDescent="0.25">
      <c r="B170" s="43" t="s">
        <v>5022</v>
      </c>
      <c r="C170" s="43" t="s">
        <v>4881</v>
      </c>
      <c r="D170" s="43" t="s">
        <v>4882</v>
      </c>
      <c r="E170" s="49">
        <v>45579</v>
      </c>
      <c r="F170" s="49"/>
      <c r="G170" s="50">
        <v>1</v>
      </c>
      <c r="H170" s="43" t="s">
        <v>4798</v>
      </c>
      <c r="I170" s="43" t="s">
        <v>5023</v>
      </c>
      <c r="J170" s="43"/>
      <c r="K170" s="43">
        <v>2</v>
      </c>
      <c r="L170" s="43">
        <v>3</v>
      </c>
      <c r="M170" s="43"/>
      <c r="N170" s="43" t="s">
        <v>995</v>
      </c>
      <c r="O170" s="43"/>
      <c r="P170" s="43" t="s">
        <v>5147</v>
      </c>
      <c r="Q170" s="43"/>
      <c r="R170" s="43" t="s">
        <v>5025</v>
      </c>
      <c r="S170" s="43" t="s">
        <v>5026</v>
      </c>
      <c r="T170" s="51" t="s">
        <v>5027</v>
      </c>
      <c r="U170" s="52" t="s">
        <v>5028</v>
      </c>
      <c r="V170" s="53" t="s">
        <v>3896</v>
      </c>
      <c r="W170" s="54" t="s">
        <v>5034</v>
      </c>
      <c r="X170" s="55" t="s">
        <v>5034</v>
      </c>
      <c r="AI170" s="54"/>
      <c r="AJ170" s="56" t="s">
        <v>5034</v>
      </c>
      <c r="AK170" s="57"/>
      <c r="AL170" s="57"/>
      <c r="AM170" s="57"/>
      <c r="AN170" s="57"/>
      <c r="AO170" s="57"/>
      <c r="AP170" s="57"/>
      <c r="AQ170" s="57"/>
      <c r="AR170" s="57"/>
      <c r="AS170" s="57"/>
      <c r="AT170" s="57"/>
      <c r="AU170" s="57"/>
      <c r="AV170" s="57"/>
      <c r="AW170" s="57"/>
      <c r="AX170" s="57"/>
      <c r="AY170" s="57"/>
      <c r="AZ170" s="57"/>
      <c r="BA170" s="57"/>
      <c r="BB170" s="57"/>
      <c r="BC170" s="58"/>
      <c r="BD170" s="55" t="s">
        <v>5034</v>
      </c>
      <c r="BO170" s="54"/>
      <c r="BP170" s="56" t="s">
        <v>5034</v>
      </c>
      <c r="BQ170" s="57"/>
      <c r="BR170" s="57"/>
      <c r="BS170" s="57"/>
      <c r="BT170" s="57"/>
      <c r="BU170" s="57"/>
      <c r="BV170" s="57"/>
      <c r="BW170" s="57"/>
      <c r="BX170" s="57"/>
      <c r="BY170" s="57"/>
      <c r="BZ170" s="57"/>
      <c r="CA170" s="57"/>
      <c r="CB170" s="56" t="s">
        <v>5034</v>
      </c>
      <c r="CC170" s="57"/>
      <c r="CD170" s="57"/>
      <c r="CE170" s="57"/>
      <c r="CF170" s="57"/>
      <c r="CG170" s="57"/>
      <c r="CH170" s="57"/>
      <c r="CI170" s="57"/>
      <c r="CJ170" s="57"/>
      <c r="CK170" s="57"/>
      <c r="CL170" s="57"/>
      <c r="CM170" s="57"/>
      <c r="CN170" s="56" t="s">
        <v>5034</v>
      </c>
      <c r="CO170" s="57"/>
      <c r="CP170" s="57"/>
      <c r="CQ170" s="57"/>
      <c r="CR170" s="57"/>
      <c r="CS170" s="57"/>
      <c r="CT170" s="57"/>
      <c r="CU170" s="57"/>
      <c r="CV170" s="57"/>
      <c r="CW170" s="57"/>
      <c r="CX170" s="57"/>
      <c r="CY170" s="57"/>
      <c r="CZ170" s="56" t="s">
        <v>5034</v>
      </c>
      <c r="DA170" s="57"/>
      <c r="DB170" s="57"/>
      <c r="DC170" s="57"/>
      <c r="DD170" s="57"/>
      <c r="DE170" s="57"/>
      <c r="DF170" s="57"/>
      <c r="DG170" s="57"/>
      <c r="DH170" s="57"/>
      <c r="DI170" s="57"/>
      <c r="DJ170" s="57"/>
      <c r="DK170" s="58"/>
      <c r="DL170" s="59">
        <v>0</v>
      </c>
      <c r="DM170" s="60">
        <v>0</v>
      </c>
      <c r="DN170" s="61">
        <v>0</v>
      </c>
      <c r="DO170" s="60">
        <v>0</v>
      </c>
      <c r="DP170" s="60">
        <v>0</v>
      </c>
      <c r="DQ170" s="59">
        <v>0</v>
      </c>
      <c r="DR170" s="62" t="s">
        <v>5034</v>
      </c>
      <c r="DS170" s="62" t="s">
        <v>5034</v>
      </c>
      <c r="DU170" s="62" t="s">
        <v>5034</v>
      </c>
      <c r="DV170" s="63">
        <v>45579</v>
      </c>
      <c r="DW170" s="64">
        <v>2024</v>
      </c>
      <c r="DX170" s="65">
        <v>10</v>
      </c>
    </row>
    <row r="171" spans="2:128" ht="15" x14ac:dyDescent="0.25">
      <c r="B171" s="43" t="s">
        <v>5022</v>
      </c>
      <c r="C171" s="43" t="s">
        <v>4881</v>
      </c>
      <c r="D171" s="43" t="s">
        <v>4882</v>
      </c>
      <c r="E171" s="49">
        <v>45579</v>
      </c>
      <c r="F171" s="49"/>
      <c r="G171" s="50">
        <v>1</v>
      </c>
      <c r="H171" s="43" t="s">
        <v>4798</v>
      </c>
      <c r="I171" s="43" t="s">
        <v>5023</v>
      </c>
      <c r="J171" s="43"/>
      <c r="K171" s="43">
        <v>2</v>
      </c>
      <c r="L171" s="43">
        <v>3</v>
      </c>
      <c r="M171" s="43"/>
      <c r="N171" s="43" t="s">
        <v>995</v>
      </c>
      <c r="O171" s="43"/>
      <c r="P171" s="43" t="s">
        <v>5147</v>
      </c>
      <c r="Q171" s="43"/>
      <c r="R171" s="43" t="s">
        <v>5025</v>
      </c>
      <c r="S171" s="43" t="s">
        <v>5026</v>
      </c>
      <c r="T171" s="51" t="s">
        <v>5027</v>
      </c>
      <c r="U171" s="52" t="s">
        <v>5028</v>
      </c>
      <c r="V171" s="53" t="s">
        <v>3896</v>
      </c>
      <c r="W171" s="54" t="s">
        <v>5034</v>
      </c>
      <c r="X171" s="55" t="s">
        <v>5034</v>
      </c>
      <c r="AI171" s="54"/>
      <c r="AJ171" s="56" t="s">
        <v>5034</v>
      </c>
      <c r="AK171" s="57"/>
      <c r="AL171" s="57"/>
      <c r="AM171" s="57"/>
      <c r="AN171" s="57"/>
      <c r="AO171" s="57"/>
      <c r="AP171" s="57"/>
      <c r="AQ171" s="57"/>
      <c r="AR171" s="57"/>
      <c r="AS171" s="57"/>
      <c r="AT171" s="57"/>
      <c r="AU171" s="57"/>
      <c r="AV171" s="57"/>
      <c r="AW171" s="57"/>
      <c r="AX171" s="57"/>
      <c r="AY171" s="57"/>
      <c r="AZ171" s="57"/>
      <c r="BA171" s="57"/>
      <c r="BB171" s="57"/>
      <c r="BC171" s="58"/>
      <c r="BD171" s="55" t="s">
        <v>5034</v>
      </c>
      <c r="BO171" s="54"/>
      <c r="BP171" s="56" t="s">
        <v>5034</v>
      </c>
      <c r="BQ171" s="57"/>
      <c r="BR171" s="57"/>
      <c r="BS171" s="57"/>
      <c r="BT171" s="57"/>
      <c r="BU171" s="57"/>
      <c r="BV171" s="57"/>
      <c r="BW171" s="57"/>
      <c r="BX171" s="57"/>
      <c r="BY171" s="57"/>
      <c r="BZ171" s="57"/>
      <c r="CA171" s="57"/>
      <c r="CB171" s="56" t="s">
        <v>5034</v>
      </c>
      <c r="CC171" s="57"/>
      <c r="CD171" s="57"/>
      <c r="CE171" s="57"/>
      <c r="CF171" s="57"/>
      <c r="CG171" s="57"/>
      <c r="CH171" s="57"/>
      <c r="CI171" s="57"/>
      <c r="CJ171" s="57"/>
      <c r="CK171" s="57"/>
      <c r="CL171" s="57"/>
      <c r="CM171" s="57"/>
      <c r="CN171" s="56" t="s">
        <v>5034</v>
      </c>
      <c r="CO171" s="57"/>
      <c r="CP171" s="57"/>
      <c r="CQ171" s="57"/>
      <c r="CR171" s="57"/>
      <c r="CS171" s="57"/>
      <c r="CT171" s="57"/>
      <c r="CU171" s="57"/>
      <c r="CV171" s="57"/>
      <c r="CW171" s="57"/>
      <c r="CX171" s="57"/>
      <c r="CY171" s="57"/>
      <c r="CZ171" s="56" t="s">
        <v>5034</v>
      </c>
      <c r="DA171" s="57"/>
      <c r="DB171" s="57"/>
      <c r="DC171" s="57"/>
      <c r="DD171" s="57"/>
      <c r="DE171" s="57"/>
      <c r="DF171" s="57"/>
      <c r="DG171" s="57"/>
      <c r="DH171" s="57"/>
      <c r="DI171" s="57"/>
      <c r="DJ171" s="57"/>
      <c r="DK171" s="58"/>
      <c r="DL171" s="59">
        <v>0</v>
      </c>
      <c r="DM171" s="60">
        <v>0</v>
      </c>
      <c r="DN171" s="61">
        <v>0</v>
      </c>
      <c r="DO171" s="60">
        <v>0</v>
      </c>
      <c r="DP171" s="60">
        <v>0</v>
      </c>
      <c r="DQ171" s="59">
        <v>0</v>
      </c>
      <c r="DR171" s="62" t="s">
        <v>5034</v>
      </c>
      <c r="DS171" s="62" t="s">
        <v>5034</v>
      </c>
      <c r="DU171" s="62" t="s">
        <v>5034</v>
      </c>
      <c r="DV171" s="63">
        <v>45579</v>
      </c>
      <c r="DW171" s="64">
        <v>2024</v>
      </c>
      <c r="DX171" s="65">
        <v>10</v>
      </c>
    </row>
    <row r="172" spans="2:128" ht="15" x14ac:dyDescent="0.25">
      <c r="B172" s="43" t="s">
        <v>5022</v>
      </c>
      <c r="C172" s="43" t="s">
        <v>4881</v>
      </c>
      <c r="D172" s="43" t="s">
        <v>4882</v>
      </c>
      <c r="E172" s="49">
        <v>45579</v>
      </c>
      <c r="F172" s="49"/>
      <c r="G172" s="50">
        <v>1</v>
      </c>
      <c r="H172" s="43" t="s">
        <v>4798</v>
      </c>
      <c r="I172" s="43" t="s">
        <v>5023</v>
      </c>
      <c r="J172" s="43"/>
      <c r="K172" s="43">
        <v>2</v>
      </c>
      <c r="L172" s="43">
        <v>3</v>
      </c>
      <c r="M172" s="43"/>
      <c r="N172" s="43" t="s">
        <v>995</v>
      </c>
      <c r="O172" s="43"/>
      <c r="P172" s="43" t="s">
        <v>5147</v>
      </c>
      <c r="Q172" s="43"/>
      <c r="R172" s="43" t="s">
        <v>5025</v>
      </c>
      <c r="S172" s="43" t="s">
        <v>5026</v>
      </c>
      <c r="T172" s="51" t="s">
        <v>5027</v>
      </c>
      <c r="U172" s="52" t="s">
        <v>5028</v>
      </c>
      <c r="V172" s="53" t="s">
        <v>3896</v>
      </c>
      <c r="W172" s="54" t="s">
        <v>5034</v>
      </c>
      <c r="X172" s="55" t="s">
        <v>5034</v>
      </c>
      <c r="AI172" s="54"/>
      <c r="AJ172" s="56" t="s">
        <v>5034</v>
      </c>
      <c r="AK172" s="57"/>
      <c r="AL172" s="57"/>
      <c r="AM172" s="57"/>
      <c r="AN172" s="57"/>
      <c r="AO172" s="57"/>
      <c r="AP172" s="57"/>
      <c r="AQ172" s="57"/>
      <c r="AR172" s="57"/>
      <c r="AS172" s="57"/>
      <c r="AT172" s="57"/>
      <c r="AU172" s="57"/>
      <c r="AV172" s="57"/>
      <c r="AW172" s="57"/>
      <c r="AX172" s="57"/>
      <c r="AY172" s="57"/>
      <c r="AZ172" s="57"/>
      <c r="BA172" s="57"/>
      <c r="BB172" s="57"/>
      <c r="BC172" s="58"/>
      <c r="BD172" s="55" t="s">
        <v>5034</v>
      </c>
      <c r="BO172" s="54"/>
      <c r="BP172" s="56" t="s">
        <v>5034</v>
      </c>
      <c r="BQ172" s="57"/>
      <c r="BR172" s="57"/>
      <c r="BS172" s="57"/>
      <c r="BT172" s="57"/>
      <c r="BU172" s="57"/>
      <c r="BV172" s="57"/>
      <c r="BW172" s="57"/>
      <c r="BX172" s="57"/>
      <c r="BY172" s="57"/>
      <c r="BZ172" s="57"/>
      <c r="CA172" s="57"/>
      <c r="CB172" s="56" t="s">
        <v>5034</v>
      </c>
      <c r="CC172" s="57"/>
      <c r="CD172" s="57"/>
      <c r="CE172" s="57"/>
      <c r="CF172" s="57"/>
      <c r="CG172" s="57"/>
      <c r="CH172" s="57"/>
      <c r="CI172" s="57"/>
      <c r="CJ172" s="57"/>
      <c r="CK172" s="57"/>
      <c r="CL172" s="57"/>
      <c r="CM172" s="57"/>
      <c r="CN172" s="56" t="s">
        <v>5034</v>
      </c>
      <c r="CO172" s="57"/>
      <c r="CP172" s="57"/>
      <c r="CQ172" s="57"/>
      <c r="CR172" s="57"/>
      <c r="CS172" s="57"/>
      <c r="CT172" s="57"/>
      <c r="CU172" s="57"/>
      <c r="CV172" s="57"/>
      <c r="CW172" s="57"/>
      <c r="CX172" s="57"/>
      <c r="CY172" s="57"/>
      <c r="CZ172" s="56" t="s">
        <v>5034</v>
      </c>
      <c r="DA172" s="57"/>
      <c r="DB172" s="57"/>
      <c r="DC172" s="57"/>
      <c r="DD172" s="57"/>
      <c r="DE172" s="57"/>
      <c r="DF172" s="57"/>
      <c r="DG172" s="57"/>
      <c r="DH172" s="57"/>
      <c r="DI172" s="57"/>
      <c r="DJ172" s="57"/>
      <c r="DK172" s="58"/>
      <c r="DL172" s="59">
        <v>0</v>
      </c>
      <c r="DM172" s="60">
        <v>0</v>
      </c>
      <c r="DN172" s="61">
        <v>0</v>
      </c>
      <c r="DO172" s="60">
        <v>0</v>
      </c>
      <c r="DP172" s="60">
        <v>0</v>
      </c>
      <c r="DQ172" s="59">
        <v>0</v>
      </c>
      <c r="DR172" s="62" t="s">
        <v>5034</v>
      </c>
      <c r="DS172" s="62" t="s">
        <v>5034</v>
      </c>
      <c r="DU172" s="62" t="s">
        <v>5034</v>
      </c>
      <c r="DV172" s="63">
        <v>45579</v>
      </c>
      <c r="DW172" s="64">
        <v>2024</v>
      </c>
      <c r="DX172" s="65">
        <v>10</v>
      </c>
    </row>
    <row r="173" spans="2:128" ht="15" x14ac:dyDescent="0.25">
      <c r="B173" s="43" t="s">
        <v>5022</v>
      </c>
      <c r="C173" s="43" t="s">
        <v>4879</v>
      </c>
      <c r="D173" s="43" t="s">
        <v>2793</v>
      </c>
      <c r="E173" s="49">
        <v>45586</v>
      </c>
      <c r="F173" s="49"/>
      <c r="G173" s="50">
        <v>1</v>
      </c>
      <c r="H173" s="43" t="s">
        <v>4798</v>
      </c>
      <c r="I173" s="43" t="s">
        <v>5023</v>
      </c>
      <c r="J173" s="43"/>
      <c r="K173" s="43">
        <v>2</v>
      </c>
      <c r="L173" s="43">
        <v>3</v>
      </c>
      <c r="M173" s="43"/>
      <c r="N173" s="43" t="s">
        <v>856</v>
      </c>
      <c r="O173" s="43" t="s">
        <v>5146</v>
      </c>
      <c r="P173" s="43" t="s">
        <v>5063</v>
      </c>
      <c r="Q173" s="43"/>
      <c r="R173" s="43" t="s">
        <v>5098</v>
      </c>
      <c r="S173" s="43" t="s">
        <v>5026</v>
      </c>
      <c r="T173" s="51" t="s">
        <v>5027</v>
      </c>
      <c r="U173" s="52" t="s">
        <v>5028</v>
      </c>
      <c r="V173" s="53" t="s">
        <v>3884</v>
      </c>
      <c r="W173" s="54" t="s">
        <v>2792</v>
      </c>
      <c r="X173" s="55" t="s">
        <v>4889</v>
      </c>
      <c r="Y173" t="s">
        <v>4896</v>
      </c>
      <c r="Z173" t="s">
        <v>4800</v>
      </c>
      <c r="AA173" t="s">
        <v>4891</v>
      </c>
      <c r="AI173" s="54"/>
      <c r="AJ173" s="56">
        <v>45740</v>
      </c>
      <c r="AK173" s="57">
        <v>45831</v>
      </c>
      <c r="AL173" s="57">
        <v>45922</v>
      </c>
      <c r="AM173" s="57">
        <v>46013</v>
      </c>
      <c r="AN173" s="57"/>
      <c r="AO173" s="57"/>
      <c r="AP173" s="57"/>
      <c r="AQ173" s="57"/>
      <c r="AR173" s="57"/>
      <c r="AS173" s="57"/>
      <c r="AT173" s="57"/>
      <c r="AU173" s="57"/>
      <c r="AV173" s="57"/>
      <c r="AW173" s="57"/>
      <c r="AX173" s="57"/>
      <c r="AY173" s="57"/>
      <c r="AZ173" s="57"/>
      <c r="BA173" s="57"/>
      <c r="BB173" s="57"/>
      <c r="BC173" s="58"/>
      <c r="BD173" s="55" t="s">
        <v>5030</v>
      </c>
      <c r="BE173" t="s">
        <v>5031</v>
      </c>
      <c r="BF173" t="s">
        <v>5032</v>
      </c>
      <c r="BG173" t="s">
        <v>5033</v>
      </c>
      <c r="BO173" s="54"/>
      <c r="BP173" s="56">
        <v>45712</v>
      </c>
      <c r="BQ173" s="57">
        <v>45803</v>
      </c>
      <c r="BR173" s="57">
        <v>45894</v>
      </c>
      <c r="BS173" s="57">
        <v>45985</v>
      </c>
      <c r="BT173" s="57"/>
      <c r="BU173" s="57"/>
      <c r="BV173" s="57"/>
      <c r="BW173" s="57"/>
      <c r="BX173" s="57"/>
      <c r="BY173" s="57"/>
      <c r="BZ173" s="57"/>
      <c r="CA173" s="57"/>
      <c r="CB173" s="56" t="s">
        <v>5034</v>
      </c>
      <c r="CC173" s="57"/>
      <c r="CD173" s="57"/>
      <c r="CE173" s="57"/>
      <c r="CF173" s="57"/>
      <c r="CG173" s="57"/>
      <c r="CH173" s="57"/>
      <c r="CI173" s="57"/>
      <c r="CJ173" s="57"/>
      <c r="CK173" s="57"/>
      <c r="CL173" s="57"/>
      <c r="CM173" s="57"/>
      <c r="CN173" s="56">
        <v>45736</v>
      </c>
      <c r="CO173" s="57">
        <v>45827</v>
      </c>
      <c r="CP173" s="57">
        <v>45918</v>
      </c>
      <c r="CQ173" s="57">
        <v>46009</v>
      </c>
      <c r="CR173" s="57"/>
      <c r="CS173" s="57"/>
      <c r="CT173" s="57"/>
      <c r="CU173" s="57"/>
      <c r="CV173" s="57"/>
      <c r="CW173" s="57"/>
      <c r="CX173" s="57"/>
      <c r="CY173" s="57"/>
      <c r="CZ173" s="56" t="s">
        <v>5034</v>
      </c>
      <c r="DA173" s="57"/>
      <c r="DB173" s="57"/>
      <c r="DC173" s="57"/>
      <c r="DD173" s="57"/>
      <c r="DE173" s="57"/>
      <c r="DF173" s="57"/>
      <c r="DG173" s="57"/>
      <c r="DH173" s="57"/>
      <c r="DI173" s="57"/>
      <c r="DJ173" s="57"/>
      <c r="DK173" s="58"/>
      <c r="DL173" s="59">
        <v>4</v>
      </c>
      <c r="DM173" s="60">
        <v>4</v>
      </c>
      <c r="DN173" s="61">
        <v>0</v>
      </c>
      <c r="DO173" s="60">
        <v>4</v>
      </c>
      <c r="DP173" s="60">
        <v>0</v>
      </c>
      <c r="DQ173" s="59">
        <v>12</v>
      </c>
      <c r="DR173" s="62">
        <v>2067</v>
      </c>
      <c r="DS173" s="62" t="s">
        <v>5034</v>
      </c>
      <c r="DU173" s="62" t="s">
        <v>5034</v>
      </c>
      <c r="DV173" s="63">
        <v>45636</v>
      </c>
      <c r="DW173" s="64">
        <v>2024</v>
      </c>
      <c r="DX173" s="65">
        <v>12</v>
      </c>
    </row>
    <row r="174" spans="2:128" ht="15" x14ac:dyDescent="0.25">
      <c r="B174" s="43" t="s">
        <v>5022</v>
      </c>
      <c r="C174" s="43" t="s">
        <v>4802</v>
      </c>
      <c r="D174" s="43" t="s">
        <v>4782</v>
      </c>
      <c r="E174" s="49">
        <v>45588</v>
      </c>
      <c r="F174" s="49"/>
      <c r="G174" s="50">
        <v>1</v>
      </c>
      <c r="H174" s="43" t="s">
        <v>4799</v>
      </c>
      <c r="I174" s="43" t="s">
        <v>5076</v>
      </c>
      <c r="J174" s="43">
        <v>5</v>
      </c>
      <c r="K174" s="43">
        <v>2</v>
      </c>
      <c r="L174" s="43">
        <v>2</v>
      </c>
      <c r="M174" s="43"/>
      <c r="N174" s="43" t="s">
        <v>1801</v>
      </c>
      <c r="O174" s="43"/>
      <c r="P174" s="43" t="s">
        <v>1925</v>
      </c>
      <c r="Q174" s="43"/>
      <c r="R174" s="43" t="s">
        <v>5081</v>
      </c>
      <c r="S174" s="43" t="s">
        <v>5026</v>
      </c>
      <c r="T174" s="51" t="s">
        <v>5027</v>
      </c>
      <c r="U174" s="52" t="s">
        <v>5028</v>
      </c>
      <c r="V174" s="53" t="s">
        <v>3884</v>
      </c>
      <c r="W174" s="54" t="s">
        <v>1568</v>
      </c>
      <c r="X174" s="55" t="s">
        <v>4889</v>
      </c>
      <c r="Y174" t="s">
        <v>4800</v>
      </c>
      <c r="AI174" s="54"/>
      <c r="AJ174" s="56">
        <v>45740</v>
      </c>
      <c r="AK174" s="57">
        <v>45922</v>
      </c>
      <c r="AL174" s="57"/>
      <c r="AM174" s="57"/>
      <c r="AN174" s="57"/>
      <c r="AO174" s="57"/>
      <c r="AP174" s="57"/>
      <c r="AQ174" s="57"/>
      <c r="AR174" s="57"/>
      <c r="AS174" s="57"/>
      <c r="AT174" s="57"/>
      <c r="AU174" s="57"/>
      <c r="AV174" s="57"/>
      <c r="AW174" s="57"/>
      <c r="AX174" s="57"/>
      <c r="AY174" s="57"/>
      <c r="AZ174" s="57"/>
      <c r="BA174" s="57"/>
      <c r="BB174" s="57"/>
      <c r="BC174" s="58"/>
      <c r="BD174" s="55" t="s">
        <v>5030</v>
      </c>
      <c r="BE174" t="s">
        <v>5032</v>
      </c>
      <c r="BO174" s="54"/>
      <c r="BP174" s="56">
        <v>45712</v>
      </c>
      <c r="BQ174" s="57">
        <v>45894</v>
      </c>
      <c r="BR174" s="57"/>
      <c r="BS174" s="57"/>
      <c r="BT174" s="57"/>
      <c r="BU174" s="57"/>
      <c r="BV174" s="57"/>
      <c r="BW174" s="57"/>
      <c r="BX174" s="57"/>
      <c r="BY174" s="57"/>
      <c r="BZ174" s="57"/>
      <c r="CA174" s="57"/>
      <c r="CB174" s="56">
        <v>45733</v>
      </c>
      <c r="CC174" s="57">
        <v>45915</v>
      </c>
      <c r="CD174" s="57"/>
      <c r="CE174" s="57"/>
      <c r="CF174" s="57"/>
      <c r="CG174" s="57"/>
      <c r="CH174" s="57"/>
      <c r="CI174" s="57"/>
      <c r="CJ174" s="57"/>
      <c r="CK174" s="57"/>
      <c r="CL174" s="57"/>
      <c r="CM174" s="57"/>
      <c r="CN174" s="56">
        <v>45736</v>
      </c>
      <c r="CO174" s="57">
        <v>45918</v>
      </c>
      <c r="CP174" s="57"/>
      <c r="CQ174" s="57"/>
      <c r="CR174" s="57"/>
      <c r="CS174" s="57"/>
      <c r="CT174" s="57"/>
      <c r="CU174" s="57"/>
      <c r="CV174" s="57"/>
      <c r="CW174" s="57"/>
      <c r="CX174" s="57"/>
      <c r="CY174" s="57"/>
      <c r="CZ174" s="56" t="s">
        <v>5034</v>
      </c>
      <c r="DA174" s="57"/>
      <c r="DB174" s="57"/>
      <c r="DC174" s="57"/>
      <c r="DD174" s="57"/>
      <c r="DE174" s="57"/>
      <c r="DF174" s="57"/>
      <c r="DG174" s="57"/>
      <c r="DH174" s="57"/>
      <c r="DI174" s="57"/>
      <c r="DJ174" s="57"/>
      <c r="DK174" s="58"/>
      <c r="DL174" s="59">
        <v>2</v>
      </c>
      <c r="DM174" s="60">
        <v>2</v>
      </c>
      <c r="DN174" s="61">
        <v>2</v>
      </c>
      <c r="DO174" s="60">
        <v>2</v>
      </c>
      <c r="DP174" s="60">
        <v>0</v>
      </c>
      <c r="DQ174" s="59">
        <v>8</v>
      </c>
      <c r="DR174" s="62">
        <v>2079</v>
      </c>
      <c r="DS174" s="62" t="s">
        <v>5034</v>
      </c>
      <c r="DU174" s="62" t="s">
        <v>5034</v>
      </c>
      <c r="DV174" s="63" t="e">
        <v>#N/A</v>
      </c>
      <c r="DW174" s="64" t="e">
        <v>#N/A</v>
      </c>
      <c r="DX174" s="65" t="e">
        <v>#N/A</v>
      </c>
    </row>
    <row r="175" spans="2:128" ht="15" x14ac:dyDescent="0.25">
      <c r="B175" s="43" t="s">
        <v>5022</v>
      </c>
      <c r="C175" s="43" t="s">
        <v>4881</v>
      </c>
      <c r="D175" s="43" t="s">
        <v>4883</v>
      </c>
      <c r="E175" s="49">
        <v>45595</v>
      </c>
      <c r="F175" s="49"/>
      <c r="G175" s="50">
        <v>1</v>
      </c>
      <c r="H175" s="43" t="s">
        <v>4798</v>
      </c>
      <c r="I175" s="43" t="s">
        <v>5023</v>
      </c>
      <c r="J175" s="43"/>
      <c r="K175" s="43">
        <v>2</v>
      </c>
      <c r="L175" s="43">
        <v>3</v>
      </c>
      <c r="M175" s="43"/>
      <c r="N175" s="43" t="s">
        <v>5090</v>
      </c>
      <c r="O175" s="43"/>
      <c r="P175" s="43" t="s">
        <v>5147</v>
      </c>
      <c r="Q175" s="43"/>
      <c r="R175" s="43" t="s">
        <v>5025</v>
      </c>
      <c r="S175" s="43" t="s">
        <v>5026</v>
      </c>
      <c r="T175" s="51" t="s">
        <v>5027</v>
      </c>
      <c r="U175" s="52" t="s">
        <v>5028</v>
      </c>
      <c r="V175" s="53" t="s">
        <v>3884</v>
      </c>
      <c r="W175" s="54" t="s">
        <v>4743</v>
      </c>
      <c r="X175" s="55" t="s">
        <v>4889</v>
      </c>
      <c r="Y175" t="s">
        <v>4896</v>
      </c>
      <c r="Z175" t="s">
        <v>4800</v>
      </c>
      <c r="AA175" t="s">
        <v>4891</v>
      </c>
      <c r="AI175" s="54"/>
      <c r="AJ175" s="56">
        <v>45740</v>
      </c>
      <c r="AK175" s="57">
        <v>45831</v>
      </c>
      <c r="AL175" s="57">
        <v>45922</v>
      </c>
      <c r="AM175" s="57">
        <v>46013</v>
      </c>
      <c r="AN175" s="57"/>
      <c r="AO175" s="57"/>
      <c r="AP175" s="57"/>
      <c r="AQ175" s="57"/>
      <c r="AR175" s="57"/>
      <c r="AS175" s="57"/>
      <c r="AT175" s="57"/>
      <c r="AU175" s="57"/>
      <c r="AV175" s="57"/>
      <c r="AW175" s="57"/>
      <c r="AX175" s="57"/>
      <c r="AY175" s="57"/>
      <c r="AZ175" s="57"/>
      <c r="BA175" s="57"/>
      <c r="BB175" s="57"/>
      <c r="BC175" s="58"/>
      <c r="BD175" s="55" t="s">
        <v>5030</v>
      </c>
      <c r="BE175" t="s">
        <v>5031</v>
      </c>
      <c r="BF175" t="s">
        <v>5032</v>
      </c>
      <c r="BG175" t="s">
        <v>5033</v>
      </c>
      <c r="BO175" s="54"/>
      <c r="BP175" s="56">
        <v>45712</v>
      </c>
      <c r="BQ175" s="57">
        <v>45803</v>
      </c>
      <c r="BR175" s="57">
        <v>45894</v>
      </c>
      <c r="BS175" s="57">
        <v>45985</v>
      </c>
      <c r="BT175" s="57"/>
      <c r="BU175" s="57"/>
      <c r="BV175" s="57"/>
      <c r="BW175" s="57"/>
      <c r="BX175" s="57"/>
      <c r="BY175" s="57"/>
      <c r="BZ175" s="57"/>
      <c r="CA175" s="57"/>
      <c r="CB175" s="56" t="s">
        <v>5034</v>
      </c>
      <c r="CC175" s="57"/>
      <c r="CD175" s="57"/>
      <c r="CE175" s="57"/>
      <c r="CF175" s="57"/>
      <c r="CG175" s="57"/>
      <c r="CH175" s="57"/>
      <c r="CI175" s="57"/>
      <c r="CJ175" s="57"/>
      <c r="CK175" s="57"/>
      <c r="CL175" s="57"/>
      <c r="CM175" s="57"/>
      <c r="CN175" s="56">
        <v>45736</v>
      </c>
      <c r="CO175" s="57">
        <v>45827</v>
      </c>
      <c r="CP175" s="57">
        <v>45918</v>
      </c>
      <c r="CQ175" s="57">
        <v>46009</v>
      </c>
      <c r="CR175" s="57"/>
      <c r="CS175" s="57"/>
      <c r="CT175" s="57"/>
      <c r="CU175" s="57"/>
      <c r="CV175" s="57"/>
      <c r="CW175" s="57"/>
      <c r="CX175" s="57"/>
      <c r="CY175" s="57"/>
      <c r="CZ175" s="56" t="s">
        <v>5034</v>
      </c>
      <c r="DA175" s="57"/>
      <c r="DB175" s="57"/>
      <c r="DC175" s="57"/>
      <c r="DD175" s="57"/>
      <c r="DE175" s="57"/>
      <c r="DF175" s="57"/>
      <c r="DG175" s="57"/>
      <c r="DH175" s="57"/>
      <c r="DI175" s="57"/>
      <c r="DJ175" s="57"/>
      <c r="DK175" s="58"/>
      <c r="DL175" s="59">
        <v>4</v>
      </c>
      <c r="DM175" s="60">
        <v>4</v>
      </c>
      <c r="DN175" s="61">
        <v>0</v>
      </c>
      <c r="DO175" s="60">
        <v>4</v>
      </c>
      <c r="DP175" s="60">
        <v>0</v>
      </c>
      <c r="DQ175" s="59">
        <v>12</v>
      </c>
      <c r="DR175" s="62">
        <v>2087</v>
      </c>
      <c r="DS175" s="62" t="s">
        <v>5034</v>
      </c>
      <c r="DU175" s="62" t="s">
        <v>5034</v>
      </c>
      <c r="DV175" s="63">
        <v>45595</v>
      </c>
      <c r="DW175" s="64">
        <v>2024</v>
      </c>
      <c r="DX175" s="65">
        <v>10</v>
      </c>
    </row>
    <row r="176" spans="2:128" ht="15" x14ac:dyDescent="0.25">
      <c r="B176" s="43" t="s">
        <v>5022</v>
      </c>
      <c r="C176" s="43" t="s">
        <v>4881</v>
      </c>
      <c r="D176" s="43" t="s">
        <v>4883</v>
      </c>
      <c r="E176" s="49">
        <v>45595</v>
      </c>
      <c r="F176" s="49"/>
      <c r="G176" s="50">
        <v>1</v>
      </c>
      <c r="H176" s="43" t="s">
        <v>4798</v>
      </c>
      <c r="I176" s="43" t="s">
        <v>5023</v>
      </c>
      <c r="J176" s="43"/>
      <c r="K176" s="43">
        <v>2</v>
      </c>
      <c r="L176" s="43">
        <v>3</v>
      </c>
      <c r="M176" s="43"/>
      <c r="N176" s="43" t="s">
        <v>5090</v>
      </c>
      <c r="O176" s="43"/>
      <c r="P176" s="43" t="s">
        <v>5147</v>
      </c>
      <c r="Q176" s="43"/>
      <c r="R176" s="43" t="s">
        <v>5025</v>
      </c>
      <c r="S176" s="43" t="s">
        <v>5026</v>
      </c>
      <c r="T176" s="51" t="s">
        <v>5027</v>
      </c>
      <c r="U176" s="52" t="s">
        <v>5028</v>
      </c>
      <c r="V176" s="53" t="s">
        <v>3896</v>
      </c>
      <c r="W176" s="54" t="s">
        <v>5034</v>
      </c>
      <c r="X176" s="55" t="s">
        <v>5034</v>
      </c>
      <c r="AI176" s="54"/>
      <c r="AJ176" s="56" t="s">
        <v>5034</v>
      </c>
      <c r="AK176" s="57"/>
      <c r="AL176" s="57"/>
      <c r="AM176" s="57"/>
      <c r="AN176" s="57"/>
      <c r="AO176" s="57"/>
      <c r="AP176" s="57"/>
      <c r="AQ176" s="57"/>
      <c r="AR176" s="57"/>
      <c r="AS176" s="57"/>
      <c r="AT176" s="57"/>
      <c r="AU176" s="57"/>
      <c r="AV176" s="57"/>
      <c r="AW176" s="57"/>
      <c r="AX176" s="57"/>
      <c r="AY176" s="57"/>
      <c r="AZ176" s="57"/>
      <c r="BA176" s="57"/>
      <c r="BB176" s="57"/>
      <c r="BC176" s="58"/>
      <c r="BD176" s="55" t="s">
        <v>5034</v>
      </c>
      <c r="BO176" s="54"/>
      <c r="BP176" s="56" t="s">
        <v>5034</v>
      </c>
      <c r="BQ176" s="57"/>
      <c r="BR176" s="57"/>
      <c r="BS176" s="57"/>
      <c r="BT176" s="57"/>
      <c r="BU176" s="57"/>
      <c r="BV176" s="57"/>
      <c r="BW176" s="57"/>
      <c r="BX176" s="57"/>
      <c r="BY176" s="57"/>
      <c r="BZ176" s="57"/>
      <c r="CA176" s="57"/>
      <c r="CB176" s="56" t="s">
        <v>5034</v>
      </c>
      <c r="CC176" s="57"/>
      <c r="CD176" s="57"/>
      <c r="CE176" s="57"/>
      <c r="CF176" s="57"/>
      <c r="CG176" s="57"/>
      <c r="CH176" s="57"/>
      <c r="CI176" s="57"/>
      <c r="CJ176" s="57"/>
      <c r="CK176" s="57"/>
      <c r="CL176" s="57"/>
      <c r="CM176" s="57"/>
      <c r="CN176" s="56" t="s">
        <v>5034</v>
      </c>
      <c r="CO176" s="57"/>
      <c r="CP176" s="57"/>
      <c r="CQ176" s="57"/>
      <c r="CR176" s="57"/>
      <c r="CS176" s="57"/>
      <c r="CT176" s="57"/>
      <c r="CU176" s="57"/>
      <c r="CV176" s="57"/>
      <c r="CW176" s="57"/>
      <c r="CX176" s="57"/>
      <c r="CY176" s="57"/>
      <c r="CZ176" s="56" t="s">
        <v>5034</v>
      </c>
      <c r="DA176" s="57"/>
      <c r="DB176" s="57"/>
      <c r="DC176" s="57"/>
      <c r="DD176" s="57"/>
      <c r="DE176" s="57"/>
      <c r="DF176" s="57"/>
      <c r="DG176" s="57"/>
      <c r="DH176" s="57"/>
      <c r="DI176" s="57"/>
      <c r="DJ176" s="57"/>
      <c r="DK176" s="58"/>
      <c r="DL176" s="59">
        <v>0</v>
      </c>
      <c r="DM176" s="60">
        <v>0</v>
      </c>
      <c r="DN176" s="61">
        <v>0</v>
      </c>
      <c r="DO176" s="60">
        <v>0</v>
      </c>
      <c r="DP176" s="60">
        <v>0</v>
      </c>
      <c r="DQ176" s="59">
        <v>0</v>
      </c>
      <c r="DR176" s="62" t="s">
        <v>5034</v>
      </c>
      <c r="DS176" s="62" t="s">
        <v>5034</v>
      </c>
      <c r="DU176" s="62" t="s">
        <v>5034</v>
      </c>
      <c r="DV176" s="63">
        <v>45595</v>
      </c>
      <c r="DW176" s="64">
        <v>2024</v>
      </c>
      <c r="DX176" s="65">
        <v>10</v>
      </c>
    </row>
    <row r="177" spans="2:128" ht="15" x14ac:dyDescent="0.25">
      <c r="B177" s="43" t="s">
        <v>5022</v>
      </c>
      <c r="C177" s="43" t="s">
        <v>4881</v>
      </c>
      <c r="D177" s="43" t="s">
        <v>4883</v>
      </c>
      <c r="E177" s="49">
        <v>45595</v>
      </c>
      <c r="F177" s="49"/>
      <c r="G177" s="50">
        <v>1</v>
      </c>
      <c r="H177" s="43" t="s">
        <v>4798</v>
      </c>
      <c r="I177" s="43" t="s">
        <v>5023</v>
      </c>
      <c r="J177" s="43"/>
      <c r="K177" s="43">
        <v>2</v>
      </c>
      <c r="L177" s="43">
        <v>3</v>
      </c>
      <c r="M177" s="43"/>
      <c r="N177" s="43" t="s">
        <v>5090</v>
      </c>
      <c r="O177" s="43"/>
      <c r="P177" s="43" t="s">
        <v>5147</v>
      </c>
      <c r="Q177" s="43"/>
      <c r="R177" s="43" t="s">
        <v>5025</v>
      </c>
      <c r="S177" s="43" t="s">
        <v>5026</v>
      </c>
      <c r="T177" s="51" t="s">
        <v>5027</v>
      </c>
      <c r="U177" s="52" t="s">
        <v>5028</v>
      </c>
      <c r="V177" s="53" t="s">
        <v>3896</v>
      </c>
      <c r="W177" s="54" t="s">
        <v>5034</v>
      </c>
      <c r="X177" s="55" t="s">
        <v>5034</v>
      </c>
      <c r="AI177" s="54"/>
      <c r="AJ177" s="56" t="s">
        <v>5034</v>
      </c>
      <c r="AK177" s="57"/>
      <c r="AL177" s="57"/>
      <c r="AM177" s="57"/>
      <c r="AN177" s="57"/>
      <c r="AO177" s="57"/>
      <c r="AP177" s="57"/>
      <c r="AQ177" s="57"/>
      <c r="AR177" s="57"/>
      <c r="AS177" s="57"/>
      <c r="AT177" s="57"/>
      <c r="AU177" s="57"/>
      <c r="AV177" s="57"/>
      <c r="AW177" s="57"/>
      <c r="AX177" s="57"/>
      <c r="AY177" s="57"/>
      <c r="AZ177" s="57"/>
      <c r="BA177" s="57"/>
      <c r="BB177" s="57"/>
      <c r="BC177" s="58"/>
      <c r="BD177" s="55" t="s">
        <v>5034</v>
      </c>
      <c r="BO177" s="54"/>
      <c r="BP177" s="56" t="s">
        <v>5034</v>
      </c>
      <c r="BQ177" s="57"/>
      <c r="BR177" s="57"/>
      <c r="BS177" s="57"/>
      <c r="BT177" s="57"/>
      <c r="BU177" s="57"/>
      <c r="BV177" s="57"/>
      <c r="BW177" s="57"/>
      <c r="BX177" s="57"/>
      <c r="BY177" s="57"/>
      <c r="BZ177" s="57"/>
      <c r="CA177" s="57"/>
      <c r="CB177" s="56" t="s">
        <v>5034</v>
      </c>
      <c r="CC177" s="57"/>
      <c r="CD177" s="57"/>
      <c r="CE177" s="57"/>
      <c r="CF177" s="57"/>
      <c r="CG177" s="57"/>
      <c r="CH177" s="57"/>
      <c r="CI177" s="57"/>
      <c r="CJ177" s="57"/>
      <c r="CK177" s="57"/>
      <c r="CL177" s="57"/>
      <c r="CM177" s="57"/>
      <c r="CN177" s="56" t="s">
        <v>5034</v>
      </c>
      <c r="CO177" s="57"/>
      <c r="CP177" s="57"/>
      <c r="CQ177" s="57"/>
      <c r="CR177" s="57"/>
      <c r="CS177" s="57"/>
      <c r="CT177" s="57"/>
      <c r="CU177" s="57"/>
      <c r="CV177" s="57"/>
      <c r="CW177" s="57"/>
      <c r="CX177" s="57"/>
      <c r="CY177" s="57"/>
      <c r="CZ177" s="56" t="s">
        <v>5034</v>
      </c>
      <c r="DA177" s="57"/>
      <c r="DB177" s="57"/>
      <c r="DC177" s="57"/>
      <c r="DD177" s="57"/>
      <c r="DE177" s="57"/>
      <c r="DF177" s="57"/>
      <c r="DG177" s="57"/>
      <c r="DH177" s="57"/>
      <c r="DI177" s="57"/>
      <c r="DJ177" s="57"/>
      <c r="DK177" s="58"/>
      <c r="DL177" s="59">
        <v>0</v>
      </c>
      <c r="DM177" s="60">
        <v>0</v>
      </c>
      <c r="DN177" s="61">
        <v>0</v>
      </c>
      <c r="DO177" s="60">
        <v>0</v>
      </c>
      <c r="DP177" s="60">
        <v>0</v>
      </c>
      <c r="DQ177" s="59">
        <v>0</v>
      </c>
      <c r="DR177" s="62" t="s">
        <v>5034</v>
      </c>
      <c r="DS177" s="62" t="s">
        <v>5034</v>
      </c>
      <c r="DU177" s="62" t="s">
        <v>5034</v>
      </c>
      <c r="DV177" s="63">
        <v>45595</v>
      </c>
      <c r="DW177" s="64">
        <v>2024</v>
      </c>
      <c r="DX177" s="65">
        <v>10</v>
      </c>
    </row>
    <row r="178" spans="2:128" ht="15" x14ac:dyDescent="0.25">
      <c r="B178" s="43" t="s">
        <v>5022</v>
      </c>
      <c r="C178" s="43" t="s">
        <v>4881</v>
      </c>
      <c r="D178" s="43" t="s">
        <v>4883</v>
      </c>
      <c r="E178" s="49">
        <v>45595</v>
      </c>
      <c r="F178" s="49"/>
      <c r="G178" s="50">
        <v>1</v>
      </c>
      <c r="H178" s="43" t="s">
        <v>4798</v>
      </c>
      <c r="I178" s="43" t="s">
        <v>5023</v>
      </c>
      <c r="J178" s="43"/>
      <c r="K178" s="43">
        <v>2</v>
      </c>
      <c r="L178" s="43">
        <v>3</v>
      </c>
      <c r="M178" s="43"/>
      <c r="N178" s="43" t="s">
        <v>5090</v>
      </c>
      <c r="O178" s="43"/>
      <c r="P178" s="43" t="s">
        <v>5147</v>
      </c>
      <c r="Q178" s="43"/>
      <c r="R178" s="43" t="s">
        <v>5025</v>
      </c>
      <c r="S178" s="43" t="s">
        <v>5026</v>
      </c>
      <c r="T178" s="51" t="s">
        <v>5027</v>
      </c>
      <c r="U178" s="52" t="s">
        <v>5028</v>
      </c>
      <c r="V178" s="53" t="s">
        <v>3896</v>
      </c>
      <c r="W178" s="54" t="s">
        <v>5034</v>
      </c>
      <c r="X178" s="55" t="s">
        <v>5034</v>
      </c>
      <c r="AI178" s="54"/>
      <c r="AJ178" s="56" t="s">
        <v>5034</v>
      </c>
      <c r="AK178" s="57"/>
      <c r="AL178" s="57"/>
      <c r="AM178" s="57"/>
      <c r="AN178" s="57"/>
      <c r="AO178" s="57"/>
      <c r="AP178" s="57"/>
      <c r="AQ178" s="57"/>
      <c r="AR178" s="57"/>
      <c r="AS178" s="57"/>
      <c r="AT178" s="57"/>
      <c r="AU178" s="57"/>
      <c r="AV178" s="57"/>
      <c r="AW178" s="57"/>
      <c r="AX178" s="57"/>
      <c r="AY178" s="57"/>
      <c r="AZ178" s="57"/>
      <c r="BA178" s="57"/>
      <c r="BB178" s="57"/>
      <c r="BC178" s="58"/>
      <c r="BD178" s="55" t="s">
        <v>5034</v>
      </c>
      <c r="BO178" s="54"/>
      <c r="BP178" s="56" t="s">
        <v>5034</v>
      </c>
      <c r="BQ178" s="57"/>
      <c r="BR178" s="57"/>
      <c r="BS178" s="57"/>
      <c r="BT178" s="57"/>
      <c r="BU178" s="57"/>
      <c r="BV178" s="57"/>
      <c r="BW178" s="57"/>
      <c r="BX178" s="57"/>
      <c r="BY178" s="57"/>
      <c r="BZ178" s="57"/>
      <c r="CA178" s="57"/>
      <c r="CB178" s="56" t="s">
        <v>5034</v>
      </c>
      <c r="CC178" s="57"/>
      <c r="CD178" s="57"/>
      <c r="CE178" s="57"/>
      <c r="CF178" s="57"/>
      <c r="CG178" s="57"/>
      <c r="CH178" s="57"/>
      <c r="CI178" s="57"/>
      <c r="CJ178" s="57"/>
      <c r="CK178" s="57"/>
      <c r="CL178" s="57"/>
      <c r="CM178" s="57"/>
      <c r="CN178" s="56" t="s">
        <v>5034</v>
      </c>
      <c r="CO178" s="57"/>
      <c r="CP178" s="57"/>
      <c r="CQ178" s="57"/>
      <c r="CR178" s="57"/>
      <c r="CS178" s="57"/>
      <c r="CT178" s="57"/>
      <c r="CU178" s="57"/>
      <c r="CV178" s="57"/>
      <c r="CW178" s="57"/>
      <c r="CX178" s="57"/>
      <c r="CY178" s="57"/>
      <c r="CZ178" s="56" t="s">
        <v>5034</v>
      </c>
      <c r="DA178" s="57"/>
      <c r="DB178" s="57"/>
      <c r="DC178" s="57"/>
      <c r="DD178" s="57"/>
      <c r="DE178" s="57"/>
      <c r="DF178" s="57"/>
      <c r="DG178" s="57"/>
      <c r="DH178" s="57"/>
      <c r="DI178" s="57"/>
      <c r="DJ178" s="57"/>
      <c r="DK178" s="58"/>
      <c r="DL178" s="59">
        <v>0</v>
      </c>
      <c r="DM178" s="60">
        <v>0</v>
      </c>
      <c r="DN178" s="61">
        <v>0</v>
      </c>
      <c r="DO178" s="60">
        <v>0</v>
      </c>
      <c r="DP178" s="60">
        <v>0</v>
      </c>
      <c r="DQ178" s="59">
        <v>0</v>
      </c>
      <c r="DR178" s="62" t="s">
        <v>5034</v>
      </c>
      <c r="DS178" s="62" t="s">
        <v>5034</v>
      </c>
      <c r="DU178" s="62" t="s">
        <v>5034</v>
      </c>
      <c r="DV178" s="63">
        <v>45595</v>
      </c>
      <c r="DW178" s="64">
        <v>2024</v>
      </c>
      <c r="DX178" s="65">
        <v>10</v>
      </c>
    </row>
    <row r="179" spans="2:128" ht="15" x14ac:dyDescent="0.25">
      <c r="B179" s="43" t="s">
        <v>5022</v>
      </c>
      <c r="C179" s="43" t="s">
        <v>4881</v>
      </c>
      <c r="D179" s="43" t="s">
        <v>4883</v>
      </c>
      <c r="E179" s="49">
        <v>45595</v>
      </c>
      <c r="F179" s="49"/>
      <c r="G179" s="50">
        <v>1</v>
      </c>
      <c r="H179" s="43" t="s">
        <v>4798</v>
      </c>
      <c r="I179" s="43" t="s">
        <v>5023</v>
      </c>
      <c r="J179" s="43"/>
      <c r="K179" s="43">
        <v>2</v>
      </c>
      <c r="L179" s="43">
        <v>3</v>
      </c>
      <c r="M179" s="43"/>
      <c r="N179" s="43" t="s">
        <v>5090</v>
      </c>
      <c r="O179" s="43"/>
      <c r="P179" s="43" t="s">
        <v>5147</v>
      </c>
      <c r="Q179" s="43"/>
      <c r="R179" s="43" t="s">
        <v>5025</v>
      </c>
      <c r="S179" s="43" t="s">
        <v>5026</v>
      </c>
      <c r="T179" s="51" t="s">
        <v>5027</v>
      </c>
      <c r="U179" s="52" t="s">
        <v>5028</v>
      </c>
      <c r="V179" s="53" t="s">
        <v>3896</v>
      </c>
      <c r="W179" s="54" t="s">
        <v>5034</v>
      </c>
      <c r="X179" s="55" t="s">
        <v>5034</v>
      </c>
      <c r="AI179" s="54"/>
      <c r="AJ179" s="56" t="s">
        <v>5034</v>
      </c>
      <c r="AK179" s="57"/>
      <c r="AL179" s="57"/>
      <c r="AM179" s="57"/>
      <c r="AN179" s="57"/>
      <c r="AO179" s="57"/>
      <c r="AP179" s="57"/>
      <c r="AQ179" s="57"/>
      <c r="AR179" s="57"/>
      <c r="AS179" s="57"/>
      <c r="AT179" s="57"/>
      <c r="AU179" s="57"/>
      <c r="AV179" s="57"/>
      <c r="AW179" s="57"/>
      <c r="AX179" s="57"/>
      <c r="AY179" s="57"/>
      <c r="AZ179" s="57"/>
      <c r="BA179" s="57"/>
      <c r="BB179" s="57"/>
      <c r="BC179" s="58"/>
      <c r="BD179" s="55" t="s">
        <v>5034</v>
      </c>
      <c r="BO179" s="54"/>
      <c r="BP179" s="56" t="s">
        <v>5034</v>
      </c>
      <c r="BQ179" s="57"/>
      <c r="BR179" s="57"/>
      <c r="BS179" s="57"/>
      <c r="BT179" s="57"/>
      <c r="BU179" s="57"/>
      <c r="BV179" s="57"/>
      <c r="BW179" s="57"/>
      <c r="BX179" s="57"/>
      <c r="BY179" s="57"/>
      <c r="BZ179" s="57"/>
      <c r="CA179" s="57"/>
      <c r="CB179" s="56" t="s">
        <v>5034</v>
      </c>
      <c r="CC179" s="57"/>
      <c r="CD179" s="57"/>
      <c r="CE179" s="57"/>
      <c r="CF179" s="57"/>
      <c r="CG179" s="57"/>
      <c r="CH179" s="57"/>
      <c r="CI179" s="57"/>
      <c r="CJ179" s="57"/>
      <c r="CK179" s="57"/>
      <c r="CL179" s="57"/>
      <c r="CM179" s="57"/>
      <c r="CN179" s="56" t="s">
        <v>5034</v>
      </c>
      <c r="CO179" s="57"/>
      <c r="CP179" s="57"/>
      <c r="CQ179" s="57"/>
      <c r="CR179" s="57"/>
      <c r="CS179" s="57"/>
      <c r="CT179" s="57"/>
      <c r="CU179" s="57"/>
      <c r="CV179" s="57"/>
      <c r="CW179" s="57"/>
      <c r="CX179" s="57"/>
      <c r="CY179" s="57"/>
      <c r="CZ179" s="56" t="s">
        <v>5034</v>
      </c>
      <c r="DA179" s="57"/>
      <c r="DB179" s="57"/>
      <c r="DC179" s="57"/>
      <c r="DD179" s="57"/>
      <c r="DE179" s="57"/>
      <c r="DF179" s="57"/>
      <c r="DG179" s="57"/>
      <c r="DH179" s="57"/>
      <c r="DI179" s="57"/>
      <c r="DJ179" s="57"/>
      <c r="DK179" s="58"/>
      <c r="DL179" s="59">
        <v>0</v>
      </c>
      <c r="DM179" s="60">
        <v>0</v>
      </c>
      <c r="DN179" s="61">
        <v>0</v>
      </c>
      <c r="DO179" s="60">
        <v>0</v>
      </c>
      <c r="DP179" s="60">
        <v>0</v>
      </c>
      <c r="DQ179" s="59">
        <v>0</v>
      </c>
      <c r="DR179" s="62" t="s">
        <v>5034</v>
      </c>
      <c r="DS179" s="62" t="s">
        <v>5034</v>
      </c>
      <c r="DU179" s="62" t="s">
        <v>5034</v>
      </c>
      <c r="DV179" s="63">
        <v>45595</v>
      </c>
      <c r="DW179" s="64">
        <v>2024</v>
      </c>
      <c r="DX179" s="65">
        <v>10</v>
      </c>
    </row>
    <row r="180" spans="2:128" ht="15" x14ac:dyDescent="0.25">
      <c r="B180" s="43" t="s">
        <v>5022</v>
      </c>
      <c r="C180" s="43" t="s">
        <v>4881</v>
      </c>
      <c r="D180" s="43" t="s">
        <v>4883</v>
      </c>
      <c r="E180" s="49">
        <v>45595</v>
      </c>
      <c r="F180" s="49"/>
      <c r="G180" s="50">
        <v>1</v>
      </c>
      <c r="H180" s="43" t="s">
        <v>4798</v>
      </c>
      <c r="I180" s="43" t="s">
        <v>5023</v>
      </c>
      <c r="J180" s="43"/>
      <c r="K180" s="43">
        <v>2</v>
      </c>
      <c r="L180" s="43">
        <v>3</v>
      </c>
      <c r="M180" s="43"/>
      <c r="N180" s="43" t="s">
        <v>5090</v>
      </c>
      <c r="O180" s="43"/>
      <c r="P180" s="43" t="s">
        <v>5147</v>
      </c>
      <c r="Q180" s="43"/>
      <c r="R180" s="43" t="s">
        <v>5025</v>
      </c>
      <c r="S180" s="43" t="s">
        <v>5026</v>
      </c>
      <c r="T180" s="51" t="s">
        <v>5027</v>
      </c>
      <c r="U180" s="52" t="s">
        <v>5028</v>
      </c>
      <c r="V180" s="53" t="s">
        <v>3896</v>
      </c>
      <c r="W180" s="54" t="s">
        <v>5034</v>
      </c>
      <c r="X180" s="55" t="s">
        <v>5034</v>
      </c>
      <c r="AI180" s="54"/>
      <c r="AJ180" s="56" t="s">
        <v>5034</v>
      </c>
      <c r="AK180" s="57"/>
      <c r="AL180" s="57"/>
      <c r="AM180" s="57"/>
      <c r="AN180" s="57"/>
      <c r="AO180" s="57"/>
      <c r="AP180" s="57"/>
      <c r="AQ180" s="57"/>
      <c r="AR180" s="57"/>
      <c r="AS180" s="57"/>
      <c r="AT180" s="57"/>
      <c r="AU180" s="57"/>
      <c r="AV180" s="57"/>
      <c r="AW180" s="57"/>
      <c r="AX180" s="57"/>
      <c r="AY180" s="57"/>
      <c r="AZ180" s="57"/>
      <c r="BA180" s="57"/>
      <c r="BB180" s="57"/>
      <c r="BC180" s="58"/>
      <c r="BD180" s="55" t="s">
        <v>5034</v>
      </c>
      <c r="BO180" s="54"/>
      <c r="BP180" s="56" t="s">
        <v>5034</v>
      </c>
      <c r="BQ180" s="57"/>
      <c r="BR180" s="57"/>
      <c r="BS180" s="57"/>
      <c r="BT180" s="57"/>
      <c r="BU180" s="57"/>
      <c r="BV180" s="57"/>
      <c r="BW180" s="57"/>
      <c r="BX180" s="57"/>
      <c r="BY180" s="57"/>
      <c r="BZ180" s="57"/>
      <c r="CA180" s="57"/>
      <c r="CB180" s="56" t="s">
        <v>5034</v>
      </c>
      <c r="CC180" s="57"/>
      <c r="CD180" s="57"/>
      <c r="CE180" s="57"/>
      <c r="CF180" s="57"/>
      <c r="CG180" s="57"/>
      <c r="CH180" s="57"/>
      <c r="CI180" s="57"/>
      <c r="CJ180" s="57"/>
      <c r="CK180" s="57"/>
      <c r="CL180" s="57"/>
      <c r="CM180" s="57"/>
      <c r="CN180" s="56" t="s">
        <v>5034</v>
      </c>
      <c r="CO180" s="57"/>
      <c r="CP180" s="57"/>
      <c r="CQ180" s="57"/>
      <c r="CR180" s="57"/>
      <c r="CS180" s="57"/>
      <c r="CT180" s="57"/>
      <c r="CU180" s="57"/>
      <c r="CV180" s="57"/>
      <c r="CW180" s="57"/>
      <c r="CX180" s="57"/>
      <c r="CY180" s="57"/>
      <c r="CZ180" s="56" t="s">
        <v>5034</v>
      </c>
      <c r="DA180" s="57"/>
      <c r="DB180" s="57"/>
      <c r="DC180" s="57"/>
      <c r="DD180" s="57"/>
      <c r="DE180" s="57"/>
      <c r="DF180" s="57"/>
      <c r="DG180" s="57"/>
      <c r="DH180" s="57"/>
      <c r="DI180" s="57"/>
      <c r="DJ180" s="57"/>
      <c r="DK180" s="58"/>
      <c r="DL180" s="59">
        <v>0</v>
      </c>
      <c r="DM180" s="60">
        <v>0</v>
      </c>
      <c r="DN180" s="61">
        <v>0</v>
      </c>
      <c r="DO180" s="60">
        <v>0</v>
      </c>
      <c r="DP180" s="60">
        <v>0</v>
      </c>
      <c r="DQ180" s="59">
        <v>0</v>
      </c>
      <c r="DR180" s="62" t="s">
        <v>5034</v>
      </c>
      <c r="DS180" s="62" t="s">
        <v>5034</v>
      </c>
      <c r="DU180" s="62" t="s">
        <v>5034</v>
      </c>
      <c r="DV180" s="63">
        <v>45595</v>
      </c>
      <c r="DW180" s="64">
        <v>2024</v>
      </c>
      <c r="DX180" s="65">
        <v>10</v>
      </c>
    </row>
    <row r="181" spans="2:128" ht="15" x14ac:dyDescent="0.25">
      <c r="B181" s="43" t="s">
        <v>5022</v>
      </c>
      <c r="C181" s="43" t="s">
        <v>4881</v>
      </c>
      <c r="D181" s="43" t="s">
        <v>4883</v>
      </c>
      <c r="E181" s="49">
        <v>45595</v>
      </c>
      <c r="F181" s="49"/>
      <c r="G181" s="50">
        <v>1</v>
      </c>
      <c r="H181" s="43" t="s">
        <v>4798</v>
      </c>
      <c r="I181" s="43" t="s">
        <v>5023</v>
      </c>
      <c r="J181" s="43"/>
      <c r="K181" s="43">
        <v>2</v>
      </c>
      <c r="L181" s="43">
        <v>3</v>
      </c>
      <c r="M181" s="43"/>
      <c r="N181" s="43" t="s">
        <v>5090</v>
      </c>
      <c r="O181" s="43"/>
      <c r="P181" s="43" t="s">
        <v>5147</v>
      </c>
      <c r="Q181" s="43"/>
      <c r="R181" s="43" t="s">
        <v>5025</v>
      </c>
      <c r="S181" s="43" t="s">
        <v>5026</v>
      </c>
      <c r="T181" s="51" t="s">
        <v>5027</v>
      </c>
      <c r="U181" s="52" t="s">
        <v>5028</v>
      </c>
      <c r="V181" s="53" t="s">
        <v>3896</v>
      </c>
      <c r="W181" s="54" t="s">
        <v>5034</v>
      </c>
      <c r="X181" s="55" t="s">
        <v>5034</v>
      </c>
      <c r="AI181" s="54"/>
      <c r="AJ181" s="56" t="s">
        <v>5034</v>
      </c>
      <c r="AK181" s="57"/>
      <c r="AL181" s="57"/>
      <c r="AM181" s="57"/>
      <c r="AN181" s="57"/>
      <c r="AO181" s="57"/>
      <c r="AP181" s="57"/>
      <c r="AQ181" s="57"/>
      <c r="AR181" s="57"/>
      <c r="AS181" s="57"/>
      <c r="AT181" s="57"/>
      <c r="AU181" s="57"/>
      <c r="AV181" s="57"/>
      <c r="AW181" s="57"/>
      <c r="AX181" s="57"/>
      <c r="AY181" s="57"/>
      <c r="AZ181" s="57"/>
      <c r="BA181" s="57"/>
      <c r="BB181" s="57"/>
      <c r="BC181" s="58"/>
      <c r="BD181" s="55" t="s">
        <v>5034</v>
      </c>
      <c r="BO181" s="54"/>
      <c r="BP181" s="56" t="s">
        <v>5034</v>
      </c>
      <c r="BQ181" s="57"/>
      <c r="BR181" s="57"/>
      <c r="BS181" s="57"/>
      <c r="BT181" s="57"/>
      <c r="BU181" s="57"/>
      <c r="BV181" s="57"/>
      <c r="BW181" s="57"/>
      <c r="BX181" s="57"/>
      <c r="BY181" s="57"/>
      <c r="BZ181" s="57"/>
      <c r="CA181" s="57"/>
      <c r="CB181" s="56" t="s">
        <v>5034</v>
      </c>
      <c r="CC181" s="57"/>
      <c r="CD181" s="57"/>
      <c r="CE181" s="57"/>
      <c r="CF181" s="57"/>
      <c r="CG181" s="57"/>
      <c r="CH181" s="57"/>
      <c r="CI181" s="57"/>
      <c r="CJ181" s="57"/>
      <c r="CK181" s="57"/>
      <c r="CL181" s="57"/>
      <c r="CM181" s="57"/>
      <c r="CN181" s="56" t="s">
        <v>5034</v>
      </c>
      <c r="CO181" s="57"/>
      <c r="CP181" s="57"/>
      <c r="CQ181" s="57"/>
      <c r="CR181" s="57"/>
      <c r="CS181" s="57"/>
      <c r="CT181" s="57"/>
      <c r="CU181" s="57"/>
      <c r="CV181" s="57"/>
      <c r="CW181" s="57"/>
      <c r="CX181" s="57"/>
      <c r="CY181" s="57"/>
      <c r="CZ181" s="56" t="s">
        <v>5034</v>
      </c>
      <c r="DA181" s="57"/>
      <c r="DB181" s="57"/>
      <c r="DC181" s="57"/>
      <c r="DD181" s="57"/>
      <c r="DE181" s="57"/>
      <c r="DF181" s="57"/>
      <c r="DG181" s="57"/>
      <c r="DH181" s="57"/>
      <c r="DI181" s="57"/>
      <c r="DJ181" s="57"/>
      <c r="DK181" s="58"/>
      <c r="DL181" s="59">
        <v>0</v>
      </c>
      <c r="DM181" s="60">
        <v>0</v>
      </c>
      <c r="DN181" s="61">
        <v>0</v>
      </c>
      <c r="DO181" s="60">
        <v>0</v>
      </c>
      <c r="DP181" s="60">
        <v>0</v>
      </c>
      <c r="DQ181" s="59">
        <v>0</v>
      </c>
      <c r="DR181" s="62" t="s">
        <v>5034</v>
      </c>
      <c r="DS181" s="62" t="s">
        <v>5034</v>
      </c>
      <c r="DU181" s="62" t="s">
        <v>5034</v>
      </c>
      <c r="DV181" s="63">
        <v>45595</v>
      </c>
      <c r="DW181" s="64">
        <v>2024</v>
      </c>
      <c r="DX181" s="65">
        <v>10</v>
      </c>
    </row>
    <row r="182" spans="2:128" ht="15" x14ac:dyDescent="0.25">
      <c r="B182" s="43" t="s">
        <v>5022</v>
      </c>
      <c r="C182" s="43" t="s">
        <v>4881</v>
      </c>
      <c r="D182" s="43" t="s">
        <v>4883</v>
      </c>
      <c r="E182" s="49">
        <v>45595</v>
      </c>
      <c r="F182" s="49"/>
      <c r="G182" s="50">
        <v>1</v>
      </c>
      <c r="H182" s="43" t="s">
        <v>4798</v>
      </c>
      <c r="I182" s="43" t="s">
        <v>5023</v>
      </c>
      <c r="J182" s="43"/>
      <c r="K182" s="43">
        <v>2</v>
      </c>
      <c r="L182" s="43">
        <v>3</v>
      </c>
      <c r="M182" s="43"/>
      <c r="N182" s="43" t="s">
        <v>5090</v>
      </c>
      <c r="O182" s="43"/>
      <c r="P182" s="43" t="s">
        <v>5147</v>
      </c>
      <c r="Q182" s="43"/>
      <c r="R182" s="43" t="s">
        <v>5025</v>
      </c>
      <c r="S182" s="43" t="s">
        <v>5026</v>
      </c>
      <c r="T182" s="51" t="s">
        <v>5027</v>
      </c>
      <c r="U182" s="52" t="s">
        <v>5028</v>
      </c>
      <c r="V182" s="53" t="s">
        <v>3896</v>
      </c>
      <c r="W182" s="54" t="s">
        <v>5034</v>
      </c>
      <c r="X182" s="55" t="s">
        <v>5034</v>
      </c>
      <c r="AI182" s="54"/>
      <c r="AJ182" s="56" t="s">
        <v>5034</v>
      </c>
      <c r="AK182" s="57"/>
      <c r="AL182" s="57"/>
      <c r="AM182" s="57"/>
      <c r="AN182" s="57"/>
      <c r="AO182" s="57"/>
      <c r="AP182" s="57"/>
      <c r="AQ182" s="57"/>
      <c r="AR182" s="57"/>
      <c r="AS182" s="57"/>
      <c r="AT182" s="57"/>
      <c r="AU182" s="57"/>
      <c r="AV182" s="57"/>
      <c r="AW182" s="57"/>
      <c r="AX182" s="57"/>
      <c r="AY182" s="57"/>
      <c r="AZ182" s="57"/>
      <c r="BA182" s="57"/>
      <c r="BB182" s="57"/>
      <c r="BC182" s="58"/>
      <c r="BD182" s="55" t="s">
        <v>5034</v>
      </c>
      <c r="BO182" s="54"/>
      <c r="BP182" s="56" t="s">
        <v>5034</v>
      </c>
      <c r="BQ182" s="57"/>
      <c r="BR182" s="57"/>
      <c r="BS182" s="57"/>
      <c r="BT182" s="57"/>
      <c r="BU182" s="57"/>
      <c r="BV182" s="57"/>
      <c r="BW182" s="57"/>
      <c r="BX182" s="57"/>
      <c r="BY182" s="57"/>
      <c r="BZ182" s="57"/>
      <c r="CA182" s="57"/>
      <c r="CB182" s="56" t="s">
        <v>5034</v>
      </c>
      <c r="CC182" s="57"/>
      <c r="CD182" s="57"/>
      <c r="CE182" s="57"/>
      <c r="CF182" s="57"/>
      <c r="CG182" s="57"/>
      <c r="CH182" s="57"/>
      <c r="CI182" s="57"/>
      <c r="CJ182" s="57"/>
      <c r="CK182" s="57"/>
      <c r="CL182" s="57"/>
      <c r="CM182" s="57"/>
      <c r="CN182" s="56" t="s">
        <v>5034</v>
      </c>
      <c r="CO182" s="57"/>
      <c r="CP182" s="57"/>
      <c r="CQ182" s="57"/>
      <c r="CR182" s="57"/>
      <c r="CS182" s="57"/>
      <c r="CT182" s="57"/>
      <c r="CU182" s="57"/>
      <c r="CV182" s="57"/>
      <c r="CW182" s="57"/>
      <c r="CX182" s="57"/>
      <c r="CY182" s="57"/>
      <c r="CZ182" s="56" t="s">
        <v>5034</v>
      </c>
      <c r="DA182" s="57"/>
      <c r="DB182" s="57"/>
      <c r="DC182" s="57"/>
      <c r="DD182" s="57"/>
      <c r="DE182" s="57"/>
      <c r="DF182" s="57"/>
      <c r="DG182" s="57"/>
      <c r="DH182" s="57"/>
      <c r="DI182" s="57"/>
      <c r="DJ182" s="57"/>
      <c r="DK182" s="58"/>
      <c r="DL182" s="59">
        <v>0</v>
      </c>
      <c r="DM182" s="60">
        <v>0</v>
      </c>
      <c r="DN182" s="61">
        <v>0</v>
      </c>
      <c r="DO182" s="60">
        <v>0</v>
      </c>
      <c r="DP182" s="60">
        <v>0</v>
      </c>
      <c r="DQ182" s="59">
        <v>0</v>
      </c>
      <c r="DR182" s="62" t="s">
        <v>5034</v>
      </c>
      <c r="DS182" s="62" t="s">
        <v>5034</v>
      </c>
      <c r="DU182" s="62" t="s">
        <v>5034</v>
      </c>
      <c r="DV182" s="63">
        <v>45595</v>
      </c>
      <c r="DW182" s="64">
        <v>2024</v>
      </c>
      <c r="DX182" s="65">
        <v>10</v>
      </c>
    </row>
    <row r="183" spans="2:128" ht="15" x14ac:dyDescent="0.25">
      <c r="B183" s="43" t="s">
        <v>5022</v>
      </c>
      <c r="C183" s="43" t="s">
        <v>4881</v>
      </c>
      <c r="D183" s="43" t="s">
        <v>4883</v>
      </c>
      <c r="E183" s="49">
        <v>45595</v>
      </c>
      <c r="F183" s="49"/>
      <c r="G183" s="50">
        <v>1</v>
      </c>
      <c r="H183" s="43" t="s">
        <v>4798</v>
      </c>
      <c r="I183" s="43" t="s">
        <v>5023</v>
      </c>
      <c r="J183" s="43"/>
      <c r="K183" s="43">
        <v>2</v>
      </c>
      <c r="L183" s="43">
        <v>3</v>
      </c>
      <c r="M183" s="43"/>
      <c r="N183" s="43" t="s">
        <v>5090</v>
      </c>
      <c r="O183" s="43"/>
      <c r="P183" s="43" t="s">
        <v>5147</v>
      </c>
      <c r="Q183" s="43"/>
      <c r="R183" s="43" t="s">
        <v>5025</v>
      </c>
      <c r="S183" s="43" t="s">
        <v>5026</v>
      </c>
      <c r="T183" s="51" t="s">
        <v>5027</v>
      </c>
      <c r="U183" s="52" t="s">
        <v>5028</v>
      </c>
      <c r="V183" s="53" t="s">
        <v>3896</v>
      </c>
      <c r="W183" s="54" t="s">
        <v>5034</v>
      </c>
      <c r="X183" s="55" t="s">
        <v>5034</v>
      </c>
      <c r="AI183" s="54"/>
      <c r="AJ183" s="56" t="s">
        <v>5034</v>
      </c>
      <c r="AK183" s="57"/>
      <c r="AL183" s="57"/>
      <c r="AM183" s="57"/>
      <c r="AN183" s="57"/>
      <c r="AO183" s="57"/>
      <c r="AP183" s="57"/>
      <c r="AQ183" s="57"/>
      <c r="AR183" s="57"/>
      <c r="AS183" s="57"/>
      <c r="AT183" s="57"/>
      <c r="AU183" s="57"/>
      <c r="AV183" s="57"/>
      <c r="AW183" s="57"/>
      <c r="AX183" s="57"/>
      <c r="AY183" s="57"/>
      <c r="AZ183" s="57"/>
      <c r="BA183" s="57"/>
      <c r="BB183" s="57"/>
      <c r="BC183" s="58"/>
      <c r="BD183" s="55" t="s">
        <v>5034</v>
      </c>
      <c r="BO183" s="54"/>
      <c r="BP183" s="56" t="s">
        <v>5034</v>
      </c>
      <c r="BQ183" s="57"/>
      <c r="BR183" s="57"/>
      <c r="BS183" s="57"/>
      <c r="BT183" s="57"/>
      <c r="BU183" s="57"/>
      <c r="BV183" s="57"/>
      <c r="BW183" s="57"/>
      <c r="BX183" s="57"/>
      <c r="BY183" s="57"/>
      <c r="BZ183" s="57"/>
      <c r="CA183" s="57"/>
      <c r="CB183" s="56" t="s">
        <v>5034</v>
      </c>
      <c r="CC183" s="57"/>
      <c r="CD183" s="57"/>
      <c r="CE183" s="57"/>
      <c r="CF183" s="57"/>
      <c r="CG183" s="57"/>
      <c r="CH183" s="57"/>
      <c r="CI183" s="57"/>
      <c r="CJ183" s="57"/>
      <c r="CK183" s="57"/>
      <c r="CL183" s="57"/>
      <c r="CM183" s="57"/>
      <c r="CN183" s="56" t="s">
        <v>5034</v>
      </c>
      <c r="CO183" s="57"/>
      <c r="CP183" s="57"/>
      <c r="CQ183" s="57"/>
      <c r="CR183" s="57"/>
      <c r="CS183" s="57"/>
      <c r="CT183" s="57"/>
      <c r="CU183" s="57"/>
      <c r="CV183" s="57"/>
      <c r="CW183" s="57"/>
      <c r="CX183" s="57"/>
      <c r="CY183" s="57"/>
      <c r="CZ183" s="56" t="s">
        <v>5034</v>
      </c>
      <c r="DA183" s="57"/>
      <c r="DB183" s="57"/>
      <c r="DC183" s="57"/>
      <c r="DD183" s="57"/>
      <c r="DE183" s="57"/>
      <c r="DF183" s="57"/>
      <c r="DG183" s="57"/>
      <c r="DH183" s="57"/>
      <c r="DI183" s="57"/>
      <c r="DJ183" s="57"/>
      <c r="DK183" s="58"/>
      <c r="DL183" s="59">
        <v>0</v>
      </c>
      <c r="DM183" s="60">
        <v>0</v>
      </c>
      <c r="DN183" s="61">
        <v>0</v>
      </c>
      <c r="DO183" s="60">
        <v>0</v>
      </c>
      <c r="DP183" s="60">
        <v>0</v>
      </c>
      <c r="DQ183" s="59">
        <v>0</v>
      </c>
      <c r="DR183" s="62" t="s">
        <v>5034</v>
      </c>
      <c r="DS183" s="62" t="s">
        <v>5034</v>
      </c>
      <c r="DU183" s="62" t="s">
        <v>5034</v>
      </c>
      <c r="DV183" s="63">
        <v>45595</v>
      </c>
      <c r="DW183" s="64">
        <v>2024</v>
      </c>
      <c r="DX183" s="65">
        <v>10</v>
      </c>
    </row>
    <row r="184" spans="2:128" ht="15" x14ac:dyDescent="0.25">
      <c r="B184" s="43" t="s">
        <v>5022</v>
      </c>
      <c r="C184" s="43" t="s">
        <v>4881</v>
      </c>
      <c r="D184" s="43" t="s">
        <v>4883</v>
      </c>
      <c r="E184" s="49">
        <v>45595</v>
      </c>
      <c r="F184" s="49"/>
      <c r="G184" s="50">
        <v>1</v>
      </c>
      <c r="H184" s="43" t="s">
        <v>4798</v>
      </c>
      <c r="I184" s="43" t="s">
        <v>5023</v>
      </c>
      <c r="J184" s="43"/>
      <c r="K184" s="43">
        <v>2</v>
      </c>
      <c r="L184" s="43">
        <v>3</v>
      </c>
      <c r="M184" s="43"/>
      <c r="N184" s="43" t="s">
        <v>5090</v>
      </c>
      <c r="O184" s="43"/>
      <c r="P184" s="43" t="s">
        <v>5147</v>
      </c>
      <c r="Q184" s="43"/>
      <c r="R184" s="43" t="s">
        <v>5025</v>
      </c>
      <c r="S184" s="43" t="s">
        <v>5026</v>
      </c>
      <c r="T184" s="51" t="s">
        <v>5027</v>
      </c>
      <c r="U184" s="52" t="s">
        <v>5028</v>
      </c>
      <c r="V184" s="53" t="s">
        <v>3896</v>
      </c>
      <c r="W184" s="54" t="s">
        <v>5034</v>
      </c>
      <c r="X184" s="55" t="s">
        <v>5034</v>
      </c>
      <c r="AI184" s="54"/>
      <c r="AJ184" s="56" t="s">
        <v>5034</v>
      </c>
      <c r="AK184" s="57"/>
      <c r="AL184" s="57"/>
      <c r="AM184" s="57"/>
      <c r="AN184" s="57"/>
      <c r="AO184" s="57"/>
      <c r="AP184" s="57"/>
      <c r="AQ184" s="57"/>
      <c r="AR184" s="57"/>
      <c r="AS184" s="57"/>
      <c r="AT184" s="57"/>
      <c r="AU184" s="57"/>
      <c r="AV184" s="57"/>
      <c r="AW184" s="57"/>
      <c r="AX184" s="57"/>
      <c r="AY184" s="57"/>
      <c r="AZ184" s="57"/>
      <c r="BA184" s="57"/>
      <c r="BB184" s="57"/>
      <c r="BC184" s="58"/>
      <c r="BD184" s="55" t="s">
        <v>5034</v>
      </c>
      <c r="BO184" s="54"/>
      <c r="BP184" s="56" t="s">
        <v>5034</v>
      </c>
      <c r="BQ184" s="57"/>
      <c r="BR184" s="57"/>
      <c r="BS184" s="57"/>
      <c r="BT184" s="57"/>
      <c r="BU184" s="57"/>
      <c r="BV184" s="57"/>
      <c r="BW184" s="57"/>
      <c r="BX184" s="57"/>
      <c r="BY184" s="57"/>
      <c r="BZ184" s="57"/>
      <c r="CA184" s="57"/>
      <c r="CB184" s="56" t="s">
        <v>5034</v>
      </c>
      <c r="CC184" s="57"/>
      <c r="CD184" s="57"/>
      <c r="CE184" s="57"/>
      <c r="CF184" s="57"/>
      <c r="CG184" s="57"/>
      <c r="CH184" s="57"/>
      <c r="CI184" s="57"/>
      <c r="CJ184" s="57"/>
      <c r="CK184" s="57"/>
      <c r="CL184" s="57"/>
      <c r="CM184" s="57"/>
      <c r="CN184" s="56" t="s">
        <v>5034</v>
      </c>
      <c r="CO184" s="57"/>
      <c r="CP184" s="57"/>
      <c r="CQ184" s="57"/>
      <c r="CR184" s="57"/>
      <c r="CS184" s="57"/>
      <c r="CT184" s="57"/>
      <c r="CU184" s="57"/>
      <c r="CV184" s="57"/>
      <c r="CW184" s="57"/>
      <c r="CX184" s="57"/>
      <c r="CY184" s="57"/>
      <c r="CZ184" s="56" t="s">
        <v>5034</v>
      </c>
      <c r="DA184" s="57"/>
      <c r="DB184" s="57"/>
      <c r="DC184" s="57"/>
      <c r="DD184" s="57"/>
      <c r="DE184" s="57"/>
      <c r="DF184" s="57"/>
      <c r="DG184" s="57"/>
      <c r="DH184" s="57"/>
      <c r="DI184" s="57"/>
      <c r="DJ184" s="57"/>
      <c r="DK184" s="58"/>
      <c r="DL184" s="59">
        <v>0</v>
      </c>
      <c r="DM184" s="60">
        <v>0</v>
      </c>
      <c r="DN184" s="61">
        <v>0</v>
      </c>
      <c r="DO184" s="60">
        <v>0</v>
      </c>
      <c r="DP184" s="60">
        <v>0</v>
      </c>
      <c r="DQ184" s="59">
        <v>0</v>
      </c>
      <c r="DR184" s="62" t="s">
        <v>5034</v>
      </c>
      <c r="DS184" s="62" t="s">
        <v>5034</v>
      </c>
      <c r="DU184" s="62" t="s">
        <v>5034</v>
      </c>
      <c r="DV184" s="63">
        <v>45595</v>
      </c>
      <c r="DW184" s="64">
        <v>2024</v>
      </c>
      <c r="DX184" s="65">
        <v>10</v>
      </c>
    </row>
    <row r="185" spans="2:128" ht="15" x14ac:dyDescent="0.25">
      <c r="B185" s="43" t="s">
        <v>5022</v>
      </c>
      <c r="C185" s="43" t="s">
        <v>4873</v>
      </c>
      <c r="D185" s="43" t="s">
        <v>1821</v>
      </c>
      <c r="E185" s="49">
        <v>45617</v>
      </c>
      <c r="F185" s="49"/>
      <c r="G185" s="50">
        <v>1</v>
      </c>
      <c r="H185" s="43" t="s">
        <v>4799</v>
      </c>
      <c r="I185" s="43" t="s">
        <v>5076</v>
      </c>
      <c r="J185" s="43">
        <v>6</v>
      </c>
      <c r="K185" s="43">
        <v>2</v>
      </c>
      <c r="L185" s="43">
        <v>3</v>
      </c>
      <c r="M185" s="43"/>
      <c r="N185" s="43"/>
      <c r="O185" s="43"/>
      <c r="P185" s="43" t="s">
        <v>1925</v>
      </c>
      <c r="Q185" s="43"/>
      <c r="R185" s="43" t="s">
        <v>5086</v>
      </c>
      <c r="S185" s="43" t="s">
        <v>5026</v>
      </c>
      <c r="T185" s="51" t="s">
        <v>5027</v>
      </c>
      <c r="U185" s="52" t="s">
        <v>5028</v>
      </c>
      <c r="V185" s="53" t="s">
        <v>3884</v>
      </c>
      <c r="W185" s="54" t="s">
        <v>1820</v>
      </c>
      <c r="X185" s="55" t="s">
        <v>4889</v>
      </c>
      <c r="Y185" t="s">
        <v>4800</v>
      </c>
      <c r="AI185" s="54"/>
      <c r="AJ185" s="56">
        <v>45740</v>
      </c>
      <c r="AK185" s="57">
        <v>45922</v>
      </c>
      <c r="AL185" s="57"/>
      <c r="AM185" s="57"/>
      <c r="AN185" s="57"/>
      <c r="AO185" s="57"/>
      <c r="AP185" s="57"/>
      <c r="AQ185" s="57"/>
      <c r="AR185" s="57"/>
      <c r="AS185" s="57"/>
      <c r="AT185" s="57"/>
      <c r="AU185" s="57"/>
      <c r="AV185" s="57"/>
      <c r="AW185" s="57"/>
      <c r="AX185" s="57"/>
      <c r="AY185" s="57"/>
      <c r="AZ185" s="57"/>
      <c r="BA185" s="57"/>
      <c r="BB185" s="57"/>
      <c r="BC185" s="58"/>
      <c r="BD185" s="55" t="s">
        <v>5030</v>
      </c>
      <c r="BE185" t="s">
        <v>5032</v>
      </c>
      <c r="BO185" s="54"/>
      <c r="BP185" s="56">
        <v>45712</v>
      </c>
      <c r="BQ185" s="57">
        <v>45894</v>
      </c>
      <c r="BR185" s="57"/>
      <c r="BS185" s="57"/>
      <c r="BT185" s="57"/>
      <c r="BU185" s="57"/>
      <c r="BV185" s="57"/>
      <c r="BW185" s="57"/>
      <c r="BX185" s="57"/>
      <c r="BY185" s="57"/>
      <c r="BZ185" s="57"/>
      <c r="CA185" s="57"/>
      <c r="CB185" s="56">
        <v>45730</v>
      </c>
      <c r="CC185" s="57">
        <v>45912</v>
      </c>
      <c r="CD185" s="57"/>
      <c r="CE185" s="57"/>
      <c r="CF185" s="57"/>
      <c r="CG185" s="57"/>
      <c r="CH185" s="57"/>
      <c r="CI185" s="57"/>
      <c r="CJ185" s="57"/>
      <c r="CK185" s="57"/>
      <c r="CL185" s="57"/>
      <c r="CM185" s="57"/>
      <c r="CN185" s="56">
        <v>45736</v>
      </c>
      <c r="CO185" s="57">
        <v>45918</v>
      </c>
      <c r="CP185" s="57"/>
      <c r="CQ185" s="57"/>
      <c r="CR185" s="57"/>
      <c r="CS185" s="57"/>
      <c r="CT185" s="57"/>
      <c r="CU185" s="57"/>
      <c r="CV185" s="57"/>
      <c r="CW185" s="57"/>
      <c r="CX185" s="57"/>
      <c r="CY185" s="57"/>
      <c r="CZ185" s="56" t="s">
        <v>5034</v>
      </c>
      <c r="DA185" s="57"/>
      <c r="DB185" s="57"/>
      <c r="DC185" s="57"/>
      <c r="DD185" s="57"/>
      <c r="DE185" s="57"/>
      <c r="DF185" s="57"/>
      <c r="DG185" s="57"/>
      <c r="DH185" s="57"/>
      <c r="DI185" s="57"/>
      <c r="DJ185" s="57"/>
      <c r="DK185" s="58"/>
      <c r="DL185" s="59">
        <v>2</v>
      </c>
      <c r="DM185" s="60">
        <v>2</v>
      </c>
      <c r="DN185" s="61">
        <v>2</v>
      </c>
      <c r="DO185" s="60">
        <v>2</v>
      </c>
      <c r="DP185" s="60">
        <v>0</v>
      </c>
      <c r="DQ185" s="59">
        <v>8</v>
      </c>
      <c r="DR185" s="62">
        <v>2099</v>
      </c>
      <c r="DS185" s="62" t="s">
        <v>5034</v>
      </c>
      <c r="DU185" s="62" t="s">
        <v>5034</v>
      </c>
      <c r="DV185" s="63">
        <v>45617</v>
      </c>
      <c r="DW185" s="64">
        <v>2024</v>
      </c>
      <c r="DX185" s="65">
        <v>11</v>
      </c>
    </row>
    <row r="186" spans="2:128" ht="15" x14ac:dyDescent="0.25">
      <c r="B186" s="43" t="s">
        <v>5022</v>
      </c>
      <c r="C186" s="43" t="s">
        <v>4881</v>
      </c>
      <c r="D186" s="43" t="s">
        <v>4884</v>
      </c>
      <c r="E186" s="66">
        <v>45638</v>
      </c>
      <c r="F186" s="49"/>
      <c r="G186" s="50">
        <v>1</v>
      </c>
      <c r="H186" s="43" t="s">
        <v>4798</v>
      </c>
      <c r="I186" s="43" t="s">
        <v>5023</v>
      </c>
      <c r="J186" s="43"/>
      <c r="K186" s="43">
        <v>2</v>
      </c>
      <c r="L186" s="43">
        <v>3</v>
      </c>
      <c r="M186" s="43"/>
      <c r="N186" s="43" t="s">
        <v>1820</v>
      </c>
      <c r="O186" s="43"/>
      <c r="P186" s="43" t="s">
        <v>5147</v>
      </c>
      <c r="Q186" s="43"/>
      <c r="R186" s="43" t="s">
        <v>5081</v>
      </c>
      <c r="S186" s="43" t="s">
        <v>5026</v>
      </c>
      <c r="T186" s="51" t="s">
        <v>5027</v>
      </c>
      <c r="U186" s="52" t="s">
        <v>5028</v>
      </c>
      <c r="V186" s="53" t="s">
        <v>3884</v>
      </c>
      <c r="W186" s="54" t="s">
        <v>4745</v>
      </c>
      <c r="X186" s="55" t="s">
        <v>4889</v>
      </c>
      <c r="Y186" t="s">
        <v>4896</v>
      </c>
      <c r="Z186" t="s">
        <v>4800</v>
      </c>
      <c r="AA186" t="s">
        <v>4891</v>
      </c>
      <c r="AI186" s="54"/>
      <c r="AJ186" s="56">
        <v>45740</v>
      </c>
      <c r="AK186" s="57">
        <v>45831</v>
      </c>
      <c r="AL186" s="57">
        <v>45922</v>
      </c>
      <c r="AM186" s="57">
        <v>46013</v>
      </c>
      <c r="AN186" s="57"/>
      <c r="AO186" s="57"/>
      <c r="AP186" s="57"/>
      <c r="AQ186" s="57"/>
      <c r="AR186" s="57"/>
      <c r="AS186" s="57"/>
      <c r="AT186" s="57"/>
      <c r="AU186" s="57"/>
      <c r="AV186" s="57"/>
      <c r="AW186" s="57"/>
      <c r="AX186" s="57"/>
      <c r="AY186" s="57"/>
      <c r="AZ186" s="57"/>
      <c r="BA186" s="57"/>
      <c r="BB186" s="57"/>
      <c r="BC186" s="58"/>
      <c r="BD186" s="55" t="s">
        <v>5030</v>
      </c>
      <c r="BE186" t="s">
        <v>5031</v>
      </c>
      <c r="BF186" t="s">
        <v>5032</v>
      </c>
      <c r="BG186" t="s">
        <v>5033</v>
      </c>
      <c r="BO186" s="54"/>
      <c r="BP186" s="56">
        <v>45712</v>
      </c>
      <c r="BQ186" s="57">
        <v>45803</v>
      </c>
      <c r="BR186" s="57">
        <v>45894</v>
      </c>
      <c r="BS186" s="57">
        <v>45985</v>
      </c>
      <c r="BT186" s="57"/>
      <c r="BU186" s="57"/>
      <c r="BV186" s="57"/>
      <c r="BW186" s="57"/>
      <c r="BX186" s="57"/>
      <c r="BY186" s="57"/>
      <c r="BZ186" s="57"/>
      <c r="CA186" s="57"/>
      <c r="CB186" s="56" t="s">
        <v>5034</v>
      </c>
      <c r="CC186" s="57"/>
      <c r="CD186" s="57"/>
      <c r="CE186" s="57"/>
      <c r="CF186" s="57"/>
      <c r="CG186" s="57"/>
      <c r="CH186" s="57"/>
      <c r="CI186" s="57"/>
      <c r="CJ186" s="57"/>
      <c r="CK186" s="57"/>
      <c r="CL186" s="57"/>
      <c r="CM186" s="57"/>
      <c r="CN186" s="56">
        <v>45736</v>
      </c>
      <c r="CO186" s="57">
        <v>45827</v>
      </c>
      <c r="CP186" s="57">
        <v>45918</v>
      </c>
      <c r="CQ186" s="57">
        <v>46009</v>
      </c>
      <c r="CR186" s="57"/>
      <c r="CS186" s="57"/>
      <c r="CT186" s="57"/>
      <c r="CU186" s="57"/>
      <c r="CV186" s="57"/>
      <c r="CW186" s="57"/>
      <c r="CX186" s="57"/>
      <c r="CY186" s="57"/>
      <c r="CZ186" s="56" t="s">
        <v>5034</v>
      </c>
      <c r="DA186" s="57"/>
      <c r="DB186" s="57"/>
      <c r="DC186" s="57"/>
      <c r="DD186" s="57"/>
      <c r="DE186" s="57"/>
      <c r="DF186" s="57"/>
      <c r="DG186" s="57"/>
      <c r="DH186" s="57"/>
      <c r="DI186" s="57"/>
      <c r="DJ186" s="57"/>
      <c r="DK186" s="58"/>
      <c r="DL186" s="59">
        <v>4</v>
      </c>
      <c r="DM186" s="60">
        <v>4</v>
      </c>
      <c r="DN186" s="61">
        <v>0</v>
      </c>
      <c r="DO186" s="60">
        <v>4</v>
      </c>
      <c r="DP186" s="60">
        <v>0</v>
      </c>
      <c r="DQ186" s="59">
        <v>12</v>
      </c>
      <c r="DR186" s="62">
        <v>2107</v>
      </c>
      <c r="DS186" s="62" t="s">
        <v>5034</v>
      </c>
      <c r="DU186" s="62" t="s">
        <v>5034</v>
      </c>
      <c r="DV186" s="63">
        <v>45639</v>
      </c>
      <c r="DW186" s="64">
        <v>2024</v>
      </c>
      <c r="DX186" s="65">
        <v>12</v>
      </c>
    </row>
    <row r="187" spans="2:128" ht="15" x14ac:dyDescent="0.25">
      <c r="B187" s="43" t="s">
        <v>5022</v>
      </c>
      <c r="C187" s="43" t="s">
        <v>4881</v>
      </c>
      <c r="D187" s="43" t="s">
        <v>4884</v>
      </c>
      <c r="E187" s="66">
        <v>45638</v>
      </c>
      <c r="F187" s="49"/>
      <c r="G187" s="50">
        <v>1</v>
      </c>
      <c r="H187" s="43" t="s">
        <v>4798</v>
      </c>
      <c r="I187" s="43" t="s">
        <v>5023</v>
      </c>
      <c r="J187" s="43"/>
      <c r="K187" s="43">
        <v>2</v>
      </c>
      <c r="L187" s="43">
        <v>3</v>
      </c>
      <c r="M187" s="43"/>
      <c r="N187" s="43" t="s">
        <v>1810</v>
      </c>
      <c r="O187" s="43"/>
      <c r="P187" s="43" t="s">
        <v>5147</v>
      </c>
      <c r="Q187" s="43"/>
      <c r="R187" s="43" t="s">
        <v>5081</v>
      </c>
      <c r="S187" s="43" t="s">
        <v>5026</v>
      </c>
      <c r="T187" s="51" t="s">
        <v>5027</v>
      </c>
      <c r="U187" s="52" t="s">
        <v>5028</v>
      </c>
      <c r="V187" s="53" t="s">
        <v>3896</v>
      </c>
      <c r="W187" s="54" t="s">
        <v>5034</v>
      </c>
      <c r="X187" s="55" t="s">
        <v>5034</v>
      </c>
      <c r="AI187" s="54"/>
      <c r="AJ187" s="56" t="s">
        <v>5034</v>
      </c>
      <c r="AK187" s="57"/>
      <c r="AL187" s="57"/>
      <c r="AM187" s="57"/>
      <c r="AN187" s="57"/>
      <c r="AO187" s="57"/>
      <c r="AP187" s="57"/>
      <c r="AQ187" s="57"/>
      <c r="AR187" s="57"/>
      <c r="AS187" s="57"/>
      <c r="AT187" s="57"/>
      <c r="AU187" s="57"/>
      <c r="AV187" s="57"/>
      <c r="AW187" s="57"/>
      <c r="AX187" s="57"/>
      <c r="AY187" s="57"/>
      <c r="AZ187" s="57"/>
      <c r="BA187" s="57"/>
      <c r="BB187" s="57"/>
      <c r="BC187" s="58"/>
      <c r="BD187" s="55" t="s">
        <v>5034</v>
      </c>
      <c r="BO187" s="54"/>
      <c r="BP187" s="56" t="s">
        <v>5034</v>
      </c>
      <c r="BQ187" s="57"/>
      <c r="BR187" s="57"/>
      <c r="BS187" s="57"/>
      <c r="BT187" s="57"/>
      <c r="BU187" s="57"/>
      <c r="BV187" s="57"/>
      <c r="BW187" s="57"/>
      <c r="BX187" s="57"/>
      <c r="BY187" s="57"/>
      <c r="BZ187" s="57"/>
      <c r="CA187" s="57"/>
      <c r="CB187" s="56" t="s">
        <v>5034</v>
      </c>
      <c r="CC187" s="57"/>
      <c r="CD187" s="57"/>
      <c r="CE187" s="57"/>
      <c r="CF187" s="57"/>
      <c r="CG187" s="57"/>
      <c r="CH187" s="57"/>
      <c r="CI187" s="57"/>
      <c r="CJ187" s="57"/>
      <c r="CK187" s="57"/>
      <c r="CL187" s="57"/>
      <c r="CM187" s="57"/>
      <c r="CN187" s="56" t="s">
        <v>5034</v>
      </c>
      <c r="CO187" s="57"/>
      <c r="CP187" s="57"/>
      <c r="CQ187" s="57"/>
      <c r="CR187" s="57"/>
      <c r="CS187" s="57"/>
      <c r="CT187" s="57"/>
      <c r="CU187" s="57"/>
      <c r="CV187" s="57"/>
      <c r="CW187" s="57"/>
      <c r="CX187" s="57"/>
      <c r="CY187" s="57"/>
      <c r="CZ187" s="56" t="s">
        <v>5034</v>
      </c>
      <c r="DA187" s="57"/>
      <c r="DB187" s="57"/>
      <c r="DC187" s="57"/>
      <c r="DD187" s="57"/>
      <c r="DE187" s="57"/>
      <c r="DF187" s="57"/>
      <c r="DG187" s="57"/>
      <c r="DH187" s="57"/>
      <c r="DI187" s="57"/>
      <c r="DJ187" s="57"/>
      <c r="DK187" s="58"/>
      <c r="DL187" s="59">
        <v>0</v>
      </c>
      <c r="DM187" s="60">
        <v>0</v>
      </c>
      <c r="DN187" s="61">
        <v>0</v>
      </c>
      <c r="DO187" s="60">
        <v>0</v>
      </c>
      <c r="DP187" s="60">
        <v>0</v>
      </c>
      <c r="DQ187" s="59">
        <v>0</v>
      </c>
      <c r="DR187" s="62" t="s">
        <v>5034</v>
      </c>
      <c r="DS187" s="62" t="s">
        <v>5034</v>
      </c>
      <c r="DU187" s="62" t="s">
        <v>5034</v>
      </c>
      <c r="DV187" s="63">
        <v>45639</v>
      </c>
      <c r="DW187" s="64">
        <v>2024</v>
      </c>
      <c r="DX187" s="65">
        <v>12</v>
      </c>
    </row>
    <row r="188" spans="2:128" ht="15" x14ac:dyDescent="0.25">
      <c r="B188" s="43" t="s">
        <v>5022</v>
      </c>
      <c r="C188" s="43" t="s">
        <v>4881</v>
      </c>
      <c r="D188" s="43" t="s">
        <v>4884</v>
      </c>
      <c r="E188" s="66">
        <v>45638</v>
      </c>
      <c r="F188" s="49"/>
      <c r="G188" s="50">
        <v>1</v>
      </c>
      <c r="H188" s="43" t="s">
        <v>4798</v>
      </c>
      <c r="I188" s="43" t="s">
        <v>5023</v>
      </c>
      <c r="J188" s="43"/>
      <c r="K188" s="43">
        <v>2</v>
      </c>
      <c r="L188" s="43">
        <v>3</v>
      </c>
      <c r="M188" s="43"/>
      <c r="N188" s="43" t="s">
        <v>1782</v>
      </c>
      <c r="O188" s="43"/>
      <c r="P188" s="43" t="s">
        <v>5147</v>
      </c>
      <c r="Q188" s="43"/>
      <c r="R188" s="43" t="s">
        <v>5081</v>
      </c>
      <c r="S188" s="43" t="s">
        <v>5026</v>
      </c>
      <c r="T188" s="51" t="s">
        <v>5027</v>
      </c>
      <c r="U188" s="52" t="s">
        <v>5028</v>
      </c>
      <c r="V188" s="53" t="s">
        <v>3896</v>
      </c>
      <c r="W188" s="54" t="s">
        <v>5034</v>
      </c>
      <c r="X188" s="55" t="s">
        <v>5034</v>
      </c>
      <c r="AI188" s="54"/>
      <c r="AJ188" s="56" t="s">
        <v>5034</v>
      </c>
      <c r="AK188" s="57"/>
      <c r="AL188" s="57"/>
      <c r="AM188" s="57"/>
      <c r="AN188" s="57"/>
      <c r="AO188" s="57"/>
      <c r="AP188" s="57"/>
      <c r="AQ188" s="57"/>
      <c r="AR188" s="57"/>
      <c r="AS188" s="57"/>
      <c r="AT188" s="57"/>
      <c r="AU188" s="57"/>
      <c r="AV188" s="57"/>
      <c r="AW188" s="57"/>
      <c r="AX188" s="57"/>
      <c r="AY188" s="57"/>
      <c r="AZ188" s="57"/>
      <c r="BA188" s="57"/>
      <c r="BB188" s="57"/>
      <c r="BC188" s="58"/>
      <c r="BD188" s="55" t="s">
        <v>5034</v>
      </c>
      <c r="BO188" s="54"/>
      <c r="BP188" s="56" t="s">
        <v>5034</v>
      </c>
      <c r="BQ188" s="57"/>
      <c r="BR188" s="57"/>
      <c r="BS188" s="57"/>
      <c r="BT188" s="57"/>
      <c r="BU188" s="57"/>
      <c r="BV188" s="57"/>
      <c r="BW188" s="57"/>
      <c r="BX188" s="57"/>
      <c r="BY188" s="57"/>
      <c r="BZ188" s="57"/>
      <c r="CA188" s="57"/>
      <c r="CB188" s="56" t="s">
        <v>5034</v>
      </c>
      <c r="CC188" s="57"/>
      <c r="CD188" s="57"/>
      <c r="CE188" s="57"/>
      <c r="CF188" s="57"/>
      <c r="CG188" s="57"/>
      <c r="CH188" s="57"/>
      <c r="CI188" s="57"/>
      <c r="CJ188" s="57"/>
      <c r="CK188" s="57"/>
      <c r="CL188" s="57"/>
      <c r="CM188" s="57"/>
      <c r="CN188" s="56" t="s">
        <v>5034</v>
      </c>
      <c r="CO188" s="57"/>
      <c r="CP188" s="57"/>
      <c r="CQ188" s="57"/>
      <c r="CR188" s="57"/>
      <c r="CS188" s="57"/>
      <c r="CT188" s="57"/>
      <c r="CU188" s="57"/>
      <c r="CV188" s="57"/>
      <c r="CW188" s="57"/>
      <c r="CX188" s="57"/>
      <c r="CY188" s="57"/>
      <c r="CZ188" s="56" t="s">
        <v>5034</v>
      </c>
      <c r="DA188" s="57"/>
      <c r="DB188" s="57"/>
      <c r="DC188" s="57"/>
      <c r="DD188" s="57"/>
      <c r="DE188" s="57"/>
      <c r="DF188" s="57"/>
      <c r="DG188" s="57"/>
      <c r="DH188" s="57"/>
      <c r="DI188" s="57"/>
      <c r="DJ188" s="57"/>
      <c r="DK188" s="58"/>
      <c r="DL188" s="59">
        <v>0</v>
      </c>
      <c r="DM188" s="60">
        <v>0</v>
      </c>
      <c r="DN188" s="61">
        <v>0</v>
      </c>
      <c r="DO188" s="60">
        <v>0</v>
      </c>
      <c r="DP188" s="60">
        <v>0</v>
      </c>
      <c r="DQ188" s="59">
        <v>0</v>
      </c>
      <c r="DR188" s="62" t="s">
        <v>5034</v>
      </c>
      <c r="DS188" s="62" t="s">
        <v>5034</v>
      </c>
      <c r="DU188" s="62" t="s">
        <v>5034</v>
      </c>
      <c r="DV188" s="63">
        <v>45639</v>
      </c>
      <c r="DW188" s="64">
        <v>2024</v>
      </c>
      <c r="DX188" s="65">
        <v>12</v>
      </c>
    </row>
    <row r="189" spans="2:128" ht="15" x14ac:dyDescent="0.25">
      <c r="B189" s="43" t="s">
        <v>5022</v>
      </c>
      <c r="C189" s="43" t="s">
        <v>4881</v>
      </c>
      <c r="D189" s="43" t="s">
        <v>4884</v>
      </c>
      <c r="E189" s="66">
        <v>45638</v>
      </c>
      <c r="F189" s="49"/>
      <c r="G189" s="50">
        <v>1</v>
      </c>
      <c r="H189" s="43" t="s">
        <v>4798</v>
      </c>
      <c r="I189" s="43" t="s">
        <v>5023</v>
      </c>
      <c r="J189" s="43"/>
      <c r="K189" s="43">
        <v>2</v>
      </c>
      <c r="L189" s="43">
        <v>3</v>
      </c>
      <c r="M189" s="43"/>
      <c r="N189" s="43" t="s">
        <v>1755</v>
      </c>
      <c r="O189" s="43"/>
      <c r="P189" s="43" t="s">
        <v>5147</v>
      </c>
      <c r="Q189" s="43"/>
      <c r="R189" s="43" t="s">
        <v>5081</v>
      </c>
      <c r="S189" s="43" t="s">
        <v>5026</v>
      </c>
      <c r="T189" s="51" t="s">
        <v>5027</v>
      </c>
      <c r="U189" s="52" t="s">
        <v>5028</v>
      </c>
      <c r="V189" s="53" t="s">
        <v>3896</v>
      </c>
      <c r="W189" s="54" t="s">
        <v>5034</v>
      </c>
      <c r="X189" s="55" t="s">
        <v>5034</v>
      </c>
      <c r="AI189" s="54"/>
      <c r="AJ189" s="56" t="s">
        <v>5034</v>
      </c>
      <c r="AK189" s="57"/>
      <c r="AL189" s="57"/>
      <c r="AM189" s="57"/>
      <c r="AN189" s="57"/>
      <c r="AO189" s="57"/>
      <c r="AP189" s="57"/>
      <c r="AQ189" s="57"/>
      <c r="AR189" s="57"/>
      <c r="AS189" s="57"/>
      <c r="AT189" s="57"/>
      <c r="AU189" s="57"/>
      <c r="AV189" s="57"/>
      <c r="AW189" s="57"/>
      <c r="AX189" s="57"/>
      <c r="AY189" s="57"/>
      <c r="AZ189" s="57"/>
      <c r="BA189" s="57"/>
      <c r="BB189" s="57"/>
      <c r="BC189" s="58"/>
      <c r="BD189" s="55" t="s">
        <v>5034</v>
      </c>
      <c r="BO189" s="54"/>
      <c r="BP189" s="56" t="s">
        <v>5034</v>
      </c>
      <c r="BQ189" s="57"/>
      <c r="BR189" s="57"/>
      <c r="BS189" s="57"/>
      <c r="BT189" s="57"/>
      <c r="BU189" s="57"/>
      <c r="BV189" s="57"/>
      <c r="BW189" s="57"/>
      <c r="BX189" s="57"/>
      <c r="BY189" s="57"/>
      <c r="BZ189" s="57"/>
      <c r="CA189" s="57"/>
      <c r="CB189" s="56" t="s">
        <v>5034</v>
      </c>
      <c r="CC189" s="57"/>
      <c r="CD189" s="57"/>
      <c r="CE189" s="57"/>
      <c r="CF189" s="57"/>
      <c r="CG189" s="57"/>
      <c r="CH189" s="57"/>
      <c r="CI189" s="57"/>
      <c r="CJ189" s="57"/>
      <c r="CK189" s="57"/>
      <c r="CL189" s="57"/>
      <c r="CM189" s="57"/>
      <c r="CN189" s="56" t="s">
        <v>5034</v>
      </c>
      <c r="CO189" s="57"/>
      <c r="CP189" s="57"/>
      <c r="CQ189" s="57"/>
      <c r="CR189" s="57"/>
      <c r="CS189" s="57"/>
      <c r="CT189" s="57"/>
      <c r="CU189" s="57"/>
      <c r="CV189" s="57"/>
      <c r="CW189" s="57"/>
      <c r="CX189" s="57"/>
      <c r="CY189" s="57"/>
      <c r="CZ189" s="56" t="s">
        <v>5034</v>
      </c>
      <c r="DA189" s="57"/>
      <c r="DB189" s="57"/>
      <c r="DC189" s="57"/>
      <c r="DD189" s="57"/>
      <c r="DE189" s="57"/>
      <c r="DF189" s="57"/>
      <c r="DG189" s="57"/>
      <c r="DH189" s="57"/>
      <c r="DI189" s="57"/>
      <c r="DJ189" s="57"/>
      <c r="DK189" s="58"/>
      <c r="DL189" s="59">
        <v>0</v>
      </c>
      <c r="DM189" s="60">
        <v>0</v>
      </c>
      <c r="DN189" s="61">
        <v>0</v>
      </c>
      <c r="DO189" s="60">
        <v>0</v>
      </c>
      <c r="DP189" s="60">
        <v>0</v>
      </c>
      <c r="DQ189" s="59">
        <v>0</v>
      </c>
      <c r="DR189" s="62" t="s">
        <v>5034</v>
      </c>
      <c r="DS189" s="62" t="s">
        <v>5034</v>
      </c>
      <c r="DU189" s="62" t="s">
        <v>5034</v>
      </c>
      <c r="DV189" s="63">
        <v>45639</v>
      </c>
      <c r="DW189" s="64">
        <v>2024</v>
      </c>
      <c r="DX189" s="65">
        <v>12</v>
      </c>
    </row>
    <row r="190" spans="2:128" ht="15" x14ac:dyDescent="0.25">
      <c r="B190" s="43" t="s">
        <v>5022</v>
      </c>
      <c r="C190" s="43" t="s">
        <v>4881</v>
      </c>
      <c r="D190" s="43" t="s">
        <v>4885</v>
      </c>
      <c r="E190" s="66">
        <v>45638</v>
      </c>
      <c r="F190" s="49"/>
      <c r="G190" s="50">
        <v>1</v>
      </c>
      <c r="H190" s="43" t="s">
        <v>4798</v>
      </c>
      <c r="I190" s="43" t="s">
        <v>5023</v>
      </c>
      <c r="J190" s="43"/>
      <c r="K190" s="43">
        <v>2</v>
      </c>
      <c r="L190" s="43">
        <v>3</v>
      </c>
      <c r="M190" s="43"/>
      <c r="N190" s="43" t="s">
        <v>839</v>
      </c>
      <c r="O190" s="43"/>
      <c r="P190" s="43" t="s">
        <v>5147</v>
      </c>
      <c r="Q190" s="43"/>
      <c r="R190" s="43" t="s">
        <v>5025</v>
      </c>
      <c r="S190" s="43" t="s">
        <v>5026</v>
      </c>
      <c r="T190" s="51" t="s">
        <v>5027</v>
      </c>
      <c r="U190" s="52" t="s">
        <v>5028</v>
      </c>
      <c r="V190" s="53" t="s">
        <v>3884</v>
      </c>
      <c r="W190" s="54" t="s">
        <v>4744</v>
      </c>
      <c r="X190" s="55" t="s">
        <v>4889</v>
      </c>
      <c r="Y190" t="s">
        <v>4896</v>
      </c>
      <c r="Z190" t="s">
        <v>4800</v>
      </c>
      <c r="AA190" t="s">
        <v>4891</v>
      </c>
      <c r="AI190" s="54"/>
      <c r="AJ190" s="56">
        <v>45740</v>
      </c>
      <c r="AK190" s="57">
        <v>45831</v>
      </c>
      <c r="AL190" s="57">
        <v>45922</v>
      </c>
      <c r="AM190" s="57">
        <v>46013</v>
      </c>
      <c r="AN190" s="57"/>
      <c r="AO190" s="57"/>
      <c r="AP190" s="57"/>
      <c r="AQ190" s="57"/>
      <c r="AR190" s="57"/>
      <c r="AS190" s="57"/>
      <c r="AT190" s="57"/>
      <c r="AU190" s="57"/>
      <c r="AV190" s="57"/>
      <c r="AW190" s="57"/>
      <c r="AX190" s="57"/>
      <c r="AY190" s="57"/>
      <c r="AZ190" s="57"/>
      <c r="BA190" s="57"/>
      <c r="BB190" s="57"/>
      <c r="BC190" s="58"/>
      <c r="BD190" s="55" t="s">
        <v>5030</v>
      </c>
      <c r="BE190" t="s">
        <v>5031</v>
      </c>
      <c r="BF190" t="s">
        <v>5032</v>
      </c>
      <c r="BG190" t="s">
        <v>5033</v>
      </c>
      <c r="BO190" s="54"/>
      <c r="BP190" s="56">
        <v>45712</v>
      </c>
      <c r="BQ190" s="57">
        <v>45803</v>
      </c>
      <c r="BR190" s="57">
        <v>45894</v>
      </c>
      <c r="BS190" s="57">
        <v>45985</v>
      </c>
      <c r="BT190" s="57"/>
      <c r="BU190" s="57"/>
      <c r="BV190" s="57"/>
      <c r="BW190" s="57"/>
      <c r="BX190" s="57"/>
      <c r="BY190" s="57"/>
      <c r="BZ190" s="57"/>
      <c r="CA190" s="57"/>
      <c r="CB190" s="56" t="s">
        <v>5034</v>
      </c>
      <c r="CC190" s="57"/>
      <c r="CD190" s="57"/>
      <c r="CE190" s="57"/>
      <c r="CF190" s="57"/>
      <c r="CG190" s="57"/>
      <c r="CH190" s="57"/>
      <c r="CI190" s="57"/>
      <c r="CJ190" s="57"/>
      <c r="CK190" s="57"/>
      <c r="CL190" s="57"/>
      <c r="CM190" s="57"/>
      <c r="CN190" s="56">
        <v>45736</v>
      </c>
      <c r="CO190" s="57">
        <v>45827</v>
      </c>
      <c r="CP190" s="57">
        <v>45918</v>
      </c>
      <c r="CQ190" s="57">
        <v>46009</v>
      </c>
      <c r="CR190" s="57"/>
      <c r="CS190" s="57"/>
      <c r="CT190" s="57"/>
      <c r="CU190" s="57"/>
      <c r="CV190" s="57"/>
      <c r="CW190" s="57"/>
      <c r="CX190" s="57"/>
      <c r="CY190" s="57"/>
      <c r="CZ190" s="56" t="s">
        <v>5034</v>
      </c>
      <c r="DA190" s="57"/>
      <c r="DB190" s="57"/>
      <c r="DC190" s="57"/>
      <c r="DD190" s="57"/>
      <c r="DE190" s="57"/>
      <c r="DF190" s="57"/>
      <c r="DG190" s="57"/>
      <c r="DH190" s="57"/>
      <c r="DI190" s="57"/>
      <c r="DJ190" s="57"/>
      <c r="DK190" s="58"/>
      <c r="DL190" s="59">
        <v>4</v>
      </c>
      <c r="DM190" s="60">
        <v>4</v>
      </c>
      <c r="DN190" s="61">
        <v>0</v>
      </c>
      <c r="DO190" s="60">
        <v>4</v>
      </c>
      <c r="DP190" s="60">
        <v>0</v>
      </c>
      <c r="DQ190" s="59">
        <v>12</v>
      </c>
      <c r="DR190" s="62">
        <v>2119</v>
      </c>
      <c r="DS190" s="62" t="s">
        <v>5034</v>
      </c>
      <c r="DU190" s="62" t="s">
        <v>5034</v>
      </c>
      <c r="DV190" s="63">
        <v>45639</v>
      </c>
      <c r="DW190" s="64">
        <v>2024</v>
      </c>
      <c r="DX190" s="65">
        <v>12</v>
      </c>
    </row>
    <row r="191" spans="2:128" ht="15" x14ac:dyDescent="0.25">
      <c r="B191" s="43" t="s">
        <v>5022</v>
      </c>
      <c r="C191" s="43" t="s">
        <v>4881</v>
      </c>
      <c r="D191" s="43" t="s">
        <v>4885</v>
      </c>
      <c r="E191" s="66">
        <v>45638</v>
      </c>
      <c r="F191" s="49"/>
      <c r="G191" s="50">
        <v>1</v>
      </c>
      <c r="H191" s="43" t="s">
        <v>4798</v>
      </c>
      <c r="I191" s="43" t="s">
        <v>5023</v>
      </c>
      <c r="J191" s="43"/>
      <c r="K191" s="43">
        <v>2</v>
      </c>
      <c r="L191" s="43">
        <v>3</v>
      </c>
      <c r="M191" s="43"/>
      <c r="N191" s="43" t="s">
        <v>839</v>
      </c>
      <c r="O191" s="43"/>
      <c r="P191" s="43" t="s">
        <v>5147</v>
      </c>
      <c r="Q191" s="43"/>
      <c r="R191" s="43" t="s">
        <v>5025</v>
      </c>
      <c r="S191" s="43" t="s">
        <v>5026</v>
      </c>
      <c r="T191" s="51" t="s">
        <v>5027</v>
      </c>
      <c r="U191" s="52" t="s">
        <v>5028</v>
      </c>
      <c r="V191" s="53" t="s">
        <v>3896</v>
      </c>
      <c r="W191" s="54" t="s">
        <v>5034</v>
      </c>
      <c r="X191" s="55" t="s">
        <v>5034</v>
      </c>
      <c r="AI191" s="54"/>
      <c r="AJ191" s="56" t="s">
        <v>5034</v>
      </c>
      <c r="AK191" s="57"/>
      <c r="AL191" s="57"/>
      <c r="AM191" s="57"/>
      <c r="AN191" s="57"/>
      <c r="AO191" s="57"/>
      <c r="AP191" s="57"/>
      <c r="AQ191" s="57"/>
      <c r="AR191" s="57"/>
      <c r="AS191" s="57"/>
      <c r="AT191" s="57"/>
      <c r="AU191" s="57"/>
      <c r="AV191" s="57"/>
      <c r="AW191" s="57"/>
      <c r="AX191" s="57"/>
      <c r="AY191" s="57"/>
      <c r="AZ191" s="57"/>
      <c r="BA191" s="57"/>
      <c r="BB191" s="57"/>
      <c r="BC191" s="58"/>
      <c r="BD191" s="55" t="s">
        <v>5034</v>
      </c>
      <c r="BO191" s="54"/>
      <c r="BP191" s="56" t="s">
        <v>5034</v>
      </c>
      <c r="BQ191" s="57"/>
      <c r="BR191" s="57"/>
      <c r="BS191" s="57"/>
      <c r="BT191" s="57"/>
      <c r="BU191" s="57"/>
      <c r="BV191" s="57"/>
      <c r="BW191" s="57"/>
      <c r="BX191" s="57"/>
      <c r="BY191" s="57"/>
      <c r="BZ191" s="57"/>
      <c r="CA191" s="57"/>
      <c r="CB191" s="56" t="s">
        <v>5034</v>
      </c>
      <c r="CC191" s="57"/>
      <c r="CD191" s="57"/>
      <c r="CE191" s="57"/>
      <c r="CF191" s="57"/>
      <c r="CG191" s="57"/>
      <c r="CH191" s="57"/>
      <c r="CI191" s="57"/>
      <c r="CJ191" s="57"/>
      <c r="CK191" s="57"/>
      <c r="CL191" s="57"/>
      <c r="CM191" s="57"/>
      <c r="CN191" s="56" t="s">
        <v>5034</v>
      </c>
      <c r="CO191" s="57"/>
      <c r="CP191" s="57"/>
      <c r="CQ191" s="57"/>
      <c r="CR191" s="57"/>
      <c r="CS191" s="57"/>
      <c r="CT191" s="57"/>
      <c r="CU191" s="57"/>
      <c r="CV191" s="57"/>
      <c r="CW191" s="57"/>
      <c r="CX191" s="57"/>
      <c r="CY191" s="57"/>
      <c r="CZ191" s="56" t="s">
        <v>5034</v>
      </c>
      <c r="DA191" s="57"/>
      <c r="DB191" s="57"/>
      <c r="DC191" s="57"/>
      <c r="DD191" s="57"/>
      <c r="DE191" s="57"/>
      <c r="DF191" s="57"/>
      <c r="DG191" s="57"/>
      <c r="DH191" s="57"/>
      <c r="DI191" s="57"/>
      <c r="DJ191" s="57"/>
      <c r="DK191" s="58"/>
      <c r="DL191" s="59">
        <v>0</v>
      </c>
      <c r="DM191" s="60">
        <v>0</v>
      </c>
      <c r="DN191" s="61">
        <v>0</v>
      </c>
      <c r="DO191" s="60">
        <v>0</v>
      </c>
      <c r="DP191" s="60">
        <v>0</v>
      </c>
      <c r="DQ191" s="59">
        <v>0</v>
      </c>
      <c r="DR191" s="62" t="s">
        <v>5034</v>
      </c>
      <c r="DS191" s="62" t="s">
        <v>5034</v>
      </c>
      <c r="DU191" s="62" t="s">
        <v>5034</v>
      </c>
      <c r="DV191" s="63">
        <v>45639</v>
      </c>
      <c r="DW191" s="64">
        <v>2024</v>
      </c>
      <c r="DX191" s="65">
        <v>12</v>
      </c>
    </row>
    <row r="192" spans="2:128" ht="15" x14ac:dyDescent="0.25">
      <c r="B192" s="43" t="s">
        <v>5022</v>
      </c>
      <c r="C192" s="43" t="s">
        <v>4881</v>
      </c>
      <c r="D192" s="43" t="s">
        <v>4885</v>
      </c>
      <c r="E192" s="66">
        <v>45638</v>
      </c>
      <c r="F192" s="49"/>
      <c r="G192" s="50">
        <v>1</v>
      </c>
      <c r="H192" s="43" t="s">
        <v>4798</v>
      </c>
      <c r="I192" s="43" t="s">
        <v>5023</v>
      </c>
      <c r="J192" s="43"/>
      <c r="K192" s="43">
        <v>2</v>
      </c>
      <c r="L192" s="43">
        <v>3</v>
      </c>
      <c r="M192" s="43"/>
      <c r="N192" s="43" t="s">
        <v>839</v>
      </c>
      <c r="O192" s="43"/>
      <c r="P192" s="43" t="s">
        <v>5147</v>
      </c>
      <c r="Q192" s="43"/>
      <c r="R192" s="43" t="s">
        <v>5025</v>
      </c>
      <c r="S192" s="43" t="s">
        <v>5026</v>
      </c>
      <c r="T192" s="51" t="s">
        <v>5027</v>
      </c>
      <c r="U192" s="52" t="s">
        <v>5028</v>
      </c>
      <c r="V192" s="53" t="s">
        <v>3896</v>
      </c>
      <c r="W192" s="54" t="s">
        <v>5034</v>
      </c>
      <c r="X192" s="55" t="s">
        <v>5034</v>
      </c>
      <c r="AI192" s="54"/>
      <c r="AJ192" s="56" t="s">
        <v>5034</v>
      </c>
      <c r="AK192" s="57"/>
      <c r="AL192" s="57"/>
      <c r="AM192" s="57"/>
      <c r="AN192" s="57"/>
      <c r="AO192" s="57"/>
      <c r="AP192" s="57"/>
      <c r="AQ192" s="57"/>
      <c r="AR192" s="57"/>
      <c r="AS192" s="57"/>
      <c r="AT192" s="57"/>
      <c r="AU192" s="57"/>
      <c r="AV192" s="57"/>
      <c r="AW192" s="57"/>
      <c r="AX192" s="57"/>
      <c r="AY192" s="57"/>
      <c r="AZ192" s="57"/>
      <c r="BA192" s="57"/>
      <c r="BB192" s="57"/>
      <c r="BC192" s="58"/>
      <c r="BD192" s="55" t="s">
        <v>5034</v>
      </c>
      <c r="BO192" s="54"/>
      <c r="BP192" s="56" t="s">
        <v>5034</v>
      </c>
      <c r="BQ192" s="57"/>
      <c r="BR192" s="57"/>
      <c r="BS192" s="57"/>
      <c r="BT192" s="57"/>
      <c r="BU192" s="57"/>
      <c r="BV192" s="57"/>
      <c r="BW192" s="57"/>
      <c r="BX192" s="57"/>
      <c r="BY192" s="57"/>
      <c r="BZ192" s="57"/>
      <c r="CA192" s="57"/>
      <c r="CB192" s="56" t="s">
        <v>5034</v>
      </c>
      <c r="CC192" s="57"/>
      <c r="CD192" s="57"/>
      <c r="CE192" s="57"/>
      <c r="CF192" s="57"/>
      <c r="CG192" s="57"/>
      <c r="CH192" s="57"/>
      <c r="CI192" s="57"/>
      <c r="CJ192" s="57"/>
      <c r="CK192" s="57"/>
      <c r="CL192" s="57"/>
      <c r="CM192" s="57"/>
      <c r="CN192" s="56" t="s">
        <v>5034</v>
      </c>
      <c r="CO192" s="57"/>
      <c r="CP192" s="57"/>
      <c r="CQ192" s="57"/>
      <c r="CR192" s="57"/>
      <c r="CS192" s="57"/>
      <c r="CT192" s="57"/>
      <c r="CU192" s="57"/>
      <c r="CV192" s="57"/>
      <c r="CW192" s="57"/>
      <c r="CX192" s="57"/>
      <c r="CY192" s="57"/>
      <c r="CZ192" s="56" t="s">
        <v>5034</v>
      </c>
      <c r="DA192" s="57"/>
      <c r="DB192" s="57"/>
      <c r="DC192" s="57"/>
      <c r="DD192" s="57"/>
      <c r="DE192" s="57"/>
      <c r="DF192" s="57"/>
      <c r="DG192" s="57"/>
      <c r="DH192" s="57"/>
      <c r="DI192" s="57"/>
      <c r="DJ192" s="57"/>
      <c r="DK192" s="58"/>
      <c r="DL192" s="59">
        <v>0</v>
      </c>
      <c r="DM192" s="60">
        <v>0</v>
      </c>
      <c r="DN192" s="61">
        <v>0</v>
      </c>
      <c r="DO192" s="60">
        <v>0</v>
      </c>
      <c r="DP192" s="60">
        <v>0</v>
      </c>
      <c r="DQ192" s="59">
        <v>0</v>
      </c>
      <c r="DR192" s="62" t="s">
        <v>5034</v>
      </c>
      <c r="DS192" s="62" t="s">
        <v>5034</v>
      </c>
      <c r="DU192" s="62" t="s">
        <v>5034</v>
      </c>
      <c r="DV192" s="63">
        <v>45639</v>
      </c>
      <c r="DW192" s="64">
        <v>2024</v>
      </c>
      <c r="DX192" s="65">
        <v>12</v>
      </c>
    </row>
    <row r="193" spans="2:128" ht="15" x14ac:dyDescent="0.25">
      <c r="B193" s="43" t="s">
        <v>5022</v>
      </c>
      <c r="C193" s="43" t="s">
        <v>4881</v>
      </c>
      <c r="D193" s="43" t="s">
        <v>4885</v>
      </c>
      <c r="E193" s="66">
        <v>45638</v>
      </c>
      <c r="F193" s="49"/>
      <c r="G193" s="50">
        <v>1</v>
      </c>
      <c r="H193" s="43" t="s">
        <v>4798</v>
      </c>
      <c r="I193" s="43" t="s">
        <v>5023</v>
      </c>
      <c r="J193" s="43"/>
      <c r="K193" s="43">
        <v>2</v>
      </c>
      <c r="L193" s="43">
        <v>3</v>
      </c>
      <c r="M193" s="43"/>
      <c r="N193" s="43" t="s">
        <v>839</v>
      </c>
      <c r="O193" s="43"/>
      <c r="P193" s="43" t="s">
        <v>5147</v>
      </c>
      <c r="Q193" s="43"/>
      <c r="R193" s="43" t="s">
        <v>5025</v>
      </c>
      <c r="S193" s="43" t="s">
        <v>5026</v>
      </c>
      <c r="T193" s="51" t="s">
        <v>5027</v>
      </c>
      <c r="U193" s="52" t="s">
        <v>5028</v>
      </c>
      <c r="V193" s="53" t="s">
        <v>3896</v>
      </c>
      <c r="W193" s="54" t="s">
        <v>5034</v>
      </c>
      <c r="X193" s="55" t="s">
        <v>5034</v>
      </c>
      <c r="AI193" s="54"/>
      <c r="AJ193" s="56" t="s">
        <v>5034</v>
      </c>
      <c r="AK193" s="57"/>
      <c r="AL193" s="57"/>
      <c r="AM193" s="57"/>
      <c r="AN193" s="57"/>
      <c r="AO193" s="57"/>
      <c r="AP193" s="57"/>
      <c r="AQ193" s="57"/>
      <c r="AR193" s="57"/>
      <c r="AS193" s="57"/>
      <c r="AT193" s="57"/>
      <c r="AU193" s="57"/>
      <c r="AV193" s="57"/>
      <c r="AW193" s="57"/>
      <c r="AX193" s="57"/>
      <c r="AY193" s="57"/>
      <c r="AZ193" s="57"/>
      <c r="BA193" s="57"/>
      <c r="BB193" s="57"/>
      <c r="BC193" s="58"/>
      <c r="BD193" s="55" t="s">
        <v>5034</v>
      </c>
      <c r="BO193" s="54"/>
      <c r="BP193" s="56" t="s">
        <v>5034</v>
      </c>
      <c r="BQ193" s="57"/>
      <c r="BR193" s="57"/>
      <c r="BS193" s="57"/>
      <c r="BT193" s="57"/>
      <c r="BU193" s="57"/>
      <c r="BV193" s="57"/>
      <c r="BW193" s="57"/>
      <c r="BX193" s="57"/>
      <c r="BY193" s="57"/>
      <c r="BZ193" s="57"/>
      <c r="CA193" s="57"/>
      <c r="CB193" s="56" t="s">
        <v>5034</v>
      </c>
      <c r="CC193" s="57"/>
      <c r="CD193" s="57"/>
      <c r="CE193" s="57"/>
      <c r="CF193" s="57"/>
      <c r="CG193" s="57"/>
      <c r="CH193" s="57"/>
      <c r="CI193" s="57"/>
      <c r="CJ193" s="57"/>
      <c r="CK193" s="57"/>
      <c r="CL193" s="57"/>
      <c r="CM193" s="57"/>
      <c r="CN193" s="56" t="s">
        <v>5034</v>
      </c>
      <c r="CO193" s="57"/>
      <c r="CP193" s="57"/>
      <c r="CQ193" s="57"/>
      <c r="CR193" s="57"/>
      <c r="CS193" s="57"/>
      <c r="CT193" s="57"/>
      <c r="CU193" s="57"/>
      <c r="CV193" s="57"/>
      <c r="CW193" s="57"/>
      <c r="CX193" s="57"/>
      <c r="CY193" s="57"/>
      <c r="CZ193" s="56" t="s">
        <v>5034</v>
      </c>
      <c r="DA193" s="57"/>
      <c r="DB193" s="57"/>
      <c r="DC193" s="57"/>
      <c r="DD193" s="57"/>
      <c r="DE193" s="57"/>
      <c r="DF193" s="57"/>
      <c r="DG193" s="57"/>
      <c r="DH193" s="57"/>
      <c r="DI193" s="57"/>
      <c r="DJ193" s="57"/>
      <c r="DK193" s="58"/>
      <c r="DL193" s="59">
        <v>0</v>
      </c>
      <c r="DM193" s="60">
        <v>0</v>
      </c>
      <c r="DN193" s="61">
        <v>0</v>
      </c>
      <c r="DO193" s="60">
        <v>0</v>
      </c>
      <c r="DP193" s="60">
        <v>0</v>
      </c>
      <c r="DQ193" s="59">
        <v>0</v>
      </c>
      <c r="DR193" s="62" t="s">
        <v>5034</v>
      </c>
      <c r="DS193" s="62" t="s">
        <v>5034</v>
      </c>
      <c r="DU193" s="62" t="s">
        <v>5034</v>
      </c>
      <c r="DV193" s="63">
        <v>45639</v>
      </c>
      <c r="DW193" s="64">
        <v>2024</v>
      </c>
      <c r="DX193" s="65">
        <v>12</v>
      </c>
    </row>
    <row r="194" spans="2:128" ht="15" x14ac:dyDescent="0.25">
      <c r="B194" s="43" t="s">
        <v>5022</v>
      </c>
      <c r="C194" s="43" t="s">
        <v>4881</v>
      </c>
      <c r="D194" s="43" t="s">
        <v>4885</v>
      </c>
      <c r="E194" s="66">
        <v>45638</v>
      </c>
      <c r="F194" s="49"/>
      <c r="G194" s="50">
        <v>1</v>
      </c>
      <c r="H194" s="43" t="s">
        <v>4798</v>
      </c>
      <c r="I194" s="43" t="s">
        <v>5023</v>
      </c>
      <c r="J194" s="43"/>
      <c r="K194" s="43">
        <v>2</v>
      </c>
      <c r="L194" s="43">
        <v>3</v>
      </c>
      <c r="M194" s="43"/>
      <c r="N194" s="43" t="s">
        <v>839</v>
      </c>
      <c r="O194" s="43"/>
      <c r="P194" s="43" t="s">
        <v>5147</v>
      </c>
      <c r="Q194" s="43"/>
      <c r="R194" s="43" t="s">
        <v>5025</v>
      </c>
      <c r="S194" s="43" t="s">
        <v>5026</v>
      </c>
      <c r="T194" s="51" t="s">
        <v>5027</v>
      </c>
      <c r="U194" s="52" t="s">
        <v>5028</v>
      </c>
      <c r="V194" s="53" t="s">
        <v>3896</v>
      </c>
      <c r="W194" s="54" t="s">
        <v>5034</v>
      </c>
      <c r="X194" s="55" t="s">
        <v>5034</v>
      </c>
      <c r="AI194" s="54"/>
      <c r="AJ194" s="56" t="s">
        <v>5034</v>
      </c>
      <c r="AK194" s="57"/>
      <c r="AL194" s="57"/>
      <c r="AM194" s="57"/>
      <c r="AN194" s="57"/>
      <c r="AO194" s="57"/>
      <c r="AP194" s="57"/>
      <c r="AQ194" s="57"/>
      <c r="AR194" s="57"/>
      <c r="AS194" s="57"/>
      <c r="AT194" s="57"/>
      <c r="AU194" s="57"/>
      <c r="AV194" s="57"/>
      <c r="AW194" s="57"/>
      <c r="AX194" s="57"/>
      <c r="AY194" s="57"/>
      <c r="AZ194" s="57"/>
      <c r="BA194" s="57"/>
      <c r="BB194" s="57"/>
      <c r="BC194" s="58"/>
      <c r="BD194" s="55" t="s">
        <v>5034</v>
      </c>
      <c r="BO194" s="54"/>
      <c r="BP194" s="56" t="s">
        <v>5034</v>
      </c>
      <c r="BQ194" s="57"/>
      <c r="BR194" s="57"/>
      <c r="BS194" s="57"/>
      <c r="BT194" s="57"/>
      <c r="BU194" s="57"/>
      <c r="BV194" s="57"/>
      <c r="BW194" s="57"/>
      <c r="BX194" s="57"/>
      <c r="BY194" s="57"/>
      <c r="BZ194" s="57"/>
      <c r="CA194" s="57"/>
      <c r="CB194" s="56" t="s">
        <v>5034</v>
      </c>
      <c r="CC194" s="57"/>
      <c r="CD194" s="57"/>
      <c r="CE194" s="57"/>
      <c r="CF194" s="57"/>
      <c r="CG194" s="57"/>
      <c r="CH194" s="57"/>
      <c r="CI194" s="57"/>
      <c r="CJ194" s="57"/>
      <c r="CK194" s="57"/>
      <c r="CL194" s="57"/>
      <c r="CM194" s="57"/>
      <c r="CN194" s="56" t="s">
        <v>5034</v>
      </c>
      <c r="CO194" s="57"/>
      <c r="CP194" s="57"/>
      <c r="CQ194" s="57"/>
      <c r="CR194" s="57"/>
      <c r="CS194" s="57"/>
      <c r="CT194" s="57"/>
      <c r="CU194" s="57"/>
      <c r="CV194" s="57"/>
      <c r="CW194" s="57"/>
      <c r="CX194" s="57"/>
      <c r="CY194" s="57"/>
      <c r="CZ194" s="56" t="s">
        <v>5034</v>
      </c>
      <c r="DA194" s="57"/>
      <c r="DB194" s="57"/>
      <c r="DC194" s="57"/>
      <c r="DD194" s="57"/>
      <c r="DE194" s="57"/>
      <c r="DF194" s="57"/>
      <c r="DG194" s="57"/>
      <c r="DH194" s="57"/>
      <c r="DI194" s="57"/>
      <c r="DJ194" s="57"/>
      <c r="DK194" s="58"/>
      <c r="DL194" s="59">
        <v>0</v>
      </c>
      <c r="DM194" s="60">
        <v>0</v>
      </c>
      <c r="DN194" s="61">
        <v>0</v>
      </c>
      <c r="DO194" s="60">
        <v>0</v>
      </c>
      <c r="DP194" s="60">
        <v>0</v>
      </c>
      <c r="DQ194" s="59">
        <v>0</v>
      </c>
      <c r="DR194" s="62" t="s">
        <v>5034</v>
      </c>
      <c r="DS194" s="62" t="s">
        <v>5034</v>
      </c>
      <c r="DU194" s="62" t="s">
        <v>5034</v>
      </c>
      <c r="DV194" s="63">
        <v>45639</v>
      </c>
      <c r="DW194" s="64">
        <v>2024</v>
      </c>
      <c r="DX194" s="65">
        <v>12</v>
      </c>
    </row>
    <row r="195" spans="2:128" ht="15" x14ac:dyDescent="0.25">
      <c r="B195" s="43" t="s">
        <v>5022</v>
      </c>
      <c r="C195" s="43" t="s">
        <v>4881</v>
      </c>
      <c r="D195" s="43" t="s">
        <v>4885</v>
      </c>
      <c r="E195" s="66">
        <v>45638</v>
      </c>
      <c r="F195" s="49"/>
      <c r="G195" s="50">
        <v>1</v>
      </c>
      <c r="H195" s="43" t="s">
        <v>4798</v>
      </c>
      <c r="I195" s="43" t="s">
        <v>5023</v>
      </c>
      <c r="J195" s="43"/>
      <c r="K195" s="43">
        <v>2</v>
      </c>
      <c r="L195" s="43">
        <v>3</v>
      </c>
      <c r="M195" s="43"/>
      <c r="N195" s="43" t="s">
        <v>839</v>
      </c>
      <c r="O195" s="43"/>
      <c r="P195" s="43" t="s">
        <v>5147</v>
      </c>
      <c r="Q195" s="43"/>
      <c r="R195" s="43" t="s">
        <v>5025</v>
      </c>
      <c r="S195" s="43" t="s">
        <v>5026</v>
      </c>
      <c r="T195" s="51" t="s">
        <v>5027</v>
      </c>
      <c r="U195" s="52" t="s">
        <v>5028</v>
      </c>
      <c r="V195" s="53" t="s">
        <v>3896</v>
      </c>
      <c r="W195" s="54" t="s">
        <v>5034</v>
      </c>
      <c r="X195" s="55" t="s">
        <v>5034</v>
      </c>
      <c r="AI195" s="54"/>
      <c r="AJ195" s="56" t="s">
        <v>5034</v>
      </c>
      <c r="AK195" s="57"/>
      <c r="AL195" s="57"/>
      <c r="AM195" s="57"/>
      <c r="AN195" s="57"/>
      <c r="AO195" s="57"/>
      <c r="AP195" s="57"/>
      <c r="AQ195" s="57"/>
      <c r="AR195" s="57"/>
      <c r="AS195" s="57"/>
      <c r="AT195" s="57"/>
      <c r="AU195" s="57"/>
      <c r="AV195" s="57"/>
      <c r="AW195" s="57"/>
      <c r="AX195" s="57"/>
      <c r="AY195" s="57"/>
      <c r="AZ195" s="57"/>
      <c r="BA195" s="57"/>
      <c r="BB195" s="57"/>
      <c r="BC195" s="58"/>
      <c r="BD195" s="55" t="s">
        <v>5034</v>
      </c>
      <c r="BO195" s="54"/>
      <c r="BP195" s="56" t="s">
        <v>5034</v>
      </c>
      <c r="BQ195" s="57"/>
      <c r="BR195" s="57"/>
      <c r="BS195" s="57"/>
      <c r="BT195" s="57"/>
      <c r="BU195" s="57"/>
      <c r="BV195" s="57"/>
      <c r="BW195" s="57"/>
      <c r="BX195" s="57"/>
      <c r="BY195" s="57"/>
      <c r="BZ195" s="57"/>
      <c r="CA195" s="57"/>
      <c r="CB195" s="56" t="s">
        <v>5034</v>
      </c>
      <c r="CC195" s="57"/>
      <c r="CD195" s="57"/>
      <c r="CE195" s="57"/>
      <c r="CF195" s="57"/>
      <c r="CG195" s="57"/>
      <c r="CH195" s="57"/>
      <c r="CI195" s="57"/>
      <c r="CJ195" s="57"/>
      <c r="CK195" s="57"/>
      <c r="CL195" s="57"/>
      <c r="CM195" s="57"/>
      <c r="CN195" s="56" t="s">
        <v>5034</v>
      </c>
      <c r="CO195" s="57"/>
      <c r="CP195" s="57"/>
      <c r="CQ195" s="57"/>
      <c r="CR195" s="57"/>
      <c r="CS195" s="57"/>
      <c r="CT195" s="57"/>
      <c r="CU195" s="57"/>
      <c r="CV195" s="57"/>
      <c r="CW195" s="57"/>
      <c r="CX195" s="57"/>
      <c r="CY195" s="57"/>
      <c r="CZ195" s="56" t="s">
        <v>5034</v>
      </c>
      <c r="DA195" s="57"/>
      <c r="DB195" s="57"/>
      <c r="DC195" s="57"/>
      <c r="DD195" s="57"/>
      <c r="DE195" s="57"/>
      <c r="DF195" s="57"/>
      <c r="DG195" s="57"/>
      <c r="DH195" s="57"/>
      <c r="DI195" s="57"/>
      <c r="DJ195" s="57"/>
      <c r="DK195" s="58"/>
      <c r="DL195" s="59">
        <v>0</v>
      </c>
      <c r="DM195" s="60">
        <v>0</v>
      </c>
      <c r="DN195" s="61">
        <v>0</v>
      </c>
      <c r="DO195" s="60">
        <v>0</v>
      </c>
      <c r="DP195" s="60">
        <v>0</v>
      </c>
      <c r="DQ195" s="59">
        <v>0</v>
      </c>
      <c r="DR195" s="62" t="s">
        <v>5034</v>
      </c>
      <c r="DS195" s="62" t="s">
        <v>5034</v>
      </c>
      <c r="DU195" s="62" t="s">
        <v>5034</v>
      </c>
      <c r="DV195" s="63">
        <v>45639</v>
      </c>
      <c r="DW195" s="64">
        <v>2024</v>
      </c>
      <c r="DX195" s="65">
        <v>12</v>
      </c>
    </row>
    <row r="196" spans="2:128" ht="15" x14ac:dyDescent="0.25">
      <c r="B196" s="43" t="s">
        <v>5022</v>
      </c>
      <c r="C196" s="43" t="s">
        <v>4881</v>
      </c>
      <c r="D196" s="43" t="s">
        <v>4885</v>
      </c>
      <c r="E196" s="66">
        <v>45638</v>
      </c>
      <c r="F196" s="49"/>
      <c r="G196" s="50">
        <v>1</v>
      </c>
      <c r="H196" s="43" t="s">
        <v>4798</v>
      </c>
      <c r="I196" s="43" t="s">
        <v>5023</v>
      </c>
      <c r="J196" s="43"/>
      <c r="K196" s="43">
        <v>2</v>
      </c>
      <c r="L196" s="43">
        <v>3</v>
      </c>
      <c r="M196" s="43"/>
      <c r="N196" s="43" t="s">
        <v>839</v>
      </c>
      <c r="O196" s="43"/>
      <c r="P196" s="43" t="s">
        <v>5147</v>
      </c>
      <c r="Q196" s="43"/>
      <c r="R196" s="43" t="s">
        <v>5025</v>
      </c>
      <c r="S196" s="43" t="s">
        <v>5026</v>
      </c>
      <c r="T196" s="51" t="s">
        <v>5027</v>
      </c>
      <c r="U196" s="52" t="s">
        <v>5028</v>
      </c>
      <c r="V196" s="53" t="s">
        <v>3896</v>
      </c>
      <c r="W196" s="54" t="s">
        <v>5034</v>
      </c>
      <c r="X196" s="55" t="s">
        <v>5034</v>
      </c>
      <c r="AI196" s="54"/>
      <c r="AJ196" s="56" t="s">
        <v>5034</v>
      </c>
      <c r="AK196" s="57"/>
      <c r="AL196" s="57"/>
      <c r="AM196" s="57"/>
      <c r="AN196" s="57"/>
      <c r="AO196" s="57"/>
      <c r="AP196" s="57"/>
      <c r="AQ196" s="57"/>
      <c r="AR196" s="57"/>
      <c r="AS196" s="57"/>
      <c r="AT196" s="57"/>
      <c r="AU196" s="57"/>
      <c r="AV196" s="57"/>
      <c r="AW196" s="57"/>
      <c r="AX196" s="57"/>
      <c r="AY196" s="57"/>
      <c r="AZ196" s="57"/>
      <c r="BA196" s="57"/>
      <c r="BB196" s="57"/>
      <c r="BC196" s="58"/>
      <c r="BD196" s="55" t="s">
        <v>5034</v>
      </c>
      <c r="BO196" s="54"/>
      <c r="BP196" s="56" t="s">
        <v>5034</v>
      </c>
      <c r="BQ196" s="57"/>
      <c r="BR196" s="57"/>
      <c r="BS196" s="57"/>
      <c r="BT196" s="57"/>
      <c r="BU196" s="57"/>
      <c r="BV196" s="57"/>
      <c r="BW196" s="57"/>
      <c r="BX196" s="57"/>
      <c r="BY196" s="57"/>
      <c r="BZ196" s="57"/>
      <c r="CA196" s="57"/>
      <c r="CB196" s="56" t="s">
        <v>5034</v>
      </c>
      <c r="CC196" s="57"/>
      <c r="CD196" s="57"/>
      <c r="CE196" s="57"/>
      <c r="CF196" s="57"/>
      <c r="CG196" s="57"/>
      <c r="CH196" s="57"/>
      <c r="CI196" s="57"/>
      <c r="CJ196" s="57"/>
      <c r="CK196" s="57"/>
      <c r="CL196" s="57"/>
      <c r="CM196" s="57"/>
      <c r="CN196" s="56" t="s">
        <v>5034</v>
      </c>
      <c r="CO196" s="57"/>
      <c r="CP196" s="57"/>
      <c r="CQ196" s="57"/>
      <c r="CR196" s="57"/>
      <c r="CS196" s="57"/>
      <c r="CT196" s="57"/>
      <c r="CU196" s="57"/>
      <c r="CV196" s="57"/>
      <c r="CW196" s="57"/>
      <c r="CX196" s="57"/>
      <c r="CY196" s="57"/>
      <c r="CZ196" s="56" t="s">
        <v>5034</v>
      </c>
      <c r="DA196" s="57"/>
      <c r="DB196" s="57"/>
      <c r="DC196" s="57"/>
      <c r="DD196" s="57"/>
      <c r="DE196" s="57"/>
      <c r="DF196" s="57"/>
      <c r="DG196" s="57"/>
      <c r="DH196" s="57"/>
      <c r="DI196" s="57"/>
      <c r="DJ196" s="57"/>
      <c r="DK196" s="58"/>
      <c r="DL196" s="59">
        <v>0</v>
      </c>
      <c r="DM196" s="60">
        <v>0</v>
      </c>
      <c r="DN196" s="61">
        <v>0</v>
      </c>
      <c r="DO196" s="60">
        <v>0</v>
      </c>
      <c r="DP196" s="60">
        <v>0</v>
      </c>
      <c r="DQ196" s="59">
        <v>0</v>
      </c>
      <c r="DR196" s="62" t="s">
        <v>5034</v>
      </c>
      <c r="DS196" s="62" t="s">
        <v>5034</v>
      </c>
      <c r="DU196" s="62" t="s">
        <v>5034</v>
      </c>
      <c r="DV196" s="63">
        <v>45639</v>
      </c>
      <c r="DW196" s="64">
        <v>2024</v>
      </c>
      <c r="DX196" s="65">
        <v>12</v>
      </c>
    </row>
    <row r="197" spans="2:128" ht="15" x14ac:dyDescent="0.25">
      <c r="B197" s="43" t="s">
        <v>5022</v>
      </c>
      <c r="C197" s="43" t="s">
        <v>4881</v>
      </c>
      <c r="D197" s="43" t="s">
        <v>4885</v>
      </c>
      <c r="E197" s="66">
        <v>45638</v>
      </c>
      <c r="F197" s="49"/>
      <c r="G197" s="50">
        <v>1</v>
      </c>
      <c r="H197" s="43" t="s">
        <v>4798</v>
      </c>
      <c r="I197" s="43" t="s">
        <v>5023</v>
      </c>
      <c r="J197" s="43"/>
      <c r="K197" s="43">
        <v>2</v>
      </c>
      <c r="L197" s="43">
        <v>3</v>
      </c>
      <c r="M197" s="43"/>
      <c r="N197" s="43" t="s">
        <v>839</v>
      </c>
      <c r="O197" s="43"/>
      <c r="P197" s="43" t="s">
        <v>5147</v>
      </c>
      <c r="Q197" s="43"/>
      <c r="R197" s="43" t="s">
        <v>5025</v>
      </c>
      <c r="S197" s="43" t="s">
        <v>5026</v>
      </c>
      <c r="T197" s="51" t="s">
        <v>5027</v>
      </c>
      <c r="U197" s="52" t="s">
        <v>5028</v>
      </c>
      <c r="V197" s="53" t="s">
        <v>3896</v>
      </c>
      <c r="W197" s="54" t="s">
        <v>5034</v>
      </c>
      <c r="X197" s="55" t="s">
        <v>5034</v>
      </c>
      <c r="AI197" s="54"/>
      <c r="AJ197" s="56" t="s">
        <v>5034</v>
      </c>
      <c r="AK197" s="57"/>
      <c r="AL197" s="57"/>
      <c r="AM197" s="57"/>
      <c r="AN197" s="57"/>
      <c r="AO197" s="57"/>
      <c r="AP197" s="57"/>
      <c r="AQ197" s="57"/>
      <c r="AR197" s="57"/>
      <c r="AS197" s="57"/>
      <c r="AT197" s="57"/>
      <c r="AU197" s="57"/>
      <c r="AV197" s="57"/>
      <c r="AW197" s="57"/>
      <c r="AX197" s="57"/>
      <c r="AY197" s="57"/>
      <c r="AZ197" s="57"/>
      <c r="BA197" s="57"/>
      <c r="BB197" s="57"/>
      <c r="BC197" s="58"/>
      <c r="BD197" s="55" t="s">
        <v>5034</v>
      </c>
      <c r="BO197" s="54"/>
      <c r="BP197" s="56" t="s">
        <v>5034</v>
      </c>
      <c r="BQ197" s="57"/>
      <c r="BR197" s="57"/>
      <c r="BS197" s="57"/>
      <c r="BT197" s="57"/>
      <c r="BU197" s="57"/>
      <c r="BV197" s="57"/>
      <c r="BW197" s="57"/>
      <c r="BX197" s="57"/>
      <c r="BY197" s="57"/>
      <c r="BZ197" s="57"/>
      <c r="CA197" s="57"/>
      <c r="CB197" s="56" t="s">
        <v>5034</v>
      </c>
      <c r="CC197" s="57"/>
      <c r="CD197" s="57"/>
      <c r="CE197" s="57"/>
      <c r="CF197" s="57"/>
      <c r="CG197" s="57"/>
      <c r="CH197" s="57"/>
      <c r="CI197" s="57"/>
      <c r="CJ197" s="57"/>
      <c r="CK197" s="57"/>
      <c r="CL197" s="57"/>
      <c r="CM197" s="57"/>
      <c r="CN197" s="56" t="s">
        <v>5034</v>
      </c>
      <c r="CO197" s="57"/>
      <c r="CP197" s="57"/>
      <c r="CQ197" s="57"/>
      <c r="CR197" s="57"/>
      <c r="CS197" s="57"/>
      <c r="CT197" s="57"/>
      <c r="CU197" s="57"/>
      <c r="CV197" s="57"/>
      <c r="CW197" s="57"/>
      <c r="CX197" s="57"/>
      <c r="CY197" s="57"/>
      <c r="CZ197" s="56" t="s">
        <v>5034</v>
      </c>
      <c r="DA197" s="57"/>
      <c r="DB197" s="57"/>
      <c r="DC197" s="57"/>
      <c r="DD197" s="57"/>
      <c r="DE197" s="57"/>
      <c r="DF197" s="57"/>
      <c r="DG197" s="57"/>
      <c r="DH197" s="57"/>
      <c r="DI197" s="57"/>
      <c r="DJ197" s="57"/>
      <c r="DK197" s="58"/>
      <c r="DL197" s="59">
        <v>0</v>
      </c>
      <c r="DM197" s="60">
        <v>0</v>
      </c>
      <c r="DN197" s="61">
        <v>0</v>
      </c>
      <c r="DO197" s="60">
        <v>0</v>
      </c>
      <c r="DP197" s="60">
        <v>0</v>
      </c>
      <c r="DQ197" s="59">
        <v>0</v>
      </c>
      <c r="DR197" s="62" t="s">
        <v>5034</v>
      </c>
      <c r="DS197" s="62" t="s">
        <v>5034</v>
      </c>
      <c r="DU197" s="62" t="s">
        <v>5034</v>
      </c>
      <c r="DV197" s="63">
        <v>45639</v>
      </c>
      <c r="DW197" s="64">
        <v>2024</v>
      </c>
      <c r="DX197" s="65">
        <v>12</v>
      </c>
    </row>
    <row r="198" spans="2:128" ht="15" x14ac:dyDescent="0.25">
      <c r="B198" s="43" t="s">
        <v>5022</v>
      </c>
      <c r="C198" s="43" t="s">
        <v>4881</v>
      </c>
      <c r="D198" s="43" t="s">
        <v>4885</v>
      </c>
      <c r="E198" s="66">
        <v>45638</v>
      </c>
      <c r="F198" s="49"/>
      <c r="G198" s="50">
        <v>1</v>
      </c>
      <c r="H198" s="43" t="s">
        <v>4798</v>
      </c>
      <c r="I198" s="43" t="s">
        <v>5023</v>
      </c>
      <c r="J198" s="43"/>
      <c r="K198" s="43">
        <v>2</v>
      </c>
      <c r="L198" s="43">
        <v>3</v>
      </c>
      <c r="M198" s="43"/>
      <c r="N198" s="43" t="s">
        <v>839</v>
      </c>
      <c r="O198" s="43"/>
      <c r="P198" s="43" t="s">
        <v>5147</v>
      </c>
      <c r="Q198" s="43"/>
      <c r="R198" s="43" t="s">
        <v>5025</v>
      </c>
      <c r="S198" s="43" t="s">
        <v>5026</v>
      </c>
      <c r="T198" s="51" t="s">
        <v>5027</v>
      </c>
      <c r="U198" s="52" t="s">
        <v>5028</v>
      </c>
      <c r="V198" s="53" t="s">
        <v>3896</v>
      </c>
      <c r="W198" s="54" t="s">
        <v>5034</v>
      </c>
      <c r="X198" s="55" t="s">
        <v>5034</v>
      </c>
      <c r="AI198" s="54"/>
      <c r="AJ198" s="56" t="s">
        <v>5034</v>
      </c>
      <c r="AK198" s="57"/>
      <c r="AL198" s="57"/>
      <c r="AM198" s="57"/>
      <c r="AN198" s="57"/>
      <c r="AO198" s="57"/>
      <c r="AP198" s="57"/>
      <c r="AQ198" s="57"/>
      <c r="AR198" s="57"/>
      <c r="AS198" s="57"/>
      <c r="AT198" s="57"/>
      <c r="AU198" s="57"/>
      <c r="AV198" s="57"/>
      <c r="AW198" s="57"/>
      <c r="AX198" s="57"/>
      <c r="AY198" s="57"/>
      <c r="AZ198" s="57"/>
      <c r="BA198" s="57"/>
      <c r="BB198" s="57"/>
      <c r="BC198" s="58"/>
      <c r="BD198" s="55" t="s">
        <v>5034</v>
      </c>
      <c r="BO198" s="54"/>
      <c r="BP198" s="56" t="s">
        <v>5034</v>
      </c>
      <c r="BQ198" s="57"/>
      <c r="BR198" s="57"/>
      <c r="BS198" s="57"/>
      <c r="BT198" s="57"/>
      <c r="BU198" s="57"/>
      <c r="BV198" s="57"/>
      <c r="BW198" s="57"/>
      <c r="BX198" s="57"/>
      <c r="BY198" s="57"/>
      <c r="BZ198" s="57"/>
      <c r="CA198" s="57"/>
      <c r="CB198" s="56" t="s">
        <v>5034</v>
      </c>
      <c r="CC198" s="57"/>
      <c r="CD198" s="57"/>
      <c r="CE198" s="57"/>
      <c r="CF198" s="57"/>
      <c r="CG198" s="57"/>
      <c r="CH198" s="57"/>
      <c r="CI198" s="57"/>
      <c r="CJ198" s="57"/>
      <c r="CK198" s="57"/>
      <c r="CL198" s="57"/>
      <c r="CM198" s="57"/>
      <c r="CN198" s="56" t="s">
        <v>5034</v>
      </c>
      <c r="CO198" s="57"/>
      <c r="CP198" s="57"/>
      <c r="CQ198" s="57"/>
      <c r="CR198" s="57"/>
      <c r="CS198" s="57"/>
      <c r="CT198" s="57"/>
      <c r="CU198" s="57"/>
      <c r="CV198" s="57"/>
      <c r="CW198" s="57"/>
      <c r="CX198" s="57"/>
      <c r="CY198" s="57"/>
      <c r="CZ198" s="56" t="s">
        <v>5034</v>
      </c>
      <c r="DA198" s="57"/>
      <c r="DB198" s="57"/>
      <c r="DC198" s="57"/>
      <c r="DD198" s="57"/>
      <c r="DE198" s="57"/>
      <c r="DF198" s="57"/>
      <c r="DG198" s="57"/>
      <c r="DH198" s="57"/>
      <c r="DI198" s="57"/>
      <c r="DJ198" s="57"/>
      <c r="DK198" s="58"/>
      <c r="DL198" s="59">
        <v>0</v>
      </c>
      <c r="DM198" s="60">
        <v>0</v>
      </c>
      <c r="DN198" s="61">
        <v>0</v>
      </c>
      <c r="DO198" s="60">
        <v>0</v>
      </c>
      <c r="DP198" s="60">
        <v>0</v>
      </c>
      <c r="DQ198" s="59">
        <v>0</v>
      </c>
      <c r="DR198" s="62" t="s">
        <v>5034</v>
      </c>
      <c r="DS198" s="62" t="s">
        <v>5034</v>
      </c>
      <c r="DU198" s="62" t="s">
        <v>5034</v>
      </c>
      <c r="DV198" s="63">
        <v>45639</v>
      </c>
      <c r="DW198" s="64">
        <v>2024</v>
      </c>
      <c r="DX198" s="65">
        <v>12</v>
      </c>
    </row>
    <row r="199" spans="2:128" ht="15" x14ac:dyDescent="0.25">
      <c r="B199" s="43" t="s">
        <v>5022</v>
      </c>
      <c r="C199" s="43" t="s">
        <v>4881</v>
      </c>
      <c r="D199" s="43" t="s">
        <v>4885</v>
      </c>
      <c r="E199" s="66">
        <v>45638</v>
      </c>
      <c r="F199" s="49"/>
      <c r="G199" s="50">
        <v>1</v>
      </c>
      <c r="H199" s="43" t="s">
        <v>4798</v>
      </c>
      <c r="I199" s="43" t="s">
        <v>5023</v>
      </c>
      <c r="J199" s="43"/>
      <c r="K199" s="43">
        <v>2</v>
      </c>
      <c r="L199" s="43">
        <v>3</v>
      </c>
      <c r="M199" s="43"/>
      <c r="N199" s="43" t="s">
        <v>839</v>
      </c>
      <c r="O199" s="43"/>
      <c r="P199" s="43" t="s">
        <v>5147</v>
      </c>
      <c r="Q199" s="43"/>
      <c r="R199" s="43" t="s">
        <v>5025</v>
      </c>
      <c r="S199" s="43" t="s">
        <v>5026</v>
      </c>
      <c r="T199" s="51" t="s">
        <v>5027</v>
      </c>
      <c r="U199" s="52" t="s">
        <v>5028</v>
      </c>
      <c r="V199" s="53" t="s">
        <v>3896</v>
      </c>
      <c r="W199" s="54" t="s">
        <v>5034</v>
      </c>
      <c r="X199" s="55" t="s">
        <v>5034</v>
      </c>
      <c r="AI199" s="54"/>
      <c r="AJ199" s="56" t="s">
        <v>5034</v>
      </c>
      <c r="AK199" s="57"/>
      <c r="AL199" s="57"/>
      <c r="AM199" s="57"/>
      <c r="AN199" s="57"/>
      <c r="AO199" s="57"/>
      <c r="AP199" s="57"/>
      <c r="AQ199" s="57"/>
      <c r="AR199" s="57"/>
      <c r="AS199" s="57"/>
      <c r="AT199" s="57"/>
      <c r="AU199" s="57"/>
      <c r="AV199" s="57"/>
      <c r="AW199" s="57"/>
      <c r="AX199" s="57"/>
      <c r="AY199" s="57"/>
      <c r="AZ199" s="57"/>
      <c r="BA199" s="57"/>
      <c r="BB199" s="57"/>
      <c r="BC199" s="58"/>
      <c r="BD199" s="55" t="s">
        <v>5034</v>
      </c>
      <c r="BO199" s="54"/>
      <c r="BP199" s="56" t="s">
        <v>5034</v>
      </c>
      <c r="BQ199" s="57"/>
      <c r="BR199" s="57"/>
      <c r="BS199" s="57"/>
      <c r="BT199" s="57"/>
      <c r="BU199" s="57"/>
      <c r="BV199" s="57"/>
      <c r="BW199" s="57"/>
      <c r="BX199" s="57"/>
      <c r="BY199" s="57"/>
      <c r="BZ199" s="57"/>
      <c r="CA199" s="57"/>
      <c r="CB199" s="56" t="s">
        <v>5034</v>
      </c>
      <c r="CC199" s="57"/>
      <c r="CD199" s="57"/>
      <c r="CE199" s="57"/>
      <c r="CF199" s="57"/>
      <c r="CG199" s="57"/>
      <c r="CH199" s="57"/>
      <c r="CI199" s="57"/>
      <c r="CJ199" s="57"/>
      <c r="CK199" s="57"/>
      <c r="CL199" s="57"/>
      <c r="CM199" s="57"/>
      <c r="CN199" s="56" t="s">
        <v>5034</v>
      </c>
      <c r="CO199" s="57"/>
      <c r="CP199" s="57"/>
      <c r="CQ199" s="57"/>
      <c r="CR199" s="57"/>
      <c r="CS199" s="57"/>
      <c r="CT199" s="57"/>
      <c r="CU199" s="57"/>
      <c r="CV199" s="57"/>
      <c r="CW199" s="57"/>
      <c r="CX199" s="57"/>
      <c r="CY199" s="57"/>
      <c r="CZ199" s="56" t="s">
        <v>5034</v>
      </c>
      <c r="DA199" s="57"/>
      <c r="DB199" s="57"/>
      <c r="DC199" s="57"/>
      <c r="DD199" s="57"/>
      <c r="DE199" s="57"/>
      <c r="DF199" s="57"/>
      <c r="DG199" s="57"/>
      <c r="DH199" s="57"/>
      <c r="DI199" s="57"/>
      <c r="DJ199" s="57"/>
      <c r="DK199" s="58"/>
      <c r="DL199" s="59">
        <v>0</v>
      </c>
      <c r="DM199" s="60">
        <v>0</v>
      </c>
      <c r="DN199" s="61">
        <v>0</v>
      </c>
      <c r="DO199" s="60">
        <v>0</v>
      </c>
      <c r="DP199" s="60">
        <v>0</v>
      </c>
      <c r="DQ199" s="59">
        <v>0</v>
      </c>
      <c r="DR199" s="62" t="s">
        <v>5034</v>
      </c>
      <c r="DS199" s="62" t="s">
        <v>5034</v>
      </c>
      <c r="DU199" s="62" t="s">
        <v>5034</v>
      </c>
      <c r="DV199" s="63">
        <v>45639</v>
      </c>
      <c r="DW199" s="64">
        <v>2024</v>
      </c>
      <c r="DX199" s="65">
        <v>12</v>
      </c>
    </row>
    <row r="200" spans="2:128" ht="15" x14ac:dyDescent="0.25">
      <c r="B200" s="43" t="s">
        <v>5022</v>
      </c>
      <c r="C200" s="43" t="s">
        <v>4802</v>
      </c>
      <c r="D200" s="43" t="s">
        <v>4788</v>
      </c>
      <c r="E200" s="66">
        <v>45637</v>
      </c>
      <c r="F200" s="49"/>
      <c r="G200" s="50">
        <v>1</v>
      </c>
      <c r="H200" s="43" t="s">
        <v>4798</v>
      </c>
      <c r="I200" s="43" t="s">
        <v>5023</v>
      </c>
      <c r="J200" s="43"/>
      <c r="K200" s="43">
        <v>2</v>
      </c>
      <c r="L200" s="43">
        <v>3</v>
      </c>
      <c r="M200" s="43"/>
      <c r="N200" s="43"/>
      <c r="O200" s="43"/>
      <c r="P200" s="43" t="s">
        <v>5024</v>
      </c>
      <c r="Q200" s="43"/>
      <c r="R200" s="43" t="s">
        <v>5043</v>
      </c>
      <c r="S200" s="43" t="s">
        <v>5026</v>
      </c>
      <c r="T200" s="51" t="s">
        <v>5027</v>
      </c>
      <c r="U200" s="52" t="s">
        <v>5028</v>
      </c>
      <c r="V200" s="53" t="s">
        <v>3884</v>
      </c>
      <c r="W200" s="54" t="s">
        <v>4746</v>
      </c>
      <c r="X200" s="55" t="s">
        <v>4889</v>
      </c>
      <c r="Y200" t="s">
        <v>4896</v>
      </c>
      <c r="Z200" t="s">
        <v>4800</v>
      </c>
      <c r="AA200" t="s">
        <v>4891</v>
      </c>
      <c r="AI200" s="54"/>
      <c r="AJ200" s="56">
        <v>45740</v>
      </c>
      <c r="AK200" s="57">
        <v>45831</v>
      </c>
      <c r="AL200" s="57">
        <v>45922</v>
      </c>
      <c r="AM200" s="57">
        <v>46013</v>
      </c>
      <c r="AN200" s="57"/>
      <c r="AO200" s="57"/>
      <c r="AP200" s="57"/>
      <c r="AQ200" s="57"/>
      <c r="AR200" s="57"/>
      <c r="AS200" s="57"/>
      <c r="AT200" s="57"/>
      <c r="AU200" s="57"/>
      <c r="AV200" s="57"/>
      <c r="AW200" s="57"/>
      <c r="AX200" s="57"/>
      <c r="AY200" s="57"/>
      <c r="AZ200" s="57"/>
      <c r="BA200" s="57"/>
      <c r="BB200" s="57"/>
      <c r="BC200" s="58"/>
      <c r="BD200" s="55" t="s">
        <v>5030</v>
      </c>
      <c r="BE200" t="s">
        <v>5031</v>
      </c>
      <c r="BF200" t="s">
        <v>5032</v>
      </c>
      <c r="BG200" t="s">
        <v>5033</v>
      </c>
      <c r="BO200" s="54"/>
      <c r="BP200" s="56">
        <v>45712</v>
      </c>
      <c r="BQ200" s="57">
        <v>45803</v>
      </c>
      <c r="BR200" s="57">
        <v>45894</v>
      </c>
      <c r="BS200" s="57">
        <v>45985</v>
      </c>
      <c r="BT200" s="57"/>
      <c r="BU200" s="57"/>
      <c r="BV200" s="57"/>
      <c r="BW200" s="57"/>
      <c r="BX200" s="57"/>
      <c r="BY200" s="57"/>
      <c r="BZ200" s="57"/>
      <c r="CA200" s="57"/>
      <c r="CB200" s="56" t="s">
        <v>5034</v>
      </c>
      <c r="CC200" s="57"/>
      <c r="CD200" s="57"/>
      <c r="CE200" s="57"/>
      <c r="CF200" s="57"/>
      <c r="CG200" s="57"/>
      <c r="CH200" s="57"/>
      <c r="CI200" s="57"/>
      <c r="CJ200" s="57"/>
      <c r="CK200" s="57"/>
      <c r="CL200" s="57"/>
      <c r="CM200" s="57"/>
      <c r="CN200" s="56">
        <v>45736</v>
      </c>
      <c r="CO200" s="57">
        <v>45827</v>
      </c>
      <c r="CP200" s="57">
        <v>45918</v>
      </c>
      <c r="CQ200" s="57">
        <v>46009</v>
      </c>
      <c r="CR200" s="57"/>
      <c r="CS200" s="57"/>
      <c r="CT200" s="57"/>
      <c r="CU200" s="57"/>
      <c r="CV200" s="57"/>
      <c r="CW200" s="57"/>
      <c r="CX200" s="57"/>
      <c r="CY200" s="57"/>
      <c r="CZ200" s="56" t="s">
        <v>5034</v>
      </c>
      <c r="DA200" s="57"/>
      <c r="DB200" s="57"/>
      <c r="DC200" s="57"/>
      <c r="DD200" s="57"/>
      <c r="DE200" s="57"/>
      <c r="DF200" s="57"/>
      <c r="DG200" s="57"/>
      <c r="DH200" s="57"/>
      <c r="DI200" s="57"/>
      <c r="DJ200" s="57"/>
      <c r="DK200" s="58"/>
      <c r="DL200" s="59">
        <v>4</v>
      </c>
      <c r="DM200" s="60">
        <v>4</v>
      </c>
      <c r="DN200" s="61">
        <v>0</v>
      </c>
      <c r="DO200" s="60">
        <v>4</v>
      </c>
      <c r="DP200" s="60">
        <v>0</v>
      </c>
      <c r="DQ200" s="59">
        <v>12</v>
      </c>
      <c r="DR200" s="62">
        <v>2131</v>
      </c>
      <c r="DS200" s="62" t="s">
        <v>5034</v>
      </c>
      <c r="DU200" s="62" t="s">
        <v>5034</v>
      </c>
      <c r="DV200" s="63">
        <v>45638</v>
      </c>
      <c r="DW200" s="64">
        <v>2024</v>
      </c>
      <c r="DX200" s="65">
        <v>12</v>
      </c>
    </row>
    <row r="201" spans="2:128" ht="15" x14ac:dyDescent="0.25">
      <c r="B201" s="43" t="s">
        <v>5022</v>
      </c>
      <c r="C201" s="43" t="s">
        <v>4854</v>
      </c>
      <c r="D201" s="43" t="s">
        <v>4790</v>
      </c>
      <c r="E201" s="66">
        <v>45639</v>
      </c>
      <c r="F201" s="49"/>
      <c r="G201" s="50">
        <v>5</v>
      </c>
      <c r="H201" s="43" t="s">
        <v>4887</v>
      </c>
      <c r="I201" s="43" t="s">
        <v>5023</v>
      </c>
      <c r="J201" s="43">
        <v>5</v>
      </c>
      <c r="K201" s="43">
        <v>2</v>
      </c>
      <c r="L201" s="43">
        <v>3</v>
      </c>
      <c r="M201" s="43"/>
      <c r="N201" s="43" t="s">
        <v>995</v>
      </c>
      <c r="O201" s="43" t="s">
        <v>5145</v>
      </c>
      <c r="P201" s="43" t="s">
        <v>5024</v>
      </c>
      <c r="Q201" s="43" t="s">
        <v>5148</v>
      </c>
      <c r="R201" s="43" t="s">
        <v>5045</v>
      </c>
      <c r="S201" s="43" t="s">
        <v>5026</v>
      </c>
      <c r="T201" s="51" t="s">
        <v>5027</v>
      </c>
      <c r="U201" s="52" t="s">
        <v>5028</v>
      </c>
      <c r="V201" s="53" t="s">
        <v>3884</v>
      </c>
      <c r="W201" s="54" t="s">
        <v>4748</v>
      </c>
      <c r="X201" s="55" t="s">
        <v>4886</v>
      </c>
      <c r="Y201" t="s">
        <v>4888</v>
      </c>
      <c r="Z201" t="s">
        <v>5130</v>
      </c>
      <c r="AA201" t="s">
        <v>5131</v>
      </c>
      <c r="AI201" s="54"/>
      <c r="AJ201" s="56">
        <v>45748</v>
      </c>
      <c r="AK201" s="57">
        <v>45749</v>
      </c>
      <c r="AL201" s="57">
        <v>45750</v>
      </c>
      <c r="AM201" s="57">
        <v>45751</v>
      </c>
      <c r="AN201" s="57">
        <v>45754</v>
      </c>
      <c r="AO201" s="57">
        <v>45839</v>
      </c>
      <c r="AP201" s="57">
        <v>45840</v>
      </c>
      <c r="AQ201" s="57">
        <v>45841</v>
      </c>
      <c r="AR201" s="57">
        <v>45842</v>
      </c>
      <c r="AS201" s="57">
        <v>45845</v>
      </c>
      <c r="AT201" s="57">
        <v>45931</v>
      </c>
      <c r="AU201" s="57">
        <v>45932</v>
      </c>
      <c r="AV201" s="57">
        <v>45933</v>
      </c>
      <c r="AW201" s="57">
        <v>45936</v>
      </c>
      <c r="AX201" s="57">
        <v>45937</v>
      </c>
      <c r="AY201" s="57">
        <v>46024</v>
      </c>
      <c r="AZ201" s="57">
        <v>46027</v>
      </c>
      <c r="BA201" s="57">
        <v>46028</v>
      </c>
      <c r="BB201" s="57">
        <v>46029</v>
      </c>
      <c r="BC201" s="58">
        <v>46030</v>
      </c>
      <c r="BD201" s="55" t="s">
        <v>5030</v>
      </c>
      <c r="BE201" t="s">
        <v>5031</v>
      </c>
      <c r="BF201" t="s">
        <v>5032</v>
      </c>
      <c r="BG201" t="s">
        <v>5033</v>
      </c>
      <c r="BO201" s="54"/>
      <c r="BP201" s="56">
        <v>45712</v>
      </c>
      <c r="BQ201" s="57">
        <v>45803</v>
      </c>
      <c r="BR201" s="57">
        <v>45894</v>
      </c>
      <c r="BS201" s="57">
        <v>45985</v>
      </c>
      <c r="BT201" s="57"/>
      <c r="BU201" s="57"/>
      <c r="BV201" s="57"/>
      <c r="BW201" s="57"/>
      <c r="BX201" s="57"/>
      <c r="BY201" s="57"/>
      <c r="BZ201" s="57"/>
      <c r="CA201" s="57"/>
      <c r="CB201" s="56">
        <v>45741</v>
      </c>
      <c r="CC201" s="57">
        <v>45832</v>
      </c>
      <c r="CD201" s="57">
        <v>45924</v>
      </c>
      <c r="CE201" s="57">
        <v>46015</v>
      </c>
      <c r="CF201" s="57"/>
      <c r="CG201" s="57"/>
      <c r="CH201" s="57"/>
      <c r="CI201" s="57"/>
      <c r="CJ201" s="57"/>
      <c r="CK201" s="57"/>
      <c r="CL201" s="57"/>
      <c r="CM201" s="57"/>
      <c r="CN201" s="56">
        <v>45744</v>
      </c>
      <c r="CO201" s="57">
        <v>45835</v>
      </c>
      <c r="CP201" s="57">
        <v>45929</v>
      </c>
      <c r="CQ201" s="57">
        <v>46021</v>
      </c>
      <c r="CR201" s="57"/>
      <c r="CS201" s="57"/>
      <c r="CT201" s="57"/>
      <c r="CU201" s="57"/>
      <c r="CV201" s="57"/>
      <c r="CW201" s="57"/>
      <c r="CX201" s="57"/>
      <c r="CY201" s="57"/>
      <c r="CZ201" s="56" t="s">
        <v>5034</v>
      </c>
      <c r="DA201" s="57"/>
      <c r="DB201" s="57"/>
      <c r="DC201" s="57"/>
      <c r="DD201" s="57"/>
      <c r="DE201" s="57"/>
      <c r="DF201" s="57"/>
      <c r="DG201" s="57"/>
      <c r="DH201" s="57"/>
      <c r="DI201" s="57"/>
      <c r="DJ201" s="57"/>
      <c r="DK201" s="58"/>
      <c r="DL201" s="59">
        <v>20</v>
      </c>
      <c r="DM201" s="60">
        <v>4</v>
      </c>
      <c r="DN201" s="61">
        <v>4</v>
      </c>
      <c r="DO201" s="60">
        <v>4</v>
      </c>
      <c r="DP201" s="60">
        <v>0</v>
      </c>
      <c r="DQ201" s="59">
        <v>32</v>
      </c>
      <c r="DR201" s="62">
        <v>2143</v>
      </c>
      <c r="DS201" s="62" t="s">
        <v>5034</v>
      </c>
      <c r="DU201" s="62" t="s">
        <v>5034</v>
      </c>
      <c r="DV201" s="63" t="e">
        <v>#N/A</v>
      </c>
      <c r="DW201" s="64" t="e">
        <v>#N/A</v>
      </c>
      <c r="DX201" s="65" t="e">
        <v>#N/A</v>
      </c>
    </row>
    <row r="202" spans="2:128" ht="15" x14ac:dyDescent="0.25">
      <c r="B202" s="43" t="s">
        <v>5022</v>
      </c>
      <c r="C202" s="43" t="s">
        <v>4802</v>
      </c>
      <c r="D202" s="43" t="s">
        <v>4792</v>
      </c>
      <c r="E202" s="66">
        <v>45646</v>
      </c>
      <c r="F202" s="49"/>
      <c r="G202" s="50">
        <v>1</v>
      </c>
      <c r="H202" s="43" t="s">
        <v>4798</v>
      </c>
      <c r="I202" s="43" t="s">
        <v>5023</v>
      </c>
      <c r="J202" s="43"/>
      <c r="K202" s="43">
        <v>2</v>
      </c>
      <c r="L202" s="43">
        <v>3</v>
      </c>
      <c r="M202" s="43"/>
      <c r="N202" s="43" t="s">
        <v>995</v>
      </c>
      <c r="O202" s="43"/>
      <c r="P202" s="43" t="s">
        <v>5024</v>
      </c>
      <c r="Q202" s="43"/>
      <c r="R202" s="43" t="s">
        <v>5043</v>
      </c>
      <c r="S202" s="43" t="s">
        <v>5026</v>
      </c>
      <c r="T202" s="51" t="s">
        <v>5027</v>
      </c>
      <c r="U202" s="52" t="s">
        <v>5028</v>
      </c>
      <c r="V202" s="53" t="s">
        <v>3884</v>
      </c>
      <c r="W202" s="54" t="s">
        <v>4747</v>
      </c>
      <c r="X202" s="55" t="s">
        <v>4889</v>
      </c>
      <c r="Y202" t="s">
        <v>4896</v>
      </c>
      <c r="Z202" t="s">
        <v>4800</v>
      </c>
      <c r="AA202" t="s">
        <v>4891</v>
      </c>
      <c r="AI202" s="54"/>
      <c r="AJ202" s="56">
        <v>45740</v>
      </c>
      <c r="AK202" s="57">
        <v>45831</v>
      </c>
      <c r="AL202" s="57">
        <v>45922</v>
      </c>
      <c r="AM202" s="57">
        <v>46013</v>
      </c>
      <c r="AN202" s="57"/>
      <c r="AO202" s="57"/>
      <c r="AP202" s="57"/>
      <c r="AQ202" s="57"/>
      <c r="AR202" s="57"/>
      <c r="AS202" s="57"/>
      <c r="AT202" s="57"/>
      <c r="AU202" s="57"/>
      <c r="AV202" s="57"/>
      <c r="AW202" s="57"/>
      <c r="AX202" s="57"/>
      <c r="AY202" s="57"/>
      <c r="AZ202" s="57"/>
      <c r="BA202" s="57"/>
      <c r="BB202" s="57"/>
      <c r="BC202" s="58"/>
      <c r="BD202" s="55" t="s">
        <v>5030</v>
      </c>
      <c r="BE202" t="s">
        <v>5031</v>
      </c>
      <c r="BF202" t="s">
        <v>5032</v>
      </c>
      <c r="BG202" t="s">
        <v>5033</v>
      </c>
      <c r="BO202" s="54"/>
      <c r="BP202" s="56">
        <v>45712</v>
      </c>
      <c r="BQ202" s="57">
        <v>45803</v>
      </c>
      <c r="BR202" s="57">
        <v>45894</v>
      </c>
      <c r="BS202" s="57">
        <v>45985</v>
      </c>
      <c r="BT202" s="57"/>
      <c r="BU202" s="57"/>
      <c r="BV202" s="57"/>
      <c r="BW202" s="57"/>
      <c r="BX202" s="57"/>
      <c r="BY202" s="57"/>
      <c r="BZ202" s="57"/>
      <c r="CA202" s="57"/>
      <c r="CB202" s="56" t="s">
        <v>5034</v>
      </c>
      <c r="CC202" s="57"/>
      <c r="CD202" s="57"/>
      <c r="CE202" s="57"/>
      <c r="CF202" s="57"/>
      <c r="CG202" s="57"/>
      <c r="CH202" s="57"/>
      <c r="CI202" s="57"/>
      <c r="CJ202" s="57"/>
      <c r="CK202" s="57"/>
      <c r="CL202" s="57"/>
      <c r="CM202" s="57"/>
      <c r="CN202" s="56">
        <v>45736</v>
      </c>
      <c r="CO202" s="57">
        <v>45827</v>
      </c>
      <c r="CP202" s="57">
        <v>45918</v>
      </c>
      <c r="CQ202" s="57">
        <v>46009</v>
      </c>
      <c r="CR202" s="57"/>
      <c r="CS202" s="57"/>
      <c r="CT202" s="57"/>
      <c r="CU202" s="57"/>
      <c r="CV202" s="57"/>
      <c r="CW202" s="57"/>
      <c r="CX202" s="57"/>
      <c r="CY202" s="57"/>
      <c r="CZ202" s="56" t="s">
        <v>5034</v>
      </c>
      <c r="DA202" s="57"/>
      <c r="DB202" s="57"/>
      <c r="DC202" s="57"/>
      <c r="DD202" s="57"/>
      <c r="DE202" s="57"/>
      <c r="DF202" s="57"/>
      <c r="DG202" s="57"/>
      <c r="DH202" s="57"/>
      <c r="DI202" s="57"/>
      <c r="DJ202" s="57"/>
      <c r="DK202" s="58"/>
      <c r="DL202" s="59">
        <v>4</v>
      </c>
      <c r="DM202" s="60">
        <v>4</v>
      </c>
      <c r="DN202" s="61">
        <v>0</v>
      </c>
      <c r="DO202" s="60">
        <v>4</v>
      </c>
      <c r="DP202" s="60">
        <v>0</v>
      </c>
      <c r="DQ202" s="59">
        <v>12</v>
      </c>
      <c r="DR202" s="62">
        <v>2175</v>
      </c>
      <c r="DS202" s="62" t="s">
        <v>5034</v>
      </c>
      <c r="DU202" s="62" t="s">
        <v>5034</v>
      </c>
      <c r="DV202" s="63" t="e">
        <v>#N/A</v>
      </c>
      <c r="DW202" s="64" t="e">
        <v>#N/A</v>
      </c>
      <c r="DX202" s="65" t="e">
        <v>#N/A</v>
      </c>
    </row>
    <row r="203" spans="2:128" ht="15" x14ac:dyDescent="0.25">
      <c r="B203" s="43" t="s">
        <v>5022</v>
      </c>
      <c r="C203" s="43" t="s">
        <v>4854</v>
      </c>
      <c r="D203" s="43" t="s">
        <v>4794</v>
      </c>
      <c r="E203" s="49">
        <v>45657</v>
      </c>
      <c r="F203" s="49"/>
      <c r="G203" s="50">
        <v>1</v>
      </c>
      <c r="H203" s="43" t="s">
        <v>4895</v>
      </c>
      <c r="I203" s="43" t="s">
        <v>5149</v>
      </c>
      <c r="J203" s="43"/>
      <c r="K203" s="43">
        <v>2</v>
      </c>
      <c r="L203" s="43">
        <v>3</v>
      </c>
      <c r="M203" s="43"/>
      <c r="N203" s="43" t="s">
        <v>995</v>
      </c>
      <c r="O203" s="43" t="s">
        <v>5150</v>
      </c>
      <c r="P203" s="43" t="s">
        <v>5024</v>
      </c>
      <c r="Q203" s="43"/>
      <c r="R203" s="43" t="s">
        <v>5045</v>
      </c>
      <c r="S203" s="43" t="s">
        <v>5026</v>
      </c>
      <c r="T203" s="51" t="s">
        <v>5027</v>
      </c>
      <c r="U203" s="52" t="s">
        <v>5028</v>
      </c>
      <c r="V203" s="53" t="s">
        <v>3884</v>
      </c>
      <c r="W203" s="54" t="s">
        <v>4759</v>
      </c>
      <c r="X203" s="55" t="s">
        <v>4896</v>
      </c>
      <c r="Y203" t="s">
        <v>4891</v>
      </c>
      <c r="AI203" s="54"/>
      <c r="AJ203" s="56">
        <v>45831</v>
      </c>
      <c r="AK203" s="57">
        <v>46013</v>
      </c>
      <c r="AL203" s="57"/>
      <c r="AM203" s="57"/>
      <c r="AN203" s="57"/>
      <c r="AO203" s="57"/>
      <c r="AP203" s="57"/>
      <c r="AQ203" s="57"/>
      <c r="AR203" s="57"/>
      <c r="AS203" s="57"/>
      <c r="AT203" s="57"/>
      <c r="AU203" s="57"/>
      <c r="AV203" s="57"/>
      <c r="AW203" s="57"/>
      <c r="AX203" s="57"/>
      <c r="AY203" s="57"/>
      <c r="AZ203" s="57"/>
      <c r="BA203" s="57"/>
      <c r="BB203" s="57"/>
      <c r="BC203" s="58"/>
      <c r="BD203" s="55" t="s">
        <v>5031</v>
      </c>
      <c r="BE203" t="s">
        <v>5033</v>
      </c>
      <c r="BO203" s="54"/>
      <c r="BP203" s="56">
        <v>45803</v>
      </c>
      <c r="BQ203" s="57">
        <v>45985</v>
      </c>
      <c r="BR203" s="57"/>
      <c r="BS203" s="57"/>
      <c r="BT203" s="57"/>
      <c r="BU203" s="57"/>
      <c r="BV203" s="57"/>
      <c r="BW203" s="57"/>
      <c r="BX203" s="57"/>
      <c r="BY203" s="57"/>
      <c r="BZ203" s="57"/>
      <c r="CA203" s="57"/>
      <c r="CB203" s="56" t="s">
        <v>5034</v>
      </c>
      <c r="CC203" s="57"/>
      <c r="CD203" s="57"/>
      <c r="CE203" s="57"/>
      <c r="CF203" s="57"/>
      <c r="CG203" s="57"/>
      <c r="CH203" s="57"/>
      <c r="CI203" s="57"/>
      <c r="CJ203" s="57"/>
      <c r="CK203" s="57"/>
      <c r="CL203" s="57"/>
      <c r="CM203" s="57"/>
      <c r="CN203" s="56">
        <v>45827</v>
      </c>
      <c r="CO203" s="57">
        <v>46009</v>
      </c>
      <c r="CP203" s="57"/>
      <c r="CQ203" s="57"/>
      <c r="CR203" s="57"/>
      <c r="CS203" s="57"/>
      <c r="CT203" s="57"/>
      <c r="CU203" s="57"/>
      <c r="CV203" s="57"/>
      <c r="CW203" s="57"/>
      <c r="CX203" s="57"/>
      <c r="CY203" s="57"/>
      <c r="CZ203" s="56" t="s">
        <v>5034</v>
      </c>
      <c r="DA203" s="57"/>
      <c r="DB203" s="57"/>
      <c r="DC203" s="57"/>
      <c r="DD203" s="57"/>
      <c r="DE203" s="57"/>
      <c r="DF203" s="57"/>
      <c r="DG203" s="57"/>
      <c r="DH203" s="57"/>
      <c r="DI203" s="57"/>
      <c r="DJ203" s="57"/>
      <c r="DK203" s="58"/>
      <c r="DL203" s="59">
        <v>2</v>
      </c>
      <c r="DM203" s="60">
        <v>2</v>
      </c>
      <c r="DN203" s="61">
        <v>0</v>
      </c>
      <c r="DO203" s="60">
        <v>2</v>
      </c>
      <c r="DP203" s="60">
        <v>0</v>
      </c>
      <c r="DQ203" s="59">
        <v>6</v>
      </c>
      <c r="DR203" s="62">
        <v>2187</v>
      </c>
      <c r="DS203" s="62" t="s">
        <v>5034</v>
      </c>
      <c r="DU203" s="62" t="s">
        <v>5034</v>
      </c>
      <c r="DV203" s="63" t="e">
        <v>#N/A</v>
      </c>
      <c r="DW203" s="64" t="e">
        <v>#N/A</v>
      </c>
      <c r="DX203" s="65" t="e">
        <v>#N/A</v>
      </c>
    </row>
    <row r="204" spans="2:128" ht="15" x14ac:dyDescent="0.25">
      <c r="B204" s="43" t="s">
        <v>5022</v>
      </c>
      <c r="C204" s="43" t="s">
        <v>4802</v>
      </c>
      <c r="D204" s="43" t="s">
        <v>4796</v>
      </c>
      <c r="E204" s="49">
        <v>45660</v>
      </c>
      <c r="F204" s="49"/>
      <c r="G204" s="50">
        <v>1</v>
      </c>
      <c r="H204" s="43" t="s">
        <v>4798</v>
      </c>
      <c r="I204" s="43" t="s">
        <v>5023</v>
      </c>
      <c r="J204" s="43"/>
      <c r="K204" s="43">
        <v>2</v>
      </c>
      <c r="L204" s="43">
        <v>3</v>
      </c>
      <c r="M204" s="43"/>
      <c r="N204" s="43" t="s">
        <v>5087</v>
      </c>
      <c r="O204" s="43"/>
      <c r="P204" s="43" t="s">
        <v>5063</v>
      </c>
      <c r="Q204" s="43"/>
      <c r="R204" s="43" t="s">
        <v>5098</v>
      </c>
      <c r="S204" s="43" t="s">
        <v>5026</v>
      </c>
      <c r="T204" s="51" t="s">
        <v>5027</v>
      </c>
      <c r="U204" s="52" t="s">
        <v>5028</v>
      </c>
      <c r="V204" s="53" t="s">
        <v>3884</v>
      </c>
      <c r="W204" s="54" t="s">
        <v>4739</v>
      </c>
      <c r="X204" s="55" t="s">
        <v>4889</v>
      </c>
      <c r="Y204" t="s">
        <v>4896</v>
      </c>
      <c r="Z204" t="s">
        <v>4800</v>
      </c>
      <c r="AA204" t="s">
        <v>4891</v>
      </c>
      <c r="AI204" s="54"/>
      <c r="AJ204" s="56">
        <v>45740</v>
      </c>
      <c r="AK204" s="57">
        <v>45831</v>
      </c>
      <c r="AL204" s="57">
        <v>45922</v>
      </c>
      <c r="AM204" s="57">
        <v>46013</v>
      </c>
      <c r="AN204" s="57"/>
      <c r="AO204" s="57"/>
      <c r="AP204" s="57"/>
      <c r="AQ204" s="57"/>
      <c r="AR204" s="57"/>
      <c r="AS204" s="57"/>
      <c r="AT204" s="57"/>
      <c r="AU204" s="57"/>
      <c r="AV204" s="57"/>
      <c r="AW204" s="57"/>
      <c r="AX204" s="57"/>
      <c r="AY204" s="57"/>
      <c r="AZ204" s="57"/>
      <c r="BA204" s="57"/>
      <c r="BB204" s="57"/>
      <c r="BC204" s="58"/>
      <c r="BD204" s="55" t="s">
        <v>5030</v>
      </c>
      <c r="BE204" t="s">
        <v>5031</v>
      </c>
      <c r="BF204" t="s">
        <v>5032</v>
      </c>
      <c r="BG204" t="s">
        <v>5033</v>
      </c>
      <c r="BO204" s="54"/>
      <c r="BP204" s="56">
        <v>45712</v>
      </c>
      <c r="BQ204" s="57">
        <v>45803</v>
      </c>
      <c r="BR204" s="57">
        <v>45894</v>
      </c>
      <c r="BS204" s="57">
        <v>45985</v>
      </c>
      <c r="BT204" s="57"/>
      <c r="BU204" s="57"/>
      <c r="BV204" s="57"/>
      <c r="BW204" s="57"/>
      <c r="BX204" s="57"/>
      <c r="BY204" s="57"/>
      <c r="BZ204" s="57"/>
      <c r="CA204" s="57"/>
      <c r="CB204" s="56" t="s">
        <v>5034</v>
      </c>
      <c r="CC204" s="57"/>
      <c r="CD204" s="57"/>
      <c r="CE204" s="57"/>
      <c r="CF204" s="57"/>
      <c r="CG204" s="57"/>
      <c r="CH204" s="57"/>
      <c r="CI204" s="57"/>
      <c r="CJ204" s="57"/>
      <c r="CK204" s="57"/>
      <c r="CL204" s="57"/>
      <c r="CM204" s="57"/>
      <c r="CN204" s="56">
        <v>45736</v>
      </c>
      <c r="CO204" s="57">
        <v>45827</v>
      </c>
      <c r="CP204" s="57">
        <v>45918</v>
      </c>
      <c r="CQ204" s="57">
        <v>46009</v>
      </c>
      <c r="CR204" s="57"/>
      <c r="CS204" s="57"/>
      <c r="CT204" s="57"/>
      <c r="CU204" s="57"/>
      <c r="CV204" s="57"/>
      <c r="CW204" s="57"/>
      <c r="CX204" s="57"/>
      <c r="CY204" s="57"/>
      <c r="CZ204" s="56" t="s">
        <v>5034</v>
      </c>
      <c r="DA204" s="57"/>
      <c r="DB204" s="57"/>
      <c r="DC204" s="57"/>
      <c r="DD204" s="57"/>
      <c r="DE204" s="57"/>
      <c r="DF204" s="57"/>
      <c r="DG204" s="57"/>
      <c r="DH204" s="57"/>
      <c r="DI204" s="57"/>
      <c r="DJ204" s="57"/>
      <c r="DK204" s="58"/>
      <c r="DL204" s="59">
        <v>4</v>
      </c>
      <c r="DM204" s="60">
        <v>4</v>
      </c>
      <c r="DN204" s="61">
        <v>0</v>
      </c>
      <c r="DO204" s="60">
        <v>4</v>
      </c>
      <c r="DP204" s="60">
        <v>0</v>
      </c>
      <c r="DQ204" s="59">
        <v>12</v>
      </c>
      <c r="DR204" s="62">
        <v>2193</v>
      </c>
      <c r="DS204" s="62" t="s">
        <v>5034</v>
      </c>
      <c r="DU204" s="62" t="s">
        <v>5034</v>
      </c>
      <c r="DV204" s="63" t="e">
        <v>#N/A</v>
      </c>
      <c r="DW204" s="64" t="e">
        <v>#N/A</v>
      </c>
      <c r="DX204" s="65" t="e">
        <v>#N/A</v>
      </c>
    </row>
  </sheetData>
  <protectedRanges>
    <protectedRange sqref="B3:U3 B4:U5 B6:U6 B7:U7 B8:U8 B9:U9 B10:U10 B11:U11 B12:U12 B13:U13 B14:U14 B15:U15 B16:U16 B17:U17 B18:U18 B19:U19 B20:U20 B21:U21 B22:U22 B23:U23 B24:U24 B25:U26 B27:U27 B28:U28 B29:U29 B30:U30 B31:U31 B32:U32 B33:U33 B34:U34 B35:U35 B36:U36 B37:U37 B38:U38 B39:U39 B40:U40 B41:U41 B42:U42 B43:U43 B44:U44 B45:U45 B46:U46 B47:U47 B48:U48 B49:U49 B50:U50 B51:U51 B52:U52 B53:U53 B54:U54 B55:U55 B56:U57 B58:U58 B59:U60 B61:U61 B62:U62 B63:U63 B64:U64 B65:U65 B66:U66 B67:U67 B68:U68 B69:U69 B70:U70 B71:U71 B72:U72 B73:U73 B74:U74 B75:U75 B76:U76 B77:U77 B78:U78 B79:U79 B80:U80 B81:U81 B82:U82 B83:U83 B84:U84 B85:U85 B86:U86 B87:U87 B88:U88 B89:U89 B90:U90 B91:U91 B92:U92 B93:U93 B94:U94 B95:U95 B96:U97 B98:U98 B99:U99 B100:U100 B101:U101 B102:U102 B103:U103 B104:U104 B105:U105 B106:U106 B107:U107 B108:U108 B109:U109 B110:U110 B111:U111 B112:U112 B113:U113 B114:U114 B115:U115 B116:U116 B117:U117 B118:U118 B119:U119 B120:U120 B121:U121 B122:U122 B123:U123 B124:U124 B125:U125 B126:U126 B127:U127 B128:U129 B130:U130 B131:U131 B132:U132 B133:U133 B134:U134 B135:U135 B136:U136 B137:U137 B138:U138 B139:U139 B140:U140 B141:U141 B142:U142 B143:U143 B144:U144 B145:U145 B146:U146 B147:U147 B148:U148 B149:U149 B150:U150 B151:U151 B152:U152 B153:U153 B154:U154 B155:U155 B156:U156 B157:U157 B158:U158 B159:U159 B160:U160 B161:U161 B162:U162 B163:U172 B173:U173 B174:U174 B175:U184 B185:U185 B186:U186 B187:U187 B188:U188 B189:U189 B190:U190 B191:U191 B192:U192 B193:U193 B194:U194 B195:U195 B196:U196 B197:U197 B198:U198 B199:U199 B200:U200 B201:U201 B202:U202 B203:U203 B204:U204" name="Database"/>
  </protectedRanges>
  <conditionalFormatting sqref="B4:U204">
    <cfRule type="expression" dxfId="10" priority="20">
      <formula>$J4&lt;&gt;""</formula>
    </cfRule>
    <cfRule type="expression" dxfId="9" priority="22">
      <formula>ISEVEN($B4)</formula>
    </cfRule>
  </conditionalFormatting>
  <conditionalFormatting sqref="H4:I204 K4:L204">
    <cfRule type="expression" dxfId="8" priority="21">
      <formula>AND($F4="Yes",$J4="",H4="")</formula>
    </cfRule>
  </conditionalFormatting>
  <conditionalFormatting sqref="R4:R204">
    <cfRule type="expression" dxfId="7" priority="16">
      <formula>AND(B4="Yes",R4="")</formula>
    </cfRule>
  </conditionalFormatting>
  <conditionalFormatting sqref="S4:S204">
    <cfRule type="expression" dxfId="6" priority="17">
      <formula>AND(B4="Yes",S4="")</formula>
    </cfRule>
  </conditionalFormatting>
  <conditionalFormatting sqref="T4:T204">
    <cfRule type="expression" dxfId="5" priority="18">
      <formula>AND(B4="Yes",T4="")</formula>
    </cfRule>
  </conditionalFormatting>
  <conditionalFormatting sqref="U4:U204">
    <cfRule type="expression" dxfId="4" priority="19">
      <formula>AND(B4="Yes",U4="")</formula>
    </cfRule>
  </conditionalFormatting>
  <conditionalFormatting sqref="U75:U79">
    <cfRule type="expression" dxfId="3" priority="11">
      <formula>AND(E75="Yes",U75="")</formula>
    </cfRule>
  </conditionalFormatting>
  <conditionalFormatting sqref="U88:U94">
    <cfRule type="expression" dxfId="2" priority="4">
      <formula>AND(E88="Yes",U88="")</formula>
    </cfRule>
  </conditionalFormatting>
  <conditionalFormatting sqref="U97">
    <cfRule type="expression" dxfId="1" priority="3">
      <formula>AND(E97="Yes",U97="")</formula>
    </cfRule>
  </conditionalFormatting>
  <conditionalFormatting sqref="U102:U103">
    <cfRule type="expression" dxfId="0" priority="1">
      <formula>AND(E102="Yes",U102="")</formula>
    </cfRule>
  </conditionalFormatting>
  <dataValidations count="3">
    <dataValidation type="whole" allowBlank="1" showInputMessage="1" showErrorMessage="1" sqref="G4:G201" xr:uid="{87B3BA4D-096D-4692-8C9F-72CC0FE9291F}">
      <formula1>1</formula1>
      <formula2>5</formula2>
    </dataValidation>
    <dataValidation type="decimal" allowBlank="1" showInputMessage="1" showErrorMessage="1" sqref="J4:M204" xr:uid="{B0A15F2E-1AB9-48E6-8535-52CD84B3414D}">
      <formula1>1</formula1>
      <formula2>30</formula2>
    </dataValidation>
    <dataValidation type="date" allowBlank="1" showInputMessage="1" showErrorMessage="1" sqref="E4:F204" xr:uid="{53B1DBD4-353A-474A-A5AB-9B416F849CB0}">
      <formula1>25569</formula1>
      <formula2>51501</formula2>
    </dataValidation>
  </dataValidation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9A9B1-B2FF-45EB-83C2-E97791E43DD9}">
  <sheetPr codeName="Sheet3"/>
  <dimension ref="C1:AG1451"/>
  <sheetViews>
    <sheetView workbookViewId="0">
      <selection activeCell="J11" sqref="J11"/>
    </sheetView>
  </sheetViews>
  <sheetFormatPr defaultColWidth="10" defaultRowHeight="15" x14ac:dyDescent="0.25"/>
  <cols>
    <col min="1" max="2" width="0.625" style="2" customWidth="1"/>
    <col min="3" max="3" width="74.25" style="2" bestFit="1" customWidth="1"/>
    <col min="4" max="4" width="17.625" style="4" bestFit="1" customWidth="1"/>
    <col min="5" max="5" width="20" style="4" customWidth="1"/>
    <col min="6" max="6" width="10.5" style="4" bestFit="1" customWidth="1"/>
    <col min="7" max="7" width="55.75" style="4" bestFit="1" customWidth="1"/>
    <col min="8" max="8" width="23.25" style="4" bestFit="1" customWidth="1"/>
    <col min="9" max="9" width="17.5" style="2" bestFit="1" customWidth="1"/>
    <col min="10" max="10" width="10" style="2"/>
    <col min="11" max="11" width="10.125" style="2" bestFit="1" customWidth="1"/>
    <col min="12" max="12" width="14.875" style="2" bestFit="1" customWidth="1"/>
    <col min="13" max="13" width="16.375" style="2" bestFit="1" customWidth="1"/>
    <col min="14" max="14" width="11.75" style="2" bestFit="1" customWidth="1"/>
    <col min="15" max="15" width="14.375" style="2" bestFit="1" customWidth="1"/>
    <col min="16" max="16" width="13.75" style="2" bestFit="1" customWidth="1"/>
    <col min="17" max="18" width="14.375" style="2" bestFit="1" customWidth="1"/>
    <col min="19" max="19" width="10" style="2"/>
    <col min="20" max="20" width="23" style="2" bestFit="1" customWidth="1"/>
    <col min="21" max="21" width="23.25" style="2" bestFit="1" customWidth="1"/>
    <col min="22" max="26" width="10" style="2"/>
    <col min="27" max="27" width="14.25" style="2" bestFit="1" customWidth="1"/>
    <col min="28" max="30" width="15.125" style="2" bestFit="1" customWidth="1"/>
    <col min="31" max="31" width="16.125" style="2" bestFit="1" customWidth="1"/>
    <col min="32" max="32" width="15.125" style="2" bestFit="1" customWidth="1"/>
    <col min="33" max="33" width="16.125" style="2" bestFit="1" customWidth="1"/>
    <col min="34" max="16384" width="10" style="2"/>
  </cols>
  <sheetData>
    <row r="1" spans="3:33" ht="15.75" thickBot="1" x14ac:dyDescent="0.3">
      <c r="D1" s="3"/>
      <c r="E1" s="3"/>
    </row>
    <row r="2" spans="3:33" x14ac:dyDescent="0.25">
      <c r="K2"/>
      <c r="L2"/>
      <c r="AA2" s="5">
        <v>9965266516.0926342</v>
      </c>
      <c r="AB2" s="6">
        <v>30051982887.952702</v>
      </c>
      <c r="AC2" s="6">
        <v>15548496856.600794</v>
      </c>
      <c r="AD2" s="6">
        <v>63977345066.46489</v>
      </c>
      <c r="AE2" s="6">
        <v>286132872285.84955</v>
      </c>
      <c r="AF2" s="6">
        <v>27967554374.947781</v>
      </c>
      <c r="AG2" s="7">
        <v>408078057490.82281</v>
      </c>
    </row>
    <row r="3" spans="3:33" ht="15.75" thickBot="1" x14ac:dyDescent="0.3">
      <c r="C3" s="27" t="s">
        <v>3882</v>
      </c>
      <c r="D3" t="s">
        <v>3883</v>
      </c>
      <c r="G3" s="27" t="s">
        <v>3882</v>
      </c>
      <c r="H3" t="s">
        <v>3883</v>
      </c>
      <c r="K3" s="27" t="s">
        <v>3882</v>
      </c>
      <c r="L3" t="s">
        <v>3884</v>
      </c>
      <c r="Q3" s="27" t="s">
        <v>3885</v>
      </c>
      <c r="R3" t="s">
        <v>3884</v>
      </c>
      <c r="T3" s="27" t="s">
        <v>3885</v>
      </c>
      <c r="U3" t="s">
        <v>3884</v>
      </c>
      <c r="AA3" s="8" t="b">
        <v>1</v>
      </c>
      <c r="AB3" s="9" t="b">
        <v>1</v>
      </c>
      <c r="AC3" s="9" t="b">
        <v>1</v>
      </c>
      <c r="AD3" s="9" t="b">
        <v>1</v>
      </c>
      <c r="AE3" s="10" t="b">
        <v>1</v>
      </c>
      <c r="AF3" s="10" t="b">
        <v>1</v>
      </c>
      <c r="AG3" s="11" t="b">
        <v>1</v>
      </c>
    </row>
    <row r="4" spans="3:33" x14ac:dyDescent="0.25">
      <c r="K4" s="12"/>
      <c r="Q4" s="4"/>
      <c r="R4" s="4"/>
      <c r="T4" s="4"/>
      <c r="U4" s="4"/>
    </row>
    <row r="5" spans="3:33" x14ac:dyDescent="0.25">
      <c r="C5" s="29" t="s">
        <v>38</v>
      </c>
      <c r="D5" s="13" t="s">
        <v>3886</v>
      </c>
      <c r="E5" s="13" t="s">
        <v>3887</v>
      </c>
      <c r="F5" s="2"/>
      <c r="G5" s="32" t="s">
        <v>3888</v>
      </c>
      <c r="H5" s="13" t="s">
        <v>3889</v>
      </c>
      <c r="I5" s="13" t="s">
        <v>3887</v>
      </c>
      <c r="K5" s="31" t="s">
        <v>3890</v>
      </c>
      <c r="L5" s="14" t="s">
        <v>3891</v>
      </c>
      <c r="Q5" s="28" t="s">
        <v>3888</v>
      </c>
      <c r="R5" s="13" t="s">
        <v>3889</v>
      </c>
      <c r="T5" s="30" t="s">
        <v>3888</v>
      </c>
      <c r="U5" s="13" t="s">
        <v>3889</v>
      </c>
    </row>
    <row r="6" spans="3:33" x14ac:dyDescent="0.25">
      <c r="C6" s="15" t="s">
        <v>2769</v>
      </c>
      <c r="D6" s="16">
        <v>178903298963.45627</v>
      </c>
      <c r="E6" s="2" t="str">
        <f>IF(D6&gt;=500000000000,"Critical",IF(AND(D6&gt;=50000000000,D6&lt;500000000000),"Significant",IF(AND(D6&gt;=45000000000,D6&lt;50000000000),"Almost Significant",IF(D6&lt;45000000000,"Non Significant",0))))</f>
        <v>Significant</v>
      </c>
      <c r="F6" s="2"/>
      <c r="G6" s="15" t="s">
        <v>3892</v>
      </c>
      <c r="H6" s="16">
        <v>213522254089.08987</v>
      </c>
      <c r="I6" s="2" t="str">
        <f>IF(H6&gt;=500000000000,"Critical",IF(AND(H6&gt;=50000000000,H6&lt;500000000000),"Significant",IF(AND(H6&gt;=45000000000,H6&lt;50000000000),"Almost Significant",IF(H6&lt;45000000000,"Non Significant",0))))</f>
        <v>Significant</v>
      </c>
      <c r="K6" s="17" t="s">
        <v>3893</v>
      </c>
      <c r="L6" s="16">
        <v>5262516339</v>
      </c>
      <c r="N6" s="31" t="s">
        <v>3894</v>
      </c>
      <c r="O6" s="14" t="s">
        <v>3891</v>
      </c>
      <c r="Q6" s="15" t="s">
        <v>3892</v>
      </c>
      <c r="R6" s="16">
        <v>196619515206.51486</v>
      </c>
      <c r="T6" s="15" t="s">
        <v>2769</v>
      </c>
      <c r="U6" s="16">
        <v>178903298963.45627</v>
      </c>
    </row>
    <row r="7" spans="3:33" ht="12.75" x14ac:dyDescent="0.2">
      <c r="C7" s="15" t="s">
        <v>1357</v>
      </c>
      <c r="D7" s="16">
        <v>135395607364.7899</v>
      </c>
      <c r="E7" s="2" t="str">
        <f t="shared" ref="E7:E70" si="0">IF(D7&gt;=500000000000,"Critical",IF(AND(D7&gt;=50000000000,D7&lt;500000000000),"Significant",IF(AND(D7&gt;=45000000000,D7&lt;50000000000),"Almost Significant",IF(D7&lt;45000000000,"Non Significant",0))))</f>
        <v>Significant</v>
      </c>
      <c r="F7" s="2"/>
      <c r="G7" s="15" t="s">
        <v>1356</v>
      </c>
      <c r="H7" s="16">
        <v>136642779828.64677</v>
      </c>
      <c r="I7" s="2" t="str">
        <f t="shared" ref="I7:I70" si="1">IF(H7&gt;=500000000000,"Critical",IF(AND(H7&gt;=50000000000,H7&lt;500000000000),"Significant",IF(AND(H7&gt;=45000000000,H7&lt;50000000000),"Almost Significant",IF(H7&lt;45000000000,"Non Significant",0))))</f>
        <v>Significant</v>
      </c>
      <c r="K7" s="17" t="s">
        <v>3895</v>
      </c>
      <c r="L7" s="16">
        <v>12799828217.46068</v>
      </c>
      <c r="N7" s="14" t="s">
        <v>3896</v>
      </c>
      <c r="O7" s="18">
        <v>388252566726.34528</v>
      </c>
      <c r="Q7" s="15" t="s">
        <v>1356</v>
      </c>
      <c r="R7" s="16">
        <v>136072953215.64677</v>
      </c>
      <c r="T7" s="15" t="s">
        <v>1357</v>
      </c>
      <c r="U7" s="16">
        <v>135395607364.7899</v>
      </c>
    </row>
    <row r="8" spans="3:33" ht="12.75" x14ac:dyDescent="0.2">
      <c r="C8" s="15" t="s">
        <v>3897</v>
      </c>
      <c r="D8" s="16">
        <v>13337071280.458595</v>
      </c>
      <c r="E8" s="2" t="str">
        <f t="shared" si="0"/>
        <v>Non Significant</v>
      </c>
      <c r="F8" s="2"/>
      <c r="G8" s="15" t="s">
        <v>3898</v>
      </c>
      <c r="H8" s="16">
        <v>21312565591.136551</v>
      </c>
      <c r="I8" s="2" t="str">
        <f t="shared" si="1"/>
        <v>Non Significant</v>
      </c>
      <c r="K8" s="17" t="s">
        <v>3899</v>
      </c>
      <c r="L8" s="16">
        <v>1763146208.017</v>
      </c>
      <c r="N8" s="2" t="s">
        <v>3884</v>
      </c>
      <c r="O8" s="16">
        <v>19825490764.477684</v>
      </c>
      <c r="Q8" s="15" t="s">
        <v>2494</v>
      </c>
      <c r="R8" s="16">
        <v>1781588879</v>
      </c>
      <c r="T8" s="15" t="s">
        <v>3897</v>
      </c>
      <c r="U8" s="16">
        <v>13337071280.458595</v>
      </c>
    </row>
    <row r="9" spans="3:33" ht="12.75" x14ac:dyDescent="0.2">
      <c r="C9" s="15" t="s">
        <v>3900</v>
      </c>
      <c r="D9" s="16">
        <v>12522008119.518494</v>
      </c>
      <c r="E9" s="2" t="str">
        <f t="shared" si="0"/>
        <v>Non Significant</v>
      </c>
      <c r="F9" s="2"/>
      <c r="G9" s="15" t="s">
        <v>3901</v>
      </c>
      <c r="H9" s="16">
        <v>5262516339</v>
      </c>
      <c r="I9" s="2" t="str">
        <f t="shared" si="1"/>
        <v>Non Significant</v>
      </c>
      <c r="K9" s="17" t="s">
        <v>3902</v>
      </c>
      <c r="L9" s="16">
        <v>0</v>
      </c>
      <c r="N9" s="16" t="s">
        <v>3902</v>
      </c>
      <c r="O9" s="16">
        <v>0</v>
      </c>
      <c r="Q9" s="15" t="s">
        <v>567</v>
      </c>
      <c r="R9" s="16">
        <v>608279376.7299999</v>
      </c>
      <c r="T9" s="15" t="s">
        <v>3903</v>
      </c>
      <c r="U9" s="16">
        <v>4379144962.6000004</v>
      </c>
    </row>
    <row r="10" spans="3:33" ht="12.75" x14ac:dyDescent="0.2">
      <c r="C10" s="15" t="s">
        <v>3904</v>
      </c>
      <c r="D10" s="16">
        <v>8790557471.6180553</v>
      </c>
      <c r="E10" s="2" t="str">
        <f t="shared" si="0"/>
        <v>Non Significant</v>
      </c>
      <c r="F10" s="2"/>
      <c r="G10" s="15" t="s">
        <v>3905</v>
      </c>
      <c r="H10" s="16">
        <v>4931422533.252388</v>
      </c>
      <c r="I10" s="2" t="str">
        <f t="shared" si="1"/>
        <v>Non Significant</v>
      </c>
      <c r="K10" s="17" t="s">
        <v>3906</v>
      </c>
      <c r="L10" s="18">
        <v>19825490764.477676</v>
      </c>
      <c r="N10" s="14" t="s">
        <v>3906</v>
      </c>
      <c r="O10" s="18">
        <v>408078057490.82294</v>
      </c>
      <c r="Q10" s="15" t="s">
        <v>821</v>
      </c>
      <c r="R10" s="16">
        <v>597967380.3265897</v>
      </c>
      <c r="T10" s="15" t="s">
        <v>2488</v>
      </c>
      <c r="U10" s="16">
        <v>1114756668</v>
      </c>
    </row>
    <row r="11" spans="3:33" ht="12.75" x14ac:dyDescent="0.2">
      <c r="C11" s="15" t="s">
        <v>3907</v>
      </c>
      <c r="D11" s="16">
        <v>6020738085.8000002</v>
      </c>
      <c r="E11" s="2" t="str">
        <f t="shared" si="0"/>
        <v>Non Significant</v>
      </c>
      <c r="F11" s="2"/>
      <c r="G11" s="15" t="s">
        <v>3908</v>
      </c>
      <c r="H11" s="16">
        <v>4198715477.6789999</v>
      </c>
      <c r="I11" s="2" t="str">
        <f t="shared" si="1"/>
        <v>Non Significant</v>
      </c>
      <c r="O11"/>
      <c r="Q11" s="15" t="s">
        <v>3909</v>
      </c>
      <c r="R11" s="16">
        <v>369127268.77999997</v>
      </c>
      <c r="T11" s="15" t="s">
        <v>389</v>
      </c>
      <c r="U11" s="16">
        <v>677345850.85687852</v>
      </c>
    </row>
    <row r="12" spans="3:33" ht="12.75" x14ac:dyDescent="0.2">
      <c r="C12" s="15" t="s">
        <v>3910</v>
      </c>
      <c r="D12" s="16">
        <v>5948578738.5150023</v>
      </c>
      <c r="E12" s="2" t="str">
        <f t="shared" si="0"/>
        <v>Non Significant</v>
      </c>
      <c r="F12" s="2"/>
      <c r="G12" s="15" t="s">
        <v>3911</v>
      </c>
      <c r="H12" s="16">
        <v>2738000000</v>
      </c>
      <c r="I12" s="2" t="str">
        <f t="shared" si="1"/>
        <v>Non Significant</v>
      </c>
      <c r="Q12" s="15" t="s">
        <v>2311</v>
      </c>
      <c r="R12" s="16">
        <v>72633454</v>
      </c>
      <c r="T12" s="15" t="s">
        <v>822</v>
      </c>
      <c r="U12" s="16">
        <v>597967380.3265897</v>
      </c>
    </row>
    <row r="13" spans="3:33" x14ac:dyDescent="0.25">
      <c r="C13" s="15" t="s">
        <v>3912</v>
      </c>
      <c r="D13" s="16">
        <v>5262516339</v>
      </c>
      <c r="E13" s="2" t="str">
        <f t="shared" si="0"/>
        <v>Non Significant</v>
      </c>
      <c r="F13" s="2"/>
      <c r="G13" s="15" t="s">
        <v>3913</v>
      </c>
      <c r="H13" s="16">
        <v>1795054159.1928</v>
      </c>
      <c r="I13" s="2" t="str">
        <f t="shared" si="1"/>
        <v>Non Significant</v>
      </c>
      <c r="Q13" s="19" t="s">
        <v>3914</v>
      </c>
      <c r="R13" s="20">
        <v>336122064780.99823</v>
      </c>
      <c r="T13" s="15" t="s">
        <v>2492</v>
      </c>
      <c r="U13" s="16">
        <v>329732605</v>
      </c>
    </row>
    <row r="14" spans="3:33" ht="12.75" x14ac:dyDescent="0.2">
      <c r="C14" s="15" t="s">
        <v>3903</v>
      </c>
      <c r="D14" s="16">
        <v>4379144962.6000004</v>
      </c>
      <c r="E14" s="2" t="str">
        <f t="shared" si="0"/>
        <v>Non Significant</v>
      </c>
      <c r="F14" s="2"/>
      <c r="G14" s="15" t="s">
        <v>2494</v>
      </c>
      <c r="H14" s="16">
        <v>1781588879</v>
      </c>
      <c r="I14" s="2" t="str">
        <f t="shared" si="1"/>
        <v>Non Significant</v>
      </c>
      <c r="T14" s="15" t="s">
        <v>567</v>
      </c>
      <c r="U14" s="16">
        <v>306321232.02999997</v>
      </c>
    </row>
    <row r="15" spans="3:33" ht="12.75" x14ac:dyDescent="0.2">
      <c r="C15" s="15" t="s">
        <v>3915</v>
      </c>
      <c r="D15" s="16">
        <v>2914671477.6789999</v>
      </c>
      <c r="E15" s="2" t="str">
        <f t="shared" si="0"/>
        <v>Non Significant</v>
      </c>
      <c r="F15" s="2"/>
      <c r="G15" s="15" t="s">
        <v>2626</v>
      </c>
      <c r="H15" s="16">
        <v>1431672555.5544</v>
      </c>
      <c r="I15" s="2" t="str">
        <f t="shared" si="1"/>
        <v>Non Significant</v>
      </c>
      <c r="T15" s="15" t="s">
        <v>565</v>
      </c>
      <c r="U15" s="16">
        <v>301958144.69999993</v>
      </c>
    </row>
    <row r="16" spans="3:33" ht="12.75" x14ac:dyDescent="0.2">
      <c r="C16" s="15" t="s">
        <v>2714</v>
      </c>
      <c r="D16" s="16">
        <v>2738000000</v>
      </c>
      <c r="E16" s="2" t="str">
        <f t="shared" si="0"/>
        <v>Non Significant</v>
      </c>
      <c r="F16" s="2"/>
      <c r="G16" s="15" t="s">
        <v>3916</v>
      </c>
      <c r="H16" s="16">
        <v>1386268710</v>
      </c>
      <c r="I16" s="2" t="str">
        <f t="shared" si="1"/>
        <v>Non Significant</v>
      </c>
      <c r="T16" s="15" t="s">
        <v>3829</v>
      </c>
      <c r="U16" s="16">
        <v>254158873</v>
      </c>
    </row>
    <row r="17" spans="3:21" ht="12.75" x14ac:dyDescent="0.2">
      <c r="C17" s="15" t="s">
        <v>336</v>
      </c>
      <c r="D17" s="16">
        <v>2003383790.2100003</v>
      </c>
      <c r="E17" s="2" t="str">
        <f t="shared" si="0"/>
        <v>Non Significant</v>
      </c>
      <c r="F17" s="2"/>
      <c r="G17" s="15" t="s">
        <v>1251</v>
      </c>
      <c r="H17" s="16">
        <v>965931403.70480001</v>
      </c>
      <c r="I17" s="2" t="str">
        <f t="shared" si="1"/>
        <v>Non Significant</v>
      </c>
      <c r="R17"/>
      <c r="T17" s="15" t="s">
        <v>2473</v>
      </c>
      <c r="U17" s="16">
        <v>200000000</v>
      </c>
    </row>
    <row r="18" spans="3:21" ht="12.75" x14ac:dyDescent="0.2">
      <c r="C18" s="15" t="s">
        <v>343</v>
      </c>
      <c r="D18" s="16">
        <v>1861205632.79</v>
      </c>
      <c r="E18" s="2" t="str">
        <f t="shared" si="0"/>
        <v>Non Significant</v>
      </c>
      <c r="F18" s="2"/>
      <c r="G18" s="15" t="s">
        <v>821</v>
      </c>
      <c r="H18" s="16">
        <v>938491036.44851589</v>
      </c>
      <c r="I18" s="2" t="str">
        <f t="shared" si="1"/>
        <v>Non Significant</v>
      </c>
      <c r="K18" s="27" t="s">
        <v>3882</v>
      </c>
      <c r="L18" t="s">
        <v>3883</v>
      </c>
      <c r="T18" s="15" t="s">
        <v>2494</v>
      </c>
      <c r="U18" s="16">
        <v>137099606</v>
      </c>
    </row>
    <row r="19" spans="3:21" ht="12.75" x14ac:dyDescent="0.2">
      <c r="C19" s="15" t="s">
        <v>3917</v>
      </c>
      <c r="D19" s="16">
        <v>1795054159.1928</v>
      </c>
      <c r="E19" s="2" t="str">
        <f t="shared" si="0"/>
        <v>Non Significant</v>
      </c>
      <c r="F19" s="2"/>
      <c r="G19" s="15" t="s">
        <v>3918</v>
      </c>
      <c r="H19" s="16">
        <v>857356749</v>
      </c>
      <c r="I19" s="2" t="str">
        <f t="shared" si="1"/>
        <v>Non Significant</v>
      </c>
      <c r="T19" s="15" t="s">
        <v>3837</v>
      </c>
      <c r="U19" s="16">
        <v>114968395.77999999</v>
      </c>
    </row>
    <row r="20" spans="3:21" x14ac:dyDescent="0.25">
      <c r="C20" s="15" t="s">
        <v>3919</v>
      </c>
      <c r="D20" s="16">
        <v>1392500000</v>
      </c>
      <c r="E20" s="2" t="str">
        <f t="shared" si="0"/>
        <v>Non Significant</v>
      </c>
      <c r="F20" s="2"/>
      <c r="G20" s="15" t="s">
        <v>3920</v>
      </c>
      <c r="H20" s="16">
        <v>620836201.58840013</v>
      </c>
      <c r="I20" s="2" t="str">
        <f t="shared" si="1"/>
        <v>Non Significant</v>
      </c>
      <c r="K20" s="28" t="s">
        <v>3921</v>
      </c>
      <c r="L20" s="2" t="s">
        <v>3891</v>
      </c>
      <c r="T20" s="17" t="s">
        <v>2317</v>
      </c>
      <c r="U20" s="16">
        <v>72633454</v>
      </c>
    </row>
    <row r="21" spans="3:21" x14ac:dyDescent="0.25">
      <c r="C21" s="15" t="s">
        <v>438</v>
      </c>
      <c r="D21" s="16">
        <v>1386268710</v>
      </c>
      <c r="E21" s="2" t="str">
        <f t="shared" si="0"/>
        <v>Non Significant</v>
      </c>
      <c r="F21" s="2"/>
      <c r="G21" s="15" t="s">
        <v>3922</v>
      </c>
      <c r="H21" s="16">
        <v>617967374.32240248</v>
      </c>
      <c r="I21" s="2" t="str">
        <f t="shared" si="1"/>
        <v>Non Significant</v>
      </c>
      <c r="K21" s="17" t="s">
        <v>3923</v>
      </c>
      <c r="L21" s="16">
        <v>137354123508.0574</v>
      </c>
      <c r="T21" s="19" t="s">
        <v>3914</v>
      </c>
      <c r="U21" s="20">
        <v>336122064780.99829</v>
      </c>
    </row>
    <row r="22" spans="3:21" ht="12.75" x14ac:dyDescent="0.2">
      <c r="C22" s="15" t="s">
        <v>2730</v>
      </c>
      <c r="D22" s="16">
        <v>1284044000</v>
      </c>
      <c r="E22" s="2" t="str">
        <f t="shared" si="0"/>
        <v>Non Significant</v>
      </c>
      <c r="F22" s="2"/>
      <c r="G22" s="15" t="s">
        <v>567</v>
      </c>
      <c r="H22" s="16">
        <v>608279376.7299999</v>
      </c>
      <c r="I22" s="2" t="str">
        <f t="shared" si="1"/>
        <v>Non Significant</v>
      </c>
      <c r="K22" s="17" t="s">
        <v>3924</v>
      </c>
      <c r="L22" s="16">
        <v>372373610.53999996</v>
      </c>
    </row>
    <row r="23" spans="3:21" ht="12.75" x14ac:dyDescent="0.2">
      <c r="C23" s="15" t="s">
        <v>2488</v>
      </c>
      <c r="D23" s="16">
        <v>1114756668</v>
      </c>
      <c r="E23" s="2" t="str">
        <f t="shared" si="0"/>
        <v>Non Significant</v>
      </c>
      <c r="F23" s="2"/>
      <c r="G23" s="15" t="s">
        <v>3925</v>
      </c>
      <c r="H23" s="16">
        <v>489331004.93240005</v>
      </c>
      <c r="I23" s="2" t="str">
        <f t="shared" si="1"/>
        <v>Non Significant</v>
      </c>
      <c r="K23" s="17" t="s">
        <v>3926</v>
      </c>
      <c r="L23" s="16">
        <v>0</v>
      </c>
    </row>
    <row r="24" spans="3:21" ht="12.75" x14ac:dyDescent="0.2">
      <c r="C24" s="15" t="s">
        <v>3927</v>
      </c>
      <c r="D24" s="16">
        <v>915072555.55440009</v>
      </c>
      <c r="E24" s="2" t="str">
        <f t="shared" si="0"/>
        <v>Non Significant</v>
      </c>
      <c r="F24" s="2"/>
      <c r="G24" s="15" t="s">
        <v>3928</v>
      </c>
      <c r="H24" s="16">
        <v>469196420.85480005</v>
      </c>
      <c r="I24" s="2" t="str">
        <f t="shared" si="1"/>
        <v>Non Significant</v>
      </c>
      <c r="K24" s="17" t="s">
        <v>3929</v>
      </c>
      <c r="L24" s="16">
        <v>608279376.7299999</v>
      </c>
    </row>
    <row r="25" spans="3:21" ht="12.75" x14ac:dyDescent="0.2">
      <c r="C25" s="15" t="s">
        <v>3930</v>
      </c>
      <c r="D25" s="16">
        <v>725931403.70480001</v>
      </c>
      <c r="E25" s="2" t="str">
        <f t="shared" si="0"/>
        <v>Non Significant</v>
      </c>
      <c r="F25" s="2"/>
      <c r="G25" s="15" t="s">
        <v>3931</v>
      </c>
      <c r="H25" s="16">
        <v>461054583.19240004</v>
      </c>
      <c r="I25" s="2" t="str">
        <f t="shared" si="1"/>
        <v>Non Significant</v>
      </c>
      <c r="K25" s="17" t="s">
        <v>3932</v>
      </c>
      <c r="L25" s="16">
        <v>246874256993.58801</v>
      </c>
    </row>
    <row r="26" spans="3:21" ht="12.75" x14ac:dyDescent="0.2">
      <c r="C26" s="15" t="s">
        <v>3933</v>
      </c>
      <c r="D26" s="16">
        <v>684657431</v>
      </c>
      <c r="E26" s="2" t="str">
        <f t="shared" si="0"/>
        <v>Non Significant</v>
      </c>
      <c r="F26" s="2"/>
      <c r="G26" s="15" t="s">
        <v>3934</v>
      </c>
      <c r="H26" s="16">
        <v>438242977.79159999</v>
      </c>
      <c r="I26" s="2" t="str">
        <f t="shared" si="1"/>
        <v>Non Significant</v>
      </c>
      <c r="K26" s="17" t="s">
        <v>3935</v>
      </c>
      <c r="L26" s="16">
        <v>22869024001.907467</v>
      </c>
    </row>
    <row r="27" spans="3:21" ht="12.75" x14ac:dyDescent="0.2">
      <c r="C27" s="15" t="s">
        <v>389</v>
      </c>
      <c r="D27" s="16">
        <v>677345850.85687852</v>
      </c>
      <c r="E27" s="2" t="str">
        <f t="shared" si="0"/>
        <v>Non Significant</v>
      </c>
      <c r="F27" s="2"/>
      <c r="G27" s="15" t="s">
        <v>1167</v>
      </c>
      <c r="H27" s="16">
        <v>431759000</v>
      </c>
      <c r="I27" s="2" t="str">
        <f t="shared" si="1"/>
        <v>Non Significant</v>
      </c>
      <c r="K27" s="17" t="s">
        <v>3906</v>
      </c>
      <c r="L27" s="16">
        <v>408078057490.82288</v>
      </c>
    </row>
    <row r="28" spans="3:21" ht="12.75" x14ac:dyDescent="0.2">
      <c r="C28" s="15" t="s">
        <v>820</v>
      </c>
      <c r="D28" s="16">
        <v>617967374.32240248</v>
      </c>
      <c r="E28" s="2" t="str">
        <f t="shared" si="0"/>
        <v>Non Significant</v>
      </c>
      <c r="F28" s="2"/>
      <c r="G28" s="15" t="s">
        <v>3936</v>
      </c>
      <c r="H28" s="16">
        <v>394799457.07560003</v>
      </c>
      <c r="I28" s="2" t="str">
        <f t="shared" si="1"/>
        <v>Non Significant</v>
      </c>
    </row>
    <row r="29" spans="3:21" ht="12.75" x14ac:dyDescent="0.2">
      <c r="C29" s="15" t="s">
        <v>3213</v>
      </c>
      <c r="D29" s="16">
        <v>600000000</v>
      </c>
      <c r="E29" s="2" t="str">
        <f t="shared" si="0"/>
        <v>Non Significant</v>
      </c>
      <c r="F29" s="2"/>
      <c r="G29" s="15" t="s">
        <v>3937</v>
      </c>
      <c r="H29" s="16">
        <v>389421447.42320001</v>
      </c>
      <c r="I29" s="2" t="str">
        <f t="shared" si="1"/>
        <v>Non Significant</v>
      </c>
    </row>
    <row r="30" spans="3:21" ht="12.75" x14ac:dyDescent="0.2">
      <c r="C30" s="15" t="s">
        <v>822</v>
      </c>
      <c r="D30" s="16">
        <v>597967380.3265897</v>
      </c>
      <c r="E30" s="2" t="str">
        <f t="shared" si="0"/>
        <v>Non Significant</v>
      </c>
      <c r="F30" s="2"/>
      <c r="G30" s="15" t="s">
        <v>3909</v>
      </c>
      <c r="H30" s="16">
        <v>369127268.77999997</v>
      </c>
      <c r="I30" s="2" t="str">
        <f t="shared" si="1"/>
        <v>Non Significant</v>
      </c>
    </row>
    <row r="31" spans="3:21" ht="12.75" x14ac:dyDescent="0.2">
      <c r="C31" s="15" t="s">
        <v>2626</v>
      </c>
      <c r="D31" s="16">
        <v>516600000</v>
      </c>
      <c r="E31" s="2" t="str">
        <f t="shared" si="0"/>
        <v>Non Significant</v>
      </c>
      <c r="F31" s="2"/>
      <c r="G31" s="15" t="s">
        <v>2362</v>
      </c>
      <c r="H31" s="16">
        <v>348868402.24400008</v>
      </c>
      <c r="I31" s="2" t="str">
        <f t="shared" si="1"/>
        <v>Non Significant</v>
      </c>
    </row>
    <row r="32" spans="3:21" ht="12.75" x14ac:dyDescent="0.2">
      <c r="C32" s="15" t="s">
        <v>1332</v>
      </c>
      <c r="D32" s="16">
        <v>515734000</v>
      </c>
      <c r="E32" s="2" t="str">
        <f t="shared" si="0"/>
        <v>Non Significant</v>
      </c>
      <c r="F32" s="2"/>
      <c r="G32" s="15" t="s">
        <v>3938</v>
      </c>
      <c r="H32" s="16">
        <v>337208424.39560002</v>
      </c>
      <c r="I32" s="2" t="str">
        <f t="shared" si="1"/>
        <v>Non Significant</v>
      </c>
    </row>
    <row r="33" spans="3:9" ht="12.75" x14ac:dyDescent="0.2">
      <c r="C33" s="15" t="s">
        <v>3939</v>
      </c>
      <c r="D33" s="16">
        <v>469196420.85480005</v>
      </c>
      <c r="E33" s="2" t="str">
        <f t="shared" si="0"/>
        <v>Non Significant</v>
      </c>
      <c r="F33" s="2"/>
      <c r="G33" s="15" t="s">
        <v>3633</v>
      </c>
      <c r="H33" s="16">
        <v>304810000</v>
      </c>
      <c r="I33" s="2" t="str">
        <f t="shared" si="1"/>
        <v>Non Significant</v>
      </c>
    </row>
    <row r="34" spans="3:9" ht="12.75" x14ac:dyDescent="0.2">
      <c r="C34" s="15" t="s">
        <v>3940</v>
      </c>
      <c r="D34" s="16">
        <v>461054583.19240004</v>
      </c>
      <c r="E34" s="2" t="str">
        <f t="shared" si="0"/>
        <v>Non Significant</v>
      </c>
      <c r="F34" s="2"/>
      <c r="G34" s="15" t="s">
        <v>3941</v>
      </c>
      <c r="H34" s="16">
        <v>285650359.02450001</v>
      </c>
      <c r="I34" s="2" t="str">
        <f t="shared" si="1"/>
        <v>Non Significant</v>
      </c>
    </row>
    <row r="35" spans="3:9" ht="12.75" x14ac:dyDescent="0.2">
      <c r="C35" s="15" t="s">
        <v>3942</v>
      </c>
      <c r="D35" s="16">
        <v>457831004.93240005</v>
      </c>
      <c r="E35" s="2" t="str">
        <f t="shared" si="0"/>
        <v>Non Significant</v>
      </c>
      <c r="F35" s="2"/>
      <c r="G35" s="15" t="s">
        <v>3943</v>
      </c>
      <c r="H35" s="16">
        <v>268643801.9648</v>
      </c>
      <c r="I35" s="2" t="str">
        <f t="shared" si="1"/>
        <v>Non Significant</v>
      </c>
    </row>
    <row r="36" spans="3:9" ht="12.75" x14ac:dyDescent="0.2">
      <c r="C36" s="15" t="s">
        <v>3944</v>
      </c>
      <c r="D36" s="16">
        <v>448291872.66600001</v>
      </c>
      <c r="E36" s="2" t="str">
        <f t="shared" si="0"/>
        <v>Non Significant</v>
      </c>
      <c r="F36" s="2"/>
      <c r="G36" s="15" t="s">
        <v>3945</v>
      </c>
      <c r="H36" s="16">
        <v>260000000</v>
      </c>
      <c r="I36" s="2" t="str">
        <f t="shared" si="1"/>
        <v>Non Significant</v>
      </c>
    </row>
    <row r="37" spans="3:9" ht="12.75" x14ac:dyDescent="0.2">
      <c r="C37" s="15" t="s">
        <v>1307</v>
      </c>
      <c r="D37" s="16">
        <v>421883502.2216</v>
      </c>
      <c r="E37" s="2" t="str">
        <f t="shared" si="0"/>
        <v>Non Significant</v>
      </c>
      <c r="F37" s="2"/>
      <c r="G37" s="15" t="s">
        <v>3946</v>
      </c>
      <c r="H37" s="16">
        <v>240000000</v>
      </c>
      <c r="I37" s="2" t="str">
        <f t="shared" si="1"/>
        <v>Non Significant</v>
      </c>
    </row>
    <row r="38" spans="3:9" ht="12.75" x14ac:dyDescent="0.2">
      <c r="C38" s="15" t="s">
        <v>3947</v>
      </c>
      <c r="D38" s="16">
        <v>394799457.07560003</v>
      </c>
      <c r="E38" s="2" t="str">
        <f t="shared" si="0"/>
        <v>Non Significant</v>
      </c>
      <c r="F38" s="2"/>
      <c r="G38" s="15" t="s">
        <v>3948</v>
      </c>
      <c r="H38" s="16">
        <v>227950381</v>
      </c>
      <c r="I38" s="2" t="str">
        <f t="shared" si="1"/>
        <v>Non Significant</v>
      </c>
    </row>
    <row r="39" spans="3:9" ht="12.75" x14ac:dyDescent="0.2">
      <c r="C39" s="15" t="s">
        <v>3949</v>
      </c>
      <c r="D39" s="16">
        <v>388321447.42320001</v>
      </c>
      <c r="E39" s="2" t="str">
        <f t="shared" si="0"/>
        <v>Non Significant</v>
      </c>
      <c r="F39" s="2"/>
      <c r="G39" s="15" t="s">
        <v>3950</v>
      </c>
      <c r="H39" s="16">
        <v>203124573.00920001</v>
      </c>
      <c r="I39" s="2" t="str">
        <f t="shared" si="1"/>
        <v>Non Significant</v>
      </c>
    </row>
    <row r="40" spans="3:9" ht="12.75" x14ac:dyDescent="0.2">
      <c r="C40" s="15" t="s">
        <v>3951</v>
      </c>
      <c r="D40" s="16">
        <v>375961327.35200006</v>
      </c>
      <c r="E40" s="2" t="str">
        <f t="shared" si="0"/>
        <v>Non Significant</v>
      </c>
      <c r="F40" s="2"/>
      <c r="G40" s="15" t="s">
        <v>3952</v>
      </c>
      <c r="H40" s="16">
        <v>199938017.53999999</v>
      </c>
      <c r="I40" s="2" t="str">
        <f t="shared" si="1"/>
        <v>Non Significant</v>
      </c>
    </row>
    <row r="41" spans="3:9" ht="12.75" x14ac:dyDescent="0.2">
      <c r="C41" s="15" t="s">
        <v>2997</v>
      </c>
      <c r="D41" s="16">
        <v>370000000</v>
      </c>
      <c r="E41" s="2" t="str">
        <f t="shared" si="0"/>
        <v>Non Significant</v>
      </c>
      <c r="F41" s="2"/>
      <c r="G41" s="15" t="s">
        <v>3953</v>
      </c>
      <c r="H41" s="16">
        <v>190933275</v>
      </c>
      <c r="I41" s="2" t="str">
        <f t="shared" si="1"/>
        <v>Non Significant</v>
      </c>
    </row>
    <row r="42" spans="3:9" ht="12.75" x14ac:dyDescent="0.2">
      <c r="C42" s="15" t="s">
        <v>3954</v>
      </c>
      <c r="D42" s="16">
        <v>358729200</v>
      </c>
      <c r="E42" s="2" t="str">
        <f t="shared" si="0"/>
        <v>Non Significant</v>
      </c>
      <c r="F42" s="2"/>
      <c r="G42" s="15" t="s">
        <v>3955</v>
      </c>
      <c r="H42" s="16">
        <v>164273548.12960002</v>
      </c>
      <c r="I42" s="2" t="str">
        <f t="shared" si="1"/>
        <v>Non Significant</v>
      </c>
    </row>
    <row r="43" spans="3:9" ht="12.75" x14ac:dyDescent="0.2">
      <c r="C43" s="15" t="s">
        <v>808</v>
      </c>
      <c r="D43" s="16">
        <v>340523656.12192625</v>
      </c>
      <c r="E43" s="2" t="str">
        <f t="shared" si="0"/>
        <v>Non Significant</v>
      </c>
      <c r="F43" s="2"/>
      <c r="G43" s="15" t="s">
        <v>3956</v>
      </c>
      <c r="H43" s="16">
        <v>138788859.42840001</v>
      </c>
      <c r="I43" s="2" t="str">
        <f t="shared" si="1"/>
        <v>Non Significant</v>
      </c>
    </row>
    <row r="44" spans="3:9" ht="12.75" x14ac:dyDescent="0.2">
      <c r="C44" s="15" t="s">
        <v>3957</v>
      </c>
      <c r="D44" s="16">
        <v>337208424.39560002</v>
      </c>
      <c r="E44" s="2" t="str">
        <f t="shared" si="0"/>
        <v>Non Significant</v>
      </c>
      <c r="F44" s="2"/>
      <c r="G44" s="15" t="s">
        <v>3958</v>
      </c>
      <c r="H44" s="16">
        <v>135557060.58399999</v>
      </c>
      <c r="I44" s="2" t="str">
        <f t="shared" si="1"/>
        <v>Non Significant</v>
      </c>
    </row>
    <row r="45" spans="3:9" ht="12.75" x14ac:dyDescent="0.2">
      <c r="C45" s="15" t="s">
        <v>2492</v>
      </c>
      <c r="D45" s="16">
        <v>329732605</v>
      </c>
      <c r="E45" s="2" t="str">
        <f t="shared" si="0"/>
        <v>Non Significant</v>
      </c>
      <c r="F45" s="2"/>
      <c r="G45" s="15" t="s">
        <v>3959</v>
      </c>
      <c r="H45" s="16">
        <v>133718528.4544</v>
      </c>
      <c r="I45" s="2" t="str">
        <f t="shared" si="1"/>
        <v>Non Significant</v>
      </c>
    </row>
    <row r="46" spans="3:9" ht="12.75" x14ac:dyDescent="0.2">
      <c r="C46" s="15" t="s">
        <v>567</v>
      </c>
      <c r="D46" s="16">
        <v>306321232.02999997</v>
      </c>
      <c r="E46" s="2" t="str">
        <f t="shared" si="0"/>
        <v>Non Significant</v>
      </c>
      <c r="F46" s="2"/>
      <c r="G46" s="15" t="s">
        <v>3960</v>
      </c>
      <c r="H46" s="16">
        <v>132291604</v>
      </c>
      <c r="I46" s="2" t="str">
        <f t="shared" si="1"/>
        <v>Non Significant</v>
      </c>
    </row>
    <row r="47" spans="3:9" ht="12.75" x14ac:dyDescent="0.2">
      <c r="C47" s="15" t="s">
        <v>3961</v>
      </c>
      <c r="D47" s="16">
        <v>304810000</v>
      </c>
      <c r="E47" s="2" t="str">
        <f t="shared" si="0"/>
        <v>Non Significant</v>
      </c>
      <c r="F47" s="2"/>
      <c r="G47" s="15" t="s">
        <v>3962</v>
      </c>
      <c r="H47" s="16">
        <v>131549623.6788</v>
      </c>
      <c r="I47" s="2" t="str">
        <f t="shared" si="1"/>
        <v>Non Significant</v>
      </c>
    </row>
    <row r="48" spans="3:9" ht="12.75" x14ac:dyDescent="0.2">
      <c r="C48" s="15" t="s">
        <v>2365</v>
      </c>
      <c r="D48" s="16">
        <v>303250164.75320005</v>
      </c>
      <c r="E48" s="2" t="str">
        <f t="shared" si="0"/>
        <v>Non Significant</v>
      </c>
      <c r="F48" s="2"/>
      <c r="G48" s="15" t="s">
        <v>3627</v>
      </c>
      <c r="H48" s="16">
        <v>114082786.35440001</v>
      </c>
      <c r="I48" s="2" t="str">
        <f t="shared" si="1"/>
        <v>Non Significant</v>
      </c>
    </row>
    <row r="49" spans="3:9" ht="12.75" x14ac:dyDescent="0.2">
      <c r="C49" s="15" t="s">
        <v>565</v>
      </c>
      <c r="D49" s="16">
        <v>301958144.69999993</v>
      </c>
      <c r="E49" s="2" t="str">
        <f t="shared" si="0"/>
        <v>Non Significant</v>
      </c>
      <c r="F49" s="2"/>
      <c r="G49" s="15" t="s">
        <v>3963</v>
      </c>
      <c r="H49" s="16">
        <v>105621370</v>
      </c>
      <c r="I49" s="2" t="str">
        <f t="shared" si="1"/>
        <v>Non Significant</v>
      </c>
    </row>
    <row r="50" spans="3:9" ht="12.75" x14ac:dyDescent="0.2">
      <c r="C50" s="15" t="s">
        <v>3964</v>
      </c>
      <c r="D50" s="16">
        <v>285650359.02450001</v>
      </c>
      <c r="E50" s="2" t="str">
        <f t="shared" si="0"/>
        <v>Non Significant</v>
      </c>
      <c r="F50" s="2"/>
      <c r="G50" s="15" t="s">
        <v>3965</v>
      </c>
      <c r="H50" s="16">
        <v>100759846.184</v>
      </c>
      <c r="I50" s="2" t="str">
        <f t="shared" si="1"/>
        <v>Non Significant</v>
      </c>
    </row>
    <row r="51" spans="3:9" ht="12.75" x14ac:dyDescent="0.2">
      <c r="C51" s="15" t="s">
        <v>3966</v>
      </c>
      <c r="D51" s="16">
        <v>283656466.43279999</v>
      </c>
      <c r="E51" s="2" t="str">
        <f t="shared" si="0"/>
        <v>Non Significant</v>
      </c>
      <c r="F51" s="2"/>
      <c r="G51" s="15" t="s">
        <v>2433</v>
      </c>
      <c r="H51" s="16">
        <v>100000000</v>
      </c>
      <c r="I51" s="2" t="str">
        <f t="shared" si="1"/>
        <v>Non Significant</v>
      </c>
    </row>
    <row r="52" spans="3:9" ht="12.75" x14ac:dyDescent="0.2">
      <c r="C52" s="15" t="s">
        <v>3967</v>
      </c>
      <c r="D52" s="16">
        <v>268643801.9648</v>
      </c>
      <c r="E52" s="2" t="str">
        <f t="shared" si="0"/>
        <v>Non Significant</v>
      </c>
      <c r="F52" s="2"/>
      <c r="G52" s="15" t="s">
        <v>2680</v>
      </c>
      <c r="H52" s="16">
        <v>93621920.704400003</v>
      </c>
      <c r="I52" s="2" t="str">
        <f t="shared" si="1"/>
        <v>Non Significant</v>
      </c>
    </row>
    <row r="53" spans="3:9" ht="12.75" x14ac:dyDescent="0.2">
      <c r="C53" s="15" t="s">
        <v>3968</v>
      </c>
      <c r="D53" s="16">
        <v>260000000</v>
      </c>
      <c r="E53" s="2" t="str">
        <f t="shared" si="0"/>
        <v>Non Significant</v>
      </c>
      <c r="F53" s="2"/>
      <c r="G53" s="15" t="s">
        <v>3969</v>
      </c>
      <c r="H53" s="16">
        <v>87555838.691200003</v>
      </c>
      <c r="I53" s="2" t="str">
        <f t="shared" si="1"/>
        <v>Non Significant</v>
      </c>
    </row>
    <row r="54" spans="3:9" ht="12.75" x14ac:dyDescent="0.2">
      <c r="C54" s="15" t="s">
        <v>3829</v>
      </c>
      <c r="D54" s="16">
        <v>254158873</v>
      </c>
      <c r="E54" s="2" t="str">
        <f t="shared" si="0"/>
        <v>Non Significant</v>
      </c>
      <c r="F54" s="2"/>
      <c r="G54" s="15" t="s">
        <v>2311</v>
      </c>
      <c r="H54" s="16">
        <v>72633454</v>
      </c>
      <c r="I54" s="2" t="str">
        <f t="shared" si="1"/>
        <v>Non Significant</v>
      </c>
    </row>
    <row r="55" spans="3:9" ht="12.75" x14ac:dyDescent="0.2">
      <c r="C55" s="15" t="s">
        <v>3970</v>
      </c>
      <c r="D55" s="16">
        <v>251531094</v>
      </c>
      <c r="E55" s="2" t="str">
        <f t="shared" si="0"/>
        <v>Non Significant</v>
      </c>
      <c r="F55" s="2"/>
      <c r="G55" s="15" t="s">
        <v>3971</v>
      </c>
      <c r="H55" s="16">
        <v>64803133.249600001</v>
      </c>
      <c r="I55" s="2" t="str">
        <f t="shared" si="1"/>
        <v>Non Significant</v>
      </c>
    </row>
    <row r="56" spans="3:9" ht="12.75" x14ac:dyDescent="0.2">
      <c r="C56" s="15" t="s">
        <v>3972</v>
      </c>
      <c r="D56" s="16">
        <v>240000000</v>
      </c>
      <c r="E56" s="2" t="str">
        <f t="shared" si="0"/>
        <v>Non Significant</v>
      </c>
      <c r="F56" s="2"/>
      <c r="G56" s="15" t="s">
        <v>3973</v>
      </c>
      <c r="H56" s="16">
        <v>60500000</v>
      </c>
      <c r="I56" s="2" t="str">
        <f t="shared" si="1"/>
        <v>Non Significant</v>
      </c>
    </row>
    <row r="57" spans="3:9" ht="12.75" x14ac:dyDescent="0.2">
      <c r="C57" s="15" t="s">
        <v>1251</v>
      </c>
      <c r="D57" s="16">
        <v>240000000</v>
      </c>
      <c r="E57" s="2" t="str">
        <f t="shared" si="0"/>
        <v>Non Significant</v>
      </c>
      <c r="F57" s="2"/>
      <c r="G57" s="15" t="s">
        <v>3974</v>
      </c>
      <c r="H57" s="16">
        <v>60000000</v>
      </c>
      <c r="I57" s="2" t="str">
        <f t="shared" si="1"/>
        <v>Non Significant</v>
      </c>
    </row>
    <row r="58" spans="3:9" ht="12.75" x14ac:dyDescent="0.2">
      <c r="C58" s="15" t="s">
        <v>3975</v>
      </c>
      <c r="D58" s="16">
        <v>232246963</v>
      </c>
      <c r="E58" s="2" t="str">
        <f t="shared" si="0"/>
        <v>Non Significant</v>
      </c>
      <c r="F58" s="2"/>
      <c r="G58" s="15" t="s">
        <v>3976</v>
      </c>
      <c r="H58" s="16">
        <v>49173651.299999997</v>
      </c>
      <c r="I58" s="2" t="str">
        <f t="shared" si="1"/>
        <v>Non Significant</v>
      </c>
    </row>
    <row r="59" spans="3:9" ht="12.75" x14ac:dyDescent="0.2">
      <c r="C59" s="15" t="s">
        <v>3977</v>
      </c>
      <c r="D59" s="16">
        <v>229622789.42052099</v>
      </c>
      <c r="E59" s="2" t="str">
        <f t="shared" si="0"/>
        <v>Non Significant</v>
      </c>
      <c r="F59" s="2"/>
      <c r="G59" s="15" t="s">
        <v>3978</v>
      </c>
      <c r="H59" s="16">
        <v>43019736.852972999</v>
      </c>
      <c r="I59" s="2" t="str">
        <f t="shared" si="1"/>
        <v>Non Significant</v>
      </c>
    </row>
    <row r="60" spans="3:9" ht="12.75" x14ac:dyDescent="0.2">
      <c r="C60" s="15" t="s">
        <v>3979</v>
      </c>
      <c r="D60" s="16">
        <v>227950381</v>
      </c>
      <c r="E60" s="2" t="str">
        <f t="shared" si="0"/>
        <v>Non Significant</v>
      </c>
      <c r="F60" s="2"/>
      <c r="G60" s="15" t="s">
        <v>3980</v>
      </c>
      <c r="H60" s="16">
        <v>40000000</v>
      </c>
      <c r="I60" s="2" t="str">
        <f t="shared" si="1"/>
        <v>Non Significant</v>
      </c>
    </row>
    <row r="61" spans="3:9" ht="12.75" x14ac:dyDescent="0.2">
      <c r="C61" s="15" t="s">
        <v>3981</v>
      </c>
      <c r="D61" s="16">
        <v>213667977.29640001</v>
      </c>
      <c r="E61" s="2" t="str">
        <f t="shared" si="0"/>
        <v>Non Significant</v>
      </c>
      <c r="F61" s="2"/>
      <c r="G61" s="15" t="s">
        <v>3982</v>
      </c>
      <c r="H61" s="16">
        <v>39420744.939999998</v>
      </c>
      <c r="I61" s="2" t="str">
        <f t="shared" si="1"/>
        <v>Non Significant</v>
      </c>
    </row>
    <row r="62" spans="3:9" ht="12.75" x14ac:dyDescent="0.2">
      <c r="C62" s="15" t="s">
        <v>2473</v>
      </c>
      <c r="D62" s="16">
        <v>200000000</v>
      </c>
      <c r="E62" s="2" t="str">
        <f t="shared" si="0"/>
        <v>Non Significant</v>
      </c>
      <c r="F62" s="2"/>
      <c r="G62" s="15" t="s">
        <v>3983</v>
      </c>
      <c r="H62" s="16">
        <v>36305000</v>
      </c>
      <c r="I62" s="2" t="str">
        <f t="shared" si="1"/>
        <v>Non Significant</v>
      </c>
    </row>
    <row r="63" spans="3:9" ht="12.75" x14ac:dyDescent="0.2">
      <c r="C63" s="15" t="s">
        <v>2599</v>
      </c>
      <c r="D63" s="16">
        <v>199938017.53999999</v>
      </c>
      <c r="E63" s="2" t="str">
        <f t="shared" si="0"/>
        <v>Non Significant</v>
      </c>
      <c r="F63" s="2"/>
      <c r="G63" s="15" t="s">
        <v>1179</v>
      </c>
      <c r="H63" s="16">
        <v>30000000</v>
      </c>
      <c r="I63" s="2" t="str">
        <f t="shared" si="1"/>
        <v>Non Significant</v>
      </c>
    </row>
    <row r="64" spans="3:9" ht="12.75" x14ac:dyDescent="0.2">
      <c r="C64" s="15" t="s">
        <v>3984</v>
      </c>
      <c r="D64" s="16">
        <v>175119088</v>
      </c>
      <c r="E64" s="2" t="str">
        <f t="shared" si="0"/>
        <v>Non Significant</v>
      </c>
      <c r="F64" s="2"/>
      <c r="G64" s="15" t="s">
        <v>3985</v>
      </c>
      <c r="H64" s="16">
        <v>29087000</v>
      </c>
      <c r="I64" s="2" t="str">
        <f t="shared" si="1"/>
        <v>Non Significant</v>
      </c>
    </row>
    <row r="65" spans="3:9" ht="12.75" x14ac:dyDescent="0.2">
      <c r="C65" s="15" t="s">
        <v>3986</v>
      </c>
      <c r="D65" s="16">
        <v>175100475</v>
      </c>
      <c r="E65" s="2" t="str">
        <f t="shared" si="0"/>
        <v>Non Significant</v>
      </c>
      <c r="F65" s="2"/>
      <c r="G65" s="15" t="s">
        <v>1273</v>
      </c>
      <c r="H65" s="16">
        <v>29030624.7872</v>
      </c>
      <c r="I65" s="2" t="str">
        <f t="shared" si="1"/>
        <v>Non Significant</v>
      </c>
    </row>
    <row r="66" spans="3:9" ht="12.75" x14ac:dyDescent="0.2">
      <c r="C66" s="15" t="s">
        <v>523</v>
      </c>
      <c r="D66" s="16">
        <v>173634941</v>
      </c>
      <c r="E66" s="2" t="str">
        <f t="shared" si="0"/>
        <v>Non Significant</v>
      </c>
      <c r="F66" s="2"/>
      <c r="G66" s="15" t="s">
        <v>3987</v>
      </c>
      <c r="H66" s="16">
        <v>26239927.036400001</v>
      </c>
      <c r="I66" s="2" t="str">
        <f t="shared" si="1"/>
        <v>Non Significant</v>
      </c>
    </row>
    <row r="67" spans="3:9" ht="12.75" x14ac:dyDescent="0.2">
      <c r="C67" s="15" t="s">
        <v>3988</v>
      </c>
      <c r="D67" s="16">
        <v>173124573.00920001</v>
      </c>
      <c r="E67" s="2" t="str">
        <f t="shared" si="0"/>
        <v>Non Significant</v>
      </c>
      <c r="F67" s="2"/>
      <c r="G67" s="15" t="s">
        <v>2581</v>
      </c>
      <c r="H67" s="16">
        <v>18393129</v>
      </c>
      <c r="I67" s="2" t="str">
        <f t="shared" si="1"/>
        <v>Non Significant</v>
      </c>
    </row>
    <row r="68" spans="3:9" ht="12.75" x14ac:dyDescent="0.2">
      <c r="C68" s="15" t="s">
        <v>3989</v>
      </c>
      <c r="D68" s="16">
        <v>164273548.12960002</v>
      </c>
      <c r="E68" s="2" t="str">
        <f t="shared" si="0"/>
        <v>Non Significant</v>
      </c>
      <c r="F68" s="2"/>
      <c r="G68" s="15" t="s">
        <v>3990</v>
      </c>
      <c r="H68" s="16">
        <v>17974778.051789001</v>
      </c>
      <c r="I68" s="2" t="str">
        <f t="shared" si="1"/>
        <v>Non Significant</v>
      </c>
    </row>
    <row r="69" spans="3:9" ht="12.75" x14ac:dyDescent="0.2">
      <c r="C69" s="15" t="s">
        <v>3991</v>
      </c>
      <c r="D69" s="16">
        <v>138788859.42840001</v>
      </c>
      <c r="E69" s="2" t="str">
        <f t="shared" si="0"/>
        <v>Non Significant</v>
      </c>
      <c r="F69" s="2"/>
      <c r="G69" s="15" t="s">
        <v>3992</v>
      </c>
      <c r="H69" s="16">
        <v>15660477</v>
      </c>
      <c r="I69" s="2" t="str">
        <f t="shared" si="1"/>
        <v>Non Significant</v>
      </c>
    </row>
    <row r="70" spans="3:9" ht="12.75" x14ac:dyDescent="0.2">
      <c r="C70" s="15" t="s">
        <v>2494</v>
      </c>
      <c r="D70" s="16">
        <v>137099606</v>
      </c>
      <c r="E70" s="2" t="str">
        <f t="shared" si="0"/>
        <v>Non Significant</v>
      </c>
      <c r="F70" s="2"/>
      <c r="G70" s="15" t="s">
        <v>1285</v>
      </c>
      <c r="H70" s="16">
        <v>12546000</v>
      </c>
      <c r="I70" s="2" t="str">
        <f t="shared" si="1"/>
        <v>Non Significant</v>
      </c>
    </row>
    <row r="71" spans="3:9" ht="12.75" x14ac:dyDescent="0.2">
      <c r="C71" s="15" t="s">
        <v>3993</v>
      </c>
      <c r="D71" s="16">
        <v>133718528.4544</v>
      </c>
      <c r="E71" s="2" t="str">
        <f t="shared" ref="E71:E134" si="2">IF(D71&gt;=500000000000,"Critical",IF(AND(D71&gt;=50000000000,D71&lt;500000000000),"Significant",IF(AND(D71&gt;=45000000000,D71&lt;50000000000),"Almost Significant",IF(D71&lt;45000000000,"Non Significant",0))))</f>
        <v>Non Significant</v>
      </c>
      <c r="F71" s="2"/>
      <c r="G71" s="15" t="s">
        <v>3729</v>
      </c>
      <c r="H71" s="16">
        <v>10420000</v>
      </c>
      <c r="I71" s="2" t="str">
        <f t="shared" ref="I71:I134" si="3">IF(H71&gt;=500000000000,"Critical",IF(AND(H71&gt;=50000000000,H71&lt;500000000000),"Significant",IF(AND(H71&gt;=45000000000,H71&lt;50000000000),"Almost Significant",IF(H71&lt;45000000000,"Non Significant",0))))</f>
        <v>Non Significant</v>
      </c>
    </row>
    <row r="72" spans="3:9" ht="12.75" x14ac:dyDescent="0.2">
      <c r="C72" s="15" t="s">
        <v>455</v>
      </c>
      <c r="D72" s="16">
        <v>132291604</v>
      </c>
      <c r="E72" s="2" t="str">
        <f t="shared" si="2"/>
        <v>Non Significant</v>
      </c>
      <c r="F72" s="2"/>
      <c r="G72" s="15" t="s">
        <v>1104</v>
      </c>
      <c r="H72" s="16">
        <v>10384500</v>
      </c>
      <c r="I72" s="2" t="str">
        <f t="shared" si="3"/>
        <v>Non Significant</v>
      </c>
    </row>
    <row r="73" spans="3:9" ht="12.75" x14ac:dyDescent="0.2">
      <c r="C73" s="15" t="s">
        <v>3994</v>
      </c>
      <c r="D73" s="16">
        <v>131549623.6788</v>
      </c>
      <c r="E73" s="2" t="str">
        <f t="shared" si="2"/>
        <v>Non Significant</v>
      </c>
      <c r="F73" s="2"/>
      <c r="G73" s="15" t="s">
        <v>1059</v>
      </c>
      <c r="H73" s="16">
        <v>10251500</v>
      </c>
      <c r="I73" s="2" t="str">
        <f t="shared" si="3"/>
        <v>Non Significant</v>
      </c>
    </row>
    <row r="74" spans="3:9" ht="12.75" x14ac:dyDescent="0.2">
      <c r="C74" s="15" t="s">
        <v>3995</v>
      </c>
      <c r="D74" s="16">
        <v>127145000</v>
      </c>
      <c r="E74" s="2" t="str">
        <f t="shared" si="2"/>
        <v>Non Significant</v>
      </c>
      <c r="F74" s="2"/>
      <c r="G74" s="15" t="s">
        <v>3996</v>
      </c>
      <c r="H74" s="16">
        <v>9944000</v>
      </c>
      <c r="I74" s="2" t="str">
        <f t="shared" si="3"/>
        <v>Non Significant</v>
      </c>
    </row>
    <row r="75" spans="3:9" ht="12.75" x14ac:dyDescent="0.2">
      <c r="C75" s="15" t="s">
        <v>3837</v>
      </c>
      <c r="D75" s="16">
        <v>114968395.77999999</v>
      </c>
      <c r="E75" s="2" t="str">
        <f t="shared" si="2"/>
        <v>Non Significant</v>
      </c>
      <c r="F75" s="2"/>
      <c r="G75" s="15" t="s">
        <v>3576</v>
      </c>
      <c r="H75" s="16">
        <v>5074833.2036000006</v>
      </c>
      <c r="I75" s="2" t="str">
        <f t="shared" si="3"/>
        <v>Non Significant</v>
      </c>
    </row>
    <row r="76" spans="3:9" ht="12.75" x14ac:dyDescent="0.2">
      <c r="C76" s="15" t="s">
        <v>3997</v>
      </c>
      <c r="D76" s="16">
        <v>111084506.83960001</v>
      </c>
      <c r="E76" s="2" t="str">
        <f t="shared" si="2"/>
        <v>Non Significant</v>
      </c>
      <c r="F76" s="2"/>
      <c r="G76" s="15" t="s">
        <v>3591</v>
      </c>
      <c r="H76" s="16">
        <v>5000000</v>
      </c>
      <c r="I76" s="2" t="str">
        <f t="shared" si="3"/>
        <v>Non Significant</v>
      </c>
    </row>
    <row r="77" spans="3:9" ht="12.75" x14ac:dyDescent="0.2">
      <c r="C77" s="15" t="s">
        <v>3998</v>
      </c>
      <c r="D77" s="16">
        <v>110467421.8584</v>
      </c>
      <c r="E77" s="2" t="str">
        <f t="shared" si="2"/>
        <v>Non Significant</v>
      </c>
      <c r="F77" s="2"/>
      <c r="G77" s="15" t="s">
        <v>847</v>
      </c>
      <c r="H77" s="16">
        <v>4862998.0608000001</v>
      </c>
      <c r="I77" s="2" t="str">
        <f t="shared" si="3"/>
        <v>Non Significant</v>
      </c>
    </row>
    <row r="78" spans="3:9" ht="12.75" x14ac:dyDescent="0.2">
      <c r="C78" s="15" t="s">
        <v>430</v>
      </c>
      <c r="D78" s="16">
        <v>105621370</v>
      </c>
      <c r="E78" s="2" t="str">
        <f t="shared" si="2"/>
        <v>Non Significant</v>
      </c>
      <c r="F78" s="2"/>
      <c r="G78" s="15" t="s">
        <v>3999</v>
      </c>
      <c r="H78" s="16">
        <v>4803903.0320111997</v>
      </c>
      <c r="I78" s="2" t="str">
        <f t="shared" si="3"/>
        <v>Non Significant</v>
      </c>
    </row>
    <row r="79" spans="3:9" ht="12.75" x14ac:dyDescent="0.2">
      <c r="C79" s="15" t="s">
        <v>4000</v>
      </c>
      <c r="D79" s="16">
        <v>102215061.51280001</v>
      </c>
      <c r="E79" s="2" t="str">
        <f t="shared" si="2"/>
        <v>Non Significant</v>
      </c>
      <c r="F79" s="2"/>
      <c r="G79" s="15" t="s">
        <v>4001</v>
      </c>
      <c r="H79" s="16">
        <v>3246341.7600000002</v>
      </c>
      <c r="I79" s="2" t="str">
        <f t="shared" si="3"/>
        <v>Non Significant</v>
      </c>
    </row>
    <row r="80" spans="3:9" ht="12.75" x14ac:dyDescent="0.2">
      <c r="C80" s="15" t="s">
        <v>4002</v>
      </c>
      <c r="D80" s="16">
        <v>100769056.4076</v>
      </c>
      <c r="E80" s="2" t="str">
        <f t="shared" si="2"/>
        <v>Non Significant</v>
      </c>
      <c r="F80" s="2"/>
      <c r="G80" s="15" t="s">
        <v>3141</v>
      </c>
      <c r="H80" s="16">
        <v>2919640.8812000002</v>
      </c>
      <c r="I80" s="2" t="str">
        <f t="shared" si="3"/>
        <v>Non Significant</v>
      </c>
    </row>
    <row r="81" spans="3:9" ht="12.75" x14ac:dyDescent="0.2">
      <c r="C81" s="15" t="s">
        <v>4003</v>
      </c>
      <c r="D81" s="16">
        <v>100759846.184</v>
      </c>
      <c r="E81" s="2" t="str">
        <f t="shared" si="2"/>
        <v>Non Significant</v>
      </c>
      <c r="F81" s="2"/>
      <c r="G81" s="15" t="s">
        <v>4004</v>
      </c>
      <c r="H81" s="16">
        <v>2146044.5</v>
      </c>
      <c r="I81" s="2" t="str">
        <f t="shared" si="3"/>
        <v>Non Significant</v>
      </c>
    </row>
    <row r="82" spans="3:9" ht="12.75" x14ac:dyDescent="0.2">
      <c r="C82" s="15" t="s">
        <v>2429</v>
      </c>
      <c r="D82" s="16">
        <v>100000000</v>
      </c>
      <c r="E82" s="2" t="str">
        <f t="shared" si="2"/>
        <v>Non Significant</v>
      </c>
      <c r="F82" s="2"/>
      <c r="G82" s="15" t="s">
        <v>4005</v>
      </c>
      <c r="H82" s="16">
        <v>1703256.8214201599</v>
      </c>
      <c r="I82" s="2" t="str">
        <f t="shared" si="3"/>
        <v>Non Significant</v>
      </c>
    </row>
    <row r="83" spans="3:9" ht="12.75" x14ac:dyDescent="0.2">
      <c r="C83" s="15" t="s">
        <v>4006</v>
      </c>
      <c r="D83" s="16">
        <v>94542945.254000008</v>
      </c>
      <c r="E83" s="2" t="str">
        <f t="shared" si="2"/>
        <v>Non Significant</v>
      </c>
      <c r="F83" s="2"/>
      <c r="G83" s="15" t="s">
        <v>4007</v>
      </c>
      <c r="H83" s="16">
        <v>1502340.875</v>
      </c>
      <c r="I83" s="2" t="str">
        <f t="shared" si="3"/>
        <v>Non Significant</v>
      </c>
    </row>
    <row r="84" spans="3:9" ht="12.75" x14ac:dyDescent="0.2">
      <c r="C84" s="15" t="s">
        <v>4008</v>
      </c>
      <c r="D84" s="16">
        <v>87303709.5044</v>
      </c>
      <c r="E84" s="2" t="str">
        <f t="shared" si="2"/>
        <v>Non Significant</v>
      </c>
      <c r="F84" s="2"/>
      <c r="G84" s="15" t="s">
        <v>4009</v>
      </c>
      <c r="H84" s="16">
        <v>500000</v>
      </c>
      <c r="I84" s="2" t="str">
        <f t="shared" si="3"/>
        <v>Non Significant</v>
      </c>
    </row>
    <row r="85" spans="3:9" ht="12.75" x14ac:dyDescent="0.2">
      <c r="C85" s="15" t="s">
        <v>2680</v>
      </c>
      <c r="D85" s="16">
        <v>80000000</v>
      </c>
      <c r="E85" s="2" t="str">
        <f t="shared" si="2"/>
        <v>Non Significant</v>
      </c>
      <c r="F85" s="2"/>
      <c r="G85" s="15" t="s">
        <v>4010</v>
      </c>
      <c r="H85" s="16">
        <v>470000</v>
      </c>
      <c r="I85" s="2" t="str">
        <f t="shared" si="3"/>
        <v>Non Significant</v>
      </c>
    </row>
    <row r="86" spans="3:9" ht="12.75" x14ac:dyDescent="0.2">
      <c r="C86" s="15" t="s">
        <v>4011</v>
      </c>
      <c r="D86" s="16">
        <v>78001383.668400005</v>
      </c>
      <c r="E86" s="2" t="str">
        <f t="shared" si="2"/>
        <v>Non Significant</v>
      </c>
      <c r="F86" s="2"/>
      <c r="G86" s="15" t="s">
        <v>451</v>
      </c>
      <c r="H86" s="16">
        <v>351869</v>
      </c>
      <c r="I86" s="2" t="str">
        <f t="shared" si="3"/>
        <v>Non Significant</v>
      </c>
    </row>
    <row r="87" spans="3:9" ht="12.75" x14ac:dyDescent="0.2">
      <c r="C87" s="15" t="s">
        <v>4012</v>
      </c>
      <c r="D87" s="16">
        <v>76444855.88000001</v>
      </c>
      <c r="E87" s="2" t="str">
        <f t="shared" si="2"/>
        <v>Non Significant</v>
      </c>
      <c r="F87" s="2"/>
      <c r="G87" s="15" t="s">
        <v>4013</v>
      </c>
      <c r="H87" s="16">
        <v>107921.68767119999</v>
      </c>
      <c r="I87" s="2" t="str">
        <f t="shared" si="3"/>
        <v>Non Significant</v>
      </c>
    </row>
    <row r="88" spans="3:9" ht="12.75" x14ac:dyDescent="0.2">
      <c r="C88" s="15" t="s">
        <v>4014</v>
      </c>
      <c r="D88" s="16">
        <v>73029800</v>
      </c>
      <c r="E88" s="2" t="str">
        <f t="shared" si="2"/>
        <v>Non Significant</v>
      </c>
      <c r="F88" s="2"/>
      <c r="G88" s="15" t="s">
        <v>4015</v>
      </c>
      <c r="H88" s="16">
        <v>0</v>
      </c>
      <c r="I88" s="2" t="str">
        <f t="shared" si="3"/>
        <v>Non Significant</v>
      </c>
    </row>
    <row r="89" spans="3:9" ht="12.75" x14ac:dyDescent="0.2">
      <c r="C89" s="15" t="s">
        <v>2317</v>
      </c>
      <c r="D89" s="16">
        <v>72633454</v>
      </c>
      <c r="E89" s="2" t="str">
        <f t="shared" si="2"/>
        <v>Non Significant</v>
      </c>
      <c r="F89" s="2"/>
      <c r="G89" s="15" t="s">
        <v>4016</v>
      </c>
      <c r="H89" s="16">
        <v>0</v>
      </c>
      <c r="I89" s="2" t="str">
        <f t="shared" si="3"/>
        <v>Non Significant</v>
      </c>
    </row>
    <row r="90" spans="3:9" ht="12.75" x14ac:dyDescent="0.2">
      <c r="C90" s="15" t="s">
        <v>2756</v>
      </c>
      <c r="D90" s="16">
        <v>68800895.599999994</v>
      </c>
      <c r="E90" s="2" t="str">
        <f t="shared" si="2"/>
        <v>Non Significant</v>
      </c>
      <c r="F90" s="2"/>
      <c r="G90" s="15" t="s">
        <v>3518</v>
      </c>
      <c r="H90" s="16">
        <v>0</v>
      </c>
      <c r="I90" s="2" t="str">
        <f t="shared" si="3"/>
        <v>Non Significant</v>
      </c>
    </row>
    <row r="91" spans="3:9" ht="12.75" x14ac:dyDescent="0.2">
      <c r="C91" s="15" t="s">
        <v>4017</v>
      </c>
      <c r="D91" s="16">
        <v>68524063.584000006</v>
      </c>
      <c r="E91" s="2" t="str">
        <f t="shared" si="2"/>
        <v>Non Significant</v>
      </c>
      <c r="F91" s="2"/>
      <c r="G91" s="15" t="s">
        <v>4018</v>
      </c>
      <c r="H91" s="16">
        <v>0</v>
      </c>
      <c r="I91" s="2" t="str">
        <f t="shared" si="3"/>
        <v>Non Significant</v>
      </c>
    </row>
    <row r="92" spans="3:9" ht="12.75" x14ac:dyDescent="0.2">
      <c r="C92" s="15" t="s">
        <v>4019</v>
      </c>
      <c r="D92" s="16">
        <v>67731984.354400009</v>
      </c>
      <c r="E92" s="2" t="str">
        <f t="shared" si="2"/>
        <v>Non Significant</v>
      </c>
      <c r="F92" s="2"/>
      <c r="G92" s="15" t="s">
        <v>1871</v>
      </c>
      <c r="H92" s="16">
        <v>0</v>
      </c>
      <c r="I92" s="2" t="str">
        <f t="shared" si="3"/>
        <v>Non Significant</v>
      </c>
    </row>
    <row r="93" spans="3:9" ht="12.75" x14ac:dyDescent="0.2">
      <c r="C93" s="15" t="s">
        <v>2521</v>
      </c>
      <c r="D93" s="16">
        <v>67032997</v>
      </c>
      <c r="E93" s="2" t="str">
        <f t="shared" si="2"/>
        <v>Non Significant</v>
      </c>
      <c r="F93" s="2"/>
      <c r="G93" s="15" t="s">
        <v>4020</v>
      </c>
      <c r="H93" s="16">
        <v>0</v>
      </c>
      <c r="I93" s="2" t="str">
        <f t="shared" si="3"/>
        <v>Non Significant</v>
      </c>
    </row>
    <row r="94" spans="3:9" ht="12.75" x14ac:dyDescent="0.2">
      <c r="C94" s="15" t="s">
        <v>4021</v>
      </c>
      <c r="D94" s="16">
        <v>64803133.249600001</v>
      </c>
      <c r="E94" s="2" t="str">
        <f t="shared" si="2"/>
        <v>Non Significant</v>
      </c>
      <c r="F94" s="2"/>
      <c r="G94" s="15" t="s">
        <v>4022</v>
      </c>
      <c r="H94" s="16">
        <v>0</v>
      </c>
      <c r="I94" s="2" t="str">
        <f t="shared" si="3"/>
        <v>Non Significant</v>
      </c>
    </row>
    <row r="95" spans="3:9" ht="12.75" x14ac:dyDescent="0.2">
      <c r="C95" s="15" t="s">
        <v>4023</v>
      </c>
      <c r="D95" s="16">
        <v>63500000</v>
      </c>
      <c r="E95" s="2" t="str">
        <f t="shared" si="2"/>
        <v>Non Significant</v>
      </c>
      <c r="F95" s="2"/>
      <c r="G95" s="15" t="s">
        <v>840</v>
      </c>
      <c r="H95" s="16">
        <v>0</v>
      </c>
      <c r="I95" s="2" t="str">
        <f t="shared" si="3"/>
        <v>Non Significant</v>
      </c>
    </row>
    <row r="96" spans="3:9" ht="12.75" x14ac:dyDescent="0.2">
      <c r="C96" s="15" t="s">
        <v>4024</v>
      </c>
      <c r="D96" s="16">
        <v>63500000</v>
      </c>
      <c r="E96" s="2" t="str">
        <f t="shared" si="2"/>
        <v>Non Significant</v>
      </c>
      <c r="F96" s="2"/>
      <c r="G96" s="15" t="s">
        <v>2118</v>
      </c>
      <c r="H96" s="16">
        <v>0</v>
      </c>
      <c r="I96" s="2" t="str">
        <f t="shared" si="3"/>
        <v>Non Significant</v>
      </c>
    </row>
    <row r="97" spans="3:9" ht="12.75" x14ac:dyDescent="0.2">
      <c r="C97" s="15" t="s">
        <v>4025</v>
      </c>
      <c r="D97" s="16">
        <v>62555838.691200003</v>
      </c>
      <c r="E97" s="2" t="str">
        <f t="shared" si="2"/>
        <v>Non Significant</v>
      </c>
      <c r="F97" s="2"/>
      <c r="G97" s="15" t="s">
        <v>4026</v>
      </c>
      <c r="H97" s="16">
        <v>0</v>
      </c>
      <c r="I97" s="2" t="str">
        <f t="shared" si="3"/>
        <v>Non Significant</v>
      </c>
    </row>
    <row r="98" spans="3:9" ht="12.75" x14ac:dyDescent="0.2">
      <c r="C98" s="15" t="s">
        <v>332</v>
      </c>
      <c r="D98" s="16">
        <v>61233827</v>
      </c>
      <c r="E98" s="2" t="str">
        <f t="shared" si="2"/>
        <v>Non Significant</v>
      </c>
      <c r="F98" s="2"/>
      <c r="G98" s="15" t="s">
        <v>3768</v>
      </c>
      <c r="H98" s="16">
        <v>0</v>
      </c>
      <c r="I98" s="2" t="str">
        <f t="shared" si="3"/>
        <v>Non Significant</v>
      </c>
    </row>
    <row r="99" spans="3:9" ht="12.75" x14ac:dyDescent="0.2">
      <c r="C99" s="15" t="s">
        <v>4027</v>
      </c>
      <c r="D99" s="16">
        <v>60500000</v>
      </c>
      <c r="E99" s="2" t="str">
        <f t="shared" si="2"/>
        <v>Non Significant</v>
      </c>
      <c r="F99" s="2"/>
      <c r="G99" s="15" t="s">
        <v>4028</v>
      </c>
      <c r="H99" s="16">
        <v>0</v>
      </c>
      <c r="I99" s="2" t="str">
        <f t="shared" si="3"/>
        <v>Non Significant</v>
      </c>
    </row>
    <row r="100" spans="3:9" ht="12.75" x14ac:dyDescent="0.2">
      <c r="C100" s="15" t="s">
        <v>4029</v>
      </c>
      <c r="D100" s="16">
        <v>60000000</v>
      </c>
      <c r="E100" s="2" t="str">
        <f t="shared" si="2"/>
        <v>Non Significant</v>
      </c>
      <c r="F100" s="2"/>
      <c r="G100" s="15" t="s">
        <v>1860</v>
      </c>
      <c r="H100" s="16">
        <v>0</v>
      </c>
      <c r="I100" s="2" t="str">
        <f t="shared" si="3"/>
        <v>Non Significant</v>
      </c>
    </row>
    <row r="101" spans="3:9" ht="12.75" x14ac:dyDescent="0.2">
      <c r="C101" s="15" t="s">
        <v>4030</v>
      </c>
      <c r="D101" s="16">
        <v>59930924.965199992</v>
      </c>
      <c r="E101" s="2" t="str">
        <f t="shared" si="2"/>
        <v>Non Significant</v>
      </c>
      <c r="F101" s="2"/>
      <c r="G101" s="15" t="s">
        <v>4031</v>
      </c>
      <c r="H101" s="16">
        <v>0</v>
      </c>
      <c r="I101" s="2" t="str">
        <f t="shared" si="3"/>
        <v>Non Significant</v>
      </c>
    </row>
    <row r="102" spans="3:9" ht="12.75" x14ac:dyDescent="0.2">
      <c r="C102" s="15" t="s">
        <v>4032</v>
      </c>
      <c r="D102" s="16">
        <v>54616625.947999999</v>
      </c>
      <c r="E102" s="2" t="str">
        <f t="shared" si="2"/>
        <v>Non Significant</v>
      </c>
      <c r="F102" s="2"/>
      <c r="G102" s="15" t="s">
        <v>1120</v>
      </c>
      <c r="H102" s="16">
        <v>0</v>
      </c>
      <c r="I102" s="2" t="str">
        <f t="shared" si="3"/>
        <v>Non Significant</v>
      </c>
    </row>
    <row r="103" spans="3:9" ht="12.75" x14ac:dyDescent="0.2">
      <c r="C103" s="15" t="s">
        <v>4033</v>
      </c>
      <c r="D103" s="16">
        <v>53715493.01106599</v>
      </c>
      <c r="E103" s="2" t="str">
        <f t="shared" si="2"/>
        <v>Non Significant</v>
      </c>
      <c r="F103" s="2"/>
      <c r="G103" s="15" t="s">
        <v>4034</v>
      </c>
      <c r="H103" s="16">
        <v>0</v>
      </c>
      <c r="I103" s="2" t="str">
        <f t="shared" si="3"/>
        <v>Non Significant</v>
      </c>
    </row>
    <row r="104" spans="3:9" ht="12.75" x14ac:dyDescent="0.2">
      <c r="C104" s="15" t="s">
        <v>1345</v>
      </c>
      <c r="D104" s="16">
        <v>53475013</v>
      </c>
      <c r="E104" s="2" t="str">
        <f t="shared" si="2"/>
        <v>Non Significant</v>
      </c>
      <c r="F104" s="2"/>
      <c r="G104" s="15" t="s">
        <v>3536</v>
      </c>
      <c r="H104" s="16">
        <v>0</v>
      </c>
      <c r="I104" s="2" t="str">
        <f t="shared" si="3"/>
        <v>Non Significant</v>
      </c>
    </row>
    <row r="105" spans="3:9" ht="12.75" x14ac:dyDescent="0.2">
      <c r="C105" s="15" t="s">
        <v>4035</v>
      </c>
      <c r="D105" s="16">
        <v>52967995.923600003</v>
      </c>
      <c r="E105" s="2" t="str">
        <f t="shared" si="2"/>
        <v>Non Significant</v>
      </c>
      <c r="F105" s="2"/>
      <c r="G105" s="15" t="s">
        <v>4036</v>
      </c>
      <c r="H105" s="16">
        <v>0</v>
      </c>
      <c r="I105" s="2" t="str">
        <f t="shared" si="3"/>
        <v>Non Significant</v>
      </c>
    </row>
    <row r="106" spans="3:9" ht="12.75" x14ac:dyDescent="0.2">
      <c r="C106" s="15" t="s">
        <v>2761</v>
      </c>
      <c r="D106" s="16">
        <v>47489040.660000011</v>
      </c>
      <c r="E106" s="2" t="str">
        <f t="shared" si="2"/>
        <v>Non Significant</v>
      </c>
      <c r="F106" s="2"/>
      <c r="G106" s="15" t="s">
        <v>4037</v>
      </c>
      <c r="H106" s="16">
        <v>0</v>
      </c>
      <c r="I106" s="2" t="str">
        <f t="shared" si="3"/>
        <v>Non Significant</v>
      </c>
    </row>
    <row r="107" spans="3:9" ht="12.75" x14ac:dyDescent="0.2">
      <c r="C107" s="15" t="s">
        <v>4038</v>
      </c>
      <c r="D107" s="16">
        <v>47193185.726400003</v>
      </c>
      <c r="E107" s="2" t="str">
        <f t="shared" si="2"/>
        <v>Non Significant</v>
      </c>
      <c r="F107" s="2"/>
      <c r="G107" s="15" t="s">
        <v>4039</v>
      </c>
      <c r="H107" s="16">
        <v>0</v>
      </c>
      <c r="I107" s="2" t="str">
        <f t="shared" si="3"/>
        <v>Non Significant</v>
      </c>
    </row>
    <row r="108" spans="3:9" ht="12.75" x14ac:dyDescent="0.2">
      <c r="C108" s="15" t="s">
        <v>3621</v>
      </c>
      <c r="D108" s="16">
        <v>46350802</v>
      </c>
      <c r="E108" s="2" t="str">
        <f t="shared" si="2"/>
        <v>Non Significant</v>
      </c>
      <c r="F108" s="2"/>
      <c r="G108" s="15" t="s">
        <v>4040</v>
      </c>
      <c r="H108" s="16">
        <v>0</v>
      </c>
      <c r="I108" s="2" t="str">
        <f t="shared" si="3"/>
        <v>Non Significant</v>
      </c>
    </row>
    <row r="109" spans="3:9" ht="12.75" x14ac:dyDescent="0.2">
      <c r="C109" s="15" t="s">
        <v>4041</v>
      </c>
      <c r="D109" s="16">
        <v>45618237.490800001</v>
      </c>
      <c r="E109" s="2" t="str">
        <f t="shared" si="2"/>
        <v>Non Significant</v>
      </c>
      <c r="F109" s="2"/>
      <c r="G109" s="15" t="s">
        <v>4042</v>
      </c>
      <c r="H109" s="16">
        <v>0</v>
      </c>
      <c r="I109" s="2" t="str">
        <f t="shared" si="3"/>
        <v>Non Significant</v>
      </c>
    </row>
    <row r="110" spans="3:9" ht="12.75" x14ac:dyDescent="0.2">
      <c r="C110" s="15" t="s">
        <v>4043</v>
      </c>
      <c r="D110" s="16">
        <v>43019736.852972999</v>
      </c>
      <c r="E110" s="2" t="str">
        <f t="shared" si="2"/>
        <v>Non Significant</v>
      </c>
      <c r="F110" s="2"/>
      <c r="G110" s="15" t="s">
        <v>3351</v>
      </c>
      <c r="H110" s="16">
        <v>0</v>
      </c>
      <c r="I110" s="2" t="str">
        <f t="shared" si="3"/>
        <v>Non Significant</v>
      </c>
    </row>
    <row r="111" spans="3:9" ht="12.75" x14ac:dyDescent="0.2">
      <c r="C111" s="15" t="s">
        <v>4044</v>
      </c>
      <c r="D111" s="16">
        <v>42090721.852000006</v>
      </c>
      <c r="E111" s="2" t="str">
        <f t="shared" si="2"/>
        <v>Non Significant</v>
      </c>
      <c r="F111" s="2"/>
      <c r="G111" s="15" t="s">
        <v>4045</v>
      </c>
      <c r="H111" s="16">
        <v>0</v>
      </c>
      <c r="I111" s="2" t="str">
        <f t="shared" si="3"/>
        <v>Non Significant</v>
      </c>
    </row>
    <row r="112" spans="3:9" ht="12.75" x14ac:dyDescent="0.2">
      <c r="C112" s="15" t="s">
        <v>4046</v>
      </c>
      <c r="D112" s="16">
        <v>40193415.790399998</v>
      </c>
      <c r="E112" s="2" t="str">
        <f t="shared" si="2"/>
        <v>Non Significant</v>
      </c>
      <c r="F112" s="2"/>
      <c r="G112" s="15" t="s">
        <v>4047</v>
      </c>
      <c r="H112" s="16">
        <v>0</v>
      </c>
      <c r="I112" s="2" t="str">
        <f t="shared" si="3"/>
        <v>Non Significant</v>
      </c>
    </row>
    <row r="113" spans="3:9" ht="12.75" x14ac:dyDescent="0.2">
      <c r="C113" s="15" t="s">
        <v>4048</v>
      </c>
      <c r="D113" s="16">
        <v>40000000</v>
      </c>
      <c r="E113" s="2" t="str">
        <f t="shared" si="2"/>
        <v>Non Significant</v>
      </c>
      <c r="F113" s="2"/>
      <c r="G113" s="15" t="s">
        <v>4049</v>
      </c>
      <c r="H113" s="16">
        <v>0</v>
      </c>
      <c r="I113" s="2" t="str">
        <f t="shared" si="3"/>
        <v>Non Significant</v>
      </c>
    </row>
    <row r="114" spans="3:9" ht="12.75" x14ac:dyDescent="0.2">
      <c r="C114" s="15" t="s">
        <v>4050</v>
      </c>
      <c r="D114" s="16">
        <v>39864767</v>
      </c>
      <c r="E114" s="2" t="str">
        <f t="shared" si="2"/>
        <v>Non Significant</v>
      </c>
      <c r="F114" s="2"/>
      <c r="G114" s="15" t="s">
        <v>4051</v>
      </c>
      <c r="H114" s="16">
        <v>0</v>
      </c>
      <c r="I114" s="2" t="str">
        <f t="shared" si="3"/>
        <v>Non Significant</v>
      </c>
    </row>
    <row r="115" spans="3:9" ht="12.75" x14ac:dyDescent="0.2">
      <c r="C115" s="15" t="s">
        <v>4052</v>
      </c>
      <c r="D115" s="16">
        <v>39420744.939999998</v>
      </c>
      <c r="E115" s="2" t="str">
        <f t="shared" si="2"/>
        <v>Non Significant</v>
      </c>
      <c r="F115" s="2"/>
      <c r="G115" s="15" t="s">
        <v>828</v>
      </c>
      <c r="H115" s="16">
        <v>0</v>
      </c>
      <c r="I115" s="2" t="str">
        <f t="shared" si="3"/>
        <v>Non Significant</v>
      </c>
    </row>
    <row r="116" spans="3:9" ht="12.75" x14ac:dyDescent="0.2">
      <c r="C116" s="15" t="s">
        <v>4053</v>
      </c>
      <c r="D116" s="16">
        <v>36305000</v>
      </c>
      <c r="E116" s="2" t="str">
        <f t="shared" si="2"/>
        <v>Non Significant</v>
      </c>
      <c r="F116" s="2"/>
      <c r="G116" s="15" t="s">
        <v>4054</v>
      </c>
      <c r="H116" s="16">
        <v>0</v>
      </c>
      <c r="I116" s="2" t="str">
        <f t="shared" si="3"/>
        <v>Non Significant</v>
      </c>
    </row>
    <row r="117" spans="3:9" ht="12.75" x14ac:dyDescent="0.2">
      <c r="C117" s="15" t="s">
        <v>4055</v>
      </c>
      <c r="D117" s="16">
        <v>32742344.898000002</v>
      </c>
      <c r="E117" s="2" t="str">
        <f t="shared" si="2"/>
        <v>Non Significant</v>
      </c>
      <c r="F117" s="2"/>
      <c r="G117" s="15" t="s">
        <v>4056</v>
      </c>
      <c r="H117" s="16">
        <v>0</v>
      </c>
      <c r="I117" s="2" t="str">
        <f t="shared" si="3"/>
        <v>Non Significant</v>
      </c>
    </row>
    <row r="118" spans="3:9" ht="12.75" x14ac:dyDescent="0.2">
      <c r="C118" s="15" t="s">
        <v>4057</v>
      </c>
      <c r="D118" s="16">
        <v>31500000</v>
      </c>
      <c r="E118" s="2" t="str">
        <f t="shared" si="2"/>
        <v>Non Significant</v>
      </c>
      <c r="F118" s="2"/>
      <c r="G118" s="15" t="s">
        <v>2871</v>
      </c>
      <c r="H118" s="16">
        <v>0</v>
      </c>
      <c r="I118" s="2" t="str">
        <f t="shared" si="3"/>
        <v>Non Significant</v>
      </c>
    </row>
    <row r="119" spans="3:9" ht="12.75" x14ac:dyDescent="0.2">
      <c r="C119" s="15" t="s">
        <v>4058</v>
      </c>
      <c r="D119" s="16">
        <v>30000000</v>
      </c>
      <c r="E119" s="2" t="str">
        <f t="shared" si="2"/>
        <v>Non Significant</v>
      </c>
      <c r="F119" s="2"/>
      <c r="G119" s="15" t="s">
        <v>930</v>
      </c>
      <c r="H119" s="16">
        <v>0</v>
      </c>
      <c r="I119" s="2" t="str">
        <f t="shared" si="3"/>
        <v>Non Significant</v>
      </c>
    </row>
    <row r="120" spans="3:9" ht="12.75" x14ac:dyDescent="0.2">
      <c r="C120" s="15" t="s">
        <v>4059</v>
      </c>
      <c r="D120" s="16">
        <v>30000000</v>
      </c>
      <c r="E120" s="2" t="str">
        <f t="shared" si="2"/>
        <v>Non Significant</v>
      </c>
      <c r="F120" s="2"/>
      <c r="G120" s="15" t="s">
        <v>3560</v>
      </c>
      <c r="H120" s="16">
        <v>0</v>
      </c>
      <c r="I120" s="2" t="str">
        <f t="shared" si="3"/>
        <v>Non Significant</v>
      </c>
    </row>
    <row r="121" spans="3:9" ht="12.75" x14ac:dyDescent="0.2">
      <c r="C121" s="15" t="s">
        <v>4060</v>
      </c>
      <c r="D121" s="16">
        <v>30000000</v>
      </c>
      <c r="E121" s="2" t="str">
        <f t="shared" si="2"/>
        <v>Non Significant</v>
      </c>
      <c r="F121" s="2"/>
      <c r="G121" s="15" t="s">
        <v>2635</v>
      </c>
      <c r="H121" s="16">
        <v>0</v>
      </c>
      <c r="I121" s="2" t="str">
        <f t="shared" si="3"/>
        <v>Non Significant</v>
      </c>
    </row>
    <row r="122" spans="3:9" ht="12.75" x14ac:dyDescent="0.2">
      <c r="C122" s="15" t="s">
        <v>4061</v>
      </c>
      <c r="D122" s="16">
        <v>30000000</v>
      </c>
      <c r="E122" s="2" t="str">
        <f t="shared" si="2"/>
        <v>Non Significant</v>
      </c>
      <c r="F122" s="2"/>
      <c r="G122" s="15" t="s">
        <v>2127</v>
      </c>
      <c r="H122" s="16">
        <v>0</v>
      </c>
      <c r="I122" s="2" t="str">
        <f t="shared" si="3"/>
        <v>Non Significant</v>
      </c>
    </row>
    <row r="123" spans="3:9" ht="12.75" x14ac:dyDescent="0.2">
      <c r="C123" s="15" t="s">
        <v>4062</v>
      </c>
      <c r="D123" s="16">
        <v>30000000</v>
      </c>
      <c r="E123" s="2" t="str">
        <f t="shared" si="2"/>
        <v>Non Significant</v>
      </c>
      <c r="F123" s="2"/>
      <c r="G123" s="15" t="s">
        <v>2443</v>
      </c>
      <c r="H123" s="16">
        <v>0</v>
      </c>
      <c r="I123" s="2" t="str">
        <f t="shared" si="3"/>
        <v>Non Significant</v>
      </c>
    </row>
    <row r="124" spans="3:9" ht="12.75" x14ac:dyDescent="0.2">
      <c r="C124" s="15" t="s">
        <v>1170</v>
      </c>
      <c r="D124" s="16">
        <v>30000000</v>
      </c>
      <c r="E124" s="2" t="str">
        <f t="shared" si="2"/>
        <v>Non Significant</v>
      </c>
      <c r="F124" s="2"/>
      <c r="G124" s="15" t="s">
        <v>4063</v>
      </c>
      <c r="H124" s="16">
        <v>0</v>
      </c>
      <c r="I124" s="2" t="str">
        <f t="shared" si="3"/>
        <v>Non Significant</v>
      </c>
    </row>
    <row r="125" spans="3:9" ht="12.75" x14ac:dyDescent="0.2">
      <c r="C125" s="15" t="s">
        <v>4064</v>
      </c>
      <c r="D125" s="16">
        <v>29087000</v>
      </c>
      <c r="E125" s="2" t="str">
        <f t="shared" si="2"/>
        <v>Non Significant</v>
      </c>
      <c r="F125" s="2"/>
      <c r="G125" s="15" t="s">
        <v>4065</v>
      </c>
      <c r="H125" s="16">
        <v>0</v>
      </c>
      <c r="I125" s="2" t="str">
        <f t="shared" si="3"/>
        <v>Non Significant</v>
      </c>
    </row>
    <row r="126" spans="3:9" ht="12.75" x14ac:dyDescent="0.2">
      <c r="C126" s="15" t="s">
        <v>1273</v>
      </c>
      <c r="D126" s="16">
        <v>29030624.7872</v>
      </c>
      <c r="E126" s="2" t="str">
        <f t="shared" si="2"/>
        <v>Non Significant</v>
      </c>
      <c r="F126" s="2"/>
      <c r="G126" s="15" t="s">
        <v>4066</v>
      </c>
      <c r="H126" s="16">
        <v>0</v>
      </c>
      <c r="I126" s="2" t="str">
        <f t="shared" si="3"/>
        <v>Non Significant</v>
      </c>
    </row>
    <row r="127" spans="3:9" ht="12.75" x14ac:dyDescent="0.2">
      <c r="C127" s="15" t="s">
        <v>4067</v>
      </c>
      <c r="D127" s="16">
        <v>27640000</v>
      </c>
      <c r="E127" s="2" t="str">
        <f t="shared" si="2"/>
        <v>Non Significant</v>
      </c>
      <c r="F127" s="2"/>
      <c r="G127" s="15" t="s">
        <v>942</v>
      </c>
      <c r="H127" s="16">
        <v>0</v>
      </c>
      <c r="I127" s="2" t="str">
        <f t="shared" si="3"/>
        <v>Non Significant</v>
      </c>
    </row>
    <row r="128" spans="3:9" ht="12.75" x14ac:dyDescent="0.2">
      <c r="C128" s="15" t="s">
        <v>4068</v>
      </c>
      <c r="D128" s="16">
        <v>27013476.900000002</v>
      </c>
      <c r="E128" s="2" t="str">
        <f t="shared" si="2"/>
        <v>Non Significant</v>
      </c>
      <c r="F128" s="2"/>
      <c r="G128" s="15" t="s">
        <v>4069</v>
      </c>
      <c r="H128" s="16">
        <v>0</v>
      </c>
      <c r="I128" s="2" t="str">
        <f t="shared" si="3"/>
        <v>Non Significant</v>
      </c>
    </row>
    <row r="129" spans="3:9" ht="12.75" x14ac:dyDescent="0.2">
      <c r="C129" s="15" t="s">
        <v>525</v>
      </c>
      <c r="D129" s="16">
        <v>26985000</v>
      </c>
      <c r="E129" s="2" t="str">
        <f t="shared" si="2"/>
        <v>Non Significant</v>
      </c>
      <c r="F129" s="2"/>
      <c r="G129" s="15" t="s">
        <v>2422</v>
      </c>
      <c r="H129" s="16">
        <v>0</v>
      </c>
      <c r="I129" s="2" t="str">
        <f t="shared" si="3"/>
        <v>Non Significant</v>
      </c>
    </row>
    <row r="130" spans="3:9" ht="12.75" x14ac:dyDescent="0.2">
      <c r="C130" s="15" t="s">
        <v>4070</v>
      </c>
      <c r="D130" s="16">
        <v>26239927.036400001</v>
      </c>
      <c r="E130" s="2" t="str">
        <f t="shared" si="2"/>
        <v>Non Significant</v>
      </c>
      <c r="F130" s="2"/>
      <c r="G130" s="15" t="s">
        <v>3437</v>
      </c>
      <c r="H130" s="16">
        <v>0</v>
      </c>
      <c r="I130" s="2" t="str">
        <f t="shared" si="3"/>
        <v>Non Significant</v>
      </c>
    </row>
    <row r="131" spans="3:9" ht="12.75" x14ac:dyDescent="0.2">
      <c r="C131" s="15" t="s">
        <v>4071</v>
      </c>
      <c r="D131" s="16">
        <v>25877930.300000001</v>
      </c>
      <c r="E131" s="2" t="str">
        <f t="shared" si="2"/>
        <v>Non Significant</v>
      </c>
      <c r="F131" s="2"/>
      <c r="G131" s="15" t="s">
        <v>4072</v>
      </c>
      <c r="H131" s="16">
        <v>0</v>
      </c>
      <c r="I131" s="2" t="str">
        <f t="shared" si="3"/>
        <v>Non Significant</v>
      </c>
    </row>
    <row r="132" spans="3:9" ht="12.75" x14ac:dyDescent="0.2">
      <c r="C132" s="15" t="s">
        <v>4073</v>
      </c>
      <c r="D132" s="16">
        <v>25411006.9124</v>
      </c>
      <c r="E132" s="2" t="str">
        <f t="shared" si="2"/>
        <v>Non Significant</v>
      </c>
      <c r="F132" s="2"/>
      <c r="G132" s="15" t="s">
        <v>4074</v>
      </c>
      <c r="H132" s="16">
        <v>0</v>
      </c>
      <c r="I132" s="2" t="str">
        <f t="shared" si="3"/>
        <v>Non Significant</v>
      </c>
    </row>
    <row r="133" spans="3:9" ht="12.75" x14ac:dyDescent="0.2">
      <c r="C133" s="15" t="s">
        <v>4075</v>
      </c>
      <c r="D133" s="16">
        <v>25153120.6516</v>
      </c>
      <c r="E133" s="2" t="str">
        <f t="shared" si="2"/>
        <v>Non Significant</v>
      </c>
      <c r="F133" s="2"/>
      <c r="G133" s="15" t="s">
        <v>4076</v>
      </c>
      <c r="H133" s="16">
        <v>0</v>
      </c>
      <c r="I133" s="2" t="str">
        <f t="shared" si="3"/>
        <v>Non Significant</v>
      </c>
    </row>
    <row r="134" spans="3:9" ht="12.75" x14ac:dyDescent="0.2">
      <c r="C134" s="15" t="s">
        <v>4077</v>
      </c>
      <c r="D134" s="16">
        <v>25000000</v>
      </c>
      <c r="E134" s="2" t="str">
        <f t="shared" si="2"/>
        <v>Non Significant</v>
      </c>
      <c r="F134" s="2"/>
      <c r="G134" s="15" t="s">
        <v>2994</v>
      </c>
      <c r="H134" s="16">
        <v>0</v>
      </c>
      <c r="I134" s="2" t="str">
        <f t="shared" si="3"/>
        <v>Non Significant</v>
      </c>
    </row>
    <row r="135" spans="3:9" ht="12.75" x14ac:dyDescent="0.2">
      <c r="C135" s="15" t="s">
        <v>4078</v>
      </c>
      <c r="D135" s="16">
        <v>23295721</v>
      </c>
      <c r="E135" s="2" t="str">
        <f t="shared" ref="E135:E198" si="4">IF(D135&gt;=500000000000,"Critical",IF(AND(D135&gt;=50000000000,D135&lt;500000000000),"Significant",IF(AND(D135&gt;=45000000000,D135&lt;50000000000),"Almost Significant",IF(D135&lt;45000000000,"Non Significant",0))))</f>
        <v>Non Significant</v>
      </c>
      <c r="F135" s="2"/>
      <c r="G135" s="15" t="s">
        <v>4079</v>
      </c>
      <c r="H135" s="16">
        <v>0</v>
      </c>
      <c r="I135" s="2" t="str">
        <f t="shared" ref="I135:I198" si="5">IF(H135&gt;=500000000000,"Critical",IF(AND(H135&gt;=50000000000,H135&lt;500000000000),"Significant",IF(AND(H135&gt;=45000000000,H135&lt;50000000000),"Almost Significant",IF(H135&lt;45000000000,"Non Significant",0))))</f>
        <v>Non Significant</v>
      </c>
    </row>
    <row r="136" spans="3:9" ht="12.75" x14ac:dyDescent="0.2">
      <c r="C136" s="15" t="s">
        <v>4080</v>
      </c>
      <c r="D136" s="16">
        <v>22997928.3292</v>
      </c>
      <c r="E136" s="2" t="str">
        <f t="shared" si="4"/>
        <v>Non Significant</v>
      </c>
      <c r="F136" s="2"/>
      <c r="G136" s="15" t="s">
        <v>4081</v>
      </c>
      <c r="H136" s="16">
        <v>0</v>
      </c>
      <c r="I136" s="2" t="str">
        <f t="shared" si="5"/>
        <v>Non Significant</v>
      </c>
    </row>
    <row r="137" spans="3:9" ht="12.75" x14ac:dyDescent="0.2">
      <c r="C137" s="15" t="s">
        <v>4082</v>
      </c>
      <c r="D137" s="16">
        <v>22390053.571600001</v>
      </c>
      <c r="E137" s="2" t="str">
        <f t="shared" si="4"/>
        <v>Non Significant</v>
      </c>
      <c r="F137" s="2"/>
      <c r="G137" s="15" t="s">
        <v>4083</v>
      </c>
      <c r="H137" s="16">
        <v>0</v>
      </c>
      <c r="I137" s="2" t="str">
        <f t="shared" si="5"/>
        <v>Non Significant</v>
      </c>
    </row>
    <row r="138" spans="3:9" ht="12.75" x14ac:dyDescent="0.2">
      <c r="C138" s="15" t="s">
        <v>4084</v>
      </c>
      <c r="D138" s="16">
        <v>21155883.609200001</v>
      </c>
      <c r="E138" s="2" t="str">
        <f t="shared" si="4"/>
        <v>Non Significant</v>
      </c>
      <c r="F138" s="2"/>
      <c r="G138" s="15" t="s">
        <v>4085</v>
      </c>
      <c r="H138" s="16">
        <v>0</v>
      </c>
      <c r="I138" s="2" t="str">
        <f t="shared" si="5"/>
        <v>Non Significant</v>
      </c>
    </row>
    <row r="139" spans="3:9" ht="12.75" x14ac:dyDescent="0.2">
      <c r="C139" s="15" t="s">
        <v>4086</v>
      </c>
      <c r="D139" s="16">
        <v>19884872.7524</v>
      </c>
      <c r="E139" s="2" t="str">
        <f t="shared" si="4"/>
        <v>Non Significant</v>
      </c>
      <c r="F139" s="2"/>
      <c r="G139" s="15" t="s">
        <v>4087</v>
      </c>
      <c r="H139" s="16">
        <v>0</v>
      </c>
      <c r="I139" s="2" t="str">
        <f t="shared" si="5"/>
        <v>Non Significant</v>
      </c>
    </row>
    <row r="140" spans="3:9" ht="12.75" x14ac:dyDescent="0.2">
      <c r="C140" s="15" t="s">
        <v>4088</v>
      </c>
      <c r="D140" s="16">
        <v>18393129</v>
      </c>
      <c r="E140" s="2" t="str">
        <f t="shared" si="4"/>
        <v>Non Significant</v>
      </c>
      <c r="F140" s="2"/>
      <c r="G140" s="15" t="s">
        <v>1908</v>
      </c>
      <c r="H140" s="16">
        <v>0</v>
      </c>
      <c r="I140" s="2" t="str">
        <f t="shared" si="5"/>
        <v>Non Significant</v>
      </c>
    </row>
    <row r="141" spans="3:9" ht="12.75" x14ac:dyDescent="0.2">
      <c r="C141" s="15" t="s">
        <v>1221</v>
      </c>
      <c r="D141" s="16">
        <v>17974689.25</v>
      </c>
      <c r="E141" s="2" t="str">
        <f t="shared" si="4"/>
        <v>Non Significant</v>
      </c>
      <c r="F141" s="2"/>
      <c r="G141" s="15" t="s">
        <v>918</v>
      </c>
      <c r="H141" s="16">
        <v>0</v>
      </c>
      <c r="I141" s="2" t="str">
        <f t="shared" si="5"/>
        <v>Non Significant</v>
      </c>
    </row>
    <row r="142" spans="3:9" ht="12.75" x14ac:dyDescent="0.2">
      <c r="C142" s="15" t="s">
        <v>4089</v>
      </c>
      <c r="D142" s="16">
        <v>16359475.57</v>
      </c>
      <c r="E142" s="2" t="str">
        <f t="shared" si="4"/>
        <v>Non Significant</v>
      </c>
      <c r="F142" s="2"/>
      <c r="G142" s="15" t="s">
        <v>2193</v>
      </c>
      <c r="H142" s="16">
        <v>0</v>
      </c>
      <c r="I142" s="2" t="str">
        <f t="shared" si="5"/>
        <v>Non Significant</v>
      </c>
    </row>
    <row r="143" spans="3:9" ht="12.75" x14ac:dyDescent="0.2">
      <c r="C143" s="15" t="s">
        <v>4090</v>
      </c>
      <c r="D143" s="16">
        <v>15832800</v>
      </c>
      <c r="E143" s="2" t="str">
        <f t="shared" si="4"/>
        <v>Non Significant</v>
      </c>
      <c r="F143" s="2"/>
      <c r="G143" s="15" t="s">
        <v>4091</v>
      </c>
      <c r="H143" s="16">
        <v>0</v>
      </c>
      <c r="I143" s="2" t="str">
        <f t="shared" si="5"/>
        <v>Non Significant</v>
      </c>
    </row>
    <row r="144" spans="3:9" ht="12.75" x14ac:dyDescent="0.2">
      <c r="C144" s="15" t="s">
        <v>2528</v>
      </c>
      <c r="D144" s="16">
        <v>15660477</v>
      </c>
      <c r="E144" s="2" t="str">
        <f t="shared" si="4"/>
        <v>Non Significant</v>
      </c>
      <c r="F144" s="2"/>
      <c r="G144" s="15" t="s">
        <v>1848</v>
      </c>
      <c r="H144" s="16">
        <v>0</v>
      </c>
      <c r="I144" s="2" t="str">
        <f t="shared" si="5"/>
        <v>Non Significant</v>
      </c>
    </row>
    <row r="145" spans="3:9" ht="12.75" x14ac:dyDescent="0.2">
      <c r="C145" s="15" t="s">
        <v>4092</v>
      </c>
      <c r="D145" s="16">
        <v>15178448.492800001</v>
      </c>
      <c r="E145" s="2" t="str">
        <f t="shared" si="4"/>
        <v>Non Significant</v>
      </c>
      <c r="F145" s="2"/>
      <c r="G145" s="15" t="s">
        <v>4093</v>
      </c>
      <c r="H145" s="16">
        <v>0</v>
      </c>
      <c r="I145" s="2" t="str">
        <f t="shared" si="5"/>
        <v>Non Significant</v>
      </c>
    </row>
    <row r="146" spans="3:9" ht="12.75" x14ac:dyDescent="0.2">
      <c r="C146" s="15" t="s">
        <v>4094</v>
      </c>
      <c r="D146" s="16">
        <v>13621920.704400001</v>
      </c>
      <c r="E146" s="2" t="str">
        <f t="shared" si="4"/>
        <v>Non Significant</v>
      </c>
      <c r="F146" s="2"/>
      <c r="G146" s="15" t="s">
        <v>4095</v>
      </c>
      <c r="H146" s="16">
        <v>0</v>
      </c>
      <c r="I146" s="2" t="str">
        <f t="shared" si="5"/>
        <v>Non Significant</v>
      </c>
    </row>
    <row r="147" spans="3:9" ht="12.75" x14ac:dyDescent="0.2">
      <c r="C147" s="15" t="s">
        <v>1276</v>
      </c>
      <c r="D147" s="16">
        <v>12546000</v>
      </c>
      <c r="E147" s="2" t="str">
        <f t="shared" si="4"/>
        <v>Non Significant</v>
      </c>
      <c r="F147" s="2"/>
      <c r="G147" s="15" t="s">
        <v>4096</v>
      </c>
      <c r="H147" s="16">
        <v>0</v>
      </c>
      <c r="I147" s="2" t="str">
        <f t="shared" si="5"/>
        <v>Non Significant</v>
      </c>
    </row>
    <row r="148" spans="3:9" ht="12.75" x14ac:dyDescent="0.2">
      <c r="C148" s="15" t="s">
        <v>3720</v>
      </c>
      <c r="D148" s="16">
        <v>10420000</v>
      </c>
      <c r="E148" s="2" t="str">
        <f t="shared" si="4"/>
        <v>Non Significant</v>
      </c>
      <c r="F148" s="2"/>
      <c r="G148" s="15" t="s">
        <v>4097</v>
      </c>
      <c r="H148" s="16">
        <v>0</v>
      </c>
      <c r="I148" s="2" t="str">
        <f t="shared" si="5"/>
        <v>Non Significant</v>
      </c>
    </row>
    <row r="149" spans="3:9" ht="12.75" x14ac:dyDescent="0.2">
      <c r="C149" s="15" t="s">
        <v>4098</v>
      </c>
      <c r="D149" s="16">
        <v>10384500</v>
      </c>
      <c r="E149" s="2" t="str">
        <f t="shared" si="4"/>
        <v>Non Significant</v>
      </c>
      <c r="F149" s="2"/>
      <c r="G149" s="15" t="s">
        <v>4099</v>
      </c>
      <c r="H149" s="16">
        <v>0</v>
      </c>
      <c r="I149" s="2" t="str">
        <f t="shared" si="5"/>
        <v>Non Significant</v>
      </c>
    </row>
    <row r="150" spans="3:9" ht="12.75" x14ac:dyDescent="0.2">
      <c r="C150" s="15" t="s">
        <v>4100</v>
      </c>
      <c r="D150" s="16">
        <v>9993092.6060000006</v>
      </c>
      <c r="E150" s="2" t="str">
        <f t="shared" si="4"/>
        <v>Non Significant</v>
      </c>
      <c r="F150" s="2"/>
      <c r="G150" s="15" t="s">
        <v>3319</v>
      </c>
      <c r="H150" s="16">
        <v>0</v>
      </c>
      <c r="I150" s="2" t="str">
        <f t="shared" si="5"/>
        <v>Non Significant</v>
      </c>
    </row>
    <row r="151" spans="3:9" ht="12.75" x14ac:dyDescent="0.2">
      <c r="C151" s="15" t="s">
        <v>2686</v>
      </c>
      <c r="D151" s="16">
        <v>9944000</v>
      </c>
      <c r="E151" s="2" t="str">
        <f t="shared" si="4"/>
        <v>Non Significant</v>
      </c>
      <c r="F151" s="2"/>
      <c r="G151" s="15" t="s">
        <v>4101</v>
      </c>
      <c r="H151" s="16">
        <v>0</v>
      </c>
      <c r="I151" s="2" t="str">
        <f t="shared" si="5"/>
        <v>Non Significant</v>
      </c>
    </row>
    <row r="152" spans="3:9" ht="12.75" x14ac:dyDescent="0.2">
      <c r="C152" s="15" t="s">
        <v>1059</v>
      </c>
      <c r="D152" s="16">
        <v>9090000</v>
      </c>
      <c r="E152" s="2" t="str">
        <f t="shared" si="4"/>
        <v>Non Significant</v>
      </c>
      <c r="F152" s="2"/>
      <c r="G152" s="15" t="s">
        <v>4102</v>
      </c>
      <c r="H152" s="16">
        <v>0</v>
      </c>
      <c r="I152" s="2" t="str">
        <f t="shared" si="5"/>
        <v>Non Significant</v>
      </c>
    </row>
    <row r="153" spans="3:9" ht="12.75" x14ac:dyDescent="0.2">
      <c r="C153" s="15" t="s">
        <v>4103</v>
      </c>
      <c r="D153" s="16">
        <v>9075900</v>
      </c>
      <c r="E153" s="2" t="str">
        <f t="shared" si="4"/>
        <v>Non Significant</v>
      </c>
      <c r="F153" s="2"/>
      <c r="G153" s="15" t="s">
        <v>4104</v>
      </c>
      <c r="H153" s="16">
        <v>0</v>
      </c>
      <c r="I153" s="2" t="str">
        <f t="shared" si="5"/>
        <v>Non Significant</v>
      </c>
    </row>
    <row r="154" spans="3:9" ht="12.75" x14ac:dyDescent="0.2">
      <c r="C154" s="15" t="s">
        <v>4105</v>
      </c>
      <c r="D154" s="16">
        <v>6557679.2032000003</v>
      </c>
      <c r="E154" s="2" t="str">
        <f t="shared" si="4"/>
        <v>Non Significant</v>
      </c>
      <c r="F154" s="2"/>
      <c r="G154" s="15" t="s">
        <v>4106</v>
      </c>
      <c r="H154" s="16">
        <v>0</v>
      </c>
      <c r="I154" s="2" t="str">
        <f t="shared" si="5"/>
        <v>Non Significant</v>
      </c>
    </row>
    <row r="155" spans="3:9" ht="12.75" x14ac:dyDescent="0.2">
      <c r="C155" s="15" t="s">
        <v>4107</v>
      </c>
      <c r="D155" s="16">
        <v>5176145.6632000003</v>
      </c>
      <c r="E155" s="2" t="str">
        <f t="shared" si="4"/>
        <v>Non Significant</v>
      </c>
      <c r="F155" s="2"/>
      <c r="G155" s="15" t="s">
        <v>4108</v>
      </c>
      <c r="H155" s="16">
        <v>0</v>
      </c>
      <c r="I155" s="2" t="str">
        <f t="shared" si="5"/>
        <v>Non Significant</v>
      </c>
    </row>
    <row r="156" spans="3:9" ht="12.75" x14ac:dyDescent="0.2">
      <c r="C156" s="15" t="s">
        <v>4109</v>
      </c>
      <c r="D156" s="16">
        <v>5102463.8744000001</v>
      </c>
      <c r="E156" s="2" t="str">
        <f t="shared" si="4"/>
        <v>Non Significant</v>
      </c>
      <c r="F156" s="2"/>
      <c r="G156" s="15" t="s">
        <v>3545</v>
      </c>
      <c r="H156" s="16">
        <v>0</v>
      </c>
      <c r="I156" s="2" t="str">
        <f t="shared" si="5"/>
        <v>Non Significant</v>
      </c>
    </row>
    <row r="157" spans="3:9" ht="12.75" x14ac:dyDescent="0.2">
      <c r="C157" s="15" t="s">
        <v>3564</v>
      </c>
      <c r="D157" s="16">
        <v>5074833.2036000006</v>
      </c>
      <c r="E157" s="2" t="str">
        <f t="shared" si="4"/>
        <v>Non Significant</v>
      </c>
      <c r="F157" s="2"/>
      <c r="G157" s="15" t="s">
        <v>4110</v>
      </c>
      <c r="H157" s="16">
        <v>0</v>
      </c>
      <c r="I157" s="2" t="str">
        <f t="shared" si="5"/>
        <v>Non Significant</v>
      </c>
    </row>
    <row r="158" spans="3:9" ht="12.75" x14ac:dyDescent="0.2">
      <c r="C158" s="15" t="s">
        <v>4111</v>
      </c>
      <c r="D158" s="16">
        <v>5010361.6384000005</v>
      </c>
      <c r="E158" s="2" t="str">
        <f t="shared" si="4"/>
        <v>Non Significant</v>
      </c>
      <c r="F158" s="2"/>
      <c r="G158" s="15" t="s">
        <v>3527</v>
      </c>
      <c r="H158" s="16">
        <v>0</v>
      </c>
      <c r="I158" s="2" t="str">
        <f t="shared" si="5"/>
        <v>Non Significant</v>
      </c>
    </row>
    <row r="159" spans="3:9" ht="12.75" x14ac:dyDescent="0.2">
      <c r="C159" s="15" t="s">
        <v>4112</v>
      </c>
      <c r="D159" s="16">
        <v>5000000</v>
      </c>
      <c r="E159" s="2" t="str">
        <f t="shared" si="4"/>
        <v>Non Significant</v>
      </c>
      <c r="F159" s="2"/>
      <c r="G159" s="15" t="s">
        <v>4113</v>
      </c>
      <c r="H159" s="16">
        <v>0</v>
      </c>
      <c r="I159" s="2" t="str">
        <f t="shared" si="5"/>
        <v>Non Significant</v>
      </c>
    </row>
    <row r="160" spans="3:9" ht="12.75" x14ac:dyDescent="0.2">
      <c r="C160" s="15" t="s">
        <v>3583</v>
      </c>
      <c r="D160" s="16">
        <v>5000000</v>
      </c>
      <c r="E160" s="2" t="str">
        <f t="shared" si="4"/>
        <v>Non Significant</v>
      </c>
      <c r="F160" s="2"/>
      <c r="G160" s="15" t="s">
        <v>2572</v>
      </c>
      <c r="H160" s="16">
        <v>0</v>
      </c>
      <c r="I160" s="2" t="str">
        <f t="shared" si="5"/>
        <v>Non Significant</v>
      </c>
    </row>
    <row r="161" spans="3:9" ht="12.75" x14ac:dyDescent="0.2">
      <c r="C161" s="15" t="s">
        <v>4114</v>
      </c>
      <c r="D161" s="16">
        <v>4973520.7439999999</v>
      </c>
      <c r="E161" s="2" t="str">
        <f t="shared" si="4"/>
        <v>Non Significant</v>
      </c>
      <c r="F161" s="2"/>
      <c r="G161" s="15" t="s">
        <v>857</v>
      </c>
      <c r="H161" s="16">
        <v>0</v>
      </c>
      <c r="I161" s="2" t="str">
        <f t="shared" si="5"/>
        <v>Non Significant</v>
      </c>
    </row>
    <row r="162" spans="3:9" ht="12.75" x14ac:dyDescent="0.2">
      <c r="C162" s="15" t="s">
        <v>4115</v>
      </c>
      <c r="D162" s="16">
        <v>4890628.7316000005</v>
      </c>
      <c r="E162" s="2" t="str">
        <f t="shared" si="4"/>
        <v>Non Significant</v>
      </c>
      <c r="F162" s="2"/>
      <c r="G162" s="15" t="s">
        <v>1316</v>
      </c>
      <c r="H162" s="16">
        <v>0</v>
      </c>
      <c r="I162" s="2" t="str">
        <f t="shared" si="5"/>
        <v>Non Significant</v>
      </c>
    </row>
    <row r="163" spans="3:9" ht="12.75" x14ac:dyDescent="0.2">
      <c r="C163" s="15" t="s">
        <v>4116</v>
      </c>
      <c r="D163" s="16">
        <v>4862998.0608000001</v>
      </c>
      <c r="E163" s="2" t="str">
        <f t="shared" si="4"/>
        <v>Non Significant</v>
      </c>
      <c r="F163" s="2"/>
      <c r="G163" s="15" t="s">
        <v>4117</v>
      </c>
      <c r="H163" s="16">
        <v>0</v>
      </c>
      <c r="I163" s="2" t="str">
        <f t="shared" si="5"/>
        <v>Non Significant</v>
      </c>
    </row>
    <row r="164" spans="3:9" ht="12.75" x14ac:dyDescent="0.2">
      <c r="C164" s="15" t="s">
        <v>4118</v>
      </c>
      <c r="D164" s="16">
        <v>4862998.0608000001</v>
      </c>
      <c r="E164" s="2" t="str">
        <f t="shared" si="4"/>
        <v>Non Significant</v>
      </c>
      <c r="F164" s="2"/>
      <c r="G164" s="15" t="s">
        <v>3500</v>
      </c>
      <c r="H164" s="16">
        <v>0</v>
      </c>
      <c r="I164" s="2" t="str">
        <f t="shared" si="5"/>
        <v>Non Significant</v>
      </c>
    </row>
    <row r="165" spans="3:9" ht="12.75" x14ac:dyDescent="0.2">
      <c r="C165" s="15" t="s">
        <v>4119</v>
      </c>
      <c r="D165" s="16">
        <v>4803903.0320111997</v>
      </c>
      <c r="E165" s="2" t="str">
        <f t="shared" si="4"/>
        <v>Non Significant</v>
      </c>
      <c r="F165" s="2"/>
      <c r="G165" s="15" t="s">
        <v>4120</v>
      </c>
      <c r="H165" s="16">
        <v>0</v>
      </c>
      <c r="I165" s="2" t="str">
        <f t="shared" si="5"/>
        <v>Non Significant</v>
      </c>
    </row>
    <row r="166" spans="3:9" ht="12.75" x14ac:dyDescent="0.2">
      <c r="C166" s="15" t="s">
        <v>2656</v>
      </c>
      <c r="D166" s="16">
        <v>3600000</v>
      </c>
      <c r="E166" s="2" t="str">
        <f t="shared" si="4"/>
        <v>Non Significant</v>
      </c>
      <c r="F166" s="2"/>
      <c r="G166" s="15" t="s">
        <v>4121</v>
      </c>
      <c r="H166" s="16">
        <v>0</v>
      </c>
      <c r="I166" s="2" t="str">
        <f t="shared" si="5"/>
        <v>Non Significant</v>
      </c>
    </row>
    <row r="167" spans="3:9" ht="12.75" x14ac:dyDescent="0.2">
      <c r="C167" s="15" t="s">
        <v>2767</v>
      </c>
      <c r="D167" s="16">
        <v>3246341.7600000002</v>
      </c>
      <c r="E167" s="2" t="str">
        <f t="shared" si="4"/>
        <v>Non Significant</v>
      </c>
      <c r="F167" s="2"/>
      <c r="G167" s="15" t="s">
        <v>4122</v>
      </c>
      <c r="H167" s="16">
        <v>0</v>
      </c>
      <c r="I167" s="2" t="str">
        <f t="shared" si="5"/>
        <v>Non Significant</v>
      </c>
    </row>
    <row r="168" spans="3:9" ht="12.75" x14ac:dyDescent="0.2">
      <c r="C168" s="15" t="s">
        <v>4123</v>
      </c>
      <c r="D168" s="16">
        <v>3030163.5644</v>
      </c>
      <c r="E168" s="2" t="str">
        <f t="shared" si="4"/>
        <v>Non Significant</v>
      </c>
      <c r="F168" s="2"/>
      <c r="G168" s="15" t="s">
        <v>4124</v>
      </c>
      <c r="H168" s="16">
        <v>0</v>
      </c>
      <c r="I168" s="2" t="str">
        <f t="shared" si="5"/>
        <v>Non Significant</v>
      </c>
    </row>
    <row r="169" spans="3:9" ht="12.75" x14ac:dyDescent="0.2">
      <c r="C169" s="15" t="s">
        <v>4125</v>
      </c>
      <c r="D169" s="16">
        <v>2993322.67</v>
      </c>
      <c r="E169" s="2" t="str">
        <f t="shared" si="4"/>
        <v>Non Significant</v>
      </c>
      <c r="F169" s="2"/>
      <c r="G169" s="15" t="s">
        <v>4126</v>
      </c>
      <c r="H169" s="16">
        <v>0</v>
      </c>
      <c r="I169" s="2" t="str">
        <f t="shared" si="5"/>
        <v>Non Significant</v>
      </c>
    </row>
    <row r="170" spans="3:9" ht="12.75" x14ac:dyDescent="0.2">
      <c r="C170" s="15" t="s">
        <v>3138</v>
      </c>
      <c r="D170" s="16">
        <v>2919640.8812000002</v>
      </c>
      <c r="E170" s="2" t="str">
        <f t="shared" si="4"/>
        <v>Non Significant</v>
      </c>
      <c r="F170" s="2"/>
      <c r="G170" s="15" t="s">
        <v>4127</v>
      </c>
      <c r="H170" s="16">
        <v>0</v>
      </c>
      <c r="I170" s="2" t="str">
        <f t="shared" si="5"/>
        <v>Non Significant</v>
      </c>
    </row>
    <row r="171" spans="3:9" ht="12.75" x14ac:dyDescent="0.2">
      <c r="C171" s="15" t="s">
        <v>305</v>
      </c>
      <c r="D171" s="16">
        <v>2431500</v>
      </c>
      <c r="E171" s="2" t="str">
        <f t="shared" si="4"/>
        <v>Non Significant</v>
      </c>
      <c r="F171" s="2"/>
      <c r="G171" s="15" t="s">
        <v>865</v>
      </c>
      <c r="H171" s="16">
        <v>0</v>
      </c>
      <c r="I171" s="2" t="str">
        <f t="shared" si="5"/>
        <v>Non Significant</v>
      </c>
    </row>
    <row r="172" spans="3:9" ht="12.75" x14ac:dyDescent="0.2">
      <c r="C172" s="15" t="s">
        <v>4128</v>
      </c>
      <c r="D172" s="16">
        <v>2349100</v>
      </c>
      <c r="E172" s="2" t="str">
        <f t="shared" si="4"/>
        <v>Non Significant</v>
      </c>
      <c r="F172" s="2"/>
      <c r="G172" s="15" t="s">
        <v>4129</v>
      </c>
      <c r="H172" s="16">
        <v>0</v>
      </c>
      <c r="I172" s="2" t="str">
        <f t="shared" si="5"/>
        <v>Non Significant</v>
      </c>
    </row>
    <row r="173" spans="3:9" ht="12.75" x14ac:dyDescent="0.2">
      <c r="C173" s="15" t="s">
        <v>453</v>
      </c>
      <c r="D173" s="16">
        <v>2146044.5</v>
      </c>
      <c r="E173" s="2" t="str">
        <f t="shared" si="4"/>
        <v>Non Significant</v>
      </c>
      <c r="F173" s="2"/>
      <c r="G173" s="15" t="s">
        <v>4130</v>
      </c>
      <c r="H173" s="16">
        <v>0</v>
      </c>
      <c r="I173" s="2" t="str">
        <f t="shared" si="5"/>
        <v>Non Significant</v>
      </c>
    </row>
    <row r="174" spans="3:9" ht="12.75" x14ac:dyDescent="0.2">
      <c r="C174" s="15" t="s">
        <v>4131</v>
      </c>
      <c r="D174" s="16">
        <v>1703256.8214201599</v>
      </c>
      <c r="E174" s="2" t="str">
        <f t="shared" si="4"/>
        <v>Non Significant</v>
      </c>
      <c r="F174" s="2"/>
      <c r="G174" s="15" t="s">
        <v>3875</v>
      </c>
      <c r="H174" s="16">
        <v>0</v>
      </c>
      <c r="I174" s="2" t="str">
        <f t="shared" si="5"/>
        <v>Non Significant</v>
      </c>
    </row>
    <row r="175" spans="3:9" ht="12.75" x14ac:dyDescent="0.2">
      <c r="C175" s="15" t="s">
        <v>4132</v>
      </c>
      <c r="D175" s="16">
        <v>1502340.875</v>
      </c>
      <c r="E175" s="2" t="str">
        <f t="shared" si="4"/>
        <v>Non Significant</v>
      </c>
      <c r="F175" s="2"/>
      <c r="G175" s="15" t="s">
        <v>1068</v>
      </c>
      <c r="H175" s="16">
        <v>0</v>
      </c>
      <c r="I175" s="2" t="str">
        <f t="shared" si="5"/>
        <v>Non Significant</v>
      </c>
    </row>
    <row r="176" spans="3:9" ht="12.75" x14ac:dyDescent="0.2">
      <c r="C176" s="15" t="s">
        <v>4133</v>
      </c>
      <c r="D176" s="16">
        <v>1427584.6580000001</v>
      </c>
      <c r="E176" s="2" t="str">
        <f t="shared" si="4"/>
        <v>Non Significant</v>
      </c>
      <c r="F176" s="2"/>
      <c r="G176" s="15" t="s">
        <v>2091</v>
      </c>
      <c r="H176" s="16">
        <v>0</v>
      </c>
      <c r="I176" s="2" t="str">
        <f t="shared" si="5"/>
        <v>Non Significant</v>
      </c>
    </row>
    <row r="177" spans="3:9" ht="12.75" x14ac:dyDescent="0.2">
      <c r="C177" s="15" t="s">
        <v>4134</v>
      </c>
      <c r="D177" s="16">
        <v>1161500</v>
      </c>
      <c r="E177" s="2" t="str">
        <f t="shared" si="4"/>
        <v>Non Significant</v>
      </c>
      <c r="F177" s="2"/>
      <c r="G177" s="15" t="s">
        <v>4135</v>
      </c>
      <c r="H177" s="16">
        <v>0</v>
      </c>
      <c r="I177" s="2" t="str">
        <f t="shared" si="5"/>
        <v>Non Significant</v>
      </c>
    </row>
    <row r="178" spans="3:9" ht="12.75" x14ac:dyDescent="0.2">
      <c r="C178" s="15" t="s">
        <v>1293</v>
      </c>
      <c r="D178" s="16">
        <v>1100000</v>
      </c>
      <c r="E178" s="2" t="str">
        <f t="shared" si="4"/>
        <v>Non Significant</v>
      </c>
      <c r="F178" s="2"/>
      <c r="G178" s="15" t="s">
        <v>3021</v>
      </c>
      <c r="H178" s="16">
        <v>0</v>
      </c>
      <c r="I178" s="2" t="str">
        <f t="shared" si="5"/>
        <v>Non Significant</v>
      </c>
    </row>
    <row r="179" spans="3:9" ht="12.75" x14ac:dyDescent="0.2">
      <c r="C179" s="15" t="s">
        <v>4136</v>
      </c>
      <c r="D179" s="16">
        <v>976967</v>
      </c>
      <c r="E179" s="2" t="str">
        <f t="shared" si="4"/>
        <v>Non Significant</v>
      </c>
      <c r="F179" s="2"/>
      <c r="G179" s="15" t="s">
        <v>2211</v>
      </c>
      <c r="H179" s="16">
        <v>0</v>
      </c>
      <c r="I179" s="2" t="str">
        <f t="shared" si="5"/>
        <v>Non Significant</v>
      </c>
    </row>
    <row r="180" spans="3:9" ht="12.75" x14ac:dyDescent="0.2">
      <c r="C180" s="15" t="s">
        <v>1347</v>
      </c>
      <c r="D180" s="16">
        <v>617600</v>
      </c>
      <c r="E180" s="2" t="str">
        <f t="shared" si="4"/>
        <v>Non Significant</v>
      </c>
      <c r="F180" s="2"/>
      <c r="G180" s="15" t="s">
        <v>4137</v>
      </c>
      <c r="H180" s="16">
        <v>0</v>
      </c>
      <c r="I180" s="2" t="str">
        <f t="shared" si="5"/>
        <v>Non Significant</v>
      </c>
    </row>
    <row r="181" spans="3:9" ht="12.75" x14ac:dyDescent="0.2">
      <c r="C181" s="15" t="s">
        <v>4138</v>
      </c>
      <c r="D181" s="16">
        <v>500000</v>
      </c>
      <c r="E181" s="2" t="str">
        <f t="shared" si="4"/>
        <v>Non Significant</v>
      </c>
      <c r="F181" s="2"/>
      <c r="G181" s="15" t="s">
        <v>4139</v>
      </c>
      <c r="H181" s="16">
        <v>0</v>
      </c>
      <c r="I181" s="2" t="str">
        <f t="shared" si="5"/>
        <v>Non Significant</v>
      </c>
    </row>
    <row r="182" spans="3:9" ht="12.75" x14ac:dyDescent="0.2">
      <c r="C182" s="15" t="s">
        <v>426</v>
      </c>
      <c r="D182" s="16">
        <v>470000</v>
      </c>
      <c r="E182" s="2" t="str">
        <f t="shared" si="4"/>
        <v>Non Significant</v>
      </c>
      <c r="F182" s="2"/>
      <c r="G182" s="15" t="s">
        <v>4140</v>
      </c>
      <c r="H182" s="16">
        <v>0</v>
      </c>
      <c r="I182" s="2" t="str">
        <f t="shared" si="5"/>
        <v>Non Significant</v>
      </c>
    </row>
    <row r="183" spans="3:9" ht="12.75" x14ac:dyDescent="0.2">
      <c r="C183" s="15" t="s">
        <v>451</v>
      </c>
      <c r="D183" s="16">
        <v>351869</v>
      </c>
      <c r="E183" s="2" t="str">
        <f t="shared" si="4"/>
        <v>Non Significant</v>
      </c>
      <c r="F183" s="2"/>
      <c r="G183" s="15" t="s">
        <v>4141</v>
      </c>
      <c r="H183" s="16">
        <v>0</v>
      </c>
      <c r="I183" s="2" t="str">
        <f t="shared" si="5"/>
        <v>Non Significant</v>
      </c>
    </row>
    <row r="184" spans="3:9" ht="12.75" x14ac:dyDescent="0.2">
      <c r="C184" s="15" t="s">
        <v>4142</v>
      </c>
      <c r="D184" s="16">
        <v>288110</v>
      </c>
      <c r="E184" s="2" t="str">
        <f t="shared" si="4"/>
        <v>Non Significant</v>
      </c>
      <c r="F184" s="2"/>
      <c r="G184" s="15" t="s">
        <v>3360</v>
      </c>
      <c r="H184" s="16">
        <v>0</v>
      </c>
      <c r="I184" s="2" t="str">
        <f t="shared" si="5"/>
        <v>Non Significant</v>
      </c>
    </row>
    <row r="185" spans="3:9" ht="12.75" x14ac:dyDescent="0.2">
      <c r="C185" s="15" t="s">
        <v>4143</v>
      </c>
      <c r="D185" s="16">
        <v>108000</v>
      </c>
      <c r="E185" s="2" t="str">
        <f t="shared" si="4"/>
        <v>Non Significant</v>
      </c>
      <c r="F185" s="2"/>
      <c r="G185" s="15" t="s">
        <v>4144</v>
      </c>
      <c r="H185" s="16">
        <v>0</v>
      </c>
      <c r="I185" s="2" t="str">
        <f t="shared" si="5"/>
        <v>Non Significant</v>
      </c>
    </row>
    <row r="186" spans="3:9" ht="12.75" x14ac:dyDescent="0.2">
      <c r="C186" s="15" t="s">
        <v>4145</v>
      </c>
      <c r="D186" s="16">
        <v>107921.68767119999</v>
      </c>
      <c r="E186" s="2" t="str">
        <f t="shared" si="4"/>
        <v>Non Significant</v>
      </c>
      <c r="F186" s="2"/>
      <c r="G186" s="15" t="s">
        <v>2991</v>
      </c>
      <c r="H186" s="16">
        <v>0</v>
      </c>
      <c r="I186" s="2" t="str">
        <f t="shared" si="5"/>
        <v>Non Significant</v>
      </c>
    </row>
    <row r="187" spans="3:9" ht="12.75" x14ac:dyDescent="0.2">
      <c r="C187" s="15" t="s">
        <v>4146</v>
      </c>
      <c r="D187" s="16">
        <v>68400</v>
      </c>
      <c r="E187" s="2" t="str">
        <f t="shared" si="4"/>
        <v>Non Significant</v>
      </c>
      <c r="F187" s="2"/>
      <c r="G187" s="15" t="s">
        <v>4147</v>
      </c>
      <c r="H187" s="16">
        <v>0</v>
      </c>
      <c r="I187" s="2" t="str">
        <f t="shared" si="5"/>
        <v>Non Significant</v>
      </c>
    </row>
    <row r="188" spans="3:9" ht="12.75" x14ac:dyDescent="0.2">
      <c r="C188" s="15" t="s">
        <v>4148</v>
      </c>
      <c r="D188" s="16">
        <v>16050</v>
      </c>
      <c r="E188" s="2" t="str">
        <f t="shared" si="4"/>
        <v>Non Significant</v>
      </c>
      <c r="F188" s="2"/>
      <c r="G188" s="15" t="s">
        <v>3785</v>
      </c>
      <c r="H188" s="16">
        <v>0</v>
      </c>
      <c r="I188" s="2" t="str">
        <f t="shared" si="5"/>
        <v>Non Significant</v>
      </c>
    </row>
    <row r="189" spans="3:9" ht="12.75" x14ac:dyDescent="0.2">
      <c r="C189" s="15" t="s">
        <v>4149</v>
      </c>
      <c r="D189" s="16">
        <v>2160</v>
      </c>
      <c r="E189" s="2" t="str">
        <f t="shared" si="4"/>
        <v>Non Significant</v>
      </c>
      <c r="F189" s="2"/>
      <c r="G189" s="15" t="s">
        <v>4150</v>
      </c>
      <c r="H189" s="16">
        <v>0</v>
      </c>
      <c r="I189" s="2" t="str">
        <f t="shared" si="5"/>
        <v>Non Significant</v>
      </c>
    </row>
    <row r="190" spans="3:9" ht="12.75" x14ac:dyDescent="0.2">
      <c r="C190" s="15" t="s">
        <v>4151</v>
      </c>
      <c r="D190" s="16">
        <v>1050</v>
      </c>
      <c r="E190" s="2" t="str">
        <f t="shared" si="4"/>
        <v>Non Significant</v>
      </c>
      <c r="F190" s="2"/>
      <c r="G190" s="15" t="s">
        <v>1018</v>
      </c>
      <c r="H190" s="16">
        <v>0</v>
      </c>
      <c r="I190" s="2" t="str">
        <f t="shared" si="5"/>
        <v>Non Significant</v>
      </c>
    </row>
    <row r="191" spans="3:9" ht="12.75" x14ac:dyDescent="0.2">
      <c r="C191" s="15" t="s">
        <v>1224</v>
      </c>
      <c r="D191" s="16">
        <v>88.801788999999999</v>
      </c>
      <c r="E191" s="2" t="str">
        <f t="shared" si="4"/>
        <v>Non Significant</v>
      </c>
      <c r="F191" s="2"/>
      <c r="G191" s="15" t="s">
        <v>3744</v>
      </c>
      <c r="H191" s="16">
        <v>0</v>
      </c>
      <c r="I191" s="2" t="str">
        <f t="shared" si="5"/>
        <v>Non Significant</v>
      </c>
    </row>
    <row r="192" spans="3:9" ht="12.75" x14ac:dyDescent="0.2">
      <c r="C192" s="15" t="s">
        <v>4152</v>
      </c>
      <c r="D192" s="16">
        <v>0</v>
      </c>
      <c r="E192" s="2" t="str">
        <f t="shared" si="4"/>
        <v>Non Significant</v>
      </c>
      <c r="F192" s="2"/>
      <c r="G192" s="15" t="s">
        <v>1839</v>
      </c>
      <c r="H192" s="16">
        <v>0</v>
      </c>
      <c r="I192" s="2" t="str">
        <f t="shared" si="5"/>
        <v>Non Significant</v>
      </c>
    </row>
    <row r="193" spans="3:9" ht="12.75" x14ac:dyDescent="0.2">
      <c r="C193" s="15" t="s">
        <v>2949</v>
      </c>
      <c r="D193" s="16">
        <v>0</v>
      </c>
      <c r="E193" s="2" t="str">
        <f t="shared" si="4"/>
        <v>Non Significant</v>
      </c>
      <c r="F193" s="2"/>
      <c r="G193" s="15" t="s">
        <v>1880</v>
      </c>
      <c r="H193" s="16">
        <v>0</v>
      </c>
      <c r="I193" s="2" t="str">
        <f t="shared" si="5"/>
        <v>Non Significant</v>
      </c>
    </row>
    <row r="194" spans="3:9" ht="12.75" x14ac:dyDescent="0.2">
      <c r="C194" s="15" t="s">
        <v>4153</v>
      </c>
      <c r="D194" s="16">
        <v>0</v>
      </c>
      <c r="E194" s="2" t="str">
        <f t="shared" si="4"/>
        <v>Non Significant</v>
      </c>
      <c r="F194" s="2"/>
      <c r="G194" s="15" t="s">
        <v>1889</v>
      </c>
      <c r="H194" s="16">
        <v>0</v>
      </c>
      <c r="I194" s="2" t="str">
        <f t="shared" si="5"/>
        <v>Non Significant</v>
      </c>
    </row>
    <row r="195" spans="3:9" ht="12.75" x14ac:dyDescent="0.2">
      <c r="C195" s="15" t="s">
        <v>1924</v>
      </c>
      <c r="D195" s="16">
        <v>0</v>
      </c>
      <c r="E195" s="2" t="str">
        <f t="shared" si="4"/>
        <v>Non Significant</v>
      </c>
      <c r="F195" s="2"/>
      <c r="G195" s="15" t="s">
        <v>1917</v>
      </c>
      <c r="H195" s="16">
        <v>0</v>
      </c>
      <c r="I195" s="2" t="str">
        <f t="shared" si="5"/>
        <v>Non Significant</v>
      </c>
    </row>
    <row r="196" spans="3:9" ht="12.75" x14ac:dyDescent="0.2">
      <c r="C196" s="15" t="s">
        <v>1920</v>
      </c>
      <c r="D196" s="16">
        <v>0</v>
      </c>
      <c r="E196" s="2" t="str">
        <f t="shared" si="4"/>
        <v>Non Significant</v>
      </c>
      <c r="F196" s="2"/>
      <c r="G196" s="15" t="s">
        <v>4154</v>
      </c>
      <c r="H196" s="16">
        <v>0</v>
      </c>
      <c r="I196" s="2" t="str">
        <f t="shared" si="5"/>
        <v>Non Significant</v>
      </c>
    </row>
    <row r="197" spans="3:9" ht="12.75" x14ac:dyDescent="0.2">
      <c r="C197" s="15" t="s">
        <v>4155</v>
      </c>
      <c r="D197" s="16">
        <v>0</v>
      </c>
      <c r="E197" s="2" t="str">
        <f t="shared" si="4"/>
        <v>Non Significant</v>
      </c>
      <c r="F197" s="2"/>
      <c r="G197" s="15" t="s">
        <v>1899</v>
      </c>
      <c r="H197" s="16">
        <v>0</v>
      </c>
      <c r="I197" s="2" t="str">
        <f t="shared" si="5"/>
        <v>Non Significant</v>
      </c>
    </row>
    <row r="198" spans="3:9" ht="12.75" x14ac:dyDescent="0.2">
      <c r="C198" s="15" t="s">
        <v>4156</v>
      </c>
      <c r="D198" s="16">
        <v>0</v>
      </c>
      <c r="E198" s="2" t="str">
        <f t="shared" si="4"/>
        <v>Non Significant</v>
      </c>
      <c r="F198" s="2"/>
      <c r="G198" s="15" t="s">
        <v>1689</v>
      </c>
      <c r="H198" s="16">
        <v>0</v>
      </c>
      <c r="I198" s="2" t="str">
        <f t="shared" si="5"/>
        <v>Non Significant</v>
      </c>
    </row>
    <row r="199" spans="3:9" ht="12.75" x14ac:dyDescent="0.2">
      <c r="C199" s="15" t="s">
        <v>2193</v>
      </c>
      <c r="D199" s="16">
        <v>0</v>
      </c>
      <c r="E199" s="2" t="str">
        <f t="shared" ref="E199:E262" si="6">IF(D199&gt;=500000000000,"Critical",IF(AND(D199&gt;=50000000000,D199&lt;500000000000),"Significant",IF(AND(D199&gt;=45000000000,D199&lt;50000000000),"Almost Significant",IF(D199&lt;45000000000,"Non Significant",0))))</f>
        <v>Non Significant</v>
      </c>
      <c r="F199" s="2"/>
      <c r="G199" s="15" t="s">
        <v>1926</v>
      </c>
      <c r="H199" s="16">
        <v>0</v>
      </c>
      <c r="I199" s="2" t="str">
        <f t="shared" ref="I199:I208" si="7">IF(H199&gt;=500000000000,"Critical",IF(AND(H199&gt;=50000000000,H199&lt;500000000000),"Significant",IF(AND(H199&gt;=45000000000,H199&lt;50000000000),"Almost Significant",IF(H199&lt;45000000000,"Non Significant",0))))</f>
        <v>Non Significant</v>
      </c>
    </row>
    <row r="200" spans="3:9" ht="12.75" x14ac:dyDescent="0.2">
      <c r="C200" s="15" t="s">
        <v>3744</v>
      </c>
      <c r="D200" s="16">
        <v>0</v>
      </c>
      <c r="E200" s="2" t="str">
        <f t="shared" si="6"/>
        <v>Non Significant</v>
      </c>
      <c r="F200" s="2"/>
      <c r="G200" s="15" t="s">
        <v>4157</v>
      </c>
      <c r="H200" s="16">
        <v>0</v>
      </c>
      <c r="I200" s="2" t="str">
        <f t="shared" si="7"/>
        <v>Non Significant</v>
      </c>
    </row>
    <row r="201" spans="3:9" ht="12.75" x14ac:dyDescent="0.2">
      <c r="C201" s="15" t="s">
        <v>2187</v>
      </c>
      <c r="D201" s="16">
        <v>0</v>
      </c>
      <c r="E201" s="2" t="str">
        <f t="shared" si="6"/>
        <v>Non Significant</v>
      </c>
      <c r="F201" s="2"/>
      <c r="G201" s="15" t="s">
        <v>1710</v>
      </c>
      <c r="H201" s="16">
        <v>0</v>
      </c>
      <c r="I201" s="2" t="str">
        <f t="shared" si="7"/>
        <v>Non Significant</v>
      </c>
    </row>
    <row r="202" spans="3:9" ht="12.75" x14ac:dyDescent="0.2">
      <c r="C202" s="15" t="s">
        <v>2826</v>
      </c>
      <c r="D202" s="16">
        <v>0</v>
      </c>
      <c r="E202" s="2" t="str">
        <f t="shared" si="6"/>
        <v>Non Significant</v>
      </c>
      <c r="F202" s="2"/>
      <c r="G202" s="15" t="s">
        <v>4158</v>
      </c>
      <c r="H202" s="16">
        <v>0</v>
      </c>
      <c r="I202" s="2" t="str">
        <f t="shared" si="7"/>
        <v>Non Significant</v>
      </c>
    </row>
    <row r="203" spans="3:9" ht="12.75" x14ac:dyDescent="0.2">
      <c r="C203" s="15" t="s">
        <v>2191</v>
      </c>
      <c r="D203" s="16">
        <v>0</v>
      </c>
      <c r="E203" s="2" t="str">
        <f t="shared" si="6"/>
        <v>Non Significant</v>
      </c>
      <c r="F203" s="2"/>
      <c r="G203" s="15" t="s">
        <v>1857</v>
      </c>
      <c r="H203" s="16">
        <v>0</v>
      </c>
      <c r="I203" s="2" t="str">
        <f t="shared" si="7"/>
        <v>Non Significant</v>
      </c>
    </row>
    <row r="204" spans="3:9" ht="12.75" x14ac:dyDescent="0.2">
      <c r="C204" s="15" t="s">
        <v>4159</v>
      </c>
      <c r="D204" s="16">
        <v>0</v>
      </c>
      <c r="E204" s="2" t="str">
        <f t="shared" si="6"/>
        <v>Non Significant</v>
      </c>
      <c r="F204" s="2"/>
      <c r="G204" s="15" t="s">
        <v>4160</v>
      </c>
      <c r="H204" s="16">
        <v>0</v>
      </c>
      <c r="I204" s="2" t="str">
        <f t="shared" si="7"/>
        <v>Non Significant</v>
      </c>
    </row>
    <row r="205" spans="3:9" ht="12.75" x14ac:dyDescent="0.2">
      <c r="C205" s="15" t="s">
        <v>1710</v>
      </c>
      <c r="D205" s="16">
        <v>0</v>
      </c>
      <c r="E205" s="2" t="str">
        <f t="shared" si="6"/>
        <v>Non Significant</v>
      </c>
      <c r="F205" s="2"/>
      <c r="G205" s="15" t="s">
        <v>1830</v>
      </c>
      <c r="H205" s="16">
        <v>0</v>
      </c>
      <c r="I205" s="2" t="str">
        <f t="shared" si="7"/>
        <v>Non Significant</v>
      </c>
    </row>
    <row r="206" spans="3:9" ht="12.75" x14ac:dyDescent="0.2">
      <c r="C206" s="15" t="s">
        <v>2923</v>
      </c>
      <c r="D206" s="16">
        <v>0</v>
      </c>
      <c r="E206" s="2" t="str">
        <f t="shared" si="6"/>
        <v>Non Significant</v>
      </c>
      <c r="F206" s="2"/>
      <c r="G206" s="15" t="s">
        <v>4161</v>
      </c>
      <c r="H206" s="16">
        <v>0</v>
      </c>
      <c r="I206" s="2" t="str">
        <f t="shared" si="7"/>
        <v>Non Significant</v>
      </c>
    </row>
    <row r="207" spans="3:9" ht="12.75" x14ac:dyDescent="0.2">
      <c r="C207" s="15" t="s">
        <v>4162</v>
      </c>
      <c r="D207" s="16">
        <v>0</v>
      </c>
      <c r="E207" s="2" t="str">
        <f t="shared" si="6"/>
        <v>Non Significant</v>
      </c>
      <c r="F207" s="2"/>
      <c r="G207" s="15" t="s">
        <v>4163</v>
      </c>
      <c r="H207" s="16">
        <v>0</v>
      </c>
      <c r="I207" s="2" t="str">
        <f t="shared" si="7"/>
        <v>Non Significant</v>
      </c>
    </row>
    <row r="208" spans="3:9" ht="12.75" x14ac:dyDescent="0.2">
      <c r="C208" s="15" t="s">
        <v>4164</v>
      </c>
      <c r="D208" s="16">
        <v>0</v>
      </c>
      <c r="E208" s="2" t="str">
        <f t="shared" si="6"/>
        <v>Non Significant</v>
      </c>
      <c r="F208" s="2"/>
      <c r="G208" s="15" t="s">
        <v>4165</v>
      </c>
      <c r="H208" s="16">
        <v>0</v>
      </c>
      <c r="I208" s="2" t="str">
        <f t="shared" si="7"/>
        <v>Non Significant</v>
      </c>
    </row>
    <row r="209" spans="3:8" ht="12.75" x14ac:dyDescent="0.2">
      <c r="C209" s="15" t="s">
        <v>4166</v>
      </c>
      <c r="D209" s="16">
        <v>0</v>
      </c>
      <c r="E209" s="2" t="str">
        <f t="shared" si="6"/>
        <v>Non Significant</v>
      </c>
      <c r="F209" s="2"/>
      <c r="G209" s="15" t="s">
        <v>4167</v>
      </c>
      <c r="H209" s="16">
        <v>0</v>
      </c>
    </row>
    <row r="210" spans="3:8" ht="12.75" x14ac:dyDescent="0.2">
      <c r="C210" s="15" t="s">
        <v>4168</v>
      </c>
      <c r="D210" s="16">
        <v>0</v>
      </c>
      <c r="E210" s="2" t="str">
        <f t="shared" si="6"/>
        <v>Non Significant</v>
      </c>
      <c r="F210" s="2"/>
      <c r="G210" s="15" t="s">
        <v>4169</v>
      </c>
      <c r="H210" s="16">
        <v>0</v>
      </c>
    </row>
    <row r="211" spans="3:8" ht="12.75" x14ac:dyDescent="0.2">
      <c r="C211" s="15" t="s">
        <v>4051</v>
      </c>
      <c r="D211" s="16">
        <v>0</v>
      </c>
      <c r="E211" s="2" t="str">
        <f t="shared" si="6"/>
        <v>Non Significant</v>
      </c>
      <c r="F211" s="2"/>
      <c r="G211" s="15" t="s">
        <v>4170</v>
      </c>
      <c r="H211" s="16">
        <v>0</v>
      </c>
    </row>
    <row r="212" spans="3:8" ht="12.75" x14ac:dyDescent="0.2">
      <c r="C212" s="15" t="s">
        <v>3754</v>
      </c>
      <c r="D212" s="16">
        <v>0</v>
      </c>
      <c r="E212" s="2" t="str">
        <f t="shared" si="6"/>
        <v>Non Significant</v>
      </c>
      <c r="F212" s="2"/>
      <c r="G212" s="15" t="s">
        <v>1707</v>
      </c>
      <c r="H212" s="16">
        <v>0</v>
      </c>
    </row>
    <row r="213" spans="3:8" ht="12.75" x14ac:dyDescent="0.2">
      <c r="C213" s="15" t="s">
        <v>4171</v>
      </c>
      <c r="D213" s="16">
        <v>0</v>
      </c>
      <c r="E213" s="2" t="str">
        <f t="shared" si="6"/>
        <v>Non Significant</v>
      </c>
      <c r="F213" s="2"/>
      <c r="G213" s="15" t="s">
        <v>4172</v>
      </c>
      <c r="H213" s="16">
        <v>0</v>
      </c>
    </row>
    <row r="214" spans="3:8" ht="12.75" x14ac:dyDescent="0.2">
      <c r="C214" s="15" t="s">
        <v>2796</v>
      </c>
      <c r="D214" s="16">
        <v>0</v>
      </c>
      <c r="E214" s="2" t="str">
        <f t="shared" si="6"/>
        <v>Non Significant</v>
      </c>
      <c r="F214" s="2"/>
      <c r="G214" s="15" t="s">
        <v>4173</v>
      </c>
      <c r="H214" s="16">
        <v>0</v>
      </c>
    </row>
    <row r="215" spans="3:8" ht="12.75" x14ac:dyDescent="0.2">
      <c r="C215" s="15" t="s">
        <v>1851</v>
      </c>
      <c r="D215" s="16">
        <v>0</v>
      </c>
      <c r="E215" s="2" t="str">
        <f t="shared" si="6"/>
        <v>Non Significant</v>
      </c>
      <c r="F215" s="2"/>
      <c r="G215" s="15" t="s">
        <v>4174</v>
      </c>
      <c r="H215" s="16">
        <v>0</v>
      </c>
    </row>
    <row r="216" spans="3:8" ht="12.75" x14ac:dyDescent="0.2">
      <c r="C216" s="15" t="s">
        <v>2850</v>
      </c>
      <c r="D216" s="16">
        <v>0</v>
      </c>
      <c r="E216" s="2" t="str">
        <f t="shared" si="6"/>
        <v>Non Significant</v>
      </c>
      <c r="F216" s="2"/>
      <c r="G216" s="15" t="s">
        <v>2958</v>
      </c>
      <c r="H216" s="16">
        <v>0</v>
      </c>
    </row>
    <row r="217" spans="3:8" ht="12.75" x14ac:dyDescent="0.2">
      <c r="C217" s="15" t="s">
        <v>1855</v>
      </c>
      <c r="D217" s="16">
        <v>0</v>
      </c>
      <c r="E217" s="2" t="str">
        <f t="shared" si="6"/>
        <v>Non Significant</v>
      </c>
      <c r="F217" s="2"/>
      <c r="G217" s="15" t="s">
        <v>4175</v>
      </c>
      <c r="H217" s="16">
        <v>0</v>
      </c>
    </row>
    <row r="218" spans="3:8" ht="12.75" x14ac:dyDescent="0.2">
      <c r="C218" s="15" t="s">
        <v>1494</v>
      </c>
      <c r="D218" s="16">
        <v>0</v>
      </c>
      <c r="E218" s="2" t="str">
        <f t="shared" si="6"/>
        <v>Non Significant</v>
      </c>
      <c r="F218" s="2"/>
      <c r="G218" s="15" t="s">
        <v>2793</v>
      </c>
      <c r="H218" s="16">
        <v>0</v>
      </c>
    </row>
    <row r="219" spans="3:8" ht="12.75" x14ac:dyDescent="0.2">
      <c r="C219" s="15" t="s">
        <v>1887</v>
      </c>
      <c r="D219" s="16">
        <v>0</v>
      </c>
      <c r="E219" s="2" t="str">
        <f t="shared" si="6"/>
        <v>Non Significant</v>
      </c>
      <c r="F219" s="2"/>
      <c r="G219" s="15" t="s">
        <v>1569</v>
      </c>
      <c r="H219" s="16">
        <v>0</v>
      </c>
    </row>
    <row r="220" spans="3:8" ht="12.75" x14ac:dyDescent="0.2">
      <c r="C220" s="15" t="s">
        <v>4176</v>
      </c>
      <c r="D220" s="16">
        <v>0</v>
      </c>
      <c r="E220" s="2" t="str">
        <f t="shared" si="6"/>
        <v>Non Significant</v>
      </c>
      <c r="F220" s="2"/>
      <c r="G220" s="15" t="s">
        <v>3604</v>
      </c>
      <c r="H220" s="16">
        <v>0</v>
      </c>
    </row>
    <row r="221" spans="3:8" ht="12.75" x14ac:dyDescent="0.2">
      <c r="C221" s="15" t="s">
        <v>2979</v>
      </c>
      <c r="D221" s="16">
        <v>0</v>
      </c>
      <c r="E221" s="2" t="str">
        <f t="shared" si="6"/>
        <v>Non Significant</v>
      </c>
      <c r="F221" s="2"/>
      <c r="G221" s="15" t="s">
        <v>2844</v>
      </c>
      <c r="H221" s="16">
        <v>0</v>
      </c>
    </row>
    <row r="222" spans="3:8" ht="12.75" x14ac:dyDescent="0.2">
      <c r="C222" s="15" t="s">
        <v>2788</v>
      </c>
      <c r="D222" s="16">
        <v>0</v>
      </c>
      <c r="E222" s="2" t="str">
        <f t="shared" si="6"/>
        <v>Non Significant</v>
      </c>
      <c r="F222" s="2"/>
      <c r="G222" s="15" t="s">
        <v>601</v>
      </c>
      <c r="H222" s="16">
        <v>0</v>
      </c>
    </row>
    <row r="223" spans="3:8" ht="12.75" x14ac:dyDescent="0.2">
      <c r="C223" s="15" t="s">
        <v>2982</v>
      </c>
      <c r="D223" s="16">
        <v>0</v>
      </c>
      <c r="E223" s="2" t="str">
        <f t="shared" si="6"/>
        <v>Non Significant</v>
      </c>
      <c r="F223" s="2"/>
      <c r="G223" s="15" t="s">
        <v>2925</v>
      </c>
      <c r="H223" s="16">
        <v>0</v>
      </c>
    </row>
    <row r="224" spans="3:8" ht="12.75" x14ac:dyDescent="0.2">
      <c r="C224" s="15" t="s">
        <v>2869</v>
      </c>
      <c r="D224" s="16">
        <v>0</v>
      </c>
      <c r="E224" s="2" t="str">
        <f t="shared" si="6"/>
        <v>Non Significant</v>
      </c>
      <c r="F224" s="2"/>
      <c r="G224" s="15" t="s">
        <v>592</v>
      </c>
      <c r="H224" s="16">
        <v>0</v>
      </c>
    </row>
    <row r="225" spans="3:8" ht="12.75" x14ac:dyDescent="0.2">
      <c r="C225" s="15" t="s">
        <v>4177</v>
      </c>
      <c r="D225" s="16">
        <v>0</v>
      </c>
      <c r="E225" s="2" t="str">
        <f t="shared" si="6"/>
        <v>Non Significant</v>
      </c>
      <c r="F225" s="2"/>
      <c r="G225" s="15" t="s">
        <v>4178</v>
      </c>
      <c r="H225" s="16">
        <v>0</v>
      </c>
    </row>
    <row r="226" spans="3:8" ht="12.75" x14ac:dyDescent="0.2">
      <c r="C226" s="15" t="s">
        <v>4102</v>
      </c>
      <c r="D226" s="16">
        <v>0</v>
      </c>
      <c r="E226" s="2" t="str">
        <f t="shared" si="6"/>
        <v>Non Significant</v>
      </c>
      <c r="F226" s="2"/>
      <c r="G226" s="15" t="s">
        <v>2202</v>
      </c>
      <c r="H226" s="16">
        <v>0</v>
      </c>
    </row>
    <row r="227" spans="3:8" ht="12.75" x14ac:dyDescent="0.2">
      <c r="C227" s="15" t="s">
        <v>2973</v>
      </c>
      <c r="D227" s="16">
        <v>0</v>
      </c>
      <c r="E227" s="2" t="str">
        <f t="shared" si="6"/>
        <v>Non Significant</v>
      </c>
      <c r="F227" s="2"/>
      <c r="G227" s="15" t="s">
        <v>4179</v>
      </c>
      <c r="H227" s="16">
        <v>0</v>
      </c>
    </row>
    <row r="228" spans="3:8" ht="12.75" x14ac:dyDescent="0.2">
      <c r="C228" s="15" t="s">
        <v>4180</v>
      </c>
      <c r="D228" s="16">
        <v>0</v>
      </c>
      <c r="E228" s="2" t="str">
        <f t="shared" si="6"/>
        <v>Non Significant</v>
      </c>
      <c r="F228" s="2"/>
      <c r="G228" s="15" t="s">
        <v>4181</v>
      </c>
      <c r="H228" s="16">
        <v>0</v>
      </c>
    </row>
    <row r="229" spans="3:8" ht="12.75" x14ac:dyDescent="0.2">
      <c r="C229" s="15" t="s">
        <v>2976</v>
      </c>
      <c r="D229" s="16">
        <v>0</v>
      </c>
      <c r="E229" s="2" t="str">
        <f t="shared" si="6"/>
        <v>Non Significant</v>
      </c>
      <c r="F229" s="2"/>
      <c r="G229" s="15" t="s">
        <v>4182</v>
      </c>
      <c r="H229" s="16">
        <v>0</v>
      </c>
    </row>
    <row r="230" spans="3:8" ht="12.75" x14ac:dyDescent="0.2">
      <c r="C230" s="15" t="s">
        <v>4183</v>
      </c>
      <c r="D230" s="16">
        <v>0</v>
      </c>
      <c r="E230" s="2" t="str">
        <f t="shared" si="6"/>
        <v>Non Significant</v>
      </c>
      <c r="F230" s="2"/>
      <c r="G230" s="15" t="s">
        <v>3759</v>
      </c>
      <c r="H230" s="16">
        <v>0</v>
      </c>
    </row>
    <row r="231" spans="3:8" ht="12.75" x14ac:dyDescent="0.2">
      <c r="C231" s="15" t="s">
        <v>1911</v>
      </c>
      <c r="D231" s="16">
        <v>0</v>
      </c>
      <c r="E231" s="2" t="str">
        <f t="shared" si="6"/>
        <v>Non Significant</v>
      </c>
      <c r="F231" s="2"/>
      <c r="G231" s="15" t="s">
        <v>3264</v>
      </c>
      <c r="H231" s="16">
        <v>0</v>
      </c>
    </row>
    <row r="232" spans="3:8" ht="12.75" x14ac:dyDescent="0.2">
      <c r="C232" s="15" t="s">
        <v>4184</v>
      </c>
      <c r="D232" s="16">
        <v>0</v>
      </c>
      <c r="E232" s="2" t="str">
        <f t="shared" si="6"/>
        <v>Non Significant</v>
      </c>
      <c r="F232" s="2"/>
      <c r="G232" s="15" t="s">
        <v>4185</v>
      </c>
      <c r="H232" s="16">
        <v>0</v>
      </c>
    </row>
    <row r="233" spans="3:8" ht="12.75" x14ac:dyDescent="0.2">
      <c r="C233" s="15" t="s">
        <v>2967</v>
      </c>
      <c r="D233" s="16">
        <v>0</v>
      </c>
      <c r="E233" s="2" t="str">
        <f t="shared" si="6"/>
        <v>Non Significant</v>
      </c>
      <c r="F233" s="2"/>
      <c r="G233" s="15" t="s">
        <v>1129</v>
      </c>
      <c r="H233" s="16">
        <v>0</v>
      </c>
    </row>
    <row r="234" spans="3:8" ht="12.75" x14ac:dyDescent="0.2">
      <c r="C234" s="15" t="s">
        <v>3742</v>
      </c>
      <c r="D234" s="16">
        <v>0</v>
      </c>
      <c r="E234" s="2" t="str">
        <f t="shared" si="6"/>
        <v>Non Significant</v>
      </c>
      <c r="F234" s="2"/>
      <c r="G234" s="15" t="s">
        <v>4176</v>
      </c>
      <c r="H234" s="16">
        <v>0</v>
      </c>
    </row>
    <row r="235" spans="3:8" ht="12.75" x14ac:dyDescent="0.2">
      <c r="C235" s="15" t="s">
        <v>2970</v>
      </c>
      <c r="D235" s="16">
        <v>0</v>
      </c>
      <c r="E235" s="2" t="str">
        <f t="shared" si="6"/>
        <v>Non Significant</v>
      </c>
      <c r="F235" s="2"/>
      <c r="G235" s="15" t="s">
        <v>1005</v>
      </c>
      <c r="H235" s="16">
        <v>0</v>
      </c>
    </row>
    <row r="236" spans="3:8" ht="12.75" x14ac:dyDescent="0.2">
      <c r="C236" s="15" t="s">
        <v>4186</v>
      </c>
      <c r="D236" s="16">
        <v>0</v>
      </c>
      <c r="E236" s="2" t="str">
        <f t="shared" si="6"/>
        <v>Non Significant</v>
      </c>
      <c r="F236" s="2"/>
      <c r="G236" s="15" t="s">
        <v>4152</v>
      </c>
      <c r="H236" s="16">
        <v>0</v>
      </c>
    </row>
    <row r="237" spans="3:8" ht="12.75" x14ac:dyDescent="0.2">
      <c r="C237" s="15" t="s">
        <v>4187</v>
      </c>
      <c r="D237" s="16">
        <v>0</v>
      </c>
      <c r="E237" s="2" t="str">
        <f t="shared" si="6"/>
        <v>Non Significant</v>
      </c>
      <c r="F237" s="2"/>
      <c r="G237" s="15" t="s">
        <v>996</v>
      </c>
      <c r="H237" s="16">
        <v>0</v>
      </c>
    </row>
    <row r="238" spans="3:8" ht="12.75" x14ac:dyDescent="0.2">
      <c r="C238" s="15" t="s">
        <v>4188</v>
      </c>
      <c r="D238" s="16">
        <v>0</v>
      </c>
      <c r="E238" s="2" t="str">
        <f t="shared" si="6"/>
        <v>Non Significant</v>
      </c>
      <c r="F238" s="2"/>
      <c r="G238" s="15" t="s">
        <v>2895</v>
      </c>
      <c r="H238" s="16">
        <v>0</v>
      </c>
    </row>
    <row r="239" spans="3:8" ht="12.75" x14ac:dyDescent="0.2">
      <c r="C239" s="15" t="s">
        <v>1842</v>
      </c>
      <c r="D239" s="16">
        <v>0</v>
      </c>
      <c r="E239" s="2" t="str">
        <f t="shared" si="6"/>
        <v>Non Significant</v>
      </c>
      <c r="F239" s="2"/>
      <c r="G239" s="15" t="s">
        <v>4189</v>
      </c>
      <c r="H239" s="16">
        <v>0</v>
      </c>
    </row>
    <row r="240" spans="3:8" ht="12.75" x14ac:dyDescent="0.2">
      <c r="C240" s="15" t="s">
        <v>2817</v>
      </c>
      <c r="D240" s="16">
        <v>0</v>
      </c>
      <c r="E240" s="2" t="str">
        <f t="shared" si="6"/>
        <v>Non Significant</v>
      </c>
      <c r="F240" s="2"/>
      <c r="G240" s="15" t="s">
        <v>4190</v>
      </c>
      <c r="H240" s="16">
        <v>0</v>
      </c>
    </row>
    <row r="241" spans="3:8" x14ac:dyDescent="0.25">
      <c r="C241" s="15" t="s">
        <v>1846</v>
      </c>
      <c r="D241" s="16">
        <v>0</v>
      </c>
      <c r="E241" s="2" t="str">
        <f t="shared" si="6"/>
        <v>Non Significant</v>
      </c>
      <c r="F241" s="2"/>
      <c r="G241" s="19" t="s">
        <v>3914</v>
      </c>
      <c r="H241" s="20">
        <v>408078057490.82269</v>
      </c>
    </row>
    <row r="242" spans="3:8" x14ac:dyDescent="0.25">
      <c r="C242" s="15" t="s">
        <v>2940</v>
      </c>
      <c r="D242" s="16">
        <v>0</v>
      </c>
      <c r="E242" s="2" t="str">
        <f t="shared" si="6"/>
        <v>Non Significant</v>
      </c>
      <c r="F242" s="2"/>
    </row>
    <row r="243" spans="3:8" x14ac:dyDescent="0.25">
      <c r="C243" s="15" t="s">
        <v>4191</v>
      </c>
      <c r="D243" s="16">
        <v>0</v>
      </c>
      <c r="E243" s="2" t="str">
        <f t="shared" si="6"/>
        <v>Non Significant</v>
      </c>
      <c r="F243" s="2"/>
    </row>
    <row r="244" spans="3:8" x14ac:dyDescent="0.25">
      <c r="C244" s="15" t="s">
        <v>2916</v>
      </c>
      <c r="D244" s="16">
        <v>0</v>
      </c>
      <c r="E244" s="2" t="str">
        <f t="shared" si="6"/>
        <v>Non Significant</v>
      </c>
      <c r="F244" s="2"/>
    </row>
    <row r="245" spans="3:8" x14ac:dyDescent="0.25">
      <c r="C245" s="15" t="s">
        <v>1824</v>
      </c>
      <c r="D245" s="16">
        <v>0</v>
      </c>
      <c r="E245" s="2" t="str">
        <f t="shared" si="6"/>
        <v>Non Significant</v>
      </c>
      <c r="F245" s="2"/>
    </row>
    <row r="246" spans="3:8" x14ac:dyDescent="0.25">
      <c r="C246" s="15" t="s">
        <v>1517</v>
      </c>
      <c r="D246" s="16">
        <v>0</v>
      </c>
      <c r="E246" s="2" t="str">
        <f t="shared" si="6"/>
        <v>Non Significant</v>
      </c>
      <c r="F246" s="2"/>
    </row>
    <row r="247" spans="3:8" x14ac:dyDescent="0.25">
      <c r="C247" s="15" t="s">
        <v>1828</v>
      </c>
      <c r="D247" s="16">
        <v>0</v>
      </c>
      <c r="E247" s="2" t="str">
        <f t="shared" si="6"/>
        <v>Non Significant</v>
      </c>
      <c r="F247" s="2"/>
    </row>
    <row r="248" spans="3:8" x14ac:dyDescent="0.25">
      <c r="C248" s="15" t="s">
        <v>1514</v>
      </c>
      <c r="D248" s="16">
        <v>0</v>
      </c>
      <c r="E248" s="2" t="str">
        <f t="shared" si="6"/>
        <v>Non Significant</v>
      </c>
      <c r="F248" s="2"/>
    </row>
    <row r="249" spans="3:8" x14ac:dyDescent="0.25">
      <c r="C249" s="15" t="s">
        <v>4192</v>
      </c>
      <c r="D249" s="16">
        <v>0</v>
      </c>
      <c r="E249" s="2" t="str">
        <f t="shared" si="6"/>
        <v>Non Significant</v>
      </c>
      <c r="F249" s="2"/>
    </row>
    <row r="250" spans="3:8" x14ac:dyDescent="0.25">
      <c r="C250" s="15" t="s">
        <v>1476</v>
      </c>
      <c r="D250" s="16">
        <v>0</v>
      </c>
      <c r="E250" s="2" t="str">
        <f t="shared" si="6"/>
        <v>Non Significant</v>
      </c>
      <c r="F250" s="2"/>
    </row>
    <row r="251" spans="3:8" x14ac:dyDescent="0.25">
      <c r="C251" s="15" t="s">
        <v>4193</v>
      </c>
      <c r="D251" s="16">
        <v>0</v>
      </c>
      <c r="E251" s="2" t="str">
        <f t="shared" si="6"/>
        <v>Non Significant</v>
      </c>
      <c r="F251" s="2"/>
    </row>
    <row r="252" spans="3:8" x14ac:dyDescent="0.25">
      <c r="C252" s="15" t="s">
        <v>1687</v>
      </c>
      <c r="D252" s="16">
        <v>0</v>
      </c>
      <c r="E252" s="2" t="str">
        <f t="shared" si="6"/>
        <v>Non Significant</v>
      </c>
      <c r="F252" s="2"/>
    </row>
    <row r="253" spans="3:8" x14ac:dyDescent="0.25">
      <c r="C253" s="15" t="s">
        <v>4194</v>
      </c>
      <c r="D253" s="16">
        <v>0</v>
      </c>
      <c r="E253" s="2" t="str">
        <f t="shared" si="6"/>
        <v>Non Significant</v>
      </c>
      <c r="F253" s="2"/>
    </row>
    <row r="254" spans="3:8" x14ac:dyDescent="0.25">
      <c r="C254" s="15" t="s">
        <v>2890</v>
      </c>
      <c r="D254" s="16">
        <v>0</v>
      </c>
      <c r="E254" s="2" t="str">
        <f t="shared" si="6"/>
        <v>Non Significant</v>
      </c>
      <c r="F254" s="2"/>
    </row>
    <row r="255" spans="3:8" x14ac:dyDescent="0.25">
      <c r="C255" s="15" t="s">
        <v>2832</v>
      </c>
      <c r="D255" s="16"/>
      <c r="E255" s="2" t="str">
        <f t="shared" si="6"/>
        <v>Non Significant</v>
      </c>
      <c r="F255" s="2"/>
    </row>
    <row r="256" spans="3:8" x14ac:dyDescent="0.25">
      <c r="C256" s="15" t="s">
        <v>2925</v>
      </c>
      <c r="D256" s="16">
        <v>0</v>
      </c>
      <c r="E256" s="2" t="str">
        <f t="shared" si="6"/>
        <v>Non Significant</v>
      </c>
      <c r="F256" s="2"/>
    </row>
    <row r="257" spans="3:6" x14ac:dyDescent="0.25">
      <c r="C257" s="15" t="s">
        <v>1915</v>
      </c>
      <c r="D257" s="16">
        <v>0</v>
      </c>
      <c r="E257" s="2" t="str">
        <f t="shared" si="6"/>
        <v>Non Significant</v>
      </c>
      <c r="F257" s="2"/>
    </row>
    <row r="258" spans="3:6" x14ac:dyDescent="0.25">
      <c r="C258" s="15" t="s">
        <v>2862</v>
      </c>
      <c r="D258" s="16">
        <v>0</v>
      </c>
      <c r="E258" s="2" t="str">
        <f t="shared" si="6"/>
        <v>Non Significant</v>
      </c>
      <c r="F258" s="2"/>
    </row>
    <row r="259" spans="3:6" x14ac:dyDescent="0.25">
      <c r="C259" s="15" t="s">
        <v>4195</v>
      </c>
      <c r="D259" s="16"/>
      <c r="E259" s="2" t="str">
        <f t="shared" si="6"/>
        <v>Non Significant</v>
      </c>
      <c r="F259" s="2"/>
    </row>
    <row r="260" spans="3:6" x14ac:dyDescent="0.25">
      <c r="C260" s="15" t="s">
        <v>4196</v>
      </c>
      <c r="D260" s="16">
        <v>0</v>
      </c>
      <c r="E260" s="2" t="str">
        <f t="shared" si="6"/>
        <v>Non Significant</v>
      </c>
      <c r="F260" s="2"/>
    </row>
    <row r="261" spans="3:6" x14ac:dyDescent="0.25">
      <c r="C261" s="15" t="s">
        <v>4197</v>
      </c>
      <c r="D261" s="16">
        <v>0</v>
      </c>
      <c r="E261" s="2" t="str">
        <f t="shared" si="6"/>
        <v>Non Significant</v>
      </c>
      <c r="F261" s="2"/>
    </row>
    <row r="262" spans="3:6" x14ac:dyDescent="0.25">
      <c r="C262" s="15" t="s">
        <v>4198</v>
      </c>
      <c r="D262" s="16">
        <v>0</v>
      </c>
      <c r="E262" s="2" t="str">
        <f t="shared" si="6"/>
        <v>Non Significant</v>
      </c>
      <c r="F262" s="2"/>
    </row>
    <row r="263" spans="3:6" x14ac:dyDescent="0.25">
      <c r="C263" s="15" t="s">
        <v>1902</v>
      </c>
      <c r="D263" s="16">
        <v>0</v>
      </c>
      <c r="E263" s="2" t="str">
        <f t="shared" ref="E263:E326" si="8">IF(D263&gt;=500000000000,"Critical",IF(AND(D263&gt;=50000000000,D263&lt;500000000000),"Significant",IF(AND(D263&gt;=45000000000,D263&lt;50000000000),"Almost Significant",IF(D263&lt;45000000000,"Non Significant",0))))</f>
        <v>Non Significant</v>
      </c>
      <c r="F263" s="2"/>
    </row>
    <row r="264" spans="3:6" x14ac:dyDescent="0.25">
      <c r="C264" s="15" t="s">
        <v>4199</v>
      </c>
      <c r="D264" s="16">
        <v>0</v>
      </c>
      <c r="E264" s="2" t="str">
        <f t="shared" si="8"/>
        <v>Non Significant</v>
      </c>
      <c r="F264" s="2"/>
    </row>
    <row r="265" spans="3:6" x14ac:dyDescent="0.25">
      <c r="C265" s="15" t="s">
        <v>4200</v>
      </c>
      <c r="D265" s="16"/>
      <c r="E265" s="2" t="str">
        <f t="shared" si="8"/>
        <v>Non Significant</v>
      </c>
      <c r="F265" s="2"/>
    </row>
    <row r="266" spans="3:6" x14ac:dyDescent="0.25">
      <c r="C266" s="15" t="s">
        <v>4201</v>
      </c>
      <c r="D266" s="16">
        <v>0</v>
      </c>
      <c r="E266" s="2" t="str">
        <f t="shared" si="8"/>
        <v>Non Significant</v>
      </c>
      <c r="F266" s="2"/>
    </row>
    <row r="267" spans="3:6" x14ac:dyDescent="0.25">
      <c r="C267" s="15" t="s">
        <v>1906</v>
      </c>
      <c r="D267" s="16">
        <v>0</v>
      </c>
      <c r="E267" s="2" t="str">
        <f t="shared" si="8"/>
        <v>Non Significant</v>
      </c>
      <c r="F267" s="2"/>
    </row>
    <row r="268" spans="3:6" x14ac:dyDescent="0.25">
      <c r="C268" s="15" t="s">
        <v>4202</v>
      </c>
      <c r="D268" s="16">
        <v>0</v>
      </c>
      <c r="E268" s="2" t="str">
        <f t="shared" si="8"/>
        <v>Non Significant</v>
      </c>
      <c r="F268" s="2"/>
    </row>
    <row r="269" spans="3:6" x14ac:dyDescent="0.25">
      <c r="C269" s="15" t="s">
        <v>4203</v>
      </c>
      <c r="D269" s="16">
        <v>0</v>
      </c>
      <c r="E269" s="2" t="str">
        <f t="shared" si="8"/>
        <v>Non Significant</v>
      </c>
      <c r="F269" s="2"/>
    </row>
    <row r="270" spans="3:6" x14ac:dyDescent="0.25">
      <c r="C270" s="15" t="s">
        <v>4204</v>
      </c>
      <c r="D270" s="16">
        <v>0</v>
      </c>
      <c r="E270" s="2" t="str">
        <f t="shared" si="8"/>
        <v>Non Significant</v>
      </c>
      <c r="F270" s="2"/>
    </row>
    <row r="271" spans="3:6" x14ac:dyDescent="0.25">
      <c r="C271" s="15" t="s">
        <v>1892</v>
      </c>
      <c r="D271" s="16">
        <v>0</v>
      </c>
      <c r="E271" s="2" t="str">
        <f t="shared" si="8"/>
        <v>Non Significant</v>
      </c>
      <c r="F271" s="2"/>
    </row>
    <row r="272" spans="3:6" x14ac:dyDescent="0.25">
      <c r="C272" s="15" t="s">
        <v>4205</v>
      </c>
      <c r="D272" s="16">
        <v>0</v>
      </c>
      <c r="E272" s="2" t="str">
        <f t="shared" si="8"/>
        <v>Non Significant</v>
      </c>
      <c r="F272" s="2"/>
    </row>
    <row r="273" spans="3:6" x14ac:dyDescent="0.25">
      <c r="C273" s="15" t="s">
        <v>1897</v>
      </c>
      <c r="D273" s="16">
        <v>0</v>
      </c>
      <c r="E273" s="2" t="str">
        <f t="shared" si="8"/>
        <v>Non Significant</v>
      </c>
      <c r="F273" s="2"/>
    </row>
    <row r="274" spans="3:6" x14ac:dyDescent="0.25">
      <c r="C274" s="15" t="s">
        <v>4206</v>
      </c>
      <c r="D274" s="16">
        <v>0</v>
      </c>
      <c r="E274" s="2" t="str">
        <f t="shared" si="8"/>
        <v>Non Significant</v>
      </c>
      <c r="F274" s="2"/>
    </row>
    <row r="275" spans="3:6" x14ac:dyDescent="0.25">
      <c r="C275" s="15" t="s">
        <v>1871</v>
      </c>
      <c r="D275" s="16">
        <v>0</v>
      </c>
      <c r="E275" s="2" t="str">
        <f t="shared" si="8"/>
        <v>Non Significant</v>
      </c>
      <c r="F275" s="2"/>
    </row>
    <row r="276" spans="3:6" x14ac:dyDescent="0.25">
      <c r="C276" s="15" t="s">
        <v>4207</v>
      </c>
      <c r="D276" s="16">
        <v>0</v>
      </c>
      <c r="E276" s="2" t="str">
        <f t="shared" si="8"/>
        <v>Non Significant</v>
      </c>
      <c r="F276" s="2"/>
    </row>
    <row r="277" spans="3:6" x14ac:dyDescent="0.25">
      <c r="C277" s="15" t="s">
        <v>4163</v>
      </c>
      <c r="D277" s="16">
        <v>0</v>
      </c>
      <c r="E277" s="2" t="str">
        <f t="shared" si="8"/>
        <v>Non Significant</v>
      </c>
      <c r="F277" s="2"/>
    </row>
    <row r="278" spans="3:6" x14ac:dyDescent="0.25">
      <c r="C278" s="15" t="s">
        <v>4208</v>
      </c>
      <c r="D278" s="16">
        <v>0</v>
      </c>
      <c r="E278" s="2" t="str">
        <f t="shared" si="8"/>
        <v>Non Significant</v>
      </c>
      <c r="F278" s="2"/>
    </row>
    <row r="279" spans="3:6" x14ac:dyDescent="0.25">
      <c r="C279" s="15" t="s">
        <v>1666</v>
      </c>
      <c r="D279" s="16">
        <v>0</v>
      </c>
      <c r="E279" s="2" t="str">
        <f t="shared" si="8"/>
        <v>Non Significant</v>
      </c>
      <c r="F279" s="2"/>
    </row>
    <row r="280" spans="3:6" x14ac:dyDescent="0.25">
      <c r="C280" s="15" t="s">
        <v>4209</v>
      </c>
      <c r="D280" s="16">
        <v>0</v>
      </c>
      <c r="E280" s="2" t="str">
        <f t="shared" si="8"/>
        <v>Non Significant</v>
      </c>
      <c r="F280" s="2"/>
    </row>
    <row r="281" spans="3:6" x14ac:dyDescent="0.25">
      <c r="C281" s="15" t="s">
        <v>1662</v>
      </c>
      <c r="D281" s="16">
        <v>0</v>
      </c>
      <c r="E281" s="2" t="str">
        <f t="shared" si="8"/>
        <v>Non Significant</v>
      </c>
      <c r="F281" s="2"/>
    </row>
    <row r="282" spans="3:6" x14ac:dyDescent="0.25">
      <c r="C282" s="15" t="s">
        <v>4210</v>
      </c>
      <c r="D282" s="16">
        <v>0</v>
      </c>
      <c r="E282" s="2" t="str">
        <f t="shared" si="8"/>
        <v>Non Significant</v>
      </c>
      <c r="F282" s="2"/>
    </row>
    <row r="283" spans="3:6" x14ac:dyDescent="0.25">
      <c r="C283" s="15" t="s">
        <v>1672</v>
      </c>
      <c r="D283" s="16">
        <v>0</v>
      </c>
      <c r="E283" s="2" t="str">
        <f t="shared" si="8"/>
        <v>Non Significant</v>
      </c>
      <c r="F283" s="2"/>
    </row>
    <row r="284" spans="3:6" x14ac:dyDescent="0.25">
      <c r="C284" s="15" t="s">
        <v>2964</v>
      </c>
      <c r="D284" s="16">
        <v>0</v>
      </c>
      <c r="E284" s="2" t="str">
        <f t="shared" si="8"/>
        <v>Non Significant</v>
      </c>
      <c r="F284" s="2"/>
    </row>
    <row r="285" spans="3:6" x14ac:dyDescent="0.25">
      <c r="C285" s="15" t="s">
        <v>1668</v>
      </c>
      <c r="D285" s="16">
        <v>0</v>
      </c>
      <c r="E285" s="2" t="str">
        <f t="shared" si="8"/>
        <v>Non Significant</v>
      </c>
      <c r="F285" s="2"/>
    </row>
    <row r="286" spans="3:6" x14ac:dyDescent="0.25">
      <c r="C286" s="15" t="s">
        <v>2808</v>
      </c>
      <c r="D286" s="16">
        <v>0</v>
      </c>
      <c r="E286" s="2" t="str">
        <f t="shared" si="8"/>
        <v>Non Significant</v>
      </c>
      <c r="F286" s="2"/>
    </row>
    <row r="287" spans="3:6" x14ac:dyDescent="0.25">
      <c r="C287" s="15" t="s">
        <v>4095</v>
      </c>
      <c r="D287" s="16">
        <v>0</v>
      </c>
      <c r="E287" s="2" t="str">
        <f t="shared" si="8"/>
        <v>Non Significant</v>
      </c>
      <c r="F287" s="2"/>
    </row>
    <row r="288" spans="3:6" x14ac:dyDescent="0.25">
      <c r="C288" s="15" t="s">
        <v>2928</v>
      </c>
      <c r="D288" s="16">
        <v>0</v>
      </c>
      <c r="E288" s="2" t="str">
        <f t="shared" si="8"/>
        <v>Non Significant</v>
      </c>
      <c r="F288" s="2"/>
    </row>
    <row r="289" spans="3:6" x14ac:dyDescent="0.25">
      <c r="C289" s="15" t="s">
        <v>4211</v>
      </c>
      <c r="D289" s="16">
        <v>0</v>
      </c>
      <c r="E289" s="2" t="str">
        <f t="shared" si="8"/>
        <v>Non Significant</v>
      </c>
      <c r="F289" s="2"/>
    </row>
    <row r="290" spans="3:6" x14ac:dyDescent="0.25">
      <c r="C290" s="15" t="s">
        <v>2802</v>
      </c>
      <c r="D290" s="16">
        <v>0</v>
      </c>
      <c r="E290" s="2" t="str">
        <f t="shared" si="8"/>
        <v>Non Significant</v>
      </c>
      <c r="F290" s="2"/>
    </row>
    <row r="291" spans="3:6" x14ac:dyDescent="0.25">
      <c r="C291" s="15" t="s">
        <v>4212</v>
      </c>
      <c r="D291" s="16">
        <v>0</v>
      </c>
      <c r="E291" s="2" t="str">
        <f t="shared" si="8"/>
        <v>Non Significant</v>
      </c>
      <c r="F291" s="2"/>
    </row>
    <row r="292" spans="3:6" x14ac:dyDescent="0.25">
      <c r="C292" s="15" t="s">
        <v>2856</v>
      </c>
      <c r="D292" s="16">
        <v>0</v>
      </c>
      <c r="E292" s="2" t="str">
        <f t="shared" si="8"/>
        <v>Non Significant</v>
      </c>
      <c r="F292" s="2"/>
    </row>
    <row r="293" spans="3:6" x14ac:dyDescent="0.25">
      <c r="C293" s="15" t="s">
        <v>4213</v>
      </c>
      <c r="D293" s="16">
        <v>0</v>
      </c>
      <c r="E293" s="2" t="str">
        <f t="shared" si="8"/>
        <v>Non Significant</v>
      </c>
      <c r="F293" s="2"/>
    </row>
    <row r="294" spans="3:6" x14ac:dyDescent="0.25">
      <c r="C294" s="15" t="s">
        <v>4214</v>
      </c>
      <c r="D294" s="16">
        <v>0</v>
      </c>
      <c r="E294" s="2" t="str">
        <f t="shared" si="8"/>
        <v>Non Significant</v>
      </c>
      <c r="F294" s="2"/>
    </row>
    <row r="295" spans="3:6" x14ac:dyDescent="0.25">
      <c r="C295" s="15" t="s">
        <v>4215</v>
      </c>
      <c r="D295" s="16">
        <v>0</v>
      </c>
      <c r="E295" s="2" t="str">
        <f t="shared" si="8"/>
        <v>Non Significant</v>
      </c>
      <c r="F295" s="2"/>
    </row>
    <row r="296" spans="3:6" x14ac:dyDescent="0.25">
      <c r="C296" s="15" t="s">
        <v>2943</v>
      </c>
      <c r="D296" s="16">
        <v>0</v>
      </c>
      <c r="E296" s="2" t="str">
        <f t="shared" si="8"/>
        <v>Non Significant</v>
      </c>
      <c r="F296" s="2"/>
    </row>
    <row r="297" spans="3:6" x14ac:dyDescent="0.25">
      <c r="C297" s="15" t="s">
        <v>4216</v>
      </c>
      <c r="D297" s="16">
        <v>0</v>
      </c>
      <c r="E297" s="2" t="str">
        <f t="shared" si="8"/>
        <v>Non Significant</v>
      </c>
      <c r="F297" s="2"/>
    </row>
    <row r="298" spans="3:6" x14ac:dyDescent="0.25">
      <c r="C298" s="15" t="s">
        <v>2877</v>
      </c>
      <c r="D298" s="16">
        <v>0</v>
      </c>
      <c r="E298" s="2" t="str">
        <f t="shared" si="8"/>
        <v>Non Significant</v>
      </c>
      <c r="F298" s="2"/>
    </row>
    <row r="299" spans="3:6" x14ac:dyDescent="0.25">
      <c r="C299" s="15" t="s">
        <v>4217</v>
      </c>
      <c r="D299" s="16">
        <v>0</v>
      </c>
      <c r="E299" s="2" t="str">
        <f t="shared" si="8"/>
        <v>Non Significant</v>
      </c>
      <c r="F299" s="2"/>
    </row>
    <row r="300" spans="3:6" x14ac:dyDescent="0.25">
      <c r="C300" s="15" t="s">
        <v>4218</v>
      </c>
      <c r="D300" s="16">
        <v>0</v>
      </c>
      <c r="E300" s="2" t="str">
        <f t="shared" si="8"/>
        <v>Non Significant</v>
      </c>
      <c r="F300" s="2"/>
    </row>
    <row r="301" spans="3:6" x14ac:dyDescent="0.25">
      <c r="C301" s="15" t="s">
        <v>4167</v>
      </c>
      <c r="D301" s="16">
        <v>0</v>
      </c>
      <c r="E301" s="2" t="str">
        <f t="shared" si="8"/>
        <v>Non Significant</v>
      </c>
      <c r="F301" s="2"/>
    </row>
    <row r="302" spans="3:6" x14ac:dyDescent="0.25">
      <c r="C302" s="15" t="s">
        <v>1548</v>
      </c>
      <c r="D302" s="16">
        <v>0</v>
      </c>
      <c r="E302" s="2" t="str">
        <f t="shared" si="8"/>
        <v>Non Significant</v>
      </c>
      <c r="F302" s="2"/>
    </row>
    <row r="303" spans="3:6" x14ac:dyDescent="0.25">
      <c r="C303" s="15" t="s">
        <v>4219</v>
      </c>
      <c r="D303" s="16">
        <v>0</v>
      </c>
      <c r="E303" s="2" t="str">
        <f t="shared" si="8"/>
        <v>Non Significant</v>
      </c>
      <c r="F303" s="2"/>
    </row>
    <row r="304" spans="3:6" x14ac:dyDescent="0.25">
      <c r="C304" s="15" t="s">
        <v>1523</v>
      </c>
      <c r="D304" s="16">
        <v>0</v>
      </c>
      <c r="E304" s="2" t="str">
        <f t="shared" si="8"/>
        <v>Non Significant</v>
      </c>
      <c r="F304" s="2"/>
    </row>
    <row r="305" spans="3:6" x14ac:dyDescent="0.25">
      <c r="C305" s="15" t="s">
        <v>4220</v>
      </c>
      <c r="D305" s="16">
        <v>0</v>
      </c>
      <c r="E305" s="2" t="str">
        <f t="shared" si="8"/>
        <v>Non Significant</v>
      </c>
      <c r="F305" s="2"/>
    </row>
    <row r="306" spans="3:6" x14ac:dyDescent="0.25">
      <c r="C306" s="15" t="s">
        <v>1508</v>
      </c>
      <c r="D306" s="16">
        <v>0</v>
      </c>
      <c r="E306" s="2" t="str">
        <f t="shared" si="8"/>
        <v>Non Significant</v>
      </c>
      <c r="F306" s="2"/>
    </row>
    <row r="307" spans="3:6" x14ac:dyDescent="0.25">
      <c r="C307" s="15" t="s">
        <v>4054</v>
      </c>
      <c r="D307" s="16">
        <v>0</v>
      </c>
      <c r="E307" s="2" t="str">
        <f t="shared" si="8"/>
        <v>Non Significant</v>
      </c>
      <c r="F307" s="2"/>
    </row>
    <row r="308" spans="3:6" x14ac:dyDescent="0.25">
      <c r="C308" s="15" t="s">
        <v>1557</v>
      </c>
      <c r="D308" s="16">
        <v>0</v>
      </c>
      <c r="E308" s="2" t="str">
        <f t="shared" si="8"/>
        <v>Non Significant</v>
      </c>
      <c r="F308" s="2"/>
    </row>
    <row r="309" spans="3:6" x14ac:dyDescent="0.25">
      <c r="C309" s="15" t="s">
        <v>4221</v>
      </c>
      <c r="D309" s="16">
        <v>0</v>
      </c>
      <c r="E309" s="2" t="str">
        <f t="shared" si="8"/>
        <v>Non Significant</v>
      </c>
      <c r="F309" s="2"/>
    </row>
    <row r="310" spans="3:6" x14ac:dyDescent="0.25">
      <c r="C310" s="15" t="s">
        <v>4222</v>
      </c>
      <c r="D310" s="16">
        <v>0</v>
      </c>
      <c r="E310" s="2" t="str">
        <f t="shared" si="8"/>
        <v>Non Significant</v>
      </c>
      <c r="F310" s="2"/>
    </row>
    <row r="311" spans="3:6" x14ac:dyDescent="0.25">
      <c r="C311" s="15" t="s">
        <v>4223</v>
      </c>
      <c r="D311" s="16">
        <v>0</v>
      </c>
      <c r="E311" s="2" t="str">
        <f t="shared" si="8"/>
        <v>Non Significant</v>
      </c>
      <c r="F311" s="2"/>
    </row>
    <row r="312" spans="3:6" x14ac:dyDescent="0.25">
      <c r="C312" s="15" t="s">
        <v>4224</v>
      </c>
      <c r="D312" s="16">
        <v>0</v>
      </c>
      <c r="E312" s="2" t="str">
        <f t="shared" si="8"/>
        <v>Non Significant</v>
      </c>
      <c r="F312" s="2"/>
    </row>
    <row r="313" spans="3:6" x14ac:dyDescent="0.25">
      <c r="C313" s="15" t="s">
        <v>4170</v>
      </c>
      <c r="D313" s="16">
        <v>0</v>
      </c>
      <c r="E313" s="2" t="str">
        <f t="shared" si="8"/>
        <v>Non Significant</v>
      </c>
      <c r="F313" s="2"/>
    </row>
    <row r="314" spans="3:6" x14ac:dyDescent="0.25">
      <c r="C314" s="15" t="s">
        <v>1681</v>
      </c>
      <c r="D314" s="16">
        <v>0</v>
      </c>
      <c r="E314" s="2" t="str">
        <f t="shared" si="8"/>
        <v>Non Significant</v>
      </c>
      <c r="F314" s="2"/>
    </row>
    <row r="315" spans="3:6" x14ac:dyDescent="0.25">
      <c r="C315" s="15" t="s">
        <v>4225</v>
      </c>
      <c r="D315" s="16">
        <v>0</v>
      </c>
      <c r="E315" s="2" t="str">
        <f t="shared" si="8"/>
        <v>Non Significant</v>
      </c>
      <c r="F315" s="2"/>
    </row>
    <row r="316" spans="3:6" x14ac:dyDescent="0.25">
      <c r="C316" s="15" t="s">
        <v>4226</v>
      </c>
      <c r="D316" s="16">
        <v>0</v>
      </c>
      <c r="E316" s="2" t="str">
        <f t="shared" si="8"/>
        <v>Non Significant</v>
      </c>
      <c r="F316" s="2"/>
    </row>
    <row r="317" spans="3:6" x14ac:dyDescent="0.25">
      <c r="C317" s="15" t="s">
        <v>4227</v>
      </c>
      <c r="D317" s="16">
        <v>0</v>
      </c>
      <c r="E317" s="2" t="str">
        <f t="shared" si="8"/>
        <v>Non Significant</v>
      </c>
      <c r="F317" s="2"/>
    </row>
    <row r="318" spans="3:6" x14ac:dyDescent="0.25">
      <c r="C318" s="15" t="s">
        <v>2895</v>
      </c>
      <c r="D318" s="16">
        <v>0</v>
      </c>
      <c r="E318" s="2" t="str">
        <f t="shared" si="8"/>
        <v>Non Significant</v>
      </c>
      <c r="F318" s="2"/>
    </row>
    <row r="319" spans="3:6" x14ac:dyDescent="0.25">
      <c r="C319" s="15" t="s">
        <v>4097</v>
      </c>
      <c r="D319" s="16">
        <v>0</v>
      </c>
      <c r="E319" s="2" t="str">
        <f t="shared" si="8"/>
        <v>Non Significant</v>
      </c>
      <c r="F319" s="2"/>
    </row>
    <row r="320" spans="3:6" x14ac:dyDescent="0.25">
      <c r="C320" s="15" t="s">
        <v>1883</v>
      </c>
      <c r="D320" s="16">
        <v>0</v>
      </c>
      <c r="E320" s="2" t="str">
        <f t="shared" si="8"/>
        <v>Non Significant</v>
      </c>
      <c r="F320" s="2"/>
    </row>
    <row r="321" spans="3:6" x14ac:dyDescent="0.25">
      <c r="C321" s="15" t="s">
        <v>4228</v>
      </c>
      <c r="D321" s="16">
        <v>0</v>
      </c>
      <c r="E321" s="2" t="str">
        <f t="shared" si="8"/>
        <v>Non Significant</v>
      </c>
      <c r="F321" s="2"/>
    </row>
    <row r="322" spans="3:6" x14ac:dyDescent="0.25">
      <c r="C322" s="15" t="s">
        <v>2791</v>
      </c>
      <c r="D322" s="16">
        <v>0</v>
      </c>
      <c r="E322" s="2" t="str">
        <f t="shared" si="8"/>
        <v>Non Significant</v>
      </c>
      <c r="F322" s="2"/>
    </row>
    <row r="323" spans="3:6" x14ac:dyDescent="0.25">
      <c r="C323" s="15" t="s">
        <v>4229</v>
      </c>
      <c r="D323" s="16">
        <v>0</v>
      </c>
      <c r="E323" s="2" t="str">
        <f t="shared" si="8"/>
        <v>Non Significant</v>
      </c>
      <c r="F323" s="2"/>
    </row>
    <row r="324" spans="3:6" x14ac:dyDescent="0.25">
      <c r="C324" s="15" t="s">
        <v>2919</v>
      </c>
      <c r="D324" s="16">
        <v>0</v>
      </c>
      <c r="E324" s="2" t="str">
        <f t="shared" si="8"/>
        <v>Non Significant</v>
      </c>
      <c r="F324" s="2"/>
    </row>
    <row r="325" spans="3:6" x14ac:dyDescent="0.25">
      <c r="C325" s="15" t="s">
        <v>4172</v>
      </c>
      <c r="D325" s="16">
        <v>0</v>
      </c>
      <c r="E325" s="2" t="str">
        <f t="shared" si="8"/>
        <v>Non Significant</v>
      </c>
      <c r="F325" s="2"/>
    </row>
    <row r="326" spans="3:6" x14ac:dyDescent="0.25">
      <c r="C326" s="15" t="s">
        <v>2871</v>
      </c>
      <c r="D326" s="16">
        <v>0</v>
      </c>
      <c r="E326" s="2" t="str">
        <f t="shared" si="8"/>
        <v>Non Significant</v>
      </c>
      <c r="F326" s="2"/>
    </row>
    <row r="327" spans="3:6" x14ac:dyDescent="0.25">
      <c r="C327" s="15" t="s">
        <v>4230</v>
      </c>
      <c r="D327" s="16">
        <v>0</v>
      </c>
      <c r="E327" s="2" t="str">
        <f t="shared" ref="E327:E390" si="9">IF(D327&gt;=500000000000,"Critical",IF(AND(D327&gt;=50000000000,D327&lt;500000000000),"Significant",IF(AND(D327&gt;=45000000000,D327&lt;50000000000),"Almost Significant",IF(D327&lt;45000000000,"Non Significant",0))))</f>
        <v>Non Significant</v>
      </c>
      <c r="F327" s="2"/>
    </row>
    <row r="328" spans="3:6" x14ac:dyDescent="0.25">
      <c r="C328" s="15" t="s">
        <v>2866</v>
      </c>
      <c r="D328" s="16">
        <v>0</v>
      </c>
      <c r="E328" s="2" t="str">
        <f t="shared" si="9"/>
        <v>Non Significant</v>
      </c>
      <c r="F328" s="2"/>
    </row>
    <row r="329" spans="3:6" x14ac:dyDescent="0.25">
      <c r="C329" s="15" t="s">
        <v>4231</v>
      </c>
      <c r="D329" s="16">
        <v>0</v>
      </c>
      <c r="E329" s="2" t="str">
        <f t="shared" si="9"/>
        <v>Non Significant</v>
      </c>
      <c r="F329" s="2"/>
    </row>
    <row r="330" spans="3:6" x14ac:dyDescent="0.25">
      <c r="C330" s="15" t="s">
        <v>4178</v>
      </c>
      <c r="D330" s="16">
        <v>0</v>
      </c>
      <c r="E330" s="2" t="str">
        <f t="shared" si="9"/>
        <v>Non Significant</v>
      </c>
      <c r="F330" s="2"/>
    </row>
    <row r="331" spans="3:6" x14ac:dyDescent="0.25">
      <c r="C331" s="15" t="s">
        <v>4015</v>
      </c>
      <c r="D331" s="16">
        <v>0</v>
      </c>
      <c r="E331" s="2" t="str">
        <f t="shared" si="9"/>
        <v>Non Significant</v>
      </c>
      <c r="F331" s="2"/>
    </row>
    <row r="332" spans="3:6" x14ac:dyDescent="0.25">
      <c r="C332" s="15" t="s">
        <v>4232</v>
      </c>
      <c r="D332" s="16">
        <v>0</v>
      </c>
      <c r="E332" s="2" t="str">
        <f t="shared" si="9"/>
        <v>Non Significant</v>
      </c>
      <c r="F332" s="2"/>
    </row>
    <row r="333" spans="3:6" x14ac:dyDescent="0.25">
      <c r="C333" s="15" t="s">
        <v>4233</v>
      </c>
      <c r="D333" s="16">
        <v>0</v>
      </c>
      <c r="E333" s="2" t="str">
        <f t="shared" si="9"/>
        <v>Non Significant</v>
      </c>
      <c r="F333" s="2"/>
    </row>
    <row r="334" spans="3:6" x14ac:dyDescent="0.25">
      <c r="C334" s="15" t="s">
        <v>4234</v>
      </c>
      <c r="D334" s="16">
        <v>0</v>
      </c>
      <c r="E334" s="2" t="str">
        <f t="shared" si="9"/>
        <v>Non Significant</v>
      </c>
      <c r="F334" s="2"/>
    </row>
    <row r="335" spans="3:6" x14ac:dyDescent="0.25">
      <c r="C335" s="15" t="s">
        <v>4235</v>
      </c>
      <c r="D335" s="16">
        <v>0</v>
      </c>
      <c r="E335" s="2" t="str">
        <f t="shared" si="9"/>
        <v>Non Significant</v>
      </c>
      <c r="F335" s="2"/>
    </row>
    <row r="336" spans="3:6" x14ac:dyDescent="0.25">
      <c r="C336" s="15" t="s">
        <v>4236</v>
      </c>
      <c r="D336" s="16">
        <v>0</v>
      </c>
      <c r="E336" s="2" t="str">
        <f t="shared" si="9"/>
        <v>Non Significant</v>
      </c>
      <c r="F336" s="2"/>
    </row>
    <row r="337" spans="3:6" x14ac:dyDescent="0.25">
      <c r="C337" s="15" t="s">
        <v>4174</v>
      </c>
      <c r="D337" s="16">
        <v>0</v>
      </c>
      <c r="E337" s="2" t="str">
        <f t="shared" si="9"/>
        <v>Non Significant</v>
      </c>
      <c r="F337" s="2"/>
    </row>
    <row r="338" spans="3:6" x14ac:dyDescent="0.25">
      <c r="C338" s="15" t="s">
        <v>4237</v>
      </c>
      <c r="D338" s="16">
        <v>0</v>
      </c>
      <c r="E338" s="2" t="str">
        <f t="shared" si="9"/>
        <v>Non Significant</v>
      </c>
      <c r="F338" s="2"/>
    </row>
    <row r="339" spans="3:6" x14ac:dyDescent="0.25">
      <c r="C339" s="15" t="s">
        <v>3319</v>
      </c>
      <c r="D339" s="16">
        <v>0</v>
      </c>
      <c r="E339" s="2" t="str">
        <f t="shared" si="9"/>
        <v>Non Significant</v>
      </c>
      <c r="F339" s="2"/>
    </row>
    <row r="340" spans="3:6" x14ac:dyDescent="0.25">
      <c r="C340" s="15" t="s">
        <v>4238</v>
      </c>
      <c r="D340" s="16">
        <v>0</v>
      </c>
      <c r="E340" s="2" t="str">
        <f t="shared" si="9"/>
        <v>Non Significant</v>
      </c>
      <c r="F340" s="2"/>
    </row>
    <row r="341" spans="3:6" x14ac:dyDescent="0.25">
      <c r="C341" s="15" t="s">
        <v>4239</v>
      </c>
      <c r="D341" s="16">
        <v>0</v>
      </c>
      <c r="E341" s="2" t="str">
        <f t="shared" si="9"/>
        <v>Non Significant</v>
      </c>
      <c r="F341" s="2"/>
    </row>
    <row r="342" spans="3:6" x14ac:dyDescent="0.25">
      <c r="C342" s="15" t="s">
        <v>4240</v>
      </c>
      <c r="D342" s="16">
        <v>0</v>
      </c>
      <c r="E342" s="2" t="str">
        <f t="shared" si="9"/>
        <v>Non Significant</v>
      </c>
      <c r="F342" s="2"/>
    </row>
    <row r="343" spans="3:6" x14ac:dyDescent="0.25">
      <c r="C343" s="15" t="s">
        <v>3312</v>
      </c>
      <c r="D343" s="16">
        <v>0</v>
      </c>
      <c r="E343" s="2" t="str">
        <f t="shared" si="9"/>
        <v>Non Significant</v>
      </c>
      <c r="F343" s="2"/>
    </row>
    <row r="344" spans="3:6" x14ac:dyDescent="0.25">
      <c r="C344" s="15" t="s">
        <v>4241</v>
      </c>
      <c r="D344" s="16">
        <v>0</v>
      </c>
      <c r="E344" s="2" t="str">
        <f t="shared" si="9"/>
        <v>Non Significant</v>
      </c>
      <c r="F344" s="2"/>
    </row>
    <row r="345" spans="3:6" x14ac:dyDescent="0.25">
      <c r="C345" s="15" t="s">
        <v>3314</v>
      </c>
      <c r="D345" s="16">
        <v>0</v>
      </c>
      <c r="E345" s="2" t="str">
        <f t="shared" si="9"/>
        <v>Non Significant</v>
      </c>
      <c r="F345" s="2"/>
    </row>
    <row r="346" spans="3:6" x14ac:dyDescent="0.25">
      <c r="C346" s="15" t="s">
        <v>4242</v>
      </c>
      <c r="D346" s="16">
        <v>0</v>
      </c>
      <c r="E346" s="2" t="str">
        <f t="shared" si="9"/>
        <v>Non Significant</v>
      </c>
      <c r="F346" s="2"/>
    </row>
    <row r="347" spans="3:6" x14ac:dyDescent="0.25">
      <c r="C347" s="15" t="s">
        <v>4243</v>
      </c>
      <c r="D347" s="16">
        <v>0</v>
      </c>
      <c r="E347" s="2" t="str">
        <f t="shared" si="9"/>
        <v>Non Significant</v>
      </c>
      <c r="F347" s="2"/>
    </row>
    <row r="348" spans="3:6" x14ac:dyDescent="0.25">
      <c r="C348" s="15" t="s">
        <v>4244</v>
      </c>
      <c r="D348" s="16">
        <v>0</v>
      </c>
      <c r="E348" s="2" t="str">
        <f t="shared" si="9"/>
        <v>Non Significant</v>
      </c>
      <c r="F348" s="2"/>
    </row>
    <row r="349" spans="3:6" x14ac:dyDescent="0.25">
      <c r="C349" s="15" t="s">
        <v>3317</v>
      </c>
      <c r="D349" s="16">
        <v>0</v>
      </c>
      <c r="E349" s="2" t="str">
        <f t="shared" si="9"/>
        <v>Non Significant</v>
      </c>
      <c r="F349" s="2"/>
    </row>
    <row r="350" spans="3:6" x14ac:dyDescent="0.25">
      <c r="C350" s="15" t="s">
        <v>4245</v>
      </c>
      <c r="D350" s="16">
        <v>0</v>
      </c>
      <c r="E350" s="2" t="str">
        <f t="shared" si="9"/>
        <v>Non Significant</v>
      </c>
      <c r="F350" s="2"/>
    </row>
    <row r="351" spans="3:6" x14ac:dyDescent="0.25">
      <c r="C351" s="15" t="s">
        <v>4246</v>
      </c>
      <c r="D351" s="16">
        <v>0</v>
      </c>
      <c r="E351" s="2" t="str">
        <f t="shared" si="9"/>
        <v>Non Significant</v>
      </c>
      <c r="F351" s="2"/>
    </row>
    <row r="352" spans="3:6" x14ac:dyDescent="0.25">
      <c r="C352" s="15" t="s">
        <v>4247</v>
      </c>
      <c r="D352" s="16">
        <v>0</v>
      </c>
      <c r="E352" s="2" t="str">
        <f t="shared" si="9"/>
        <v>Non Significant</v>
      </c>
      <c r="F352" s="2"/>
    </row>
    <row r="353" spans="3:6" x14ac:dyDescent="0.25">
      <c r="C353" s="15" t="s">
        <v>4248</v>
      </c>
      <c r="D353" s="16">
        <v>0</v>
      </c>
      <c r="E353" s="2" t="str">
        <f t="shared" si="9"/>
        <v>Non Significant</v>
      </c>
      <c r="F353" s="2"/>
    </row>
    <row r="354" spans="3:6" x14ac:dyDescent="0.25">
      <c r="C354" s="15" t="s">
        <v>4249</v>
      </c>
      <c r="D354" s="16">
        <v>0</v>
      </c>
      <c r="E354" s="2" t="str">
        <f t="shared" si="9"/>
        <v>Non Significant</v>
      </c>
      <c r="F354" s="2"/>
    </row>
    <row r="355" spans="3:6" x14ac:dyDescent="0.25">
      <c r="C355" s="15" t="s">
        <v>1707</v>
      </c>
      <c r="D355" s="16">
        <v>0</v>
      </c>
      <c r="E355" s="2" t="str">
        <f t="shared" si="9"/>
        <v>Non Significant</v>
      </c>
      <c r="F355" s="2"/>
    </row>
    <row r="356" spans="3:6" x14ac:dyDescent="0.25">
      <c r="C356" s="15" t="s">
        <v>4250</v>
      </c>
      <c r="D356" s="16">
        <v>0</v>
      </c>
      <c r="E356" s="2" t="str">
        <f t="shared" si="9"/>
        <v>Non Significant</v>
      </c>
      <c r="F356" s="2"/>
    </row>
    <row r="357" spans="3:6" x14ac:dyDescent="0.25">
      <c r="C357" s="15" t="s">
        <v>4251</v>
      </c>
      <c r="D357" s="16">
        <v>0</v>
      </c>
      <c r="E357" s="2" t="str">
        <f t="shared" si="9"/>
        <v>Non Significant</v>
      </c>
      <c r="F357" s="2"/>
    </row>
    <row r="358" spans="3:6" x14ac:dyDescent="0.25">
      <c r="C358" s="15" t="s">
        <v>4252</v>
      </c>
      <c r="D358" s="16">
        <v>0</v>
      </c>
      <c r="E358" s="2" t="str">
        <f t="shared" si="9"/>
        <v>Non Significant</v>
      </c>
      <c r="F358" s="2"/>
    </row>
    <row r="359" spans="3:6" x14ac:dyDescent="0.25">
      <c r="C359" s="15" t="s">
        <v>4253</v>
      </c>
      <c r="D359" s="16">
        <v>0</v>
      </c>
      <c r="E359" s="2" t="str">
        <f t="shared" si="9"/>
        <v>Non Significant</v>
      </c>
      <c r="F359" s="2"/>
    </row>
    <row r="360" spans="3:6" x14ac:dyDescent="0.25">
      <c r="C360" s="15" t="s">
        <v>4254</v>
      </c>
      <c r="D360" s="16">
        <v>0</v>
      </c>
      <c r="E360" s="2" t="str">
        <f t="shared" si="9"/>
        <v>Non Significant</v>
      </c>
      <c r="F360" s="2"/>
    </row>
    <row r="361" spans="3:6" x14ac:dyDescent="0.25">
      <c r="C361" s="15" t="s">
        <v>4255</v>
      </c>
      <c r="D361" s="16">
        <v>0</v>
      </c>
      <c r="E361" s="2" t="str">
        <f t="shared" si="9"/>
        <v>Non Significant</v>
      </c>
      <c r="F361" s="2"/>
    </row>
    <row r="362" spans="3:6" x14ac:dyDescent="0.25">
      <c r="C362" s="15" t="s">
        <v>4256</v>
      </c>
      <c r="D362" s="16">
        <v>0</v>
      </c>
      <c r="E362" s="2" t="str">
        <f t="shared" si="9"/>
        <v>Non Significant</v>
      </c>
      <c r="F362" s="2"/>
    </row>
    <row r="363" spans="3:6" x14ac:dyDescent="0.25">
      <c r="C363" s="15" t="s">
        <v>1702</v>
      </c>
      <c r="D363" s="16">
        <v>0</v>
      </c>
      <c r="E363" s="2" t="str">
        <f t="shared" si="9"/>
        <v>Non Significant</v>
      </c>
      <c r="F363" s="2"/>
    </row>
    <row r="364" spans="3:6" x14ac:dyDescent="0.25">
      <c r="C364" s="15" t="s">
        <v>4257</v>
      </c>
      <c r="D364" s="16">
        <v>0</v>
      </c>
      <c r="E364" s="2" t="str">
        <f t="shared" si="9"/>
        <v>Non Significant</v>
      </c>
      <c r="F364" s="2"/>
    </row>
    <row r="365" spans="3:6" x14ac:dyDescent="0.25">
      <c r="C365" s="15" t="s">
        <v>1705</v>
      </c>
      <c r="D365" s="16">
        <v>0</v>
      </c>
      <c r="E365" s="2" t="str">
        <f t="shared" si="9"/>
        <v>Non Significant</v>
      </c>
      <c r="F365" s="2"/>
    </row>
    <row r="366" spans="3:6" x14ac:dyDescent="0.25">
      <c r="C366" s="15" t="s">
        <v>4258</v>
      </c>
      <c r="D366" s="16">
        <v>0</v>
      </c>
      <c r="E366" s="2" t="str">
        <f t="shared" si="9"/>
        <v>Non Significant</v>
      </c>
      <c r="F366" s="2"/>
    </row>
    <row r="367" spans="3:6" x14ac:dyDescent="0.25">
      <c r="C367" s="15" t="s">
        <v>4259</v>
      </c>
      <c r="D367" s="16">
        <v>0</v>
      </c>
      <c r="E367" s="2" t="str">
        <f t="shared" si="9"/>
        <v>Non Significant</v>
      </c>
      <c r="F367" s="2"/>
    </row>
    <row r="368" spans="3:6" x14ac:dyDescent="0.25">
      <c r="C368" s="15" t="s">
        <v>3739</v>
      </c>
      <c r="D368" s="16">
        <v>0</v>
      </c>
      <c r="E368" s="2" t="str">
        <f t="shared" si="9"/>
        <v>Non Significant</v>
      </c>
      <c r="F368" s="2"/>
    </row>
    <row r="369" spans="3:6" x14ac:dyDescent="0.25">
      <c r="C369" s="15" t="s">
        <v>4260</v>
      </c>
      <c r="D369" s="16">
        <v>0</v>
      </c>
      <c r="E369" s="2" t="str">
        <f t="shared" si="9"/>
        <v>Non Significant</v>
      </c>
      <c r="F369" s="2"/>
    </row>
    <row r="370" spans="3:6" x14ac:dyDescent="0.25">
      <c r="C370" s="15" t="s">
        <v>3759</v>
      </c>
      <c r="D370" s="16">
        <v>0</v>
      </c>
      <c r="E370" s="2" t="str">
        <f t="shared" si="9"/>
        <v>Non Significant</v>
      </c>
      <c r="F370" s="2"/>
    </row>
    <row r="371" spans="3:6" x14ac:dyDescent="0.25">
      <c r="C371" s="15" t="s">
        <v>1579</v>
      </c>
      <c r="D371" s="16">
        <v>0</v>
      </c>
      <c r="E371" s="2" t="str">
        <f t="shared" si="9"/>
        <v>Non Significant</v>
      </c>
      <c r="F371" s="2"/>
    </row>
    <row r="372" spans="3:6" x14ac:dyDescent="0.25">
      <c r="C372" s="15" t="s">
        <v>4261</v>
      </c>
      <c r="D372" s="16">
        <v>0</v>
      </c>
      <c r="E372" s="2" t="str">
        <f t="shared" si="9"/>
        <v>Non Significant</v>
      </c>
      <c r="F372" s="2"/>
    </row>
    <row r="373" spans="3:6" x14ac:dyDescent="0.25">
      <c r="C373" s="15" t="s">
        <v>1583</v>
      </c>
      <c r="D373" s="16">
        <v>0</v>
      </c>
      <c r="E373" s="2" t="str">
        <f t="shared" si="9"/>
        <v>Non Significant</v>
      </c>
      <c r="F373" s="2"/>
    </row>
    <row r="374" spans="3:6" x14ac:dyDescent="0.25">
      <c r="C374" s="15" t="s">
        <v>3757</v>
      </c>
      <c r="D374" s="16">
        <v>0</v>
      </c>
      <c r="E374" s="2" t="str">
        <f t="shared" si="9"/>
        <v>Non Significant</v>
      </c>
      <c r="F374" s="2"/>
    </row>
    <row r="375" spans="3:6" x14ac:dyDescent="0.25">
      <c r="C375" s="15" t="s">
        <v>1659</v>
      </c>
      <c r="D375" s="16">
        <v>0</v>
      </c>
      <c r="E375" s="2" t="str">
        <f t="shared" si="9"/>
        <v>Non Significant</v>
      </c>
      <c r="F375" s="2"/>
    </row>
    <row r="376" spans="3:6" x14ac:dyDescent="0.25">
      <c r="C376" s="15" t="s">
        <v>1865</v>
      </c>
      <c r="D376" s="16">
        <v>0</v>
      </c>
      <c r="E376" s="2" t="str">
        <f t="shared" si="9"/>
        <v>Non Significant</v>
      </c>
      <c r="F376" s="2"/>
    </row>
    <row r="377" spans="3:6" x14ac:dyDescent="0.25">
      <c r="C377" s="15" t="s">
        <v>4262</v>
      </c>
      <c r="D377" s="16">
        <v>0</v>
      </c>
      <c r="E377" s="2" t="str">
        <f t="shared" si="9"/>
        <v>Non Significant</v>
      </c>
      <c r="F377" s="2"/>
    </row>
    <row r="378" spans="3:6" x14ac:dyDescent="0.25">
      <c r="C378" s="15" t="s">
        <v>2961</v>
      </c>
      <c r="D378" s="16">
        <v>0</v>
      </c>
      <c r="E378" s="2" t="str">
        <f t="shared" si="9"/>
        <v>Non Significant</v>
      </c>
      <c r="F378" s="2"/>
    </row>
    <row r="379" spans="3:6" x14ac:dyDescent="0.25">
      <c r="C379" s="15" t="s">
        <v>4263</v>
      </c>
      <c r="D379" s="16">
        <v>0</v>
      </c>
      <c r="E379" s="2" t="str">
        <f t="shared" si="9"/>
        <v>Non Significant</v>
      </c>
      <c r="F379" s="2"/>
    </row>
    <row r="380" spans="3:6" x14ac:dyDescent="0.25">
      <c r="C380" s="15" t="s">
        <v>2946</v>
      </c>
      <c r="D380" s="16">
        <v>0</v>
      </c>
      <c r="E380" s="2" t="str">
        <f t="shared" si="9"/>
        <v>Non Significant</v>
      </c>
      <c r="F380" s="2"/>
    </row>
    <row r="381" spans="3:6" x14ac:dyDescent="0.25">
      <c r="C381" s="15" t="s">
        <v>4264</v>
      </c>
      <c r="D381" s="16">
        <v>0</v>
      </c>
      <c r="E381" s="2" t="str">
        <f t="shared" si="9"/>
        <v>Non Significant</v>
      </c>
      <c r="F381" s="2"/>
    </row>
    <row r="382" spans="3:6" x14ac:dyDescent="0.25">
      <c r="C382" s="15" t="s">
        <v>2805</v>
      </c>
      <c r="D382" s="16">
        <v>0</v>
      </c>
      <c r="E382" s="2" t="str">
        <f t="shared" si="9"/>
        <v>Non Significant</v>
      </c>
      <c r="F382" s="2"/>
    </row>
    <row r="383" spans="3:6" x14ac:dyDescent="0.25">
      <c r="C383" s="15" t="s">
        <v>1621</v>
      </c>
      <c r="D383" s="16">
        <v>0</v>
      </c>
      <c r="E383" s="2" t="str">
        <f t="shared" si="9"/>
        <v>Non Significant</v>
      </c>
      <c r="F383" s="2"/>
    </row>
    <row r="384" spans="3:6" x14ac:dyDescent="0.25">
      <c r="C384" s="15" t="s">
        <v>2811</v>
      </c>
      <c r="D384" s="16">
        <v>0</v>
      </c>
      <c r="E384" s="2" t="str">
        <f t="shared" si="9"/>
        <v>Non Significant</v>
      </c>
      <c r="F384" s="2"/>
    </row>
    <row r="385" spans="3:6" x14ac:dyDescent="0.25">
      <c r="C385" s="15" t="s">
        <v>1625</v>
      </c>
      <c r="D385" s="16">
        <v>0</v>
      </c>
      <c r="E385" s="2" t="str">
        <f t="shared" si="9"/>
        <v>Non Significant</v>
      </c>
      <c r="F385" s="2"/>
    </row>
    <row r="386" spans="3:6" x14ac:dyDescent="0.25">
      <c r="C386" s="15" t="s">
        <v>4265</v>
      </c>
      <c r="D386" s="16">
        <v>0</v>
      </c>
      <c r="E386" s="2" t="str">
        <f t="shared" si="9"/>
        <v>Non Significant</v>
      </c>
      <c r="F386" s="2"/>
    </row>
    <row r="387" spans="3:6" x14ac:dyDescent="0.25">
      <c r="C387" s="15" t="s">
        <v>1655</v>
      </c>
      <c r="D387" s="16">
        <v>0</v>
      </c>
      <c r="E387" s="2" t="str">
        <f t="shared" si="9"/>
        <v>Non Significant</v>
      </c>
      <c r="F387" s="2"/>
    </row>
    <row r="388" spans="3:6" x14ac:dyDescent="0.25">
      <c r="C388" s="15" t="s">
        <v>4266</v>
      </c>
      <c r="D388" s="16">
        <v>0</v>
      </c>
      <c r="E388" s="2" t="str">
        <f t="shared" si="9"/>
        <v>Non Significant</v>
      </c>
      <c r="F388" s="2"/>
    </row>
    <row r="389" spans="3:6" x14ac:dyDescent="0.25">
      <c r="C389" s="15" t="s">
        <v>1628</v>
      </c>
      <c r="D389" s="16">
        <v>0</v>
      </c>
      <c r="E389" s="2" t="str">
        <f t="shared" si="9"/>
        <v>Non Significant</v>
      </c>
      <c r="F389" s="2"/>
    </row>
    <row r="390" spans="3:6" x14ac:dyDescent="0.25">
      <c r="C390" s="15" t="s">
        <v>2799</v>
      </c>
      <c r="D390" s="16">
        <v>0</v>
      </c>
      <c r="E390" s="2" t="str">
        <f t="shared" si="9"/>
        <v>Non Significant</v>
      </c>
      <c r="F390" s="2"/>
    </row>
    <row r="391" spans="3:6" x14ac:dyDescent="0.25">
      <c r="C391" s="15" t="s">
        <v>1632</v>
      </c>
      <c r="D391" s="16">
        <v>0</v>
      </c>
      <c r="E391" s="2" t="str">
        <f t="shared" ref="E391:E454" si="10">IF(D391&gt;=500000000000,"Critical",IF(AND(D391&gt;=50000000000,D391&lt;500000000000),"Significant",IF(AND(D391&gt;=45000000000,D391&lt;50000000000),"Almost Significant",IF(D391&lt;45000000000,"Non Significant",0))))</f>
        <v>Non Significant</v>
      </c>
      <c r="F391" s="2"/>
    </row>
    <row r="392" spans="3:6" x14ac:dyDescent="0.25">
      <c r="C392" s="15" t="s">
        <v>2814</v>
      </c>
      <c r="D392" s="16">
        <v>0</v>
      </c>
      <c r="E392" s="2" t="str">
        <f t="shared" si="10"/>
        <v>Non Significant</v>
      </c>
      <c r="F392" s="2"/>
    </row>
    <row r="393" spans="3:6" x14ac:dyDescent="0.25">
      <c r="C393" s="15" t="s">
        <v>1653</v>
      </c>
      <c r="D393" s="16">
        <v>0</v>
      </c>
      <c r="E393" s="2" t="str">
        <f t="shared" si="10"/>
        <v>Non Significant</v>
      </c>
      <c r="F393" s="2"/>
    </row>
    <row r="394" spans="3:6" x14ac:dyDescent="0.25">
      <c r="C394" s="15" t="s">
        <v>2820</v>
      </c>
      <c r="D394" s="16">
        <v>0</v>
      </c>
      <c r="E394" s="2" t="str">
        <f t="shared" si="10"/>
        <v>Non Significant</v>
      </c>
      <c r="F394" s="2"/>
    </row>
    <row r="395" spans="3:6" x14ac:dyDescent="0.25">
      <c r="C395" s="15" t="s">
        <v>1607</v>
      </c>
      <c r="D395" s="16">
        <v>0</v>
      </c>
      <c r="E395" s="2" t="str">
        <f t="shared" si="10"/>
        <v>Non Significant</v>
      </c>
      <c r="F395" s="2"/>
    </row>
    <row r="396" spans="3:6" x14ac:dyDescent="0.25">
      <c r="C396" s="15" t="s">
        <v>2859</v>
      </c>
      <c r="D396" s="16">
        <v>0</v>
      </c>
      <c r="E396" s="2" t="str">
        <f t="shared" si="10"/>
        <v>Non Significant</v>
      </c>
      <c r="F396" s="2"/>
    </row>
    <row r="397" spans="3:6" x14ac:dyDescent="0.25">
      <c r="C397" s="15" t="s">
        <v>1611</v>
      </c>
      <c r="D397" s="16">
        <v>0</v>
      </c>
      <c r="E397" s="2" t="str">
        <f t="shared" si="10"/>
        <v>Non Significant</v>
      </c>
      <c r="F397" s="2"/>
    </row>
    <row r="398" spans="3:6" x14ac:dyDescent="0.25">
      <c r="C398" s="15" t="s">
        <v>2829</v>
      </c>
      <c r="D398" s="16">
        <v>0</v>
      </c>
      <c r="E398" s="2" t="str">
        <f t="shared" si="10"/>
        <v>Non Significant</v>
      </c>
      <c r="F398" s="2"/>
    </row>
    <row r="399" spans="3:6" x14ac:dyDescent="0.25">
      <c r="C399" s="15" t="s">
        <v>1651</v>
      </c>
      <c r="D399" s="16">
        <v>0</v>
      </c>
      <c r="E399" s="2" t="str">
        <f t="shared" si="10"/>
        <v>Non Significant</v>
      </c>
      <c r="F399" s="2"/>
    </row>
    <row r="400" spans="3:6" x14ac:dyDescent="0.25">
      <c r="C400" s="15" t="s">
        <v>2880</v>
      </c>
      <c r="D400" s="16">
        <v>0</v>
      </c>
      <c r="E400" s="2" t="str">
        <f t="shared" si="10"/>
        <v>Non Significant</v>
      </c>
    </row>
    <row r="401" spans="3:5" x14ac:dyDescent="0.25">
      <c r="C401" s="15" t="s">
        <v>4267</v>
      </c>
      <c r="D401" s="16">
        <v>0</v>
      </c>
      <c r="E401" s="2" t="str">
        <f t="shared" si="10"/>
        <v>Non Significant</v>
      </c>
    </row>
    <row r="402" spans="3:5" x14ac:dyDescent="0.25">
      <c r="C402" s="15" t="s">
        <v>2883</v>
      </c>
      <c r="D402" s="16">
        <v>0</v>
      </c>
      <c r="E402" s="2" t="str">
        <f t="shared" si="10"/>
        <v>Non Significant</v>
      </c>
    </row>
    <row r="403" spans="3:5" x14ac:dyDescent="0.25">
      <c r="C403" s="15" t="s">
        <v>4268</v>
      </c>
      <c r="D403" s="16">
        <v>0</v>
      </c>
      <c r="E403" s="2" t="str">
        <f t="shared" si="10"/>
        <v>Non Significant</v>
      </c>
    </row>
    <row r="404" spans="3:5" x14ac:dyDescent="0.25">
      <c r="C404" s="15" t="s">
        <v>1869</v>
      </c>
      <c r="D404" s="16">
        <v>0</v>
      </c>
      <c r="E404" s="2" t="str">
        <f t="shared" si="10"/>
        <v>Non Significant</v>
      </c>
    </row>
    <row r="405" spans="3:5" x14ac:dyDescent="0.25">
      <c r="C405" s="15" t="s">
        <v>4269</v>
      </c>
      <c r="D405" s="16">
        <v>0</v>
      </c>
      <c r="E405" s="2" t="str">
        <f t="shared" si="10"/>
        <v>Non Significant</v>
      </c>
    </row>
    <row r="406" spans="3:5" x14ac:dyDescent="0.25">
      <c r="C406" s="15" t="s">
        <v>2874</v>
      </c>
      <c r="D406" s="16">
        <v>0</v>
      </c>
      <c r="E406" s="2" t="str">
        <f t="shared" si="10"/>
        <v>Non Significant</v>
      </c>
    </row>
    <row r="407" spans="3:5" x14ac:dyDescent="0.25">
      <c r="C407" s="15" t="s">
        <v>4270</v>
      </c>
      <c r="D407" s="16">
        <v>0</v>
      </c>
      <c r="E407" s="2" t="str">
        <f t="shared" si="10"/>
        <v>Non Significant</v>
      </c>
    </row>
    <row r="408" spans="3:5" x14ac:dyDescent="0.25">
      <c r="C408" s="15" t="s">
        <v>2913</v>
      </c>
      <c r="D408" s="16">
        <v>0</v>
      </c>
      <c r="E408" s="2" t="str">
        <f t="shared" si="10"/>
        <v>Non Significant</v>
      </c>
    </row>
    <row r="409" spans="3:5" x14ac:dyDescent="0.25">
      <c r="C409" s="15" t="s">
        <v>4271</v>
      </c>
      <c r="D409" s="16">
        <v>0</v>
      </c>
      <c r="E409" s="2" t="str">
        <f t="shared" si="10"/>
        <v>Non Significant</v>
      </c>
    </row>
    <row r="410" spans="3:5" x14ac:dyDescent="0.25">
      <c r="C410" s="15" t="s">
        <v>4272</v>
      </c>
      <c r="D410" s="16">
        <v>0</v>
      </c>
      <c r="E410" s="2" t="str">
        <f t="shared" si="10"/>
        <v>Non Significant</v>
      </c>
    </row>
    <row r="411" spans="3:5" x14ac:dyDescent="0.25">
      <c r="C411" s="15" t="s">
        <v>4273</v>
      </c>
      <c r="D411" s="16">
        <v>0</v>
      </c>
      <c r="E411" s="2" t="str">
        <f t="shared" si="10"/>
        <v>Non Significant</v>
      </c>
    </row>
    <row r="412" spans="3:5" x14ac:dyDescent="0.25">
      <c r="C412" s="15" t="s">
        <v>4274</v>
      </c>
      <c r="D412" s="16">
        <v>0</v>
      </c>
      <c r="E412" s="2" t="str">
        <f t="shared" si="10"/>
        <v>Non Significant</v>
      </c>
    </row>
    <row r="413" spans="3:5" x14ac:dyDescent="0.25">
      <c r="C413" s="15" t="s">
        <v>4275</v>
      </c>
      <c r="D413" s="16">
        <v>0</v>
      </c>
      <c r="E413" s="2" t="str">
        <f t="shared" si="10"/>
        <v>Non Significant</v>
      </c>
    </row>
    <row r="414" spans="3:5" x14ac:dyDescent="0.25">
      <c r="C414" s="15" t="s">
        <v>4276</v>
      </c>
      <c r="D414" s="16">
        <v>0</v>
      </c>
      <c r="E414" s="2" t="str">
        <f t="shared" si="10"/>
        <v>Non Significant</v>
      </c>
    </row>
    <row r="415" spans="3:5" x14ac:dyDescent="0.25">
      <c r="C415" s="15" t="s">
        <v>1586</v>
      </c>
      <c r="D415" s="16">
        <v>0</v>
      </c>
      <c r="E415" s="2" t="str">
        <f t="shared" si="10"/>
        <v>Non Significant</v>
      </c>
    </row>
    <row r="416" spans="3:5" x14ac:dyDescent="0.25">
      <c r="C416" s="15" t="s">
        <v>4277</v>
      </c>
      <c r="D416" s="16">
        <v>0</v>
      </c>
      <c r="E416" s="2" t="str">
        <f t="shared" si="10"/>
        <v>Non Significant</v>
      </c>
    </row>
    <row r="417" spans="3:5" x14ac:dyDescent="0.25">
      <c r="C417" s="15" t="s">
        <v>1590</v>
      </c>
      <c r="D417" s="16">
        <v>0</v>
      </c>
      <c r="E417" s="2" t="str">
        <f t="shared" si="10"/>
        <v>Non Significant</v>
      </c>
    </row>
    <row r="418" spans="3:5" x14ac:dyDescent="0.25">
      <c r="C418" s="15" t="s">
        <v>4185</v>
      </c>
      <c r="D418" s="16">
        <v>0</v>
      </c>
      <c r="E418" s="2" t="str">
        <f t="shared" si="10"/>
        <v>Non Significant</v>
      </c>
    </row>
    <row r="419" spans="3:5" x14ac:dyDescent="0.25">
      <c r="C419" s="15" t="s">
        <v>1649</v>
      </c>
      <c r="D419" s="16">
        <v>0</v>
      </c>
      <c r="E419" s="2" t="str">
        <f t="shared" si="10"/>
        <v>Non Significant</v>
      </c>
    </row>
    <row r="420" spans="3:5" x14ac:dyDescent="0.25">
      <c r="C420" s="15" t="s">
        <v>4278</v>
      </c>
      <c r="D420" s="16">
        <v>0</v>
      </c>
      <c r="E420" s="2" t="str">
        <f t="shared" si="10"/>
        <v>Non Significant</v>
      </c>
    </row>
    <row r="421" spans="3:5" x14ac:dyDescent="0.25">
      <c r="C421" s="15" t="s">
        <v>1600</v>
      </c>
      <c r="D421" s="16">
        <v>0</v>
      </c>
      <c r="E421" s="2" t="str">
        <f t="shared" si="10"/>
        <v>Non Significant</v>
      </c>
    </row>
    <row r="422" spans="3:5" x14ac:dyDescent="0.25">
      <c r="C422" s="15" t="s">
        <v>4279</v>
      </c>
      <c r="D422" s="16">
        <v>0</v>
      </c>
      <c r="E422" s="2" t="str">
        <f t="shared" si="10"/>
        <v>Non Significant</v>
      </c>
    </row>
    <row r="423" spans="3:5" x14ac:dyDescent="0.25">
      <c r="C423" s="15" t="s">
        <v>1604</v>
      </c>
      <c r="D423" s="16">
        <v>0</v>
      </c>
      <c r="E423" s="2" t="str">
        <f t="shared" si="10"/>
        <v>Non Significant</v>
      </c>
    </row>
    <row r="424" spans="3:5" x14ac:dyDescent="0.25">
      <c r="C424" s="15" t="s">
        <v>4280</v>
      </c>
      <c r="D424" s="16">
        <v>0</v>
      </c>
      <c r="E424" s="2" t="str">
        <f t="shared" si="10"/>
        <v>Non Significant</v>
      </c>
    </row>
    <row r="425" spans="3:5" x14ac:dyDescent="0.25">
      <c r="C425" s="15" t="s">
        <v>1647</v>
      </c>
      <c r="D425" s="16">
        <v>0</v>
      </c>
      <c r="E425" s="2" t="str">
        <f t="shared" si="10"/>
        <v>Non Significant</v>
      </c>
    </row>
    <row r="426" spans="3:5" x14ac:dyDescent="0.25">
      <c r="C426" s="15" t="s">
        <v>4281</v>
      </c>
      <c r="D426" s="16">
        <v>0</v>
      </c>
      <c r="E426" s="2" t="str">
        <f t="shared" si="10"/>
        <v>Non Significant</v>
      </c>
    </row>
    <row r="427" spans="3:5" x14ac:dyDescent="0.25">
      <c r="C427" s="15" t="s">
        <v>1635</v>
      </c>
      <c r="D427" s="16">
        <v>0</v>
      </c>
      <c r="E427" s="2" t="str">
        <f t="shared" si="10"/>
        <v>Non Significant</v>
      </c>
    </row>
    <row r="428" spans="3:5" x14ac:dyDescent="0.25">
      <c r="C428" s="15" t="s">
        <v>1544</v>
      </c>
      <c r="D428" s="16">
        <v>0</v>
      </c>
      <c r="E428" s="2" t="str">
        <f t="shared" si="10"/>
        <v>Non Significant</v>
      </c>
    </row>
    <row r="429" spans="3:5" x14ac:dyDescent="0.25">
      <c r="C429" s="15" t="s">
        <v>1639</v>
      </c>
      <c r="D429" s="16">
        <v>0</v>
      </c>
      <c r="E429" s="2" t="str">
        <f t="shared" si="10"/>
        <v>Non Significant</v>
      </c>
    </row>
    <row r="430" spans="3:5" x14ac:dyDescent="0.25">
      <c r="C430" s="15" t="s">
        <v>1550</v>
      </c>
      <c r="D430" s="16">
        <v>0</v>
      </c>
      <c r="E430" s="2" t="str">
        <f t="shared" si="10"/>
        <v>Non Significant</v>
      </c>
    </row>
    <row r="431" spans="3:5" x14ac:dyDescent="0.25">
      <c r="C431" s="15" t="s">
        <v>1645</v>
      </c>
      <c r="D431" s="16">
        <v>0</v>
      </c>
      <c r="E431" s="2" t="str">
        <f t="shared" si="10"/>
        <v>Non Significant</v>
      </c>
    </row>
    <row r="432" spans="3:5" x14ac:dyDescent="0.25">
      <c r="C432" s="15" t="s">
        <v>1521</v>
      </c>
      <c r="D432" s="16">
        <v>0</v>
      </c>
      <c r="E432" s="2" t="str">
        <f t="shared" si="10"/>
        <v>Non Significant</v>
      </c>
    </row>
    <row r="433" spans="3:5" x14ac:dyDescent="0.25">
      <c r="C433" s="15" t="s">
        <v>1593</v>
      </c>
      <c r="D433" s="16">
        <v>0</v>
      </c>
      <c r="E433" s="2" t="str">
        <f t="shared" si="10"/>
        <v>Non Significant</v>
      </c>
    </row>
    <row r="434" spans="3:5" x14ac:dyDescent="0.25">
      <c r="C434" s="15" t="s">
        <v>1490</v>
      </c>
      <c r="D434" s="16">
        <v>0</v>
      </c>
      <c r="E434" s="2" t="str">
        <f t="shared" si="10"/>
        <v>Non Significant</v>
      </c>
    </row>
    <row r="435" spans="3:5" x14ac:dyDescent="0.25">
      <c r="C435" s="15" t="s">
        <v>1597</v>
      </c>
      <c r="D435" s="16">
        <v>0</v>
      </c>
      <c r="E435" s="2" t="str">
        <f t="shared" si="10"/>
        <v>Non Significant</v>
      </c>
    </row>
    <row r="436" spans="3:5" x14ac:dyDescent="0.25">
      <c r="C436" s="15" t="s">
        <v>1496</v>
      </c>
      <c r="D436" s="16">
        <v>0</v>
      </c>
      <c r="E436" s="2" t="str">
        <f t="shared" si="10"/>
        <v>Non Significant</v>
      </c>
    </row>
    <row r="437" spans="3:5" x14ac:dyDescent="0.25">
      <c r="C437" s="15" t="s">
        <v>1643</v>
      </c>
      <c r="D437" s="16">
        <v>0</v>
      </c>
      <c r="E437" s="2" t="str">
        <f t="shared" si="10"/>
        <v>Non Significant</v>
      </c>
    </row>
    <row r="438" spans="3:5" x14ac:dyDescent="0.25">
      <c r="C438" s="15" t="s">
        <v>1512</v>
      </c>
      <c r="D438" s="16">
        <v>0</v>
      </c>
      <c r="E438" s="2" t="str">
        <f t="shared" si="10"/>
        <v>Non Significant</v>
      </c>
    </row>
    <row r="439" spans="3:5" x14ac:dyDescent="0.25">
      <c r="C439" s="15" t="s">
        <v>1572</v>
      </c>
      <c r="D439" s="16">
        <v>0</v>
      </c>
      <c r="E439" s="2" t="str">
        <f t="shared" si="10"/>
        <v>Non Significant</v>
      </c>
    </row>
    <row r="440" spans="3:5" x14ac:dyDescent="0.25">
      <c r="C440" s="15" t="s">
        <v>1553</v>
      </c>
      <c r="D440" s="16">
        <v>0</v>
      </c>
      <c r="E440" s="2" t="str">
        <f t="shared" si="10"/>
        <v>Non Significant</v>
      </c>
    </row>
    <row r="441" spans="3:5" x14ac:dyDescent="0.25">
      <c r="C441" s="15" t="s">
        <v>1576</v>
      </c>
      <c r="D441" s="16">
        <v>0</v>
      </c>
      <c r="E441" s="2" t="str">
        <f t="shared" si="10"/>
        <v>Non Significant</v>
      </c>
    </row>
    <row r="442" spans="3:5" x14ac:dyDescent="0.25">
      <c r="C442" s="15" t="s">
        <v>1559</v>
      </c>
      <c r="D442" s="16">
        <v>0</v>
      </c>
      <c r="E442" s="2" t="str">
        <f t="shared" si="10"/>
        <v>Non Significant</v>
      </c>
    </row>
    <row r="443" spans="3:5" x14ac:dyDescent="0.25">
      <c r="C443" s="15" t="s">
        <v>1641</v>
      </c>
      <c r="D443" s="16">
        <v>0</v>
      </c>
      <c r="E443" s="2" t="str">
        <f t="shared" si="10"/>
        <v>Non Significant</v>
      </c>
    </row>
    <row r="444" spans="3:5" x14ac:dyDescent="0.25">
      <c r="C444" s="15" t="s">
        <v>4282</v>
      </c>
      <c r="D444" s="16">
        <v>0</v>
      </c>
      <c r="E444" s="2" t="str">
        <f t="shared" si="10"/>
        <v>Non Significant</v>
      </c>
    </row>
    <row r="445" spans="3:5" x14ac:dyDescent="0.25">
      <c r="C445" s="15" t="s">
        <v>4283</v>
      </c>
      <c r="D445" s="16">
        <v>0</v>
      </c>
      <c r="E445" s="2" t="str">
        <f t="shared" si="10"/>
        <v>Non Significant</v>
      </c>
    </row>
    <row r="446" spans="3:5" x14ac:dyDescent="0.25">
      <c r="C446" s="15" t="s">
        <v>1472</v>
      </c>
      <c r="D446" s="16">
        <v>0</v>
      </c>
      <c r="E446" s="2" t="str">
        <f t="shared" si="10"/>
        <v>Non Significant</v>
      </c>
    </row>
    <row r="447" spans="3:5" x14ac:dyDescent="0.25">
      <c r="C447" s="15" t="s">
        <v>4284</v>
      </c>
      <c r="D447" s="16">
        <v>0</v>
      </c>
      <c r="E447" s="2" t="str">
        <f t="shared" si="10"/>
        <v>Non Significant</v>
      </c>
    </row>
    <row r="448" spans="3:5" x14ac:dyDescent="0.25">
      <c r="C448" s="15" t="s">
        <v>1478</v>
      </c>
      <c r="D448" s="16">
        <v>0</v>
      </c>
      <c r="E448" s="2" t="str">
        <f t="shared" si="10"/>
        <v>Non Significant</v>
      </c>
    </row>
    <row r="449" spans="3:5" x14ac:dyDescent="0.25">
      <c r="C449" s="15" t="s">
        <v>4285</v>
      </c>
      <c r="D449" s="16">
        <v>0</v>
      </c>
      <c r="E449" s="2" t="str">
        <f t="shared" si="10"/>
        <v>Non Significant</v>
      </c>
    </row>
    <row r="450" spans="3:5" x14ac:dyDescent="0.25">
      <c r="C450" s="15" t="s">
        <v>4286</v>
      </c>
      <c r="D450" s="16">
        <v>0</v>
      </c>
      <c r="E450" s="2" t="str">
        <f t="shared" si="10"/>
        <v>Non Significant</v>
      </c>
    </row>
    <row r="451" spans="3:5" x14ac:dyDescent="0.25">
      <c r="C451" s="15" t="s">
        <v>2958</v>
      </c>
      <c r="D451" s="16">
        <v>0</v>
      </c>
      <c r="E451" s="2" t="str">
        <f t="shared" si="10"/>
        <v>Non Significant</v>
      </c>
    </row>
    <row r="452" spans="3:5" x14ac:dyDescent="0.25">
      <c r="C452" s="15" t="s">
        <v>1689</v>
      </c>
      <c r="D452" s="16">
        <v>0</v>
      </c>
      <c r="E452" s="2" t="str">
        <f t="shared" si="10"/>
        <v>Non Significant</v>
      </c>
    </row>
    <row r="453" spans="3:5" x14ac:dyDescent="0.25">
      <c r="C453" s="15" t="s">
        <v>2952</v>
      </c>
      <c r="D453" s="16">
        <v>0</v>
      </c>
      <c r="E453" s="2" t="str">
        <f t="shared" si="10"/>
        <v>Non Significant</v>
      </c>
    </row>
    <row r="454" spans="3:5" x14ac:dyDescent="0.25">
      <c r="C454" s="15" t="s">
        <v>4287</v>
      </c>
      <c r="D454" s="16">
        <v>0</v>
      </c>
      <c r="E454" s="2" t="str">
        <f t="shared" si="10"/>
        <v>Non Significant</v>
      </c>
    </row>
    <row r="455" spans="3:5" x14ac:dyDescent="0.25">
      <c r="C455" s="15" t="s">
        <v>2956</v>
      </c>
      <c r="D455" s="16">
        <v>0</v>
      </c>
      <c r="E455" s="2" t="str">
        <f t="shared" ref="E455:E518" si="11">IF(D455&gt;=500000000000,"Critical",IF(AND(D455&gt;=50000000000,D455&lt;500000000000),"Significant",IF(AND(D455&gt;=45000000000,D455&lt;50000000000),"Almost Significant",IF(D455&lt;45000000000,"Non Significant",0))))</f>
        <v>Non Significant</v>
      </c>
    </row>
    <row r="456" spans="3:5" x14ac:dyDescent="0.25">
      <c r="C456" s="15" t="s">
        <v>1684</v>
      </c>
      <c r="D456" s="16">
        <v>0</v>
      </c>
      <c r="E456" s="2" t="str">
        <f t="shared" si="11"/>
        <v>Non Significant</v>
      </c>
    </row>
    <row r="457" spans="3:5" x14ac:dyDescent="0.25">
      <c r="C457" s="15" t="s">
        <v>2844</v>
      </c>
      <c r="D457" s="16">
        <v>0</v>
      </c>
      <c r="E457" s="2" t="str">
        <f t="shared" si="11"/>
        <v>Non Significant</v>
      </c>
    </row>
    <row r="458" spans="3:5" x14ac:dyDescent="0.25">
      <c r="C458" s="15" t="s">
        <v>4288</v>
      </c>
      <c r="D458" s="16">
        <v>0</v>
      </c>
      <c r="E458" s="2" t="str">
        <f t="shared" si="11"/>
        <v>Non Significant</v>
      </c>
    </row>
    <row r="459" spans="3:5" x14ac:dyDescent="0.25">
      <c r="C459" s="15" t="s">
        <v>2835</v>
      </c>
      <c r="D459" s="16">
        <v>0</v>
      </c>
      <c r="E459" s="2" t="str">
        <f t="shared" si="11"/>
        <v>Non Significant</v>
      </c>
    </row>
    <row r="460" spans="3:5" x14ac:dyDescent="0.25">
      <c r="C460" s="15" t="s">
        <v>4157</v>
      </c>
      <c r="D460" s="16">
        <v>0</v>
      </c>
      <c r="E460" s="2" t="str">
        <f t="shared" si="11"/>
        <v>Non Significant</v>
      </c>
    </row>
    <row r="461" spans="3:5" x14ac:dyDescent="0.25">
      <c r="C461" s="15" t="s">
        <v>2839</v>
      </c>
      <c r="D461" s="16">
        <v>0</v>
      </c>
      <c r="E461" s="2" t="str">
        <f t="shared" si="11"/>
        <v>Non Significant</v>
      </c>
    </row>
    <row r="462" spans="3:5" x14ac:dyDescent="0.25">
      <c r="C462" s="15" t="s">
        <v>4289</v>
      </c>
      <c r="D462" s="16">
        <v>0</v>
      </c>
      <c r="E462" s="2" t="str">
        <f t="shared" si="11"/>
        <v>Non Significant</v>
      </c>
    </row>
    <row r="463" spans="3:5" x14ac:dyDescent="0.25">
      <c r="C463" s="15" t="s">
        <v>2842</v>
      </c>
      <c r="D463" s="16">
        <v>0</v>
      </c>
      <c r="E463" s="2" t="str">
        <f t="shared" si="11"/>
        <v>Non Significant</v>
      </c>
    </row>
    <row r="464" spans="3:5" x14ac:dyDescent="0.25">
      <c r="C464" s="15" t="s">
        <v>2893</v>
      </c>
      <c r="D464" s="16">
        <v>0</v>
      </c>
      <c r="E464" s="2" t="str">
        <f t="shared" si="11"/>
        <v>Non Significant</v>
      </c>
    </row>
    <row r="465" spans="3:5" x14ac:dyDescent="0.25">
      <c r="C465" s="15" t="s">
        <v>2793</v>
      </c>
      <c r="D465" s="16">
        <v>0</v>
      </c>
      <c r="E465" s="2" t="str">
        <f t="shared" si="11"/>
        <v>Non Significant</v>
      </c>
    </row>
    <row r="466" spans="3:5" x14ac:dyDescent="0.25">
      <c r="C466" s="15" t="s">
        <v>2784</v>
      </c>
      <c r="D466" s="16">
        <v>0</v>
      </c>
      <c r="E466" s="2" t="str">
        <f t="shared" si="11"/>
        <v>Non Significant</v>
      </c>
    </row>
    <row r="467" spans="3:5" x14ac:dyDescent="0.25">
      <c r="C467" s="15" t="s">
        <v>3087</v>
      </c>
      <c r="D467" s="16">
        <v>0</v>
      </c>
      <c r="E467" s="2" t="str">
        <f t="shared" si="11"/>
        <v>Non Significant</v>
      </c>
    </row>
    <row r="468" spans="3:5" x14ac:dyDescent="0.25">
      <c r="C468" s="15" t="s">
        <v>4290</v>
      </c>
      <c r="D468" s="16">
        <v>0</v>
      </c>
      <c r="E468" s="2" t="str">
        <f t="shared" si="11"/>
        <v>Non Significant</v>
      </c>
    </row>
    <row r="469" spans="3:5" x14ac:dyDescent="0.25">
      <c r="C469" s="15" t="s">
        <v>3574</v>
      </c>
      <c r="D469" s="16">
        <v>0</v>
      </c>
      <c r="E469" s="2" t="str">
        <f t="shared" si="11"/>
        <v>Non Significant</v>
      </c>
    </row>
    <row r="470" spans="3:5" x14ac:dyDescent="0.25">
      <c r="C470" s="15" t="s">
        <v>3207</v>
      </c>
      <c r="D470" s="16">
        <v>0</v>
      </c>
      <c r="E470" s="2" t="str">
        <f t="shared" si="11"/>
        <v>Non Significant</v>
      </c>
    </row>
    <row r="471" spans="3:5" x14ac:dyDescent="0.25">
      <c r="C471" s="15" t="s">
        <v>3768</v>
      </c>
      <c r="D471" s="16">
        <v>0</v>
      </c>
      <c r="E471" s="2" t="str">
        <f t="shared" si="11"/>
        <v>Non Significant</v>
      </c>
    </row>
    <row r="472" spans="3:5" x14ac:dyDescent="0.25">
      <c r="C472" s="15" t="s">
        <v>3210</v>
      </c>
      <c r="D472" s="16">
        <v>0</v>
      </c>
      <c r="E472" s="2" t="str">
        <f t="shared" si="11"/>
        <v>Non Significant</v>
      </c>
    </row>
    <row r="473" spans="3:5" x14ac:dyDescent="0.25">
      <c r="C473" s="15" t="s">
        <v>4040</v>
      </c>
      <c r="D473" s="16">
        <v>0</v>
      </c>
      <c r="E473" s="2" t="str">
        <f t="shared" si="11"/>
        <v>Non Significant</v>
      </c>
    </row>
    <row r="474" spans="3:5" x14ac:dyDescent="0.25">
      <c r="C474" s="15" t="s">
        <v>3174</v>
      </c>
      <c r="D474" s="16">
        <v>0</v>
      </c>
      <c r="E474" s="2" t="str">
        <f t="shared" si="11"/>
        <v>Non Significant</v>
      </c>
    </row>
    <row r="475" spans="3:5" x14ac:dyDescent="0.25">
      <c r="C475" s="15" t="s">
        <v>4291</v>
      </c>
      <c r="D475" s="16">
        <v>0</v>
      </c>
      <c r="E475" s="2" t="str">
        <f t="shared" si="11"/>
        <v>Non Significant</v>
      </c>
    </row>
    <row r="476" spans="3:5" x14ac:dyDescent="0.25">
      <c r="C476" s="15" t="s">
        <v>4292</v>
      </c>
      <c r="D476" s="16">
        <v>0</v>
      </c>
      <c r="E476" s="2" t="str">
        <f t="shared" si="11"/>
        <v>Non Significant</v>
      </c>
    </row>
    <row r="477" spans="3:5" x14ac:dyDescent="0.25">
      <c r="C477" s="15" t="s">
        <v>3354</v>
      </c>
      <c r="D477" s="16">
        <v>0</v>
      </c>
      <c r="E477" s="2" t="str">
        <f t="shared" si="11"/>
        <v>Non Significant</v>
      </c>
    </row>
    <row r="478" spans="3:5" x14ac:dyDescent="0.25">
      <c r="C478" s="15" t="s">
        <v>3168</v>
      </c>
      <c r="D478" s="16">
        <v>0</v>
      </c>
      <c r="E478" s="2" t="str">
        <f t="shared" si="11"/>
        <v>Non Significant</v>
      </c>
    </row>
    <row r="479" spans="3:5" x14ac:dyDescent="0.25">
      <c r="C479" s="15" t="s">
        <v>4293</v>
      </c>
      <c r="D479" s="16">
        <v>0</v>
      </c>
      <c r="E479" s="2" t="str">
        <f t="shared" si="11"/>
        <v>Non Significant</v>
      </c>
    </row>
    <row r="480" spans="3:5" x14ac:dyDescent="0.25">
      <c r="C480" s="15" t="s">
        <v>4294</v>
      </c>
      <c r="D480" s="16">
        <v>0</v>
      </c>
      <c r="E480" s="2" t="str">
        <f t="shared" si="11"/>
        <v>Non Significant</v>
      </c>
    </row>
    <row r="481" spans="3:5" x14ac:dyDescent="0.25">
      <c r="C481" s="15" t="s">
        <v>4295</v>
      </c>
      <c r="D481" s="16">
        <v>0</v>
      </c>
      <c r="E481" s="2" t="str">
        <f t="shared" si="11"/>
        <v>Non Significant</v>
      </c>
    </row>
    <row r="482" spans="3:5" x14ac:dyDescent="0.25">
      <c r="C482" s="15" t="s">
        <v>3171</v>
      </c>
      <c r="D482" s="16">
        <v>0</v>
      </c>
      <c r="E482" s="2" t="str">
        <f t="shared" si="11"/>
        <v>Non Significant</v>
      </c>
    </row>
    <row r="483" spans="3:5" x14ac:dyDescent="0.25">
      <c r="C483" s="15" t="s">
        <v>4296</v>
      </c>
      <c r="D483" s="16">
        <v>0</v>
      </c>
      <c r="E483" s="2" t="str">
        <f t="shared" si="11"/>
        <v>Non Significant</v>
      </c>
    </row>
    <row r="484" spans="3:5" x14ac:dyDescent="0.25">
      <c r="C484" s="15" t="s">
        <v>3132</v>
      </c>
      <c r="D484" s="16">
        <v>0</v>
      </c>
      <c r="E484" s="2" t="str">
        <f t="shared" si="11"/>
        <v>Non Significant</v>
      </c>
    </row>
    <row r="485" spans="3:5" x14ac:dyDescent="0.25">
      <c r="C485" s="15" t="s">
        <v>4297</v>
      </c>
      <c r="D485" s="16">
        <v>0</v>
      </c>
      <c r="E485" s="2" t="str">
        <f t="shared" si="11"/>
        <v>Non Significant</v>
      </c>
    </row>
    <row r="486" spans="3:5" x14ac:dyDescent="0.25">
      <c r="C486" s="15" t="s">
        <v>4298</v>
      </c>
      <c r="D486" s="16">
        <v>0</v>
      </c>
      <c r="E486" s="2" t="str">
        <f t="shared" si="11"/>
        <v>Non Significant</v>
      </c>
    </row>
    <row r="487" spans="3:5" x14ac:dyDescent="0.25">
      <c r="C487" s="15" t="s">
        <v>4299</v>
      </c>
      <c r="D487" s="16">
        <v>0</v>
      </c>
      <c r="E487" s="2" t="str">
        <f t="shared" si="11"/>
        <v>Non Significant</v>
      </c>
    </row>
    <row r="488" spans="3:5" x14ac:dyDescent="0.25">
      <c r="C488" s="15" t="s">
        <v>3135</v>
      </c>
      <c r="D488" s="16">
        <v>0</v>
      </c>
      <c r="E488" s="2" t="str">
        <f t="shared" si="11"/>
        <v>Non Significant</v>
      </c>
    </row>
    <row r="489" spans="3:5" x14ac:dyDescent="0.25">
      <c r="C489" s="15" t="s">
        <v>4300</v>
      </c>
      <c r="D489" s="16">
        <v>0</v>
      </c>
      <c r="E489" s="2" t="str">
        <f t="shared" si="11"/>
        <v>Non Significant</v>
      </c>
    </row>
    <row r="490" spans="3:5" x14ac:dyDescent="0.25">
      <c r="C490" s="15" t="s">
        <v>3156</v>
      </c>
      <c r="D490" s="16">
        <v>0</v>
      </c>
      <c r="E490" s="2" t="str">
        <f t="shared" si="11"/>
        <v>Non Significant</v>
      </c>
    </row>
    <row r="491" spans="3:5" x14ac:dyDescent="0.25">
      <c r="C491" s="15" t="s">
        <v>4301</v>
      </c>
      <c r="D491" s="16">
        <v>0</v>
      </c>
      <c r="E491" s="2" t="str">
        <f t="shared" si="11"/>
        <v>Non Significant</v>
      </c>
    </row>
    <row r="492" spans="3:5" x14ac:dyDescent="0.25">
      <c r="C492" s="15" t="s">
        <v>4302</v>
      </c>
      <c r="D492" s="16">
        <v>0</v>
      </c>
      <c r="E492" s="2" t="str">
        <f t="shared" si="11"/>
        <v>Non Significant</v>
      </c>
    </row>
    <row r="493" spans="3:5" x14ac:dyDescent="0.25">
      <c r="C493" s="15" t="s">
        <v>1837</v>
      </c>
      <c r="D493" s="16">
        <v>0</v>
      </c>
      <c r="E493" s="2" t="str">
        <f t="shared" si="11"/>
        <v>Non Significant</v>
      </c>
    </row>
    <row r="494" spans="3:5" x14ac:dyDescent="0.25">
      <c r="C494" s="15" t="s">
        <v>3159</v>
      </c>
      <c r="D494" s="16">
        <v>0</v>
      </c>
      <c r="E494" s="2" t="str">
        <f t="shared" si="11"/>
        <v>Non Significant</v>
      </c>
    </row>
    <row r="495" spans="3:5" x14ac:dyDescent="0.25">
      <c r="C495" s="15" t="s">
        <v>4303</v>
      </c>
      <c r="D495" s="16">
        <v>0</v>
      </c>
      <c r="E495" s="2" t="str">
        <f t="shared" si="11"/>
        <v>Non Significant</v>
      </c>
    </row>
    <row r="496" spans="3:5" x14ac:dyDescent="0.25">
      <c r="C496" s="15" t="s">
        <v>3144</v>
      </c>
      <c r="D496" s="16">
        <v>0</v>
      </c>
      <c r="E496" s="2" t="str">
        <f t="shared" si="11"/>
        <v>Non Significant</v>
      </c>
    </row>
    <row r="497" spans="3:5" x14ac:dyDescent="0.25">
      <c r="C497" s="15" t="s">
        <v>4304</v>
      </c>
      <c r="D497" s="16">
        <v>0</v>
      </c>
      <c r="E497" s="2" t="str">
        <f t="shared" si="11"/>
        <v>Non Significant</v>
      </c>
    </row>
    <row r="498" spans="3:5" x14ac:dyDescent="0.25">
      <c r="C498" s="15" t="s">
        <v>4305</v>
      </c>
      <c r="D498" s="16">
        <v>0</v>
      </c>
      <c r="E498" s="2" t="str">
        <f t="shared" si="11"/>
        <v>Non Significant</v>
      </c>
    </row>
    <row r="499" spans="3:5" x14ac:dyDescent="0.25">
      <c r="C499" s="15" t="s">
        <v>3069</v>
      </c>
      <c r="D499" s="16">
        <v>0</v>
      </c>
      <c r="E499" s="2" t="str">
        <f t="shared" si="11"/>
        <v>Non Significant</v>
      </c>
    </row>
    <row r="500" spans="3:5" x14ac:dyDescent="0.25">
      <c r="C500" s="15" t="s">
        <v>3147</v>
      </c>
      <c r="D500" s="16">
        <v>0</v>
      </c>
      <c r="E500" s="2" t="str">
        <f t="shared" si="11"/>
        <v>Non Significant</v>
      </c>
    </row>
    <row r="501" spans="3:5" x14ac:dyDescent="0.25">
      <c r="C501" s="15" t="s">
        <v>3015</v>
      </c>
      <c r="D501" s="16">
        <v>0</v>
      </c>
      <c r="E501" s="2" t="str">
        <f t="shared" si="11"/>
        <v>Non Significant</v>
      </c>
    </row>
    <row r="502" spans="3:5" x14ac:dyDescent="0.25">
      <c r="C502" s="15" t="s">
        <v>3150</v>
      </c>
      <c r="D502" s="16">
        <v>0</v>
      </c>
      <c r="E502" s="2" t="str">
        <f t="shared" si="11"/>
        <v>Non Significant</v>
      </c>
    </row>
    <row r="503" spans="3:5" x14ac:dyDescent="0.25">
      <c r="C503" s="15" t="s">
        <v>4306</v>
      </c>
      <c r="D503" s="16">
        <v>0</v>
      </c>
      <c r="E503" s="2" t="str">
        <f t="shared" si="11"/>
        <v>Non Significant</v>
      </c>
    </row>
    <row r="504" spans="3:5" x14ac:dyDescent="0.25">
      <c r="C504" s="15" t="s">
        <v>4307</v>
      </c>
      <c r="D504" s="16">
        <v>0</v>
      </c>
      <c r="E504" s="2" t="str">
        <f t="shared" si="11"/>
        <v>Non Significant</v>
      </c>
    </row>
    <row r="505" spans="3:5" x14ac:dyDescent="0.25">
      <c r="C505" s="15" t="s">
        <v>4308</v>
      </c>
      <c r="D505" s="16">
        <v>0</v>
      </c>
      <c r="E505" s="2" t="str">
        <f t="shared" si="11"/>
        <v>Non Significant</v>
      </c>
    </row>
    <row r="506" spans="3:5" x14ac:dyDescent="0.25">
      <c r="C506" s="15" t="s">
        <v>4309</v>
      </c>
      <c r="D506" s="16">
        <v>0</v>
      </c>
      <c r="E506" s="2" t="str">
        <f t="shared" si="11"/>
        <v>Non Significant</v>
      </c>
    </row>
    <row r="507" spans="3:5" x14ac:dyDescent="0.25">
      <c r="C507" s="15" t="s">
        <v>3153</v>
      </c>
      <c r="D507" s="16">
        <v>0</v>
      </c>
      <c r="E507" s="2" t="str">
        <f t="shared" si="11"/>
        <v>Non Significant</v>
      </c>
    </row>
    <row r="508" spans="3:5" x14ac:dyDescent="0.25">
      <c r="C508" s="15" t="s">
        <v>3576</v>
      </c>
      <c r="D508" s="16">
        <v>0</v>
      </c>
      <c r="E508" s="2" t="str">
        <f t="shared" si="11"/>
        <v>Non Significant</v>
      </c>
    </row>
    <row r="509" spans="3:5" x14ac:dyDescent="0.25">
      <c r="C509" s="15" t="s">
        <v>3162</v>
      </c>
      <c r="D509" s="16">
        <v>0</v>
      </c>
      <c r="E509" s="2" t="str">
        <f t="shared" si="11"/>
        <v>Non Significant</v>
      </c>
    </row>
    <row r="510" spans="3:5" x14ac:dyDescent="0.25">
      <c r="C510" s="15" t="s">
        <v>4310</v>
      </c>
      <c r="D510" s="16">
        <v>0</v>
      </c>
      <c r="E510" s="2" t="str">
        <f t="shared" si="11"/>
        <v>Non Significant</v>
      </c>
    </row>
    <row r="511" spans="3:5" x14ac:dyDescent="0.25">
      <c r="C511" s="15" t="s">
        <v>3589</v>
      </c>
      <c r="D511" s="16">
        <v>0</v>
      </c>
      <c r="E511" s="2" t="str">
        <f t="shared" si="11"/>
        <v>Non Significant</v>
      </c>
    </row>
    <row r="512" spans="3:5" x14ac:dyDescent="0.25">
      <c r="C512" s="15" t="s">
        <v>4311</v>
      </c>
      <c r="D512" s="16">
        <v>0</v>
      </c>
      <c r="E512" s="2" t="str">
        <f t="shared" si="11"/>
        <v>Non Significant</v>
      </c>
    </row>
    <row r="513" spans="3:5" x14ac:dyDescent="0.25">
      <c r="C513" s="15" t="s">
        <v>3165</v>
      </c>
      <c r="D513" s="16">
        <v>0</v>
      </c>
      <c r="E513" s="2" t="str">
        <f t="shared" si="11"/>
        <v>Non Significant</v>
      </c>
    </row>
    <row r="514" spans="3:5" x14ac:dyDescent="0.25">
      <c r="C514" s="15" t="s">
        <v>3030</v>
      </c>
      <c r="D514" s="16">
        <v>0</v>
      </c>
      <c r="E514" s="2" t="str">
        <f t="shared" si="11"/>
        <v>Non Significant</v>
      </c>
    </row>
    <row r="515" spans="3:5" x14ac:dyDescent="0.25">
      <c r="C515" s="15" t="s">
        <v>3560</v>
      </c>
      <c r="D515" s="16">
        <v>0</v>
      </c>
      <c r="E515" s="2" t="str">
        <f t="shared" si="11"/>
        <v>Non Significant</v>
      </c>
    </row>
    <row r="516" spans="3:5" x14ac:dyDescent="0.25">
      <c r="C516" s="15" t="s">
        <v>4312</v>
      </c>
      <c r="D516" s="16">
        <v>0</v>
      </c>
      <c r="E516" s="2" t="str">
        <f t="shared" si="11"/>
        <v>Non Significant</v>
      </c>
    </row>
    <row r="517" spans="3:5" x14ac:dyDescent="0.25">
      <c r="C517" s="15" t="s">
        <v>3552</v>
      </c>
      <c r="D517" s="16">
        <v>0</v>
      </c>
      <c r="E517" s="2" t="str">
        <f t="shared" si="11"/>
        <v>Non Significant</v>
      </c>
    </row>
    <row r="518" spans="3:5" x14ac:dyDescent="0.25">
      <c r="C518" s="15" t="s">
        <v>3349</v>
      </c>
      <c r="D518" s="16">
        <v>0</v>
      </c>
      <c r="E518" s="2" t="str">
        <f t="shared" si="11"/>
        <v>Non Significant</v>
      </c>
    </row>
    <row r="519" spans="3:5" x14ac:dyDescent="0.25">
      <c r="C519" s="15" t="s">
        <v>3548</v>
      </c>
      <c r="D519" s="16">
        <v>0</v>
      </c>
      <c r="E519" s="2" t="str">
        <f t="shared" ref="E519:E582" si="12">IF(D519&gt;=500000000000,"Critical",IF(AND(D519&gt;=50000000000,D519&lt;500000000000),"Significant",IF(AND(D519&gt;=45000000000,D519&lt;50000000000),"Almost Significant",IF(D519&lt;45000000000,"Non Significant",0))))</f>
        <v>Non Significant</v>
      </c>
    </row>
    <row r="520" spans="3:5" x14ac:dyDescent="0.25">
      <c r="C520" s="15" t="s">
        <v>3785</v>
      </c>
      <c r="D520" s="16">
        <v>0</v>
      </c>
      <c r="E520" s="2" t="str">
        <f t="shared" si="12"/>
        <v>Non Significant</v>
      </c>
    </row>
    <row r="521" spans="3:5" x14ac:dyDescent="0.25">
      <c r="C521" s="15" t="s">
        <v>3555</v>
      </c>
      <c r="D521" s="16">
        <v>0</v>
      </c>
      <c r="E521" s="2" t="str">
        <f t="shared" si="12"/>
        <v>Non Significant</v>
      </c>
    </row>
    <row r="522" spans="3:5" x14ac:dyDescent="0.25">
      <c r="C522" s="15" t="s">
        <v>4313</v>
      </c>
      <c r="D522" s="16">
        <v>0</v>
      </c>
      <c r="E522" s="2" t="str">
        <f t="shared" si="12"/>
        <v>Non Significant</v>
      </c>
    </row>
    <row r="523" spans="3:5" x14ac:dyDescent="0.25">
      <c r="C523" s="15" t="s">
        <v>3558</v>
      </c>
      <c r="D523" s="16">
        <v>0</v>
      </c>
      <c r="E523" s="2" t="str">
        <f t="shared" si="12"/>
        <v>Non Significant</v>
      </c>
    </row>
    <row r="524" spans="3:5" x14ac:dyDescent="0.25">
      <c r="C524" s="15" t="s">
        <v>4314</v>
      </c>
      <c r="D524" s="16">
        <v>0</v>
      </c>
      <c r="E524" s="2" t="str">
        <f t="shared" si="12"/>
        <v>Non Significant</v>
      </c>
    </row>
    <row r="525" spans="3:5" x14ac:dyDescent="0.25">
      <c r="C525" s="15" t="s">
        <v>3545</v>
      </c>
      <c r="D525" s="16">
        <v>0</v>
      </c>
      <c r="E525" s="2" t="str">
        <f t="shared" si="12"/>
        <v>Non Significant</v>
      </c>
    </row>
    <row r="526" spans="3:5" x14ac:dyDescent="0.25">
      <c r="C526" s="15" t="s">
        <v>4315</v>
      </c>
      <c r="D526" s="16">
        <v>0</v>
      </c>
      <c r="E526" s="2" t="str">
        <f t="shared" si="12"/>
        <v>Non Significant</v>
      </c>
    </row>
    <row r="527" spans="3:5" x14ac:dyDescent="0.25">
      <c r="C527" s="15" t="s">
        <v>3543</v>
      </c>
      <c r="D527" s="16">
        <v>0</v>
      </c>
      <c r="E527" s="2" t="str">
        <f t="shared" si="12"/>
        <v>Non Significant</v>
      </c>
    </row>
    <row r="528" spans="3:5" x14ac:dyDescent="0.25">
      <c r="C528" s="15" t="s">
        <v>595</v>
      </c>
      <c r="D528" s="16">
        <v>0</v>
      </c>
      <c r="E528" s="2" t="str">
        <f t="shared" si="12"/>
        <v>Non Significant</v>
      </c>
    </row>
    <row r="529" spans="3:5" x14ac:dyDescent="0.25">
      <c r="C529" s="15" t="s">
        <v>3539</v>
      </c>
      <c r="D529" s="16">
        <v>0</v>
      </c>
      <c r="E529" s="2" t="str">
        <f t="shared" si="12"/>
        <v>Non Significant</v>
      </c>
    </row>
    <row r="530" spans="3:5" x14ac:dyDescent="0.25">
      <c r="C530" s="15" t="s">
        <v>4316</v>
      </c>
      <c r="D530" s="16">
        <v>0</v>
      </c>
      <c r="E530" s="2" t="str">
        <f t="shared" si="12"/>
        <v>Non Significant</v>
      </c>
    </row>
    <row r="531" spans="3:5" x14ac:dyDescent="0.25">
      <c r="C531" s="15" t="s">
        <v>3627</v>
      </c>
      <c r="D531" s="16">
        <v>0</v>
      </c>
      <c r="E531" s="2" t="str">
        <f t="shared" si="12"/>
        <v>Non Significant</v>
      </c>
    </row>
    <row r="532" spans="3:5" x14ac:dyDescent="0.25">
      <c r="C532" s="15" t="s">
        <v>4317</v>
      </c>
      <c r="D532" s="16">
        <v>0</v>
      </c>
      <c r="E532" s="2" t="str">
        <f t="shared" si="12"/>
        <v>Non Significant</v>
      </c>
    </row>
    <row r="533" spans="3:5" x14ac:dyDescent="0.25">
      <c r="C533" s="15" t="s">
        <v>3625</v>
      </c>
      <c r="D533" s="16">
        <v>0</v>
      </c>
      <c r="E533" s="2" t="str">
        <f t="shared" si="12"/>
        <v>Non Significant</v>
      </c>
    </row>
    <row r="534" spans="3:5" x14ac:dyDescent="0.25">
      <c r="C534" s="15" t="s">
        <v>3066</v>
      </c>
      <c r="D534" s="16">
        <v>0</v>
      </c>
      <c r="E534" s="2" t="str">
        <f t="shared" si="12"/>
        <v>Non Significant</v>
      </c>
    </row>
    <row r="535" spans="3:5" x14ac:dyDescent="0.25">
      <c r="C535" s="15" t="s">
        <v>3177</v>
      </c>
      <c r="D535" s="16">
        <v>0</v>
      </c>
      <c r="E535" s="2" t="str">
        <f t="shared" si="12"/>
        <v>Non Significant</v>
      </c>
    </row>
    <row r="536" spans="3:5" x14ac:dyDescent="0.25">
      <c r="C536" s="15" t="s">
        <v>4318</v>
      </c>
      <c r="D536" s="16">
        <v>0</v>
      </c>
      <c r="E536" s="2" t="str">
        <f t="shared" si="12"/>
        <v>Non Significant</v>
      </c>
    </row>
    <row r="537" spans="3:5" x14ac:dyDescent="0.25">
      <c r="C537" s="15" t="s">
        <v>3527</v>
      </c>
      <c r="D537" s="16">
        <v>0</v>
      </c>
      <c r="E537" s="2" t="str">
        <f t="shared" si="12"/>
        <v>Non Significant</v>
      </c>
    </row>
    <row r="538" spans="3:5" x14ac:dyDescent="0.25">
      <c r="C538" s="15" t="s">
        <v>4319</v>
      </c>
      <c r="D538" s="16">
        <v>0</v>
      </c>
      <c r="E538" s="2" t="str">
        <f t="shared" si="12"/>
        <v>Non Significant</v>
      </c>
    </row>
    <row r="539" spans="3:5" x14ac:dyDescent="0.25">
      <c r="C539" s="15" t="s">
        <v>3525</v>
      </c>
      <c r="D539" s="16">
        <v>0</v>
      </c>
      <c r="E539" s="2" t="str">
        <f t="shared" si="12"/>
        <v>Non Significant</v>
      </c>
    </row>
    <row r="540" spans="3:5" x14ac:dyDescent="0.25">
      <c r="C540" s="15" t="s">
        <v>4074</v>
      </c>
      <c r="D540" s="16">
        <v>0</v>
      </c>
      <c r="E540" s="2" t="str">
        <f t="shared" si="12"/>
        <v>Non Significant</v>
      </c>
    </row>
    <row r="541" spans="3:5" x14ac:dyDescent="0.25">
      <c r="C541" s="15" t="s">
        <v>3521</v>
      </c>
      <c r="D541" s="16">
        <v>0</v>
      </c>
      <c r="E541" s="2" t="str">
        <f t="shared" si="12"/>
        <v>Non Significant</v>
      </c>
    </row>
    <row r="542" spans="3:5" x14ac:dyDescent="0.25">
      <c r="C542" s="15" t="s">
        <v>4320</v>
      </c>
      <c r="D542" s="16">
        <v>0</v>
      </c>
      <c r="E542" s="2" t="str">
        <f t="shared" si="12"/>
        <v>Non Significant</v>
      </c>
    </row>
    <row r="543" spans="3:5" x14ac:dyDescent="0.25">
      <c r="C543" s="15" t="s">
        <v>2127</v>
      </c>
      <c r="D543" s="16">
        <v>0</v>
      </c>
      <c r="E543" s="2" t="str">
        <f t="shared" si="12"/>
        <v>Non Significant</v>
      </c>
    </row>
    <row r="544" spans="3:5" x14ac:dyDescent="0.25">
      <c r="C544" s="15" t="s">
        <v>4321</v>
      </c>
      <c r="D544" s="16">
        <v>0</v>
      </c>
      <c r="E544" s="2" t="str">
        <f t="shared" si="12"/>
        <v>Non Significant</v>
      </c>
    </row>
    <row r="545" spans="3:5" x14ac:dyDescent="0.25">
      <c r="C545" s="15" t="s">
        <v>2121</v>
      </c>
      <c r="D545" s="16">
        <v>0</v>
      </c>
      <c r="E545" s="2" t="str">
        <f t="shared" si="12"/>
        <v>Non Significant</v>
      </c>
    </row>
    <row r="546" spans="3:5" x14ac:dyDescent="0.25">
      <c r="C546" s="15" t="s">
        <v>4322</v>
      </c>
      <c r="D546" s="16">
        <v>0</v>
      </c>
      <c r="E546" s="2" t="str">
        <f t="shared" si="12"/>
        <v>Non Significant</v>
      </c>
    </row>
    <row r="547" spans="3:5" x14ac:dyDescent="0.25">
      <c r="C547" s="15" t="s">
        <v>2125</v>
      </c>
      <c r="D547" s="16">
        <v>0</v>
      </c>
      <c r="E547" s="2" t="str">
        <f t="shared" si="12"/>
        <v>Non Significant</v>
      </c>
    </row>
    <row r="548" spans="3:5" x14ac:dyDescent="0.25">
      <c r="C548" s="15" t="s">
        <v>4323</v>
      </c>
      <c r="D548" s="16">
        <v>0</v>
      </c>
      <c r="E548" s="2" t="str">
        <f t="shared" si="12"/>
        <v>Non Significant</v>
      </c>
    </row>
    <row r="549" spans="3:5" x14ac:dyDescent="0.25">
      <c r="C549" s="15" t="s">
        <v>3938</v>
      </c>
      <c r="D549" s="16">
        <v>0</v>
      </c>
      <c r="E549" s="2" t="str">
        <f t="shared" si="12"/>
        <v>Non Significant</v>
      </c>
    </row>
    <row r="550" spans="3:5" x14ac:dyDescent="0.25">
      <c r="C550" s="15" t="s">
        <v>4324</v>
      </c>
      <c r="D550" s="16">
        <v>0</v>
      </c>
      <c r="E550" s="2" t="str">
        <f t="shared" si="12"/>
        <v>Non Significant</v>
      </c>
    </row>
    <row r="551" spans="3:5" x14ac:dyDescent="0.25">
      <c r="C551" s="15" t="s">
        <v>3186</v>
      </c>
      <c r="D551" s="16">
        <v>0</v>
      </c>
      <c r="E551" s="2" t="str">
        <f t="shared" si="12"/>
        <v>Non Significant</v>
      </c>
    </row>
    <row r="552" spans="3:5" x14ac:dyDescent="0.25">
      <c r="C552" s="15" t="s">
        <v>4325</v>
      </c>
      <c r="D552" s="16">
        <v>0</v>
      </c>
      <c r="E552" s="2" t="str">
        <f t="shared" si="12"/>
        <v>Non Significant</v>
      </c>
    </row>
    <row r="553" spans="3:5" x14ac:dyDescent="0.25">
      <c r="C553" s="15" t="s">
        <v>4326</v>
      </c>
      <c r="D553" s="16">
        <v>0</v>
      </c>
      <c r="E553" s="2" t="str">
        <f t="shared" si="12"/>
        <v>Non Significant</v>
      </c>
    </row>
    <row r="554" spans="3:5" x14ac:dyDescent="0.25">
      <c r="C554" s="15" t="s">
        <v>4327</v>
      </c>
      <c r="D554" s="16">
        <v>0</v>
      </c>
      <c r="E554" s="2" t="str">
        <f t="shared" si="12"/>
        <v>Non Significant</v>
      </c>
    </row>
    <row r="555" spans="3:5" x14ac:dyDescent="0.25">
      <c r="C555" s="15" t="s">
        <v>4328</v>
      </c>
      <c r="D555" s="16">
        <v>0</v>
      </c>
      <c r="E555" s="2" t="str">
        <f t="shared" si="12"/>
        <v>Non Significant</v>
      </c>
    </row>
    <row r="556" spans="3:5" x14ac:dyDescent="0.25">
      <c r="C556" s="15" t="s">
        <v>4329</v>
      </c>
      <c r="D556" s="16">
        <v>0</v>
      </c>
      <c r="E556" s="2" t="str">
        <f t="shared" si="12"/>
        <v>Non Significant</v>
      </c>
    </row>
    <row r="557" spans="3:5" x14ac:dyDescent="0.25">
      <c r="C557" s="15" t="s">
        <v>3536</v>
      </c>
      <c r="D557" s="16">
        <v>0</v>
      </c>
      <c r="E557" s="2" t="str">
        <f t="shared" si="12"/>
        <v>Non Significant</v>
      </c>
    </row>
    <row r="558" spans="3:5" x14ac:dyDescent="0.25">
      <c r="C558" s="15" t="s">
        <v>3579</v>
      </c>
      <c r="D558" s="16">
        <v>0</v>
      </c>
      <c r="E558" s="2" t="str">
        <f t="shared" si="12"/>
        <v>Non Significant</v>
      </c>
    </row>
    <row r="559" spans="3:5" x14ac:dyDescent="0.25">
      <c r="C559" s="15" t="s">
        <v>4330</v>
      </c>
      <c r="D559" s="16">
        <v>0</v>
      </c>
      <c r="E559" s="2" t="str">
        <f t="shared" si="12"/>
        <v>Non Significant</v>
      </c>
    </row>
    <row r="560" spans="3:5" x14ac:dyDescent="0.25">
      <c r="C560" s="15" t="s">
        <v>4331</v>
      </c>
      <c r="D560" s="16">
        <v>0</v>
      </c>
      <c r="E560" s="2" t="str">
        <f t="shared" si="12"/>
        <v>Non Significant</v>
      </c>
    </row>
    <row r="561" spans="3:5" x14ac:dyDescent="0.25">
      <c r="C561" s="15" t="s">
        <v>4332</v>
      </c>
      <c r="D561" s="16">
        <v>0</v>
      </c>
      <c r="E561" s="2" t="str">
        <f t="shared" si="12"/>
        <v>Non Significant</v>
      </c>
    </row>
    <row r="562" spans="3:5" x14ac:dyDescent="0.25">
      <c r="C562" s="15" t="s">
        <v>3568</v>
      </c>
      <c r="D562" s="16">
        <v>0</v>
      </c>
      <c r="E562" s="2" t="str">
        <f t="shared" si="12"/>
        <v>Non Significant</v>
      </c>
    </row>
    <row r="563" spans="3:5" x14ac:dyDescent="0.25">
      <c r="C563" s="15" t="s">
        <v>3974</v>
      </c>
      <c r="D563" s="16">
        <v>0</v>
      </c>
      <c r="E563" s="2" t="str">
        <f t="shared" si="12"/>
        <v>Non Significant</v>
      </c>
    </row>
    <row r="564" spans="3:5" x14ac:dyDescent="0.25">
      <c r="C564" s="15" t="s">
        <v>4333</v>
      </c>
      <c r="D564" s="16">
        <v>0</v>
      </c>
      <c r="E564" s="2" t="str">
        <f t="shared" si="12"/>
        <v>Non Significant</v>
      </c>
    </row>
    <row r="565" spans="3:5" x14ac:dyDescent="0.25">
      <c r="C565" s="15" t="s">
        <v>4334</v>
      </c>
      <c r="D565" s="16">
        <v>0</v>
      </c>
      <c r="E565" s="2" t="str">
        <f t="shared" si="12"/>
        <v>Non Significant</v>
      </c>
    </row>
    <row r="566" spans="3:5" x14ac:dyDescent="0.25">
      <c r="C566" s="15" t="s">
        <v>3033</v>
      </c>
      <c r="D566" s="16">
        <v>0</v>
      </c>
      <c r="E566" s="2" t="str">
        <f t="shared" si="12"/>
        <v>Non Significant</v>
      </c>
    </row>
    <row r="567" spans="3:5" x14ac:dyDescent="0.25">
      <c r="C567" s="15" t="s">
        <v>4335</v>
      </c>
      <c r="D567" s="16">
        <v>0</v>
      </c>
      <c r="E567" s="2" t="str">
        <f t="shared" si="12"/>
        <v>Non Significant</v>
      </c>
    </row>
    <row r="568" spans="3:5" x14ac:dyDescent="0.25">
      <c r="C568" s="15" t="s">
        <v>4336</v>
      </c>
      <c r="D568" s="16">
        <v>0</v>
      </c>
      <c r="E568" s="2" t="str">
        <f t="shared" si="12"/>
        <v>Non Significant</v>
      </c>
    </row>
    <row r="569" spans="3:5" x14ac:dyDescent="0.25">
      <c r="C569" s="15" t="s">
        <v>3189</v>
      </c>
      <c r="D569" s="16">
        <v>0</v>
      </c>
      <c r="E569" s="2" t="str">
        <f t="shared" si="12"/>
        <v>Non Significant</v>
      </c>
    </row>
    <row r="570" spans="3:5" x14ac:dyDescent="0.25">
      <c r="C570" s="15" t="s">
        <v>2994</v>
      </c>
      <c r="D570" s="16">
        <v>0</v>
      </c>
      <c r="E570" s="2" t="str">
        <f t="shared" si="12"/>
        <v>Non Significant</v>
      </c>
    </row>
    <row r="571" spans="3:5" x14ac:dyDescent="0.25">
      <c r="C571" s="15" t="s">
        <v>4063</v>
      </c>
      <c r="D571" s="16">
        <v>0</v>
      </c>
      <c r="E571" s="2" t="str">
        <f t="shared" si="12"/>
        <v>Non Significant</v>
      </c>
    </row>
    <row r="572" spans="3:5" x14ac:dyDescent="0.25">
      <c r="C572" s="15" t="s">
        <v>3351</v>
      </c>
      <c r="D572" s="16">
        <v>0</v>
      </c>
      <c r="E572" s="2" t="str">
        <f t="shared" si="12"/>
        <v>Non Significant</v>
      </c>
    </row>
    <row r="573" spans="3:5" x14ac:dyDescent="0.25">
      <c r="C573" s="15" t="s">
        <v>4337</v>
      </c>
      <c r="D573" s="16">
        <v>0</v>
      </c>
      <c r="E573" s="2" t="str">
        <f t="shared" si="12"/>
        <v>Non Significant</v>
      </c>
    </row>
    <row r="574" spans="3:5" x14ac:dyDescent="0.25">
      <c r="C574" s="15" t="s">
        <v>2985</v>
      </c>
      <c r="D574" s="16">
        <v>0</v>
      </c>
      <c r="E574" s="2" t="str">
        <f t="shared" si="12"/>
        <v>Non Significant</v>
      </c>
    </row>
    <row r="575" spans="3:5" x14ac:dyDescent="0.25">
      <c r="C575" s="15" t="s">
        <v>4338</v>
      </c>
      <c r="D575" s="16">
        <v>0</v>
      </c>
      <c r="E575" s="2" t="str">
        <f t="shared" si="12"/>
        <v>Non Significant</v>
      </c>
    </row>
    <row r="576" spans="3:5" x14ac:dyDescent="0.25">
      <c r="C576" s="15" t="s">
        <v>3591</v>
      </c>
      <c r="D576" s="16">
        <v>0</v>
      </c>
      <c r="E576" s="2" t="str">
        <f t="shared" si="12"/>
        <v>Non Significant</v>
      </c>
    </row>
    <row r="577" spans="3:5" x14ac:dyDescent="0.25">
      <c r="C577" s="15" t="s">
        <v>3500</v>
      </c>
      <c r="D577" s="16">
        <v>0</v>
      </c>
      <c r="E577" s="2" t="str">
        <f t="shared" si="12"/>
        <v>Non Significant</v>
      </c>
    </row>
    <row r="578" spans="3:5" x14ac:dyDescent="0.25">
      <c r="C578" s="15" t="s">
        <v>3780</v>
      </c>
      <c r="D578" s="16">
        <v>0</v>
      </c>
      <c r="E578" s="2" t="str">
        <f t="shared" si="12"/>
        <v>Non Significant</v>
      </c>
    </row>
    <row r="579" spans="3:5" x14ac:dyDescent="0.25">
      <c r="C579" s="15" t="s">
        <v>3494</v>
      </c>
      <c r="D579" s="16">
        <v>0</v>
      </c>
      <c r="E579" s="2" t="str">
        <f t="shared" si="12"/>
        <v>Non Significant</v>
      </c>
    </row>
    <row r="580" spans="3:5" x14ac:dyDescent="0.25">
      <c r="C580" s="15" t="s">
        <v>3571</v>
      </c>
      <c r="D580" s="16">
        <v>0</v>
      </c>
      <c r="E580" s="2" t="str">
        <f t="shared" si="12"/>
        <v>Non Significant</v>
      </c>
    </row>
    <row r="581" spans="3:5" x14ac:dyDescent="0.25">
      <c r="C581" s="15" t="s">
        <v>3766</v>
      </c>
      <c r="D581" s="16">
        <v>0</v>
      </c>
      <c r="E581" s="2" t="str">
        <f t="shared" si="12"/>
        <v>Non Significant</v>
      </c>
    </row>
    <row r="582" spans="3:5" x14ac:dyDescent="0.25">
      <c r="C582" s="15" t="s">
        <v>1874</v>
      </c>
      <c r="D582" s="16">
        <v>0</v>
      </c>
      <c r="E582" s="2" t="str">
        <f t="shared" si="12"/>
        <v>Non Significant</v>
      </c>
    </row>
    <row r="583" spans="3:5" x14ac:dyDescent="0.25">
      <c r="C583" s="15" t="s">
        <v>4339</v>
      </c>
      <c r="D583" s="16">
        <v>0</v>
      </c>
      <c r="E583" s="2" t="str">
        <f t="shared" ref="E583:E646" si="13">IF(D583&gt;=500000000000,"Critical",IF(AND(D583&gt;=50000000000,D583&lt;500000000000),"Significant",IF(AND(D583&gt;=45000000000,D583&lt;50000000000),"Almost Significant",IF(D583&lt;45000000000,"Non Significant",0))))</f>
        <v>Non Significant</v>
      </c>
    </row>
    <row r="584" spans="3:5" x14ac:dyDescent="0.25">
      <c r="C584" s="15" t="s">
        <v>4340</v>
      </c>
      <c r="D584" s="16">
        <v>0</v>
      </c>
      <c r="E584" s="2" t="str">
        <f t="shared" si="13"/>
        <v>Non Significant</v>
      </c>
    </row>
    <row r="585" spans="3:5" x14ac:dyDescent="0.25">
      <c r="C585" s="15" t="s">
        <v>3586</v>
      </c>
      <c r="D585" s="16">
        <v>0</v>
      </c>
      <c r="E585" s="2" t="str">
        <f t="shared" si="13"/>
        <v>Non Significant</v>
      </c>
    </row>
    <row r="586" spans="3:5" x14ac:dyDescent="0.25">
      <c r="C586" s="15" t="s">
        <v>3111</v>
      </c>
      <c r="D586" s="16">
        <v>0</v>
      </c>
      <c r="E586" s="2" t="str">
        <f t="shared" si="13"/>
        <v>Non Significant</v>
      </c>
    </row>
    <row r="587" spans="3:5" x14ac:dyDescent="0.25">
      <c r="C587" s="15" t="s">
        <v>3498</v>
      </c>
      <c r="D587" s="16">
        <v>0</v>
      </c>
      <c r="E587" s="2" t="str">
        <f t="shared" si="13"/>
        <v>Non Significant</v>
      </c>
    </row>
    <row r="588" spans="3:5" x14ac:dyDescent="0.25">
      <c r="C588" s="15" t="s">
        <v>3108</v>
      </c>
      <c r="D588" s="16">
        <v>0</v>
      </c>
      <c r="E588" s="2" t="str">
        <f t="shared" si="13"/>
        <v>Non Significant</v>
      </c>
    </row>
    <row r="589" spans="3:5" x14ac:dyDescent="0.25">
      <c r="C589" s="15" t="s">
        <v>4341</v>
      </c>
      <c r="D589" s="16">
        <v>0</v>
      </c>
      <c r="E589" s="2" t="str">
        <f t="shared" si="13"/>
        <v>Non Significant</v>
      </c>
    </row>
    <row r="590" spans="3:5" x14ac:dyDescent="0.25">
      <c r="C590" s="15" t="s">
        <v>3195</v>
      </c>
      <c r="D590" s="16">
        <v>0</v>
      </c>
      <c r="E590" s="2" t="str">
        <f t="shared" si="13"/>
        <v>Non Significant</v>
      </c>
    </row>
    <row r="591" spans="3:5" x14ac:dyDescent="0.25">
      <c r="C591" s="15" t="s">
        <v>3180</v>
      </c>
      <c r="D591" s="16">
        <v>0</v>
      </c>
      <c r="E591" s="2" t="str">
        <f t="shared" si="13"/>
        <v>Non Significant</v>
      </c>
    </row>
    <row r="592" spans="3:5" x14ac:dyDescent="0.25">
      <c r="C592" s="15" t="s">
        <v>4342</v>
      </c>
      <c r="D592" s="16">
        <v>0</v>
      </c>
      <c r="E592" s="2" t="str">
        <f t="shared" si="13"/>
        <v>Non Significant</v>
      </c>
    </row>
    <row r="593" spans="3:5" x14ac:dyDescent="0.25">
      <c r="C593" s="15" t="s">
        <v>4343</v>
      </c>
      <c r="D593" s="16">
        <v>0</v>
      </c>
      <c r="E593" s="2" t="str">
        <f t="shared" si="13"/>
        <v>Non Significant</v>
      </c>
    </row>
    <row r="594" spans="3:5" x14ac:dyDescent="0.25">
      <c r="C594" s="15" t="s">
        <v>4344</v>
      </c>
      <c r="D594" s="16">
        <v>0</v>
      </c>
      <c r="E594" s="2" t="str">
        <f t="shared" si="13"/>
        <v>Non Significant</v>
      </c>
    </row>
    <row r="595" spans="3:5" x14ac:dyDescent="0.25">
      <c r="C595" s="15" t="s">
        <v>3518</v>
      </c>
      <c r="D595" s="16">
        <v>0</v>
      </c>
      <c r="E595" s="2" t="str">
        <f t="shared" si="13"/>
        <v>Non Significant</v>
      </c>
    </row>
    <row r="596" spans="3:5" x14ac:dyDescent="0.25">
      <c r="C596" s="15" t="s">
        <v>601</v>
      </c>
      <c r="D596" s="16">
        <v>0</v>
      </c>
      <c r="E596" s="2" t="str">
        <f t="shared" si="13"/>
        <v>Non Significant</v>
      </c>
    </row>
    <row r="597" spans="3:5" x14ac:dyDescent="0.25">
      <c r="C597" s="15" t="s">
        <v>3516</v>
      </c>
      <c r="D597" s="16">
        <v>0</v>
      </c>
      <c r="E597" s="2" t="str">
        <f t="shared" si="13"/>
        <v>Non Significant</v>
      </c>
    </row>
    <row r="598" spans="3:5" x14ac:dyDescent="0.25">
      <c r="C598" s="15" t="s">
        <v>4345</v>
      </c>
      <c r="D598" s="16">
        <v>0</v>
      </c>
      <c r="E598" s="2" t="str">
        <f t="shared" si="13"/>
        <v>Non Significant</v>
      </c>
    </row>
    <row r="599" spans="3:5" x14ac:dyDescent="0.25">
      <c r="C599" s="15" t="s">
        <v>3512</v>
      </c>
      <c r="D599" s="16">
        <v>0</v>
      </c>
      <c r="E599" s="2" t="str">
        <f t="shared" si="13"/>
        <v>Non Significant</v>
      </c>
    </row>
    <row r="600" spans="3:5" x14ac:dyDescent="0.25">
      <c r="C600" s="15" t="s">
        <v>3084</v>
      </c>
      <c r="D600" s="16">
        <v>0</v>
      </c>
      <c r="E600" s="2" t="str">
        <f t="shared" si="13"/>
        <v>Non Significant</v>
      </c>
    </row>
    <row r="601" spans="3:5" x14ac:dyDescent="0.25">
      <c r="C601" s="15" t="s">
        <v>4121</v>
      </c>
      <c r="D601" s="16">
        <v>0</v>
      </c>
      <c r="E601" s="2" t="str">
        <f t="shared" si="13"/>
        <v>Non Significant</v>
      </c>
    </row>
    <row r="602" spans="3:5" x14ac:dyDescent="0.25">
      <c r="C602" s="15" t="s">
        <v>4346</v>
      </c>
      <c r="D602" s="16">
        <v>0</v>
      </c>
      <c r="E602" s="2" t="str">
        <f t="shared" si="13"/>
        <v>Non Significant</v>
      </c>
    </row>
    <row r="603" spans="3:5" x14ac:dyDescent="0.25">
      <c r="C603" s="15" t="s">
        <v>4347</v>
      </c>
      <c r="D603" s="16">
        <v>0</v>
      </c>
      <c r="E603" s="2" t="str">
        <f t="shared" si="13"/>
        <v>Non Significant</v>
      </c>
    </row>
    <row r="604" spans="3:5" x14ac:dyDescent="0.25">
      <c r="C604" s="15" t="s">
        <v>4348</v>
      </c>
      <c r="D604" s="16">
        <v>0</v>
      </c>
      <c r="E604" s="2" t="str">
        <f t="shared" si="13"/>
        <v>Non Significant</v>
      </c>
    </row>
    <row r="605" spans="3:5" x14ac:dyDescent="0.25">
      <c r="C605" s="15" t="s">
        <v>4349</v>
      </c>
      <c r="D605" s="16">
        <v>0</v>
      </c>
      <c r="E605" s="2" t="str">
        <f t="shared" si="13"/>
        <v>Non Significant</v>
      </c>
    </row>
    <row r="606" spans="3:5" x14ac:dyDescent="0.25">
      <c r="C606" s="15" t="s">
        <v>4350</v>
      </c>
      <c r="D606" s="16">
        <v>0</v>
      </c>
      <c r="E606" s="2" t="str">
        <f t="shared" si="13"/>
        <v>Non Significant</v>
      </c>
    </row>
    <row r="607" spans="3:5" x14ac:dyDescent="0.25">
      <c r="C607" s="15" t="s">
        <v>4351</v>
      </c>
      <c r="D607" s="16">
        <v>0</v>
      </c>
      <c r="E607" s="2" t="str">
        <f t="shared" si="13"/>
        <v>Non Significant</v>
      </c>
    </row>
    <row r="608" spans="3:5" x14ac:dyDescent="0.25">
      <c r="C608" s="15" t="s">
        <v>4352</v>
      </c>
      <c r="D608" s="16">
        <v>0</v>
      </c>
      <c r="E608" s="2" t="str">
        <f t="shared" si="13"/>
        <v>Non Significant</v>
      </c>
    </row>
    <row r="609" spans="3:5" x14ac:dyDescent="0.25">
      <c r="C609" s="15" t="s">
        <v>4353</v>
      </c>
      <c r="D609" s="16">
        <v>0</v>
      </c>
      <c r="E609" s="2" t="str">
        <f t="shared" si="13"/>
        <v>Non Significant</v>
      </c>
    </row>
    <row r="610" spans="3:5" x14ac:dyDescent="0.25">
      <c r="C610" s="15" t="s">
        <v>4354</v>
      </c>
      <c r="D610" s="16">
        <v>0</v>
      </c>
      <c r="E610" s="2" t="str">
        <f t="shared" si="13"/>
        <v>Non Significant</v>
      </c>
    </row>
    <row r="611" spans="3:5" x14ac:dyDescent="0.25">
      <c r="C611" s="15" t="s">
        <v>4355</v>
      </c>
      <c r="D611" s="16">
        <v>0</v>
      </c>
      <c r="E611" s="2" t="str">
        <f t="shared" si="13"/>
        <v>Non Significant</v>
      </c>
    </row>
    <row r="612" spans="3:5" x14ac:dyDescent="0.25">
      <c r="C612" s="15" t="s">
        <v>598</v>
      </c>
      <c r="D612" s="16">
        <v>0</v>
      </c>
      <c r="E612" s="2" t="str">
        <f t="shared" si="13"/>
        <v>Non Significant</v>
      </c>
    </row>
    <row r="613" spans="3:5" x14ac:dyDescent="0.25">
      <c r="C613" s="15" t="s">
        <v>4356</v>
      </c>
      <c r="D613" s="16">
        <v>0</v>
      </c>
      <c r="E613" s="2" t="str">
        <f t="shared" si="13"/>
        <v>Non Significant</v>
      </c>
    </row>
    <row r="614" spans="3:5" x14ac:dyDescent="0.25">
      <c r="C614" s="15" t="s">
        <v>4357</v>
      </c>
      <c r="D614" s="16">
        <v>0</v>
      </c>
      <c r="E614" s="2" t="str">
        <f t="shared" si="13"/>
        <v>Non Significant</v>
      </c>
    </row>
    <row r="615" spans="3:5" x14ac:dyDescent="0.25">
      <c r="C615" s="15" t="s">
        <v>4358</v>
      </c>
      <c r="D615" s="16">
        <v>0</v>
      </c>
      <c r="E615" s="2" t="str">
        <f t="shared" si="13"/>
        <v>Non Significant</v>
      </c>
    </row>
    <row r="616" spans="3:5" x14ac:dyDescent="0.25">
      <c r="C616" s="15" t="s">
        <v>4359</v>
      </c>
      <c r="D616" s="16">
        <v>0</v>
      </c>
      <c r="E616" s="2" t="str">
        <f t="shared" si="13"/>
        <v>Non Significant</v>
      </c>
    </row>
    <row r="617" spans="3:5" x14ac:dyDescent="0.25">
      <c r="C617" s="15" t="s">
        <v>4360</v>
      </c>
      <c r="D617" s="16">
        <v>0</v>
      </c>
      <c r="E617" s="2" t="str">
        <f t="shared" si="13"/>
        <v>Non Significant</v>
      </c>
    </row>
    <row r="618" spans="3:5" x14ac:dyDescent="0.25">
      <c r="C618" s="15" t="s">
        <v>4361</v>
      </c>
      <c r="D618" s="16">
        <v>0</v>
      </c>
      <c r="E618" s="2" t="str">
        <f t="shared" si="13"/>
        <v>Non Significant</v>
      </c>
    </row>
    <row r="619" spans="3:5" x14ac:dyDescent="0.25">
      <c r="C619" s="15" t="s">
        <v>4066</v>
      </c>
      <c r="D619" s="16">
        <v>0</v>
      </c>
      <c r="E619" s="2" t="str">
        <f t="shared" si="13"/>
        <v>Non Significant</v>
      </c>
    </row>
    <row r="620" spans="3:5" x14ac:dyDescent="0.25">
      <c r="C620" s="15" t="s">
        <v>3021</v>
      </c>
      <c r="D620" s="16">
        <v>0</v>
      </c>
      <c r="E620" s="2" t="str">
        <f t="shared" si="13"/>
        <v>Non Significant</v>
      </c>
    </row>
    <row r="621" spans="3:5" x14ac:dyDescent="0.25">
      <c r="C621" s="15" t="s">
        <v>4362</v>
      </c>
      <c r="D621" s="16">
        <v>0</v>
      </c>
      <c r="E621" s="2" t="str">
        <f t="shared" si="13"/>
        <v>Non Significant</v>
      </c>
    </row>
    <row r="622" spans="3:5" x14ac:dyDescent="0.25">
      <c r="C622" s="15" t="s">
        <v>3019</v>
      </c>
      <c r="D622" s="16">
        <v>0</v>
      </c>
      <c r="E622" s="2" t="str">
        <f t="shared" si="13"/>
        <v>Non Significant</v>
      </c>
    </row>
    <row r="623" spans="3:5" x14ac:dyDescent="0.25">
      <c r="C623" s="15" t="s">
        <v>4363</v>
      </c>
      <c r="D623" s="16">
        <v>0</v>
      </c>
      <c r="E623" s="2" t="str">
        <f t="shared" si="13"/>
        <v>Non Significant</v>
      </c>
    </row>
    <row r="624" spans="3:5" x14ac:dyDescent="0.25">
      <c r="C624" s="15" t="s">
        <v>4364</v>
      </c>
      <c r="D624" s="16">
        <v>0</v>
      </c>
      <c r="E624" s="2" t="str">
        <f t="shared" si="13"/>
        <v>Non Significant</v>
      </c>
    </row>
    <row r="625" spans="3:5" x14ac:dyDescent="0.25">
      <c r="C625" s="15" t="s">
        <v>4124</v>
      </c>
      <c r="D625" s="16">
        <v>0</v>
      </c>
      <c r="E625" s="2" t="str">
        <f t="shared" si="13"/>
        <v>Non Significant</v>
      </c>
    </row>
    <row r="626" spans="3:5" x14ac:dyDescent="0.25">
      <c r="C626" s="15" t="s">
        <v>4365</v>
      </c>
      <c r="D626" s="16">
        <v>0</v>
      </c>
      <c r="E626" s="2" t="str">
        <f t="shared" si="13"/>
        <v>Non Significant</v>
      </c>
    </row>
    <row r="627" spans="3:5" x14ac:dyDescent="0.25">
      <c r="C627" s="15" t="s">
        <v>4366</v>
      </c>
      <c r="D627" s="16">
        <v>0</v>
      </c>
      <c r="E627" s="2" t="str">
        <f t="shared" si="13"/>
        <v>Non Significant</v>
      </c>
    </row>
    <row r="628" spans="3:5" x14ac:dyDescent="0.25">
      <c r="C628" s="15" t="s">
        <v>4367</v>
      </c>
      <c r="D628" s="16">
        <v>0</v>
      </c>
      <c r="E628" s="2" t="str">
        <f t="shared" si="13"/>
        <v>Non Significant</v>
      </c>
    </row>
    <row r="629" spans="3:5" x14ac:dyDescent="0.25">
      <c r="C629" s="15" t="s">
        <v>4368</v>
      </c>
      <c r="D629" s="16">
        <v>0</v>
      </c>
      <c r="E629" s="2" t="str">
        <f t="shared" si="13"/>
        <v>Non Significant</v>
      </c>
    </row>
    <row r="630" spans="3:5" x14ac:dyDescent="0.25">
      <c r="C630" s="15" t="s">
        <v>4369</v>
      </c>
      <c r="D630" s="16">
        <v>0</v>
      </c>
      <c r="E630" s="2" t="str">
        <f t="shared" si="13"/>
        <v>Non Significant</v>
      </c>
    </row>
    <row r="631" spans="3:5" x14ac:dyDescent="0.25">
      <c r="C631" s="15" t="s">
        <v>4037</v>
      </c>
      <c r="D631" s="16">
        <v>0</v>
      </c>
      <c r="E631" s="2" t="str">
        <f t="shared" si="13"/>
        <v>Non Significant</v>
      </c>
    </row>
    <row r="632" spans="3:5" x14ac:dyDescent="0.25">
      <c r="C632" s="15" t="s">
        <v>4137</v>
      </c>
      <c r="D632" s="16">
        <v>0</v>
      </c>
      <c r="E632" s="2" t="str">
        <f t="shared" si="13"/>
        <v>Non Significant</v>
      </c>
    </row>
    <row r="633" spans="3:5" x14ac:dyDescent="0.25">
      <c r="C633" s="15" t="s">
        <v>4370</v>
      </c>
      <c r="D633" s="16">
        <v>0</v>
      </c>
      <c r="E633" s="2" t="str">
        <f t="shared" si="13"/>
        <v>Non Significant</v>
      </c>
    </row>
    <row r="634" spans="3:5" x14ac:dyDescent="0.25">
      <c r="C634" s="15" t="s">
        <v>4371</v>
      </c>
      <c r="D634" s="16">
        <v>0</v>
      </c>
      <c r="E634" s="2" t="str">
        <f t="shared" si="13"/>
        <v>Non Significant</v>
      </c>
    </row>
    <row r="635" spans="3:5" x14ac:dyDescent="0.25">
      <c r="C635" s="15" t="s">
        <v>4372</v>
      </c>
      <c r="D635" s="16">
        <v>0</v>
      </c>
      <c r="E635" s="2" t="str">
        <f t="shared" si="13"/>
        <v>Non Significant</v>
      </c>
    </row>
    <row r="636" spans="3:5" x14ac:dyDescent="0.25">
      <c r="C636" s="15" t="s">
        <v>4373</v>
      </c>
      <c r="D636" s="16">
        <v>0</v>
      </c>
      <c r="E636" s="2" t="str">
        <f t="shared" si="13"/>
        <v>Non Significant</v>
      </c>
    </row>
    <row r="637" spans="3:5" x14ac:dyDescent="0.25">
      <c r="C637" s="15" t="s">
        <v>4127</v>
      </c>
      <c r="D637" s="16">
        <v>0</v>
      </c>
      <c r="E637" s="2" t="str">
        <f t="shared" si="13"/>
        <v>Non Significant</v>
      </c>
    </row>
    <row r="638" spans="3:5" x14ac:dyDescent="0.25">
      <c r="C638" s="15" t="s">
        <v>4374</v>
      </c>
      <c r="D638" s="16">
        <v>0</v>
      </c>
      <c r="E638" s="2" t="str">
        <f t="shared" si="13"/>
        <v>Non Significant</v>
      </c>
    </row>
    <row r="639" spans="3:5" x14ac:dyDescent="0.25">
      <c r="C639" s="15" t="s">
        <v>4375</v>
      </c>
      <c r="D639" s="16">
        <v>0</v>
      </c>
      <c r="E639" s="2" t="str">
        <f t="shared" si="13"/>
        <v>Non Significant</v>
      </c>
    </row>
    <row r="640" spans="3:5" x14ac:dyDescent="0.25">
      <c r="C640" s="15" t="s">
        <v>4376</v>
      </c>
      <c r="D640" s="16">
        <v>0</v>
      </c>
      <c r="E640" s="2" t="str">
        <f t="shared" si="13"/>
        <v>Non Significant</v>
      </c>
    </row>
    <row r="641" spans="3:5" x14ac:dyDescent="0.25">
      <c r="C641" s="15" t="s">
        <v>4377</v>
      </c>
      <c r="D641" s="16">
        <v>0</v>
      </c>
      <c r="E641" s="2" t="str">
        <f t="shared" si="13"/>
        <v>Non Significant</v>
      </c>
    </row>
    <row r="642" spans="3:5" x14ac:dyDescent="0.25">
      <c r="C642" s="15" t="s">
        <v>4016</v>
      </c>
      <c r="D642" s="16">
        <v>0</v>
      </c>
      <c r="E642" s="2" t="str">
        <f t="shared" si="13"/>
        <v>Non Significant</v>
      </c>
    </row>
    <row r="643" spans="3:5" x14ac:dyDescent="0.25">
      <c r="C643" s="15" t="s">
        <v>4069</v>
      </c>
      <c r="D643" s="16">
        <v>0</v>
      </c>
      <c r="E643" s="2" t="str">
        <f t="shared" si="13"/>
        <v>Non Significant</v>
      </c>
    </row>
    <row r="644" spans="3:5" x14ac:dyDescent="0.25">
      <c r="C644" s="15" t="s">
        <v>4378</v>
      </c>
      <c r="D644" s="16">
        <v>0</v>
      </c>
      <c r="E644" s="2" t="str">
        <f t="shared" si="13"/>
        <v>Non Significant</v>
      </c>
    </row>
    <row r="645" spans="3:5" x14ac:dyDescent="0.25">
      <c r="C645" s="15" t="s">
        <v>4379</v>
      </c>
      <c r="D645" s="16">
        <v>0</v>
      </c>
      <c r="E645" s="2" t="str">
        <f t="shared" si="13"/>
        <v>Non Significant</v>
      </c>
    </row>
    <row r="646" spans="3:5" x14ac:dyDescent="0.25">
      <c r="C646" s="15" t="s">
        <v>4380</v>
      </c>
      <c r="D646" s="16">
        <v>0</v>
      </c>
      <c r="E646" s="2" t="str">
        <f t="shared" si="13"/>
        <v>Non Significant</v>
      </c>
    </row>
    <row r="647" spans="3:5" x14ac:dyDescent="0.25">
      <c r="C647" s="15" t="s">
        <v>4381</v>
      </c>
      <c r="D647" s="16">
        <v>0</v>
      </c>
      <c r="E647" s="2" t="str">
        <f t="shared" ref="E647:E710" si="14">IF(D647&gt;=500000000000,"Critical",IF(AND(D647&gt;=50000000000,D647&lt;500000000000),"Significant",IF(AND(D647&gt;=45000000000,D647&lt;50000000000),"Almost Significant",IF(D647&lt;45000000000,"Non Significant",0))))</f>
        <v>Non Significant</v>
      </c>
    </row>
    <row r="648" spans="3:5" x14ac:dyDescent="0.25">
      <c r="C648" s="15" t="s">
        <v>592</v>
      </c>
      <c r="D648" s="16">
        <v>0</v>
      </c>
      <c r="E648" s="2" t="str">
        <f t="shared" si="14"/>
        <v>Non Significant</v>
      </c>
    </row>
    <row r="649" spans="3:5" x14ac:dyDescent="0.25">
      <c r="C649" s="15" t="s">
        <v>4129</v>
      </c>
      <c r="D649" s="16">
        <v>0</v>
      </c>
      <c r="E649" s="2" t="str">
        <f t="shared" si="14"/>
        <v>Non Significant</v>
      </c>
    </row>
    <row r="650" spans="3:5" x14ac:dyDescent="0.25">
      <c r="C650" s="15" t="s">
        <v>4382</v>
      </c>
      <c r="D650" s="16">
        <v>0</v>
      </c>
      <c r="E650" s="2" t="str">
        <f t="shared" si="14"/>
        <v>Non Significant</v>
      </c>
    </row>
    <row r="651" spans="3:5" x14ac:dyDescent="0.25">
      <c r="C651" s="15" t="s">
        <v>4383</v>
      </c>
      <c r="D651" s="16">
        <v>0</v>
      </c>
      <c r="E651" s="2" t="str">
        <f t="shared" si="14"/>
        <v>Non Significant</v>
      </c>
    </row>
    <row r="652" spans="3:5" x14ac:dyDescent="0.25">
      <c r="C652" s="15" t="s">
        <v>584</v>
      </c>
      <c r="D652" s="16">
        <v>0</v>
      </c>
      <c r="E652" s="2" t="str">
        <f t="shared" si="14"/>
        <v>Non Significant</v>
      </c>
    </row>
    <row r="653" spans="3:5" x14ac:dyDescent="0.25">
      <c r="C653" s="15" t="s">
        <v>4384</v>
      </c>
      <c r="D653" s="16">
        <v>0</v>
      </c>
      <c r="E653" s="2" t="str">
        <f t="shared" si="14"/>
        <v>Non Significant</v>
      </c>
    </row>
    <row r="654" spans="3:5" x14ac:dyDescent="0.25">
      <c r="C654" s="15" t="s">
        <v>588</v>
      </c>
      <c r="D654" s="16">
        <v>0</v>
      </c>
      <c r="E654" s="2" t="str">
        <f t="shared" si="14"/>
        <v>Non Significant</v>
      </c>
    </row>
    <row r="655" spans="3:5" x14ac:dyDescent="0.25">
      <c r="C655" s="15" t="s">
        <v>4385</v>
      </c>
      <c r="D655" s="16">
        <v>0</v>
      </c>
      <c r="E655" s="2" t="str">
        <f t="shared" si="14"/>
        <v>Non Significant</v>
      </c>
    </row>
    <row r="656" spans="3:5" x14ac:dyDescent="0.25">
      <c r="C656" s="15" t="s">
        <v>3000</v>
      </c>
      <c r="D656" s="16">
        <v>0</v>
      </c>
      <c r="E656" s="2" t="str">
        <f t="shared" si="14"/>
        <v>Non Significant</v>
      </c>
    </row>
    <row r="657" spans="3:5" x14ac:dyDescent="0.25">
      <c r="C657" s="15" t="s">
        <v>4386</v>
      </c>
      <c r="D657" s="16">
        <v>0</v>
      </c>
      <c r="E657" s="2" t="str">
        <f t="shared" si="14"/>
        <v>Non Significant</v>
      </c>
    </row>
    <row r="658" spans="3:5" x14ac:dyDescent="0.25">
      <c r="C658" s="15" t="s">
        <v>4387</v>
      </c>
      <c r="D658" s="16">
        <v>0</v>
      </c>
      <c r="E658" s="2" t="str">
        <f t="shared" si="14"/>
        <v>Non Significant</v>
      </c>
    </row>
    <row r="659" spans="3:5" x14ac:dyDescent="0.25">
      <c r="C659" s="15" t="s">
        <v>4388</v>
      </c>
      <c r="D659" s="16">
        <v>0</v>
      </c>
      <c r="E659" s="2" t="str">
        <f t="shared" si="14"/>
        <v>Non Significant</v>
      </c>
    </row>
    <row r="660" spans="3:5" x14ac:dyDescent="0.25">
      <c r="C660" s="15" t="s">
        <v>3042</v>
      </c>
      <c r="D660" s="16">
        <v>0</v>
      </c>
      <c r="E660" s="2" t="str">
        <f t="shared" si="14"/>
        <v>Non Significant</v>
      </c>
    </row>
    <row r="661" spans="3:5" x14ac:dyDescent="0.25">
      <c r="C661" s="15" t="s">
        <v>4389</v>
      </c>
      <c r="D661" s="16">
        <v>0</v>
      </c>
      <c r="E661" s="2" t="str">
        <f t="shared" si="14"/>
        <v>Non Significant</v>
      </c>
    </row>
    <row r="662" spans="3:5" x14ac:dyDescent="0.25">
      <c r="C662" s="15" t="s">
        <v>3045</v>
      </c>
      <c r="D662" s="16">
        <v>0</v>
      </c>
      <c r="E662" s="2" t="str">
        <f t="shared" si="14"/>
        <v>Non Significant</v>
      </c>
    </row>
    <row r="663" spans="3:5" x14ac:dyDescent="0.25">
      <c r="C663" s="15" t="s">
        <v>2118</v>
      </c>
      <c r="D663" s="16">
        <v>0</v>
      </c>
      <c r="E663" s="2" t="str">
        <f t="shared" si="14"/>
        <v>Non Significant</v>
      </c>
    </row>
    <row r="664" spans="3:5" x14ac:dyDescent="0.25">
      <c r="C664" s="15" t="s">
        <v>4390</v>
      </c>
      <c r="D664" s="16">
        <v>0</v>
      </c>
      <c r="E664" s="2" t="str">
        <f t="shared" si="14"/>
        <v>Non Significant</v>
      </c>
    </row>
    <row r="665" spans="3:5" x14ac:dyDescent="0.25">
      <c r="C665" s="15" t="s">
        <v>2112</v>
      </c>
      <c r="D665" s="16">
        <v>0</v>
      </c>
      <c r="E665" s="2" t="str">
        <f t="shared" si="14"/>
        <v>Non Significant</v>
      </c>
    </row>
    <row r="666" spans="3:5" x14ac:dyDescent="0.25">
      <c r="C666" s="15" t="s">
        <v>4391</v>
      </c>
      <c r="D666" s="16">
        <v>0</v>
      </c>
      <c r="E666" s="2" t="str">
        <f t="shared" si="14"/>
        <v>Non Significant</v>
      </c>
    </row>
    <row r="667" spans="3:5" x14ac:dyDescent="0.25">
      <c r="C667" s="15" t="s">
        <v>2116</v>
      </c>
      <c r="D667" s="16">
        <v>0</v>
      </c>
      <c r="E667" s="2" t="str">
        <f t="shared" si="14"/>
        <v>Non Significant</v>
      </c>
    </row>
    <row r="668" spans="3:5" x14ac:dyDescent="0.25">
      <c r="C668" s="15" t="s">
        <v>4392</v>
      </c>
      <c r="D668" s="16">
        <v>0</v>
      </c>
      <c r="E668" s="2" t="str">
        <f t="shared" si="14"/>
        <v>Non Significant</v>
      </c>
    </row>
    <row r="669" spans="3:5" x14ac:dyDescent="0.25">
      <c r="C669" s="15" t="s">
        <v>3875</v>
      </c>
      <c r="D669" s="16">
        <v>0</v>
      </c>
      <c r="E669" s="2" t="str">
        <f t="shared" si="14"/>
        <v>Non Significant</v>
      </c>
    </row>
    <row r="670" spans="3:5" x14ac:dyDescent="0.25">
      <c r="C670" s="15" t="s">
        <v>4393</v>
      </c>
      <c r="D670" s="16">
        <v>0</v>
      </c>
      <c r="E670" s="2" t="str">
        <f t="shared" si="14"/>
        <v>Non Significant</v>
      </c>
    </row>
    <row r="671" spans="3:5" x14ac:dyDescent="0.25">
      <c r="C671" s="15" t="s">
        <v>3869</v>
      </c>
      <c r="D671" s="16">
        <v>0</v>
      </c>
      <c r="E671" s="2" t="str">
        <f t="shared" si="14"/>
        <v>Non Significant</v>
      </c>
    </row>
    <row r="672" spans="3:5" x14ac:dyDescent="0.25">
      <c r="C672" s="15" t="s">
        <v>3048</v>
      </c>
      <c r="D672" s="16">
        <v>0</v>
      </c>
      <c r="E672" s="2" t="str">
        <f t="shared" si="14"/>
        <v>Non Significant</v>
      </c>
    </row>
    <row r="673" spans="3:5" x14ac:dyDescent="0.25">
      <c r="C673" s="15" t="s">
        <v>3873</v>
      </c>
      <c r="D673" s="16">
        <v>0</v>
      </c>
      <c r="E673" s="2" t="str">
        <f t="shared" si="14"/>
        <v>Non Significant</v>
      </c>
    </row>
    <row r="674" spans="3:5" x14ac:dyDescent="0.25">
      <c r="C674" s="15" t="s">
        <v>3051</v>
      </c>
      <c r="D674" s="16">
        <v>0</v>
      </c>
      <c r="E674" s="2" t="str">
        <f t="shared" si="14"/>
        <v>Non Significant</v>
      </c>
    </row>
    <row r="675" spans="3:5" x14ac:dyDescent="0.25">
      <c r="C675" s="15" t="s">
        <v>3437</v>
      </c>
      <c r="D675" s="16">
        <v>0</v>
      </c>
      <c r="E675" s="2" t="str">
        <f t="shared" si="14"/>
        <v>Non Significant</v>
      </c>
    </row>
    <row r="676" spans="3:5" x14ac:dyDescent="0.25">
      <c r="C676" s="15" t="s">
        <v>4394</v>
      </c>
      <c r="D676" s="16">
        <v>0</v>
      </c>
      <c r="E676" s="2" t="str">
        <f t="shared" si="14"/>
        <v>Non Significant</v>
      </c>
    </row>
    <row r="677" spans="3:5" x14ac:dyDescent="0.25">
      <c r="C677" s="15" t="s">
        <v>4395</v>
      </c>
      <c r="D677" s="16">
        <v>0</v>
      </c>
      <c r="E677" s="2" t="str">
        <f t="shared" si="14"/>
        <v>Non Significant</v>
      </c>
    </row>
    <row r="678" spans="3:5" x14ac:dyDescent="0.25">
      <c r="C678" s="15" t="s">
        <v>3036</v>
      </c>
      <c r="D678" s="16">
        <v>0</v>
      </c>
      <c r="E678" s="2" t="str">
        <f t="shared" si="14"/>
        <v>Non Significant</v>
      </c>
    </row>
    <row r="679" spans="3:5" x14ac:dyDescent="0.25">
      <c r="C679" s="15" t="s">
        <v>4396</v>
      </c>
      <c r="D679" s="16">
        <v>0</v>
      </c>
      <c r="E679" s="2" t="str">
        <f t="shared" si="14"/>
        <v>Non Significant</v>
      </c>
    </row>
    <row r="680" spans="3:5" x14ac:dyDescent="0.25">
      <c r="C680" s="15" t="s">
        <v>3039</v>
      </c>
      <c r="D680" s="16">
        <v>0</v>
      </c>
      <c r="E680" s="2" t="str">
        <f t="shared" si="14"/>
        <v>Non Significant</v>
      </c>
    </row>
    <row r="681" spans="3:5" x14ac:dyDescent="0.25">
      <c r="C681" s="15" t="s">
        <v>3432</v>
      </c>
      <c r="D681" s="16">
        <v>0</v>
      </c>
      <c r="E681" s="2" t="str">
        <f t="shared" si="14"/>
        <v>Non Significant</v>
      </c>
    </row>
    <row r="682" spans="3:5" x14ac:dyDescent="0.25">
      <c r="C682" s="15" t="s">
        <v>4397</v>
      </c>
      <c r="D682" s="16">
        <v>0</v>
      </c>
      <c r="E682" s="2" t="str">
        <f t="shared" si="14"/>
        <v>Non Significant</v>
      </c>
    </row>
    <row r="683" spans="3:5" x14ac:dyDescent="0.25">
      <c r="C683" s="15" t="s">
        <v>3435</v>
      </c>
      <c r="D683" s="16">
        <v>0</v>
      </c>
      <c r="E683" s="2" t="str">
        <f t="shared" si="14"/>
        <v>Non Significant</v>
      </c>
    </row>
    <row r="684" spans="3:5" x14ac:dyDescent="0.25">
      <c r="C684" s="15" t="s">
        <v>4140</v>
      </c>
      <c r="D684" s="16">
        <v>0</v>
      </c>
      <c r="E684" s="2" t="str">
        <f t="shared" si="14"/>
        <v>Non Significant</v>
      </c>
    </row>
    <row r="685" spans="3:5" x14ac:dyDescent="0.25">
      <c r="C685" s="15" t="s">
        <v>2091</v>
      </c>
      <c r="D685" s="16">
        <v>0</v>
      </c>
      <c r="E685" s="2" t="str">
        <f t="shared" si="14"/>
        <v>Non Significant</v>
      </c>
    </row>
    <row r="686" spans="3:5" x14ac:dyDescent="0.25">
      <c r="C686" s="15" t="s">
        <v>3360</v>
      </c>
      <c r="D686" s="16">
        <v>0</v>
      </c>
      <c r="E686" s="2" t="str">
        <f t="shared" si="14"/>
        <v>Non Significant</v>
      </c>
    </row>
    <row r="687" spans="3:5" x14ac:dyDescent="0.25">
      <c r="C687" s="15" t="s">
        <v>2085</v>
      </c>
      <c r="D687" s="16">
        <v>0</v>
      </c>
      <c r="E687" s="2" t="str">
        <f t="shared" si="14"/>
        <v>Non Significant</v>
      </c>
    </row>
    <row r="688" spans="3:5" x14ac:dyDescent="0.25">
      <c r="C688" s="15" t="s">
        <v>3358</v>
      </c>
      <c r="D688" s="16">
        <v>0</v>
      </c>
      <c r="E688" s="2" t="str">
        <f t="shared" si="14"/>
        <v>Non Significant</v>
      </c>
    </row>
    <row r="689" spans="3:5" x14ac:dyDescent="0.25">
      <c r="C689" s="15" t="s">
        <v>2089</v>
      </c>
      <c r="D689" s="16">
        <v>0</v>
      </c>
      <c r="E689" s="2" t="str">
        <f t="shared" si="14"/>
        <v>Non Significant</v>
      </c>
    </row>
    <row r="690" spans="3:5" x14ac:dyDescent="0.25">
      <c r="C690" s="15" t="s">
        <v>3345</v>
      </c>
      <c r="D690" s="16">
        <v>0</v>
      </c>
      <c r="E690" s="2" t="str">
        <f t="shared" si="14"/>
        <v>Non Significant</v>
      </c>
    </row>
    <row r="691" spans="3:5" x14ac:dyDescent="0.25">
      <c r="C691" s="15" t="s">
        <v>4398</v>
      </c>
      <c r="D691" s="16">
        <v>0</v>
      </c>
      <c r="E691" s="2" t="str">
        <f t="shared" si="14"/>
        <v>Non Significant</v>
      </c>
    </row>
    <row r="692" spans="3:5" x14ac:dyDescent="0.25">
      <c r="C692" s="15" t="s">
        <v>2991</v>
      </c>
      <c r="D692" s="16">
        <v>0</v>
      </c>
      <c r="E692" s="2" t="str">
        <f t="shared" si="14"/>
        <v>Non Significant</v>
      </c>
    </row>
    <row r="693" spans="3:5" x14ac:dyDescent="0.25">
      <c r="C693" s="15" t="s">
        <v>4399</v>
      </c>
      <c r="D693" s="16">
        <v>0</v>
      </c>
      <c r="E693" s="2" t="str">
        <f t="shared" si="14"/>
        <v>Non Significant</v>
      </c>
    </row>
    <row r="694" spans="3:5" x14ac:dyDescent="0.25">
      <c r="C694" s="15" t="s">
        <v>2989</v>
      </c>
      <c r="D694" s="16">
        <v>0</v>
      </c>
      <c r="E694" s="2" t="str">
        <f t="shared" si="14"/>
        <v>Non Significant</v>
      </c>
    </row>
    <row r="695" spans="3:5" x14ac:dyDescent="0.25">
      <c r="C695" s="15" t="s">
        <v>3204</v>
      </c>
      <c r="D695" s="16">
        <v>0</v>
      </c>
      <c r="E695" s="2" t="str">
        <f t="shared" si="14"/>
        <v>Non Significant</v>
      </c>
    </row>
    <row r="696" spans="3:5" x14ac:dyDescent="0.25">
      <c r="C696" s="15" t="s">
        <v>3973</v>
      </c>
      <c r="D696" s="16">
        <v>0</v>
      </c>
      <c r="E696" s="2" t="str">
        <f t="shared" si="14"/>
        <v>Non Significant</v>
      </c>
    </row>
    <row r="697" spans="3:5" x14ac:dyDescent="0.25">
      <c r="C697" s="15" t="s">
        <v>3141</v>
      </c>
      <c r="D697" s="16">
        <v>0</v>
      </c>
      <c r="E697" s="2" t="str">
        <f t="shared" si="14"/>
        <v>Non Significant</v>
      </c>
    </row>
    <row r="698" spans="3:5" x14ac:dyDescent="0.25">
      <c r="C698" s="15" t="s">
        <v>4400</v>
      </c>
      <c r="D698" s="16">
        <v>0</v>
      </c>
      <c r="E698" s="2" t="str">
        <f t="shared" si="14"/>
        <v>Non Significant</v>
      </c>
    </row>
    <row r="699" spans="3:5" x14ac:dyDescent="0.25">
      <c r="C699" s="15" t="s">
        <v>4401</v>
      </c>
      <c r="D699" s="16">
        <v>0</v>
      </c>
      <c r="E699" s="2" t="str">
        <f t="shared" si="14"/>
        <v>Non Significant</v>
      </c>
    </row>
    <row r="700" spans="3:5" x14ac:dyDescent="0.25">
      <c r="C700" s="15" t="s">
        <v>4402</v>
      </c>
      <c r="D700" s="16">
        <v>0</v>
      </c>
      <c r="E700" s="2" t="str">
        <f t="shared" si="14"/>
        <v>Non Significant</v>
      </c>
    </row>
    <row r="701" spans="3:5" x14ac:dyDescent="0.25">
      <c r="C701" s="15" t="s">
        <v>3776</v>
      </c>
      <c r="D701" s="16">
        <v>0</v>
      </c>
      <c r="E701" s="2" t="str">
        <f t="shared" si="14"/>
        <v>Non Significant</v>
      </c>
    </row>
    <row r="702" spans="3:5" x14ac:dyDescent="0.25">
      <c r="C702" s="15" t="s">
        <v>4403</v>
      </c>
      <c r="D702" s="16">
        <v>0</v>
      </c>
      <c r="E702" s="2" t="str">
        <f t="shared" si="14"/>
        <v>Non Significant</v>
      </c>
    </row>
    <row r="703" spans="3:5" x14ac:dyDescent="0.25">
      <c r="C703" s="15" t="s">
        <v>3783</v>
      </c>
      <c r="D703" s="16">
        <v>0</v>
      </c>
      <c r="E703" s="2" t="str">
        <f t="shared" si="14"/>
        <v>Non Significant</v>
      </c>
    </row>
    <row r="704" spans="3:5" x14ac:dyDescent="0.25">
      <c r="C704" s="15" t="s">
        <v>3183</v>
      </c>
      <c r="D704" s="16">
        <v>0</v>
      </c>
      <c r="E704" s="2" t="str">
        <f t="shared" si="14"/>
        <v>Non Significant</v>
      </c>
    </row>
    <row r="705" spans="3:5" x14ac:dyDescent="0.25">
      <c r="C705" s="15" t="s">
        <v>3762</v>
      </c>
      <c r="D705" s="16">
        <v>0</v>
      </c>
      <c r="E705" s="2" t="str">
        <f t="shared" si="14"/>
        <v>Non Significant</v>
      </c>
    </row>
    <row r="706" spans="3:5" x14ac:dyDescent="0.25">
      <c r="C706" s="15" t="s">
        <v>3072</v>
      </c>
      <c r="D706" s="16">
        <v>0</v>
      </c>
      <c r="E706" s="2" t="str">
        <f t="shared" si="14"/>
        <v>Non Significant</v>
      </c>
    </row>
    <row r="707" spans="3:5" x14ac:dyDescent="0.25">
      <c r="C707" s="15" t="s">
        <v>4007</v>
      </c>
      <c r="D707" s="16">
        <v>0</v>
      </c>
      <c r="E707" s="2" t="str">
        <f t="shared" si="14"/>
        <v>Non Significant</v>
      </c>
    </row>
    <row r="708" spans="3:5" x14ac:dyDescent="0.25">
      <c r="C708" s="15" t="s">
        <v>4404</v>
      </c>
      <c r="D708" s="16">
        <v>0</v>
      </c>
      <c r="E708" s="2" t="str">
        <f t="shared" si="14"/>
        <v>Non Significant</v>
      </c>
    </row>
    <row r="709" spans="3:5" x14ac:dyDescent="0.25">
      <c r="C709" s="15" t="s">
        <v>4405</v>
      </c>
      <c r="D709" s="16">
        <v>0</v>
      </c>
      <c r="E709" s="2" t="str">
        <f t="shared" si="14"/>
        <v>Non Significant</v>
      </c>
    </row>
    <row r="710" spans="3:5" x14ac:dyDescent="0.25">
      <c r="C710" s="15" t="s">
        <v>3192</v>
      </c>
      <c r="D710" s="16">
        <v>0</v>
      </c>
      <c r="E710" s="2" t="str">
        <f t="shared" si="14"/>
        <v>Non Significant</v>
      </c>
    </row>
    <row r="711" spans="3:5" x14ac:dyDescent="0.25">
      <c r="C711" s="15" t="s">
        <v>4085</v>
      </c>
      <c r="D711" s="16">
        <v>0</v>
      </c>
      <c r="E711" s="2" t="str">
        <f t="shared" ref="E711:E774" si="15">IF(D711&gt;=500000000000,"Critical",IF(AND(D711&gt;=50000000000,D711&lt;500000000000),"Significant",IF(AND(D711&gt;=45000000000,D711&lt;50000000000),"Almost Significant",IF(D711&lt;45000000000,"Non Significant",0))))</f>
        <v>Non Significant</v>
      </c>
    </row>
    <row r="712" spans="3:5" x14ac:dyDescent="0.25">
      <c r="C712" s="15" t="s">
        <v>3078</v>
      </c>
      <c r="D712" s="16">
        <v>0</v>
      </c>
      <c r="E712" s="2" t="str">
        <f t="shared" si="15"/>
        <v>Non Significant</v>
      </c>
    </row>
    <row r="713" spans="3:5" x14ac:dyDescent="0.25">
      <c r="C713" s="15" t="s">
        <v>1833</v>
      </c>
      <c r="D713" s="16">
        <v>0</v>
      </c>
      <c r="E713" s="2" t="str">
        <f t="shared" si="15"/>
        <v>Non Significant</v>
      </c>
    </row>
    <row r="714" spans="3:5" x14ac:dyDescent="0.25">
      <c r="C714" s="15" t="s">
        <v>3081</v>
      </c>
      <c r="D714" s="16">
        <v>0</v>
      </c>
      <c r="E714" s="2" t="str">
        <f t="shared" si="15"/>
        <v>Non Significant</v>
      </c>
    </row>
    <row r="715" spans="3:5" x14ac:dyDescent="0.25">
      <c r="C715" s="15" t="s">
        <v>1880</v>
      </c>
      <c r="D715" s="16">
        <v>0</v>
      </c>
      <c r="E715" s="2" t="str">
        <f t="shared" si="15"/>
        <v>Non Significant</v>
      </c>
    </row>
    <row r="716" spans="3:5" x14ac:dyDescent="0.25">
      <c r="C716" s="15" t="s">
        <v>4406</v>
      </c>
      <c r="D716" s="16">
        <v>0</v>
      </c>
      <c r="E716" s="2" t="str">
        <f t="shared" si="15"/>
        <v>Non Significant</v>
      </c>
    </row>
    <row r="717" spans="3:5" x14ac:dyDescent="0.25">
      <c r="C717" s="15" t="s">
        <v>1878</v>
      </c>
      <c r="D717" s="16">
        <v>0</v>
      </c>
      <c r="E717" s="2" t="str">
        <f t="shared" si="15"/>
        <v>Non Significant</v>
      </c>
    </row>
    <row r="718" spans="3:5" x14ac:dyDescent="0.25">
      <c r="C718" s="15" t="s">
        <v>4407</v>
      </c>
      <c r="D718" s="16">
        <v>0</v>
      </c>
      <c r="E718" s="2" t="str">
        <f t="shared" si="15"/>
        <v>Non Significant</v>
      </c>
    </row>
    <row r="719" spans="3:5" x14ac:dyDescent="0.25">
      <c r="C719" s="15" t="s">
        <v>4408</v>
      </c>
      <c r="D719" s="16">
        <v>0</v>
      </c>
      <c r="E719" s="2" t="str">
        <f t="shared" si="15"/>
        <v>Non Significant</v>
      </c>
    </row>
    <row r="720" spans="3:5" x14ac:dyDescent="0.25">
      <c r="C720" s="15" t="s">
        <v>4409</v>
      </c>
      <c r="D720" s="16">
        <v>0</v>
      </c>
      <c r="E720" s="2" t="str">
        <f t="shared" si="15"/>
        <v>Non Significant</v>
      </c>
    </row>
    <row r="721" spans="3:5" x14ac:dyDescent="0.25">
      <c r="C721" s="15" t="s">
        <v>4410</v>
      </c>
      <c r="D721" s="16">
        <v>0</v>
      </c>
      <c r="E721" s="2" t="str">
        <f t="shared" si="15"/>
        <v>Non Significant</v>
      </c>
    </row>
    <row r="722" spans="3:5" x14ac:dyDescent="0.25">
      <c r="C722" s="15" t="s">
        <v>4169</v>
      </c>
      <c r="D722" s="16">
        <v>0</v>
      </c>
      <c r="E722" s="2" t="str">
        <f t="shared" si="15"/>
        <v>Non Significant</v>
      </c>
    </row>
    <row r="723" spans="3:5" x14ac:dyDescent="0.25">
      <c r="C723" s="15" t="s">
        <v>4411</v>
      </c>
      <c r="D723" s="16">
        <v>0</v>
      </c>
      <c r="E723" s="2" t="str">
        <f t="shared" si="15"/>
        <v>Non Significant</v>
      </c>
    </row>
    <row r="724" spans="3:5" x14ac:dyDescent="0.25">
      <c r="C724" s="15" t="s">
        <v>495</v>
      </c>
      <c r="D724" s="16">
        <v>0</v>
      </c>
      <c r="E724" s="2" t="str">
        <f t="shared" si="15"/>
        <v>Non Significant</v>
      </c>
    </row>
    <row r="725" spans="3:5" x14ac:dyDescent="0.25">
      <c r="C725" s="15" t="s">
        <v>4135</v>
      </c>
      <c r="D725" s="16">
        <v>0</v>
      </c>
      <c r="E725" s="2" t="str">
        <f t="shared" si="15"/>
        <v>Non Significant</v>
      </c>
    </row>
    <row r="726" spans="3:5" x14ac:dyDescent="0.25">
      <c r="C726" s="15" t="s">
        <v>440</v>
      </c>
      <c r="D726" s="16">
        <v>0</v>
      </c>
      <c r="E726" s="2" t="str">
        <f t="shared" si="15"/>
        <v>Non Significant</v>
      </c>
    </row>
    <row r="727" spans="3:5" x14ac:dyDescent="0.25">
      <c r="C727" s="15" t="s">
        <v>4412</v>
      </c>
      <c r="D727" s="16">
        <v>0</v>
      </c>
      <c r="E727" s="2" t="str">
        <f t="shared" si="15"/>
        <v>Non Significant</v>
      </c>
    </row>
    <row r="728" spans="3:5" x14ac:dyDescent="0.25">
      <c r="C728" s="15" t="s">
        <v>434</v>
      </c>
      <c r="D728" s="16">
        <v>0</v>
      </c>
      <c r="E728" s="2" t="str">
        <f t="shared" si="15"/>
        <v>Non Significant</v>
      </c>
    </row>
    <row r="729" spans="3:5" x14ac:dyDescent="0.25">
      <c r="C729" s="15" t="s">
        <v>4413</v>
      </c>
      <c r="D729" s="16">
        <v>0</v>
      </c>
      <c r="E729" s="2" t="str">
        <f t="shared" si="15"/>
        <v>Non Significant</v>
      </c>
    </row>
    <row r="730" spans="3:5" x14ac:dyDescent="0.25">
      <c r="C730" s="15" t="s">
        <v>794</v>
      </c>
      <c r="D730" s="16">
        <v>0</v>
      </c>
      <c r="E730" s="2" t="str">
        <f t="shared" si="15"/>
        <v>Non Significant</v>
      </c>
    </row>
    <row r="731" spans="3:5" x14ac:dyDescent="0.25">
      <c r="C731" s="15" t="s">
        <v>4414</v>
      </c>
      <c r="D731" s="16">
        <v>0</v>
      </c>
      <c r="E731" s="2" t="str">
        <f t="shared" si="15"/>
        <v>Non Significant</v>
      </c>
    </row>
    <row r="732" spans="3:5" x14ac:dyDescent="0.25">
      <c r="C732" s="15" t="s">
        <v>4415</v>
      </c>
      <c r="D732" s="16">
        <v>0</v>
      </c>
      <c r="E732" s="2" t="str">
        <f t="shared" si="15"/>
        <v>Non Significant</v>
      </c>
    </row>
    <row r="733" spans="3:5" x14ac:dyDescent="0.25">
      <c r="C733" s="15" t="s">
        <v>2620</v>
      </c>
      <c r="D733" s="16">
        <v>0</v>
      </c>
      <c r="E733" s="2" t="str">
        <f t="shared" si="15"/>
        <v>Non Significant</v>
      </c>
    </row>
    <row r="734" spans="3:5" x14ac:dyDescent="0.25">
      <c r="C734" s="15" t="s">
        <v>847</v>
      </c>
      <c r="D734" s="16">
        <v>0</v>
      </c>
      <c r="E734" s="2" t="str">
        <f t="shared" si="15"/>
        <v>Non Significant</v>
      </c>
    </row>
    <row r="735" spans="3:5" x14ac:dyDescent="0.25">
      <c r="C735" s="15" t="s">
        <v>2315</v>
      </c>
      <c r="D735" s="16">
        <v>0</v>
      </c>
      <c r="E735" s="2" t="str">
        <f t="shared" si="15"/>
        <v>Non Significant</v>
      </c>
    </row>
    <row r="736" spans="3:5" x14ac:dyDescent="0.25">
      <c r="C736" s="15" t="s">
        <v>132</v>
      </c>
      <c r="D736" s="16">
        <v>0</v>
      </c>
      <c r="E736" s="2" t="str">
        <f t="shared" si="15"/>
        <v>Non Significant</v>
      </c>
    </row>
    <row r="737" spans="3:5" x14ac:dyDescent="0.25">
      <c r="C737" s="15" t="s">
        <v>4416</v>
      </c>
      <c r="D737" s="16">
        <v>0</v>
      </c>
      <c r="E737" s="2" t="str">
        <f t="shared" si="15"/>
        <v>Non Significant</v>
      </c>
    </row>
    <row r="738" spans="3:5" x14ac:dyDescent="0.25">
      <c r="C738" s="15" t="s">
        <v>4417</v>
      </c>
      <c r="D738" s="16">
        <v>0</v>
      </c>
      <c r="E738" s="2" t="str">
        <f t="shared" si="15"/>
        <v>Non Significant</v>
      </c>
    </row>
    <row r="739" spans="3:5" x14ac:dyDescent="0.25">
      <c r="C739" s="15" t="s">
        <v>4418</v>
      </c>
      <c r="D739" s="16">
        <v>0</v>
      </c>
      <c r="E739" s="2" t="str">
        <f t="shared" si="15"/>
        <v>Non Significant</v>
      </c>
    </row>
    <row r="740" spans="3:5" x14ac:dyDescent="0.25">
      <c r="C740" s="15" t="s">
        <v>4419</v>
      </c>
      <c r="D740" s="16">
        <v>0</v>
      </c>
      <c r="E740" s="2" t="str">
        <f t="shared" si="15"/>
        <v>Non Significant</v>
      </c>
    </row>
    <row r="741" spans="3:5" x14ac:dyDescent="0.25">
      <c r="C741" s="15" t="s">
        <v>4420</v>
      </c>
      <c r="D741" s="16">
        <v>0</v>
      </c>
      <c r="E741" s="2" t="str">
        <f t="shared" si="15"/>
        <v>Non Significant</v>
      </c>
    </row>
    <row r="742" spans="3:5" x14ac:dyDescent="0.25">
      <c r="C742" s="15" t="s">
        <v>4421</v>
      </c>
      <c r="D742" s="16">
        <v>0</v>
      </c>
      <c r="E742" s="2" t="str">
        <f t="shared" si="15"/>
        <v>Non Significant</v>
      </c>
    </row>
    <row r="743" spans="3:5" x14ac:dyDescent="0.25">
      <c r="C743" s="15" t="s">
        <v>4422</v>
      </c>
      <c r="D743" s="16">
        <v>0</v>
      </c>
      <c r="E743" s="2" t="str">
        <f t="shared" si="15"/>
        <v>Non Significant</v>
      </c>
    </row>
    <row r="744" spans="3:5" x14ac:dyDescent="0.25">
      <c r="C744" s="15" t="s">
        <v>1013</v>
      </c>
      <c r="D744" s="16">
        <v>0</v>
      </c>
      <c r="E744" s="2" t="str">
        <f t="shared" si="15"/>
        <v>Non Significant</v>
      </c>
    </row>
    <row r="745" spans="3:5" x14ac:dyDescent="0.25">
      <c r="C745" s="15" t="s">
        <v>558</v>
      </c>
      <c r="D745" s="16">
        <v>0</v>
      </c>
      <c r="E745" s="2" t="str">
        <f t="shared" si="15"/>
        <v>Non Significant</v>
      </c>
    </row>
    <row r="746" spans="3:5" x14ac:dyDescent="0.25">
      <c r="C746" s="15" t="s">
        <v>4423</v>
      </c>
      <c r="D746" s="16">
        <v>0</v>
      </c>
      <c r="E746" s="2" t="str">
        <f t="shared" si="15"/>
        <v>Non Significant</v>
      </c>
    </row>
    <row r="747" spans="3:5" x14ac:dyDescent="0.25">
      <c r="C747" s="15" t="s">
        <v>4424</v>
      </c>
      <c r="D747" s="16">
        <v>0</v>
      </c>
      <c r="E747" s="2" t="str">
        <f t="shared" si="15"/>
        <v>Non Significant</v>
      </c>
    </row>
    <row r="748" spans="3:5" x14ac:dyDescent="0.25">
      <c r="C748" s="15" t="s">
        <v>4425</v>
      </c>
      <c r="D748" s="16">
        <v>0</v>
      </c>
      <c r="E748" s="2" t="str">
        <f t="shared" si="15"/>
        <v>Non Significant</v>
      </c>
    </row>
    <row r="749" spans="3:5" x14ac:dyDescent="0.25">
      <c r="C749" s="15" t="s">
        <v>4426</v>
      </c>
      <c r="D749" s="16">
        <v>0</v>
      </c>
      <c r="E749" s="2" t="str">
        <f t="shared" si="15"/>
        <v>Non Significant</v>
      </c>
    </row>
    <row r="750" spans="3:5" x14ac:dyDescent="0.25">
      <c r="C750" s="15" t="s">
        <v>4427</v>
      </c>
      <c r="D750" s="16">
        <v>0</v>
      </c>
      <c r="E750" s="2" t="str">
        <f t="shared" si="15"/>
        <v>Non Significant</v>
      </c>
    </row>
    <row r="751" spans="3:5" x14ac:dyDescent="0.25">
      <c r="C751" s="15" t="s">
        <v>3946</v>
      </c>
      <c r="D751" s="16">
        <v>0</v>
      </c>
      <c r="E751" s="2" t="str">
        <f t="shared" si="15"/>
        <v>Non Significant</v>
      </c>
    </row>
    <row r="752" spans="3:5" x14ac:dyDescent="0.25">
      <c r="C752" s="15" t="s">
        <v>4428</v>
      </c>
      <c r="D752" s="16">
        <v>0</v>
      </c>
      <c r="E752" s="2" t="str">
        <f t="shared" si="15"/>
        <v>Non Significant</v>
      </c>
    </row>
    <row r="753" spans="3:5" x14ac:dyDescent="0.25">
      <c r="C753" s="15" t="s">
        <v>2184</v>
      </c>
      <c r="D753" s="16">
        <v>0</v>
      </c>
      <c r="E753" s="2" t="str">
        <f t="shared" si="15"/>
        <v>Non Significant</v>
      </c>
    </row>
    <row r="754" spans="3:5" x14ac:dyDescent="0.25">
      <c r="C754" s="15" t="s">
        <v>4429</v>
      </c>
      <c r="D754" s="16">
        <v>0</v>
      </c>
      <c r="E754" s="2" t="str">
        <f t="shared" si="15"/>
        <v>Non Significant</v>
      </c>
    </row>
    <row r="755" spans="3:5" x14ac:dyDescent="0.25">
      <c r="C755" s="15" t="s">
        <v>4430</v>
      </c>
      <c r="D755" s="16">
        <v>0</v>
      </c>
      <c r="E755" s="2" t="str">
        <f t="shared" si="15"/>
        <v>Non Significant</v>
      </c>
    </row>
    <row r="756" spans="3:5" x14ac:dyDescent="0.25">
      <c r="C756" s="15" t="s">
        <v>800</v>
      </c>
      <c r="D756" s="16">
        <v>0</v>
      </c>
      <c r="E756" s="2" t="str">
        <f t="shared" si="15"/>
        <v>Non Significant</v>
      </c>
    </row>
    <row r="757" spans="3:5" x14ac:dyDescent="0.25">
      <c r="C757" s="15" t="s">
        <v>2717</v>
      </c>
      <c r="D757" s="16">
        <v>0</v>
      </c>
      <c r="E757" s="2" t="str">
        <f t="shared" si="15"/>
        <v>Non Significant</v>
      </c>
    </row>
    <row r="758" spans="3:5" x14ac:dyDescent="0.25">
      <c r="C758" s="15" t="s">
        <v>2483</v>
      </c>
      <c r="D758" s="16">
        <v>0</v>
      </c>
      <c r="E758" s="2" t="str">
        <f t="shared" si="15"/>
        <v>Non Significant</v>
      </c>
    </row>
    <row r="759" spans="3:5" x14ac:dyDescent="0.25">
      <c r="C759" s="15" t="s">
        <v>4431</v>
      </c>
      <c r="D759" s="16">
        <v>0</v>
      </c>
      <c r="E759" s="2" t="str">
        <f t="shared" si="15"/>
        <v>Non Significant</v>
      </c>
    </row>
    <row r="760" spans="3:5" x14ac:dyDescent="0.25">
      <c r="C760" s="15" t="s">
        <v>2486</v>
      </c>
      <c r="D760" s="16">
        <v>0</v>
      </c>
      <c r="E760" s="2" t="str">
        <f t="shared" si="15"/>
        <v>Non Significant</v>
      </c>
    </row>
    <row r="761" spans="3:5" x14ac:dyDescent="0.25">
      <c r="C761" s="15" t="s">
        <v>4432</v>
      </c>
      <c r="D761" s="16">
        <v>0</v>
      </c>
      <c r="E761" s="2" t="str">
        <f t="shared" si="15"/>
        <v>Non Significant</v>
      </c>
    </row>
    <row r="762" spans="3:5" x14ac:dyDescent="0.25">
      <c r="C762" s="15" t="s">
        <v>2480</v>
      </c>
      <c r="D762" s="16">
        <v>0</v>
      </c>
      <c r="E762" s="2" t="str">
        <f t="shared" si="15"/>
        <v>Non Significant</v>
      </c>
    </row>
    <row r="763" spans="3:5" x14ac:dyDescent="0.25">
      <c r="C763" s="15" t="s">
        <v>4433</v>
      </c>
      <c r="D763" s="16">
        <v>0</v>
      </c>
      <c r="E763" s="2" t="str">
        <f t="shared" si="15"/>
        <v>Non Significant</v>
      </c>
    </row>
    <row r="764" spans="3:5" x14ac:dyDescent="0.25">
      <c r="C764" s="15" t="s">
        <v>2477</v>
      </c>
      <c r="D764" s="16">
        <v>0</v>
      </c>
      <c r="E764" s="2" t="str">
        <f t="shared" si="15"/>
        <v>Non Significant</v>
      </c>
    </row>
    <row r="765" spans="3:5" x14ac:dyDescent="0.25">
      <c r="C765" s="15" t="s">
        <v>4434</v>
      </c>
      <c r="D765" s="16">
        <v>0</v>
      </c>
      <c r="E765" s="2" t="str">
        <f t="shared" si="15"/>
        <v>Non Significant</v>
      </c>
    </row>
    <row r="766" spans="3:5" x14ac:dyDescent="0.25">
      <c r="C766" s="15" t="s">
        <v>624</v>
      </c>
      <c r="D766" s="16">
        <v>0</v>
      </c>
      <c r="E766" s="2" t="str">
        <f t="shared" si="15"/>
        <v>Non Significant</v>
      </c>
    </row>
    <row r="767" spans="3:5" x14ac:dyDescent="0.25">
      <c r="C767" s="15" t="s">
        <v>4435</v>
      </c>
      <c r="D767" s="16">
        <v>0</v>
      </c>
      <c r="E767" s="2" t="str">
        <f t="shared" si="15"/>
        <v>Non Significant</v>
      </c>
    </row>
    <row r="768" spans="3:5" x14ac:dyDescent="0.25">
      <c r="C768" s="15" t="s">
        <v>798</v>
      </c>
      <c r="D768" s="16">
        <v>0</v>
      </c>
      <c r="E768" s="2" t="str">
        <f t="shared" si="15"/>
        <v>Non Significant</v>
      </c>
    </row>
    <row r="769" spans="3:5" x14ac:dyDescent="0.25">
      <c r="C769" s="15" t="s">
        <v>4436</v>
      </c>
      <c r="D769" s="16">
        <v>0</v>
      </c>
      <c r="E769" s="2" t="str">
        <f t="shared" si="15"/>
        <v>Non Significant</v>
      </c>
    </row>
    <row r="770" spans="3:5" x14ac:dyDescent="0.25">
      <c r="C770" s="15" t="s">
        <v>620</v>
      </c>
      <c r="D770" s="16">
        <v>0</v>
      </c>
      <c r="E770" s="2" t="str">
        <f t="shared" si="15"/>
        <v>Non Significant</v>
      </c>
    </row>
    <row r="771" spans="3:5" x14ac:dyDescent="0.25">
      <c r="C771" s="15" t="s">
        <v>4437</v>
      </c>
      <c r="D771" s="16">
        <v>0</v>
      </c>
      <c r="E771" s="2" t="str">
        <f t="shared" si="15"/>
        <v>Non Significant</v>
      </c>
    </row>
    <row r="772" spans="3:5" x14ac:dyDescent="0.25">
      <c r="C772" s="15" t="s">
        <v>828</v>
      </c>
      <c r="D772" s="16">
        <v>0</v>
      </c>
      <c r="E772" s="2" t="str">
        <f t="shared" si="15"/>
        <v>Non Significant</v>
      </c>
    </row>
    <row r="773" spans="3:5" x14ac:dyDescent="0.25">
      <c r="C773" s="15" t="s">
        <v>4438</v>
      </c>
      <c r="D773" s="16">
        <v>0</v>
      </c>
      <c r="E773" s="2" t="str">
        <f t="shared" si="15"/>
        <v>Non Significant</v>
      </c>
    </row>
    <row r="774" spans="3:5" x14ac:dyDescent="0.25">
      <c r="C774" s="15" t="s">
        <v>4439</v>
      </c>
      <c r="D774" s="16">
        <v>0</v>
      </c>
      <c r="E774" s="2" t="str">
        <f t="shared" si="15"/>
        <v>Non Significant</v>
      </c>
    </row>
    <row r="775" spans="3:5" x14ac:dyDescent="0.25">
      <c r="C775" s="15" t="s">
        <v>4440</v>
      </c>
      <c r="D775" s="16">
        <v>0</v>
      </c>
      <c r="E775" s="2" t="str">
        <f t="shared" ref="E775:E838" si="16">IF(D775&gt;=500000000000,"Critical",IF(AND(D775&gt;=50000000000,D775&lt;500000000000),"Significant",IF(AND(D775&gt;=45000000000,D775&lt;50000000000),"Almost Significant",IF(D775&lt;45000000000,"Non Significant",0))))</f>
        <v>Non Significant</v>
      </c>
    </row>
    <row r="776" spans="3:5" x14ac:dyDescent="0.25">
      <c r="C776" s="15" t="s">
        <v>4441</v>
      </c>
      <c r="D776" s="16">
        <v>0</v>
      </c>
      <c r="E776" s="2" t="str">
        <f t="shared" si="16"/>
        <v>Non Significant</v>
      </c>
    </row>
    <row r="777" spans="3:5" x14ac:dyDescent="0.25">
      <c r="C777" s="15" t="s">
        <v>229</v>
      </c>
      <c r="D777" s="16">
        <v>0</v>
      </c>
      <c r="E777" s="2" t="str">
        <f t="shared" si="16"/>
        <v>Non Significant</v>
      </c>
    </row>
    <row r="778" spans="3:5" x14ac:dyDescent="0.25">
      <c r="C778" s="15" t="s">
        <v>2433</v>
      </c>
      <c r="D778" s="16">
        <v>0</v>
      </c>
      <c r="E778" s="2" t="str">
        <f t="shared" si="16"/>
        <v>Non Significant</v>
      </c>
    </row>
    <row r="779" spans="3:5" x14ac:dyDescent="0.25">
      <c r="C779" s="15" t="s">
        <v>3727</v>
      </c>
      <c r="D779" s="16">
        <v>0</v>
      </c>
      <c r="E779" s="2" t="str">
        <f t="shared" si="16"/>
        <v>Non Significant</v>
      </c>
    </row>
    <row r="780" spans="3:5" x14ac:dyDescent="0.25">
      <c r="C780" s="15" t="s">
        <v>209</v>
      </c>
      <c r="D780" s="16">
        <v>0</v>
      </c>
      <c r="E780" s="2" t="str">
        <f t="shared" si="16"/>
        <v>Non Significant</v>
      </c>
    </row>
    <row r="781" spans="3:5" x14ac:dyDescent="0.25">
      <c r="C781" s="15" t="s">
        <v>4442</v>
      </c>
      <c r="D781" s="16">
        <v>0</v>
      </c>
      <c r="E781" s="2" t="str">
        <f t="shared" si="16"/>
        <v>Non Significant</v>
      </c>
    </row>
    <row r="782" spans="3:5" x14ac:dyDescent="0.25">
      <c r="C782" s="15" t="s">
        <v>2451</v>
      </c>
      <c r="D782" s="16">
        <v>0</v>
      </c>
      <c r="E782" s="2" t="str">
        <f t="shared" si="16"/>
        <v>Non Significant</v>
      </c>
    </row>
    <row r="783" spans="3:5" x14ac:dyDescent="0.25">
      <c r="C783" s="15" t="s">
        <v>2624</v>
      </c>
      <c r="D783" s="16">
        <v>0</v>
      </c>
      <c r="E783" s="2" t="str">
        <f t="shared" si="16"/>
        <v>Non Significant</v>
      </c>
    </row>
    <row r="784" spans="3:5" x14ac:dyDescent="0.25">
      <c r="C784" s="15" t="s">
        <v>2447</v>
      </c>
      <c r="D784" s="16">
        <v>0</v>
      </c>
      <c r="E784" s="2" t="str">
        <f t="shared" si="16"/>
        <v>Non Significant</v>
      </c>
    </row>
    <row r="785" spans="3:5" x14ac:dyDescent="0.25">
      <c r="C785" s="15" t="s">
        <v>4443</v>
      </c>
      <c r="D785" s="16">
        <v>0</v>
      </c>
      <c r="E785" s="2" t="str">
        <f t="shared" si="16"/>
        <v>Non Significant</v>
      </c>
    </row>
    <row r="786" spans="3:5" x14ac:dyDescent="0.25">
      <c r="C786" s="15" t="s">
        <v>930</v>
      </c>
      <c r="D786" s="16">
        <v>0</v>
      </c>
      <c r="E786" s="2" t="str">
        <f t="shared" si="16"/>
        <v>Non Significant</v>
      </c>
    </row>
    <row r="787" spans="3:5" x14ac:dyDescent="0.25">
      <c r="C787" s="15" t="s">
        <v>2178</v>
      </c>
      <c r="D787" s="16">
        <v>0</v>
      </c>
      <c r="E787" s="2" t="str">
        <f t="shared" si="16"/>
        <v>Non Significant</v>
      </c>
    </row>
    <row r="788" spans="3:5" x14ac:dyDescent="0.25">
      <c r="C788" s="15" t="s">
        <v>921</v>
      </c>
      <c r="D788" s="16">
        <v>0</v>
      </c>
      <c r="E788" s="2" t="str">
        <f t="shared" si="16"/>
        <v>Non Significant</v>
      </c>
    </row>
    <row r="789" spans="3:5" x14ac:dyDescent="0.25">
      <c r="C789" s="15" t="s">
        <v>4444</v>
      </c>
      <c r="D789" s="16">
        <v>0</v>
      </c>
      <c r="E789" s="2" t="str">
        <f t="shared" si="16"/>
        <v>Non Significant</v>
      </c>
    </row>
    <row r="790" spans="3:5" x14ac:dyDescent="0.25">
      <c r="C790" s="15" t="s">
        <v>925</v>
      </c>
      <c r="D790" s="16">
        <v>0</v>
      </c>
      <c r="E790" s="2" t="str">
        <f t="shared" si="16"/>
        <v>Non Significant</v>
      </c>
    </row>
    <row r="791" spans="3:5" x14ac:dyDescent="0.25">
      <c r="C791" s="15" t="s">
        <v>3999</v>
      </c>
      <c r="D791" s="16">
        <v>0</v>
      </c>
      <c r="E791" s="2" t="str">
        <f t="shared" si="16"/>
        <v>Non Significant</v>
      </c>
    </row>
    <row r="792" spans="3:5" x14ac:dyDescent="0.25">
      <c r="C792" s="15" t="s">
        <v>928</v>
      </c>
      <c r="D792" s="16">
        <v>0</v>
      </c>
      <c r="E792" s="2" t="str">
        <f t="shared" si="16"/>
        <v>Non Significant</v>
      </c>
    </row>
    <row r="793" spans="3:5" x14ac:dyDescent="0.25">
      <c r="C793" s="15" t="s">
        <v>4445</v>
      </c>
      <c r="D793" s="16">
        <v>0</v>
      </c>
      <c r="E793" s="2" t="str">
        <f t="shared" si="16"/>
        <v>Non Significant</v>
      </c>
    </row>
    <row r="794" spans="3:5" x14ac:dyDescent="0.25">
      <c r="C794" s="15" t="s">
        <v>3959</v>
      </c>
      <c r="D794" s="16">
        <v>0</v>
      </c>
      <c r="E794" s="2" t="str">
        <f t="shared" si="16"/>
        <v>Non Significant</v>
      </c>
    </row>
    <row r="795" spans="3:5" x14ac:dyDescent="0.25">
      <c r="C795" s="15" t="s">
        <v>4446</v>
      </c>
      <c r="D795" s="16">
        <v>0</v>
      </c>
      <c r="E795" s="2" t="str">
        <f t="shared" si="16"/>
        <v>Non Significant</v>
      </c>
    </row>
    <row r="796" spans="3:5" x14ac:dyDescent="0.25">
      <c r="C796" s="15" t="s">
        <v>796</v>
      </c>
      <c r="D796" s="16">
        <v>0</v>
      </c>
      <c r="E796" s="2" t="str">
        <f t="shared" si="16"/>
        <v>Non Significant</v>
      </c>
    </row>
    <row r="797" spans="3:5" x14ac:dyDescent="0.25">
      <c r="C797" s="15" t="s">
        <v>4447</v>
      </c>
      <c r="D797" s="16">
        <v>0</v>
      </c>
      <c r="E797" s="2" t="str">
        <f t="shared" si="16"/>
        <v>Non Significant</v>
      </c>
    </row>
    <row r="798" spans="3:5" x14ac:dyDescent="0.25">
      <c r="C798" s="15" t="s">
        <v>4448</v>
      </c>
      <c r="D798" s="16">
        <v>0</v>
      </c>
      <c r="E798" s="2" t="str">
        <f t="shared" si="16"/>
        <v>Non Significant</v>
      </c>
    </row>
    <row r="799" spans="3:5" x14ac:dyDescent="0.25">
      <c r="C799" s="15" t="s">
        <v>4449</v>
      </c>
      <c r="D799" s="16">
        <v>0</v>
      </c>
      <c r="E799" s="2" t="str">
        <f t="shared" si="16"/>
        <v>Non Significant</v>
      </c>
    </row>
    <row r="800" spans="3:5" x14ac:dyDescent="0.25">
      <c r="C800" s="15" t="s">
        <v>4450</v>
      </c>
      <c r="D800" s="16">
        <v>0</v>
      </c>
      <c r="E800" s="2" t="str">
        <f t="shared" si="16"/>
        <v>Non Significant</v>
      </c>
    </row>
    <row r="801" spans="3:5" x14ac:dyDescent="0.25">
      <c r="C801" s="15" t="s">
        <v>4451</v>
      </c>
      <c r="D801" s="16">
        <v>0</v>
      </c>
      <c r="E801" s="2" t="str">
        <f t="shared" si="16"/>
        <v>Non Significant</v>
      </c>
    </row>
    <row r="802" spans="3:5" x14ac:dyDescent="0.25">
      <c r="C802" s="15" t="s">
        <v>2443</v>
      </c>
      <c r="D802" s="16">
        <v>0</v>
      </c>
      <c r="E802" s="2" t="str">
        <f t="shared" si="16"/>
        <v>Non Significant</v>
      </c>
    </row>
    <row r="803" spans="3:5" x14ac:dyDescent="0.25">
      <c r="C803" s="15" t="s">
        <v>4452</v>
      </c>
      <c r="D803" s="16">
        <v>0</v>
      </c>
      <c r="E803" s="2" t="str">
        <f t="shared" si="16"/>
        <v>Non Significant</v>
      </c>
    </row>
    <row r="804" spans="3:5" x14ac:dyDescent="0.25">
      <c r="C804" s="15" t="s">
        <v>2458</v>
      </c>
      <c r="D804" s="16">
        <v>0</v>
      </c>
      <c r="E804" s="2" t="str">
        <f t="shared" si="16"/>
        <v>Non Significant</v>
      </c>
    </row>
    <row r="805" spans="3:5" x14ac:dyDescent="0.25">
      <c r="C805" s="15" t="s">
        <v>4453</v>
      </c>
      <c r="D805" s="16">
        <v>0</v>
      </c>
      <c r="E805" s="2" t="str">
        <f t="shared" si="16"/>
        <v>Non Significant</v>
      </c>
    </row>
    <row r="806" spans="3:5" x14ac:dyDescent="0.25">
      <c r="C806" s="15" t="s">
        <v>2455</v>
      </c>
      <c r="D806" s="16">
        <v>0</v>
      </c>
      <c r="E806" s="2" t="str">
        <f t="shared" si="16"/>
        <v>Non Significant</v>
      </c>
    </row>
    <row r="807" spans="3:5" x14ac:dyDescent="0.25">
      <c r="C807" s="15" t="s">
        <v>4454</v>
      </c>
      <c r="D807" s="16">
        <v>0</v>
      </c>
      <c r="E807" s="2" t="str">
        <f t="shared" si="16"/>
        <v>Non Significant</v>
      </c>
    </row>
    <row r="808" spans="3:5" x14ac:dyDescent="0.25">
      <c r="C808" s="15" t="s">
        <v>2453</v>
      </c>
      <c r="D808" s="16">
        <v>0</v>
      </c>
      <c r="E808" s="2" t="str">
        <f t="shared" si="16"/>
        <v>Non Significant</v>
      </c>
    </row>
    <row r="809" spans="3:5" x14ac:dyDescent="0.25">
      <c r="C809" s="15" t="s">
        <v>4455</v>
      </c>
      <c r="D809" s="16">
        <v>0</v>
      </c>
      <c r="E809" s="2" t="str">
        <f t="shared" si="16"/>
        <v>Non Significant</v>
      </c>
    </row>
    <row r="810" spans="3:5" x14ac:dyDescent="0.25">
      <c r="C810" s="15" t="s">
        <v>942</v>
      </c>
      <c r="D810" s="16">
        <v>0</v>
      </c>
      <c r="E810" s="2" t="str">
        <f t="shared" si="16"/>
        <v>Non Significant</v>
      </c>
    </row>
    <row r="811" spans="3:5" x14ac:dyDescent="0.25">
      <c r="C811" s="15" t="s">
        <v>3231</v>
      </c>
      <c r="D811" s="16">
        <v>0</v>
      </c>
      <c r="E811" s="2" t="str">
        <f t="shared" si="16"/>
        <v>Non Significant</v>
      </c>
    </row>
    <row r="812" spans="3:5" x14ac:dyDescent="0.25">
      <c r="C812" s="15" t="s">
        <v>933</v>
      </c>
      <c r="D812" s="16">
        <v>0</v>
      </c>
      <c r="E812" s="2" t="str">
        <f t="shared" si="16"/>
        <v>Non Significant</v>
      </c>
    </row>
    <row r="813" spans="3:5" x14ac:dyDescent="0.25">
      <c r="C813" s="15" t="s">
        <v>3633</v>
      </c>
      <c r="D813" s="16">
        <v>0</v>
      </c>
      <c r="E813" s="2" t="str">
        <f t="shared" si="16"/>
        <v>Non Significant</v>
      </c>
    </row>
    <row r="814" spans="3:5" x14ac:dyDescent="0.25">
      <c r="C814" s="15" t="s">
        <v>937</v>
      </c>
      <c r="D814" s="16">
        <v>0</v>
      </c>
      <c r="E814" s="2" t="str">
        <f t="shared" si="16"/>
        <v>Non Significant</v>
      </c>
    </row>
    <row r="815" spans="3:5" x14ac:dyDescent="0.25">
      <c r="C815" s="15" t="s">
        <v>4456</v>
      </c>
      <c r="D815" s="16">
        <v>0</v>
      </c>
      <c r="E815" s="2" t="str">
        <f t="shared" si="16"/>
        <v>Non Significant</v>
      </c>
    </row>
    <row r="816" spans="3:5" x14ac:dyDescent="0.25">
      <c r="C816" s="15" t="s">
        <v>940</v>
      </c>
      <c r="D816" s="16">
        <v>0</v>
      </c>
      <c r="E816" s="2" t="str">
        <f t="shared" si="16"/>
        <v>Non Significant</v>
      </c>
    </row>
    <row r="817" spans="3:5" x14ac:dyDescent="0.25">
      <c r="C817" s="15" t="s">
        <v>4457</v>
      </c>
      <c r="D817" s="16">
        <v>0</v>
      </c>
      <c r="E817" s="2" t="str">
        <f t="shared" si="16"/>
        <v>Non Significant</v>
      </c>
    </row>
    <row r="818" spans="3:5" x14ac:dyDescent="0.25">
      <c r="C818" s="15" t="s">
        <v>2422</v>
      </c>
      <c r="D818" s="16">
        <v>0</v>
      </c>
      <c r="E818" s="2" t="str">
        <f t="shared" si="16"/>
        <v>Non Significant</v>
      </c>
    </row>
    <row r="819" spans="3:5" x14ac:dyDescent="0.25">
      <c r="C819" s="15" t="s">
        <v>4458</v>
      </c>
      <c r="D819" s="16">
        <v>0</v>
      </c>
      <c r="E819" s="2" t="str">
        <f t="shared" si="16"/>
        <v>Non Significant</v>
      </c>
    </row>
    <row r="820" spans="3:5" x14ac:dyDescent="0.25">
      <c r="C820" s="15" t="s">
        <v>4459</v>
      </c>
      <c r="D820" s="16">
        <v>0</v>
      </c>
      <c r="E820" s="2" t="str">
        <f t="shared" si="16"/>
        <v>Non Significant</v>
      </c>
    </row>
    <row r="821" spans="3:5" x14ac:dyDescent="0.25">
      <c r="C821" s="15" t="s">
        <v>3598</v>
      </c>
      <c r="D821" s="16">
        <v>0</v>
      </c>
      <c r="E821" s="2" t="str">
        <f t="shared" si="16"/>
        <v>Non Significant</v>
      </c>
    </row>
    <row r="822" spans="3:5" x14ac:dyDescent="0.25">
      <c r="C822" s="15" t="s">
        <v>2416</v>
      </c>
      <c r="D822" s="16">
        <v>0</v>
      </c>
      <c r="E822" s="2" t="str">
        <f t="shared" si="16"/>
        <v>Non Significant</v>
      </c>
    </row>
    <row r="823" spans="3:5" x14ac:dyDescent="0.25">
      <c r="C823" s="15" t="s">
        <v>4460</v>
      </c>
      <c r="D823" s="16">
        <v>0</v>
      </c>
      <c r="E823" s="2" t="str">
        <f t="shared" si="16"/>
        <v>Non Significant</v>
      </c>
    </row>
    <row r="824" spans="3:5" x14ac:dyDescent="0.25">
      <c r="C824" s="15" t="s">
        <v>2420</v>
      </c>
      <c r="D824" s="16">
        <v>0</v>
      </c>
      <c r="E824" s="2" t="str">
        <f t="shared" si="16"/>
        <v>Non Significant</v>
      </c>
    </row>
    <row r="825" spans="3:5" x14ac:dyDescent="0.25">
      <c r="C825" s="15" t="s">
        <v>4461</v>
      </c>
      <c r="D825" s="16">
        <v>0</v>
      </c>
      <c r="E825" s="2" t="str">
        <f t="shared" si="16"/>
        <v>Non Significant</v>
      </c>
    </row>
    <row r="826" spans="3:5" x14ac:dyDescent="0.25">
      <c r="C826" s="15" t="s">
        <v>2530</v>
      </c>
      <c r="D826" s="16">
        <v>0</v>
      </c>
      <c r="E826" s="2" t="str">
        <f t="shared" si="16"/>
        <v>Non Significant</v>
      </c>
    </row>
    <row r="827" spans="3:5" x14ac:dyDescent="0.25">
      <c r="C827" s="15" t="s">
        <v>4462</v>
      </c>
      <c r="D827" s="16">
        <v>0</v>
      </c>
      <c r="E827" s="2" t="str">
        <f t="shared" si="16"/>
        <v>Non Significant</v>
      </c>
    </row>
    <row r="828" spans="3:5" x14ac:dyDescent="0.25">
      <c r="C828" s="15" t="s">
        <v>2524</v>
      </c>
      <c r="D828" s="16">
        <v>0</v>
      </c>
      <c r="E828" s="2" t="str">
        <f t="shared" si="16"/>
        <v>Non Significant</v>
      </c>
    </row>
    <row r="829" spans="3:5" x14ac:dyDescent="0.25">
      <c r="C829" s="15" t="s">
        <v>128</v>
      </c>
      <c r="D829" s="16">
        <v>0</v>
      </c>
      <c r="E829" s="2" t="str">
        <f t="shared" si="16"/>
        <v>Non Significant</v>
      </c>
    </row>
    <row r="830" spans="3:5" x14ac:dyDescent="0.25">
      <c r="C830" s="15" t="s">
        <v>4463</v>
      </c>
      <c r="D830" s="16">
        <v>0</v>
      </c>
      <c r="E830" s="2" t="str">
        <f t="shared" si="16"/>
        <v>Non Significant</v>
      </c>
    </row>
    <row r="831" spans="3:5" x14ac:dyDescent="0.25">
      <c r="C831" s="15" t="s">
        <v>4464</v>
      </c>
      <c r="D831" s="16">
        <v>0</v>
      </c>
      <c r="E831" s="2" t="str">
        <f t="shared" si="16"/>
        <v>Non Significant</v>
      </c>
    </row>
    <row r="832" spans="3:5" x14ac:dyDescent="0.25">
      <c r="C832" s="15" t="s">
        <v>497</v>
      </c>
      <c r="D832" s="16">
        <v>0</v>
      </c>
      <c r="E832" s="2" t="str">
        <f t="shared" si="16"/>
        <v>Non Significant</v>
      </c>
    </row>
    <row r="833" spans="3:5" x14ac:dyDescent="0.25">
      <c r="C833" s="15" t="s">
        <v>4465</v>
      </c>
      <c r="D833" s="16">
        <v>0</v>
      </c>
      <c r="E833" s="2" t="str">
        <f t="shared" si="16"/>
        <v>Non Significant</v>
      </c>
    </row>
    <row r="834" spans="3:5" x14ac:dyDescent="0.25">
      <c r="C834" s="15" t="s">
        <v>2515</v>
      </c>
      <c r="D834" s="16">
        <v>0</v>
      </c>
      <c r="E834" s="2" t="str">
        <f t="shared" si="16"/>
        <v>Non Significant</v>
      </c>
    </row>
    <row r="835" spans="3:5" x14ac:dyDescent="0.25">
      <c r="C835" s="15" t="s">
        <v>4466</v>
      </c>
      <c r="D835" s="16">
        <v>0</v>
      </c>
      <c r="E835" s="2" t="str">
        <f t="shared" si="16"/>
        <v>Non Significant</v>
      </c>
    </row>
    <row r="836" spans="3:5" x14ac:dyDescent="0.25">
      <c r="C836" s="15" t="s">
        <v>2519</v>
      </c>
      <c r="D836" s="16">
        <v>0</v>
      </c>
      <c r="E836" s="2" t="str">
        <f t="shared" si="16"/>
        <v>Non Significant</v>
      </c>
    </row>
    <row r="837" spans="3:5" x14ac:dyDescent="0.25">
      <c r="C837" s="15" t="s">
        <v>3729</v>
      </c>
      <c r="D837" s="16">
        <v>0</v>
      </c>
      <c r="E837" s="2" t="str">
        <f t="shared" si="16"/>
        <v>Non Significant</v>
      </c>
    </row>
    <row r="838" spans="3:5" x14ac:dyDescent="0.25">
      <c r="C838" s="15" t="s">
        <v>896</v>
      </c>
      <c r="D838" s="16">
        <v>0</v>
      </c>
      <c r="E838" s="2" t="str">
        <f t="shared" si="16"/>
        <v>Non Significant</v>
      </c>
    </row>
    <row r="839" spans="3:5" x14ac:dyDescent="0.25">
      <c r="C839" s="15" t="s">
        <v>3724</v>
      </c>
      <c r="D839" s="16">
        <v>0</v>
      </c>
      <c r="E839" s="2" t="str">
        <f t="shared" ref="E839:E902" si="17">IF(D839&gt;=500000000000,"Critical",IF(AND(D839&gt;=50000000000,D839&lt;500000000000),"Significant",IF(AND(D839&gt;=45000000000,D839&lt;50000000000),"Almost Significant",IF(D839&lt;45000000000,"Non Significant",0))))</f>
        <v>Non Significant</v>
      </c>
    </row>
    <row r="840" spans="3:5" x14ac:dyDescent="0.25">
      <c r="C840" s="15" t="s">
        <v>891</v>
      </c>
      <c r="D840" s="16">
        <v>0</v>
      </c>
      <c r="E840" s="2" t="str">
        <f t="shared" si="17"/>
        <v>Non Significant</v>
      </c>
    </row>
    <row r="841" spans="3:5" x14ac:dyDescent="0.25">
      <c r="C841" s="15" t="s">
        <v>4467</v>
      </c>
      <c r="D841" s="16">
        <v>0</v>
      </c>
      <c r="E841" s="2" t="str">
        <f t="shared" si="17"/>
        <v>Non Significant</v>
      </c>
    </row>
    <row r="842" spans="3:5" x14ac:dyDescent="0.25">
      <c r="C842" s="15" t="s">
        <v>3980</v>
      </c>
      <c r="D842" s="16">
        <v>0</v>
      </c>
      <c r="E842" s="2" t="str">
        <f t="shared" si="17"/>
        <v>Non Significant</v>
      </c>
    </row>
    <row r="843" spans="3:5" x14ac:dyDescent="0.25">
      <c r="C843" s="15" t="s">
        <v>4468</v>
      </c>
      <c r="D843" s="16">
        <v>0</v>
      </c>
      <c r="E843" s="2" t="str">
        <f t="shared" si="17"/>
        <v>Non Significant</v>
      </c>
    </row>
    <row r="844" spans="3:5" x14ac:dyDescent="0.25">
      <c r="C844" s="15" t="s">
        <v>217</v>
      </c>
      <c r="D844" s="16">
        <v>0</v>
      </c>
      <c r="E844" s="2" t="str">
        <f t="shared" si="17"/>
        <v>Non Significant</v>
      </c>
    </row>
    <row r="845" spans="3:5" x14ac:dyDescent="0.25">
      <c r="C845" s="15" t="s">
        <v>213</v>
      </c>
      <c r="D845" s="16">
        <v>0</v>
      </c>
      <c r="E845" s="2" t="str">
        <f t="shared" si="17"/>
        <v>Non Significant</v>
      </c>
    </row>
    <row r="846" spans="3:5" x14ac:dyDescent="0.25">
      <c r="C846" s="15" t="s">
        <v>4083</v>
      </c>
      <c r="D846" s="16">
        <v>0</v>
      </c>
      <c r="E846" s="2" t="str">
        <f t="shared" si="17"/>
        <v>Non Significant</v>
      </c>
    </row>
    <row r="847" spans="3:5" x14ac:dyDescent="0.25">
      <c r="C847" s="15" t="s">
        <v>4469</v>
      </c>
      <c r="D847" s="16">
        <v>0</v>
      </c>
      <c r="E847" s="2" t="str">
        <f t="shared" si="17"/>
        <v>Non Significant</v>
      </c>
    </row>
    <row r="848" spans="3:5" x14ac:dyDescent="0.25">
      <c r="C848" s="15" t="s">
        <v>4470</v>
      </c>
      <c r="D848" s="16">
        <v>0</v>
      </c>
      <c r="E848" s="2" t="str">
        <f t="shared" si="17"/>
        <v>Non Significant</v>
      </c>
    </row>
    <row r="849" spans="3:5" x14ac:dyDescent="0.25">
      <c r="C849" s="15" t="s">
        <v>4471</v>
      </c>
      <c r="D849" s="16">
        <v>0</v>
      </c>
      <c r="E849" s="2" t="str">
        <f t="shared" si="17"/>
        <v>Non Significant</v>
      </c>
    </row>
    <row r="850" spans="3:5" x14ac:dyDescent="0.25">
      <c r="C850" s="15" t="s">
        <v>4472</v>
      </c>
      <c r="D850" s="16">
        <v>0</v>
      </c>
      <c r="E850" s="2" t="str">
        <f t="shared" si="17"/>
        <v>Non Significant</v>
      </c>
    </row>
    <row r="851" spans="3:5" x14ac:dyDescent="0.25">
      <c r="C851" s="15" t="s">
        <v>513</v>
      </c>
      <c r="D851" s="16">
        <v>0</v>
      </c>
      <c r="E851" s="2" t="str">
        <f t="shared" si="17"/>
        <v>Non Significant</v>
      </c>
    </row>
    <row r="852" spans="3:5" x14ac:dyDescent="0.25">
      <c r="C852" s="15" t="s">
        <v>4473</v>
      </c>
      <c r="D852" s="16">
        <v>0</v>
      </c>
      <c r="E852" s="2" t="str">
        <f t="shared" si="17"/>
        <v>Non Significant</v>
      </c>
    </row>
    <row r="853" spans="3:5" x14ac:dyDescent="0.25">
      <c r="C853" s="15" t="s">
        <v>2311</v>
      </c>
      <c r="D853" s="16">
        <v>0</v>
      </c>
      <c r="E853" s="2" t="str">
        <f t="shared" si="17"/>
        <v>Non Significant</v>
      </c>
    </row>
    <row r="854" spans="3:5" x14ac:dyDescent="0.25">
      <c r="C854" s="15" t="s">
        <v>3945</v>
      </c>
      <c r="D854" s="16">
        <v>0</v>
      </c>
      <c r="E854" s="2" t="str">
        <f t="shared" si="17"/>
        <v>Non Significant</v>
      </c>
    </row>
    <row r="855" spans="3:5" x14ac:dyDescent="0.25">
      <c r="C855" s="15" t="s">
        <v>511</v>
      </c>
      <c r="D855" s="16">
        <v>0</v>
      </c>
      <c r="E855" s="2" t="str">
        <f t="shared" si="17"/>
        <v>Non Significant</v>
      </c>
    </row>
    <row r="856" spans="3:5" x14ac:dyDescent="0.25">
      <c r="C856" s="15" t="s">
        <v>616</v>
      </c>
      <c r="D856" s="16">
        <v>0</v>
      </c>
      <c r="E856" s="2" t="str">
        <f t="shared" si="17"/>
        <v>Non Significant</v>
      </c>
    </row>
    <row r="857" spans="3:5" x14ac:dyDescent="0.25">
      <c r="C857" s="15" t="s">
        <v>2182</v>
      </c>
      <c r="D857" s="16">
        <v>0</v>
      </c>
      <c r="E857" s="2" t="str">
        <f t="shared" si="17"/>
        <v>Non Significant</v>
      </c>
    </row>
    <row r="858" spans="3:5" x14ac:dyDescent="0.25">
      <c r="C858" s="15" t="s">
        <v>4474</v>
      </c>
      <c r="D858" s="16">
        <v>0</v>
      </c>
      <c r="E858" s="2" t="str">
        <f t="shared" si="17"/>
        <v>Non Significant</v>
      </c>
    </row>
    <row r="859" spans="3:5" x14ac:dyDescent="0.25">
      <c r="C859" s="15" t="s">
        <v>4147</v>
      </c>
      <c r="D859" s="16">
        <v>0</v>
      </c>
      <c r="E859" s="2" t="str">
        <f t="shared" si="17"/>
        <v>Non Significant</v>
      </c>
    </row>
    <row r="860" spans="3:5" x14ac:dyDescent="0.25">
      <c r="C860" s="15" t="s">
        <v>4475</v>
      </c>
      <c r="D860" s="16">
        <v>0</v>
      </c>
      <c r="E860" s="2" t="str">
        <f t="shared" si="17"/>
        <v>Non Significant</v>
      </c>
    </row>
    <row r="861" spans="3:5" x14ac:dyDescent="0.25">
      <c r="C861" s="15" t="s">
        <v>4476</v>
      </c>
      <c r="D861" s="16">
        <v>0</v>
      </c>
      <c r="E861" s="2" t="str">
        <f t="shared" si="17"/>
        <v>Non Significant</v>
      </c>
    </row>
    <row r="862" spans="3:5" x14ac:dyDescent="0.25">
      <c r="C862" s="15" t="s">
        <v>918</v>
      </c>
      <c r="D862" s="16">
        <v>0</v>
      </c>
      <c r="E862" s="2" t="str">
        <f t="shared" si="17"/>
        <v>Non Significant</v>
      </c>
    </row>
    <row r="863" spans="3:5" x14ac:dyDescent="0.25">
      <c r="C863" s="15" t="s">
        <v>4477</v>
      </c>
      <c r="D863" s="16">
        <v>0</v>
      </c>
      <c r="E863" s="2" t="str">
        <f t="shared" si="17"/>
        <v>Non Significant</v>
      </c>
    </row>
    <row r="864" spans="3:5" x14ac:dyDescent="0.25">
      <c r="C864" s="15" t="s">
        <v>908</v>
      </c>
      <c r="D864" s="16">
        <v>0</v>
      </c>
      <c r="E864" s="2" t="str">
        <f t="shared" si="17"/>
        <v>Non Significant</v>
      </c>
    </row>
    <row r="865" spans="3:5" x14ac:dyDescent="0.25">
      <c r="C865" s="15" t="s">
        <v>4478</v>
      </c>
      <c r="D865" s="16">
        <v>0</v>
      </c>
      <c r="E865" s="2" t="str">
        <f t="shared" si="17"/>
        <v>Non Significant</v>
      </c>
    </row>
    <row r="866" spans="3:5" x14ac:dyDescent="0.25">
      <c r="C866" s="15" t="s">
        <v>913</v>
      </c>
      <c r="D866" s="16">
        <v>0</v>
      </c>
      <c r="E866" s="2" t="str">
        <f t="shared" si="17"/>
        <v>Non Significant</v>
      </c>
    </row>
    <row r="867" spans="3:5" x14ac:dyDescent="0.25">
      <c r="C867" s="15" t="s">
        <v>3264</v>
      </c>
      <c r="D867" s="16">
        <v>0</v>
      </c>
      <c r="E867" s="2" t="str">
        <f t="shared" si="17"/>
        <v>Non Significant</v>
      </c>
    </row>
    <row r="868" spans="3:5" x14ac:dyDescent="0.25">
      <c r="C868" s="15" t="s">
        <v>4479</v>
      </c>
      <c r="D868" s="16">
        <v>0</v>
      </c>
      <c r="E868" s="2" t="str">
        <f t="shared" si="17"/>
        <v>Non Significant</v>
      </c>
    </row>
    <row r="869" spans="3:5" x14ac:dyDescent="0.25">
      <c r="C869" s="15" t="s">
        <v>2723</v>
      </c>
      <c r="D869" s="16">
        <v>0</v>
      </c>
      <c r="E869" s="2" t="str">
        <f t="shared" si="17"/>
        <v>Non Significant</v>
      </c>
    </row>
    <row r="870" spans="3:5" x14ac:dyDescent="0.25">
      <c r="C870" s="15" t="s">
        <v>4480</v>
      </c>
      <c r="D870" s="16">
        <v>0</v>
      </c>
      <c r="E870" s="2" t="str">
        <f t="shared" si="17"/>
        <v>Non Significant</v>
      </c>
    </row>
    <row r="871" spans="3:5" x14ac:dyDescent="0.25">
      <c r="C871" s="15" t="s">
        <v>4481</v>
      </c>
      <c r="D871" s="16">
        <v>0</v>
      </c>
      <c r="E871" s="2" t="str">
        <f t="shared" si="17"/>
        <v>Non Significant</v>
      </c>
    </row>
    <row r="872" spans="3:5" x14ac:dyDescent="0.25">
      <c r="C872" s="15" t="s">
        <v>632</v>
      </c>
      <c r="D872" s="16">
        <v>0</v>
      </c>
      <c r="E872" s="2" t="str">
        <f t="shared" si="17"/>
        <v>Non Significant</v>
      </c>
    </row>
    <row r="873" spans="3:5" x14ac:dyDescent="0.25">
      <c r="C873" s="15" t="s">
        <v>4482</v>
      </c>
      <c r="D873" s="16">
        <v>0</v>
      </c>
      <c r="E873" s="2" t="str">
        <f t="shared" si="17"/>
        <v>Non Significant</v>
      </c>
    </row>
    <row r="874" spans="3:5" x14ac:dyDescent="0.25">
      <c r="C874" s="15" t="s">
        <v>4483</v>
      </c>
      <c r="D874" s="16">
        <v>0</v>
      </c>
      <c r="E874" s="2" t="str">
        <f t="shared" si="17"/>
        <v>Non Significant</v>
      </c>
    </row>
    <row r="875" spans="3:5" x14ac:dyDescent="0.25">
      <c r="C875" s="15" t="s">
        <v>4484</v>
      </c>
      <c r="D875" s="16">
        <v>0</v>
      </c>
      <c r="E875" s="2" t="str">
        <f t="shared" si="17"/>
        <v>Non Significant</v>
      </c>
    </row>
    <row r="876" spans="3:5" x14ac:dyDescent="0.25">
      <c r="C876" s="15" t="s">
        <v>4485</v>
      </c>
      <c r="D876" s="16">
        <v>0</v>
      </c>
      <c r="E876" s="2" t="str">
        <f t="shared" si="17"/>
        <v>Non Significant</v>
      </c>
    </row>
    <row r="877" spans="3:5" x14ac:dyDescent="0.25">
      <c r="C877" s="15" t="s">
        <v>2721</v>
      </c>
      <c r="D877" s="16">
        <v>0</v>
      </c>
      <c r="E877" s="2" t="str">
        <f t="shared" si="17"/>
        <v>Non Significant</v>
      </c>
    </row>
    <row r="878" spans="3:5" x14ac:dyDescent="0.25">
      <c r="C878" s="15" t="s">
        <v>4486</v>
      </c>
      <c r="D878" s="16">
        <v>0</v>
      </c>
      <c r="E878" s="2" t="str">
        <f t="shared" si="17"/>
        <v>Non Significant</v>
      </c>
    </row>
    <row r="879" spans="3:5" x14ac:dyDescent="0.25">
      <c r="C879" s="15" t="s">
        <v>916</v>
      </c>
      <c r="D879" s="16">
        <v>0</v>
      </c>
      <c r="E879" s="2" t="str">
        <f t="shared" si="17"/>
        <v>Non Significant</v>
      </c>
    </row>
    <row r="880" spans="3:5" x14ac:dyDescent="0.25">
      <c r="C880" s="15" t="s">
        <v>4487</v>
      </c>
      <c r="D880" s="16">
        <v>0</v>
      </c>
      <c r="E880" s="2" t="str">
        <f t="shared" si="17"/>
        <v>Non Significant</v>
      </c>
    </row>
    <row r="881" spans="3:5" x14ac:dyDescent="0.25">
      <c r="C881" s="15" t="s">
        <v>4091</v>
      </c>
      <c r="D881" s="16">
        <v>0</v>
      </c>
      <c r="E881" s="2" t="str">
        <f t="shared" si="17"/>
        <v>Non Significant</v>
      </c>
    </row>
    <row r="882" spans="3:5" x14ac:dyDescent="0.25">
      <c r="C882" s="15" t="s">
        <v>4488</v>
      </c>
      <c r="D882" s="16">
        <v>0</v>
      </c>
      <c r="E882" s="2" t="str">
        <f t="shared" si="17"/>
        <v>Non Significant</v>
      </c>
    </row>
    <row r="883" spans="3:5" x14ac:dyDescent="0.25">
      <c r="C883" s="15" t="s">
        <v>4489</v>
      </c>
      <c r="D883" s="16">
        <v>0</v>
      </c>
      <c r="E883" s="2" t="str">
        <f t="shared" si="17"/>
        <v>Non Significant</v>
      </c>
    </row>
    <row r="884" spans="3:5" x14ac:dyDescent="0.25">
      <c r="C884" s="15" t="s">
        <v>4490</v>
      </c>
      <c r="D884" s="16">
        <v>0</v>
      </c>
      <c r="E884" s="2" t="str">
        <f t="shared" si="17"/>
        <v>Non Significant</v>
      </c>
    </row>
    <row r="885" spans="3:5" x14ac:dyDescent="0.25">
      <c r="C885" s="15" t="s">
        <v>4491</v>
      </c>
      <c r="D885" s="16">
        <v>0</v>
      </c>
      <c r="E885" s="2" t="str">
        <f t="shared" si="17"/>
        <v>Non Significant</v>
      </c>
    </row>
    <row r="886" spans="3:5" x14ac:dyDescent="0.25">
      <c r="C886" s="15" t="s">
        <v>4492</v>
      </c>
      <c r="D886" s="16">
        <v>0</v>
      </c>
      <c r="E886" s="2" t="str">
        <f t="shared" si="17"/>
        <v>Non Significant</v>
      </c>
    </row>
    <row r="887" spans="3:5" x14ac:dyDescent="0.25">
      <c r="C887" s="15" t="s">
        <v>2263</v>
      </c>
      <c r="D887" s="16">
        <v>0</v>
      </c>
      <c r="E887" s="2" t="str">
        <f t="shared" si="17"/>
        <v>Non Significant</v>
      </c>
    </row>
    <row r="888" spans="3:5" x14ac:dyDescent="0.25">
      <c r="C888" s="15" t="s">
        <v>4493</v>
      </c>
      <c r="D888" s="16">
        <v>0</v>
      </c>
      <c r="E888" s="2" t="str">
        <f t="shared" si="17"/>
        <v>Non Significant</v>
      </c>
    </row>
    <row r="889" spans="3:5" x14ac:dyDescent="0.25">
      <c r="C889" s="15" t="s">
        <v>2260</v>
      </c>
      <c r="D889" s="16">
        <v>0</v>
      </c>
      <c r="E889" s="2" t="str">
        <f t="shared" si="17"/>
        <v>Non Significant</v>
      </c>
    </row>
    <row r="890" spans="3:5" x14ac:dyDescent="0.25">
      <c r="C890" s="15" t="s">
        <v>4189</v>
      </c>
      <c r="D890" s="16">
        <v>0</v>
      </c>
      <c r="E890" s="2" t="str">
        <f t="shared" si="17"/>
        <v>Non Significant</v>
      </c>
    </row>
    <row r="891" spans="3:5" x14ac:dyDescent="0.25">
      <c r="C891" s="15" t="s">
        <v>3962</v>
      </c>
      <c r="D891" s="16">
        <v>0</v>
      </c>
      <c r="E891" s="2" t="str">
        <f t="shared" si="17"/>
        <v>Non Significant</v>
      </c>
    </row>
    <row r="892" spans="3:5" x14ac:dyDescent="0.25">
      <c r="C892" s="15" t="s">
        <v>4494</v>
      </c>
      <c r="D892" s="16">
        <v>0</v>
      </c>
      <c r="E892" s="2" t="str">
        <f t="shared" si="17"/>
        <v>Non Significant</v>
      </c>
    </row>
    <row r="893" spans="3:5" x14ac:dyDescent="0.25">
      <c r="C893" s="15" t="s">
        <v>281</v>
      </c>
      <c r="D893" s="16">
        <v>0</v>
      </c>
      <c r="E893" s="2" t="str">
        <f t="shared" si="17"/>
        <v>Non Significant</v>
      </c>
    </row>
    <row r="894" spans="3:5" x14ac:dyDescent="0.25">
      <c r="C894" s="15" t="s">
        <v>4495</v>
      </c>
      <c r="D894" s="16">
        <v>0</v>
      </c>
      <c r="E894" s="2" t="str">
        <f t="shared" si="17"/>
        <v>Non Significant</v>
      </c>
    </row>
    <row r="895" spans="3:5" x14ac:dyDescent="0.25">
      <c r="C895" s="15" t="s">
        <v>4496</v>
      </c>
      <c r="D895" s="16">
        <v>0</v>
      </c>
      <c r="E895" s="2" t="str">
        <f t="shared" si="17"/>
        <v>Non Significant</v>
      </c>
    </row>
    <row r="896" spans="3:5" x14ac:dyDescent="0.25">
      <c r="C896" s="15" t="s">
        <v>4497</v>
      </c>
      <c r="D896" s="16">
        <v>0</v>
      </c>
      <c r="E896" s="2" t="str">
        <f t="shared" si="17"/>
        <v>Non Significant</v>
      </c>
    </row>
    <row r="897" spans="3:5" x14ac:dyDescent="0.25">
      <c r="C897" s="15" t="s">
        <v>4498</v>
      </c>
      <c r="D897" s="16">
        <v>0</v>
      </c>
      <c r="E897" s="2" t="str">
        <f t="shared" si="17"/>
        <v>Non Significant</v>
      </c>
    </row>
    <row r="898" spans="3:5" x14ac:dyDescent="0.25">
      <c r="C898" s="15" t="s">
        <v>4499</v>
      </c>
      <c r="D898" s="16">
        <v>0</v>
      </c>
      <c r="E898" s="2" t="str">
        <f t="shared" si="17"/>
        <v>Non Significant</v>
      </c>
    </row>
    <row r="899" spans="3:5" x14ac:dyDescent="0.25">
      <c r="C899" s="15" t="s">
        <v>4500</v>
      </c>
      <c r="D899" s="16">
        <v>0</v>
      </c>
      <c r="E899" s="2" t="str">
        <f t="shared" si="17"/>
        <v>Non Significant</v>
      </c>
    </row>
    <row r="900" spans="3:5" x14ac:dyDescent="0.25">
      <c r="C900" s="15" t="s">
        <v>4501</v>
      </c>
      <c r="D900" s="16">
        <v>0</v>
      </c>
      <c r="E900" s="2" t="str">
        <f t="shared" si="17"/>
        <v>Non Significant</v>
      </c>
    </row>
    <row r="901" spans="3:5" x14ac:dyDescent="0.25">
      <c r="C901" s="15" t="s">
        <v>225</v>
      </c>
      <c r="D901" s="16">
        <v>0</v>
      </c>
      <c r="E901" s="2" t="str">
        <f t="shared" si="17"/>
        <v>Non Significant</v>
      </c>
    </row>
    <row r="902" spans="3:5" x14ac:dyDescent="0.25">
      <c r="C902" s="15" t="s">
        <v>4502</v>
      </c>
      <c r="D902" s="16">
        <v>0</v>
      </c>
      <c r="E902" s="2" t="str">
        <f t="shared" si="17"/>
        <v>Non Significant</v>
      </c>
    </row>
    <row r="903" spans="3:5" x14ac:dyDescent="0.25">
      <c r="C903" s="15" t="s">
        <v>3234</v>
      </c>
      <c r="D903" s="16">
        <v>0</v>
      </c>
      <c r="E903" s="2" t="str">
        <f t="shared" ref="E903:E966" si="18">IF(D903&gt;=500000000000,"Critical",IF(AND(D903&gt;=50000000000,D903&lt;500000000000),"Significant",IF(AND(D903&gt;=45000000000,D903&lt;50000000000),"Almost Significant",IF(D903&lt;45000000000,"Non Significant",0))))</f>
        <v>Non Significant</v>
      </c>
    </row>
    <row r="904" spans="3:5" x14ac:dyDescent="0.25">
      <c r="C904" s="15" t="s">
        <v>4503</v>
      </c>
      <c r="D904" s="16">
        <v>0</v>
      </c>
      <c r="E904" s="2" t="str">
        <f t="shared" si="18"/>
        <v>Non Significant</v>
      </c>
    </row>
    <row r="905" spans="3:5" x14ac:dyDescent="0.25">
      <c r="C905" s="15" t="s">
        <v>205</v>
      </c>
      <c r="D905" s="16">
        <v>0</v>
      </c>
      <c r="E905" s="2" t="str">
        <f t="shared" si="18"/>
        <v>Non Significant</v>
      </c>
    </row>
    <row r="906" spans="3:5" x14ac:dyDescent="0.25">
      <c r="C906" s="15" t="s">
        <v>4504</v>
      </c>
      <c r="D906" s="16">
        <v>0</v>
      </c>
      <c r="E906" s="2" t="str">
        <f t="shared" si="18"/>
        <v>Non Significant</v>
      </c>
    </row>
    <row r="907" spans="3:5" x14ac:dyDescent="0.25">
      <c r="C907" s="15" t="s">
        <v>3237</v>
      </c>
      <c r="D907" s="16">
        <v>0</v>
      </c>
      <c r="E907" s="2" t="str">
        <f t="shared" si="18"/>
        <v>Non Significant</v>
      </c>
    </row>
    <row r="908" spans="3:5" x14ac:dyDescent="0.25">
      <c r="C908" s="15" t="s">
        <v>4505</v>
      </c>
      <c r="D908" s="16">
        <v>0</v>
      </c>
      <c r="E908" s="2" t="str">
        <f t="shared" si="18"/>
        <v>Non Significant</v>
      </c>
    </row>
    <row r="909" spans="3:5" x14ac:dyDescent="0.25">
      <c r="C909" s="15" t="s">
        <v>4506</v>
      </c>
      <c r="D909" s="16">
        <v>0</v>
      </c>
      <c r="E909" s="2" t="str">
        <f t="shared" si="18"/>
        <v>Non Significant</v>
      </c>
    </row>
    <row r="910" spans="3:5" x14ac:dyDescent="0.25">
      <c r="C910" s="15" t="s">
        <v>857</v>
      </c>
      <c r="D910" s="16">
        <v>0</v>
      </c>
      <c r="E910" s="2" t="str">
        <f t="shared" si="18"/>
        <v>Non Significant</v>
      </c>
    </row>
    <row r="911" spans="3:5" x14ac:dyDescent="0.25">
      <c r="C911" s="15" t="s">
        <v>4190</v>
      </c>
      <c r="D911" s="16">
        <v>0</v>
      </c>
      <c r="E911" s="2" t="str">
        <f t="shared" si="18"/>
        <v>Non Significant</v>
      </c>
    </row>
    <row r="912" spans="3:5" x14ac:dyDescent="0.25">
      <c r="C912" s="15" t="s">
        <v>863</v>
      </c>
      <c r="D912" s="16">
        <v>0</v>
      </c>
      <c r="E912" s="2" t="str">
        <f t="shared" si="18"/>
        <v>Non Significant</v>
      </c>
    </row>
    <row r="913" spans="3:5" x14ac:dyDescent="0.25">
      <c r="C913" s="15" t="s">
        <v>4507</v>
      </c>
      <c r="D913" s="16">
        <v>0</v>
      </c>
      <c r="E913" s="2" t="str">
        <f t="shared" si="18"/>
        <v>Non Significant</v>
      </c>
    </row>
    <row r="914" spans="3:5" x14ac:dyDescent="0.25">
      <c r="C914" s="15" t="s">
        <v>861</v>
      </c>
      <c r="D914" s="16">
        <v>0</v>
      </c>
      <c r="E914" s="2" t="str">
        <f t="shared" si="18"/>
        <v>Non Significant</v>
      </c>
    </row>
    <row r="915" spans="3:5" x14ac:dyDescent="0.25">
      <c r="C915" s="15" t="s">
        <v>4508</v>
      </c>
      <c r="D915" s="16">
        <v>0</v>
      </c>
      <c r="E915" s="2" t="str">
        <f t="shared" si="18"/>
        <v>Non Significant</v>
      </c>
    </row>
    <row r="916" spans="3:5" x14ac:dyDescent="0.25">
      <c r="C916" s="15" t="s">
        <v>4117</v>
      </c>
      <c r="D916" s="16">
        <v>0</v>
      </c>
      <c r="E916" s="2" t="str">
        <f t="shared" si="18"/>
        <v>Non Significant</v>
      </c>
    </row>
    <row r="917" spans="3:5" x14ac:dyDescent="0.25">
      <c r="C917" s="15" t="s">
        <v>3985</v>
      </c>
      <c r="D917" s="16">
        <v>0</v>
      </c>
      <c r="E917" s="2" t="str">
        <f t="shared" si="18"/>
        <v>Non Significant</v>
      </c>
    </row>
    <row r="918" spans="3:5" x14ac:dyDescent="0.25">
      <c r="C918" s="15" t="s">
        <v>4509</v>
      </c>
      <c r="D918" s="16">
        <v>0</v>
      </c>
      <c r="E918" s="2" t="str">
        <f t="shared" si="18"/>
        <v>Non Significant</v>
      </c>
    </row>
    <row r="919" spans="3:5" x14ac:dyDescent="0.25">
      <c r="C919" s="15" t="s">
        <v>4510</v>
      </c>
      <c r="D919" s="16">
        <v>0</v>
      </c>
      <c r="E919" s="2" t="str">
        <f t="shared" si="18"/>
        <v>Non Significant</v>
      </c>
    </row>
    <row r="920" spans="3:5" x14ac:dyDescent="0.25">
      <c r="C920" s="15" t="s">
        <v>4511</v>
      </c>
      <c r="D920" s="16">
        <v>0</v>
      </c>
      <c r="E920" s="2" t="str">
        <f t="shared" si="18"/>
        <v>Non Significant</v>
      </c>
    </row>
    <row r="921" spans="3:5" x14ac:dyDescent="0.25">
      <c r="C921" s="15" t="s">
        <v>3216</v>
      </c>
      <c r="D921" s="16">
        <v>0</v>
      </c>
      <c r="E921" s="2" t="str">
        <f t="shared" si="18"/>
        <v>Non Significant</v>
      </c>
    </row>
    <row r="922" spans="3:5" x14ac:dyDescent="0.25">
      <c r="C922" s="15" t="s">
        <v>4512</v>
      </c>
      <c r="D922" s="16">
        <v>0</v>
      </c>
      <c r="E922" s="2" t="str">
        <f t="shared" si="18"/>
        <v>Non Significant</v>
      </c>
    </row>
    <row r="923" spans="3:5" x14ac:dyDescent="0.25">
      <c r="C923" s="15" t="s">
        <v>3219</v>
      </c>
      <c r="D923" s="16">
        <v>0</v>
      </c>
      <c r="E923" s="2" t="str">
        <f t="shared" si="18"/>
        <v>Non Significant</v>
      </c>
    </row>
    <row r="924" spans="3:5" x14ac:dyDescent="0.25">
      <c r="C924" s="15" t="s">
        <v>4120</v>
      </c>
      <c r="D924" s="16">
        <v>0</v>
      </c>
      <c r="E924" s="2" t="str">
        <f t="shared" si="18"/>
        <v>Non Significant</v>
      </c>
    </row>
    <row r="925" spans="3:5" x14ac:dyDescent="0.25">
      <c r="C925" s="15" t="s">
        <v>4513</v>
      </c>
      <c r="D925" s="16">
        <v>0</v>
      </c>
      <c r="E925" s="2" t="str">
        <f t="shared" si="18"/>
        <v>Non Significant</v>
      </c>
    </row>
    <row r="926" spans="3:5" x14ac:dyDescent="0.25">
      <c r="C926" s="15" t="s">
        <v>4514</v>
      </c>
      <c r="D926" s="16">
        <v>0</v>
      </c>
      <c r="E926" s="2" t="str">
        <f t="shared" si="18"/>
        <v>Non Significant</v>
      </c>
    </row>
    <row r="927" spans="3:5" x14ac:dyDescent="0.25">
      <c r="C927" s="15" t="s">
        <v>3222</v>
      </c>
      <c r="D927" s="16">
        <v>0</v>
      </c>
      <c r="E927" s="2" t="str">
        <f t="shared" si="18"/>
        <v>Non Significant</v>
      </c>
    </row>
    <row r="928" spans="3:5" x14ac:dyDescent="0.25">
      <c r="C928" s="15" t="s">
        <v>4515</v>
      </c>
      <c r="D928" s="16">
        <v>0</v>
      </c>
      <c r="E928" s="2" t="str">
        <f t="shared" si="18"/>
        <v>Non Significant</v>
      </c>
    </row>
    <row r="929" spans="3:5" x14ac:dyDescent="0.25">
      <c r="C929" s="15" t="s">
        <v>3225</v>
      </c>
      <c r="D929" s="16">
        <v>0</v>
      </c>
      <c r="E929" s="2" t="str">
        <f t="shared" si="18"/>
        <v>Non Significant</v>
      </c>
    </row>
    <row r="930" spans="3:5" x14ac:dyDescent="0.25">
      <c r="C930" s="15" t="s">
        <v>4516</v>
      </c>
      <c r="D930" s="16">
        <v>0</v>
      </c>
      <c r="E930" s="2" t="str">
        <f t="shared" si="18"/>
        <v>Non Significant</v>
      </c>
    </row>
    <row r="931" spans="3:5" x14ac:dyDescent="0.25">
      <c r="C931" s="15" t="s">
        <v>4517</v>
      </c>
      <c r="D931" s="16">
        <v>0</v>
      </c>
      <c r="E931" s="2" t="str">
        <f t="shared" si="18"/>
        <v>Non Significant</v>
      </c>
    </row>
    <row r="932" spans="3:5" x14ac:dyDescent="0.25">
      <c r="C932" s="15" t="s">
        <v>562</v>
      </c>
      <c r="D932" s="16">
        <v>0</v>
      </c>
      <c r="E932" s="2" t="str">
        <f t="shared" si="18"/>
        <v>Non Significant</v>
      </c>
    </row>
    <row r="933" spans="3:5" x14ac:dyDescent="0.25">
      <c r="C933" s="15" t="s">
        <v>4518</v>
      </c>
      <c r="D933" s="16">
        <v>0</v>
      </c>
      <c r="E933" s="2" t="str">
        <f t="shared" si="18"/>
        <v>Non Significant</v>
      </c>
    </row>
    <row r="934" spans="3:5" x14ac:dyDescent="0.25">
      <c r="C934" s="15" t="s">
        <v>4519</v>
      </c>
      <c r="D934" s="16">
        <v>0</v>
      </c>
      <c r="E934" s="2" t="str">
        <f t="shared" si="18"/>
        <v>Non Significant</v>
      </c>
    </row>
    <row r="935" spans="3:5" x14ac:dyDescent="0.25">
      <c r="C935" s="15" t="s">
        <v>4520</v>
      </c>
      <c r="D935" s="16">
        <v>0</v>
      </c>
      <c r="E935" s="2" t="str">
        <f t="shared" si="18"/>
        <v>Non Significant</v>
      </c>
    </row>
    <row r="936" spans="3:5" x14ac:dyDescent="0.25">
      <c r="C936" s="15" t="s">
        <v>4521</v>
      </c>
      <c r="D936" s="16">
        <v>0</v>
      </c>
      <c r="E936" s="2" t="str">
        <f t="shared" si="18"/>
        <v>Non Significant</v>
      </c>
    </row>
    <row r="937" spans="3:5" x14ac:dyDescent="0.25">
      <c r="C937" s="15" t="s">
        <v>4522</v>
      </c>
      <c r="D937" s="16">
        <v>0</v>
      </c>
      <c r="E937" s="2" t="str">
        <f t="shared" si="18"/>
        <v>Non Significant</v>
      </c>
    </row>
    <row r="938" spans="3:5" x14ac:dyDescent="0.25">
      <c r="C938" s="15" t="s">
        <v>3965</v>
      </c>
      <c r="D938" s="16">
        <v>0</v>
      </c>
      <c r="E938" s="2" t="str">
        <f t="shared" si="18"/>
        <v>Non Significant</v>
      </c>
    </row>
    <row r="939" spans="3:5" x14ac:dyDescent="0.25">
      <c r="C939" s="15" t="s">
        <v>4523</v>
      </c>
      <c r="D939" s="16">
        <v>0</v>
      </c>
      <c r="E939" s="2" t="str">
        <f t="shared" si="18"/>
        <v>Non Significant</v>
      </c>
    </row>
    <row r="940" spans="3:5" x14ac:dyDescent="0.25">
      <c r="C940" s="15" t="s">
        <v>810</v>
      </c>
      <c r="D940" s="16">
        <v>0</v>
      </c>
      <c r="E940" s="2" t="str">
        <f t="shared" si="18"/>
        <v>Non Significant</v>
      </c>
    </row>
    <row r="941" spans="3:5" x14ac:dyDescent="0.25">
      <c r="C941" s="15" t="s">
        <v>221</v>
      </c>
      <c r="D941" s="16">
        <v>0</v>
      </c>
      <c r="E941" s="2" t="str">
        <f t="shared" si="18"/>
        <v>Non Significant</v>
      </c>
    </row>
    <row r="942" spans="3:5" x14ac:dyDescent="0.25">
      <c r="C942" s="15" t="s">
        <v>4524</v>
      </c>
      <c r="D942" s="16">
        <v>0</v>
      </c>
      <c r="E942" s="2" t="str">
        <f t="shared" si="18"/>
        <v>Non Significant</v>
      </c>
    </row>
    <row r="943" spans="3:5" x14ac:dyDescent="0.25">
      <c r="C943" s="15" t="s">
        <v>377</v>
      </c>
      <c r="D943" s="16">
        <v>0</v>
      </c>
      <c r="E943" s="2" t="str">
        <f t="shared" si="18"/>
        <v>Non Significant</v>
      </c>
    </row>
    <row r="944" spans="3:5" x14ac:dyDescent="0.25">
      <c r="C944" s="15" t="s">
        <v>4525</v>
      </c>
      <c r="D944" s="16">
        <v>0</v>
      </c>
      <c r="E944" s="2" t="str">
        <f t="shared" si="18"/>
        <v>Non Significant</v>
      </c>
    </row>
    <row r="945" spans="3:5" x14ac:dyDescent="0.25">
      <c r="C945" s="15" t="s">
        <v>3604</v>
      </c>
      <c r="D945" s="16">
        <v>0</v>
      </c>
      <c r="E945" s="2" t="str">
        <f t="shared" si="18"/>
        <v>Non Significant</v>
      </c>
    </row>
    <row r="946" spans="3:5" x14ac:dyDescent="0.25">
      <c r="C946" s="15" t="s">
        <v>865</v>
      </c>
      <c r="D946" s="16">
        <v>0</v>
      </c>
      <c r="E946" s="2" t="str">
        <f t="shared" si="18"/>
        <v>Non Significant</v>
      </c>
    </row>
    <row r="947" spans="3:5" x14ac:dyDescent="0.25">
      <c r="C947" s="15" t="s">
        <v>3602</v>
      </c>
      <c r="D947" s="16">
        <v>0</v>
      </c>
      <c r="E947" s="2" t="str">
        <f t="shared" si="18"/>
        <v>Non Significant</v>
      </c>
    </row>
    <row r="948" spans="3:5" x14ac:dyDescent="0.25">
      <c r="C948" s="15" t="s">
        <v>852</v>
      </c>
      <c r="D948" s="16">
        <v>0</v>
      </c>
      <c r="E948" s="2" t="str">
        <f t="shared" si="18"/>
        <v>Non Significant</v>
      </c>
    </row>
    <row r="949" spans="3:5" x14ac:dyDescent="0.25">
      <c r="C949" s="15" t="s">
        <v>4526</v>
      </c>
      <c r="D949" s="16">
        <v>0</v>
      </c>
      <c r="E949" s="2" t="str">
        <f t="shared" si="18"/>
        <v>Non Significant</v>
      </c>
    </row>
    <row r="950" spans="3:5" x14ac:dyDescent="0.25">
      <c r="C950" s="15" t="s">
        <v>868</v>
      </c>
      <c r="D950" s="16">
        <v>0</v>
      </c>
      <c r="E950" s="2" t="str">
        <f t="shared" si="18"/>
        <v>Non Significant</v>
      </c>
    </row>
    <row r="951" spans="3:5" x14ac:dyDescent="0.25">
      <c r="C951" s="15" t="s">
        <v>4527</v>
      </c>
      <c r="D951" s="16">
        <v>0</v>
      </c>
      <c r="E951" s="2" t="str">
        <f t="shared" si="18"/>
        <v>Non Significant</v>
      </c>
    </row>
    <row r="952" spans="3:5" x14ac:dyDescent="0.25">
      <c r="C952" s="15" t="s">
        <v>4130</v>
      </c>
      <c r="D952" s="16">
        <v>0</v>
      </c>
      <c r="E952" s="2" t="str">
        <f t="shared" si="18"/>
        <v>Non Significant</v>
      </c>
    </row>
    <row r="953" spans="3:5" x14ac:dyDescent="0.25">
      <c r="C953" s="15" t="s">
        <v>4528</v>
      </c>
      <c r="D953" s="16">
        <v>0</v>
      </c>
      <c r="E953" s="2" t="str">
        <f t="shared" si="18"/>
        <v>Non Significant</v>
      </c>
    </row>
    <row r="954" spans="3:5" x14ac:dyDescent="0.25">
      <c r="C954" s="15" t="s">
        <v>4529</v>
      </c>
      <c r="D954" s="16">
        <v>0</v>
      </c>
      <c r="E954" s="2" t="str">
        <f t="shared" si="18"/>
        <v>Non Significant</v>
      </c>
    </row>
    <row r="955" spans="3:5" x14ac:dyDescent="0.25">
      <c r="C955" s="15" t="s">
        <v>4530</v>
      </c>
      <c r="D955" s="16">
        <v>0</v>
      </c>
      <c r="E955" s="2" t="str">
        <f t="shared" si="18"/>
        <v>Non Significant</v>
      </c>
    </row>
    <row r="956" spans="3:5" x14ac:dyDescent="0.25">
      <c r="C956" s="15" t="s">
        <v>4531</v>
      </c>
      <c r="D956" s="16">
        <v>0</v>
      </c>
      <c r="E956" s="2" t="str">
        <f t="shared" si="18"/>
        <v>Non Significant</v>
      </c>
    </row>
    <row r="957" spans="3:5" x14ac:dyDescent="0.25">
      <c r="C957" s="15" t="s">
        <v>4532</v>
      </c>
      <c r="D957" s="16">
        <v>0</v>
      </c>
      <c r="E957" s="2" t="str">
        <f t="shared" si="18"/>
        <v>Non Significant</v>
      </c>
    </row>
    <row r="958" spans="3:5" x14ac:dyDescent="0.25">
      <c r="C958" s="15" t="s">
        <v>2362</v>
      </c>
      <c r="D958" s="16">
        <v>0</v>
      </c>
      <c r="E958" s="2" t="str">
        <f t="shared" si="18"/>
        <v>Non Significant</v>
      </c>
    </row>
    <row r="959" spans="3:5" x14ac:dyDescent="0.25">
      <c r="C959" s="15" t="s">
        <v>3198</v>
      </c>
      <c r="D959" s="16">
        <v>0</v>
      </c>
      <c r="E959" s="2" t="str">
        <f t="shared" si="18"/>
        <v>Non Significant</v>
      </c>
    </row>
    <row r="960" spans="3:5" x14ac:dyDescent="0.25">
      <c r="C960" s="15" t="s">
        <v>233</v>
      </c>
      <c r="D960" s="16">
        <v>0</v>
      </c>
      <c r="E960" s="2" t="str">
        <f t="shared" si="18"/>
        <v>Non Significant</v>
      </c>
    </row>
    <row r="961" spans="3:5" x14ac:dyDescent="0.25">
      <c r="C961" s="15" t="s">
        <v>3201</v>
      </c>
      <c r="D961" s="16">
        <v>0</v>
      </c>
      <c r="E961" s="2" t="str">
        <f t="shared" si="18"/>
        <v>Non Significant</v>
      </c>
    </row>
    <row r="962" spans="3:5" x14ac:dyDescent="0.25">
      <c r="C962" s="15" t="s">
        <v>2356</v>
      </c>
      <c r="D962" s="16">
        <v>0</v>
      </c>
      <c r="E962" s="2" t="str">
        <f t="shared" si="18"/>
        <v>Non Significant</v>
      </c>
    </row>
    <row r="963" spans="3:5" x14ac:dyDescent="0.25">
      <c r="C963" s="15" t="s">
        <v>2360</v>
      </c>
      <c r="D963" s="16">
        <v>0</v>
      </c>
      <c r="E963" s="2" t="str">
        <f t="shared" si="18"/>
        <v>Non Significant</v>
      </c>
    </row>
    <row r="964" spans="3:5" x14ac:dyDescent="0.25">
      <c r="C964" s="15" t="s">
        <v>4533</v>
      </c>
      <c r="D964" s="16">
        <v>0</v>
      </c>
      <c r="E964" s="2" t="str">
        <f t="shared" si="18"/>
        <v>Non Significant</v>
      </c>
    </row>
    <row r="965" spans="3:5" x14ac:dyDescent="0.25">
      <c r="C965" s="15" t="s">
        <v>2291</v>
      </c>
      <c r="D965" s="16">
        <v>0</v>
      </c>
      <c r="E965" s="2" t="str">
        <f t="shared" si="18"/>
        <v>Non Significant</v>
      </c>
    </row>
    <row r="966" spans="3:5" x14ac:dyDescent="0.25">
      <c r="C966" s="15" t="s">
        <v>4534</v>
      </c>
      <c r="D966" s="16">
        <v>0</v>
      </c>
      <c r="E966" s="2" t="str">
        <f t="shared" si="18"/>
        <v>Non Significant</v>
      </c>
    </row>
    <row r="967" spans="3:5" x14ac:dyDescent="0.25">
      <c r="C967" s="15" t="s">
        <v>4535</v>
      </c>
      <c r="D967" s="16">
        <v>0</v>
      </c>
      <c r="E967" s="2" t="str">
        <f t="shared" ref="E967:E1030" si="19">IF(D967&gt;=500000000000,"Critical",IF(AND(D967&gt;=50000000000,D967&lt;500000000000),"Significant",IF(AND(D967&gt;=45000000000,D967&lt;50000000000),"Almost Significant",IF(D967&lt;45000000000,"Non Significant",0))))</f>
        <v>Non Significant</v>
      </c>
    </row>
    <row r="968" spans="3:5" x14ac:dyDescent="0.25">
      <c r="C968" s="15" t="s">
        <v>805</v>
      </c>
      <c r="D968" s="16">
        <v>0</v>
      </c>
      <c r="E968" s="2" t="str">
        <f t="shared" si="19"/>
        <v>Non Significant</v>
      </c>
    </row>
    <row r="969" spans="3:5" x14ac:dyDescent="0.25">
      <c r="C969" s="15" t="s">
        <v>4536</v>
      </c>
      <c r="D969" s="16">
        <v>0</v>
      </c>
      <c r="E969" s="2" t="str">
        <f t="shared" si="19"/>
        <v>Non Significant</v>
      </c>
    </row>
    <row r="970" spans="3:5" x14ac:dyDescent="0.25">
      <c r="C970" s="15" t="s">
        <v>1316</v>
      </c>
      <c r="D970" s="16">
        <v>0</v>
      </c>
      <c r="E970" s="2" t="str">
        <f t="shared" si="19"/>
        <v>Non Significant</v>
      </c>
    </row>
    <row r="971" spans="3:5" x14ac:dyDescent="0.25">
      <c r="C971" s="15" t="s">
        <v>1267</v>
      </c>
      <c r="D971" s="16">
        <v>0</v>
      </c>
      <c r="E971" s="2" t="str">
        <f t="shared" si="19"/>
        <v>Non Significant</v>
      </c>
    </row>
    <row r="972" spans="3:5" x14ac:dyDescent="0.25">
      <c r="C972" s="15" t="s">
        <v>2279</v>
      </c>
      <c r="D972" s="16">
        <v>0</v>
      </c>
      <c r="E972" s="2" t="str">
        <f t="shared" si="19"/>
        <v>Non Significant</v>
      </c>
    </row>
    <row r="973" spans="3:5" x14ac:dyDescent="0.25">
      <c r="C973" s="15" t="s">
        <v>4537</v>
      </c>
      <c r="D973" s="16">
        <v>0</v>
      </c>
      <c r="E973" s="2" t="str">
        <f t="shared" si="19"/>
        <v>Non Significant</v>
      </c>
    </row>
    <row r="974" spans="3:5" x14ac:dyDescent="0.25">
      <c r="C974" s="15" t="s">
        <v>685</v>
      </c>
      <c r="D974" s="16">
        <v>0</v>
      </c>
      <c r="E974" s="2" t="str">
        <f t="shared" si="19"/>
        <v>Non Significant</v>
      </c>
    </row>
    <row r="975" spans="3:5" x14ac:dyDescent="0.25">
      <c r="C975" s="15" t="s">
        <v>4538</v>
      </c>
      <c r="D975" s="16">
        <v>0</v>
      </c>
      <c r="E975" s="2" t="str">
        <f t="shared" si="19"/>
        <v>Non Significant</v>
      </c>
    </row>
    <row r="976" spans="3:5" x14ac:dyDescent="0.25">
      <c r="C976" s="15" t="s">
        <v>4539</v>
      </c>
      <c r="D976" s="16">
        <v>0</v>
      </c>
      <c r="E976" s="2" t="str">
        <f t="shared" si="19"/>
        <v>Non Significant</v>
      </c>
    </row>
    <row r="977" spans="3:5" x14ac:dyDescent="0.25">
      <c r="C977" s="15" t="s">
        <v>1291</v>
      </c>
      <c r="D977" s="16">
        <v>0</v>
      </c>
      <c r="E977" s="2" t="str">
        <f t="shared" si="19"/>
        <v>Non Significant</v>
      </c>
    </row>
    <row r="978" spans="3:5" x14ac:dyDescent="0.25">
      <c r="C978" s="15" t="s">
        <v>4540</v>
      </c>
      <c r="D978" s="16">
        <v>0</v>
      </c>
      <c r="E978" s="2" t="str">
        <f t="shared" si="19"/>
        <v>Non Significant</v>
      </c>
    </row>
    <row r="979" spans="3:5" x14ac:dyDescent="0.25">
      <c r="C979" s="15" t="s">
        <v>1254</v>
      </c>
      <c r="D979" s="16">
        <v>0</v>
      </c>
      <c r="E979" s="2" t="str">
        <f t="shared" si="19"/>
        <v>Non Significant</v>
      </c>
    </row>
    <row r="980" spans="3:5" x14ac:dyDescent="0.25">
      <c r="C980" s="15" t="s">
        <v>4541</v>
      </c>
      <c r="D980" s="16">
        <v>0</v>
      </c>
      <c r="E980" s="2" t="str">
        <f t="shared" si="19"/>
        <v>Non Significant</v>
      </c>
    </row>
    <row r="981" spans="3:5" x14ac:dyDescent="0.25">
      <c r="C981" s="15" t="s">
        <v>1239</v>
      </c>
      <c r="D981" s="16">
        <v>0</v>
      </c>
      <c r="E981" s="2" t="str">
        <f t="shared" si="19"/>
        <v>Non Significant</v>
      </c>
    </row>
    <row r="982" spans="3:5" x14ac:dyDescent="0.25">
      <c r="C982" s="15" t="s">
        <v>2234</v>
      </c>
      <c r="D982" s="16">
        <v>0</v>
      </c>
      <c r="E982" s="2" t="str">
        <f t="shared" si="19"/>
        <v>Non Significant</v>
      </c>
    </row>
    <row r="983" spans="3:5" x14ac:dyDescent="0.25">
      <c r="C983" s="15" t="s">
        <v>4542</v>
      </c>
      <c r="D983" s="16">
        <v>0</v>
      </c>
      <c r="E983" s="2" t="str">
        <f t="shared" si="19"/>
        <v>Non Significant</v>
      </c>
    </row>
    <row r="984" spans="3:5" x14ac:dyDescent="0.25">
      <c r="C984" s="15" t="s">
        <v>2266</v>
      </c>
      <c r="D984" s="16">
        <v>0</v>
      </c>
      <c r="E984" s="2" t="str">
        <f t="shared" si="19"/>
        <v>Non Significant</v>
      </c>
    </row>
    <row r="985" spans="3:5" x14ac:dyDescent="0.25">
      <c r="C985" s="15" t="s">
        <v>1271</v>
      </c>
      <c r="D985" s="16">
        <v>0</v>
      </c>
      <c r="E985" s="2" t="str">
        <f t="shared" si="19"/>
        <v>Non Significant</v>
      </c>
    </row>
    <row r="986" spans="3:5" x14ac:dyDescent="0.25">
      <c r="C986" s="15" t="s">
        <v>788</v>
      </c>
      <c r="D986" s="16">
        <v>0</v>
      </c>
      <c r="E986" s="2" t="str">
        <f t="shared" si="19"/>
        <v>Non Significant</v>
      </c>
    </row>
    <row r="987" spans="3:5" x14ac:dyDescent="0.25">
      <c r="C987" s="15" t="s">
        <v>1233</v>
      </c>
      <c r="D987" s="16">
        <v>0</v>
      </c>
      <c r="E987" s="2" t="str">
        <f t="shared" si="19"/>
        <v>Non Significant</v>
      </c>
    </row>
    <row r="988" spans="3:5" x14ac:dyDescent="0.25">
      <c r="C988" s="15" t="s">
        <v>707</v>
      </c>
      <c r="D988" s="16">
        <v>0</v>
      </c>
      <c r="E988" s="2" t="str">
        <f t="shared" si="19"/>
        <v>Non Significant</v>
      </c>
    </row>
    <row r="989" spans="3:5" x14ac:dyDescent="0.25">
      <c r="C989" s="15" t="s">
        <v>1237</v>
      </c>
      <c r="D989" s="16">
        <v>0</v>
      </c>
      <c r="E989" s="2" t="str">
        <f t="shared" si="19"/>
        <v>Non Significant</v>
      </c>
    </row>
    <row r="990" spans="3:5" x14ac:dyDescent="0.25">
      <c r="C990" s="15" t="s">
        <v>725</v>
      </c>
      <c r="D990" s="16">
        <v>0</v>
      </c>
      <c r="E990" s="2" t="str">
        <f t="shared" si="19"/>
        <v>Non Significant</v>
      </c>
    </row>
    <row r="991" spans="3:5" x14ac:dyDescent="0.25">
      <c r="C991" s="15" t="s">
        <v>1280</v>
      </c>
      <c r="D991" s="16">
        <v>0</v>
      </c>
      <c r="E991" s="2" t="str">
        <f t="shared" si="19"/>
        <v>Non Significant</v>
      </c>
    </row>
    <row r="992" spans="3:5" x14ac:dyDescent="0.25">
      <c r="C992" s="15" t="s">
        <v>419</v>
      </c>
      <c r="D992" s="16">
        <v>0</v>
      </c>
      <c r="E992" s="2" t="str">
        <f t="shared" si="19"/>
        <v>Non Significant</v>
      </c>
    </row>
    <row r="993" spans="3:5" x14ac:dyDescent="0.25">
      <c r="C993" s="15" t="s">
        <v>4543</v>
      </c>
      <c r="D993" s="16">
        <v>0</v>
      </c>
      <c r="E993" s="2" t="str">
        <f t="shared" si="19"/>
        <v>Non Significant</v>
      </c>
    </row>
    <row r="994" spans="3:5" x14ac:dyDescent="0.25">
      <c r="C994" s="15" t="s">
        <v>4544</v>
      </c>
      <c r="D994" s="16">
        <v>0</v>
      </c>
      <c r="E994" s="2" t="str">
        <f t="shared" si="19"/>
        <v>Non Significant</v>
      </c>
    </row>
    <row r="995" spans="3:5" x14ac:dyDescent="0.25">
      <c r="C995" s="15" t="s">
        <v>1245</v>
      </c>
      <c r="D995" s="16">
        <v>0</v>
      </c>
      <c r="E995" s="2" t="str">
        <f t="shared" si="19"/>
        <v>Non Significant</v>
      </c>
    </row>
    <row r="996" spans="3:5" x14ac:dyDescent="0.25">
      <c r="C996" s="15" t="s">
        <v>4545</v>
      </c>
      <c r="D996" s="16">
        <v>0</v>
      </c>
      <c r="E996" s="2" t="str">
        <f t="shared" si="19"/>
        <v>Non Significant</v>
      </c>
    </row>
    <row r="997" spans="3:5" x14ac:dyDescent="0.25">
      <c r="C997" s="15" t="s">
        <v>1249</v>
      </c>
      <c r="D997" s="16">
        <v>0</v>
      </c>
      <c r="E997" s="2" t="str">
        <f t="shared" si="19"/>
        <v>Non Significant</v>
      </c>
    </row>
    <row r="998" spans="3:5" x14ac:dyDescent="0.25">
      <c r="C998" s="15" t="s">
        <v>4546</v>
      </c>
      <c r="D998" s="16">
        <v>0</v>
      </c>
      <c r="E998" s="2" t="str">
        <f t="shared" si="19"/>
        <v>Non Significant</v>
      </c>
    </row>
    <row r="999" spans="3:5" x14ac:dyDescent="0.25">
      <c r="C999" s="15" t="s">
        <v>4101</v>
      </c>
      <c r="D999" s="16">
        <v>0</v>
      </c>
      <c r="E999" s="2" t="str">
        <f t="shared" si="19"/>
        <v>Non Significant</v>
      </c>
    </row>
    <row r="1000" spans="3:5" x14ac:dyDescent="0.25">
      <c r="C1000" s="15" t="s">
        <v>4547</v>
      </c>
      <c r="D1000" s="16">
        <v>0</v>
      </c>
      <c r="E1000" s="2" t="str">
        <f t="shared" si="19"/>
        <v>Non Significant</v>
      </c>
    </row>
    <row r="1001" spans="3:5" x14ac:dyDescent="0.25">
      <c r="C1001" s="15" t="s">
        <v>4548</v>
      </c>
      <c r="D1001" s="16">
        <v>0</v>
      </c>
      <c r="E1001" s="2" t="str">
        <f t="shared" si="19"/>
        <v>Non Significant</v>
      </c>
    </row>
    <row r="1002" spans="3:5" x14ac:dyDescent="0.25">
      <c r="C1002" s="15" t="s">
        <v>4549</v>
      </c>
      <c r="D1002" s="16">
        <v>0</v>
      </c>
      <c r="E1002" s="2" t="str">
        <f t="shared" si="19"/>
        <v>Non Significant</v>
      </c>
    </row>
    <row r="1003" spans="3:5" x14ac:dyDescent="0.25">
      <c r="C1003" s="15" t="s">
        <v>4550</v>
      </c>
      <c r="D1003" s="16">
        <v>0</v>
      </c>
      <c r="E1003" s="2" t="str">
        <f t="shared" si="19"/>
        <v>Non Significant</v>
      </c>
    </row>
    <row r="1004" spans="3:5" x14ac:dyDescent="0.25">
      <c r="C1004" s="15" t="s">
        <v>2212</v>
      </c>
      <c r="D1004" s="16">
        <v>0</v>
      </c>
      <c r="E1004" s="2" t="str">
        <f t="shared" si="19"/>
        <v>Non Significant</v>
      </c>
    </row>
    <row r="1005" spans="3:5" x14ac:dyDescent="0.25">
      <c r="C1005" s="15" t="s">
        <v>4551</v>
      </c>
      <c r="D1005" s="16">
        <v>0</v>
      </c>
      <c r="E1005" s="2" t="str">
        <f t="shared" si="19"/>
        <v>Non Significant</v>
      </c>
    </row>
    <row r="1006" spans="3:5" x14ac:dyDescent="0.25">
      <c r="C1006" s="15" t="s">
        <v>2297</v>
      </c>
      <c r="D1006" s="16">
        <v>0</v>
      </c>
      <c r="E1006" s="2" t="str">
        <f t="shared" si="19"/>
        <v>Non Significant</v>
      </c>
    </row>
    <row r="1007" spans="3:5" x14ac:dyDescent="0.25">
      <c r="C1007" s="15" t="s">
        <v>1005</v>
      </c>
      <c r="D1007" s="16">
        <v>0</v>
      </c>
      <c r="E1007" s="2" t="str">
        <f t="shared" si="19"/>
        <v>Non Significant</v>
      </c>
    </row>
    <row r="1008" spans="3:5" x14ac:dyDescent="0.25">
      <c r="C1008" s="15" t="s">
        <v>2257</v>
      </c>
      <c r="D1008" s="16">
        <v>0</v>
      </c>
      <c r="E1008" s="2" t="str">
        <f t="shared" si="19"/>
        <v>Non Significant</v>
      </c>
    </row>
    <row r="1009" spans="3:5" x14ac:dyDescent="0.25">
      <c r="C1009" s="15" t="s">
        <v>999</v>
      </c>
      <c r="D1009" s="16">
        <v>0</v>
      </c>
      <c r="E1009" s="2" t="str">
        <f t="shared" si="19"/>
        <v>Non Significant</v>
      </c>
    </row>
    <row r="1010" spans="3:5" x14ac:dyDescent="0.25">
      <c r="C1010" s="15" t="s">
        <v>2765</v>
      </c>
      <c r="D1010" s="16">
        <v>0</v>
      </c>
      <c r="E1010" s="2" t="str">
        <f t="shared" si="19"/>
        <v>Non Significant</v>
      </c>
    </row>
    <row r="1011" spans="3:5" x14ac:dyDescent="0.25">
      <c r="C1011" s="15" t="s">
        <v>1003</v>
      </c>
      <c r="D1011" s="16">
        <v>0</v>
      </c>
      <c r="E1011" s="2" t="str">
        <f t="shared" si="19"/>
        <v>Non Significant</v>
      </c>
    </row>
    <row r="1012" spans="3:5" x14ac:dyDescent="0.25">
      <c r="C1012" s="15" t="s">
        <v>662</v>
      </c>
      <c r="D1012" s="16">
        <v>0</v>
      </c>
      <c r="E1012" s="2" t="str">
        <f t="shared" si="19"/>
        <v>Non Significant</v>
      </c>
    </row>
    <row r="1013" spans="3:5" x14ac:dyDescent="0.25">
      <c r="C1013" s="15" t="s">
        <v>4113</v>
      </c>
      <c r="D1013" s="16">
        <v>0</v>
      </c>
      <c r="E1013" s="2" t="str">
        <f t="shared" si="19"/>
        <v>Non Significant</v>
      </c>
    </row>
    <row r="1014" spans="3:5" x14ac:dyDescent="0.25">
      <c r="C1014" s="15" t="s">
        <v>655</v>
      </c>
      <c r="D1014" s="16">
        <v>0</v>
      </c>
      <c r="E1014" s="2" t="str">
        <f t="shared" si="19"/>
        <v>Non Significant</v>
      </c>
    </row>
    <row r="1015" spans="3:5" x14ac:dyDescent="0.25">
      <c r="C1015" s="15" t="s">
        <v>4552</v>
      </c>
      <c r="D1015" s="16">
        <v>0</v>
      </c>
      <c r="E1015" s="2" t="str">
        <f t="shared" si="19"/>
        <v>Non Significant</v>
      </c>
    </row>
    <row r="1016" spans="3:5" x14ac:dyDescent="0.25">
      <c r="C1016" s="15" t="s">
        <v>4553</v>
      </c>
      <c r="D1016" s="16">
        <v>0</v>
      </c>
      <c r="E1016" s="2" t="str">
        <f t="shared" si="19"/>
        <v>Non Significant</v>
      </c>
    </row>
    <row r="1017" spans="3:5" x14ac:dyDescent="0.25">
      <c r="C1017" s="15" t="s">
        <v>4554</v>
      </c>
      <c r="D1017" s="16">
        <v>0</v>
      </c>
      <c r="E1017" s="2" t="str">
        <f t="shared" si="19"/>
        <v>Non Significant</v>
      </c>
    </row>
    <row r="1018" spans="3:5" x14ac:dyDescent="0.25">
      <c r="C1018" s="15" t="s">
        <v>736</v>
      </c>
      <c r="D1018" s="16">
        <v>0</v>
      </c>
      <c r="E1018" s="2" t="str">
        <f t="shared" si="19"/>
        <v>Non Significant</v>
      </c>
    </row>
    <row r="1019" spans="3:5" x14ac:dyDescent="0.25">
      <c r="C1019" s="15" t="s">
        <v>4555</v>
      </c>
      <c r="D1019" s="16">
        <v>0</v>
      </c>
      <c r="E1019" s="2" t="str">
        <f t="shared" si="19"/>
        <v>Non Significant</v>
      </c>
    </row>
    <row r="1020" spans="3:5" x14ac:dyDescent="0.25">
      <c r="C1020" s="15" t="s">
        <v>771</v>
      </c>
      <c r="D1020" s="16">
        <v>0</v>
      </c>
      <c r="E1020" s="2" t="str">
        <f t="shared" si="19"/>
        <v>Non Significant</v>
      </c>
    </row>
    <row r="1021" spans="3:5" x14ac:dyDescent="0.25">
      <c r="C1021" s="15" t="s">
        <v>1068</v>
      </c>
      <c r="D1021" s="16">
        <v>0</v>
      </c>
      <c r="E1021" s="2" t="str">
        <f t="shared" si="19"/>
        <v>Non Significant</v>
      </c>
    </row>
    <row r="1022" spans="3:5" x14ac:dyDescent="0.25">
      <c r="C1022" s="15" t="s">
        <v>4556</v>
      </c>
      <c r="D1022" s="16">
        <v>0</v>
      </c>
      <c r="E1022" s="2" t="str">
        <f t="shared" si="19"/>
        <v>Non Significant</v>
      </c>
    </row>
    <row r="1023" spans="3:5" x14ac:dyDescent="0.25">
      <c r="C1023" s="15" t="s">
        <v>4557</v>
      </c>
      <c r="D1023" s="16">
        <v>0</v>
      </c>
      <c r="E1023" s="2" t="str">
        <f t="shared" si="19"/>
        <v>Non Significant</v>
      </c>
    </row>
    <row r="1024" spans="3:5" x14ac:dyDescent="0.25">
      <c r="C1024" s="15" t="s">
        <v>833</v>
      </c>
      <c r="D1024" s="16">
        <v>0</v>
      </c>
      <c r="E1024" s="2" t="str">
        <f t="shared" si="19"/>
        <v>Non Significant</v>
      </c>
    </row>
    <row r="1025" spans="3:5" x14ac:dyDescent="0.25">
      <c r="C1025" s="15" t="s">
        <v>4558</v>
      </c>
      <c r="D1025" s="16">
        <v>0</v>
      </c>
      <c r="E1025" s="2" t="str">
        <f t="shared" si="19"/>
        <v>Non Significant</v>
      </c>
    </row>
    <row r="1026" spans="3:5" x14ac:dyDescent="0.25">
      <c r="C1026" s="15" t="s">
        <v>4559</v>
      </c>
      <c r="D1026" s="16">
        <v>0</v>
      </c>
      <c r="E1026" s="2" t="str">
        <f t="shared" si="19"/>
        <v>Non Significant</v>
      </c>
    </row>
    <row r="1027" spans="3:5" x14ac:dyDescent="0.25">
      <c r="C1027" s="15" t="s">
        <v>4560</v>
      </c>
      <c r="D1027" s="16">
        <v>0</v>
      </c>
      <c r="E1027" s="2" t="str">
        <f t="shared" si="19"/>
        <v>Non Significant</v>
      </c>
    </row>
    <row r="1028" spans="3:5" x14ac:dyDescent="0.25">
      <c r="C1028" s="15" t="s">
        <v>4561</v>
      </c>
      <c r="D1028" s="16">
        <v>0</v>
      </c>
      <c r="E1028" s="2" t="str">
        <f t="shared" si="19"/>
        <v>Non Significant</v>
      </c>
    </row>
    <row r="1029" spans="3:5" x14ac:dyDescent="0.25">
      <c r="C1029" s="15" t="s">
        <v>1062</v>
      </c>
      <c r="D1029" s="16">
        <v>0</v>
      </c>
      <c r="E1029" s="2" t="str">
        <f t="shared" si="19"/>
        <v>Non Significant</v>
      </c>
    </row>
    <row r="1030" spans="3:5" x14ac:dyDescent="0.25">
      <c r="C1030" s="15" t="s">
        <v>2597</v>
      </c>
      <c r="D1030" s="16">
        <v>0</v>
      </c>
      <c r="E1030" s="2" t="str">
        <f t="shared" si="19"/>
        <v>Non Significant</v>
      </c>
    </row>
    <row r="1031" spans="3:5" x14ac:dyDescent="0.25">
      <c r="C1031" s="15" t="s">
        <v>1066</v>
      </c>
      <c r="D1031" s="16">
        <v>0</v>
      </c>
      <c r="E1031" s="2" t="str">
        <f t="shared" ref="E1031:E1094" si="20">IF(D1031&gt;=500000000000,"Critical",IF(AND(D1031&gt;=50000000000,D1031&lt;500000000000),"Significant",IF(AND(D1031&gt;=45000000000,D1031&lt;50000000000),"Almost Significant",IF(D1031&lt;45000000000,"Non Significant",0))))</f>
        <v>Non Significant</v>
      </c>
    </row>
    <row r="1032" spans="3:5" x14ac:dyDescent="0.25">
      <c r="C1032" s="15" t="s">
        <v>4562</v>
      </c>
      <c r="D1032" s="16">
        <v>0</v>
      </c>
      <c r="E1032" s="2" t="str">
        <f t="shared" si="20"/>
        <v>Non Significant</v>
      </c>
    </row>
    <row r="1033" spans="3:5" x14ac:dyDescent="0.25">
      <c r="C1033" s="15" t="s">
        <v>1104</v>
      </c>
      <c r="D1033" s="16">
        <v>0</v>
      </c>
      <c r="E1033" s="2" t="str">
        <f t="shared" si="20"/>
        <v>Non Significant</v>
      </c>
    </row>
    <row r="1034" spans="3:5" x14ac:dyDescent="0.25">
      <c r="C1034" s="15" t="s">
        <v>4563</v>
      </c>
      <c r="D1034" s="16">
        <v>0</v>
      </c>
      <c r="E1034" s="2" t="str">
        <f t="shared" si="20"/>
        <v>Non Significant</v>
      </c>
    </row>
    <row r="1035" spans="3:5" x14ac:dyDescent="0.25">
      <c r="C1035" s="15" t="s">
        <v>4564</v>
      </c>
      <c r="D1035" s="16">
        <v>0</v>
      </c>
      <c r="E1035" s="2" t="str">
        <f t="shared" si="20"/>
        <v>Non Significant</v>
      </c>
    </row>
    <row r="1036" spans="3:5" x14ac:dyDescent="0.25">
      <c r="C1036" s="15" t="s">
        <v>4565</v>
      </c>
      <c r="D1036" s="16">
        <v>0</v>
      </c>
      <c r="E1036" s="2" t="str">
        <f t="shared" si="20"/>
        <v>Non Significant</v>
      </c>
    </row>
    <row r="1037" spans="3:5" x14ac:dyDescent="0.25">
      <c r="C1037" s="15" t="s">
        <v>1098</v>
      </c>
      <c r="D1037" s="16">
        <v>0</v>
      </c>
      <c r="E1037" s="2" t="str">
        <f t="shared" si="20"/>
        <v>Non Significant</v>
      </c>
    </row>
    <row r="1038" spans="3:5" x14ac:dyDescent="0.25">
      <c r="C1038" s="15" t="s">
        <v>4566</v>
      </c>
      <c r="D1038" s="16">
        <v>0</v>
      </c>
      <c r="E1038" s="2" t="str">
        <f t="shared" si="20"/>
        <v>Non Significant</v>
      </c>
    </row>
    <row r="1039" spans="3:5" x14ac:dyDescent="0.25">
      <c r="C1039" s="15" t="s">
        <v>1102</v>
      </c>
      <c r="D1039" s="16">
        <v>0</v>
      </c>
      <c r="E1039" s="2" t="str">
        <f t="shared" si="20"/>
        <v>Non Significant</v>
      </c>
    </row>
    <row r="1040" spans="3:5" x14ac:dyDescent="0.25">
      <c r="C1040" s="15" t="s">
        <v>4567</v>
      </c>
      <c r="D1040" s="16">
        <v>0</v>
      </c>
      <c r="E1040" s="2" t="str">
        <f t="shared" si="20"/>
        <v>Non Significant</v>
      </c>
    </row>
    <row r="1041" spans="3:5" x14ac:dyDescent="0.25">
      <c r="C1041" s="15" t="s">
        <v>996</v>
      </c>
      <c r="D1041" s="16">
        <v>0</v>
      </c>
      <c r="E1041" s="2" t="str">
        <f t="shared" si="20"/>
        <v>Non Significant</v>
      </c>
    </row>
    <row r="1042" spans="3:5" x14ac:dyDescent="0.25">
      <c r="C1042" s="15" t="s">
        <v>1310</v>
      </c>
      <c r="D1042" s="16">
        <v>0</v>
      </c>
      <c r="E1042" s="2" t="str">
        <f t="shared" si="20"/>
        <v>Non Significant</v>
      </c>
    </row>
    <row r="1043" spans="3:5" x14ac:dyDescent="0.25">
      <c r="C1043" s="15" t="s">
        <v>990</v>
      </c>
      <c r="D1043" s="16">
        <v>0</v>
      </c>
      <c r="E1043" s="2" t="str">
        <f t="shared" si="20"/>
        <v>Non Significant</v>
      </c>
    </row>
    <row r="1044" spans="3:5" x14ac:dyDescent="0.25">
      <c r="C1044" s="15" t="s">
        <v>4568</v>
      </c>
      <c r="D1044" s="16">
        <v>0</v>
      </c>
      <c r="E1044" s="2" t="str">
        <f t="shared" si="20"/>
        <v>Non Significant</v>
      </c>
    </row>
    <row r="1045" spans="3:5" x14ac:dyDescent="0.25">
      <c r="C1045" s="15" t="s">
        <v>994</v>
      </c>
      <c r="D1045" s="16">
        <v>0</v>
      </c>
      <c r="E1045" s="2" t="str">
        <f t="shared" si="20"/>
        <v>Non Significant</v>
      </c>
    </row>
    <row r="1046" spans="3:5" x14ac:dyDescent="0.25">
      <c r="C1046" s="15" t="s">
        <v>2237</v>
      </c>
      <c r="D1046" s="16">
        <v>0</v>
      </c>
      <c r="E1046" s="2" t="str">
        <f t="shared" si="20"/>
        <v>Non Significant</v>
      </c>
    </row>
    <row r="1047" spans="3:5" x14ac:dyDescent="0.25">
      <c r="C1047" s="15" t="s">
        <v>1179</v>
      </c>
      <c r="D1047" s="16">
        <v>0</v>
      </c>
      <c r="E1047" s="2" t="str">
        <f t="shared" si="20"/>
        <v>Non Significant</v>
      </c>
    </row>
    <row r="1048" spans="3:5" x14ac:dyDescent="0.25">
      <c r="C1048" s="15" t="s">
        <v>2285</v>
      </c>
      <c r="D1048" s="16">
        <v>0</v>
      </c>
      <c r="E1048" s="2" t="str">
        <f t="shared" si="20"/>
        <v>Non Significant</v>
      </c>
    </row>
    <row r="1049" spans="3:5" x14ac:dyDescent="0.25">
      <c r="C1049" s="15" t="s">
        <v>4569</v>
      </c>
      <c r="D1049" s="16">
        <v>0</v>
      </c>
      <c r="E1049" s="2" t="str">
        <f t="shared" si="20"/>
        <v>Non Significant</v>
      </c>
    </row>
    <row r="1050" spans="3:5" x14ac:dyDescent="0.25">
      <c r="C1050" s="15" t="s">
        <v>2273</v>
      </c>
      <c r="D1050" s="16">
        <v>0</v>
      </c>
      <c r="E1050" s="2" t="str">
        <f t="shared" si="20"/>
        <v>Non Significant</v>
      </c>
    </row>
    <row r="1051" spans="3:5" x14ac:dyDescent="0.25">
      <c r="C1051" s="15" t="s">
        <v>1174</v>
      </c>
      <c r="D1051" s="16">
        <v>0</v>
      </c>
      <c r="E1051" s="2" t="str">
        <f t="shared" si="20"/>
        <v>Non Significant</v>
      </c>
    </row>
    <row r="1052" spans="3:5" x14ac:dyDescent="0.25">
      <c r="C1052" s="15" t="s">
        <v>2217</v>
      </c>
      <c r="D1052" s="16">
        <v>0</v>
      </c>
      <c r="E1052" s="2" t="str">
        <f t="shared" si="20"/>
        <v>Non Significant</v>
      </c>
    </row>
    <row r="1053" spans="3:5" x14ac:dyDescent="0.25">
      <c r="C1053" s="15" t="s">
        <v>1177</v>
      </c>
      <c r="D1053" s="16">
        <v>0</v>
      </c>
      <c r="E1053" s="2" t="str">
        <f t="shared" si="20"/>
        <v>Non Significant</v>
      </c>
    </row>
    <row r="1054" spans="3:5" x14ac:dyDescent="0.25">
      <c r="C1054" s="15" t="s">
        <v>2303</v>
      </c>
      <c r="D1054" s="16">
        <v>0</v>
      </c>
      <c r="E1054" s="2" t="str">
        <f t="shared" si="20"/>
        <v>Non Significant</v>
      </c>
    </row>
    <row r="1055" spans="3:5" x14ac:dyDescent="0.25">
      <c r="C1055" s="15" t="s">
        <v>1129</v>
      </c>
      <c r="D1055" s="16">
        <v>0</v>
      </c>
      <c r="E1055" s="2" t="str">
        <f t="shared" si="20"/>
        <v>Non Significant</v>
      </c>
    </row>
    <row r="1056" spans="3:5" x14ac:dyDescent="0.25">
      <c r="C1056" s="15" t="s">
        <v>2228</v>
      </c>
      <c r="D1056" s="16">
        <v>0</v>
      </c>
      <c r="E1056" s="2" t="str">
        <f t="shared" si="20"/>
        <v>Non Significant</v>
      </c>
    </row>
    <row r="1057" spans="3:5" x14ac:dyDescent="0.25">
      <c r="C1057" s="15" t="s">
        <v>4570</v>
      </c>
      <c r="D1057" s="16">
        <v>0</v>
      </c>
      <c r="E1057" s="2" t="str">
        <f t="shared" si="20"/>
        <v>Non Significant</v>
      </c>
    </row>
    <row r="1058" spans="3:5" x14ac:dyDescent="0.25">
      <c r="C1058" s="15" t="s">
        <v>4571</v>
      </c>
      <c r="D1058" s="16">
        <v>0</v>
      </c>
      <c r="E1058" s="2" t="str">
        <f t="shared" si="20"/>
        <v>Non Significant</v>
      </c>
    </row>
    <row r="1059" spans="3:5" x14ac:dyDescent="0.25">
      <c r="C1059" s="15" t="s">
        <v>1123</v>
      </c>
      <c r="D1059" s="16">
        <v>0</v>
      </c>
      <c r="E1059" s="2" t="str">
        <f t="shared" si="20"/>
        <v>Non Significant</v>
      </c>
    </row>
    <row r="1060" spans="3:5" x14ac:dyDescent="0.25">
      <c r="C1060" s="15" t="s">
        <v>636</v>
      </c>
      <c r="D1060" s="16">
        <v>0</v>
      </c>
      <c r="E1060" s="2" t="str">
        <f t="shared" si="20"/>
        <v>Non Significant</v>
      </c>
    </row>
    <row r="1061" spans="3:5" x14ac:dyDescent="0.25">
      <c r="C1061" s="15" t="s">
        <v>1127</v>
      </c>
      <c r="D1061" s="16">
        <v>0</v>
      </c>
      <c r="E1061" s="2" t="str">
        <f t="shared" si="20"/>
        <v>Non Significant</v>
      </c>
    </row>
    <row r="1062" spans="3:5" x14ac:dyDescent="0.25">
      <c r="C1062" s="15" t="s">
        <v>783</v>
      </c>
      <c r="D1062" s="16">
        <v>0</v>
      </c>
      <c r="E1062" s="2" t="str">
        <f t="shared" si="20"/>
        <v>Non Significant</v>
      </c>
    </row>
    <row r="1063" spans="3:5" x14ac:dyDescent="0.25">
      <c r="C1063" s="15" t="s">
        <v>3955</v>
      </c>
      <c r="D1063" s="16">
        <v>0</v>
      </c>
      <c r="E1063" s="2" t="str">
        <f t="shared" si="20"/>
        <v>Non Significant</v>
      </c>
    </row>
    <row r="1064" spans="3:5" x14ac:dyDescent="0.25">
      <c r="C1064" s="15" t="s">
        <v>691</v>
      </c>
      <c r="D1064" s="16">
        <v>0</v>
      </c>
      <c r="E1064" s="2" t="str">
        <f t="shared" si="20"/>
        <v>Non Significant</v>
      </c>
    </row>
    <row r="1065" spans="3:5" x14ac:dyDescent="0.25">
      <c r="C1065" s="15" t="s">
        <v>985</v>
      </c>
      <c r="D1065" s="16">
        <v>0</v>
      </c>
      <c r="E1065" s="2" t="str">
        <f t="shared" si="20"/>
        <v>Non Significant</v>
      </c>
    </row>
    <row r="1066" spans="3:5" x14ac:dyDescent="0.25">
      <c r="C1066" s="15" t="s">
        <v>4572</v>
      </c>
      <c r="D1066" s="16">
        <v>0</v>
      </c>
      <c r="E1066" s="2" t="str">
        <f t="shared" si="20"/>
        <v>Non Significant</v>
      </c>
    </row>
    <row r="1067" spans="3:5" x14ac:dyDescent="0.25">
      <c r="C1067" s="15" t="s">
        <v>4573</v>
      </c>
      <c r="D1067" s="16">
        <v>0</v>
      </c>
      <c r="E1067" s="2" t="str">
        <f t="shared" si="20"/>
        <v>Non Significant</v>
      </c>
    </row>
    <row r="1068" spans="3:5" x14ac:dyDescent="0.25">
      <c r="C1068" s="15" t="s">
        <v>649</v>
      </c>
      <c r="D1068" s="16">
        <v>0</v>
      </c>
      <c r="E1068" s="2" t="str">
        <f t="shared" si="20"/>
        <v>Non Significant</v>
      </c>
    </row>
    <row r="1069" spans="3:5" x14ac:dyDescent="0.25">
      <c r="C1069" s="15" t="s">
        <v>4574</v>
      </c>
      <c r="D1069" s="16">
        <v>0</v>
      </c>
      <c r="E1069" s="2" t="str">
        <f t="shared" si="20"/>
        <v>Non Significant</v>
      </c>
    </row>
    <row r="1070" spans="3:5" x14ac:dyDescent="0.25">
      <c r="C1070" s="15" t="s">
        <v>4575</v>
      </c>
      <c r="D1070" s="16">
        <v>0</v>
      </c>
      <c r="E1070" s="2" t="str">
        <f t="shared" si="20"/>
        <v>Non Significant</v>
      </c>
    </row>
    <row r="1071" spans="3:5" x14ac:dyDescent="0.25">
      <c r="C1071" s="15" t="s">
        <v>4165</v>
      </c>
      <c r="D1071" s="16">
        <v>0</v>
      </c>
      <c r="E1071" s="2" t="str">
        <f t="shared" si="20"/>
        <v>Non Significant</v>
      </c>
    </row>
    <row r="1072" spans="3:5" x14ac:dyDescent="0.25">
      <c r="C1072" s="15" t="s">
        <v>671</v>
      </c>
      <c r="D1072" s="16">
        <v>0</v>
      </c>
      <c r="E1072" s="2" t="str">
        <f t="shared" si="20"/>
        <v>Non Significant</v>
      </c>
    </row>
    <row r="1073" spans="3:5" x14ac:dyDescent="0.25">
      <c r="C1073" s="15" t="s">
        <v>4576</v>
      </c>
      <c r="D1073" s="16">
        <v>0</v>
      </c>
      <c r="E1073" s="2" t="str">
        <f t="shared" si="20"/>
        <v>Non Significant</v>
      </c>
    </row>
    <row r="1074" spans="3:5" x14ac:dyDescent="0.25">
      <c r="C1074" s="15" t="s">
        <v>698</v>
      </c>
      <c r="D1074" s="16">
        <v>0</v>
      </c>
      <c r="E1074" s="2" t="str">
        <f t="shared" si="20"/>
        <v>Non Significant</v>
      </c>
    </row>
    <row r="1075" spans="3:5" x14ac:dyDescent="0.25">
      <c r="C1075" s="15" t="s">
        <v>4577</v>
      </c>
      <c r="D1075" s="16">
        <v>0</v>
      </c>
      <c r="E1075" s="2" t="str">
        <f t="shared" si="20"/>
        <v>Non Significant</v>
      </c>
    </row>
    <row r="1076" spans="3:5" x14ac:dyDescent="0.25">
      <c r="C1076" s="15" t="s">
        <v>730</v>
      </c>
      <c r="D1076" s="16">
        <v>0</v>
      </c>
      <c r="E1076" s="2" t="str">
        <f t="shared" si="20"/>
        <v>Non Significant</v>
      </c>
    </row>
    <row r="1077" spans="3:5" x14ac:dyDescent="0.25">
      <c r="C1077" s="15" t="s">
        <v>4578</v>
      </c>
      <c r="D1077" s="16">
        <v>0</v>
      </c>
      <c r="E1077" s="2" t="str">
        <f t="shared" si="20"/>
        <v>Non Significant</v>
      </c>
    </row>
    <row r="1078" spans="3:5" x14ac:dyDescent="0.25">
      <c r="C1078" s="15" t="s">
        <v>4579</v>
      </c>
      <c r="D1078" s="16">
        <v>0</v>
      </c>
      <c r="E1078" s="2" t="str">
        <f t="shared" si="20"/>
        <v>Non Significant</v>
      </c>
    </row>
    <row r="1079" spans="3:5" x14ac:dyDescent="0.25">
      <c r="C1079" s="15" t="s">
        <v>2572</v>
      </c>
      <c r="D1079" s="16">
        <v>0</v>
      </c>
      <c r="E1079" s="2" t="str">
        <f t="shared" si="20"/>
        <v>Non Significant</v>
      </c>
    </row>
    <row r="1080" spans="3:5" x14ac:dyDescent="0.25">
      <c r="C1080" s="15" t="s">
        <v>604</v>
      </c>
      <c r="D1080" s="16">
        <v>0</v>
      </c>
      <c r="E1080" s="2" t="str">
        <f t="shared" si="20"/>
        <v>Non Significant</v>
      </c>
    </row>
    <row r="1081" spans="3:5" x14ac:dyDescent="0.25">
      <c r="C1081" s="15" t="s">
        <v>4580</v>
      </c>
      <c r="D1081" s="16">
        <v>0</v>
      </c>
      <c r="E1081" s="2" t="str">
        <f t="shared" si="20"/>
        <v>Non Significant</v>
      </c>
    </row>
    <row r="1082" spans="3:5" x14ac:dyDescent="0.25">
      <c r="C1082" s="15" t="s">
        <v>4581</v>
      </c>
      <c r="D1082" s="16">
        <v>0</v>
      </c>
      <c r="E1082" s="2" t="str">
        <f t="shared" si="20"/>
        <v>Non Significant</v>
      </c>
    </row>
    <row r="1083" spans="3:5" x14ac:dyDescent="0.25">
      <c r="C1083" s="15" t="s">
        <v>4582</v>
      </c>
      <c r="D1083" s="16">
        <v>0</v>
      </c>
      <c r="E1083" s="2" t="str">
        <f t="shared" si="20"/>
        <v>Non Significant</v>
      </c>
    </row>
    <row r="1084" spans="3:5" x14ac:dyDescent="0.25">
      <c r="C1084" s="15" t="s">
        <v>415</v>
      </c>
      <c r="D1084" s="16">
        <v>0</v>
      </c>
      <c r="E1084" s="2" t="str">
        <f t="shared" si="20"/>
        <v>Non Significant</v>
      </c>
    </row>
    <row r="1085" spans="3:5" x14ac:dyDescent="0.25">
      <c r="C1085" s="15" t="s">
        <v>4583</v>
      </c>
      <c r="D1085" s="16">
        <v>0</v>
      </c>
      <c r="E1085" s="2" t="str">
        <f t="shared" si="20"/>
        <v>Non Significant</v>
      </c>
    </row>
    <row r="1086" spans="3:5" x14ac:dyDescent="0.25">
      <c r="C1086" s="15" t="s">
        <v>840</v>
      </c>
      <c r="D1086" s="16">
        <v>0</v>
      </c>
      <c r="E1086" s="2" t="str">
        <f t="shared" si="20"/>
        <v>Non Significant</v>
      </c>
    </row>
    <row r="1087" spans="3:5" x14ac:dyDescent="0.25">
      <c r="C1087" s="15" t="s">
        <v>4584</v>
      </c>
      <c r="D1087" s="16">
        <v>0</v>
      </c>
      <c r="E1087" s="2" t="str">
        <f t="shared" si="20"/>
        <v>Non Significant</v>
      </c>
    </row>
    <row r="1088" spans="3:5" x14ac:dyDescent="0.25">
      <c r="C1088" s="15" t="s">
        <v>838</v>
      </c>
      <c r="D1088" s="16">
        <v>0</v>
      </c>
      <c r="E1088" s="2" t="str">
        <f t="shared" si="20"/>
        <v>Non Significant</v>
      </c>
    </row>
    <row r="1089" spans="3:5" x14ac:dyDescent="0.25">
      <c r="C1089" s="15" t="s">
        <v>2566</v>
      </c>
      <c r="D1089" s="16">
        <v>0</v>
      </c>
      <c r="E1089" s="2" t="str">
        <f t="shared" si="20"/>
        <v>Non Significant</v>
      </c>
    </row>
    <row r="1090" spans="3:5" x14ac:dyDescent="0.25">
      <c r="C1090" s="15" t="s">
        <v>1218</v>
      </c>
      <c r="D1090" s="16">
        <v>0</v>
      </c>
      <c r="E1090" s="2" t="str">
        <f t="shared" si="20"/>
        <v>Non Significant</v>
      </c>
    </row>
    <row r="1091" spans="3:5" x14ac:dyDescent="0.25">
      <c r="C1091" s="15" t="s">
        <v>2570</v>
      </c>
      <c r="D1091" s="16">
        <v>0</v>
      </c>
      <c r="E1091" s="2" t="str">
        <f t="shared" si="20"/>
        <v>Non Significant</v>
      </c>
    </row>
    <row r="1092" spans="3:5" x14ac:dyDescent="0.25">
      <c r="C1092" s="15" t="s">
        <v>4585</v>
      </c>
      <c r="D1092" s="16">
        <v>0</v>
      </c>
      <c r="E1092" s="2" t="str">
        <f t="shared" si="20"/>
        <v>Non Significant</v>
      </c>
    </row>
    <row r="1093" spans="3:5" x14ac:dyDescent="0.25">
      <c r="C1093" s="15" t="s">
        <v>1167</v>
      </c>
      <c r="D1093" s="16">
        <v>0</v>
      </c>
      <c r="E1093" s="2" t="str">
        <f t="shared" si="20"/>
        <v>Non Significant</v>
      </c>
    </row>
    <row r="1094" spans="3:5" x14ac:dyDescent="0.25">
      <c r="C1094" s="15" t="s">
        <v>4586</v>
      </c>
      <c r="D1094" s="16">
        <v>0</v>
      </c>
      <c r="E1094" s="2" t="str">
        <f t="shared" si="20"/>
        <v>Non Significant</v>
      </c>
    </row>
    <row r="1095" spans="3:5" x14ac:dyDescent="0.25">
      <c r="C1095" s="15" t="s">
        <v>4587</v>
      </c>
      <c r="D1095" s="16">
        <v>0</v>
      </c>
      <c r="E1095" s="2" t="str">
        <f t="shared" ref="E1095:E1158" si="21">IF(D1095&gt;=500000000000,"Critical",IF(AND(D1095&gt;=50000000000,D1095&lt;500000000000),"Significant",IF(AND(D1095&gt;=45000000000,D1095&lt;50000000000),"Almost Significant",IF(D1095&lt;45000000000,"Non Significant",0))))</f>
        <v>Non Significant</v>
      </c>
    </row>
    <row r="1096" spans="3:5" x14ac:dyDescent="0.25">
      <c r="C1096" s="15" t="s">
        <v>4588</v>
      </c>
      <c r="D1096" s="16">
        <v>0</v>
      </c>
      <c r="E1096" s="2" t="str">
        <f t="shared" si="21"/>
        <v>Non Significant</v>
      </c>
    </row>
    <row r="1097" spans="3:5" x14ac:dyDescent="0.25">
      <c r="C1097" s="15" t="s">
        <v>1283</v>
      </c>
      <c r="D1097" s="16">
        <v>0</v>
      </c>
      <c r="E1097" s="2" t="str">
        <f t="shared" si="21"/>
        <v>Non Significant</v>
      </c>
    </row>
    <row r="1098" spans="3:5" x14ac:dyDescent="0.25">
      <c r="C1098" s="15" t="s">
        <v>2593</v>
      </c>
      <c r="D1098" s="16">
        <v>0</v>
      </c>
      <c r="E1098" s="2" t="str">
        <f t="shared" si="21"/>
        <v>Non Significant</v>
      </c>
    </row>
    <row r="1099" spans="3:5" x14ac:dyDescent="0.25">
      <c r="C1099" s="15" t="s">
        <v>4122</v>
      </c>
      <c r="D1099" s="16">
        <v>0</v>
      </c>
      <c r="E1099" s="2" t="str">
        <f t="shared" si="21"/>
        <v>Non Significant</v>
      </c>
    </row>
    <row r="1100" spans="3:5" x14ac:dyDescent="0.25">
      <c r="C1100" s="15" t="s">
        <v>4096</v>
      </c>
      <c r="D1100" s="16">
        <v>0</v>
      </c>
      <c r="E1100" s="2" t="str">
        <f t="shared" si="21"/>
        <v>Non Significant</v>
      </c>
    </row>
    <row r="1101" spans="3:5" x14ac:dyDescent="0.25">
      <c r="C1101" s="15" t="s">
        <v>1162</v>
      </c>
      <c r="D1101" s="16">
        <v>0</v>
      </c>
      <c r="E1101" s="2" t="str">
        <f t="shared" si="21"/>
        <v>Non Significant</v>
      </c>
    </row>
    <row r="1102" spans="3:5" x14ac:dyDescent="0.25">
      <c r="C1102" s="15" t="s">
        <v>4589</v>
      </c>
      <c r="D1102" s="16">
        <v>0</v>
      </c>
      <c r="E1102" s="2" t="str">
        <f t="shared" si="21"/>
        <v>Non Significant</v>
      </c>
    </row>
    <row r="1103" spans="3:5" x14ac:dyDescent="0.25">
      <c r="C1103" s="15" t="s">
        <v>1165</v>
      </c>
      <c r="D1103" s="16">
        <v>0</v>
      </c>
      <c r="E1103" s="2" t="str">
        <f t="shared" si="21"/>
        <v>Non Significant</v>
      </c>
    </row>
    <row r="1104" spans="3:5" x14ac:dyDescent="0.25">
      <c r="C1104" s="15" t="s">
        <v>4590</v>
      </c>
      <c r="D1104" s="16">
        <v>0</v>
      </c>
      <c r="E1104" s="2" t="str">
        <f t="shared" si="21"/>
        <v>Non Significant</v>
      </c>
    </row>
    <row r="1105" spans="3:5" x14ac:dyDescent="0.25">
      <c r="C1105" s="15" t="s">
        <v>4591</v>
      </c>
      <c r="D1105" s="16">
        <v>0</v>
      </c>
      <c r="E1105" s="2" t="str">
        <f t="shared" si="21"/>
        <v>Non Significant</v>
      </c>
    </row>
    <row r="1106" spans="3:5" x14ac:dyDescent="0.25">
      <c r="C1106" s="15" t="s">
        <v>4592</v>
      </c>
      <c r="D1106" s="16">
        <v>0</v>
      </c>
      <c r="E1106" s="2" t="str">
        <f t="shared" si="21"/>
        <v>Non Significant</v>
      </c>
    </row>
    <row r="1107" spans="3:5" x14ac:dyDescent="0.25">
      <c r="C1107" s="15" t="s">
        <v>4593</v>
      </c>
      <c r="D1107" s="16">
        <v>0</v>
      </c>
      <c r="E1107" s="2" t="str">
        <f t="shared" si="21"/>
        <v>Non Significant</v>
      </c>
    </row>
    <row r="1108" spans="3:5" x14ac:dyDescent="0.25">
      <c r="C1108" s="15" t="s">
        <v>4594</v>
      </c>
      <c r="D1108" s="16">
        <v>0</v>
      </c>
      <c r="E1108" s="2" t="str">
        <f t="shared" si="21"/>
        <v>Non Significant</v>
      </c>
    </row>
    <row r="1109" spans="3:5" x14ac:dyDescent="0.25">
      <c r="C1109" s="15" t="s">
        <v>4595</v>
      </c>
      <c r="D1109" s="16">
        <v>0</v>
      </c>
      <c r="E1109" s="2" t="str">
        <f t="shared" si="21"/>
        <v>Non Significant</v>
      </c>
    </row>
    <row r="1110" spans="3:5" x14ac:dyDescent="0.25">
      <c r="C1110" s="15" t="s">
        <v>4596</v>
      </c>
      <c r="D1110" s="16">
        <v>0</v>
      </c>
      <c r="E1110" s="2" t="str">
        <f t="shared" si="21"/>
        <v>Non Significant</v>
      </c>
    </row>
    <row r="1111" spans="3:5" x14ac:dyDescent="0.25">
      <c r="C1111" s="15" t="s">
        <v>4597</v>
      </c>
      <c r="D1111" s="16">
        <v>0</v>
      </c>
      <c r="E1111" s="2" t="str">
        <f t="shared" si="21"/>
        <v>Non Significant</v>
      </c>
    </row>
    <row r="1112" spans="3:5" x14ac:dyDescent="0.25">
      <c r="C1112" s="15" t="s">
        <v>4598</v>
      </c>
      <c r="D1112" s="16">
        <v>0</v>
      </c>
      <c r="E1112" s="2" t="str">
        <f t="shared" si="21"/>
        <v>Non Significant</v>
      </c>
    </row>
    <row r="1113" spans="3:5" x14ac:dyDescent="0.25">
      <c r="C1113" s="15" t="s">
        <v>4599</v>
      </c>
      <c r="D1113" s="16">
        <v>0</v>
      </c>
      <c r="E1113" s="2" t="str">
        <f t="shared" si="21"/>
        <v>Non Significant</v>
      </c>
    </row>
    <row r="1114" spans="3:5" x14ac:dyDescent="0.25">
      <c r="C1114" s="15" t="s">
        <v>4600</v>
      </c>
      <c r="D1114" s="16">
        <v>0</v>
      </c>
      <c r="E1114" s="2" t="str">
        <f t="shared" si="21"/>
        <v>Non Significant</v>
      </c>
    </row>
    <row r="1115" spans="3:5" x14ac:dyDescent="0.25">
      <c r="C1115" s="15" t="s">
        <v>745</v>
      </c>
      <c r="D1115" s="16">
        <v>0</v>
      </c>
      <c r="E1115" s="2" t="str">
        <f t="shared" si="21"/>
        <v>Non Significant</v>
      </c>
    </row>
    <row r="1116" spans="3:5" x14ac:dyDescent="0.25">
      <c r="C1116" s="15" t="s">
        <v>4601</v>
      </c>
      <c r="D1116" s="16">
        <v>0</v>
      </c>
      <c r="E1116" s="2" t="str">
        <f t="shared" si="21"/>
        <v>Non Significant</v>
      </c>
    </row>
    <row r="1117" spans="3:5" x14ac:dyDescent="0.25">
      <c r="C1117" s="15" t="s">
        <v>802</v>
      </c>
      <c r="D1117" s="16">
        <v>0</v>
      </c>
      <c r="E1117" s="2" t="str">
        <f t="shared" si="21"/>
        <v>Non Significant</v>
      </c>
    </row>
    <row r="1118" spans="3:5" x14ac:dyDescent="0.25">
      <c r="C1118" s="15" t="s">
        <v>4602</v>
      </c>
      <c r="D1118" s="16">
        <v>0</v>
      </c>
      <c r="E1118" s="2" t="str">
        <f t="shared" si="21"/>
        <v>Non Significant</v>
      </c>
    </row>
    <row r="1119" spans="3:5" x14ac:dyDescent="0.25">
      <c r="C1119" s="15" t="s">
        <v>749</v>
      </c>
      <c r="D1119" s="16">
        <v>0</v>
      </c>
      <c r="E1119" s="2" t="str">
        <f t="shared" si="21"/>
        <v>Non Significant</v>
      </c>
    </row>
    <row r="1120" spans="3:5" x14ac:dyDescent="0.25">
      <c r="C1120" s="15" t="s">
        <v>4603</v>
      </c>
      <c r="D1120" s="16">
        <v>0</v>
      </c>
      <c r="E1120" s="2" t="str">
        <f t="shared" si="21"/>
        <v>Non Significant</v>
      </c>
    </row>
    <row r="1121" spans="3:5" x14ac:dyDescent="0.25">
      <c r="C1121" s="15" t="s">
        <v>3987</v>
      </c>
      <c r="D1121" s="16">
        <v>0</v>
      </c>
      <c r="E1121" s="2" t="str">
        <f t="shared" si="21"/>
        <v>Non Significant</v>
      </c>
    </row>
    <row r="1122" spans="3:5" x14ac:dyDescent="0.25">
      <c r="C1122" s="15" t="s">
        <v>4604</v>
      </c>
      <c r="D1122" s="16">
        <v>0</v>
      </c>
      <c r="E1122" s="2" t="str">
        <f t="shared" si="21"/>
        <v>Non Significant</v>
      </c>
    </row>
    <row r="1123" spans="3:5" x14ac:dyDescent="0.25">
      <c r="C1123" s="15" t="s">
        <v>4605</v>
      </c>
      <c r="D1123" s="16">
        <v>0</v>
      </c>
      <c r="E1123" s="2" t="str">
        <f t="shared" si="21"/>
        <v>Non Significant</v>
      </c>
    </row>
    <row r="1124" spans="3:5" x14ac:dyDescent="0.25">
      <c r="C1124" s="15" t="s">
        <v>1314</v>
      </c>
      <c r="D1124" s="16">
        <v>0</v>
      </c>
      <c r="E1124" s="2" t="str">
        <f t="shared" si="21"/>
        <v>Non Significant</v>
      </c>
    </row>
    <row r="1125" spans="3:5" x14ac:dyDescent="0.25">
      <c r="C1125" s="15" t="s">
        <v>4606</v>
      </c>
      <c r="D1125" s="16">
        <v>0</v>
      </c>
      <c r="E1125" s="2" t="str">
        <f t="shared" si="21"/>
        <v>Non Significant</v>
      </c>
    </row>
    <row r="1126" spans="3:5" x14ac:dyDescent="0.25">
      <c r="C1126" s="15" t="s">
        <v>4607</v>
      </c>
      <c r="D1126" s="16">
        <v>0</v>
      </c>
      <c r="E1126" s="2" t="str">
        <f t="shared" si="21"/>
        <v>Non Significant</v>
      </c>
    </row>
    <row r="1127" spans="3:5" x14ac:dyDescent="0.25">
      <c r="C1127" s="15" t="s">
        <v>4608</v>
      </c>
      <c r="D1127" s="16">
        <v>0</v>
      </c>
      <c r="E1127" s="2" t="str">
        <f t="shared" si="21"/>
        <v>Non Significant</v>
      </c>
    </row>
    <row r="1128" spans="3:5" x14ac:dyDescent="0.25">
      <c r="C1128" s="15" t="s">
        <v>2240</v>
      </c>
      <c r="D1128" s="16">
        <v>0</v>
      </c>
      <c r="E1128" s="2" t="str">
        <f t="shared" si="21"/>
        <v>Non Significant</v>
      </c>
    </row>
    <row r="1129" spans="3:5" x14ac:dyDescent="0.25">
      <c r="C1129" s="15" t="s">
        <v>2635</v>
      </c>
      <c r="D1129" s="16">
        <v>0</v>
      </c>
      <c r="E1129" s="2" t="str">
        <f t="shared" si="21"/>
        <v>Non Significant</v>
      </c>
    </row>
    <row r="1130" spans="3:5" x14ac:dyDescent="0.25">
      <c r="C1130" s="15" t="s">
        <v>2231</v>
      </c>
      <c r="D1130" s="16">
        <v>0</v>
      </c>
      <c r="E1130" s="2" t="str">
        <f t="shared" si="21"/>
        <v>Non Significant</v>
      </c>
    </row>
    <row r="1131" spans="3:5" x14ac:dyDescent="0.25">
      <c r="C1131" s="15" t="s">
        <v>4609</v>
      </c>
      <c r="D1131" s="16">
        <v>0</v>
      </c>
      <c r="E1131" s="2" t="str">
        <f t="shared" si="21"/>
        <v>Non Significant</v>
      </c>
    </row>
    <row r="1132" spans="3:5" x14ac:dyDescent="0.25">
      <c r="C1132" s="15" t="s">
        <v>4610</v>
      </c>
      <c r="D1132" s="16">
        <v>0</v>
      </c>
      <c r="E1132" s="2" t="str">
        <f t="shared" si="21"/>
        <v>Non Significant</v>
      </c>
    </row>
    <row r="1133" spans="3:5" x14ac:dyDescent="0.25">
      <c r="C1133" s="15" t="s">
        <v>2629</v>
      </c>
      <c r="D1133" s="16">
        <v>0</v>
      </c>
      <c r="E1133" s="2" t="str">
        <f t="shared" si="21"/>
        <v>Non Significant</v>
      </c>
    </row>
    <row r="1134" spans="3:5" x14ac:dyDescent="0.25">
      <c r="C1134" s="15" t="s">
        <v>2222</v>
      </c>
      <c r="D1134" s="16">
        <v>0</v>
      </c>
      <c r="E1134" s="2" t="str">
        <f t="shared" si="21"/>
        <v>Non Significant</v>
      </c>
    </row>
    <row r="1135" spans="3:5" x14ac:dyDescent="0.25">
      <c r="C1135" s="15" t="s">
        <v>2633</v>
      </c>
      <c r="D1135" s="16">
        <v>0</v>
      </c>
      <c r="E1135" s="2" t="str">
        <f t="shared" si="21"/>
        <v>Non Significant</v>
      </c>
    </row>
    <row r="1136" spans="3:5" x14ac:dyDescent="0.25">
      <c r="C1136" s="15" t="s">
        <v>2282</v>
      </c>
      <c r="D1136" s="16">
        <v>0</v>
      </c>
      <c r="E1136" s="2" t="str">
        <f t="shared" si="21"/>
        <v>Non Significant</v>
      </c>
    </row>
    <row r="1137" spans="3:5" x14ac:dyDescent="0.25">
      <c r="C1137" s="15" t="s">
        <v>980</v>
      </c>
      <c r="D1137" s="16">
        <v>0</v>
      </c>
      <c r="E1137" s="2" t="str">
        <f t="shared" si="21"/>
        <v>Non Significant</v>
      </c>
    </row>
    <row r="1138" spans="3:5" x14ac:dyDescent="0.25">
      <c r="C1138" s="15" t="s">
        <v>2276</v>
      </c>
      <c r="D1138" s="16">
        <v>0</v>
      </c>
      <c r="E1138" s="2" t="str">
        <f t="shared" si="21"/>
        <v>Non Significant</v>
      </c>
    </row>
    <row r="1139" spans="3:5" x14ac:dyDescent="0.25">
      <c r="C1139" s="15" t="s">
        <v>4611</v>
      </c>
      <c r="D1139" s="16">
        <v>0</v>
      </c>
      <c r="E1139" s="2" t="str">
        <f t="shared" si="21"/>
        <v>Non Significant</v>
      </c>
    </row>
    <row r="1140" spans="3:5" x14ac:dyDescent="0.25">
      <c r="C1140" s="15" t="s">
        <v>2270</v>
      </c>
      <c r="D1140" s="16">
        <v>0</v>
      </c>
      <c r="E1140" s="2" t="str">
        <f t="shared" si="21"/>
        <v>Non Significant</v>
      </c>
    </row>
    <row r="1141" spans="3:5" x14ac:dyDescent="0.25">
      <c r="C1141" s="15" t="s">
        <v>4612</v>
      </c>
      <c r="D1141" s="16">
        <v>0</v>
      </c>
      <c r="E1141" s="2" t="str">
        <f t="shared" si="21"/>
        <v>Non Significant</v>
      </c>
    </row>
    <row r="1142" spans="3:5" x14ac:dyDescent="0.25">
      <c r="C1142" s="15" t="s">
        <v>2294</v>
      </c>
      <c r="D1142" s="16">
        <v>0</v>
      </c>
      <c r="E1142" s="2" t="str">
        <f t="shared" si="21"/>
        <v>Non Significant</v>
      </c>
    </row>
    <row r="1143" spans="3:5" x14ac:dyDescent="0.25">
      <c r="C1143" s="15" t="s">
        <v>2675</v>
      </c>
      <c r="D1143" s="16">
        <v>0</v>
      </c>
      <c r="E1143" s="2" t="str">
        <f t="shared" si="21"/>
        <v>Non Significant</v>
      </c>
    </row>
    <row r="1144" spans="3:5" x14ac:dyDescent="0.25">
      <c r="C1144" s="15" t="s">
        <v>2220</v>
      </c>
      <c r="D1144" s="16">
        <v>0</v>
      </c>
      <c r="E1144" s="2" t="str">
        <f t="shared" si="21"/>
        <v>Non Significant</v>
      </c>
    </row>
    <row r="1145" spans="3:5" x14ac:dyDescent="0.25">
      <c r="C1145" s="15" t="s">
        <v>2678</v>
      </c>
      <c r="D1145" s="16">
        <v>0</v>
      </c>
      <c r="E1145" s="2" t="str">
        <f t="shared" si="21"/>
        <v>Non Significant</v>
      </c>
    </row>
    <row r="1146" spans="3:5" x14ac:dyDescent="0.25">
      <c r="C1146" s="15" t="s">
        <v>2305</v>
      </c>
      <c r="D1146" s="16">
        <v>0</v>
      </c>
      <c r="E1146" s="2" t="str">
        <f t="shared" si="21"/>
        <v>Non Significant</v>
      </c>
    </row>
    <row r="1147" spans="3:5" x14ac:dyDescent="0.25">
      <c r="C1147" s="15" t="s">
        <v>4613</v>
      </c>
      <c r="D1147" s="16">
        <v>0</v>
      </c>
      <c r="E1147" s="2" t="str">
        <f t="shared" si="21"/>
        <v>Non Significant</v>
      </c>
    </row>
    <row r="1148" spans="3:5" x14ac:dyDescent="0.25">
      <c r="C1148" s="15" t="s">
        <v>2300</v>
      </c>
      <c r="D1148" s="16">
        <v>0</v>
      </c>
      <c r="E1148" s="2" t="str">
        <f t="shared" si="21"/>
        <v>Non Significant</v>
      </c>
    </row>
    <row r="1149" spans="3:5" x14ac:dyDescent="0.25">
      <c r="C1149" s="15" t="s">
        <v>4614</v>
      </c>
      <c r="D1149" s="16">
        <v>0</v>
      </c>
      <c r="E1149" s="2" t="str">
        <f t="shared" si="21"/>
        <v>Non Significant</v>
      </c>
    </row>
    <row r="1150" spans="3:5" x14ac:dyDescent="0.25">
      <c r="C1150" s="15" t="s">
        <v>2254</v>
      </c>
      <c r="D1150" s="16">
        <v>0</v>
      </c>
      <c r="E1150" s="2" t="str">
        <f t="shared" si="21"/>
        <v>Non Significant</v>
      </c>
    </row>
    <row r="1151" spans="3:5" x14ac:dyDescent="0.25">
      <c r="C1151" s="15" t="s">
        <v>4615</v>
      </c>
      <c r="D1151" s="16">
        <v>0</v>
      </c>
      <c r="E1151" s="2" t="str">
        <f t="shared" si="21"/>
        <v>Non Significant</v>
      </c>
    </row>
    <row r="1152" spans="3:5" x14ac:dyDescent="0.25">
      <c r="C1152" s="15" t="s">
        <v>2225</v>
      </c>
      <c r="D1152" s="16">
        <v>0</v>
      </c>
      <c r="E1152" s="2" t="str">
        <f t="shared" si="21"/>
        <v>Non Significant</v>
      </c>
    </row>
    <row r="1153" spans="3:5" x14ac:dyDescent="0.25">
      <c r="C1153" s="15" t="s">
        <v>4616</v>
      </c>
      <c r="D1153" s="16">
        <v>0</v>
      </c>
      <c r="E1153" s="2" t="str">
        <f t="shared" si="21"/>
        <v>Non Significant</v>
      </c>
    </row>
    <row r="1154" spans="3:5" x14ac:dyDescent="0.25">
      <c r="C1154" s="15" t="s">
        <v>2288</v>
      </c>
      <c r="D1154" s="16">
        <v>0</v>
      </c>
      <c r="E1154" s="2" t="str">
        <f t="shared" si="21"/>
        <v>Non Significant</v>
      </c>
    </row>
    <row r="1155" spans="3:5" x14ac:dyDescent="0.25">
      <c r="C1155" s="15" t="s">
        <v>1120</v>
      </c>
      <c r="D1155" s="16">
        <v>0</v>
      </c>
      <c r="E1155" s="2" t="str">
        <f t="shared" si="21"/>
        <v>Non Significant</v>
      </c>
    </row>
    <row r="1156" spans="3:5" x14ac:dyDescent="0.25">
      <c r="C1156" s="15" t="s">
        <v>4617</v>
      </c>
      <c r="D1156" s="16">
        <v>0</v>
      </c>
      <c r="E1156" s="2" t="str">
        <f t="shared" si="21"/>
        <v>Non Significant</v>
      </c>
    </row>
    <row r="1157" spans="3:5" x14ac:dyDescent="0.25">
      <c r="C1157" s="15" t="s">
        <v>4618</v>
      </c>
      <c r="D1157" s="16">
        <v>0</v>
      </c>
      <c r="E1157" s="2" t="str">
        <f t="shared" si="21"/>
        <v>Non Significant</v>
      </c>
    </row>
    <row r="1158" spans="3:5" x14ac:dyDescent="0.25">
      <c r="C1158" s="15" t="s">
        <v>4619</v>
      </c>
      <c r="D1158" s="16">
        <v>0</v>
      </c>
      <c r="E1158" s="2" t="str">
        <f t="shared" si="21"/>
        <v>Non Significant</v>
      </c>
    </row>
    <row r="1159" spans="3:5" x14ac:dyDescent="0.25">
      <c r="C1159" s="15" t="s">
        <v>289</v>
      </c>
      <c r="D1159" s="16">
        <v>0</v>
      </c>
      <c r="E1159" s="2" t="str">
        <f t="shared" ref="E1159:E1207" si="22">IF(D1159&gt;=500000000000,"Critical",IF(AND(D1159&gt;=50000000000,D1159&lt;500000000000),"Significant",IF(AND(D1159&gt;=45000000000,D1159&lt;50000000000),"Almost Significant",IF(D1159&lt;45000000000,"Non Significant",0))))</f>
        <v>Non Significant</v>
      </c>
    </row>
    <row r="1160" spans="3:5" x14ac:dyDescent="0.25">
      <c r="C1160" s="15" t="s">
        <v>1114</v>
      </c>
      <c r="D1160" s="16">
        <v>0</v>
      </c>
      <c r="E1160" s="2" t="str">
        <f t="shared" si="22"/>
        <v>Non Significant</v>
      </c>
    </row>
    <row r="1161" spans="3:5" x14ac:dyDescent="0.25">
      <c r="C1161" s="15" t="s">
        <v>4620</v>
      </c>
      <c r="D1161" s="16">
        <v>0</v>
      </c>
      <c r="E1161" s="2" t="str">
        <f t="shared" si="22"/>
        <v>Non Significant</v>
      </c>
    </row>
    <row r="1162" spans="3:5" x14ac:dyDescent="0.25">
      <c r="C1162" s="15" t="s">
        <v>1118</v>
      </c>
      <c r="D1162" s="16">
        <v>0</v>
      </c>
      <c r="E1162" s="2" t="str">
        <f t="shared" si="22"/>
        <v>Non Significant</v>
      </c>
    </row>
    <row r="1163" spans="3:5" x14ac:dyDescent="0.25">
      <c r="C1163" s="15" t="s">
        <v>4621</v>
      </c>
      <c r="D1163" s="16">
        <v>0</v>
      </c>
      <c r="E1163" s="2" t="str">
        <f t="shared" si="22"/>
        <v>Non Significant</v>
      </c>
    </row>
    <row r="1164" spans="3:5" x14ac:dyDescent="0.25">
      <c r="C1164" s="15" t="s">
        <v>1212</v>
      </c>
      <c r="D1164" s="16">
        <v>0</v>
      </c>
      <c r="E1164" s="2" t="str">
        <f t="shared" si="22"/>
        <v>Non Significant</v>
      </c>
    </row>
    <row r="1165" spans="3:5" x14ac:dyDescent="0.25">
      <c r="C1165" s="15" t="s">
        <v>664</v>
      </c>
      <c r="D1165" s="16">
        <v>0</v>
      </c>
      <c r="E1165" s="2" t="str">
        <f t="shared" si="22"/>
        <v>Non Significant</v>
      </c>
    </row>
    <row r="1166" spans="3:5" x14ac:dyDescent="0.25">
      <c r="C1166" s="15" t="s">
        <v>4622</v>
      </c>
      <c r="D1166" s="16">
        <v>0</v>
      </c>
      <c r="E1166" s="2" t="str">
        <f t="shared" si="22"/>
        <v>Non Significant</v>
      </c>
    </row>
    <row r="1167" spans="3:5" x14ac:dyDescent="0.25">
      <c r="C1167" s="15" t="s">
        <v>658</v>
      </c>
      <c r="D1167" s="16">
        <v>0</v>
      </c>
      <c r="E1167" s="2" t="str">
        <f t="shared" si="22"/>
        <v>Non Significant</v>
      </c>
    </row>
    <row r="1168" spans="3:5" x14ac:dyDescent="0.25">
      <c r="C1168" s="15" t="s">
        <v>4623</v>
      </c>
      <c r="D1168" s="16">
        <v>0</v>
      </c>
      <c r="E1168" s="2" t="str">
        <f t="shared" si="22"/>
        <v>Non Significant</v>
      </c>
    </row>
    <row r="1169" spans="3:5" x14ac:dyDescent="0.25">
      <c r="C1169" s="15" t="s">
        <v>689</v>
      </c>
      <c r="D1169" s="16">
        <v>0</v>
      </c>
      <c r="E1169" s="2" t="str">
        <f t="shared" si="22"/>
        <v>Non Significant</v>
      </c>
    </row>
    <row r="1170" spans="3:5" x14ac:dyDescent="0.25">
      <c r="C1170" s="15" t="s">
        <v>4624</v>
      </c>
      <c r="D1170" s="16">
        <v>0</v>
      </c>
      <c r="E1170" s="2" t="str">
        <f t="shared" si="22"/>
        <v>Non Significant</v>
      </c>
    </row>
    <row r="1171" spans="3:5" x14ac:dyDescent="0.25">
      <c r="C1171" s="15" t="s">
        <v>4625</v>
      </c>
      <c r="D1171" s="16">
        <v>0</v>
      </c>
      <c r="E1171" s="2" t="str">
        <f t="shared" si="22"/>
        <v>Non Significant</v>
      </c>
    </row>
    <row r="1172" spans="3:5" x14ac:dyDescent="0.25">
      <c r="C1172" s="15" t="s">
        <v>4626</v>
      </c>
      <c r="D1172" s="16">
        <v>0</v>
      </c>
      <c r="E1172" s="2" t="str">
        <f t="shared" si="22"/>
        <v>Non Significant</v>
      </c>
    </row>
    <row r="1173" spans="3:5" x14ac:dyDescent="0.25">
      <c r="C1173" s="15" t="s">
        <v>4627</v>
      </c>
      <c r="D1173" s="16">
        <v>0</v>
      </c>
      <c r="E1173" s="2" t="str">
        <f t="shared" si="22"/>
        <v>Non Significant</v>
      </c>
    </row>
    <row r="1174" spans="3:5" x14ac:dyDescent="0.25">
      <c r="C1174" s="15" t="s">
        <v>1206</v>
      </c>
      <c r="D1174" s="16">
        <v>0</v>
      </c>
      <c r="E1174" s="2" t="str">
        <f t="shared" si="22"/>
        <v>Non Significant</v>
      </c>
    </row>
    <row r="1175" spans="3:5" x14ac:dyDescent="0.25">
      <c r="C1175" s="15" t="s">
        <v>653</v>
      </c>
      <c r="D1175" s="16">
        <v>0</v>
      </c>
      <c r="E1175" s="2" t="str">
        <f t="shared" si="22"/>
        <v>Non Significant</v>
      </c>
    </row>
    <row r="1176" spans="3:5" x14ac:dyDescent="0.25">
      <c r="C1176" s="15" t="s">
        <v>1210</v>
      </c>
      <c r="D1176" s="16">
        <v>0</v>
      </c>
      <c r="E1176" s="2" t="str">
        <f t="shared" si="22"/>
        <v>Non Significant</v>
      </c>
    </row>
    <row r="1177" spans="3:5" x14ac:dyDescent="0.25">
      <c r="C1177" s="15" t="s">
        <v>709</v>
      </c>
      <c r="D1177" s="16">
        <v>0</v>
      </c>
      <c r="E1177" s="2" t="str">
        <f t="shared" si="22"/>
        <v>Non Significant</v>
      </c>
    </row>
    <row r="1178" spans="3:5" x14ac:dyDescent="0.25">
      <c r="C1178" s="15" t="s">
        <v>612</v>
      </c>
      <c r="D1178" s="16">
        <v>0</v>
      </c>
      <c r="E1178" s="2" t="str">
        <f t="shared" si="22"/>
        <v>Non Significant</v>
      </c>
    </row>
    <row r="1179" spans="3:5" x14ac:dyDescent="0.25">
      <c r="C1179" s="15" t="s">
        <v>703</v>
      </c>
      <c r="D1179" s="16">
        <v>0</v>
      </c>
      <c r="E1179" s="2" t="str">
        <f t="shared" si="22"/>
        <v>Non Significant</v>
      </c>
    </row>
    <row r="1180" spans="3:5" x14ac:dyDescent="0.25">
      <c r="C1180" s="15" t="s">
        <v>738</v>
      </c>
      <c r="D1180" s="16">
        <v>0</v>
      </c>
      <c r="E1180" s="2" t="str">
        <f t="shared" si="22"/>
        <v>Non Significant</v>
      </c>
    </row>
    <row r="1181" spans="3:5" x14ac:dyDescent="0.25">
      <c r="C1181" s="15" t="s">
        <v>4628</v>
      </c>
      <c r="D1181" s="16">
        <v>0</v>
      </c>
      <c r="E1181" s="2" t="str">
        <f t="shared" si="22"/>
        <v>Non Significant</v>
      </c>
    </row>
    <row r="1182" spans="3:5" x14ac:dyDescent="0.25">
      <c r="C1182" s="15" t="s">
        <v>4629</v>
      </c>
      <c r="D1182" s="16">
        <v>0</v>
      </c>
      <c r="E1182" s="2" t="str">
        <f t="shared" si="22"/>
        <v>Non Significant</v>
      </c>
    </row>
    <row r="1183" spans="3:5" x14ac:dyDescent="0.25">
      <c r="C1183" s="15" t="s">
        <v>673</v>
      </c>
      <c r="D1183" s="16">
        <v>0</v>
      </c>
      <c r="E1183" s="2" t="str">
        <f t="shared" si="22"/>
        <v>Non Significant</v>
      </c>
    </row>
    <row r="1184" spans="3:5" x14ac:dyDescent="0.25">
      <c r="C1184" s="15" t="s">
        <v>763</v>
      </c>
      <c r="D1184" s="16">
        <v>0</v>
      </c>
      <c r="E1184" s="2" t="str">
        <f t="shared" si="22"/>
        <v>Non Significant</v>
      </c>
    </row>
    <row r="1185" spans="3:5" x14ac:dyDescent="0.25">
      <c r="C1185" s="15" t="s">
        <v>667</v>
      </c>
      <c r="D1185" s="16">
        <v>0</v>
      </c>
      <c r="E1185" s="2" t="str">
        <f t="shared" si="22"/>
        <v>Non Significant</v>
      </c>
    </row>
    <row r="1186" spans="3:5" x14ac:dyDescent="0.25">
      <c r="C1186" s="15" t="s">
        <v>756</v>
      </c>
      <c r="D1186" s="16">
        <v>0</v>
      </c>
      <c r="E1186" s="2" t="str">
        <f t="shared" si="22"/>
        <v>Non Significant</v>
      </c>
    </row>
    <row r="1187" spans="3:5" x14ac:dyDescent="0.25">
      <c r="C1187" s="15" t="s">
        <v>700</v>
      </c>
      <c r="D1187" s="16">
        <v>0</v>
      </c>
      <c r="E1187" s="2" t="str">
        <f t="shared" si="22"/>
        <v>Non Significant</v>
      </c>
    </row>
    <row r="1188" spans="3:5" x14ac:dyDescent="0.25">
      <c r="C1188" s="15" t="s">
        <v>1285</v>
      </c>
      <c r="D1188" s="16">
        <v>0</v>
      </c>
      <c r="E1188" s="2" t="str">
        <f t="shared" si="22"/>
        <v>Non Significant</v>
      </c>
    </row>
    <row r="1189" spans="3:5" x14ac:dyDescent="0.25">
      <c r="C1189" s="15" t="s">
        <v>694</v>
      </c>
      <c r="D1189" s="16">
        <v>0</v>
      </c>
      <c r="E1189" s="2" t="str">
        <f t="shared" si="22"/>
        <v>Non Significant</v>
      </c>
    </row>
    <row r="1190" spans="3:5" x14ac:dyDescent="0.25">
      <c r="C1190" s="15" t="s">
        <v>4630</v>
      </c>
      <c r="D1190" s="16">
        <v>0</v>
      </c>
      <c r="E1190" s="2" t="str">
        <f t="shared" si="22"/>
        <v>Non Significant</v>
      </c>
    </row>
    <row r="1191" spans="3:5" x14ac:dyDescent="0.25">
      <c r="C1191" s="15" t="s">
        <v>734</v>
      </c>
      <c r="D1191" s="16">
        <v>0</v>
      </c>
      <c r="E1191" s="2" t="str">
        <f t="shared" si="22"/>
        <v>Non Significant</v>
      </c>
    </row>
    <row r="1192" spans="3:5" x14ac:dyDescent="0.25">
      <c r="C1192" s="15" t="s">
        <v>628</v>
      </c>
      <c r="D1192" s="16">
        <v>0</v>
      </c>
      <c r="E1192" s="2" t="str">
        <f t="shared" si="22"/>
        <v>Non Significant</v>
      </c>
    </row>
    <row r="1193" spans="3:5" x14ac:dyDescent="0.25">
      <c r="C1193" s="15" t="s">
        <v>727</v>
      </c>
      <c r="D1193" s="16">
        <v>0</v>
      </c>
      <c r="E1193" s="2" t="str">
        <f t="shared" si="22"/>
        <v>Non Significant</v>
      </c>
    </row>
    <row r="1194" spans="3:5" x14ac:dyDescent="0.25">
      <c r="C1194" s="15" t="s">
        <v>646</v>
      </c>
      <c r="D1194" s="16">
        <v>0</v>
      </c>
      <c r="E1194" s="2" t="str">
        <f t="shared" si="22"/>
        <v>Non Significant</v>
      </c>
    </row>
    <row r="1195" spans="3:5" x14ac:dyDescent="0.25">
      <c r="C1195" s="15" t="s">
        <v>721</v>
      </c>
      <c r="D1195" s="16">
        <v>0</v>
      </c>
      <c r="E1195" s="2" t="str">
        <f t="shared" si="22"/>
        <v>Non Significant</v>
      </c>
    </row>
    <row r="1196" spans="3:5" x14ac:dyDescent="0.25">
      <c r="C1196" s="15" t="s">
        <v>640</v>
      </c>
      <c r="D1196" s="16">
        <v>0</v>
      </c>
      <c r="E1196" s="2" t="str">
        <f t="shared" si="22"/>
        <v>Non Significant</v>
      </c>
    </row>
    <row r="1197" spans="3:5" x14ac:dyDescent="0.25">
      <c r="C1197" s="15" t="s">
        <v>776</v>
      </c>
      <c r="D1197" s="16">
        <v>0</v>
      </c>
      <c r="E1197" s="2" t="str">
        <f t="shared" si="22"/>
        <v>Non Significant</v>
      </c>
    </row>
    <row r="1198" spans="3:5" x14ac:dyDescent="0.25">
      <c r="C1198" s="15" t="s">
        <v>792</v>
      </c>
      <c r="D1198" s="16">
        <v>0</v>
      </c>
      <c r="E1198" s="2" t="str">
        <f t="shared" si="22"/>
        <v>Non Significant</v>
      </c>
    </row>
    <row r="1199" spans="3:5" x14ac:dyDescent="0.25">
      <c r="C1199" s="15" t="s">
        <v>2539</v>
      </c>
      <c r="D1199" s="16">
        <v>0</v>
      </c>
      <c r="E1199" s="2" t="str">
        <f t="shared" si="22"/>
        <v>Non Significant</v>
      </c>
    </row>
    <row r="1200" spans="3:5" x14ac:dyDescent="0.25">
      <c r="C1200" s="15" t="s">
        <v>644</v>
      </c>
      <c r="D1200" s="16">
        <v>0</v>
      </c>
      <c r="E1200" s="2" t="str">
        <f t="shared" si="22"/>
        <v>Non Significant</v>
      </c>
    </row>
    <row r="1201" spans="3:7" x14ac:dyDescent="0.25">
      <c r="C1201" s="15" t="s">
        <v>2543</v>
      </c>
      <c r="D1201" s="16">
        <v>0</v>
      </c>
      <c r="E1201" s="2" t="str">
        <f t="shared" si="22"/>
        <v>Non Significant</v>
      </c>
    </row>
    <row r="1202" spans="3:7" x14ac:dyDescent="0.25">
      <c r="C1202" s="15" t="s">
        <v>780</v>
      </c>
      <c r="D1202" s="16">
        <v>0</v>
      </c>
      <c r="E1202" s="2" t="str">
        <f t="shared" si="22"/>
        <v>Non Significant</v>
      </c>
    </row>
    <row r="1203" spans="3:7" x14ac:dyDescent="0.25">
      <c r="C1203" s="15" t="s">
        <v>4631</v>
      </c>
      <c r="D1203" s="16">
        <v>0</v>
      </c>
      <c r="E1203" s="2" t="str">
        <f t="shared" si="22"/>
        <v>Non Significant</v>
      </c>
    </row>
    <row r="1204" spans="3:7" x14ac:dyDescent="0.25">
      <c r="C1204" s="15" t="s">
        <v>4632</v>
      </c>
      <c r="D1204" s="16">
        <v>0</v>
      </c>
      <c r="E1204" s="2" t="str">
        <f t="shared" si="22"/>
        <v>Non Significant</v>
      </c>
    </row>
    <row r="1205" spans="3:7" x14ac:dyDescent="0.25">
      <c r="C1205" s="15" t="s">
        <v>149</v>
      </c>
      <c r="D1205" s="16">
        <v>0</v>
      </c>
      <c r="E1205" s="2" t="str">
        <f t="shared" si="22"/>
        <v>Non Significant</v>
      </c>
    </row>
    <row r="1206" spans="3:7" x14ac:dyDescent="0.25">
      <c r="C1206" s="15" t="s">
        <v>742</v>
      </c>
      <c r="D1206" s="16">
        <v>0</v>
      </c>
      <c r="E1206" s="2" t="str">
        <f t="shared" si="22"/>
        <v>Non Significant</v>
      </c>
    </row>
    <row r="1207" spans="3:7" x14ac:dyDescent="0.25">
      <c r="C1207" s="15" t="s">
        <v>154</v>
      </c>
      <c r="D1207" s="16">
        <v>0</v>
      </c>
      <c r="E1207" s="2" t="str">
        <f t="shared" si="22"/>
        <v>Non Significant</v>
      </c>
      <c r="F1207" s="21"/>
      <c r="G1207" s="22" t="s">
        <v>4633</v>
      </c>
    </row>
    <row r="1208" spans="3:7" x14ac:dyDescent="0.25">
      <c r="C1208" s="15" t="s">
        <v>740</v>
      </c>
      <c r="D1208" s="16">
        <v>0</v>
      </c>
      <c r="E1208" s="2"/>
      <c r="F1208" s="23">
        <f>GETPIVOTDATA("Total",$C$5)/G1208-1</f>
        <v>-2.6735109532976864E-2</v>
      </c>
      <c r="G1208" s="24">
        <v>419287761726.41522</v>
      </c>
    </row>
    <row r="1209" spans="3:7" x14ac:dyDescent="0.25">
      <c r="C1209" s="15" t="s">
        <v>4634</v>
      </c>
      <c r="D1209" s="16">
        <v>0</v>
      </c>
    </row>
    <row r="1210" spans="3:7" x14ac:dyDescent="0.25">
      <c r="C1210" s="15" t="s">
        <v>4635</v>
      </c>
      <c r="D1210" s="16">
        <v>0</v>
      </c>
    </row>
    <row r="1211" spans="3:7" x14ac:dyDescent="0.25">
      <c r="C1211" s="15" t="s">
        <v>608</v>
      </c>
      <c r="D1211" s="16">
        <v>0</v>
      </c>
    </row>
    <row r="1212" spans="3:7" x14ac:dyDescent="0.25">
      <c r="C1212" s="15" t="s">
        <v>4636</v>
      </c>
      <c r="D1212" s="16">
        <v>0</v>
      </c>
    </row>
    <row r="1213" spans="3:7" x14ac:dyDescent="0.25">
      <c r="C1213" s="15" t="s">
        <v>766</v>
      </c>
      <c r="D1213" s="16">
        <v>0</v>
      </c>
    </row>
    <row r="1214" spans="3:7" x14ac:dyDescent="0.25">
      <c r="C1214" s="15" t="s">
        <v>2575</v>
      </c>
      <c r="D1214" s="16">
        <v>0</v>
      </c>
    </row>
    <row r="1215" spans="3:7" x14ac:dyDescent="0.25">
      <c r="C1215" s="15" t="s">
        <v>759</v>
      </c>
      <c r="D1215" s="16">
        <v>0</v>
      </c>
    </row>
    <row r="1216" spans="3:7" x14ac:dyDescent="0.25">
      <c r="C1216" s="15" t="s">
        <v>2579</v>
      </c>
      <c r="D1216" s="16">
        <v>0</v>
      </c>
    </row>
    <row r="1217" spans="3:4" x14ac:dyDescent="0.25">
      <c r="C1217" s="15" t="s">
        <v>752</v>
      </c>
      <c r="D1217" s="16">
        <v>0</v>
      </c>
    </row>
    <row r="1218" spans="3:4" x14ac:dyDescent="0.25">
      <c r="C1218" s="15" t="s">
        <v>4637</v>
      </c>
      <c r="D1218" s="16">
        <v>0</v>
      </c>
    </row>
    <row r="1219" spans="3:4" x14ac:dyDescent="0.25">
      <c r="C1219" s="15" t="s">
        <v>2545</v>
      </c>
      <c r="D1219" s="16">
        <v>0</v>
      </c>
    </row>
    <row r="1220" spans="3:4" x14ac:dyDescent="0.25">
      <c r="C1220" s="15" t="s">
        <v>515</v>
      </c>
      <c r="D1220" s="16">
        <v>0</v>
      </c>
    </row>
    <row r="1221" spans="3:4" x14ac:dyDescent="0.25">
      <c r="C1221" s="15" t="s">
        <v>2653</v>
      </c>
      <c r="D1221" s="16">
        <v>0</v>
      </c>
    </row>
    <row r="1222" spans="3:4" x14ac:dyDescent="0.25">
      <c r="C1222" s="15" t="s">
        <v>1071</v>
      </c>
      <c r="D1222" s="16">
        <v>0</v>
      </c>
    </row>
    <row r="1223" spans="3:4" x14ac:dyDescent="0.25">
      <c r="C1223" s="15" t="s">
        <v>385</v>
      </c>
      <c r="D1223" s="16">
        <v>0</v>
      </c>
    </row>
    <row r="1224" spans="3:4" x14ac:dyDescent="0.25">
      <c r="C1224" s="15" t="s">
        <v>4638</v>
      </c>
      <c r="D1224" s="16">
        <v>0</v>
      </c>
    </row>
    <row r="1225" spans="3:4" x14ac:dyDescent="0.25">
      <c r="C1225" s="15" t="s">
        <v>237</v>
      </c>
      <c r="D1225" s="16">
        <v>0</v>
      </c>
    </row>
    <row r="1226" spans="3:4" x14ac:dyDescent="0.25">
      <c r="C1226" s="15" t="s">
        <v>308</v>
      </c>
      <c r="D1226" s="16">
        <v>0</v>
      </c>
    </row>
    <row r="1227" spans="3:4" x14ac:dyDescent="0.25">
      <c r="C1227" s="15" t="s">
        <v>393</v>
      </c>
      <c r="D1227" s="16">
        <v>0</v>
      </c>
    </row>
    <row r="1228" spans="3:4" x14ac:dyDescent="0.25">
      <c r="C1228" s="15" t="s">
        <v>4639</v>
      </c>
      <c r="D1228" s="16">
        <v>0</v>
      </c>
    </row>
    <row r="1229" spans="3:4" x14ac:dyDescent="0.25">
      <c r="C1229" s="15" t="s">
        <v>381</v>
      </c>
      <c r="D1229" s="16">
        <v>0</v>
      </c>
    </row>
    <row r="1230" spans="3:4" x14ac:dyDescent="0.25">
      <c r="C1230" s="15" t="s">
        <v>4640</v>
      </c>
      <c r="D1230" s="16">
        <v>0</v>
      </c>
    </row>
    <row r="1231" spans="3:4" x14ac:dyDescent="0.25">
      <c r="C1231" s="15" t="s">
        <v>4641</v>
      </c>
      <c r="D1231" s="16">
        <v>0</v>
      </c>
    </row>
    <row r="1232" spans="3:4" x14ac:dyDescent="0.25">
      <c r="C1232" s="15" t="s">
        <v>2608</v>
      </c>
      <c r="D1232" s="16">
        <v>0</v>
      </c>
    </row>
    <row r="1233" spans="3:4" x14ac:dyDescent="0.25">
      <c r="C1233" s="15" t="s">
        <v>1334</v>
      </c>
      <c r="D1233" s="16">
        <v>0</v>
      </c>
    </row>
    <row r="1234" spans="3:4" x14ac:dyDescent="0.25">
      <c r="C1234" s="15" t="s">
        <v>4642</v>
      </c>
      <c r="D1234" s="16">
        <v>0</v>
      </c>
    </row>
    <row r="1235" spans="3:4" x14ac:dyDescent="0.25">
      <c r="C1235" s="15" t="s">
        <v>3833</v>
      </c>
      <c r="D1235" s="16">
        <v>0</v>
      </c>
    </row>
    <row r="1236" spans="3:4" x14ac:dyDescent="0.25">
      <c r="C1236" s="15" t="s">
        <v>4643</v>
      </c>
      <c r="D1236" s="16">
        <v>0</v>
      </c>
    </row>
    <row r="1237" spans="3:4" x14ac:dyDescent="0.25">
      <c r="C1237" s="15" t="s">
        <v>4644</v>
      </c>
      <c r="D1237" s="16">
        <v>0</v>
      </c>
    </row>
    <row r="1238" spans="3:4" x14ac:dyDescent="0.25">
      <c r="C1238" s="15" t="s">
        <v>1041</v>
      </c>
      <c r="D1238" s="16">
        <v>0</v>
      </c>
    </row>
    <row r="1239" spans="3:4" x14ac:dyDescent="0.25">
      <c r="C1239" s="15" t="s">
        <v>4645</v>
      </c>
      <c r="D1239" s="16">
        <v>0</v>
      </c>
    </row>
    <row r="1240" spans="3:4" x14ac:dyDescent="0.25">
      <c r="C1240" s="15" t="s">
        <v>1095</v>
      </c>
      <c r="D1240" s="16">
        <v>0</v>
      </c>
    </row>
    <row r="1241" spans="3:4" x14ac:dyDescent="0.25">
      <c r="C1241" s="15" t="s">
        <v>1337</v>
      </c>
      <c r="D1241" s="16">
        <v>0</v>
      </c>
    </row>
    <row r="1242" spans="3:4" x14ac:dyDescent="0.25">
      <c r="C1242" s="15" t="s">
        <v>2644</v>
      </c>
      <c r="D1242" s="16">
        <v>0</v>
      </c>
    </row>
    <row r="1243" spans="3:4" x14ac:dyDescent="0.25">
      <c r="C1243" s="15" t="s">
        <v>4646</v>
      </c>
      <c r="D1243" s="16">
        <v>0</v>
      </c>
    </row>
    <row r="1244" spans="3:4" x14ac:dyDescent="0.25">
      <c r="C1244" s="15" t="s">
        <v>4647</v>
      </c>
      <c r="D1244" s="16">
        <v>0</v>
      </c>
    </row>
    <row r="1245" spans="3:4" x14ac:dyDescent="0.25">
      <c r="C1245" s="15" t="s">
        <v>4648</v>
      </c>
      <c r="D1245" s="16">
        <v>0</v>
      </c>
    </row>
    <row r="1246" spans="3:4" x14ac:dyDescent="0.25">
      <c r="C1246" s="15" t="s">
        <v>2698</v>
      </c>
      <c r="D1246" s="16">
        <v>0</v>
      </c>
    </row>
    <row r="1247" spans="3:4" x14ac:dyDescent="0.25">
      <c r="C1247" s="15" t="s">
        <v>4649</v>
      </c>
      <c r="D1247" s="16">
        <v>0</v>
      </c>
    </row>
    <row r="1248" spans="3:4" x14ac:dyDescent="0.25">
      <c r="C1248" s="15" t="s">
        <v>4650</v>
      </c>
      <c r="D1248" s="16">
        <v>0</v>
      </c>
    </row>
    <row r="1249" spans="3:4" x14ac:dyDescent="0.25">
      <c r="C1249" s="15" t="s">
        <v>4651</v>
      </c>
      <c r="D1249" s="16">
        <v>0</v>
      </c>
    </row>
    <row r="1250" spans="3:4" x14ac:dyDescent="0.25">
      <c r="C1250" s="15" t="s">
        <v>297</v>
      </c>
      <c r="D1250" s="16">
        <v>0</v>
      </c>
    </row>
    <row r="1251" spans="3:4" x14ac:dyDescent="0.25">
      <c r="C1251" s="15" t="s">
        <v>4652</v>
      </c>
      <c r="D1251" s="16">
        <v>0</v>
      </c>
    </row>
    <row r="1252" spans="3:4" x14ac:dyDescent="0.25">
      <c r="C1252" s="15" t="s">
        <v>324</v>
      </c>
      <c r="D1252" s="16">
        <v>0</v>
      </c>
    </row>
    <row r="1253" spans="3:4" x14ac:dyDescent="0.25">
      <c r="C1253" s="15" t="s">
        <v>4653</v>
      </c>
      <c r="D1253" s="16">
        <v>0</v>
      </c>
    </row>
    <row r="1254" spans="3:4" x14ac:dyDescent="0.25">
      <c r="C1254" s="15" t="s">
        <v>1023</v>
      </c>
      <c r="D1254" s="16">
        <v>0</v>
      </c>
    </row>
    <row r="1255" spans="3:4" x14ac:dyDescent="0.25">
      <c r="C1255" s="15" t="s">
        <v>4654</v>
      </c>
      <c r="D1255" s="16">
        <v>0</v>
      </c>
    </row>
    <row r="1256" spans="3:4" x14ac:dyDescent="0.25">
      <c r="C1256" s="15" t="s">
        <v>1080</v>
      </c>
      <c r="D1256" s="16">
        <v>0</v>
      </c>
    </row>
    <row r="1257" spans="3:4" x14ac:dyDescent="0.25">
      <c r="C1257" s="15" t="s">
        <v>4655</v>
      </c>
      <c r="D1257" s="16">
        <v>0</v>
      </c>
    </row>
    <row r="1258" spans="3:4" x14ac:dyDescent="0.25">
      <c r="C1258" s="15" t="s">
        <v>499</v>
      </c>
      <c r="D1258" s="16">
        <v>0</v>
      </c>
    </row>
    <row r="1259" spans="3:4" x14ac:dyDescent="0.25">
      <c r="C1259" s="15" t="s">
        <v>3845</v>
      </c>
      <c r="D1259" s="16">
        <v>0</v>
      </c>
    </row>
    <row r="1260" spans="3:4" x14ac:dyDescent="0.25">
      <c r="C1260" s="15" t="s">
        <v>1143</v>
      </c>
      <c r="D1260" s="16">
        <v>0</v>
      </c>
    </row>
    <row r="1261" spans="3:4" x14ac:dyDescent="0.25">
      <c r="C1261" s="15" t="s">
        <v>3842</v>
      </c>
      <c r="D1261" s="16">
        <v>0</v>
      </c>
    </row>
    <row r="1262" spans="3:4" x14ac:dyDescent="0.25">
      <c r="C1262" s="15" t="s">
        <v>1050</v>
      </c>
      <c r="D1262" s="16">
        <v>0</v>
      </c>
    </row>
    <row r="1263" spans="3:4" x14ac:dyDescent="0.25">
      <c r="C1263" s="15" t="s">
        <v>249</v>
      </c>
      <c r="D1263" s="16">
        <v>0</v>
      </c>
    </row>
    <row r="1264" spans="3:4" x14ac:dyDescent="0.25">
      <c r="C1264" s="15" t="s">
        <v>2617</v>
      </c>
      <c r="D1264" s="16">
        <v>0</v>
      </c>
    </row>
    <row r="1265" spans="3:4" x14ac:dyDescent="0.25">
      <c r="C1265" s="15" t="s">
        <v>493</v>
      </c>
      <c r="D1265" s="16">
        <v>0</v>
      </c>
    </row>
    <row r="1266" spans="3:4" x14ac:dyDescent="0.25">
      <c r="C1266" s="15" t="s">
        <v>4656</v>
      </c>
      <c r="D1266" s="16">
        <v>0</v>
      </c>
    </row>
    <row r="1267" spans="3:4" x14ac:dyDescent="0.25">
      <c r="C1267" s="15" t="s">
        <v>173</v>
      </c>
      <c r="D1267" s="16">
        <v>0</v>
      </c>
    </row>
    <row r="1268" spans="3:4" x14ac:dyDescent="0.25">
      <c r="C1268" s="15" t="s">
        <v>396</v>
      </c>
      <c r="D1268" s="16">
        <v>0</v>
      </c>
    </row>
    <row r="1269" spans="3:4" x14ac:dyDescent="0.25">
      <c r="C1269" s="15" t="s">
        <v>489</v>
      </c>
      <c r="D1269" s="16">
        <v>0</v>
      </c>
    </row>
    <row r="1270" spans="3:4" x14ac:dyDescent="0.25">
      <c r="C1270" s="15" t="s">
        <v>293</v>
      </c>
      <c r="D1270" s="16">
        <v>0</v>
      </c>
    </row>
    <row r="1271" spans="3:4" x14ac:dyDescent="0.25">
      <c r="C1271" s="15" t="s">
        <v>201</v>
      </c>
      <c r="D1271" s="16">
        <v>0</v>
      </c>
    </row>
    <row r="1272" spans="3:4" x14ac:dyDescent="0.25">
      <c r="C1272" s="15" t="s">
        <v>4657</v>
      </c>
      <c r="D1272" s="16">
        <v>0</v>
      </c>
    </row>
    <row r="1273" spans="3:4" x14ac:dyDescent="0.25">
      <c r="C1273" s="15" t="s">
        <v>485</v>
      </c>
      <c r="D1273" s="16">
        <v>0</v>
      </c>
    </row>
    <row r="1274" spans="3:4" x14ac:dyDescent="0.25">
      <c r="C1274" s="15" t="s">
        <v>2733</v>
      </c>
      <c r="D1274" s="16">
        <v>0</v>
      </c>
    </row>
    <row r="1275" spans="3:4" x14ac:dyDescent="0.25">
      <c r="C1275" s="15" t="s">
        <v>169</v>
      </c>
      <c r="D1275" s="16">
        <v>0</v>
      </c>
    </row>
    <row r="1276" spans="3:4" x14ac:dyDescent="0.25">
      <c r="C1276" s="15" t="s">
        <v>346</v>
      </c>
      <c r="D1276" s="16">
        <v>0</v>
      </c>
    </row>
    <row r="1277" spans="3:4" x14ac:dyDescent="0.25">
      <c r="C1277" s="15" t="s">
        <v>3839</v>
      </c>
      <c r="D1277" s="16">
        <v>0</v>
      </c>
    </row>
    <row r="1278" spans="3:4" x14ac:dyDescent="0.25">
      <c r="C1278" s="15" t="s">
        <v>2602</v>
      </c>
      <c r="D1278" s="16">
        <v>0</v>
      </c>
    </row>
    <row r="1279" spans="3:4" x14ac:dyDescent="0.25">
      <c r="C1279" s="15" t="s">
        <v>142</v>
      </c>
      <c r="D1279" s="16">
        <v>0</v>
      </c>
    </row>
    <row r="1280" spans="3:4" x14ac:dyDescent="0.25">
      <c r="C1280" s="15" t="s">
        <v>261</v>
      </c>
      <c r="D1280" s="16">
        <v>0</v>
      </c>
    </row>
    <row r="1281" spans="3:4" x14ac:dyDescent="0.25">
      <c r="C1281" s="15" t="s">
        <v>146</v>
      </c>
      <c r="D1281" s="16">
        <v>0</v>
      </c>
    </row>
    <row r="1282" spans="3:4" x14ac:dyDescent="0.25">
      <c r="C1282" s="15" t="s">
        <v>257</v>
      </c>
      <c r="D1282" s="16">
        <v>0</v>
      </c>
    </row>
    <row r="1283" spans="3:4" x14ac:dyDescent="0.25">
      <c r="C1283" s="15" t="s">
        <v>189</v>
      </c>
      <c r="D1283" s="16">
        <v>0</v>
      </c>
    </row>
    <row r="1284" spans="3:4" x14ac:dyDescent="0.25">
      <c r="C1284" s="15" t="s">
        <v>2536</v>
      </c>
      <c r="D1284" s="16">
        <v>0</v>
      </c>
    </row>
    <row r="1285" spans="3:4" x14ac:dyDescent="0.25">
      <c r="C1285" s="15" t="s">
        <v>481</v>
      </c>
      <c r="D1285" s="16">
        <v>0</v>
      </c>
    </row>
    <row r="1286" spans="3:4" x14ac:dyDescent="0.25">
      <c r="C1286" s="15" t="s">
        <v>4658</v>
      </c>
      <c r="D1286" s="16">
        <v>0</v>
      </c>
    </row>
    <row r="1287" spans="3:4" x14ac:dyDescent="0.25">
      <c r="C1287" s="15" t="s">
        <v>181</v>
      </c>
      <c r="D1287" s="16">
        <v>0</v>
      </c>
    </row>
    <row r="1288" spans="3:4" x14ac:dyDescent="0.25">
      <c r="C1288" s="15" t="s">
        <v>320</v>
      </c>
      <c r="D1288" s="16">
        <v>0</v>
      </c>
    </row>
    <row r="1289" spans="3:4" x14ac:dyDescent="0.25">
      <c r="C1289" s="15" t="s">
        <v>487</v>
      </c>
      <c r="D1289" s="16">
        <v>0</v>
      </c>
    </row>
    <row r="1290" spans="3:4" x14ac:dyDescent="0.25">
      <c r="C1290" s="15" t="s">
        <v>1027</v>
      </c>
      <c r="D1290" s="16">
        <v>0</v>
      </c>
    </row>
    <row r="1291" spans="3:4" x14ac:dyDescent="0.25">
      <c r="C1291" s="15" t="s">
        <v>177</v>
      </c>
      <c r="D1291" s="16">
        <v>0</v>
      </c>
    </row>
    <row r="1292" spans="3:4" x14ac:dyDescent="0.25">
      <c r="C1292" s="15" t="s">
        <v>1343</v>
      </c>
      <c r="D1292" s="16">
        <v>0</v>
      </c>
    </row>
    <row r="1293" spans="3:4" x14ac:dyDescent="0.25">
      <c r="C1293" s="15" t="s">
        <v>491</v>
      </c>
      <c r="D1293" s="16">
        <v>0</v>
      </c>
    </row>
    <row r="1294" spans="3:4" x14ac:dyDescent="0.25">
      <c r="C1294" s="15" t="s">
        <v>4659</v>
      </c>
      <c r="D1294" s="16">
        <v>0</v>
      </c>
    </row>
    <row r="1295" spans="3:4" x14ac:dyDescent="0.25">
      <c r="C1295" s="15" t="s">
        <v>3823</v>
      </c>
      <c r="D1295" s="16">
        <v>0</v>
      </c>
    </row>
    <row r="1296" spans="3:4" x14ac:dyDescent="0.25">
      <c r="C1296" s="15" t="s">
        <v>1077</v>
      </c>
      <c r="D1296" s="16">
        <v>0</v>
      </c>
    </row>
    <row r="1297" spans="3:4" x14ac:dyDescent="0.25">
      <c r="C1297" s="15" t="s">
        <v>359</v>
      </c>
      <c r="D1297" s="16">
        <v>0</v>
      </c>
    </row>
    <row r="1298" spans="3:4" x14ac:dyDescent="0.25">
      <c r="C1298" s="15" t="s">
        <v>4660</v>
      </c>
      <c r="D1298" s="16">
        <v>0</v>
      </c>
    </row>
    <row r="1299" spans="3:4" x14ac:dyDescent="0.25">
      <c r="C1299" s="15" t="s">
        <v>3826</v>
      </c>
      <c r="D1299" s="16">
        <v>0</v>
      </c>
    </row>
    <row r="1300" spans="3:4" x14ac:dyDescent="0.25">
      <c r="C1300" s="15" t="s">
        <v>1302</v>
      </c>
      <c r="D1300" s="16">
        <v>0</v>
      </c>
    </row>
    <row r="1301" spans="3:4" x14ac:dyDescent="0.25">
      <c r="C1301" s="15" t="s">
        <v>3881</v>
      </c>
      <c r="D1301" s="16">
        <v>0</v>
      </c>
    </row>
    <row r="1302" spans="3:4" x14ac:dyDescent="0.25">
      <c r="C1302" s="15" t="s">
        <v>1035</v>
      </c>
      <c r="D1302" s="16">
        <v>0</v>
      </c>
    </row>
    <row r="1303" spans="3:4" x14ac:dyDescent="0.25">
      <c r="C1303" s="15" t="s">
        <v>3878</v>
      </c>
      <c r="D1303" s="16">
        <v>0</v>
      </c>
    </row>
    <row r="1304" spans="3:4" x14ac:dyDescent="0.25">
      <c r="C1304" s="15" t="s">
        <v>1137</v>
      </c>
      <c r="D1304" s="16">
        <v>0</v>
      </c>
    </row>
    <row r="1305" spans="3:4" x14ac:dyDescent="0.25">
      <c r="C1305" s="15" t="s">
        <v>3820</v>
      </c>
      <c r="D1305" s="16">
        <v>0</v>
      </c>
    </row>
    <row r="1306" spans="3:4" x14ac:dyDescent="0.25">
      <c r="C1306" s="15" t="s">
        <v>4661</v>
      </c>
      <c r="D1306" s="16">
        <v>0</v>
      </c>
    </row>
    <row r="1307" spans="3:4" x14ac:dyDescent="0.25">
      <c r="C1307" s="15" t="s">
        <v>355</v>
      </c>
      <c r="D1307" s="16">
        <v>0</v>
      </c>
    </row>
    <row r="1308" spans="3:4" x14ac:dyDescent="0.25">
      <c r="C1308" s="15" t="s">
        <v>1044</v>
      </c>
      <c r="D1308" s="16">
        <v>0</v>
      </c>
    </row>
    <row r="1309" spans="3:4" x14ac:dyDescent="0.25">
      <c r="C1309" s="15" t="s">
        <v>3835</v>
      </c>
      <c r="D1309" s="16">
        <v>0</v>
      </c>
    </row>
    <row r="1310" spans="3:4" x14ac:dyDescent="0.25">
      <c r="C1310" s="15" t="s">
        <v>1089</v>
      </c>
      <c r="D1310" s="16">
        <v>0</v>
      </c>
    </row>
    <row r="1311" spans="3:4" x14ac:dyDescent="0.25">
      <c r="C1311" s="15" t="s">
        <v>193</v>
      </c>
      <c r="D1311" s="16">
        <v>0</v>
      </c>
    </row>
    <row r="1312" spans="3:4" x14ac:dyDescent="0.25">
      <c r="C1312" s="15" t="s">
        <v>2611</v>
      </c>
      <c r="D1312" s="16">
        <v>0</v>
      </c>
    </row>
    <row r="1313" spans="3:4" x14ac:dyDescent="0.25">
      <c r="C1313" s="15" t="s">
        <v>479</v>
      </c>
      <c r="D1313" s="16">
        <v>0</v>
      </c>
    </row>
    <row r="1314" spans="3:4" x14ac:dyDescent="0.25">
      <c r="C1314" s="15" t="s">
        <v>2647</v>
      </c>
      <c r="D1314" s="16">
        <v>0</v>
      </c>
    </row>
    <row r="1315" spans="3:4" x14ac:dyDescent="0.25">
      <c r="C1315" s="15" t="s">
        <v>185</v>
      </c>
      <c r="D1315" s="16">
        <v>0</v>
      </c>
    </row>
    <row r="1316" spans="3:4" x14ac:dyDescent="0.25">
      <c r="C1316" s="15" t="s">
        <v>4662</v>
      </c>
      <c r="D1316" s="16">
        <v>0</v>
      </c>
    </row>
    <row r="1317" spans="3:4" x14ac:dyDescent="0.25">
      <c r="C1317" s="15" t="s">
        <v>483</v>
      </c>
      <c r="D1317" s="16">
        <v>0</v>
      </c>
    </row>
    <row r="1318" spans="3:4" x14ac:dyDescent="0.25">
      <c r="C1318" s="15" t="s">
        <v>2638</v>
      </c>
      <c r="D1318" s="16">
        <v>0</v>
      </c>
    </row>
    <row r="1319" spans="3:4" x14ac:dyDescent="0.25">
      <c r="C1319" s="15" t="s">
        <v>197</v>
      </c>
      <c r="D1319" s="16">
        <v>0</v>
      </c>
    </row>
    <row r="1320" spans="3:4" x14ac:dyDescent="0.25">
      <c r="C1320" s="15" t="s">
        <v>4663</v>
      </c>
      <c r="D1320" s="16">
        <v>0</v>
      </c>
    </row>
    <row r="1321" spans="3:4" x14ac:dyDescent="0.25">
      <c r="C1321" s="15" t="s">
        <v>457</v>
      </c>
      <c r="D1321" s="16">
        <v>0</v>
      </c>
    </row>
    <row r="1322" spans="3:4" x14ac:dyDescent="0.25">
      <c r="C1322" s="15" t="s">
        <v>4664</v>
      </c>
      <c r="D1322" s="16">
        <v>0</v>
      </c>
    </row>
    <row r="1323" spans="3:4" x14ac:dyDescent="0.25">
      <c r="C1323" s="15" t="s">
        <v>1341</v>
      </c>
      <c r="D1323" s="16">
        <v>0</v>
      </c>
    </row>
    <row r="1324" spans="3:4" x14ac:dyDescent="0.25">
      <c r="C1324" s="15" t="s">
        <v>1319</v>
      </c>
      <c r="D1324" s="16">
        <v>0</v>
      </c>
    </row>
    <row r="1325" spans="3:4" x14ac:dyDescent="0.25">
      <c r="C1325" s="15" t="s">
        <v>4665</v>
      </c>
      <c r="D1325" s="16">
        <v>0</v>
      </c>
    </row>
    <row r="1326" spans="3:4" x14ac:dyDescent="0.25">
      <c r="C1326" s="15" t="s">
        <v>4666</v>
      </c>
      <c r="D1326" s="16">
        <v>0</v>
      </c>
    </row>
    <row r="1327" spans="3:4" x14ac:dyDescent="0.25">
      <c r="C1327" s="15" t="s">
        <v>517</v>
      </c>
      <c r="D1327" s="16">
        <v>0</v>
      </c>
    </row>
    <row r="1328" spans="3:4" x14ac:dyDescent="0.25">
      <c r="C1328" s="15" t="s">
        <v>2735</v>
      </c>
      <c r="D1328" s="16">
        <v>0</v>
      </c>
    </row>
    <row r="1329" spans="3:4" x14ac:dyDescent="0.25">
      <c r="C1329" s="15" t="s">
        <v>421</v>
      </c>
      <c r="D1329" s="16">
        <v>0</v>
      </c>
    </row>
    <row r="1330" spans="3:4" x14ac:dyDescent="0.25">
      <c r="C1330" s="15" t="s">
        <v>4667</v>
      </c>
      <c r="D1330" s="16">
        <v>0</v>
      </c>
    </row>
    <row r="1331" spans="3:4" x14ac:dyDescent="0.25">
      <c r="C1331" s="15" t="s">
        <v>367</v>
      </c>
      <c r="D1331" s="16">
        <v>0</v>
      </c>
    </row>
    <row r="1332" spans="3:4" x14ac:dyDescent="0.25">
      <c r="C1332" s="15" t="s">
        <v>501</v>
      </c>
      <c r="D1332" s="16">
        <v>0</v>
      </c>
    </row>
    <row r="1333" spans="3:4" x14ac:dyDescent="0.25">
      <c r="C1333" s="15" t="s">
        <v>374</v>
      </c>
      <c r="D1333" s="16">
        <v>0</v>
      </c>
    </row>
    <row r="1334" spans="3:4" x14ac:dyDescent="0.25">
      <c r="C1334" s="15" t="s">
        <v>2702</v>
      </c>
      <c r="D1334" s="16">
        <v>0</v>
      </c>
    </row>
    <row r="1335" spans="3:4" x14ac:dyDescent="0.25">
      <c r="C1335" s="15" t="s">
        <v>165</v>
      </c>
      <c r="D1335" s="16">
        <v>0</v>
      </c>
    </row>
    <row r="1336" spans="3:4" x14ac:dyDescent="0.25">
      <c r="C1336" s="15" t="s">
        <v>350</v>
      </c>
      <c r="D1336" s="16">
        <v>0</v>
      </c>
    </row>
    <row r="1337" spans="3:4" x14ac:dyDescent="0.25">
      <c r="C1337" s="15" t="s">
        <v>4668</v>
      </c>
      <c r="D1337" s="16">
        <v>0</v>
      </c>
    </row>
    <row r="1338" spans="3:4" x14ac:dyDescent="0.25">
      <c r="C1338" s="15" t="s">
        <v>269</v>
      </c>
      <c r="D1338" s="16">
        <v>0</v>
      </c>
    </row>
    <row r="1339" spans="3:4" x14ac:dyDescent="0.25">
      <c r="C1339" s="15" t="s">
        <v>2695</v>
      </c>
      <c r="D1339" s="16">
        <v>0</v>
      </c>
    </row>
    <row r="1340" spans="3:4" x14ac:dyDescent="0.25">
      <c r="C1340" s="15" t="s">
        <v>2606</v>
      </c>
      <c r="D1340" s="16">
        <v>0</v>
      </c>
    </row>
    <row r="1341" spans="3:4" x14ac:dyDescent="0.25">
      <c r="C1341" s="15" t="s">
        <v>4669</v>
      </c>
      <c r="D1341" s="16">
        <v>0</v>
      </c>
    </row>
    <row r="1342" spans="3:4" x14ac:dyDescent="0.25">
      <c r="C1342" s="15" t="s">
        <v>507</v>
      </c>
      <c r="D1342" s="16">
        <v>0</v>
      </c>
    </row>
    <row r="1343" spans="3:4" x14ac:dyDescent="0.25">
      <c r="C1343" s="15" t="s">
        <v>2689</v>
      </c>
      <c r="D1343" s="16">
        <v>0</v>
      </c>
    </row>
    <row r="1344" spans="3:4" x14ac:dyDescent="0.25">
      <c r="C1344" s="15" t="s">
        <v>528</v>
      </c>
      <c r="D1344" s="16">
        <v>0</v>
      </c>
    </row>
    <row r="1345" spans="3:4" x14ac:dyDescent="0.25">
      <c r="C1345" s="15" t="s">
        <v>2693</v>
      </c>
      <c r="D1345" s="16">
        <v>0</v>
      </c>
    </row>
    <row r="1346" spans="3:4" x14ac:dyDescent="0.25">
      <c r="C1346" s="15" t="s">
        <v>4670</v>
      </c>
      <c r="D1346" s="16">
        <v>0</v>
      </c>
    </row>
    <row r="1347" spans="3:4" x14ac:dyDescent="0.25">
      <c r="C1347" s="15" t="s">
        <v>509</v>
      </c>
      <c r="D1347" s="16">
        <v>0</v>
      </c>
    </row>
    <row r="1348" spans="3:4" x14ac:dyDescent="0.25">
      <c r="C1348" s="15" t="s">
        <v>532</v>
      </c>
      <c r="D1348" s="16">
        <v>0</v>
      </c>
    </row>
    <row r="1349" spans="3:4" x14ac:dyDescent="0.25">
      <c r="C1349" s="15" t="s">
        <v>4671</v>
      </c>
      <c r="D1349" s="16">
        <v>0</v>
      </c>
    </row>
    <row r="1350" spans="3:4" x14ac:dyDescent="0.25">
      <c r="C1350" s="15" t="s">
        <v>4672</v>
      </c>
      <c r="D1350" s="16">
        <v>0</v>
      </c>
    </row>
    <row r="1351" spans="3:4" x14ac:dyDescent="0.25">
      <c r="C1351" s="15" t="s">
        <v>161</v>
      </c>
      <c r="D1351" s="16">
        <v>0</v>
      </c>
    </row>
    <row r="1352" spans="3:4" x14ac:dyDescent="0.25">
      <c r="C1352" s="15" t="s">
        <v>2533</v>
      </c>
      <c r="D1352" s="16">
        <v>0</v>
      </c>
    </row>
    <row r="1353" spans="3:4" x14ac:dyDescent="0.25">
      <c r="C1353" s="15" t="s">
        <v>4673</v>
      </c>
      <c r="D1353" s="16">
        <v>0</v>
      </c>
    </row>
    <row r="1354" spans="3:4" x14ac:dyDescent="0.25">
      <c r="C1354" s="15" t="s">
        <v>339</v>
      </c>
      <c r="D1354" s="16">
        <v>0</v>
      </c>
    </row>
    <row r="1355" spans="3:4" x14ac:dyDescent="0.25">
      <c r="C1355" s="15" t="s">
        <v>505</v>
      </c>
      <c r="D1355" s="16">
        <v>0</v>
      </c>
    </row>
    <row r="1356" spans="3:4" x14ac:dyDescent="0.25">
      <c r="C1356" s="15" t="s">
        <v>459</v>
      </c>
      <c r="D1356" s="16">
        <v>0</v>
      </c>
    </row>
    <row r="1357" spans="3:4" x14ac:dyDescent="0.25">
      <c r="C1357" s="15" t="s">
        <v>157</v>
      </c>
      <c r="D1357" s="16">
        <v>0</v>
      </c>
    </row>
    <row r="1358" spans="3:4" x14ac:dyDescent="0.25">
      <c r="C1358" s="15" t="s">
        <v>465</v>
      </c>
      <c r="D1358" s="16">
        <v>0</v>
      </c>
    </row>
    <row r="1359" spans="3:4" x14ac:dyDescent="0.25">
      <c r="C1359" s="15" t="s">
        <v>2683</v>
      </c>
      <c r="D1359" s="16">
        <v>0</v>
      </c>
    </row>
    <row r="1360" spans="3:4" x14ac:dyDescent="0.25">
      <c r="C1360" s="15" t="s">
        <v>463</v>
      </c>
      <c r="D1360" s="16">
        <v>0</v>
      </c>
    </row>
    <row r="1361" spans="3:4" x14ac:dyDescent="0.25">
      <c r="C1361" s="15" t="s">
        <v>4674</v>
      </c>
      <c r="D1361" s="16">
        <v>0</v>
      </c>
    </row>
    <row r="1362" spans="3:4" x14ac:dyDescent="0.25">
      <c r="C1362" s="15" t="s">
        <v>1032</v>
      </c>
      <c r="D1362" s="16">
        <v>0</v>
      </c>
    </row>
    <row r="1363" spans="3:4" x14ac:dyDescent="0.25">
      <c r="C1363" s="15" t="s">
        <v>4675</v>
      </c>
      <c r="D1363" s="16">
        <v>0</v>
      </c>
    </row>
    <row r="1364" spans="3:4" x14ac:dyDescent="0.25">
      <c r="C1364" s="15" t="s">
        <v>1030</v>
      </c>
      <c r="D1364" s="16">
        <v>0</v>
      </c>
    </row>
    <row r="1365" spans="3:4" x14ac:dyDescent="0.25">
      <c r="C1365" s="15" t="s">
        <v>4676</v>
      </c>
      <c r="D1365" s="16">
        <v>0</v>
      </c>
    </row>
    <row r="1366" spans="3:4" x14ac:dyDescent="0.25">
      <c r="C1366" s="15" t="s">
        <v>949</v>
      </c>
      <c r="D1366" s="16">
        <v>0</v>
      </c>
    </row>
    <row r="1367" spans="3:4" x14ac:dyDescent="0.25">
      <c r="C1367" s="15" t="s">
        <v>4677</v>
      </c>
      <c r="D1367" s="16">
        <v>0</v>
      </c>
    </row>
    <row r="1368" spans="3:4" x14ac:dyDescent="0.25">
      <c r="C1368" s="15" t="s">
        <v>4678</v>
      </c>
      <c r="D1368" s="16">
        <v>0</v>
      </c>
    </row>
    <row r="1369" spans="3:4" x14ac:dyDescent="0.25">
      <c r="C1369" s="15" t="s">
        <v>4679</v>
      </c>
      <c r="D1369" s="16">
        <v>0</v>
      </c>
    </row>
    <row r="1370" spans="3:4" x14ac:dyDescent="0.25">
      <c r="C1370" s="15" t="s">
        <v>1086</v>
      </c>
      <c r="D1370" s="16">
        <v>0</v>
      </c>
    </row>
    <row r="1371" spans="3:4" x14ac:dyDescent="0.25">
      <c r="C1371" s="15" t="s">
        <v>4680</v>
      </c>
      <c r="D1371" s="16">
        <v>0</v>
      </c>
    </row>
    <row r="1372" spans="3:4" x14ac:dyDescent="0.25">
      <c r="C1372" s="15" t="s">
        <v>945</v>
      </c>
      <c r="D1372" s="16">
        <v>0</v>
      </c>
    </row>
    <row r="1373" spans="3:4" x14ac:dyDescent="0.25">
      <c r="C1373" s="15" t="s">
        <v>4681</v>
      </c>
      <c r="D1373" s="16">
        <v>0</v>
      </c>
    </row>
    <row r="1374" spans="3:4" x14ac:dyDescent="0.25">
      <c r="C1374" s="15" t="s">
        <v>1084</v>
      </c>
      <c r="D1374" s="16">
        <v>0</v>
      </c>
    </row>
    <row r="1375" spans="3:4" x14ac:dyDescent="0.25">
      <c r="C1375" s="15" t="s">
        <v>519</v>
      </c>
      <c r="D1375" s="16">
        <v>0</v>
      </c>
    </row>
    <row r="1376" spans="3:4" x14ac:dyDescent="0.25">
      <c r="C1376" s="15" t="s">
        <v>4682</v>
      </c>
      <c r="D1376" s="16">
        <v>0</v>
      </c>
    </row>
    <row r="1377" spans="3:4" x14ac:dyDescent="0.25">
      <c r="C1377" s="15" t="s">
        <v>4683</v>
      </c>
      <c r="D1377" s="16">
        <v>0</v>
      </c>
    </row>
    <row r="1378" spans="3:4" x14ac:dyDescent="0.25">
      <c r="C1378" s="15" t="s">
        <v>1075</v>
      </c>
      <c r="D1378" s="16">
        <v>0</v>
      </c>
    </row>
    <row r="1379" spans="3:4" x14ac:dyDescent="0.25">
      <c r="C1379" s="15" t="s">
        <v>4684</v>
      </c>
      <c r="D1379" s="16">
        <v>0</v>
      </c>
    </row>
    <row r="1380" spans="3:4" x14ac:dyDescent="0.25">
      <c r="C1380" s="15" t="s">
        <v>4685</v>
      </c>
      <c r="D1380" s="16">
        <v>0</v>
      </c>
    </row>
    <row r="1381" spans="3:4" x14ac:dyDescent="0.25">
      <c r="C1381" s="15" t="s">
        <v>253</v>
      </c>
      <c r="D1381" s="16">
        <v>0</v>
      </c>
    </row>
    <row r="1382" spans="3:4" x14ac:dyDescent="0.25">
      <c r="C1382" s="15" t="s">
        <v>1299</v>
      </c>
      <c r="D1382" s="16">
        <v>0</v>
      </c>
    </row>
    <row r="1383" spans="3:4" x14ac:dyDescent="0.25">
      <c r="C1383" s="15" t="s">
        <v>4686</v>
      </c>
      <c r="D1383" s="16">
        <v>0</v>
      </c>
    </row>
    <row r="1384" spans="3:4" x14ac:dyDescent="0.25">
      <c r="C1384" s="15" t="s">
        <v>1305</v>
      </c>
      <c r="D1384" s="16">
        <v>0</v>
      </c>
    </row>
    <row r="1385" spans="3:4" x14ac:dyDescent="0.25">
      <c r="C1385" s="15" t="s">
        <v>423</v>
      </c>
      <c r="D1385" s="16">
        <v>0</v>
      </c>
    </row>
    <row r="1386" spans="3:4" x14ac:dyDescent="0.25">
      <c r="C1386" s="15" t="s">
        <v>4687</v>
      </c>
      <c r="D1386" s="16">
        <v>0</v>
      </c>
    </row>
    <row r="1387" spans="3:4" x14ac:dyDescent="0.25">
      <c r="C1387" s="15" t="s">
        <v>4688</v>
      </c>
      <c r="D1387" s="16">
        <v>0</v>
      </c>
    </row>
    <row r="1388" spans="3:4" x14ac:dyDescent="0.25">
      <c r="C1388" s="15" t="s">
        <v>1039</v>
      </c>
      <c r="D1388" s="16">
        <v>0</v>
      </c>
    </row>
    <row r="1389" spans="3:4" x14ac:dyDescent="0.25">
      <c r="C1389" s="15" t="s">
        <v>4689</v>
      </c>
      <c r="D1389" s="16">
        <v>0</v>
      </c>
    </row>
    <row r="1390" spans="3:4" x14ac:dyDescent="0.25">
      <c r="C1390" s="15" t="s">
        <v>245</v>
      </c>
      <c r="D1390" s="16">
        <v>0</v>
      </c>
    </row>
    <row r="1391" spans="3:4" x14ac:dyDescent="0.25">
      <c r="C1391" s="15" t="s">
        <v>4690</v>
      </c>
      <c r="D1391" s="16">
        <v>0</v>
      </c>
    </row>
    <row r="1392" spans="3:4" x14ac:dyDescent="0.25">
      <c r="C1392" s="15" t="s">
        <v>1141</v>
      </c>
      <c r="D1392" s="16">
        <v>0</v>
      </c>
    </row>
    <row r="1393" spans="3:4" x14ac:dyDescent="0.25">
      <c r="C1393" s="15" t="s">
        <v>1349</v>
      </c>
      <c r="D1393" s="16">
        <v>0</v>
      </c>
    </row>
    <row r="1394" spans="3:4" x14ac:dyDescent="0.25">
      <c r="C1394" s="15" t="s">
        <v>503</v>
      </c>
      <c r="D1394" s="16">
        <v>0</v>
      </c>
    </row>
    <row r="1395" spans="3:4" x14ac:dyDescent="0.25">
      <c r="C1395" s="15" t="s">
        <v>1328</v>
      </c>
      <c r="D1395" s="16">
        <v>0</v>
      </c>
    </row>
    <row r="1396" spans="3:4" x14ac:dyDescent="0.25">
      <c r="C1396" s="15" t="s">
        <v>4691</v>
      </c>
      <c r="D1396" s="16">
        <v>0</v>
      </c>
    </row>
    <row r="1397" spans="3:4" x14ac:dyDescent="0.25">
      <c r="C1397" s="15" t="s">
        <v>4692</v>
      </c>
      <c r="D1397" s="16">
        <v>0</v>
      </c>
    </row>
    <row r="1398" spans="3:4" x14ac:dyDescent="0.25">
      <c r="C1398" s="15" t="s">
        <v>4693</v>
      </c>
      <c r="D1398" s="16">
        <v>0</v>
      </c>
    </row>
    <row r="1399" spans="3:4" x14ac:dyDescent="0.25">
      <c r="C1399" s="15" t="s">
        <v>521</v>
      </c>
      <c r="D1399" s="16">
        <v>0</v>
      </c>
    </row>
    <row r="1400" spans="3:4" x14ac:dyDescent="0.25">
      <c r="C1400" s="15" t="s">
        <v>1048</v>
      </c>
      <c r="D1400" s="16">
        <v>0</v>
      </c>
    </row>
    <row r="1401" spans="3:4" x14ac:dyDescent="0.25">
      <c r="C1401" s="15" t="s">
        <v>301</v>
      </c>
      <c r="D1401" s="16">
        <v>0</v>
      </c>
    </row>
    <row r="1402" spans="3:4" x14ac:dyDescent="0.25">
      <c r="C1402" s="15" t="s">
        <v>4694</v>
      </c>
      <c r="D1402" s="16">
        <v>0</v>
      </c>
    </row>
    <row r="1403" spans="3:4" x14ac:dyDescent="0.25">
      <c r="C1403" s="15" t="s">
        <v>363</v>
      </c>
      <c r="D1403" s="16">
        <v>0</v>
      </c>
    </row>
    <row r="1404" spans="3:4" x14ac:dyDescent="0.25">
      <c r="C1404" s="15" t="s">
        <v>1093</v>
      </c>
      <c r="D1404" s="16">
        <v>0</v>
      </c>
    </row>
    <row r="1405" spans="3:4" x14ac:dyDescent="0.25">
      <c r="C1405" s="15" t="s">
        <v>4695</v>
      </c>
      <c r="D1405" s="16">
        <v>0</v>
      </c>
    </row>
    <row r="1406" spans="3:4" x14ac:dyDescent="0.25">
      <c r="C1406" s="15" t="s">
        <v>4696</v>
      </c>
      <c r="D1406" s="16">
        <v>0</v>
      </c>
    </row>
    <row r="1407" spans="3:4" x14ac:dyDescent="0.25">
      <c r="C1407" s="15" t="s">
        <v>371</v>
      </c>
      <c r="D1407" s="16">
        <v>0</v>
      </c>
    </row>
    <row r="1408" spans="3:4" x14ac:dyDescent="0.25">
      <c r="C1408" s="15" t="s">
        <v>2615</v>
      </c>
      <c r="D1408" s="16">
        <v>0</v>
      </c>
    </row>
    <row r="1409" spans="3:4" x14ac:dyDescent="0.25">
      <c r="C1409" s="15" t="s">
        <v>475</v>
      </c>
      <c r="D1409" s="16">
        <v>0</v>
      </c>
    </row>
    <row r="1410" spans="3:4" x14ac:dyDescent="0.25">
      <c r="C1410" s="15" t="s">
        <v>4697</v>
      </c>
      <c r="D1410" s="16">
        <v>0</v>
      </c>
    </row>
    <row r="1411" spans="3:4" x14ac:dyDescent="0.25">
      <c r="C1411" s="15" t="s">
        <v>316</v>
      </c>
      <c r="D1411" s="16">
        <v>0</v>
      </c>
    </row>
    <row r="1412" spans="3:4" x14ac:dyDescent="0.25">
      <c r="C1412" s="15" t="s">
        <v>2651</v>
      </c>
      <c r="D1412" s="16">
        <v>0</v>
      </c>
    </row>
    <row r="1413" spans="3:4" x14ac:dyDescent="0.25">
      <c r="C1413" s="15" t="s">
        <v>1215</v>
      </c>
      <c r="D1413" s="16">
        <v>0</v>
      </c>
    </row>
    <row r="1414" spans="3:4" x14ac:dyDescent="0.25">
      <c r="C1414" s="15" t="s">
        <v>241</v>
      </c>
      <c r="D1414" s="16">
        <v>0</v>
      </c>
    </row>
    <row r="1415" spans="3:4" x14ac:dyDescent="0.25">
      <c r="C1415" s="15" t="s">
        <v>1008</v>
      </c>
      <c r="D1415" s="16">
        <v>0</v>
      </c>
    </row>
    <row r="1416" spans="3:4" x14ac:dyDescent="0.25">
      <c r="C1416" s="15" t="s">
        <v>4698</v>
      </c>
      <c r="D1416" s="16">
        <v>0</v>
      </c>
    </row>
    <row r="1417" spans="3:4" x14ac:dyDescent="0.25">
      <c r="C1417" s="15" t="s">
        <v>4699</v>
      </c>
      <c r="D1417" s="16">
        <v>0</v>
      </c>
    </row>
    <row r="1418" spans="3:4" x14ac:dyDescent="0.25">
      <c r="C1418" s="15" t="s">
        <v>4700</v>
      </c>
      <c r="D1418" s="16">
        <v>0</v>
      </c>
    </row>
    <row r="1419" spans="3:4" x14ac:dyDescent="0.25">
      <c r="C1419" s="15" t="s">
        <v>4701</v>
      </c>
      <c r="D1419" s="16">
        <v>0</v>
      </c>
    </row>
    <row r="1420" spans="3:4" x14ac:dyDescent="0.25">
      <c r="C1420" s="15" t="s">
        <v>2642</v>
      </c>
      <c r="D1420" s="16">
        <v>0</v>
      </c>
    </row>
    <row r="1421" spans="3:4" x14ac:dyDescent="0.25">
      <c r="C1421" s="15" t="s">
        <v>4702</v>
      </c>
      <c r="D1421" s="16">
        <v>0</v>
      </c>
    </row>
    <row r="1422" spans="3:4" x14ac:dyDescent="0.25">
      <c r="C1422" s="15" t="s">
        <v>4703</v>
      </c>
      <c r="D1422" s="16">
        <v>0</v>
      </c>
    </row>
    <row r="1423" spans="3:4" x14ac:dyDescent="0.25">
      <c r="C1423" s="15" t="s">
        <v>471</v>
      </c>
      <c r="D1423" s="16">
        <v>0</v>
      </c>
    </row>
    <row r="1424" spans="3:4" x14ac:dyDescent="0.25">
      <c r="C1424" s="15" t="s">
        <v>4704</v>
      </c>
      <c r="D1424" s="16">
        <v>0</v>
      </c>
    </row>
    <row r="1425" spans="3:4" x14ac:dyDescent="0.25">
      <c r="C1425" s="15" t="s">
        <v>312</v>
      </c>
      <c r="D1425" s="16">
        <v>0</v>
      </c>
    </row>
    <row r="1426" spans="3:4" x14ac:dyDescent="0.25">
      <c r="C1426" s="15" t="s">
        <v>4705</v>
      </c>
      <c r="D1426" s="16">
        <v>0</v>
      </c>
    </row>
    <row r="1427" spans="3:4" x14ac:dyDescent="0.25">
      <c r="C1427" s="15" t="s">
        <v>467</v>
      </c>
      <c r="D1427" s="16">
        <v>0</v>
      </c>
    </row>
    <row r="1428" spans="3:4" x14ac:dyDescent="0.25">
      <c r="C1428" s="15" t="s">
        <v>4706</v>
      </c>
      <c r="D1428" s="16">
        <v>0</v>
      </c>
    </row>
    <row r="1429" spans="3:4" x14ac:dyDescent="0.25">
      <c r="C1429" s="15" t="s">
        <v>285</v>
      </c>
      <c r="D1429" s="16">
        <v>0</v>
      </c>
    </row>
    <row r="1430" spans="3:4" x14ac:dyDescent="0.25">
      <c r="C1430" s="15" t="s">
        <v>4707</v>
      </c>
      <c r="D1430" s="16">
        <v>0</v>
      </c>
    </row>
    <row r="1431" spans="3:4" x14ac:dyDescent="0.25">
      <c r="C1431" s="15" t="s">
        <v>477</v>
      </c>
      <c r="D1431" s="16">
        <v>0</v>
      </c>
    </row>
    <row r="1432" spans="3:4" x14ac:dyDescent="0.25">
      <c r="C1432" s="15" t="s">
        <v>4708</v>
      </c>
      <c r="D1432" s="16">
        <v>0</v>
      </c>
    </row>
    <row r="1433" spans="3:4" x14ac:dyDescent="0.25">
      <c r="C1433" s="15" t="s">
        <v>328</v>
      </c>
      <c r="D1433" s="16">
        <v>0</v>
      </c>
    </row>
    <row r="1434" spans="3:4" x14ac:dyDescent="0.25">
      <c r="C1434" s="15" t="s">
        <v>4709</v>
      </c>
      <c r="D1434" s="16">
        <v>0</v>
      </c>
    </row>
    <row r="1435" spans="3:4" x14ac:dyDescent="0.25">
      <c r="C1435" s="15" t="s">
        <v>4710</v>
      </c>
      <c r="D1435" s="16">
        <v>0</v>
      </c>
    </row>
    <row r="1436" spans="3:4" x14ac:dyDescent="0.25">
      <c r="C1436" s="15" t="s">
        <v>4711</v>
      </c>
      <c r="D1436" s="16">
        <v>0</v>
      </c>
    </row>
    <row r="1437" spans="3:4" x14ac:dyDescent="0.25">
      <c r="C1437" s="15" t="s">
        <v>461</v>
      </c>
      <c r="D1437" s="16">
        <v>0</v>
      </c>
    </row>
    <row r="1438" spans="3:4" x14ac:dyDescent="0.25">
      <c r="C1438" s="15" t="s">
        <v>4712</v>
      </c>
      <c r="D1438" s="16">
        <v>0</v>
      </c>
    </row>
    <row r="1439" spans="3:4" x14ac:dyDescent="0.25">
      <c r="C1439" s="15" t="s">
        <v>277</v>
      </c>
      <c r="D1439" s="16">
        <v>0</v>
      </c>
    </row>
    <row r="1440" spans="3:4" x14ac:dyDescent="0.25">
      <c r="C1440" s="15" t="s">
        <v>1325</v>
      </c>
      <c r="D1440" s="16">
        <v>0</v>
      </c>
    </row>
    <row r="1441" spans="3:4" x14ac:dyDescent="0.25">
      <c r="C1441" s="15" t="s">
        <v>469</v>
      </c>
      <c r="D1441" s="16">
        <v>0</v>
      </c>
    </row>
    <row r="1442" spans="3:4" x14ac:dyDescent="0.25">
      <c r="C1442" s="15" t="s">
        <v>1323</v>
      </c>
      <c r="D1442" s="16">
        <v>0</v>
      </c>
    </row>
    <row r="1443" spans="3:4" x14ac:dyDescent="0.25">
      <c r="C1443" s="15" t="s">
        <v>273</v>
      </c>
      <c r="D1443" s="16">
        <v>0</v>
      </c>
    </row>
    <row r="1444" spans="3:4" x14ac:dyDescent="0.25">
      <c r="C1444" s="15" t="s">
        <v>4713</v>
      </c>
      <c r="D1444" s="16">
        <v>0</v>
      </c>
    </row>
    <row r="1445" spans="3:4" x14ac:dyDescent="0.25">
      <c r="C1445" s="15" t="s">
        <v>4714</v>
      </c>
      <c r="D1445" s="16">
        <v>0</v>
      </c>
    </row>
    <row r="1446" spans="3:4" x14ac:dyDescent="0.25">
      <c r="C1446" s="15" t="s">
        <v>1053</v>
      </c>
      <c r="D1446" s="16">
        <v>0</v>
      </c>
    </row>
    <row r="1447" spans="3:4" x14ac:dyDescent="0.25">
      <c r="C1447" s="15" t="s">
        <v>473</v>
      </c>
      <c r="D1447" s="16">
        <v>0</v>
      </c>
    </row>
    <row r="1448" spans="3:4" x14ac:dyDescent="0.25">
      <c r="C1448" s="15" t="s">
        <v>1057</v>
      </c>
      <c r="D1448" s="16">
        <v>0</v>
      </c>
    </row>
    <row r="1449" spans="3:4" x14ac:dyDescent="0.25">
      <c r="C1449" s="15" t="s">
        <v>265</v>
      </c>
      <c r="D1449" s="16">
        <v>0</v>
      </c>
    </row>
    <row r="1450" spans="3:4" x14ac:dyDescent="0.25">
      <c r="C1450" s="15" t="s">
        <v>352</v>
      </c>
      <c r="D1450" s="16">
        <v>0</v>
      </c>
    </row>
    <row r="1451" spans="3:4" x14ac:dyDescent="0.25">
      <c r="C1451" s="25" t="s">
        <v>3914</v>
      </c>
      <c r="D1451" s="26">
        <v>408078057490.82281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3718F-A948-478A-8DAC-7FAC0071B8E1}">
  <sheetPr codeName="Sheet2"/>
  <dimension ref="A1:AF1248"/>
  <sheetViews>
    <sheetView topLeftCell="A1208" workbookViewId="0">
      <selection activeCell="B1" sqref="B1"/>
    </sheetView>
  </sheetViews>
  <sheetFormatPr defaultRowHeight="12.75" x14ac:dyDescent="0.2"/>
  <sheetData>
    <row r="1" spans="1:3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4715</v>
      </c>
      <c r="AF1" t="s">
        <v>4715</v>
      </c>
    </row>
    <row r="2" spans="1:32" x14ac:dyDescent="0.2">
      <c r="A2" t="s">
        <v>30</v>
      </c>
      <c r="B2" s="1">
        <v>45671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>
        <v>1</v>
      </c>
      <c r="J2">
        <v>0</v>
      </c>
      <c r="K2">
        <v>0</v>
      </c>
      <c r="L2">
        <v>0</v>
      </c>
      <c r="M2">
        <v>0</v>
      </c>
      <c r="N2">
        <v>1</v>
      </c>
      <c r="O2" t="s">
        <v>35</v>
      </c>
      <c r="P2">
        <v>1</v>
      </c>
      <c r="W2" t="s">
        <v>36</v>
      </c>
      <c r="X2" t="s">
        <v>37</v>
      </c>
      <c r="Y2" t="s">
        <v>38</v>
      </c>
      <c r="AD2">
        <v>0</v>
      </c>
      <c r="AE2" t="b">
        <f>ISNUMBER(MATCH(G2,AUM!$C$6:$C$1451,0))</f>
        <v>0</v>
      </c>
      <c r="AF2" t="b">
        <f>ISNUMBER(MATCH(G2,AUM!$G$6:$G$240,0))</f>
        <v>0</v>
      </c>
    </row>
    <row r="3" spans="1:32" x14ac:dyDescent="0.2">
      <c r="A3" t="s">
        <v>39</v>
      </c>
      <c r="B3" s="1">
        <v>45671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>
        <v>2466.84</v>
      </c>
      <c r="J3">
        <v>0.87</v>
      </c>
      <c r="K3">
        <v>0.87</v>
      </c>
      <c r="L3">
        <v>0.86572700000000002</v>
      </c>
      <c r="M3">
        <v>2135.61</v>
      </c>
      <c r="N3">
        <v>1</v>
      </c>
      <c r="O3" t="s">
        <v>35</v>
      </c>
      <c r="P3">
        <v>1</v>
      </c>
      <c r="W3" t="s">
        <v>36</v>
      </c>
      <c r="X3" t="s">
        <v>37</v>
      </c>
      <c r="Y3" t="s">
        <v>38</v>
      </c>
      <c r="AD3">
        <v>0</v>
      </c>
      <c r="AE3" t="b">
        <f>ISNUMBER(MATCH(G3,AUM!$C$6:$C$1451,0))</f>
        <v>0</v>
      </c>
      <c r="AF3" t="b">
        <f>ISNUMBER(MATCH(G3,AUM!$G$6:$G$240,0))</f>
        <v>0</v>
      </c>
    </row>
    <row r="4" spans="1:32" x14ac:dyDescent="0.2">
      <c r="A4" t="s">
        <v>44</v>
      </c>
      <c r="B4" s="1">
        <v>45671</v>
      </c>
      <c r="D4" t="s">
        <v>44</v>
      </c>
      <c r="E4" t="s">
        <v>40</v>
      </c>
      <c r="F4" t="s">
        <v>45</v>
      </c>
      <c r="G4" t="s">
        <v>46</v>
      </c>
      <c r="H4" t="s">
        <v>43</v>
      </c>
      <c r="I4">
        <v>0.100578603561639</v>
      </c>
      <c r="J4">
        <v>0</v>
      </c>
      <c r="K4">
        <v>0</v>
      </c>
      <c r="L4">
        <v>0</v>
      </c>
      <c r="M4">
        <v>0</v>
      </c>
      <c r="N4">
        <v>1</v>
      </c>
      <c r="O4" t="s">
        <v>35</v>
      </c>
      <c r="P4">
        <v>1</v>
      </c>
      <c r="W4" t="s">
        <v>36</v>
      </c>
      <c r="X4" t="s">
        <v>37</v>
      </c>
      <c r="Y4" t="s">
        <v>38</v>
      </c>
      <c r="AD4">
        <v>0</v>
      </c>
      <c r="AE4" t="b">
        <f>ISNUMBER(MATCH(G4,AUM!$C$6:$C$1451,0))</f>
        <v>0</v>
      </c>
      <c r="AF4" t="b">
        <f>ISNUMBER(MATCH(G4,AUM!$G$6:$G$240,0))</f>
        <v>0</v>
      </c>
    </row>
    <row r="5" spans="1:32" x14ac:dyDescent="0.2">
      <c r="A5" t="s">
        <v>47</v>
      </c>
      <c r="B5" s="1">
        <v>45671</v>
      </c>
      <c r="D5" t="s">
        <v>47</v>
      </c>
      <c r="E5" t="s">
        <v>40</v>
      </c>
      <c r="F5" t="s">
        <v>48</v>
      </c>
      <c r="G5" t="s">
        <v>49</v>
      </c>
      <c r="H5" t="s">
        <v>43</v>
      </c>
      <c r="I5">
        <v>0.102070578232377</v>
      </c>
      <c r="J5">
        <v>0</v>
      </c>
      <c r="K5">
        <v>0</v>
      </c>
      <c r="L5">
        <v>0</v>
      </c>
      <c r="M5">
        <v>0</v>
      </c>
      <c r="N5">
        <v>1</v>
      </c>
      <c r="O5" t="s">
        <v>35</v>
      </c>
      <c r="P5">
        <v>1</v>
      </c>
      <c r="W5" t="s">
        <v>36</v>
      </c>
      <c r="X5" t="s">
        <v>37</v>
      </c>
      <c r="Y5" t="s">
        <v>38</v>
      </c>
      <c r="AD5">
        <v>0</v>
      </c>
      <c r="AE5" t="b">
        <f>ISNUMBER(MATCH(G5,AUM!$C$6:$C$1451,0))</f>
        <v>0</v>
      </c>
      <c r="AF5" t="b">
        <f>ISNUMBER(MATCH(G5,AUM!$G$6:$G$240,0))</f>
        <v>0</v>
      </c>
    </row>
    <row r="6" spans="1:32" x14ac:dyDescent="0.2">
      <c r="A6" t="s">
        <v>50</v>
      </c>
      <c r="B6" s="1">
        <v>45671</v>
      </c>
      <c r="D6" t="s">
        <v>50</v>
      </c>
      <c r="E6" t="s">
        <v>40</v>
      </c>
      <c r="F6" t="s">
        <v>51</v>
      </c>
      <c r="G6" t="s">
        <v>52</v>
      </c>
      <c r="H6" t="s">
        <v>43</v>
      </c>
      <c r="I6">
        <v>1</v>
      </c>
      <c r="J6">
        <v>0.01</v>
      </c>
      <c r="K6">
        <v>0.01</v>
      </c>
      <c r="L6">
        <v>0.01</v>
      </c>
      <c r="M6">
        <v>-1.2588579200000001</v>
      </c>
      <c r="N6">
        <v>3</v>
      </c>
      <c r="O6" t="s">
        <v>35</v>
      </c>
      <c r="P6">
        <v>1</v>
      </c>
      <c r="W6" t="s">
        <v>36</v>
      </c>
      <c r="X6" t="s">
        <v>37</v>
      </c>
      <c r="Y6" t="s">
        <v>38</v>
      </c>
      <c r="AD6">
        <v>1</v>
      </c>
      <c r="AE6" t="b">
        <f>ISNUMBER(MATCH(G6,AUM!$C$6:$C$1451,0))</f>
        <v>0</v>
      </c>
      <c r="AF6" t="b">
        <f>ISNUMBER(MATCH(G6,AUM!$G$6:$G$240,0))</f>
        <v>0</v>
      </c>
    </row>
    <row r="7" spans="1:32" x14ac:dyDescent="0.2">
      <c r="A7" t="s">
        <v>53</v>
      </c>
      <c r="B7" s="1">
        <v>45671</v>
      </c>
      <c r="D7" t="s">
        <v>53</v>
      </c>
      <c r="E7" t="s">
        <v>40</v>
      </c>
      <c r="F7" t="s">
        <v>54</v>
      </c>
      <c r="G7" t="s">
        <v>55</v>
      </c>
      <c r="H7" t="s">
        <v>43</v>
      </c>
      <c r="I7">
        <v>1.1838144157816699</v>
      </c>
      <c r="J7">
        <v>0</v>
      </c>
      <c r="K7">
        <v>0</v>
      </c>
      <c r="L7">
        <v>0</v>
      </c>
      <c r="M7">
        <v>0</v>
      </c>
      <c r="N7">
        <v>1</v>
      </c>
      <c r="O7" t="s">
        <v>35</v>
      </c>
      <c r="P7">
        <v>1</v>
      </c>
      <c r="W7" t="s">
        <v>36</v>
      </c>
      <c r="X7" t="s">
        <v>37</v>
      </c>
      <c r="Y7" t="s">
        <v>38</v>
      </c>
      <c r="AD7">
        <v>0</v>
      </c>
      <c r="AE7" t="b">
        <f>ISNUMBER(MATCH(G7,AUM!$C$6:$C$1451,0))</f>
        <v>0</v>
      </c>
      <c r="AF7" t="b">
        <f>ISNUMBER(MATCH(G7,AUM!$G$6:$G$240,0))</f>
        <v>0</v>
      </c>
    </row>
    <row r="8" spans="1:32" x14ac:dyDescent="0.2">
      <c r="A8" t="s">
        <v>56</v>
      </c>
      <c r="B8" s="1">
        <v>45671</v>
      </c>
      <c r="D8" t="s">
        <v>56</v>
      </c>
      <c r="E8" t="s">
        <v>40</v>
      </c>
      <c r="F8" t="s">
        <v>57</v>
      </c>
      <c r="G8" t="s">
        <v>58</v>
      </c>
      <c r="H8" t="s">
        <v>43</v>
      </c>
      <c r="I8">
        <v>1</v>
      </c>
      <c r="J8">
        <v>2.12</v>
      </c>
      <c r="K8">
        <v>2.12</v>
      </c>
      <c r="L8">
        <v>2.1245849200000002</v>
      </c>
      <c r="M8">
        <v>2.1245849200000002</v>
      </c>
      <c r="N8">
        <v>6</v>
      </c>
      <c r="O8" t="s">
        <v>35</v>
      </c>
      <c r="P8">
        <v>1</v>
      </c>
      <c r="W8" t="s">
        <v>36</v>
      </c>
      <c r="X8" t="s">
        <v>37</v>
      </c>
      <c r="Y8" t="s">
        <v>38</v>
      </c>
      <c r="AD8">
        <v>0</v>
      </c>
      <c r="AE8" t="b">
        <f>ISNUMBER(MATCH(G8,AUM!$C$6:$C$1451,0))</f>
        <v>0</v>
      </c>
      <c r="AF8" t="b">
        <f>ISNUMBER(MATCH(G8,AUM!$G$6:$G$240,0))</f>
        <v>0</v>
      </c>
    </row>
    <row r="9" spans="1:32" x14ac:dyDescent="0.2">
      <c r="A9" t="s">
        <v>59</v>
      </c>
      <c r="B9" s="1">
        <v>45671</v>
      </c>
      <c r="D9" t="s">
        <v>59</v>
      </c>
      <c r="E9" t="s">
        <v>40</v>
      </c>
      <c r="F9" t="s">
        <v>60</v>
      </c>
      <c r="G9" t="s">
        <v>61</v>
      </c>
      <c r="H9" t="s">
        <v>43</v>
      </c>
      <c r="I9">
        <v>0.134425161379087</v>
      </c>
      <c r="J9">
        <v>1</v>
      </c>
      <c r="K9">
        <v>1</v>
      </c>
      <c r="L9">
        <v>0.99715609999999999</v>
      </c>
      <c r="M9">
        <v>0.13404287000000001</v>
      </c>
      <c r="N9">
        <v>1</v>
      </c>
      <c r="O9" t="s">
        <v>35</v>
      </c>
      <c r="P9">
        <v>1</v>
      </c>
      <c r="W9" t="s">
        <v>36</v>
      </c>
      <c r="X9" t="s">
        <v>37</v>
      </c>
      <c r="Y9" t="s">
        <v>38</v>
      </c>
      <c r="AD9">
        <v>0</v>
      </c>
      <c r="AE9" t="b">
        <f>ISNUMBER(MATCH(G9,AUM!$C$6:$C$1451,0))</f>
        <v>0</v>
      </c>
      <c r="AF9" t="b">
        <f>ISNUMBER(MATCH(G9,AUM!$G$6:$G$240,0))</f>
        <v>0</v>
      </c>
    </row>
    <row r="10" spans="1:32" x14ac:dyDescent="0.2">
      <c r="A10" t="s">
        <v>62</v>
      </c>
      <c r="B10" s="1">
        <v>45671</v>
      </c>
      <c r="D10" t="s">
        <v>62</v>
      </c>
      <c r="E10" t="s">
        <v>40</v>
      </c>
      <c r="F10" t="s">
        <v>63</v>
      </c>
      <c r="G10" t="s">
        <v>64</v>
      </c>
      <c r="H10" t="s">
        <v>43</v>
      </c>
      <c r="I10">
        <v>0.94590376375107599</v>
      </c>
      <c r="J10">
        <v>1.1299999999999999</v>
      </c>
      <c r="K10">
        <v>1.1299999999999999</v>
      </c>
      <c r="L10">
        <v>1.12742882</v>
      </c>
      <c r="M10">
        <v>1.0664391600000001</v>
      </c>
      <c r="N10">
        <v>1</v>
      </c>
      <c r="O10" t="s">
        <v>35</v>
      </c>
      <c r="P10">
        <v>1</v>
      </c>
      <c r="W10" t="s">
        <v>36</v>
      </c>
      <c r="X10" t="s">
        <v>37</v>
      </c>
      <c r="Y10" t="s">
        <v>38</v>
      </c>
      <c r="AD10">
        <v>0</v>
      </c>
      <c r="AE10" t="b">
        <f>ISNUMBER(MATCH(G10,AUM!$C$6:$C$1451,0))</f>
        <v>0</v>
      </c>
      <c r="AF10" t="b">
        <f>ISNUMBER(MATCH(G10,AUM!$G$6:$G$240,0))</f>
        <v>0</v>
      </c>
    </row>
    <row r="11" spans="1:32" x14ac:dyDescent="0.2">
      <c r="A11" t="s">
        <v>65</v>
      </c>
      <c r="B11" s="1">
        <v>45671</v>
      </c>
      <c r="D11" t="s">
        <v>65</v>
      </c>
      <c r="E11" t="s">
        <v>40</v>
      </c>
      <c r="F11" t="s">
        <v>66</v>
      </c>
      <c r="G11" t="s">
        <v>67</v>
      </c>
      <c r="H11" t="s">
        <v>43</v>
      </c>
      <c r="J11">
        <v>3129.48</v>
      </c>
      <c r="K11">
        <v>3108.62</v>
      </c>
      <c r="L11">
        <v>3108.6223202800002</v>
      </c>
      <c r="Q11" t="s">
        <v>68</v>
      </c>
      <c r="T11">
        <v>0</v>
      </c>
      <c r="W11" t="s">
        <v>36</v>
      </c>
      <c r="X11" t="s">
        <v>69</v>
      </c>
      <c r="Y11" t="s">
        <v>38</v>
      </c>
      <c r="AD11">
        <v>0</v>
      </c>
      <c r="AE11" t="b">
        <f>ISNUMBER(MATCH(G11,AUM!$C$6:$C$1451,0))</f>
        <v>0</v>
      </c>
      <c r="AF11" t="b">
        <f>ISNUMBER(MATCH(G11,AUM!$G$6:$G$240,0))</f>
        <v>0</v>
      </c>
    </row>
    <row r="12" spans="1:32" x14ac:dyDescent="0.2">
      <c r="A12" t="s">
        <v>70</v>
      </c>
      <c r="B12" s="1">
        <v>45671</v>
      </c>
      <c r="D12" t="s">
        <v>70</v>
      </c>
      <c r="E12" t="s">
        <v>40</v>
      </c>
      <c r="F12" t="s">
        <v>71</v>
      </c>
      <c r="G12" t="s">
        <v>72</v>
      </c>
      <c r="H12" t="s">
        <v>43</v>
      </c>
      <c r="J12">
        <v>2878.5</v>
      </c>
      <c r="K12">
        <v>2859.32</v>
      </c>
      <c r="L12">
        <v>2859.31971509</v>
      </c>
      <c r="Q12" t="s">
        <v>68</v>
      </c>
      <c r="U12">
        <v>0</v>
      </c>
      <c r="W12" t="s">
        <v>36</v>
      </c>
      <c r="X12" t="s">
        <v>69</v>
      </c>
      <c r="Y12" t="s">
        <v>38</v>
      </c>
      <c r="AD12">
        <v>0</v>
      </c>
      <c r="AE12" t="b">
        <f>ISNUMBER(MATCH(G12,AUM!$C$6:$C$1451,0))</f>
        <v>0</v>
      </c>
      <c r="AF12" t="b">
        <f>ISNUMBER(MATCH(G12,AUM!$G$6:$G$240,0))</f>
        <v>0</v>
      </c>
    </row>
    <row r="13" spans="1:32" x14ac:dyDescent="0.2">
      <c r="A13" t="s">
        <v>68</v>
      </c>
      <c r="B13" s="1">
        <v>45671</v>
      </c>
      <c r="D13" t="s">
        <v>68</v>
      </c>
      <c r="E13" t="s">
        <v>40</v>
      </c>
      <c r="F13" t="s">
        <v>73</v>
      </c>
      <c r="G13" t="s">
        <v>74</v>
      </c>
      <c r="H13" t="s">
        <v>43</v>
      </c>
      <c r="I13">
        <v>885.962564982093</v>
      </c>
      <c r="J13">
        <v>1978.85</v>
      </c>
      <c r="K13">
        <v>1965.66</v>
      </c>
      <c r="L13">
        <v>1965.6574410400001</v>
      </c>
      <c r="M13">
        <v>1741498.9083406201</v>
      </c>
      <c r="N13">
        <v>20</v>
      </c>
      <c r="O13" t="s">
        <v>35</v>
      </c>
      <c r="P13">
        <v>1</v>
      </c>
      <c r="R13" t="s">
        <v>65</v>
      </c>
      <c r="S13" t="s">
        <v>70</v>
      </c>
      <c r="W13" t="s">
        <v>36</v>
      </c>
      <c r="X13" t="s">
        <v>37</v>
      </c>
      <c r="Y13" t="s">
        <v>38</v>
      </c>
      <c r="AD13">
        <v>0</v>
      </c>
      <c r="AE13" t="b">
        <f>ISNUMBER(MATCH(G13,AUM!$C$6:$C$1451,0))</f>
        <v>0</v>
      </c>
      <c r="AF13" t="b">
        <f>ISNUMBER(MATCH(G13,AUM!$G$6:$G$240,0))</f>
        <v>0</v>
      </c>
    </row>
    <row r="14" spans="1:32" x14ac:dyDescent="0.2">
      <c r="A14" t="s">
        <v>75</v>
      </c>
      <c r="B14" s="1">
        <v>45671</v>
      </c>
      <c r="D14" t="s">
        <v>75</v>
      </c>
      <c r="E14" t="s">
        <v>40</v>
      </c>
      <c r="F14" t="s">
        <v>76</v>
      </c>
      <c r="G14" t="s">
        <v>77</v>
      </c>
      <c r="H14" t="s">
        <v>43</v>
      </c>
      <c r="J14">
        <v>2963.91</v>
      </c>
      <c r="K14">
        <v>2960.33</v>
      </c>
      <c r="L14">
        <v>2960.32548967</v>
      </c>
      <c r="Q14" t="s">
        <v>78</v>
      </c>
      <c r="T14">
        <v>0.15146555418172</v>
      </c>
      <c r="V14" t="s">
        <v>79</v>
      </c>
      <c r="W14" t="s">
        <v>36</v>
      </c>
      <c r="X14" t="s">
        <v>69</v>
      </c>
      <c r="Y14" t="s">
        <v>38</v>
      </c>
      <c r="AD14">
        <v>0</v>
      </c>
      <c r="AE14" t="b">
        <f>ISNUMBER(MATCH(G14,AUM!$C$6:$C$1451,0))</f>
        <v>0</v>
      </c>
      <c r="AF14" t="b">
        <f>ISNUMBER(MATCH(G14,AUM!$G$6:$G$240,0))</f>
        <v>0</v>
      </c>
    </row>
    <row r="15" spans="1:32" x14ac:dyDescent="0.2">
      <c r="A15" t="s">
        <v>80</v>
      </c>
      <c r="B15" s="1">
        <v>45671</v>
      </c>
      <c r="D15" t="s">
        <v>80</v>
      </c>
      <c r="E15" t="s">
        <v>40</v>
      </c>
      <c r="F15" t="s">
        <v>81</v>
      </c>
      <c r="G15" t="s">
        <v>82</v>
      </c>
      <c r="H15" t="s">
        <v>43</v>
      </c>
      <c r="J15">
        <v>2621.13</v>
      </c>
      <c r="K15">
        <v>2617.96</v>
      </c>
      <c r="L15">
        <v>2617.9622477100002</v>
      </c>
      <c r="Q15" t="s">
        <v>78</v>
      </c>
      <c r="U15">
        <v>0.11359916563628999</v>
      </c>
      <c r="V15" t="s">
        <v>79</v>
      </c>
      <c r="W15" t="s">
        <v>36</v>
      </c>
      <c r="X15" t="s">
        <v>69</v>
      </c>
      <c r="Y15" t="s">
        <v>38</v>
      </c>
      <c r="AD15">
        <v>0</v>
      </c>
      <c r="AE15" t="b">
        <f>ISNUMBER(MATCH(G15,AUM!$C$6:$C$1451,0))</f>
        <v>0</v>
      </c>
      <c r="AF15" t="b">
        <f>ISNUMBER(MATCH(G15,AUM!$G$6:$G$240,0))</f>
        <v>0</v>
      </c>
    </row>
    <row r="16" spans="1:32" x14ac:dyDescent="0.2">
      <c r="A16" t="s">
        <v>78</v>
      </c>
      <c r="B16" s="1">
        <v>45671</v>
      </c>
      <c r="D16" t="s">
        <v>78</v>
      </c>
      <c r="E16" t="s">
        <v>40</v>
      </c>
      <c r="F16" t="s">
        <v>83</v>
      </c>
      <c r="G16" t="s">
        <v>84</v>
      </c>
      <c r="H16" t="s">
        <v>43</v>
      </c>
      <c r="I16">
        <v>818.397824308493</v>
      </c>
      <c r="J16">
        <v>1813.68</v>
      </c>
      <c r="K16">
        <v>1811.49</v>
      </c>
      <c r="L16">
        <v>1811.4898968099999</v>
      </c>
      <c r="M16">
        <v>1482519.3903097401</v>
      </c>
      <c r="N16">
        <v>120</v>
      </c>
      <c r="O16" t="s">
        <v>35</v>
      </c>
      <c r="P16">
        <v>1</v>
      </c>
      <c r="R16" t="s">
        <v>75</v>
      </c>
      <c r="S16" t="s">
        <v>80</v>
      </c>
      <c r="W16" t="s">
        <v>36</v>
      </c>
      <c r="X16" t="s">
        <v>37</v>
      </c>
      <c r="Y16" t="s">
        <v>38</v>
      </c>
      <c r="AD16">
        <v>0</v>
      </c>
      <c r="AE16" t="b">
        <f>ISNUMBER(MATCH(G16,AUM!$C$6:$C$1451,0))</f>
        <v>0</v>
      </c>
      <c r="AF16" t="b">
        <f>ISNUMBER(MATCH(G16,AUM!$G$6:$G$240,0))</f>
        <v>0</v>
      </c>
    </row>
    <row r="17" spans="1:32" x14ac:dyDescent="0.2">
      <c r="A17" t="s">
        <v>85</v>
      </c>
      <c r="B17" s="1">
        <v>45671</v>
      </c>
      <c r="D17" t="s">
        <v>85</v>
      </c>
      <c r="E17" t="s">
        <v>40</v>
      </c>
      <c r="F17" t="s">
        <v>86</v>
      </c>
      <c r="G17" t="s">
        <v>87</v>
      </c>
      <c r="H17" t="s">
        <v>43</v>
      </c>
      <c r="I17">
        <v>840.55090798119102</v>
      </c>
      <c r="J17">
        <v>3710.64</v>
      </c>
      <c r="K17">
        <v>3772.6</v>
      </c>
      <c r="L17">
        <v>3772.59867291</v>
      </c>
      <c r="M17">
        <v>3171061.2399650002</v>
      </c>
      <c r="N17">
        <v>50</v>
      </c>
      <c r="O17" t="s">
        <v>88</v>
      </c>
      <c r="P17">
        <v>1</v>
      </c>
      <c r="R17" t="s">
        <v>89</v>
      </c>
      <c r="S17" t="s">
        <v>90</v>
      </c>
      <c r="W17" t="s">
        <v>91</v>
      </c>
      <c r="X17" t="s">
        <v>37</v>
      </c>
      <c r="Y17" t="s">
        <v>38</v>
      </c>
      <c r="AD17">
        <v>0</v>
      </c>
      <c r="AE17" t="b">
        <f>ISNUMBER(MATCH(G17,AUM!$C$6:$C$1451,0))</f>
        <v>0</v>
      </c>
      <c r="AF17" t="b">
        <f>ISNUMBER(MATCH(G17,AUM!$G$6:$G$240,0))</f>
        <v>0</v>
      </c>
    </row>
    <row r="18" spans="1:32" x14ac:dyDescent="0.2">
      <c r="A18" t="s">
        <v>92</v>
      </c>
      <c r="B18" s="1">
        <v>45671</v>
      </c>
      <c r="D18" t="s">
        <v>92</v>
      </c>
      <c r="E18" t="s">
        <v>40</v>
      </c>
      <c r="F18" t="s">
        <v>93</v>
      </c>
      <c r="G18" t="s">
        <v>94</v>
      </c>
      <c r="H18" t="s">
        <v>43</v>
      </c>
      <c r="J18">
        <v>1853.04</v>
      </c>
      <c r="K18">
        <v>1851.06</v>
      </c>
      <c r="L18">
        <v>1851.06068024</v>
      </c>
      <c r="Q18" t="s">
        <v>95</v>
      </c>
      <c r="T18">
        <v>0</v>
      </c>
      <c r="W18" t="s">
        <v>36</v>
      </c>
      <c r="X18" t="s">
        <v>69</v>
      </c>
      <c r="Y18" t="s">
        <v>38</v>
      </c>
      <c r="AD18">
        <v>0</v>
      </c>
      <c r="AE18" t="b">
        <f>ISNUMBER(MATCH(G18,AUM!$C$6:$C$1451,0))</f>
        <v>0</v>
      </c>
      <c r="AF18" t="b">
        <f>ISNUMBER(MATCH(G18,AUM!$G$6:$G$240,0))</f>
        <v>0</v>
      </c>
    </row>
    <row r="19" spans="1:32" x14ac:dyDescent="0.2">
      <c r="A19" t="s">
        <v>96</v>
      </c>
      <c r="B19" s="1">
        <v>45671</v>
      </c>
      <c r="D19" t="s">
        <v>96</v>
      </c>
      <c r="E19" t="s">
        <v>40</v>
      </c>
      <c r="F19" t="s">
        <v>97</v>
      </c>
      <c r="G19" t="s">
        <v>98</v>
      </c>
      <c r="H19" t="s">
        <v>43</v>
      </c>
      <c r="J19">
        <v>1828.23</v>
      </c>
      <c r="K19">
        <v>1826.28</v>
      </c>
      <c r="L19">
        <v>1826.27537321</v>
      </c>
      <c r="Q19" t="s">
        <v>95</v>
      </c>
      <c r="U19">
        <v>0</v>
      </c>
      <c r="W19" t="s">
        <v>36</v>
      </c>
      <c r="X19" t="s">
        <v>69</v>
      </c>
      <c r="Y19" t="s">
        <v>38</v>
      </c>
      <c r="AD19">
        <v>0</v>
      </c>
      <c r="AE19" t="b">
        <f>ISNUMBER(MATCH(G19,AUM!$C$6:$C$1451,0))</f>
        <v>0</v>
      </c>
      <c r="AF19" t="b">
        <f>ISNUMBER(MATCH(G19,AUM!$G$6:$G$240,0))</f>
        <v>0</v>
      </c>
    </row>
    <row r="20" spans="1:32" x14ac:dyDescent="0.2">
      <c r="A20" t="s">
        <v>95</v>
      </c>
      <c r="B20" s="1">
        <v>45671</v>
      </c>
      <c r="D20" t="s">
        <v>95</v>
      </c>
      <c r="E20" t="s">
        <v>40</v>
      </c>
      <c r="F20" t="s">
        <v>99</v>
      </c>
      <c r="G20" t="s">
        <v>100</v>
      </c>
      <c r="H20" t="s">
        <v>43</v>
      </c>
      <c r="I20">
        <v>76177.382034797207</v>
      </c>
      <c r="J20">
        <v>1129.8499999999999</v>
      </c>
      <c r="K20">
        <v>1128.6400000000001</v>
      </c>
      <c r="L20">
        <v>1128.6422986600001</v>
      </c>
      <c r="M20">
        <v>85977015.565530002</v>
      </c>
      <c r="N20">
        <v>20</v>
      </c>
      <c r="O20" t="s">
        <v>101</v>
      </c>
      <c r="P20">
        <v>1</v>
      </c>
      <c r="R20" t="s">
        <v>92</v>
      </c>
      <c r="S20" t="s">
        <v>96</v>
      </c>
      <c r="W20" t="s">
        <v>36</v>
      </c>
      <c r="X20" t="s">
        <v>37</v>
      </c>
      <c r="Y20" t="s">
        <v>38</v>
      </c>
      <c r="AD20">
        <v>0</v>
      </c>
      <c r="AE20" t="b">
        <f>ISNUMBER(MATCH(G20,AUM!$C$6:$C$1451,0))</f>
        <v>0</v>
      </c>
      <c r="AF20" t="b">
        <f>ISNUMBER(MATCH(G20,AUM!$G$6:$G$240,0))</f>
        <v>0</v>
      </c>
    </row>
    <row r="21" spans="1:32" x14ac:dyDescent="0.2">
      <c r="A21" t="s">
        <v>102</v>
      </c>
      <c r="B21" s="1">
        <v>45671</v>
      </c>
      <c r="D21" t="s">
        <v>102</v>
      </c>
      <c r="E21" t="s">
        <v>40</v>
      </c>
      <c r="F21" t="s">
        <v>103</v>
      </c>
      <c r="G21" t="s">
        <v>104</v>
      </c>
      <c r="H21" t="s">
        <v>43</v>
      </c>
      <c r="J21">
        <v>2311.3200000000002</v>
      </c>
      <c r="K21">
        <v>2310.1799999999998</v>
      </c>
      <c r="L21">
        <v>2310.1770732300001</v>
      </c>
      <c r="Q21" t="s">
        <v>105</v>
      </c>
      <c r="T21">
        <v>0.63958280883127006</v>
      </c>
      <c r="V21" t="s">
        <v>79</v>
      </c>
      <c r="W21" t="s">
        <v>36</v>
      </c>
      <c r="X21" t="s">
        <v>69</v>
      </c>
      <c r="Y21" t="s">
        <v>38</v>
      </c>
      <c r="AD21">
        <v>0</v>
      </c>
      <c r="AE21" t="b">
        <f>ISNUMBER(MATCH(G21,AUM!$C$6:$C$1451,0))</f>
        <v>0</v>
      </c>
      <c r="AF21" t="b">
        <f>ISNUMBER(MATCH(G21,AUM!$G$6:$G$240,0))</f>
        <v>0</v>
      </c>
    </row>
    <row r="22" spans="1:32" x14ac:dyDescent="0.2">
      <c r="A22" t="s">
        <v>106</v>
      </c>
      <c r="B22" s="1">
        <v>45671</v>
      </c>
      <c r="D22" t="s">
        <v>106</v>
      </c>
      <c r="E22" t="s">
        <v>40</v>
      </c>
      <c r="F22" t="s">
        <v>107</v>
      </c>
      <c r="G22" t="s">
        <v>108</v>
      </c>
      <c r="H22" t="s">
        <v>43</v>
      </c>
      <c r="J22">
        <v>2008.67</v>
      </c>
      <c r="K22">
        <v>2007.68</v>
      </c>
      <c r="L22">
        <v>2007.67909027</v>
      </c>
      <c r="Q22" t="s">
        <v>105</v>
      </c>
      <c r="U22">
        <v>0.47968710662344999</v>
      </c>
      <c r="V22" t="s">
        <v>79</v>
      </c>
      <c r="W22" t="s">
        <v>36</v>
      </c>
      <c r="X22" t="s">
        <v>69</v>
      </c>
      <c r="Y22" t="s">
        <v>38</v>
      </c>
      <c r="AD22">
        <v>0</v>
      </c>
      <c r="AE22" t="b">
        <f>ISNUMBER(MATCH(G22,AUM!$C$6:$C$1451,0))</f>
        <v>0</v>
      </c>
      <c r="AF22" t="b">
        <f>ISNUMBER(MATCH(G22,AUM!$G$6:$G$240,0))</f>
        <v>0</v>
      </c>
    </row>
    <row r="23" spans="1:32" x14ac:dyDescent="0.2">
      <c r="A23" t="s">
        <v>105</v>
      </c>
      <c r="B23" s="1">
        <v>45671</v>
      </c>
      <c r="D23" t="s">
        <v>105</v>
      </c>
      <c r="E23" t="s">
        <v>40</v>
      </c>
      <c r="F23" t="s">
        <v>109</v>
      </c>
      <c r="G23" t="s">
        <v>110</v>
      </c>
      <c r="H23" t="s">
        <v>43</v>
      </c>
      <c r="I23">
        <v>808.36272154462097</v>
      </c>
      <c r="J23">
        <v>1412.44</v>
      </c>
      <c r="K23">
        <v>1411.74</v>
      </c>
      <c r="L23">
        <v>1411.7410678700001</v>
      </c>
      <c r="M23">
        <v>1141198.8517370999</v>
      </c>
      <c r="N23">
        <v>20</v>
      </c>
      <c r="O23" t="s">
        <v>35</v>
      </c>
      <c r="P23">
        <v>1</v>
      </c>
      <c r="R23" t="s">
        <v>102</v>
      </c>
      <c r="S23" t="s">
        <v>106</v>
      </c>
      <c r="W23" t="s">
        <v>36</v>
      </c>
      <c r="X23" t="s">
        <v>37</v>
      </c>
      <c r="Y23" t="s">
        <v>38</v>
      </c>
      <c r="AD23">
        <v>0</v>
      </c>
      <c r="AE23" t="b">
        <f>ISNUMBER(MATCH(G23,AUM!$C$6:$C$1451,0))</f>
        <v>0</v>
      </c>
      <c r="AF23" t="b">
        <f>ISNUMBER(MATCH(G23,AUM!$G$6:$G$240,0))</f>
        <v>0</v>
      </c>
    </row>
    <row r="24" spans="1:32" x14ac:dyDescent="0.2">
      <c r="A24" t="s">
        <v>111</v>
      </c>
      <c r="B24" s="1">
        <v>45671</v>
      </c>
      <c r="D24" t="s">
        <v>111</v>
      </c>
      <c r="E24" t="s">
        <v>40</v>
      </c>
      <c r="F24" t="s">
        <v>112</v>
      </c>
      <c r="G24" t="s">
        <v>113</v>
      </c>
      <c r="H24" t="s">
        <v>43</v>
      </c>
      <c r="J24">
        <v>2870.81</v>
      </c>
      <c r="K24">
        <v>2866.98</v>
      </c>
      <c r="L24">
        <v>2866.98341428</v>
      </c>
      <c r="Q24" t="s">
        <v>114</v>
      </c>
      <c r="T24">
        <v>0.14553764832273</v>
      </c>
      <c r="V24" t="s">
        <v>79</v>
      </c>
      <c r="W24" t="s">
        <v>36</v>
      </c>
      <c r="X24" t="s">
        <v>69</v>
      </c>
      <c r="Y24" t="s">
        <v>38</v>
      </c>
      <c r="AD24">
        <v>0</v>
      </c>
      <c r="AE24" t="b">
        <f>ISNUMBER(MATCH(G24,AUM!$C$6:$C$1451,0))</f>
        <v>0</v>
      </c>
      <c r="AF24" t="b">
        <f>ISNUMBER(MATCH(G24,AUM!$G$6:$G$240,0))</f>
        <v>0</v>
      </c>
    </row>
    <row r="25" spans="1:32" x14ac:dyDescent="0.2">
      <c r="A25" t="s">
        <v>115</v>
      </c>
      <c r="B25" s="1">
        <v>45671</v>
      </c>
      <c r="D25" t="s">
        <v>115</v>
      </c>
      <c r="E25" t="s">
        <v>40</v>
      </c>
      <c r="F25" t="s">
        <v>116</v>
      </c>
      <c r="G25" t="s">
        <v>117</v>
      </c>
      <c r="H25" t="s">
        <v>43</v>
      </c>
      <c r="J25">
        <v>2578.2600000000002</v>
      </c>
      <c r="K25">
        <v>2574.83</v>
      </c>
      <c r="L25">
        <v>2574.8262890000001</v>
      </c>
      <c r="Q25" t="s">
        <v>114</v>
      </c>
      <c r="U25">
        <v>0.10915323624205001</v>
      </c>
      <c r="V25" t="s">
        <v>79</v>
      </c>
      <c r="W25" t="s">
        <v>36</v>
      </c>
      <c r="X25" t="s">
        <v>69</v>
      </c>
      <c r="Y25" t="s">
        <v>38</v>
      </c>
      <c r="AD25">
        <v>0</v>
      </c>
      <c r="AE25" t="b">
        <f>ISNUMBER(MATCH(G25,AUM!$C$6:$C$1451,0))</f>
        <v>0</v>
      </c>
      <c r="AF25" t="b">
        <f>ISNUMBER(MATCH(G25,AUM!$G$6:$G$240,0))</f>
        <v>0</v>
      </c>
    </row>
    <row r="26" spans="1:32" x14ac:dyDescent="0.2">
      <c r="A26" t="s">
        <v>114</v>
      </c>
      <c r="B26" s="1">
        <v>45671</v>
      </c>
      <c r="D26" t="s">
        <v>114</v>
      </c>
      <c r="E26" t="s">
        <v>40</v>
      </c>
      <c r="F26" t="s">
        <v>118</v>
      </c>
      <c r="G26" t="s">
        <v>119</v>
      </c>
      <c r="H26" t="s">
        <v>43</v>
      </c>
      <c r="I26">
        <v>865.11828005356597</v>
      </c>
      <c r="J26">
        <v>1749.93</v>
      </c>
      <c r="K26">
        <v>1747.6</v>
      </c>
      <c r="L26">
        <v>1747.59809653</v>
      </c>
      <c r="M26">
        <v>1511879.05949249</v>
      </c>
      <c r="N26">
        <v>120</v>
      </c>
      <c r="O26" t="s">
        <v>35</v>
      </c>
      <c r="P26">
        <v>1</v>
      </c>
      <c r="R26" t="s">
        <v>111</v>
      </c>
      <c r="S26" t="s">
        <v>115</v>
      </c>
      <c r="W26" t="s">
        <v>36</v>
      </c>
      <c r="X26" t="s">
        <v>37</v>
      </c>
      <c r="Y26" t="s">
        <v>38</v>
      </c>
      <c r="AD26">
        <v>0</v>
      </c>
      <c r="AE26" t="b">
        <f>ISNUMBER(MATCH(G26,AUM!$C$6:$C$1451,0))</f>
        <v>0</v>
      </c>
      <c r="AF26" t="b">
        <f>ISNUMBER(MATCH(G26,AUM!$G$6:$G$240,0))</f>
        <v>0</v>
      </c>
    </row>
    <row r="27" spans="1:32" x14ac:dyDescent="0.2">
      <c r="A27" t="s">
        <v>120</v>
      </c>
      <c r="B27" s="1">
        <v>45671</v>
      </c>
      <c r="D27" t="s">
        <v>120</v>
      </c>
      <c r="E27" t="s">
        <v>40</v>
      </c>
      <c r="F27" t="s">
        <v>121</v>
      </c>
      <c r="G27" t="s">
        <v>122</v>
      </c>
      <c r="H27" t="s">
        <v>43</v>
      </c>
      <c r="I27">
        <v>859.73030811043895</v>
      </c>
      <c r="J27">
        <v>1790.37</v>
      </c>
      <c r="K27">
        <v>1791.66</v>
      </c>
      <c r="L27">
        <v>1791.66074594</v>
      </c>
      <c r="M27">
        <v>1540345.0451357099</v>
      </c>
      <c r="N27">
        <v>120</v>
      </c>
      <c r="O27" t="s">
        <v>88</v>
      </c>
      <c r="P27">
        <v>1</v>
      </c>
      <c r="R27" t="s">
        <v>123</v>
      </c>
      <c r="S27" t="s">
        <v>124</v>
      </c>
      <c r="W27" t="s">
        <v>91</v>
      </c>
      <c r="X27" t="s">
        <v>37</v>
      </c>
      <c r="Y27" t="s">
        <v>38</v>
      </c>
      <c r="AD27">
        <v>0</v>
      </c>
      <c r="AE27" t="b">
        <f>ISNUMBER(MATCH(G27,AUM!$C$6:$C$1451,0))</f>
        <v>0</v>
      </c>
      <c r="AF27" t="b">
        <f>ISNUMBER(MATCH(G27,AUM!$G$6:$G$240,0))</f>
        <v>0</v>
      </c>
    </row>
    <row r="28" spans="1:32" x14ac:dyDescent="0.2">
      <c r="A28" t="s">
        <v>125</v>
      </c>
      <c r="B28" s="1">
        <v>45671</v>
      </c>
      <c r="D28" t="s">
        <v>125</v>
      </c>
      <c r="E28" t="s">
        <v>126</v>
      </c>
      <c r="F28" t="s">
        <v>127</v>
      </c>
      <c r="G28" t="s">
        <v>128</v>
      </c>
      <c r="H28" t="s">
        <v>129</v>
      </c>
      <c r="I28">
        <v>8178087.9852</v>
      </c>
      <c r="J28">
        <v>1376.28</v>
      </c>
      <c r="K28">
        <v>1390.31</v>
      </c>
      <c r="L28">
        <v>1390.30612245</v>
      </c>
      <c r="M28">
        <v>11370045795.75</v>
      </c>
      <c r="N28">
        <v>1</v>
      </c>
      <c r="O28" t="s">
        <v>35</v>
      </c>
      <c r="P28">
        <v>1</v>
      </c>
      <c r="R28" t="s">
        <v>130</v>
      </c>
      <c r="W28" t="s">
        <v>36</v>
      </c>
      <c r="X28" t="s">
        <v>37</v>
      </c>
      <c r="Y28" t="s">
        <v>38</v>
      </c>
      <c r="AD28">
        <v>0</v>
      </c>
      <c r="AE28" t="b">
        <f>ISNUMBER(MATCH(G28,AUM!$C$6:$C$1451,0))</f>
        <v>1</v>
      </c>
      <c r="AF28" t="b">
        <f>ISNUMBER(MATCH(G28,AUM!$G$6:$G$240,0))</f>
        <v>0</v>
      </c>
    </row>
    <row r="29" spans="1:32" x14ac:dyDescent="0.2">
      <c r="A29" t="s">
        <v>130</v>
      </c>
      <c r="B29" s="1">
        <v>45671</v>
      </c>
      <c r="D29" t="s">
        <v>130</v>
      </c>
      <c r="E29" t="s">
        <v>126</v>
      </c>
      <c r="F29" t="s">
        <v>131</v>
      </c>
      <c r="G29" t="s">
        <v>132</v>
      </c>
      <c r="H29" t="s">
        <v>129</v>
      </c>
      <c r="J29">
        <v>2188.9299999999998</v>
      </c>
      <c r="K29">
        <v>2211.2399999999998</v>
      </c>
      <c r="L29">
        <v>2211.2416363699999</v>
      </c>
      <c r="Q29" t="s">
        <v>125</v>
      </c>
      <c r="T29">
        <v>0</v>
      </c>
      <c r="W29" t="s">
        <v>36</v>
      </c>
      <c r="X29" t="s">
        <v>69</v>
      </c>
      <c r="Y29" t="s">
        <v>38</v>
      </c>
      <c r="AD29">
        <v>0</v>
      </c>
      <c r="AE29" t="b">
        <f>ISNUMBER(MATCH(G29,AUM!$C$6:$C$1451,0))</f>
        <v>1</v>
      </c>
      <c r="AF29" t="b">
        <f>ISNUMBER(MATCH(G29,AUM!$G$6:$G$240,0))</f>
        <v>0</v>
      </c>
    </row>
    <row r="30" spans="1:32" x14ac:dyDescent="0.2">
      <c r="A30" t="s">
        <v>133</v>
      </c>
      <c r="B30" s="1">
        <v>45671</v>
      </c>
      <c r="D30" t="s">
        <v>133</v>
      </c>
      <c r="E30" t="s">
        <v>126</v>
      </c>
      <c r="F30" t="s">
        <v>134</v>
      </c>
      <c r="G30" t="s">
        <v>135</v>
      </c>
      <c r="H30" t="s">
        <v>129</v>
      </c>
      <c r="I30">
        <v>5.5892857142859995E-4</v>
      </c>
      <c r="J30">
        <v>1789.14</v>
      </c>
      <c r="K30">
        <v>1789.14</v>
      </c>
      <c r="L30">
        <v>1789.1373801899999</v>
      </c>
      <c r="M30">
        <v>1</v>
      </c>
      <c r="N30">
        <v>1</v>
      </c>
      <c r="O30" t="s">
        <v>35</v>
      </c>
      <c r="P30">
        <v>1</v>
      </c>
      <c r="R30" t="s">
        <v>136</v>
      </c>
      <c r="W30" t="s">
        <v>36</v>
      </c>
      <c r="X30" t="s">
        <v>37</v>
      </c>
      <c r="Y30" t="s">
        <v>38</v>
      </c>
      <c r="AD30">
        <v>0</v>
      </c>
      <c r="AE30" t="b">
        <f>ISNUMBER(MATCH(G30,AUM!$C$6:$C$1451,0))</f>
        <v>0</v>
      </c>
      <c r="AF30" t="b">
        <f>ISNUMBER(MATCH(G30,AUM!$G$6:$G$240,0))</f>
        <v>0</v>
      </c>
    </row>
    <row r="31" spans="1:32" x14ac:dyDescent="0.2">
      <c r="A31" t="s">
        <v>136</v>
      </c>
      <c r="B31" s="1">
        <v>45671</v>
      </c>
      <c r="D31" t="s">
        <v>136</v>
      </c>
      <c r="E31" t="s">
        <v>126</v>
      </c>
      <c r="F31" t="s">
        <v>137</v>
      </c>
      <c r="G31" t="s">
        <v>138</v>
      </c>
      <c r="H31" t="s">
        <v>129</v>
      </c>
      <c r="J31">
        <v>0</v>
      </c>
      <c r="K31">
        <v>0</v>
      </c>
      <c r="L31">
        <v>0</v>
      </c>
      <c r="Q31" t="s">
        <v>133</v>
      </c>
      <c r="T31">
        <v>0</v>
      </c>
      <c r="W31" t="s">
        <v>36</v>
      </c>
      <c r="X31" t="s">
        <v>69</v>
      </c>
      <c r="Y31" t="s">
        <v>38</v>
      </c>
      <c r="AD31">
        <v>0</v>
      </c>
      <c r="AE31" t="b">
        <f>ISNUMBER(MATCH(G31,AUM!$C$6:$C$1451,0))</f>
        <v>0</v>
      </c>
      <c r="AF31" t="b">
        <f>ISNUMBER(MATCH(G31,AUM!$G$6:$G$240,0))</f>
        <v>0</v>
      </c>
    </row>
    <row r="32" spans="1:32" x14ac:dyDescent="0.2">
      <c r="A32" t="s">
        <v>139</v>
      </c>
      <c r="B32" s="1">
        <v>45671</v>
      </c>
      <c r="D32" t="s">
        <v>139</v>
      </c>
      <c r="E32" t="s">
        <v>140</v>
      </c>
      <c r="F32" t="s">
        <v>141</v>
      </c>
      <c r="G32" t="s">
        <v>142</v>
      </c>
      <c r="H32" t="s">
        <v>143</v>
      </c>
      <c r="I32">
        <v>87468830.472443104</v>
      </c>
      <c r="J32">
        <v>1516.63</v>
      </c>
      <c r="K32">
        <v>1534.94</v>
      </c>
      <c r="L32">
        <v>1534.9358032800001</v>
      </c>
      <c r="M32">
        <v>134259039563.12</v>
      </c>
      <c r="N32">
        <v>2</v>
      </c>
      <c r="O32" t="s">
        <v>35</v>
      </c>
      <c r="P32">
        <v>1</v>
      </c>
      <c r="S32" t="s">
        <v>144</v>
      </c>
      <c r="W32" t="s">
        <v>36</v>
      </c>
      <c r="X32" t="s">
        <v>37</v>
      </c>
      <c r="Y32" t="s">
        <v>38</v>
      </c>
      <c r="AD32">
        <v>0</v>
      </c>
      <c r="AE32" t="b">
        <f>ISNUMBER(MATCH(G32,AUM!$C$6:$C$1451,0))</f>
        <v>1</v>
      </c>
      <c r="AF32" t="b">
        <f>ISNUMBER(MATCH(G32,AUM!$G$6:$G$240,0))</f>
        <v>0</v>
      </c>
    </row>
    <row r="33" spans="1:32" x14ac:dyDescent="0.2">
      <c r="A33" t="s">
        <v>144</v>
      </c>
      <c r="B33" s="1">
        <v>45671</v>
      </c>
      <c r="D33" t="s">
        <v>144</v>
      </c>
      <c r="E33" t="s">
        <v>140</v>
      </c>
      <c r="F33" t="s">
        <v>145</v>
      </c>
      <c r="G33" t="s">
        <v>146</v>
      </c>
      <c r="H33" t="s">
        <v>143</v>
      </c>
      <c r="J33">
        <v>2476.3000000000002</v>
      </c>
      <c r="K33">
        <v>2506.19</v>
      </c>
      <c r="L33">
        <v>2506.1858861599999</v>
      </c>
      <c r="Q33" t="s">
        <v>139</v>
      </c>
      <c r="U33">
        <v>0</v>
      </c>
      <c r="W33" t="s">
        <v>36</v>
      </c>
      <c r="X33" t="s">
        <v>69</v>
      </c>
      <c r="Y33" t="s">
        <v>38</v>
      </c>
      <c r="AD33">
        <v>0</v>
      </c>
      <c r="AE33" t="b">
        <f>ISNUMBER(MATCH(G33,AUM!$C$6:$C$1451,0))</f>
        <v>1</v>
      </c>
      <c r="AF33" t="b">
        <f>ISNUMBER(MATCH(G33,AUM!$G$6:$G$240,0))</f>
        <v>0</v>
      </c>
    </row>
    <row r="34" spans="1:32" x14ac:dyDescent="0.2">
      <c r="A34" t="s">
        <v>147</v>
      </c>
      <c r="B34" s="1">
        <v>45671</v>
      </c>
      <c r="D34" t="s">
        <v>147</v>
      </c>
      <c r="E34" t="s">
        <v>31</v>
      </c>
      <c r="F34" t="s">
        <v>148</v>
      </c>
      <c r="G34" t="s">
        <v>149</v>
      </c>
      <c r="H34" t="s">
        <v>34</v>
      </c>
      <c r="J34">
        <v>1056.56</v>
      </c>
      <c r="K34">
        <v>1053.81</v>
      </c>
      <c r="L34">
        <v>1053.81371096</v>
      </c>
      <c r="Q34" t="s">
        <v>150</v>
      </c>
      <c r="T34">
        <v>4.6015839807880002E-2</v>
      </c>
      <c r="V34" t="s">
        <v>151</v>
      </c>
      <c r="W34" t="s">
        <v>36</v>
      </c>
      <c r="X34" t="s">
        <v>69</v>
      </c>
      <c r="Y34" t="s">
        <v>38</v>
      </c>
      <c r="AD34">
        <v>0</v>
      </c>
      <c r="AE34" t="b">
        <f>ISNUMBER(MATCH(G34,AUM!$C$6:$C$1451,0))</f>
        <v>1</v>
      </c>
      <c r="AF34" t="b">
        <f>ISNUMBER(MATCH(G34,AUM!$G$6:$G$240,0))</f>
        <v>0</v>
      </c>
    </row>
    <row r="35" spans="1:32" x14ac:dyDescent="0.2">
      <c r="A35" t="s">
        <v>152</v>
      </c>
      <c r="B35" s="1">
        <v>45671</v>
      </c>
      <c r="D35" t="s">
        <v>152</v>
      </c>
      <c r="E35" t="s">
        <v>31</v>
      </c>
      <c r="F35" t="s">
        <v>153</v>
      </c>
      <c r="G35" t="s">
        <v>154</v>
      </c>
      <c r="H35" t="s">
        <v>34</v>
      </c>
      <c r="J35">
        <v>1014.02</v>
      </c>
      <c r="K35">
        <v>1011.39</v>
      </c>
      <c r="L35">
        <v>1011.3878783500001</v>
      </c>
      <c r="Q35" t="s">
        <v>150</v>
      </c>
      <c r="U35">
        <v>3.4511879855909998E-2</v>
      </c>
      <c r="V35" t="s">
        <v>151</v>
      </c>
      <c r="W35" t="s">
        <v>36</v>
      </c>
      <c r="X35" t="s">
        <v>69</v>
      </c>
      <c r="Y35" t="s">
        <v>38</v>
      </c>
      <c r="AD35">
        <v>0</v>
      </c>
      <c r="AE35" t="b">
        <f>ISNUMBER(MATCH(G35,AUM!$C$6:$C$1451,0))</f>
        <v>1</v>
      </c>
      <c r="AF35" t="b">
        <f>ISNUMBER(MATCH(G35,AUM!$G$6:$G$240,0))</f>
        <v>0</v>
      </c>
    </row>
    <row r="36" spans="1:32" x14ac:dyDescent="0.2">
      <c r="A36" t="s">
        <v>155</v>
      </c>
      <c r="B36" s="1">
        <v>45671</v>
      </c>
      <c r="D36" t="s">
        <v>155</v>
      </c>
      <c r="E36" t="s">
        <v>40</v>
      </c>
      <c r="F36" t="s">
        <v>156</v>
      </c>
      <c r="G36" t="s">
        <v>157</v>
      </c>
      <c r="H36" t="s">
        <v>43</v>
      </c>
      <c r="J36">
        <v>4710.8900000000003</v>
      </c>
      <c r="K36">
        <v>4693.72</v>
      </c>
      <c r="L36">
        <v>4693.7166236100002</v>
      </c>
      <c r="Q36" t="s">
        <v>158</v>
      </c>
      <c r="T36">
        <v>0</v>
      </c>
      <c r="W36" t="s">
        <v>36</v>
      </c>
      <c r="X36" t="s">
        <v>69</v>
      </c>
      <c r="Y36" t="s">
        <v>38</v>
      </c>
      <c r="AD36">
        <v>0</v>
      </c>
      <c r="AE36" t="b">
        <f>ISNUMBER(MATCH(G36,AUM!$C$6:$C$1451,0))</f>
        <v>1</v>
      </c>
      <c r="AF36" t="b">
        <f>ISNUMBER(MATCH(G36,AUM!$G$6:$G$240,0))</f>
        <v>0</v>
      </c>
    </row>
    <row r="37" spans="1:32" x14ac:dyDescent="0.2">
      <c r="A37" t="s">
        <v>159</v>
      </c>
      <c r="B37" s="1">
        <v>45671</v>
      </c>
      <c r="D37" t="s">
        <v>159</v>
      </c>
      <c r="E37" t="s">
        <v>40</v>
      </c>
      <c r="F37" t="s">
        <v>160</v>
      </c>
      <c r="G37" t="s">
        <v>161</v>
      </c>
      <c r="H37" t="s">
        <v>43</v>
      </c>
      <c r="J37">
        <v>6717.85</v>
      </c>
      <c r="K37">
        <v>6645.98</v>
      </c>
      <c r="L37">
        <v>6645.9835177900004</v>
      </c>
      <c r="Q37" t="s">
        <v>162</v>
      </c>
      <c r="T37">
        <v>0</v>
      </c>
      <c r="W37" t="s">
        <v>36</v>
      </c>
      <c r="X37" t="s">
        <v>69</v>
      </c>
      <c r="Y37" t="s">
        <v>38</v>
      </c>
      <c r="AD37">
        <v>0</v>
      </c>
      <c r="AE37" t="b">
        <f>ISNUMBER(MATCH(G37,AUM!$C$6:$C$1451,0))</f>
        <v>1</v>
      </c>
      <c r="AF37" t="b">
        <f>ISNUMBER(MATCH(G37,AUM!$G$6:$G$240,0))</f>
        <v>0</v>
      </c>
    </row>
    <row r="38" spans="1:32" x14ac:dyDescent="0.2">
      <c r="A38" t="s">
        <v>163</v>
      </c>
      <c r="B38" s="1">
        <v>45671</v>
      </c>
      <c r="D38" t="s">
        <v>163</v>
      </c>
      <c r="E38" t="s">
        <v>40</v>
      </c>
      <c r="F38" t="s">
        <v>164</v>
      </c>
      <c r="G38" t="s">
        <v>165</v>
      </c>
      <c r="H38" t="s">
        <v>43</v>
      </c>
      <c r="J38">
        <v>1931.82</v>
      </c>
      <c r="K38">
        <v>1928.01</v>
      </c>
      <c r="L38">
        <v>1928.0053504299999</v>
      </c>
      <c r="Q38" t="s">
        <v>166</v>
      </c>
      <c r="T38">
        <v>0</v>
      </c>
      <c r="W38" t="s">
        <v>36</v>
      </c>
      <c r="X38" t="s">
        <v>69</v>
      </c>
      <c r="Y38" t="s">
        <v>38</v>
      </c>
      <c r="AD38">
        <v>0</v>
      </c>
      <c r="AE38" t="b">
        <f>ISNUMBER(MATCH(G38,AUM!$C$6:$C$1451,0))</f>
        <v>1</v>
      </c>
      <c r="AF38" t="b">
        <f>ISNUMBER(MATCH(G38,AUM!$G$6:$G$240,0))</f>
        <v>0</v>
      </c>
    </row>
    <row r="39" spans="1:32" x14ac:dyDescent="0.2">
      <c r="A39" t="s">
        <v>167</v>
      </c>
      <c r="B39" s="1">
        <v>45671</v>
      </c>
      <c r="D39" t="s">
        <v>167</v>
      </c>
      <c r="E39" t="s">
        <v>140</v>
      </c>
      <c r="F39" t="s">
        <v>168</v>
      </c>
      <c r="G39" t="s">
        <v>169</v>
      </c>
      <c r="H39" t="s">
        <v>143</v>
      </c>
      <c r="I39">
        <v>17924555.762536</v>
      </c>
      <c r="J39">
        <v>35843.089999999997</v>
      </c>
      <c r="K39">
        <v>35879.78</v>
      </c>
      <c r="L39">
        <v>35879.781969930002</v>
      </c>
      <c r="M39">
        <v>643129152667.73206</v>
      </c>
      <c r="N39">
        <v>107</v>
      </c>
      <c r="O39" t="s">
        <v>35</v>
      </c>
      <c r="P39">
        <v>1</v>
      </c>
      <c r="S39" t="s">
        <v>170</v>
      </c>
      <c r="W39" t="s">
        <v>36</v>
      </c>
      <c r="X39" t="s">
        <v>37</v>
      </c>
      <c r="Y39" t="s">
        <v>38</v>
      </c>
      <c r="AD39">
        <v>0</v>
      </c>
      <c r="AE39" t="b">
        <f>ISNUMBER(MATCH(G39,AUM!$C$6:$C$1451,0))</f>
        <v>1</v>
      </c>
      <c r="AF39" t="b">
        <f>ISNUMBER(MATCH(G39,AUM!$G$6:$G$240,0))</f>
        <v>0</v>
      </c>
    </row>
    <row r="40" spans="1:32" x14ac:dyDescent="0.2">
      <c r="A40" t="s">
        <v>171</v>
      </c>
      <c r="B40" s="1">
        <v>45671</v>
      </c>
      <c r="D40" t="s">
        <v>171</v>
      </c>
      <c r="E40" t="s">
        <v>140</v>
      </c>
      <c r="F40" t="s">
        <v>172</v>
      </c>
      <c r="G40" t="s">
        <v>173</v>
      </c>
      <c r="H40" t="s">
        <v>143</v>
      </c>
      <c r="I40">
        <v>1420723.8579019699</v>
      </c>
      <c r="J40">
        <v>7054.38</v>
      </c>
      <c r="K40">
        <v>7025.69</v>
      </c>
      <c r="L40">
        <v>7025.6914420700004</v>
      </c>
      <c r="M40">
        <v>9981567450.0100002</v>
      </c>
      <c r="N40">
        <v>6</v>
      </c>
      <c r="O40" t="s">
        <v>35</v>
      </c>
      <c r="P40">
        <v>1</v>
      </c>
      <c r="S40" t="s">
        <v>174</v>
      </c>
      <c r="W40" t="s">
        <v>36</v>
      </c>
      <c r="X40" t="s">
        <v>37</v>
      </c>
      <c r="Y40" t="s">
        <v>38</v>
      </c>
      <c r="AD40">
        <v>0</v>
      </c>
      <c r="AE40" t="b">
        <f>ISNUMBER(MATCH(G40,AUM!$C$6:$C$1451,0))</f>
        <v>1</v>
      </c>
      <c r="AF40" t="b">
        <f>ISNUMBER(MATCH(G40,AUM!$G$6:$G$240,0))</f>
        <v>0</v>
      </c>
    </row>
    <row r="41" spans="1:32" x14ac:dyDescent="0.2">
      <c r="A41" t="s">
        <v>175</v>
      </c>
      <c r="B41" s="1">
        <v>45671</v>
      </c>
      <c r="D41" t="s">
        <v>175</v>
      </c>
      <c r="E41" t="s">
        <v>140</v>
      </c>
      <c r="F41" t="s">
        <v>176</v>
      </c>
      <c r="G41" t="s">
        <v>177</v>
      </c>
      <c r="H41" t="s">
        <v>143</v>
      </c>
      <c r="I41">
        <v>32460555.432769202</v>
      </c>
      <c r="J41">
        <v>1750.91</v>
      </c>
      <c r="K41">
        <v>1746.38</v>
      </c>
      <c r="L41">
        <v>1746.38283361</v>
      </c>
      <c r="M41">
        <v>56688556777.192001</v>
      </c>
      <c r="N41">
        <v>16</v>
      </c>
      <c r="O41" t="s">
        <v>35</v>
      </c>
      <c r="P41">
        <v>1</v>
      </c>
      <c r="S41" t="s">
        <v>178</v>
      </c>
      <c r="W41" t="s">
        <v>36</v>
      </c>
      <c r="X41" t="s">
        <v>37</v>
      </c>
      <c r="Y41" t="s">
        <v>38</v>
      </c>
      <c r="AD41">
        <v>0</v>
      </c>
      <c r="AE41" t="b">
        <f>ISNUMBER(MATCH(G41,AUM!$C$6:$C$1451,0))</f>
        <v>1</v>
      </c>
      <c r="AF41" t="b">
        <f>ISNUMBER(MATCH(G41,AUM!$G$6:$G$240,0))</f>
        <v>0</v>
      </c>
    </row>
    <row r="42" spans="1:32" x14ac:dyDescent="0.2">
      <c r="A42" t="s">
        <v>179</v>
      </c>
      <c r="B42" s="1">
        <v>45671</v>
      </c>
      <c r="D42" t="s">
        <v>179</v>
      </c>
      <c r="E42" t="s">
        <v>140</v>
      </c>
      <c r="F42" t="s">
        <v>180</v>
      </c>
      <c r="G42" t="s">
        <v>181</v>
      </c>
      <c r="H42" t="s">
        <v>143</v>
      </c>
      <c r="I42">
        <v>16090744.181604</v>
      </c>
      <c r="J42">
        <v>5458.86</v>
      </c>
      <c r="K42">
        <v>5404.49</v>
      </c>
      <c r="L42">
        <v>5404.4913826000002</v>
      </c>
      <c r="M42">
        <v>86962288269.090393</v>
      </c>
      <c r="N42">
        <v>14</v>
      </c>
      <c r="O42" t="s">
        <v>35</v>
      </c>
      <c r="P42">
        <v>1</v>
      </c>
      <c r="S42" t="s">
        <v>182</v>
      </c>
      <c r="W42" t="s">
        <v>36</v>
      </c>
      <c r="X42" t="s">
        <v>37</v>
      </c>
      <c r="Y42" t="s">
        <v>38</v>
      </c>
      <c r="AD42">
        <v>0</v>
      </c>
      <c r="AE42" t="b">
        <f>ISNUMBER(MATCH(G42,AUM!$C$6:$C$1451,0))</f>
        <v>1</v>
      </c>
      <c r="AF42" t="b">
        <f>ISNUMBER(MATCH(G42,AUM!$G$6:$G$240,0))</f>
        <v>0</v>
      </c>
    </row>
    <row r="43" spans="1:32" x14ac:dyDescent="0.2">
      <c r="A43" t="s">
        <v>183</v>
      </c>
      <c r="B43" s="1">
        <v>45671</v>
      </c>
      <c r="D43" t="s">
        <v>183</v>
      </c>
      <c r="E43" t="s">
        <v>140</v>
      </c>
      <c r="F43" t="s">
        <v>184</v>
      </c>
      <c r="G43" t="s">
        <v>185</v>
      </c>
      <c r="H43" t="s">
        <v>143</v>
      </c>
      <c r="I43">
        <v>11082413.9799754</v>
      </c>
      <c r="J43">
        <v>285.08</v>
      </c>
      <c r="K43">
        <v>283.83</v>
      </c>
      <c r="L43">
        <v>283.82927345000002</v>
      </c>
      <c r="M43">
        <v>3145513507.9949999</v>
      </c>
      <c r="N43">
        <v>4</v>
      </c>
      <c r="O43" t="s">
        <v>35</v>
      </c>
      <c r="P43">
        <v>1</v>
      </c>
      <c r="S43" t="s">
        <v>186</v>
      </c>
      <c r="W43" t="s">
        <v>36</v>
      </c>
      <c r="X43" t="s">
        <v>37</v>
      </c>
      <c r="Y43" t="s">
        <v>38</v>
      </c>
      <c r="AD43">
        <v>0</v>
      </c>
      <c r="AE43" t="b">
        <f>ISNUMBER(MATCH(G43,AUM!$C$6:$C$1451,0))</f>
        <v>1</v>
      </c>
      <c r="AF43" t="b">
        <f>ISNUMBER(MATCH(G43,AUM!$G$6:$G$240,0))</f>
        <v>0</v>
      </c>
    </row>
    <row r="44" spans="1:32" x14ac:dyDescent="0.2">
      <c r="A44" t="s">
        <v>187</v>
      </c>
      <c r="B44" s="1">
        <v>45671</v>
      </c>
      <c r="D44" t="s">
        <v>187</v>
      </c>
      <c r="E44" t="s">
        <v>140</v>
      </c>
      <c r="F44" t="s">
        <v>188</v>
      </c>
      <c r="G44" t="s">
        <v>189</v>
      </c>
      <c r="H44" t="s">
        <v>143</v>
      </c>
      <c r="I44">
        <v>145403861.28857499</v>
      </c>
      <c r="J44">
        <v>896.63</v>
      </c>
      <c r="K44">
        <v>901.03</v>
      </c>
      <c r="L44">
        <v>901.02808829000003</v>
      </c>
      <c r="M44">
        <v>131012963167.01401</v>
      </c>
      <c r="N44">
        <v>15</v>
      </c>
      <c r="O44" t="s">
        <v>35</v>
      </c>
      <c r="P44">
        <v>1</v>
      </c>
      <c r="S44" t="s">
        <v>190</v>
      </c>
      <c r="W44" t="s">
        <v>36</v>
      </c>
      <c r="X44" t="s">
        <v>37</v>
      </c>
      <c r="Y44" t="s">
        <v>38</v>
      </c>
      <c r="AD44">
        <v>0</v>
      </c>
      <c r="AE44" t="b">
        <f>ISNUMBER(MATCH(G44,AUM!$C$6:$C$1451,0))</f>
        <v>1</v>
      </c>
      <c r="AF44" t="b">
        <f>ISNUMBER(MATCH(G44,AUM!$G$6:$G$240,0))</f>
        <v>0</v>
      </c>
    </row>
    <row r="45" spans="1:32" x14ac:dyDescent="0.2">
      <c r="A45" t="s">
        <v>191</v>
      </c>
      <c r="B45" s="1">
        <v>45671</v>
      </c>
      <c r="D45" t="s">
        <v>191</v>
      </c>
      <c r="E45" t="s">
        <v>140</v>
      </c>
      <c r="F45" t="s">
        <v>192</v>
      </c>
      <c r="G45" t="s">
        <v>193</v>
      </c>
      <c r="H45" t="s">
        <v>143</v>
      </c>
      <c r="I45">
        <v>2997809.7740197899</v>
      </c>
      <c r="J45">
        <v>1291.23</v>
      </c>
      <c r="K45">
        <v>1284.29</v>
      </c>
      <c r="L45">
        <v>1284.2925991699999</v>
      </c>
      <c r="M45">
        <v>3850064906.4819999</v>
      </c>
      <c r="N45">
        <v>6</v>
      </c>
      <c r="O45" t="s">
        <v>35</v>
      </c>
      <c r="P45">
        <v>1</v>
      </c>
      <c r="S45" t="s">
        <v>194</v>
      </c>
      <c r="W45" t="s">
        <v>36</v>
      </c>
      <c r="X45" t="s">
        <v>37</v>
      </c>
      <c r="Y45" t="s">
        <v>38</v>
      </c>
      <c r="AD45">
        <v>0</v>
      </c>
      <c r="AE45" t="b">
        <f>ISNUMBER(MATCH(G45,AUM!$C$6:$C$1451,0))</f>
        <v>1</v>
      </c>
      <c r="AF45" t="b">
        <f>ISNUMBER(MATCH(G45,AUM!$G$6:$G$240,0))</f>
        <v>0</v>
      </c>
    </row>
    <row r="46" spans="1:32" x14ac:dyDescent="0.2">
      <c r="A46" t="s">
        <v>195</v>
      </c>
      <c r="B46" s="1">
        <v>45671</v>
      </c>
      <c r="D46" t="s">
        <v>195</v>
      </c>
      <c r="E46" t="s">
        <v>140</v>
      </c>
      <c r="F46" t="s">
        <v>196</v>
      </c>
      <c r="G46" t="s">
        <v>197</v>
      </c>
      <c r="H46" t="s">
        <v>143</v>
      </c>
      <c r="I46">
        <v>49765387.766305402</v>
      </c>
      <c r="J46">
        <v>862.92</v>
      </c>
      <c r="K46">
        <v>869.66</v>
      </c>
      <c r="L46">
        <v>869.66335776000005</v>
      </c>
      <c r="M46">
        <v>43279134225.095001</v>
      </c>
      <c r="N46">
        <v>3</v>
      </c>
      <c r="O46" t="s">
        <v>35</v>
      </c>
      <c r="P46">
        <v>1</v>
      </c>
      <c r="S46" t="s">
        <v>198</v>
      </c>
      <c r="W46" t="s">
        <v>36</v>
      </c>
      <c r="X46" t="s">
        <v>37</v>
      </c>
      <c r="Y46" t="s">
        <v>38</v>
      </c>
      <c r="AD46">
        <v>0</v>
      </c>
      <c r="AE46" t="b">
        <f>ISNUMBER(MATCH(G46,AUM!$C$6:$C$1451,0))</f>
        <v>1</v>
      </c>
      <c r="AF46" t="b">
        <f>ISNUMBER(MATCH(G46,AUM!$G$6:$G$240,0))</f>
        <v>0</v>
      </c>
    </row>
    <row r="47" spans="1:32" x14ac:dyDescent="0.2">
      <c r="A47" t="s">
        <v>199</v>
      </c>
      <c r="B47" s="1">
        <v>45671</v>
      </c>
      <c r="D47" t="s">
        <v>199</v>
      </c>
      <c r="E47" t="s">
        <v>140</v>
      </c>
      <c r="F47" t="s">
        <v>200</v>
      </c>
      <c r="G47" t="s">
        <v>201</v>
      </c>
      <c r="H47" t="s">
        <v>143</v>
      </c>
      <c r="I47">
        <v>49145708.323835</v>
      </c>
      <c r="J47">
        <v>2598.73</v>
      </c>
      <c r="K47">
        <v>2584.33</v>
      </c>
      <c r="L47">
        <v>2584.3303841100001</v>
      </c>
      <c r="M47">
        <v>127008747270</v>
      </c>
      <c r="N47">
        <v>13</v>
      </c>
      <c r="O47" t="s">
        <v>35</v>
      </c>
      <c r="P47">
        <v>1</v>
      </c>
      <c r="S47" t="s">
        <v>202</v>
      </c>
      <c r="W47" t="s">
        <v>36</v>
      </c>
      <c r="X47" t="s">
        <v>37</v>
      </c>
      <c r="Y47" t="s">
        <v>38</v>
      </c>
      <c r="AD47">
        <v>0</v>
      </c>
      <c r="AE47" t="b">
        <f>ISNUMBER(MATCH(G47,AUM!$C$6:$C$1451,0))</f>
        <v>1</v>
      </c>
      <c r="AF47" t="b">
        <f>ISNUMBER(MATCH(G47,AUM!$G$6:$G$240,0))</f>
        <v>0</v>
      </c>
    </row>
    <row r="48" spans="1:32" x14ac:dyDescent="0.2">
      <c r="A48" t="s">
        <v>203</v>
      </c>
      <c r="B48" s="1">
        <v>45671</v>
      </c>
      <c r="D48" t="s">
        <v>203</v>
      </c>
      <c r="E48" t="s">
        <v>126</v>
      </c>
      <c r="F48" t="s">
        <v>204</v>
      </c>
      <c r="G48" t="s">
        <v>205</v>
      </c>
      <c r="H48" t="s">
        <v>129</v>
      </c>
      <c r="I48">
        <v>361417.18458112603</v>
      </c>
      <c r="J48">
        <v>689.41</v>
      </c>
      <c r="K48">
        <v>691.95</v>
      </c>
      <c r="L48">
        <v>691.94670406</v>
      </c>
      <c r="M48">
        <v>250081429.66</v>
      </c>
      <c r="N48">
        <v>2</v>
      </c>
      <c r="O48" t="s">
        <v>35</v>
      </c>
      <c r="P48">
        <v>1</v>
      </c>
      <c r="R48" t="s">
        <v>206</v>
      </c>
      <c r="W48" t="s">
        <v>36</v>
      </c>
      <c r="X48" t="s">
        <v>37</v>
      </c>
      <c r="Y48" t="s">
        <v>38</v>
      </c>
      <c r="AD48">
        <v>0</v>
      </c>
      <c r="AE48" t="b">
        <f>ISNUMBER(MATCH(G48,AUM!$C$6:$C$1451,0))</f>
        <v>1</v>
      </c>
      <c r="AF48" t="b">
        <f>ISNUMBER(MATCH(G48,AUM!$G$6:$G$240,0))</f>
        <v>0</v>
      </c>
    </row>
    <row r="49" spans="1:32" x14ac:dyDescent="0.2">
      <c r="A49" t="s">
        <v>207</v>
      </c>
      <c r="B49" s="1">
        <v>45671</v>
      </c>
      <c r="D49" t="s">
        <v>207</v>
      </c>
      <c r="E49" t="s">
        <v>126</v>
      </c>
      <c r="F49" t="s">
        <v>208</v>
      </c>
      <c r="G49" t="s">
        <v>209</v>
      </c>
      <c r="H49" t="s">
        <v>129</v>
      </c>
      <c r="I49">
        <v>47303899.080242597</v>
      </c>
      <c r="J49">
        <v>153.81</v>
      </c>
      <c r="K49">
        <v>153.81</v>
      </c>
      <c r="L49">
        <v>153.81293468000001</v>
      </c>
      <c r="M49">
        <v>7275951539.5503998</v>
      </c>
      <c r="N49">
        <v>2</v>
      </c>
      <c r="O49" t="s">
        <v>35</v>
      </c>
      <c r="P49">
        <v>1</v>
      </c>
      <c r="R49" t="s">
        <v>210</v>
      </c>
      <c r="W49" t="s">
        <v>36</v>
      </c>
      <c r="X49" t="s">
        <v>37</v>
      </c>
      <c r="Y49" t="s">
        <v>38</v>
      </c>
      <c r="AD49">
        <v>0</v>
      </c>
      <c r="AE49" t="b">
        <f>ISNUMBER(MATCH(G49,AUM!$C$6:$C$1451,0))</f>
        <v>1</v>
      </c>
      <c r="AF49" t="b">
        <f>ISNUMBER(MATCH(G49,AUM!$G$6:$G$240,0))</f>
        <v>0</v>
      </c>
    </row>
    <row r="50" spans="1:32" x14ac:dyDescent="0.2">
      <c r="A50" t="s">
        <v>211</v>
      </c>
      <c r="B50" s="1">
        <v>45671</v>
      </c>
      <c r="D50" t="s">
        <v>211</v>
      </c>
      <c r="E50" t="s">
        <v>126</v>
      </c>
      <c r="F50" t="s">
        <v>212</v>
      </c>
      <c r="G50" t="s">
        <v>213</v>
      </c>
      <c r="H50" t="s">
        <v>129</v>
      </c>
      <c r="I50">
        <v>25186964.497774899</v>
      </c>
      <c r="J50">
        <v>926.55</v>
      </c>
      <c r="K50">
        <v>940.5</v>
      </c>
      <c r="L50">
        <v>940.49987534000002</v>
      </c>
      <c r="M50">
        <v>23688336970.306</v>
      </c>
      <c r="N50">
        <v>3</v>
      </c>
      <c r="O50" t="s">
        <v>35</v>
      </c>
      <c r="P50">
        <v>1</v>
      </c>
      <c r="R50" t="s">
        <v>214</v>
      </c>
      <c r="W50" t="s">
        <v>36</v>
      </c>
      <c r="X50" t="s">
        <v>37</v>
      </c>
      <c r="Y50" t="s">
        <v>38</v>
      </c>
      <c r="AD50">
        <v>0</v>
      </c>
      <c r="AE50" t="b">
        <f>ISNUMBER(MATCH(G50,AUM!$C$6:$C$1451,0))</f>
        <v>1</v>
      </c>
      <c r="AF50" t="b">
        <f>ISNUMBER(MATCH(G50,AUM!$G$6:$G$240,0))</f>
        <v>0</v>
      </c>
    </row>
    <row r="51" spans="1:32" x14ac:dyDescent="0.2">
      <c r="A51" t="s">
        <v>215</v>
      </c>
      <c r="B51" s="1">
        <v>45671</v>
      </c>
      <c r="D51" t="s">
        <v>215</v>
      </c>
      <c r="E51" t="s">
        <v>126</v>
      </c>
      <c r="F51" t="s">
        <v>216</v>
      </c>
      <c r="G51" t="s">
        <v>217</v>
      </c>
      <c r="H51" t="s">
        <v>129</v>
      </c>
      <c r="I51">
        <v>26837334.738227598</v>
      </c>
      <c r="J51">
        <v>96.75</v>
      </c>
      <c r="K51">
        <v>96.27</v>
      </c>
      <c r="L51">
        <v>96.267251520000002</v>
      </c>
      <c r="M51">
        <v>2583556453.4400001</v>
      </c>
      <c r="N51">
        <v>4</v>
      </c>
      <c r="O51" t="s">
        <v>35</v>
      </c>
      <c r="P51">
        <v>1</v>
      </c>
      <c r="R51" t="s">
        <v>218</v>
      </c>
      <c r="W51" t="s">
        <v>36</v>
      </c>
      <c r="X51" t="s">
        <v>37</v>
      </c>
      <c r="Y51" t="s">
        <v>38</v>
      </c>
      <c r="AD51">
        <v>0</v>
      </c>
      <c r="AE51" t="b">
        <f>ISNUMBER(MATCH(G51,AUM!$C$6:$C$1451,0))</f>
        <v>1</v>
      </c>
      <c r="AF51" t="b">
        <f>ISNUMBER(MATCH(G51,AUM!$G$6:$G$240,0))</f>
        <v>0</v>
      </c>
    </row>
    <row r="52" spans="1:32" x14ac:dyDescent="0.2">
      <c r="A52" t="s">
        <v>219</v>
      </c>
      <c r="B52" s="1">
        <v>45671</v>
      </c>
      <c r="D52" t="s">
        <v>219</v>
      </c>
      <c r="E52" t="s">
        <v>126</v>
      </c>
      <c r="F52" t="s">
        <v>220</v>
      </c>
      <c r="G52" t="s">
        <v>221</v>
      </c>
      <c r="H52" t="s">
        <v>129</v>
      </c>
      <c r="I52">
        <v>6783548.7368534701</v>
      </c>
      <c r="J52">
        <v>1964.89</v>
      </c>
      <c r="K52">
        <v>1967.42</v>
      </c>
      <c r="L52">
        <v>1967.4239795599999</v>
      </c>
      <c r="M52">
        <v>13346116451.4</v>
      </c>
      <c r="N52">
        <v>2</v>
      </c>
      <c r="O52" t="s">
        <v>35</v>
      </c>
      <c r="P52">
        <v>1</v>
      </c>
      <c r="R52" t="s">
        <v>222</v>
      </c>
      <c r="W52" t="s">
        <v>36</v>
      </c>
      <c r="X52" t="s">
        <v>37</v>
      </c>
      <c r="Y52" t="s">
        <v>38</v>
      </c>
      <c r="AD52">
        <v>0</v>
      </c>
      <c r="AE52" t="b">
        <f>ISNUMBER(MATCH(G52,AUM!$C$6:$C$1451,0))</f>
        <v>1</v>
      </c>
      <c r="AF52" t="b">
        <f>ISNUMBER(MATCH(G52,AUM!$G$6:$G$240,0))</f>
        <v>0</v>
      </c>
    </row>
    <row r="53" spans="1:32" x14ac:dyDescent="0.2">
      <c r="A53" t="s">
        <v>223</v>
      </c>
      <c r="B53" s="1">
        <v>45671</v>
      </c>
      <c r="D53" t="s">
        <v>223</v>
      </c>
      <c r="E53" t="s">
        <v>126</v>
      </c>
      <c r="F53" t="s">
        <v>224</v>
      </c>
      <c r="G53" t="s">
        <v>225</v>
      </c>
      <c r="H53" t="s">
        <v>129</v>
      </c>
      <c r="I53">
        <v>202875.85113638901</v>
      </c>
      <c r="J53">
        <v>5068.71</v>
      </c>
      <c r="K53">
        <v>5069.8500000000004</v>
      </c>
      <c r="L53">
        <v>5069.8485456400003</v>
      </c>
      <c r="M53">
        <v>1028549838.83</v>
      </c>
      <c r="N53">
        <v>10</v>
      </c>
      <c r="O53" t="s">
        <v>35</v>
      </c>
      <c r="P53">
        <v>1</v>
      </c>
      <c r="R53" t="s">
        <v>226</v>
      </c>
      <c r="W53" t="s">
        <v>36</v>
      </c>
      <c r="X53" t="s">
        <v>37</v>
      </c>
      <c r="Y53" t="s">
        <v>38</v>
      </c>
      <c r="AD53">
        <v>0</v>
      </c>
      <c r="AE53" t="b">
        <f>ISNUMBER(MATCH(G53,AUM!$C$6:$C$1451,0))</f>
        <v>1</v>
      </c>
      <c r="AF53" t="b">
        <f>ISNUMBER(MATCH(G53,AUM!$G$6:$G$240,0))</f>
        <v>0</v>
      </c>
    </row>
    <row r="54" spans="1:32" x14ac:dyDescent="0.2">
      <c r="A54" t="s">
        <v>227</v>
      </c>
      <c r="B54" s="1">
        <v>45671</v>
      </c>
      <c r="D54" t="s">
        <v>227</v>
      </c>
      <c r="E54" t="s">
        <v>126</v>
      </c>
      <c r="F54" t="s">
        <v>228</v>
      </c>
      <c r="G54" t="s">
        <v>229</v>
      </c>
      <c r="H54" t="s">
        <v>129</v>
      </c>
      <c r="I54">
        <v>6552562.91256708</v>
      </c>
      <c r="J54">
        <v>432.26</v>
      </c>
      <c r="K54">
        <v>431.69</v>
      </c>
      <c r="L54">
        <v>431.68554318999998</v>
      </c>
      <c r="M54">
        <v>2828646680.1999998</v>
      </c>
      <c r="N54">
        <v>5</v>
      </c>
      <c r="O54" t="s">
        <v>35</v>
      </c>
      <c r="P54">
        <v>1</v>
      </c>
      <c r="R54" t="s">
        <v>230</v>
      </c>
      <c r="W54" t="s">
        <v>36</v>
      </c>
      <c r="X54" t="s">
        <v>37</v>
      </c>
      <c r="Y54" t="s">
        <v>38</v>
      </c>
      <c r="AD54">
        <v>0</v>
      </c>
      <c r="AE54" t="b">
        <f>ISNUMBER(MATCH(G54,AUM!$C$6:$C$1451,0))</f>
        <v>1</v>
      </c>
      <c r="AF54" t="b">
        <f>ISNUMBER(MATCH(G54,AUM!$G$6:$G$240,0))</f>
        <v>0</v>
      </c>
    </row>
    <row r="55" spans="1:32" x14ac:dyDescent="0.2">
      <c r="A55" t="s">
        <v>231</v>
      </c>
      <c r="B55" s="1">
        <v>45671</v>
      </c>
      <c r="D55" t="s">
        <v>231</v>
      </c>
      <c r="E55" t="s">
        <v>126</v>
      </c>
      <c r="F55" t="s">
        <v>232</v>
      </c>
      <c r="G55" t="s">
        <v>233</v>
      </c>
      <c r="H55" t="s">
        <v>129</v>
      </c>
      <c r="I55">
        <v>2039158.2491667899</v>
      </c>
      <c r="J55">
        <v>2381.2399999999998</v>
      </c>
      <c r="K55">
        <v>2394.3200000000002</v>
      </c>
      <c r="L55">
        <v>2394.3170577300002</v>
      </c>
      <c r="M55">
        <v>4882391379.3959999</v>
      </c>
      <c r="N55">
        <v>4</v>
      </c>
      <c r="O55" t="s">
        <v>35</v>
      </c>
      <c r="P55">
        <v>1</v>
      </c>
      <c r="R55" t="s">
        <v>234</v>
      </c>
      <c r="W55" t="s">
        <v>36</v>
      </c>
      <c r="X55" t="s">
        <v>37</v>
      </c>
      <c r="Y55" t="s">
        <v>38</v>
      </c>
      <c r="AD55">
        <v>0</v>
      </c>
      <c r="AE55" t="b">
        <f>ISNUMBER(MATCH(G55,AUM!$C$6:$C$1451,0))</f>
        <v>1</v>
      </c>
      <c r="AF55" t="b">
        <f>ISNUMBER(MATCH(G55,AUM!$G$6:$G$240,0))</f>
        <v>0</v>
      </c>
    </row>
    <row r="56" spans="1:32" x14ac:dyDescent="0.2">
      <c r="A56" t="s">
        <v>235</v>
      </c>
      <c r="B56" s="1">
        <v>45671</v>
      </c>
      <c r="D56" t="s">
        <v>235</v>
      </c>
      <c r="E56" t="s">
        <v>40</v>
      </c>
      <c r="F56" t="s">
        <v>236</v>
      </c>
      <c r="G56" t="s">
        <v>237</v>
      </c>
      <c r="H56" t="s">
        <v>43</v>
      </c>
      <c r="J56">
        <v>4664.03</v>
      </c>
      <c r="K56">
        <v>4627.62</v>
      </c>
      <c r="L56">
        <v>4627.6195555900003</v>
      </c>
      <c r="Q56" t="s">
        <v>238</v>
      </c>
      <c r="T56">
        <v>0</v>
      </c>
      <c r="W56" t="s">
        <v>36</v>
      </c>
      <c r="X56" t="s">
        <v>69</v>
      </c>
      <c r="Y56" t="s">
        <v>38</v>
      </c>
      <c r="AD56">
        <v>0</v>
      </c>
      <c r="AE56" t="b">
        <f>ISNUMBER(MATCH(G56,AUM!$C$6:$C$1451,0))</f>
        <v>1</v>
      </c>
      <c r="AF56" t="b">
        <f>ISNUMBER(MATCH(G56,AUM!$G$6:$G$240,0))</f>
        <v>0</v>
      </c>
    </row>
    <row r="57" spans="1:32" x14ac:dyDescent="0.2">
      <c r="A57" t="s">
        <v>239</v>
      </c>
      <c r="B57" s="1">
        <v>45671</v>
      </c>
      <c r="D57" t="s">
        <v>239</v>
      </c>
      <c r="E57" t="s">
        <v>40</v>
      </c>
      <c r="F57" t="s">
        <v>240</v>
      </c>
      <c r="G57" t="s">
        <v>241</v>
      </c>
      <c r="H57" t="s">
        <v>43</v>
      </c>
      <c r="J57">
        <v>3422.46</v>
      </c>
      <c r="K57">
        <v>3451.65</v>
      </c>
      <c r="L57">
        <v>3451.6484623800002</v>
      </c>
      <c r="Q57" t="s">
        <v>242</v>
      </c>
      <c r="T57">
        <v>0</v>
      </c>
      <c r="W57" t="s">
        <v>36</v>
      </c>
      <c r="X57" t="s">
        <v>69</v>
      </c>
      <c r="Y57" t="s">
        <v>38</v>
      </c>
      <c r="AD57">
        <v>0</v>
      </c>
      <c r="AE57" t="b">
        <f>ISNUMBER(MATCH(G57,AUM!$C$6:$C$1451,0))</f>
        <v>1</v>
      </c>
      <c r="AF57" t="b">
        <f>ISNUMBER(MATCH(G57,AUM!$G$6:$G$240,0))</f>
        <v>0</v>
      </c>
    </row>
    <row r="58" spans="1:32" x14ac:dyDescent="0.2">
      <c r="A58" t="s">
        <v>243</v>
      </c>
      <c r="B58" s="1">
        <v>45671</v>
      </c>
      <c r="D58" t="s">
        <v>243</v>
      </c>
      <c r="E58" t="s">
        <v>40</v>
      </c>
      <c r="F58" t="s">
        <v>244</v>
      </c>
      <c r="G58" t="s">
        <v>245</v>
      </c>
      <c r="H58" t="s">
        <v>43</v>
      </c>
      <c r="J58">
        <v>12924.56</v>
      </c>
      <c r="K58">
        <v>12693.48</v>
      </c>
      <c r="L58">
        <v>12693.47813062</v>
      </c>
      <c r="Q58" t="s">
        <v>246</v>
      </c>
      <c r="T58">
        <v>0</v>
      </c>
      <c r="W58" t="s">
        <v>36</v>
      </c>
      <c r="X58" t="s">
        <v>69</v>
      </c>
      <c r="Y58" t="s">
        <v>38</v>
      </c>
      <c r="AD58">
        <v>0</v>
      </c>
      <c r="AE58" t="b">
        <f>ISNUMBER(MATCH(G58,AUM!$C$6:$C$1451,0))</f>
        <v>1</v>
      </c>
      <c r="AF58" t="b">
        <f>ISNUMBER(MATCH(G58,AUM!$G$6:$G$240,0))</f>
        <v>0</v>
      </c>
    </row>
    <row r="59" spans="1:32" x14ac:dyDescent="0.2">
      <c r="A59" t="s">
        <v>247</v>
      </c>
      <c r="B59" s="1">
        <v>45671</v>
      </c>
      <c r="D59" t="s">
        <v>247</v>
      </c>
      <c r="E59" t="s">
        <v>140</v>
      </c>
      <c r="F59" t="s">
        <v>248</v>
      </c>
      <c r="G59" t="s">
        <v>249</v>
      </c>
      <c r="H59" t="s">
        <v>143</v>
      </c>
      <c r="I59">
        <v>25077366.352922302</v>
      </c>
      <c r="J59">
        <v>1075.55</v>
      </c>
      <c r="K59">
        <v>1072.1300000000001</v>
      </c>
      <c r="L59">
        <v>1072.12830222</v>
      </c>
      <c r="M59">
        <v>26886154212.203999</v>
      </c>
      <c r="N59">
        <v>13</v>
      </c>
      <c r="O59" t="s">
        <v>35</v>
      </c>
      <c r="P59">
        <v>1</v>
      </c>
      <c r="S59" t="s">
        <v>250</v>
      </c>
      <c r="W59" t="s">
        <v>36</v>
      </c>
      <c r="X59" t="s">
        <v>37</v>
      </c>
      <c r="Y59" t="s">
        <v>38</v>
      </c>
      <c r="AD59">
        <v>0</v>
      </c>
      <c r="AE59" t="b">
        <f>ISNUMBER(MATCH(G59,AUM!$C$6:$C$1451,0))</f>
        <v>1</v>
      </c>
      <c r="AF59" t="b">
        <f>ISNUMBER(MATCH(G59,AUM!$G$6:$G$240,0))</f>
        <v>0</v>
      </c>
    </row>
    <row r="60" spans="1:32" x14ac:dyDescent="0.2">
      <c r="A60" t="s">
        <v>251</v>
      </c>
      <c r="B60" s="1">
        <v>45671</v>
      </c>
      <c r="D60" t="s">
        <v>251</v>
      </c>
      <c r="E60" t="s">
        <v>40</v>
      </c>
      <c r="F60" t="s">
        <v>252</v>
      </c>
      <c r="G60" t="s">
        <v>253</v>
      </c>
      <c r="H60" t="s">
        <v>43</v>
      </c>
      <c r="J60">
        <v>2952.91</v>
      </c>
      <c r="K60">
        <v>2989.9</v>
      </c>
      <c r="L60">
        <v>2989.89776321</v>
      </c>
      <c r="Q60" t="s">
        <v>254</v>
      </c>
      <c r="T60">
        <v>0</v>
      </c>
      <c r="W60" t="s">
        <v>36</v>
      </c>
      <c r="X60" t="s">
        <v>69</v>
      </c>
      <c r="Y60" t="s">
        <v>38</v>
      </c>
      <c r="AD60">
        <v>0</v>
      </c>
      <c r="AE60" t="b">
        <f>ISNUMBER(MATCH(G60,AUM!$C$6:$C$1451,0))</f>
        <v>1</v>
      </c>
      <c r="AF60" t="b">
        <f>ISNUMBER(MATCH(G60,AUM!$G$6:$G$240,0))</f>
        <v>0</v>
      </c>
    </row>
    <row r="61" spans="1:32" x14ac:dyDescent="0.2">
      <c r="A61" t="s">
        <v>255</v>
      </c>
      <c r="B61" s="1">
        <v>45671</v>
      </c>
      <c r="D61" t="s">
        <v>255</v>
      </c>
      <c r="E61" t="s">
        <v>40</v>
      </c>
      <c r="F61" t="s">
        <v>256</v>
      </c>
      <c r="G61" t="s">
        <v>257</v>
      </c>
      <c r="H61" t="s">
        <v>43</v>
      </c>
      <c r="J61">
        <v>3917.56</v>
      </c>
      <c r="K61">
        <v>3812.96</v>
      </c>
      <c r="L61">
        <v>3812.9621253999999</v>
      </c>
      <c r="Q61" t="s">
        <v>258</v>
      </c>
      <c r="T61">
        <v>0</v>
      </c>
      <c r="W61" t="s">
        <v>36</v>
      </c>
      <c r="X61" t="s">
        <v>69</v>
      </c>
      <c r="Y61" t="s">
        <v>38</v>
      </c>
      <c r="AD61">
        <v>0</v>
      </c>
      <c r="AE61" t="b">
        <f>ISNUMBER(MATCH(G61,AUM!$C$6:$C$1451,0))</f>
        <v>1</v>
      </c>
      <c r="AF61" t="b">
        <f>ISNUMBER(MATCH(G61,AUM!$G$6:$G$240,0))</f>
        <v>0</v>
      </c>
    </row>
    <row r="62" spans="1:32" x14ac:dyDescent="0.2">
      <c r="A62" t="s">
        <v>259</v>
      </c>
      <c r="B62" s="1">
        <v>45671</v>
      </c>
      <c r="D62" t="s">
        <v>259</v>
      </c>
      <c r="E62" t="s">
        <v>40</v>
      </c>
      <c r="F62" t="s">
        <v>260</v>
      </c>
      <c r="G62" t="s">
        <v>261</v>
      </c>
      <c r="H62" t="s">
        <v>43</v>
      </c>
      <c r="J62">
        <v>1978.37</v>
      </c>
      <c r="K62">
        <v>1952.59</v>
      </c>
      <c r="L62">
        <v>1952.59244975</v>
      </c>
      <c r="Q62" t="s">
        <v>262</v>
      </c>
      <c r="T62">
        <v>0</v>
      </c>
      <c r="W62" t="s">
        <v>36</v>
      </c>
      <c r="X62" t="s">
        <v>69</v>
      </c>
      <c r="Y62" t="s">
        <v>38</v>
      </c>
      <c r="AD62">
        <v>0</v>
      </c>
      <c r="AE62" t="b">
        <f>ISNUMBER(MATCH(G62,AUM!$C$6:$C$1451,0))</f>
        <v>1</v>
      </c>
      <c r="AF62" t="b">
        <f>ISNUMBER(MATCH(G62,AUM!$G$6:$G$240,0))</f>
        <v>0</v>
      </c>
    </row>
    <row r="63" spans="1:32" x14ac:dyDescent="0.2">
      <c r="A63" t="s">
        <v>263</v>
      </c>
      <c r="B63" s="1">
        <v>45671</v>
      </c>
      <c r="D63" t="s">
        <v>263</v>
      </c>
      <c r="E63" t="s">
        <v>31</v>
      </c>
      <c r="F63" t="s">
        <v>264</v>
      </c>
      <c r="G63" t="s">
        <v>265</v>
      </c>
      <c r="H63" t="s">
        <v>34</v>
      </c>
      <c r="J63">
        <v>4575.24</v>
      </c>
      <c r="K63">
        <v>4541.07</v>
      </c>
      <c r="L63">
        <v>4541.0678821499996</v>
      </c>
      <c r="Q63" t="s">
        <v>266</v>
      </c>
      <c r="U63">
        <v>0</v>
      </c>
      <c r="W63" t="s">
        <v>36</v>
      </c>
      <c r="X63" t="s">
        <v>69</v>
      </c>
      <c r="Y63" t="s">
        <v>38</v>
      </c>
      <c r="AD63">
        <v>0</v>
      </c>
      <c r="AE63" t="b">
        <f>ISNUMBER(MATCH(G63,AUM!$C$6:$C$1451,0))</f>
        <v>1</v>
      </c>
      <c r="AF63" t="b">
        <f>ISNUMBER(MATCH(G63,AUM!$G$6:$G$240,0))</f>
        <v>0</v>
      </c>
    </row>
    <row r="64" spans="1:32" x14ac:dyDescent="0.2">
      <c r="A64" t="s">
        <v>267</v>
      </c>
      <c r="B64" s="1">
        <v>45671</v>
      </c>
      <c r="D64" t="s">
        <v>267</v>
      </c>
      <c r="E64" t="s">
        <v>40</v>
      </c>
      <c r="F64" t="s">
        <v>268</v>
      </c>
      <c r="G64" t="s">
        <v>269</v>
      </c>
      <c r="H64" t="s">
        <v>43</v>
      </c>
      <c r="J64">
        <v>1532.89</v>
      </c>
      <c r="K64">
        <v>1540.75</v>
      </c>
      <c r="L64">
        <v>1540.75449465</v>
      </c>
      <c r="Q64" t="s">
        <v>270</v>
      </c>
      <c r="T64">
        <v>0</v>
      </c>
      <c r="W64" t="s">
        <v>36</v>
      </c>
      <c r="X64" t="s">
        <v>69</v>
      </c>
      <c r="Y64" t="s">
        <v>38</v>
      </c>
      <c r="AD64">
        <v>0</v>
      </c>
      <c r="AE64" t="b">
        <f>ISNUMBER(MATCH(G64,AUM!$C$6:$C$1451,0))</f>
        <v>1</v>
      </c>
      <c r="AF64" t="b">
        <f>ISNUMBER(MATCH(G64,AUM!$G$6:$G$240,0))</f>
        <v>0</v>
      </c>
    </row>
    <row r="65" spans="1:32" x14ac:dyDescent="0.2">
      <c r="A65" t="s">
        <v>271</v>
      </c>
      <c r="B65" s="1">
        <v>45671</v>
      </c>
      <c r="D65" t="s">
        <v>271</v>
      </c>
      <c r="E65" t="s">
        <v>31</v>
      </c>
      <c r="F65" t="s">
        <v>272</v>
      </c>
      <c r="G65" t="s">
        <v>273</v>
      </c>
      <c r="H65" t="s">
        <v>34</v>
      </c>
      <c r="J65">
        <v>3221.97</v>
      </c>
      <c r="K65">
        <v>3211.62</v>
      </c>
      <c r="L65">
        <v>3211.6153640699999</v>
      </c>
      <c r="Q65" t="s">
        <v>274</v>
      </c>
      <c r="U65">
        <v>0</v>
      </c>
      <c r="W65" t="s">
        <v>36</v>
      </c>
      <c r="X65" t="s">
        <v>69</v>
      </c>
      <c r="Y65" t="s">
        <v>38</v>
      </c>
      <c r="AD65">
        <v>0</v>
      </c>
      <c r="AE65" t="b">
        <f>ISNUMBER(MATCH(G65,AUM!$C$6:$C$1451,0))</f>
        <v>1</v>
      </c>
      <c r="AF65" t="b">
        <f>ISNUMBER(MATCH(G65,AUM!$G$6:$G$240,0))</f>
        <v>0</v>
      </c>
    </row>
    <row r="66" spans="1:32" x14ac:dyDescent="0.2">
      <c r="A66" t="s">
        <v>275</v>
      </c>
      <c r="B66" s="1">
        <v>45671</v>
      </c>
      <c r="D66" t="s">
        <v>275</v>
      </c>
      <c r="E66" t="s">
        <v>31</v>
      </c>
      <c r="F66" t="s">
        <v>276</v>
      </c>
      <c r="G66" t="s">
        <v>277</v>
      </c>
      <c r="H66" t="s">
        <v>34</v>
      </c>
      <c r="J66">
        <v>1882.46</v>
      </c>
      <c r="K66">
        <v>1879.22</v>
      </c>
      <c r="L66">
        <v>1879.2162912599999</v>
      </c>
      <c r="Q66" t="s">
        <v>278</v>
      </c>
      <c r="U66">
        <v>0</v>
      </c>
      <c r="W66" t="s">
        <v>36</v>
      </c>
      <c r="X66" t="s">
        <v>69</v>
      </c>
      <c r="Y66" t="s">
        <v>38</v>
      </c>
      <c r="AD66">
        <v>0</v>
      </c>
      <c r="AE66" t="b">
        <f>ISNUMBER(MATCH(G66,AUM!$C$6:$C$1451,0))</f>
        <v>1</v>
      </c>
      <c r="AF66" t="b">
        <f>ISNUMBER(MATCH(G66,AUM!$G$6:$G$240,0))</f>
        <v>0</v>
      </c>
    </row>
    <row r="67" spans="1:32" x14ac:dyDescent="0.2">
      <c r="A67" t="s">
        <v>279</v>
      </c>
      <c r="B67" s="1">
        <v>45671</v>
      </c>
      <c r="D67" t="s">
        <v>279</v>
      </c>
      <c r="E67" t="s">
        <v>126</v>
      </c>
      <c r="F67" t="s">
        <v>280</v>
      </c>
      <c r="G67" t="s">
        <v>281</v>
      </c>
      <c r="H67" t="s">
        <v>129</v>
      </c>
      <c r="I67">
        <v>46481741.867238902</v>
      </c>
      <c r="J67">
        <v>1436.25</v>
      </c>
      <c r="K67">
        <v>1446.88</v>
      </c>
      <c r="L67">
        <v>1446.8837405199999</v>
      </c>
      <c r="M67">
        <v>67253676538.532402</v>
      </c>
      <c r="N67">
        <v>33</v>
      </c>
      <c r="O67" t="s">
        <v>35</v>
      </c>
      <c r="P67">
        <v>1</v>
      </c>
      <c r="R67" t="s">
        <v>282</v>
      </c>
      <c r="W67" t="s">
        <v>36</v>
      </c>
      <c r="X67" t="s">
        <v>37</v>
      </c>
      <c r="Y67" t="s">
        <v>38</v>
      </c>
      <c r="AD67">
        <v>0</v>
      </c>
      <c r="AE67" t="b">
        <f>ISNUMBER(MATCH(G67,AUM!$C$6:$C$1451,0))</f>
        <v>1</v>
      </c>
      <c r="AF67" t="b">
        <f>ISNUMBER(MATCH(G67,AUM!$G$6:$G$240,0))</f>
        <v>0</v>
      </c>
    </row>
    <row r="68" spans="1:32" x14ac:dyDescent="0.2">
      <c r="A68" t="s">
        <v>283</v>
      </c>
      <c r="B68" s="1">
        <v>45671</v>
      </c>
      <c r="D68" t="s">
        <v>283</v>
      </c>
      <c r="E68" t="s">
        <v>31</v>
      </c>
      <c r="F68" t="s">
        <v>284</v>
      </c>
      <c r="G68" t="s">
        <v>285</v>
      </c>
      <c r="H68" t="s">
        <v>34</v>
      </c>
      <c r="J68">
        <v>1369.61</v>
      </c>
      <c r="K68">
        <v>1366.96</v>
      </c>
      <c r="L68">
        <v>1366.9597987499999</v>
      </c>
      <c r="Q68" t="s">
        <v>286</v>
      </c>
      <c r="U68">
        <v>0</v>
      </c>
      <c r="W68" t="s">
        <v>36</v>
      </c>
      <c r="X68" t="s">
        <v>69</v>
      </c>
      <c r="Y68" t="s">
        <v>38</v>
      </c>
      <c r="AD68">
        <v>0</v>
      </c>
      <c r="AE68" t="b">
        <f>ISNUMBER(MATCH(G68,AUM!$C$6:$C$1451,0))</f>
        <v>1</v>
      </c>
      <c r="AF68" t="b">
        <f>ISNUMBER(MATCH(G68,AUM!$G$6:$G$240,0))</f>
        <v>0</v>
      </c>
    </row>
    <row r="69" spans="1:32" x14ac:dyDescent="0.2">
      <c r="A69" t="s">
        <v>287</v>
      </c>
      <c r="B69" s="1">
        <v>45671</v>
      </c>
      <c r="D69" t="s">
        <v>287</v>
      </c>
      <c r="E69" t="s">
        <v>31</v>
      </c>
      <c r="F69" t="s">
        <v>288</v>
      </c>
      <c r="G69" t="s">
        <v>289</v>
      </c>
      <c r="H69" t="s">
        <v>34</v>
      </c>
      <c r="J69">
        <v>6499.55</v>
      </c>
      <c r="K69">
        <v>6467.38</v>
      </c>
      <c r="L69">
        <v>6467.3769217899999</v>
      </c>
      <c r="Q69" t="s">
        <v>290</v>
      </c>
      <c r="T69">
        <v>0</v>
      </c>
      <c r="W69" t="s">
        <v>36</v>
      </c>
      <c r="X69" t="s">
        <v>69</v>
      </c>
      <c r="Y69" t="s">
        <v>38</v>
      </c>
      <c r="AD69">
        <v>0</v>
      </c>
      <c r="AE69" t="b">
        <f>ISNUMBER(MATCH(G69,AUM!$C$6:$C$1451,0))</f>
        <v>1</v>
      </c>
      <c r="AF69" t="b">
        <f>ISNUMBER(MATCH(G69,AUM!$G$6:$G$240,0))</f>
        <v>0</v>
      </c>
    </row>
    <row r="70" spans="1:32" x14ac:dyDescent="0.2">
      <c r="A70" t="s">
        <v>291</v>
      </c>
      <c r="B70" s="1">
        <v>45671</v>
      </c>
      <c r="D70" t="s">
        <v>291</v>
      </c>
      <c r="E70" t="s">
        <v>31</v>
      </c>
      <c r="F70" t="s">
        <v>292</v>
      </c>
      <c r="G70" t="s">
        <v>293</v>
      </c>
      <c r="H70" t="s">
        <v>34</v>
      </c>
      <c r="J70">
        <v>3155.55</v>
      </c>
      <c r="K70">
        <v>3141.12</v>
      </c>
      <c r="L70">
        <v>3141.1229443000002</v>
      </c>
      <c r="Q70" t="s">
        <v>294</v>
      </c>
      <c r="T70">
        <v>0.10151014842986</v>
      </c>
      <c r="V70" t="s">
        <v>79</v>
      </c>
      <c r="W70" t="s">
        <v>36</v>
      </c>
      <c r="X70" t="s">
        <v>69</v>
      </c>
      <c r="Y70" t="s">
        <v>38</v>
      </c>
      <c r="AD70">
        <v>0</v>
      </c>
      <c r="AE70" t="b">
        <f>ISNUMBER(MATCH(G70,AUM!$C$6:$C$1451,0))</f>
        <v>1</v>
      </c>
      <c r="AF70" t="b">
        <f>ISNUMBER(MATCH(G70,AUM!$G$6:$G$240,0))</f>
        <v>0</v>
      </c>
    </row>
    <row r="71" spans="1:32" x14ac:dyDescent="0.2">
      <c r="A71" t="s">
        <v>295</v>
      </c>
      <c r="B71" s="1">
        <v>45671</v>
      </c>
      <c r="D71" t="s">
        <v>295</v>
      </c>
      <c r="E71" t="s">
        <v>31</v>
      </c>
      <c r="F71" t="s">
        <v>296</v>
      </c>
      <c r="G71" t="s">
        <v>297</v>
      </c>
      <c r="H71" t="s">
        <v>34</v>
      </c>
      <c r="J71">
        <v>20109.63</v>
      </c>
      <c r="K71">
        <v>20059.25</v>
      </c>
      <c r="L71">
        <v>20059.2480913</v>
      </c>
      <c r="Q71" t="s">
        <v>298</v>
      </c>
      <c r="T71">
        <v>0</v>
      </c>
      <c r="W71" t="s">
        <v>36</v>
      </c>
      <c r="X71" t="s">
        <v>69</v>
      </c>
      <c r="Y71" t="s">
        <v>38</v>
      </c>
      <c r="AD71">
        <v>0</v>
      </c>
      <c r="AE71" t="b">
        <f>ISNUMBER(MATCH(G71,AUM!$C$6:$C$1451,0))</f>
        <v>1</v>
      </c>
      <c r="AF71" t="b">
        <f>ISNUMBER(MATCH(G71,AUM!$G$6:$G$240,0))</f>
        <v>0</v>
      </c>
    </row>
    <row r="72" spans="1:32" x14ac:dyDescent="0.2">
      <c r="A72" t="s">
        <v>299</v>
      </c>
      <c r="B72" s="1">
        <v>45671</v>
      </c>
      <c r="D72" t="s">
        <v>299</v>
      </c>
      <c r="E72" t="s">
        <v>31</v>
      </c>
      <c r="F72" t="s">
        <v>300</v>
      </c>
      <c r="G72" t="s">
        <v>301</v>
      </c>
      <c r="H72" t="s">
        <v>34</v>
      </c>
      <c r="J72">
        <v>14848.31</v>
      </c>
      <c r="K72">
        <v>14810.03</v>
      </c>
      <c r="L72">
        <v>14810.030701649999</v>
      </c>
      <c r="Q72" t="s">
        <v>302</v>
      </c>
      <c r="U72">
        <v>0.55436620025333005</v>
      </c>
      <c r="V72" t="s">
        <v>79</v>
      </c>
      <c r="W72" t="s">
        <v>36</v>
      </c>
      <c r="X72" t="s">
        <v>69</v>
      </c>
      <c r="Y72" t="s">
        <v>38</v>
      </c>
      <c r="AD72">
        <v>0</v>
      </c>
      <c r="AE72" t="b">
        <f>ISNUMBER(MATCH(G72,AUM!$C$6:$C$1451,0))</f>
        <v>1</v>
      </c>
      <c r="AF72" t="b">
        <f>ISNUMBER(MATCH(G72,AUM!$G$6:$G$240,0))</f>
        <v>0</v>
      </c>
    </row>
    <row r="73" spans="1:32" x14ac:dyDescent="0.2">
      <c r="A73" t="s">
        <v>303</v>
      </c>
      <c r="B73" s="1">
        <v>45671</v>
      </c>
      <c r="D73" t="s">
        <v>303</v>
      </c>
      <c r="E73" t="s">
        <v>31</v>
      </c>
      <c r="F73" t="s">
        <v>304</v>
      </c>
      <c r="G73" t="s">
        <v>305</v>
      </c>
      <c r="H73" t="s">
        <v>34</v>
      </c>
      <c r="J73">
        <v>17382.53</v>
      </c>
      <c r="K73">
        <v>17338.98</v>
      </c>
      <c r="L73">
        <v>17338.98044218</v>
      </c>
      <c r="Q73" t="s">
        <v>298</v>
      </c>
      <c r="U73">
        <v>0</v>
      </c>
      <c r="W73" t="s">
        <v>36</v>
      </c>
      <c r="X73" t="s">
        <v>69</v>
      </c>
      <c r="Y73" t="s">
        <v>38</v>
      </c>
      <c r="AD73">
        <v>0</v>
      </c>
      <c r="AE73" t="b">
        <f>ISNUMBER(MATCH(G73,AUM!$C$6:$C$1451,0))</f>
        <v>1</v>
      </c>
      <c r="AF73" t="b">
        <f>ISNUMBER(MATCH(G73,AUM!$G$6:$G$240,0))</f>
        <v>0</v>
      </c>
    </row>
    <row r="74" spans="1:32" x14ac:dyDescent="0.2">
      <c r="A74" t="s">
        <v>306</v>
      </c>
      <c r="B74" s="1">
        <v>45671</v>
      </c>
      <c r="D74" t="s">
        <v>306</v>
      </c>
      <c r="E74" t="s">
        <v>31</v>
      </c>
      <c r="F74" t="s">
        <v>307</v>
      </c>
      <c r="G74" t="s">
        <v>308</v>
      </c>
      <c r="H74" t="s">
        <v>34</v>
      </c>
      <c r="J74">
        <v>1369.18</v>
      </c>
      <c r="K74">
        <v>1374.98</v>
      </c>
      <c r="L74">
        <v>1374.9772861900001</v>
      </c>
      <c r="Q74" t="s">
        <v>309</v>
      </c>
      <c r="U74">
        <v>0</v>
      </c>
      <c r="W74" t="s">
        <v>36</v>
      </c>
      <c r="X74" t="s">
        <v>69</v>
      </c>
      <c r="Y74" t="s">
        <v>38</v>
      </c>
      <c r="AD74">
        <v>0</v>
      </c>
      <c r="AE74" t="b">
        <f>ISNUMBER(MATCH(G74,AUM!$C$6:$C$1451,0))</f>
        <v>1</v>
      </c>
      <c r="AF74" t="b">
        <f>ISNUMBER(MATCH(G74,AUM!$G$6:$G$240,0))</f>
        <v>0</v>
      </c>
    </row>
    <row r="75" spans="1:32" x14ac:dyDescent="0.2">
      <c r="A75" t="s">
        <v>310</v>
      </c>
      <c r="B75" s="1">
        <v>45671</v>
      </c>
      <c r="D75" t="s">
        <v>310</v>
      </c>
      <c r="E75" t="s">
        <v>31</v>
      </c>
      <c r="F75" t="s">
        <v>311</v>
      </c>
      <c r="G75" t="s">
        <v>312</v>
      </c>
      <c r="H75" t="s">
        <v>34</v>
      </c>
      <c r="J75">
        <v>6676.36</v>
      </c>
      <c r="K75">
        <v>6665.5</v>
      </c>
      <c r="L75">
        <v>6665.4999164600003</v>
      </c>
      <c r="Q75" t="s">
        <v>313</v>
      </c>
      <c r="U75">
        <v>0.86239736358586006</v>
      </c>
      <c r="V75" t="s">
        <v>79</v>
      </c>
      <c r="W75" t="s">
        <v>36</v>
      </c>
      <c r="X75" t="s">
        <v>69</v>
      </c>
      <c r="Y75" t="s">
        <v>38</v>
      </c>
      <c r="AD75">
        <v>0</v>
      </c>
      <c r="AE75" t="b">
        <f>ISNUMBER(MATCH(G75,AUM!$C$6:$C$1451,0))</f>
        <v>1</v>
      </c>
      <c r="AF75" t="b">
        <f>ISNUMBER(MATCH(G75,AUM!$G$6:$G$240,0))</f>
        <v>0</v>
      </c>
    </row>
    <row r="76" spans="1:32" x14ac:dyDescent="0.2">
      <c r="A76" t="s">
        <v>314</v>
      </c>
      <c r="B76" s="1">
        <v>45671</v>
      </c>
      <c r="D76" t="s">
        <v>314</v>
      </c>
      <c r="E76" t="s">
        <v>31</v>
      </c>
      <c r="F76" t="s">
        <v>315</v>
      </c>
      <c r="G76" t="s">
        <v>316</v>
      </c>
      <c r="H76" t="s">
        <v>34</v>
      </c>
      <c r="J76">
        <v>3674.01</v>
      </c>
      <c r="K76">
        <v>3686.21</v>
      </c>
      <c r="L76">
        <v>3686.2128592099998</v>
      </c>
      <c r="Q76" t="s">
        <v>317</v>
      </c>
      <c r="U76">
        <v>0</v>
      </c>
      <c r="W76" t="s">
        <v>36</v>
      </c>
      <c r="X76" t="s">
        <v>69</v>
      </c>
      <c r="Y76" t="s">
        <v>38</v>
      </c>
      <c r="AD76">
        <v>0</v>
      </c>
      <c r="AE76" t="b">
        <f>ISNUMBER(MATCH(G76,AUM!$C$6:$C$1451,0))</f>
        <v>1</v>
      </c>
      <c r="AF76" t="b">
        <f>ISNUMBER(MATCH(G76,AUM!$G$6:$G$240,0))</f>
        <v>0</v>
      </c>
    </row>
    <row r="77" spans="1:32" x14ac:dyDescent="0.2">
      <c r="A77" t="s">
        <v>318</v>
      </c>
      <c r="B77" s="1">
        <v>45671</v>
      </c>
      <c r="D77" t="s">
        <v>318</v>
      </c>
      <c r="E77" t="s">
        <v>31</v>
      </c>
      <c r="F77" t="s">
        <v>319</v>
      </c>
      <c r="G77" t="s">
        <v>320</v>
      </c>
      <c r="H77" t="s">
        <v>34</v>
      </c>
      <c r="J77">
        <v>1553.49</v>
      </c>
      <c r="K77">
        <v>1567.82</v>
      </c>
      <c r="L77">
        <v>1567.82094005</v>
      </c>
      <c r="Q77" t="s">
        <v>321</v>
      </c>
      <c r="U77">
        <v>0</v>
      </c>
      <c r="W77" t="s">
        <v>36</v>
      </c>
      <c r="X77" t="s">
        <v>69</v>
      </c>
      <c r="Y77" t="s">
        <v>38</v>
      </c>
      <c r="AD77">
        <v>0</v>
      </c>
      <c r="AE77" t="b">
        <f>ISNUMBER(MATCH(G77,AUM!$C$6:$C$1451,0))</f>
        <v>1</v>
      </c>
      <c r="AF77" t="b">
        <f>ISNUMBER(MATCH(G77,AUM!$G$6:$G$240,0))</f>
        <v>0</v>
      </c>
    </row>
    <row r="78" spans="1:32" x14ac:dyDescent="0.2">
      <c r="A78" t="s">
        <v>322</v>
      </c>
      <c r="B78" s="1">
        <v>45671</v>
      </c>
      <c r="D78" t="s">
        <v>322</v>
      </c>
      <c r="E78" t="s">
        <v>31</v>
      </c>
      <c r="F78" t="s">
        <v>323</v>
      </c>
      <c r="G78" t="s">
        <v>324</v>
      </c>
      <c r="H78" t="s">
        <v>34</v>
      </c>
      <c r="J78">
        <v>1836.74</v>
      </c>
      <c r="K78">
        <v>1823.59</v>
      </c>
      <c r="L78">
        <v>1823.58604971</v>
      </c>
      <c r="Q78" t="s">
        <v>325</v>
      </c>
      <c r="U78">
        <v>0</v>
      </c>
      <c r="W78" t="s">
        <v>36</v>
      </c>
      <c r="X78" t="s">
        <v>69</v>
      </c>
      <c r="Y78" t="s">
        <v>38</v>
      </c>
      <c r="AD78">
        <v>0</v>
      </c>
      <c r="AE78" t="b">
        <f>ISNUMBER(MATCH(G78,AUM!$C$6:$C$1451,0))</f>
        <v>1</v>
      </c>
      <c r="AF78" t="b">
        <f>ISNUMBER(MATCH(G78,AUM!$G$6:$G$240,0))</f>
        <v>0</v>
      </c>
    </row>
    <row r="79" spans="1:32" x14ac:dyDescent="0.2">
      <c r="A79" t="s">
        <v>326</v>
      </c>
      <c r="B79" s="1">
        <v>45671</v>
      </c>
      <c r="D79" t="s">
        <v>326</v>
      </c>
      <c r="E79" t="s">
        <v>31</v>
      </c>
      <c r="F79" t="s">
        <v>327</v>
      </c>
      <c r="G79" t="s">
        <v>328</v>
      </c>
      <c r="H79" t="s">
        <v>34</v>
      </c>
      <c r="J79">
        <v>2132.6999999999998</v>
      </c>
      <c r="K79">
        <v>2156.15</v>
      </c>
      <c r="L79">
        <v>2156.1530955100002</v>
      </c>
      <c r="Q79" t="s">
        <v>329</v>
      </c>
      <c r="U79">
        <v>0</v>
      </c>
      <c r="W79" t="s">
        <v>36</v>
      </c>
      <c r="X79" t="s">
        <v>69</v>
      </c>
      <c r="Y79" t="s">
        <v>38</v>
      </c>
      <c r="AD79">
        <v>0</v>
      </c>
      <c r="AE79" t="b">
        <f>ISNUMBER(MATCH(G79,AUM!$C$6:$C$1451,0))</f>
        <v>1</v>
      </c>
      <c r="AF79" t="b">
        <f>ISNUMBER(MATCH(G79,AUM!$G$6:$G$240,0))</f>
        <v>0</v>
      </c>
    </row>
    <row r="80" spans="1:32" x14ac:dyDescent="0.2">
      <c r="A80" t="s">
        <v>330</v>
      </c>
      <c r="B80" s="1">
        <v>45671</v>
      </c>
      <c r="D80" t="s">
        <v>330</v>
      </c>
      <c r="E80" t="s">
        <v>31</v>
      </c>
      <c r="F80" t="s">
        <v>331</v>
      </c>
      <c r="G80" t="s">
        <v>332</v>
      </c>
      <c r="H80" t="s">
        <v>34</v>
      </c>
      <c r="J80">
        <v>25534.33</v>
      </c>
      <c r="K80">
        <v>25457.56</v>
      </c>
      <c r="L80">
        <v>25457.555661750001</v>
      </c>
      <c r="Q80" t="s">
        <v>333</v>
      </c>
      <c r="T80">
        <v>0</v>
      </c>
      <c r="W80" t="s">
        <v>36</v>
      </c>
      <c r="X80" t="s">
        <v>69</v>
      </c>
      <c r="Y80" t="s">
        <v>38</v>
      </c>
      <c r="AD80">
        <v>0</v>
      </c>
      <c r="AE80" t="b">
        <f>ISNUMBER(MATCH(G80,AUM!$C$6:$C$1451,0))</f>
        <v>1</v>
      </c>
      <c r="AF80" t="b">
        <f>ISNUMBER(MATCH(G80,AUM!$G$6:$G$240,0))</f>
        <v>0</v>
      </c>
    </row>
    <row r="81" spans="1:32" x14ac:dyDescent="0.2">
      <c r="A81" t="s">
        <v>334</v>
      </c>
      <c r="B81" s="1">
        <v>45671</v>
      </c>
      <c r="D81" t="s">
        <v>334</v>
      </c>
      <c r="E81" t="s">
        <v>31</v>
      </c>
      <c r="F81" t="s">
        <v>335</v>
      </c>
      <c r="G81" t="s">
        <v>336</v>
      </c>
      <c r="H81" t="s">
        <v>34</v>
      </c>
      <c r="J81">
        <v>21553.08</v>
      </c>
      <c r="K81">
        <v>21488.27</v>
      </c>
      <c r="L81">
        <v>21488.27298718</v>
      </c>
      <c r="Q81" t="s">
        <v>333</v>
      </c>
      <c r="U81">
        <v>0</v>
      </c>
      <c r="W81" t="s">
        <v>36</v>
      </c>
      <c r="X81" t="s">
        <v>69</v>
      </c>
      <c r="Y81" t="s">
        <v>38</v>
      </c>
      <c r="AD81">
        <v>0</v>
      </c>
      <c r="AE81" t="b">
        <f>ISNUMBER(MATCH(G81,AUM!$C$6:$C$1451,0))</f>
        <v>1</v>
      </c>
      <c r="AF81" t="b">
        <f>ISNUMBER(MATCH(G81,AUM!$G$6:$G$240,0))</f>
        <v>0</v>
      </c>
    </row>
    <row r="82" spans="1:32" x14ac:dyDescent="0.2">
      <c r="A82" t="s">
        <v>337</v>
      </c>
      <c r="B82" s="1">
        <v>45671</v>
      </c>
      <c r="D82" t="s">
        <v>337</v>
      </c>
      <c r="E82" t="s">
        <v>31</v>
      </c>
      <c r="F82" t="s">
        <v>338</v>
      </c>
      <c r="G82" t="s">
        <v>339</v>
      </c>
      <c r="H82" t="s">
        <v>34</v>
      </c>
      <c r="J82">
        <v>18590.07</v>
      </c>
      <c r="K82">
        <v>18352.43</v>
      </c>
      <c r="L82">
        <v>18352.434758889998</v>
      </c>
      <c r="Q82" t="s">
        <v>340</v>
      </c>
      <c r="T82">
        <v>0</v>
      </c>
      <c r="W82" t="s">
        <v>36</v>
      </c>
      <c r="X82" t="s">
        <v>69</v>
      </c>
      <c r="Y82" t="s">
        <v>38</v>
      </c>
      <c r="AD82">
        <v>0</v>
      </c>
      <c r="AE82" t="b">
        <f>ISNUMBER(MATCH(G82,AUM!$C$6:$C$1451,0))</f>
        <v>1</v>
      </c>
      <c r="AF82" t="b">
        <f>ISNUMBER(MATCH(G82,AUM!$G$6:$G$240,0))</f>
        <v>0</v>
      </c>
    </row>
    <row r="83" spans="1:32" x14ac:dyDescent="0.2">
      <c r="A83" t="s">
        <v>341</v>
      </c>
      <c r="B83" s="1">
        <v>45671</v>
      </c>
      <c r="D83" t="s">
        <v>341</v>
      </c>
      <c r="E83" t="s">
        <v>31</v>
      </c>
      <c r="F83" t="s">
        <v>342</v>
      </c>
      <c r="G83" t="s">
        <v>343</v>
      </c>
      <c r="H83" t="s">
        <v>34</v>
      </c>
      <c r="J83">
        <v>16226.15</v>
      </c>
      <c r="K83">
        <v>16018.73</v>
      </c>
      <c r="L83">
        <v>16018.730786759999</v>
      </c>
      <c r="Q83" t="s">
        <v>340</v>
      </c>
      <c r="U83">
        <v>0</v>
      </c>
      <c r="W83" t="s">
        <v>36</v>
      </c>
      <c r="X83" t="s">
        <v>69</v>
      </c>
      <c r="Y83" t="s">
        <v>38</v>
      </c>
      <c r="AD83">
        <v>0</v>
      </c>
      <c r="AE83" t="b">
        <f>ISNUMBER(MATCH(G83,AUM!$C$6:$C$1451,0))</f>
        <v>1</v>
      </c>
      <c r="AF83" t="b">
        <f>ISNUMBER(MATCH(G83,AUM!$G$6:$G$240,0))</f>
        <v>0</v>
      </c>
    </row>
    <row r="84" spans="1:32" x14ac:dyDescent="0.2">
      <c r="A84" t="s">
        <v>344</v>
      </c>
      <c r="B84" s="1">
        <v>45671</v>
      </c>
      <c r="D84" t="s">
        <v>344</v>
      </c>
      <c r="E84" t="s">
        <v>31</v>
      </c>
      <c r="F84" t="s">
        <v>345</v>
      </c>
      <c r="G84" t="s">
        <v>346</v>
      </c>
      <c r="H84" t="s">
        <v>34</v>
      </c>
      <c r="J84">
        <v>14713.46</v>
      </c>
      <c r="K84">
        <v>14669.49</v>
      </c>
      <c r="L84">
        <v>14669.490625480001</v>
      </c>
      <c r="Q84" t="s">
        <v>347</v>
      </c>
      <c r="T84">
        <v>0.66929727119280003</v>
      </c>
      <c r="V84" t="s">
        <v>79</v>
      </c>
      <c r="W84" t="s">
        <v>36</v>
      </c>
      <c r="X84" t="s">
        <v>69</v>
      </c>
      <c r="Y84" t="s">
        <v>38</v>
      </c>
      <c r="AD84">
        <v>0</v>
      </c>
      <c r="AE84" t="b">
        <f>ISNUMBER(MATCH(G84,AUM!$C$6:$C$1451,0))</f>
        <v>1</v>
      </c>
      <c r="AF84" t="b">
        <f>ISNUMBER(MATCH(G84,AUM!$G$6:$G$240,0))</f>
        <v>0</v>
      </c>
    </row>
    <row r="85" spans="1:32" x14ac:dyDescent="0.2">
      <c r="A85" t="s">
        <v>348</v>
      </c>
      <c r="B85" s="1">
        <v>45671</v>
      </c>
      <c r="D85" t="s">
        <v>348</v>
      </c>
      <c r="E85" t="s">
        <v>31</v>
      </c>
      <c r="F85" t="s">
        <v>349</v>
      </c>
      <c r="G85" t="s">
        <v>350</v>
      </c>
      <c r="H85" t="s">
        <v>34</v>
      </c>
      <c r="J85">
        <v>12947.53</v>
      </c>
      <c r="K85">
        <v>12908.84</v>
      </c>
      <c r="L85">
        <v>12908.835629069999</v>
      </c>
      <c r="Q85" t="s">
        <v>347</v>
      </c>
      <c r="U85">
        <v>0.50197295339460002</v>
      </c>
      <c r="V85" t="s">
        <v>79</v>
      </c>
      <c r="W85" t="s">
        <v>36</v>
      </c>
      <c r="X85" t="s">
        <v>69</v>
      </c>
      <c r="Y85" t="s">
        <v>38</v>
      </c>
      <c r="AD85">
        <v>0</v>
      </c>
      <c r="AE85" t="b">
        <f>ISNUMBER(MATCH(G85,AUM!$C$6:$C$1451,0))</f>
        <v>1</v>
      </c>
      <c r="AF85" t="b">
        <f>ISNUMBER(MATCH(G85,AUM!$G$6:$G$240,0))</f>
        <v>0</v>
      </c>
    </row>
    <row r="86" spans="1:32" x14ac:dyDescent="0.2">
      <c r="A86" t="s">
        <v>347</v>
      </c>
      <c r="B86" s="1">
        <v>45671</v>
      </c>
      <c r="D86" t="s">
        <v>347</v>
      </c>
      <c r="E86" t="s">
        <v>31</v>
      </c>
      <c r="F86" t="s">
        <v>351</v>
      </c>
      <c r="G86" t="s">
        <v>352</v>
      </c>
      <c r="H86" t="s">
        <v>34</v>
      </c>
      <c r="I86">
        <v>221284233.44092399</v>
      </c>
      <c r="J86">
        <v>7995.88</v>
      </c>
      <c r="K86">
        <v>7971.98</v>
      </c>
      <c r="L86">
        <v>7971.9782577899996</v>
      </c>
      <c r="M86">
        <v>1764073097783.77</v>
      </c>
      <c r="N86">
        <v>60</v>
      </c>
      <c r="O86" t="s">
        <v>35</v>
      </c>
      <c r="P86">
        <v>1</v>
      </c>
      <c r="R86" t="s">
        <v>344</v>
      </c>
      <c r="S86" t="s">
        <v>348</v>
      </c>
      <c r="W86" t="s">
        <v>36</v>
      </c>
      <c r="X86" t="s">
        <v>37</v>
      </c>
      <c r="Y86" t="s">
        <v>38</v>
      </c>
      <c r="AD86">
        <v>0</v>
      </c>
      <c r="AE86" t="b">
        <f>ISNUMBER(MATCH(G86,AUM!$C$6:$C$1451,0))</f>
        <v>1</v>
      </c>
      <c r="AF86" t="b">
        <f>ISNUMBER(MATCH(G86,AUM!$G$6:$G$240,0))</f>
        <v>0</v>
      </c>
    </row>
    <row r="87" spans="1:32" x14ac:dyDescent="0.2">
      <c r="A87" t="s">
        <v>353</v>
      </c>
      <c r="B87" s="1">
        <v>45671</v>
      </c>
      <c r="D87" t="s">
        <v>353</v>
      </c>
      <c r="E87" t="s">
        <v>140</v>
      </c>
      <c r="F87" t="s">
        <v>354</v>
      </c>
      <c r="G87" t="s">
        <v>355</v>
      </c>
      <c r="H87" t="s">
        <v>143</v>
      </c>
      <c r="J87">
        <v>15152.09</v>
      </c>
      <c r="K87">
        <v>14982.27</v>
      </c>
      <c r="L87">
        <v>14982.26848653</v>
      </c>
      <c r="Q87" t="s">
        <v>356</v>
      </c>
      <c r="T87">
        <v>0</v>
      </c>
      <c r="W87" t="s">
        <v>36</v>
      </c>
      <c r="X87" t="s">
        <v>69</v>
      </c>
      <c r="Y87" t="s">
        <v>38</v>
      </c>
      <c r="AD87">
        <v>0</v>
      </c>
      <c r="AE87" t="b">
        <f>ISNUMBER(MATCH(G87,AUM!$C$6:$C$1451,0))</f>
        <v>1</v>
      </c>
      <c r="AF87" t="b">
        <f>ISNUMBER(MATCH(G87,AUM!$G$6:$G$240,0))</f>
        <v>0</v>
      </c>
    </row>
    <row r="88" spans="1:32" x14ac:dyDescent="0.2">
      <c r="A88" t="s">
        <v>357</v>
      </c>
      <c r="B88" s="1">
        <v>45671</v>
      </c>
      <c r="D88" t="s">
        <v>357</v>
      </c>
      <c r="E88" t="s">
        <v>140</v>
      </c>
      <c r="F88" t="s">
        <v>358</v>
      </c>
      <c r="G88" t="s">
        <v>359</v>
      </c>
      <c r="H88" t="s">
        <v>143</v>
      </c>
      <c r="J88">
        <v>10881.27</v>
      </c>
      <c r="K88">
        <v>10843.33</v>
      </c>
      <c r="L88">
        <v>10843.334770109999</v>
      </c>
      <c r="Q88" t="s">
        <v>360</v>
      </c>
      <c r="T88">
        <v>0</v>
      </c>
      <c r="W88" t="s">
        <v>36</v>
      </c>
      <c r="X88" t="s">
        <v>69</v>
      </c>
      <c r="Y88" t="s">
        <v>38</v>
      </c>
      <c r="AD88">
        <v>0</v>
      </c>
      <c r="AE88" t="b">
        <f>ISNUMBER(MATCH(G88,AUM!$C$6:$C$1451,0))</f>
        <v>1</v>
      </c>
      <c r="AF88" t="b">
        <f>ISNUMBER(MATCH(G88,AUM!$G$6:$G$240,0))</f>
        <v>0</v>
      </c>
    </row>
    <row r="89" spans="1:32" x14ac:dyDescent="0.2">
      <c r="A89" t="s">
        <v>361</v>
      </c>
      <c r="B89" s="1">
        <v>45671</v>
      </c>
      <c r="D89" t="s">
        <v>361</v>
      </c>
      <c r="E89" t="s">
        <v>40</v>
      </c>
      <c r="F89" t="s">
        <v>362</v>
      </c>
      <c r="G89" t="s">
        <v>363</v>
      </c>
      <c r="H89" t="s">
        <v>43</v>
      </c>
      <c r="J89">
        <v>5743.73</v>
      </c>
      <c r="K89">
        <v>5712.86</v>
      </c>
      <c r="L89">
        <v>5712.8594159699996</v>
      </c>
      <c r="Q89" t="s">
        <v>364</v>
      </c>
      <c r="T89">
        <v>0</v>
      </c>
      <c r="W89" t="s">
        <v>36</v>
      </c>
      <c r="X89" t="s">
        <v>69</v>
      </c>
      <c r="Y89" t="s">
        <v>38</v>
      </c>
      <c r="AD89">
        <v>0</v>
      </c>
      <c r="AE89" t="b">
        <f>ISNUMBER(MATCH(G89,AUM!$C$6:$C$1451,0))</f>
        <v>1</v>
      </c>
      <c r="AF89" t="b">
        <f>ISNUMBER(MATCH(G89,AUM!$G$6:$G$240,0))</f>
        <v>0</v>
      </c>
    </row>
    <row r="90" spans="1:32" x14ac:dyDescent="0.2">
      <c r="A90" t="s">
        <v>365</v>
      </c>
      <c r="B90" s="1">
        <v>45671</v>
      </c>
      <c r="D90" t="s">
        <v>365</v>
      </c>
      <c r="E90" t="s">
        <v>31</v>
      </c>
      <c r="F90" t="s">
        <v>366</v>
      </c>
      <c r="G90" t="s">
        <v>367</v>
      </c>
      <c r="H90" t="s">
        <v>34</v>
      </c>
      <c r="J90">
        <v>4122.9799999999996</v>
      </c>
      <c r="K90">
        <v>4108.91</v>
      </c>
      <c r="L90">
        <v>4108.9060243399999</v>
      </c>
      <c r="Q90" t="s">
        <v>368</v>
      </c>
      <c r="T90">
        <v>0.52304218348174003</v>
      </c>
      <c r="V90" t="s">
        <v>79</v>
      </c>
      <c r="W90" t="s">
        <v>36</v>
      </c>
      <c r="X90" t="s">
        <v>69</v>
      </c>
      <c r="Y90" t="s">
        <v>38</v>
      </c>
      <c r="AD90">
        <v>0</v>
      </c>
      <c r="AE90" t="b">
        <f>ISNUMBER(MATCH(G90,AUM!$C$6:$C$1451,0))</f>
        <v>1</v>
      </c>
      <c r="AF90" t="b">
        <f>ISNUMBER(MATCH(G90,AUM!$G$6:$G$240,0))</f>
        <v>0</v>
      </c>
    </row>
    <row r="91" spans="1:32" x14ac:dyDescent="0.2">
      <c r="A91" t="s">
        <v>369</v>
      </c>
      <c r="B91" s="1">
        <v>45671</v>
      </c>
      <c r="D91" t="s">
        <v>369</v>
      </c>
      <c r="E91" t="s">
        <v>40</v>
      </c>
      <c r="F91" t="s">
        <v>370</v>
      </c>
      <c r="G91" t="s">
        <v>371</v>
      </c>
      <c r="H91" t="s">
        <v>43</v>
      </c>
      <c r="J91">
        <v>5295.12</v>
      </c>
      <c r="K91">
        <v>5266.66</v>
      </c>
      <c r="L91">
        <v>5266.6640915400003</v>
      </c>
      <c r="Q91" t="s">
        <v>364</v>
      </c>
      <c r="U91">
        <v>0</v>
      </c>
      <c r="W91" t="s">
        <v>36</v>
      </c>
      <c r="X91" t="s">
        <v>69</v>
      </c>
      <c r="Y91" t="s">
        <v>38</v>
      </c>
      <c r="AD91">
        <v>0</v>
      </c>
      <c r="AE91" t="b">
        <f>ISNUMBER(MATCH(G91,AUM!$C$6:$C$1451,0))</f>
        <v>1</v>
      </c>
      <c r="AF91" t="b">
        <f>ISNUMBER(MATCH(G91,AUM!$G$6:$G$240,0))</f>
        <v>0</v>
      </c>
    </row>
    <row r="92" spans="1:32" x14ac:dyDescent="0.2">
      <c r="A92" t="s">
        <v>372</v>
      </c>
      <c r="B92" s="1">
        <v>45671</v>
      </c>
      <c r="D92" t="s">
        <v>372</v>
      </c>
      <c r="E92" t="s">
        <v>31</v>
      </c>
      <c r="F92" t="s">
        <v>373</v>
      </c>
      <c r="G92" t="s">
        <v>374</v>
      </c>
      <c r="H92" t="s">
        <v>34</v>
      </c>
      <c r="J92">
        <v>3636.5</v>
      </c>
      <c r="K92">
        <v>3624.08</v>
      </c>
      <c r="L92">
        <v>3624.0827264300001</v>
      </c>
      <c r="Q92" t="s">
        <v>368</v>
      </c>
      <c r="U92">
        <v>0.39228163761130003</v>
      </c>
      <c r="V92" t="s">
        <v>79</v>
      </c>
      <c r="W92" t="s">
        <v>36</v>
      </c>
      <c r="X92" t="s">
        <v>69</v>
      </c>
      <c r="Y92" t="s">
        <v>38</v>
      </c>
      <c r="AD92">
        <v>0</v>
      </c>
      <c r="AE92" t="b">
        <f>ISNUMBER(MATCH(G92,AUM!$C$6:$C$1451,0))</f>
        <v>1</v>
      </c>
      <c r="AF92" t="b">
        <f>ISNUMBER(MATCH(G92,AUM!$G$6:$G$240,0))</f>
        <v>0</v>
      </c>
    </row>
    <row r="93" spans="1:32" x14ac:dyDescent="0.2">
      <c r="A93" t="s">
        <v>375</v>
      </c>
      <c r="B93" s="1">
        <v>45671</v>
      </c>
      <c r="D93" t="s">
        <v>375</v>
      </c>
      <c r="E93" t="s">
        <v>126</v>
      </c>
      <c r="F93" t="s">
        <v>376</v>
      </c>
      <c r="G93" t="s">
        <v>377</v>
      </c>
      <c r="H93" t="s">
        <v>129</v>
      </c>
      <c r="J93">
        <v>14785.89</v>
      </c>
      <c r="K93">
        <v>14857.87</v>
      </c>
      <c r="L93">
        <v>14857.87162521</v>
      </c>
      <c r="Q93" t="s">
        <v>378</v>
      </c>
      <c r="U93">
        <v>0</v>
      </c>
      <c r="W93" t="s">
        <v>36</v>
      </c>
      <c r="X93" t="s">
        <v>69</v>
      </c>
      <c r="Y93" t="s">
        <v>38</v>
      </c>
      <c r="AD93">
        <v>0</v>
      </c>
      <c r="AE93" t="b">
        <f>ISNUMBER(MATCH(G93,AUM!$C$6:$C$1451,0))</f>
        <v>1</v>
      </c>
      <c r="AF93" t="b">
        <f>ISNUMBER(MATCH(G93,AUM!$G$6:$G$240,0))</f>
        <v>0</v>
      </c>
    </row>
    <row r="94" spans="1:32" x14ac:dyDescent="0.2">
      <c r="A94" t="s">
        <v>379</v>
      </c>
      <c r="B94" s="1">
        <v>45671</v>
      </c>
      <c r="D94" t="s">
        <v>379</v>
      </c>
      <c r="E94" t="s">
        <v>40</v>
      </c>
      <c r="F94" t="s">
        <v>380</v>
      </c>
      <c r="G94" t="s">
        <v>381</v>
      </c>
      <c r="H94" t="s">
        <v>43</v>
      </c>
      <c r="J94">
        <v>2208</v>
      </c>
      <c r="K94">
        <v>2184.0700000000002</v>
      </c>
      <c r="L94">
        <v>2184.0712852000001</v>
      </c>
      <c r="Q94" t="s">
        <v>382</v>
      </c>
      <c r="U94">
        <v>0</v>
      </c>
      <c r="W94" t="s">
        <v>36</v>
      </c>
      <c r="X94" t="s">
        <v>69</v>
      </c>
      <c r="Y94" t="s">
        <v>38</v>
      </c>
      <c r="AD94">
        <v>0</v>
      </c>
      <c r="AE94" t="b">
        <f>ISNUMBER(MATCH(G94,AUM!$C$6:$C$1451,0))</f>
        <v>1</v>
      </c>
      <c r="AF94" t="b">
        <f>ISNUMBER(MATCH(G94,AUM!$G$6:$G$240,0))</f>
        <v>0</v>
      </c>
    </row>
    <row r="95" spans="1:32" x14ac:dyDescent="0.2">
      <c r="A95" t="s">
        <v>383</v>
      </c>
      <c r="B95" s="1">
        <v>45671</v>
      </c>
      <c r="D95" t="s">
        <v>383</v>
      </c>
      <c r="E95" t="s">
        <v>40</v>
      </c>
      <c r="F95" t="s">
        <v>384</v>
      </c>
      <c r="G95" t="s">
        <v>385</v>
      </c>
      <c r="H95" t="s">
        <v>43</v>
      </c>
      <c r="J95">
        <v>2494.27</v>
      </c>
      <c r="K95">
        <v>2465.34</v>
      </c>
      <c r="L95">
        <v>2465.3358170699998</v>
      </c>
      <c r="Q95" t="s">
        <v>386</v>
      </c>
      <c r="U95">
        <v>0</v>
      </c>
      <c r="W95" t="s">
        <v>36</v>
      </c>
      <c r="X95" t="s">
        <v>69</v>
      </c>
      <c r="Y95" t="s">
        <v>38</v>
      </c>
      <c r="AD95">
        <v>0</v>
      </c>
      <c r="AE95" t="b">
        <f>ISNUMBER(MATCH(G95,AUM!$C$6:$C$1451,0))</f>
        <v>1</v>
      </c>
      <c r="AF95" t="b">
        <f>ISNUMBER(MATCH(G95,AUM!$G$6:$G$240,0))</f>
        <v>0</v>
      </c>
    </row>
    <row r="96" spans="1:32" x14ac:dyDescent="0.2">
      <c r="A96" t="s">
        <v>387</v>
      </c>
      <c r="B96" s="1">
        <v>45671</v>
      </c>
      <c r="D96" t="s">
        <v>387</v>
      </c>
      <c r="E96" t="s">
        <v>40</v>
      </c>
      <c r="F96" t="s">
        <v>388</v>
      </c>
      <c r="G96" t="s">
        <v>389</v>
      </c>
      <c r="H96" t="s">
        <v>43</v>
      </c>
      <c r="J96">
        <v>3006.41</v>
      </c>
      <c r="K96">
        <v>2989.45</v>
      </c>
      <c r="L96">
        <v>2989.45063381</v>
      </c>
      <c r="Q96" t="s">
        <v>390</v>
      </c>
      <c r="U96">
        <v>0</v>
      </c>
      <c r="W96" t="s">
        <v>36</v>
      </c>
      <c r="X96" t="s">
        <v>69</v>
      </c>
      <c r="Y96" t="s">
        <v>38</v>
      </c>
      <c r="AD96">
        <v>0</v>
      </c>
      <c r="AE96" t="b">
        <f>ISNUMBER(MATCH(G96,AUM!$C$6:$C$1451,0))</f>
        <v>1</v>
      </c>
      <c r="AF96" t="b">
        <f>ISNUMBER(MATCH(G96,AUM!$G$6:$G$240,0))</f>
        <v>0</v>
      </c>
    </row>
    <row r="97" spans="1:32" x14ac:dyDescent="0.2">
      <c r="A97" t="s">
        <v>391</v>
      </c>
      <c r="B97" s="1">
        <v>45671</v>
      </c>
      <c r="D97" t="s">
        <v>391</v>
      </c>
      <c r="E97" t="s">
        <v>40</v>
      </c>
      <c r="F97" t="s">
        <v>392</v>
      </c>
      <c r="G97" t="s">
        <v>393</v>
      </c>
      <c r="H97" t="s">
        <v>43</v>
      </c>
      <c r="J97">
        <v>2428.16</v>
      </c>
      <c r="K97">
        <v>2401.85</v>
      </c>
      <c r="L97">
        <v>2401.8463252199999</v>
      </c>
      <c r="Q97" t="s">
        <v>382</v>
      </c>
      <c r="T97">
        <v>0</v>
      </c>
      <c r="W97" t="s">
        <v>36</v>
      </c>
      <c r="X97" t="s">
        <v>69</v>
      </c>
      <c r="Y97" t="s">
        <v>38</v>
      </c>
      <c r="AD97">
        <v>0</v>
      </c>
      <c r="AE97" t="b">
        <f>ISNUMBER(MATCH(G97,AUM!$C$6:$C$1451,0))</f>
        <v>1</v>
      </c>
      <c r="AF97" t="b">
        <f>ISNUMBER(MATCH(G97,AUM!$G$6:$G$240,0))</f>
        <v>0</v>
      </c>
    </row>
    <row r="98" spans="1:32" x14ac:dyDescent="0.2">
      <c r="A98" t="s">
        <v>394</v>
      </c>
      <c r="B98" s="1">
        <v>45671</v>
      </c>
      <c r="D98" t="s">
        <v>394</v>
      </c>
      <c r="E98" t="s">
        <v>40</v>
      </c>
      <c r="F98" t="s">
        <v>395</v>
      </c>
      <c r="G98" t="s">
        <v>396</v>
      </c>
      <c r="H98" t="s">
        <v>43</v>
      </c>
      <c r="J98">
        <v>2901.43</v>
      </c>
      <c r="K98">
        <v>2867.77</v>
      </c>
      <c r="L98">
        <v>2867.7715450199998</v>
      </c>
      <c r="Q98" t="s">
        <v>386</v>
      </c>
      <c r="T98">
        <v>0</v>
      </c>
      <c r="W98" t="s">
        <v>36</v>
      </c>
      <c r="X98" t="s">
        <v>69</v>
      </c>
      <c r="Y98" t="s">
        <v>38</v>
      </c>
      <c r="AD98">
        <v>0</v>
      </c>
      <c r="AE98" t="b">
        <f>ISNUMBER(MATCH(G98,AUM!$C$6:$C$1451,0))</f>
        <v>1</v>
      </c>
      <c r="AF98" t="b">
        <f>ISNUMBER(MATCH(G98,AUM!$G$6:$G$240,0))</f>
        <v>0</v>
      </c>
    </row>
    <row r="99" spans="1:32" x14ac:dyDescent="0.2">
      <c r="A99" t="s">
        <v>397</v>
      </c>
      <c r="B99" s="1">
        <v>45671</v>
      </c>
      <c r="D99" t="s">
        <v>375</v>
      </c>
      <c r="E99" t="s">
        <v>126</v>
      </c>
      <c r="F99" t="s">
        <v>398</v>
      </c>
      <c r="G99" t="s">
        <v>399</v>
      </c>
      <c r="H99" t="s">
        <v>129</v>
      </c>
      <c r="J99">
        <v>14785.89</v>
      </c>
      <c r="K99">
        <v>14857.87</v>
      </c>
      <c r="L99">
        <v>14857.87162521</v>
      </c>
      <c r="Q99" t="s">
        <v>378</v>
      </c>
      <c r="U99">
        <v>0</v>
      </c>
      <c r="W99" t="s">
        <v>36</v>
      </c>
      <c r="X99" t="s">
        <v>69</v>
      </c>
      <c r="Y99" t="s">
        <v>38</v>
      </c>
      <c r="AD99">
        <v>0</v>
      </c>
      <c r="AE99" t="b">
        <f>ISNUMBER(MATCH(G99,AUM!$C$6:$C$1451,0))</f>
        <v>0</v>
      </c>
      <c r="AF99" t="b">
        <f>ISNUMBER(MATCH(G99,AUM!$G$6:$G$240,0))</f>
        <v>0</v>
      </c>
    </row>
    <row r="100" spans="1:32" x14ac:dyDescent="0.2">
      <c r="A100" t="s">
        <v>400</v>
      </c>
      <c r="B100" s="1">
        <v>45671</v>
      </c>
      <c r="D100" t="s">
        <v>383</v>
      </c>
      <c r="E100" t="s">
        <v>40</v>
      </c>
      <c r="F100" t="s">
        <v>401</v>
      </c>
      <c r="G100" t="s">
        <v>402</v>
      </c>
      <c r="H100" t="s">
        <v>43</v>
      </c>
      <c r="J100">
        <v>2495.25</v>
      </c>
      <c r="K100">
        <v>2466.31</v>
      </c>
      <c r="L100">
        <v>2466.3083096</v>
      </c>
      <c r="Q100" t="s">
        <v>386</v>
      </c>
      <c r="U100">
        <v>0</v>
      </c>
      <c r="W100" t="s">
        <v>36</v>
      </c>
      <c r="X100" t="s">
        <v>69</v>
      </c>
      <c r="Y100" t="s">
        <v>38</v>
      </c>
      <c r="AD100">
        <v>0</v>
      </c>
      <c r="AE100" t="b">
        <f>ISNUMBER(MATCH(G100,AUM!$C$6:$C$1451,0))</f>
        <v>0</v>
      </c>
      <c r="AF100" t="b">
        <f>ISNUMBER(MATCH(G100,AUM!$G$6:$G$240,0))</f>
        <v>0</v>
      </c>
    </row>
    <row r="101" spans="1:32" x14ac:dyDescent="0.2">
      <c r="A101" t="s">
        <v>403</v>
      </c>
      <c r="B101" s="1">
        <v>45671</v>
      </c>
      <c r="D101" t="s">
        <v>394</v>
      </c>
      <c r="E101" t="s">
        <v>40</v>
      </c>
      <c r="F101" t="s">
        <v>404</v>
      </c>
      <c r="G101" t="s">
        <v>405</v>
      </c>
      <c r="H101" t="s">
        <v>43</v>
      </c>
      <c r="J101">
        <v>2902.78</v>
      </c>
      <c r="K101">
        <v>2869.1</v>
      </c>
      <c r="L101">
        <v>2869.1024156200001</v>
      </c>
      <c r="Q101" t="s">
        <v>386</v>
      </c>
      <c r="T101">
        <v>0</v>
      </c>
      <c r="W101" t="s">
        <v>36</v>
      </c>
      <c r="X101" t="s">
        <v>69</v>
      </c>
      <c r="Y101" t="s">
        <v>38</v>
      </c>
      <c r="AD101">
        <v>0</v>
      </c>
      <c r="AE101" t="b">
        <f>ISNUMBER(MATCH(G101,AUM!$C$6:$C$1451,0))</f>
        <v>0</v>
      </c>
      <c r="AF101" t="b">
        <f>ISNUMBER(MATCH(G101,AUM!$G$6:$G$240,0))</f>
        <v>0</v>
      </c>
    </row>
    <row r="102" spans="1:32" x14ac:dyDescent="0.2">
      <c r="A102" t="s">
        <v>406</v>
      </c>
      <c r="B102" s="1">
        <v>45671</v>
      </c>
      <c r="D102" t="s">
        <v>406</v>
      </c>
      <c r="E102" t="s">
        <v>31</v>
      </c>
      <c r="F102" t="s">
        <v>407</v>
      </c>
      <c r="G102" t="s">
        <v>408</v>
      </c>
      <c r="H102" t="s">
        <v>34</v>
      </c>
      <c r="J102">
        <v>980.95</v>
      </c>
      <c r="K102">
        <v>978.13</v>
      </c>
      <c r="L102">
        <v>978.13397894000002</v>
      </c>
      <c r="Q102" t="s">
        <v>409</v>
      </c>
      <c r="T102">
        <v>0</v>
      </c>
      <c r="W102" t="s">
        <v>36</v>
      </c>
      <c r="X102" t="s">
        <v>69</v>
      </c>
      <c r="Y102" t="s">
        <v>38</v>
      </c>
      <c r="AD102">
        <v>0</v>
      </c>
      <c r="AE102" t="b">
        <f>ISNUMBER(MATCH(G102,AUM!$C$6:$C$1451,0))</f>
        <v>0</v>
      </c>
      <c r="AF102" t="b">
        <f>ISNUMBER(MATCH(G102,AUM!$G$6:$G$240,0))</f>
        <v>0</v>
      </c>
    </row>
    <row r="103" spans="1:32" x14ac:dyDescent="0.2">
      <c r="A103" t="s">
        <v>410</v>
      </c>
      <c r="B103" s="1">
        <v>45671</v>
      </c>
      <c r="D103" t="s">
        <v>410</v>
      </c>
      <c r="E103" t="s">
        <v>31</v>
      </c>
      <c r="F103" t="s">
        <v>411</v>
      </c>
      <c r="G103" t="s">
        <v>408</v>
      </c>
      <c r="H103" t="s">
        <v>34</v>
      </c>
      <c r="J103">
        <v>956.18</v>
      </c>
      <c r="K103">
        <v>953.43</v>
      </c>
      <c r="L103">
        <v>953.43483053</v>
      </c>
      <c r="Q103" t="s">
        <v>409</v>
      </c>
      <c r="U103">
        <v>0</v>
      </c>
      <c r="W103" t="s">
        <v>36</v>
      </c>
      <c r="X103" t="s">
        <v>69</v>
      </c>
      <c r="Y103" t="s">
        <v>38</v>
      </c>
      <c r="AD103">
        <v>0</v>
      </c>
      <c r="AE103" t="b">
        <f>ISNUMBER(MATCH(G103,AUM!$C$6:$C$1451,0))</f>
        <v>0</v>
      </c>
      <c r="AF103" t="b">
        <f>ISNUMBER(MATCH(G103,AUM!$G$6:$G$240,0))</f>
        <v>0</v>
      </c>
    </row>
    <row r="104" spans="1:32" x14ac:dyDescent="0.2">
      <c r="A104" t="s">
        <v>409</v>
      </c>
      <c r="B104" s="1">
        <v>45671</v>
      </c>
      <c r="D104" t="s">
        <v>409</v>
      </c>
      <c r="E104" t="s">
        <v>31</v>
      </c>
      <c r="F104" t="s">
        <v>412</v>
      </c>
      <c r="G104" t="s">
        <v>408</v>
      </c>
      <c r="H104" t="s">
        <v>34</v>
      </c>
      <c r="I104">
        <v>4221310.71708149</v>
      </c>
      <c r="J104">
        <v>894.03</v>
      </c>
      <c r="K104">
        <v>891.47</v>
      </c>
      <c r="L104">
        <v>891.46864249999999</v>
      </c>
      <c r="M104">
        <v>3763166134.5372</v>
      </c>
      <c r="N104">
        <v>47</v>
      </c>
      <c r="O104" t="s">
        <v>35</v>
      </c>
      <c r="P104">
        <v>1</v>
      </c>
      <c r="R104" t="s">
        <v>406</v>
      </c>
      <c r="S104" t="s">
        <v>410</v>
      </c>
      <c r="W104" t="s">
        <v>36</v>
      </c>
      <c r="X104" t="s">
        <v>37</v>
      </c>
      <c r="Y104" t="s">
        <v>38</v>
      </c>
      <c r="AD104">
        <v>0</v>
      </c>
      <c r="AE104" t="b">
        <f>ISNUMBER(MATCH(G104,AUM!$C$6:$C$1451,0))</f>
        <v>0</v>
      </c>
      <c r="AF104" t="b">
        <f>ISNUMBER(MATCH(G104,AUM!$G$6:$G$240,0))</f>
        <v>0</v>
      </c>
    </row>
    <row r="105" spans="1:32" x14ac:dyDescent="0.2">
      <c r="A105" t="s">
        <v>413</v>
      </c>
      <c r="B105" s="1">
        <v>45671</v>
      </c>
      <c r="D105" t="s">
        <v>413</v>
      </c>
      <c r="E105" t="s">
        <v>31</v>
      </c>
      <c r="F105" t="s">
        <v>414</v>
      </c>
      <c r="G105" t="s">
        <v>415</v>
      </c>
      <c r="H105" t="s">
        <v>34</v>
      </c>
      <c r="J105">
        <v>2955.47</v>
      </c>
      <c r="K105">
        <v>2929.44</v>
      </c>
      <c r="L105">
        <v>2929.4426565700001</v>
      </c>
      <c r="Q105" t="s">
        <v>416</v>
      </c>
      <c r="T105">
        <v>0</v>
      </c>
      <c r="W105" t="s">
        <v>36</v>
      </c>
      <c r="X105" t="s">
        <v>69</v>
      </c>
      <c r="Y105" t="s">
        <v>38</v>
      </c>
      <c r="AD105">
        <v>0</v>
      </c>
      <c r="AE105" t="b">
        <f>ISNUMBER(MATCH(G105,AUM!$C$6:$C$1451,0))</f>
        <v>1</v>
      </c>
      <c r="AF105" t="b">
        <f>ISNUMBER(MATCH(G105,AUM!$G$6:$G$240,0))</f>
        <v>0</v>
      </c>
    </row>
    <row r="106" spans="1:32" x14ac:dyDescent="0.2">
      <c r="A106" t="s">
        <v>417</v>
      </c>
      <c r="B106" s="1">
        <v>45671</v>
      </c>
      <c r="D106" t="s">
        <v>417</v>
      </c>
      <c r="E106" t="s">
        <v>31</v>
      </c>
      <c r="F106" t="s">
        <v>418</v>
      </c>
      <c r="G106" t="s">
        <v>419</v>
      </c>
      <c r="H106" t="s">
        <v>34</v>
      </c>
      <c r="J106">
        <v>2545.42</v>
      </c>
      <c r="K106">
        <v>2523.0100000000002</v>
      </c>
      <c r="L106">
        <v>2523.0058708299998</v>
      </c>
      <c r="Q106" t="s">
        <v>416</v>
      </c>
      <c r="U106">
        <v>0</v>
      </c>
      <c r="W106" t="s">
        <v>36</v>
      </c>
      <c r="X106" t="s">
        <v>69</v>
      </c>
      <c r="Y106" t="s">
        <v>38</v>
      </c>
      <c r="AD106">
        <v>0</v>
      </c>
      <c r="AE106" t="b">
        <f>ISNUMBER(MATCH(G106,AUM!$C$6:$C$1451,0))</f>
        <v>1</v>
      </c>
      <c r="AF106" t="b">
        <f>ISNUMBER(MATCH(G106,AUM!$G$6:$G$240,0))</f>
        <v>0</v>
      </c>
    </row>
    <row r="107" spans="1:32" x14ac:dyDescent="0.2">
      <c r="A107" t="s">
        <v>368</v>
      </c>
      <c r="B107" s="1">
        <v>45671</v>
      </c>
      <c r="D107" t="s">
        <v>368</v>
      </c>
      <c r="E107" t="s">
        <v>31</v>
      </c>
      <c r="F107" t="s">
        <v>420</v>
      </c>
      <c r="G107" t="s">
        <v>421</v>
      </c>
      <c r="H107" t="s">
        <v>34</v>
      </c>
      <c r="I107">
        <v>822082.83304746705</v>
      </c>
      <c r="J107">
        <v>2508.6</v>
      </c>
      <c r="K107">
        <v>2500.04</v>
      </c>
      <c r="L107">
        <v>2500.0401683300001</v>
      </c>
      <c r="M107">
        <v>2055240104.3150001</v>
      </c>
      <c r="N107">
        <v>40</v>
      </c>
      <c r="O107" t="s">
        <v>35</v>
      </c>
      <c r="P107">
        <v>1</v>
      </c>
      <c r="R107" t="s">
        <v>365</v>
      </c>
      <c r="S107" t="s">
        <v>372</v>
      </c>
      <c r="W107" t="s">
        <v>36</v>
      </c>
      <c r="X107" t="s">
        <v>37</v>
      </c>
      <c r="Y107" t="s">
        <v>38</v>
      </c>
      <c r="AD107">
        <v>0</v>
      </c>
      <c r="AE107" t="b">
        <f>ISNUMBER(MATCH(G107,AUM!$C$6:$C$1451,0))</f>
        <v>1</v>
      </c>
      <c r="AF107" t="b">
        <f>ISNUMBER(MATCH(G107,AUM!$G$6:$G$240,0))</f>
        <v>0</v>
      </c>
    </row>
    <row r="108" spans="1:32" x14ac:dyDescent="0.2">
      <c r="A108" t="s">
        <v>364</v>
      </c>
      <c r="B108" s="1">
        <v>45671</v>
      </c>
      <c r="D108" t="s">
        <v>364</v>
      </c>
      <c r="E108" t="s">
        <v>40</v>
      </c>
      <c r="F108" t="s">
        <v>422</v>
      </c>
      <c r="G108" t="s">
        <v>423</v>
      </c>
      <c r="H108" t="s">
        <v>43</v>
      </c>
      <c r="I108">
        <v>651808.11547909304</v>
      </c>
      <c r="J108">
        <v>3550.62</v>
      </c>
      <c r="K108">
        <v>3531.54</v>
      </c>
      <c r="L108">
        <v>3531.5411172499998</v>
      </c>
      <c r="M108">
        <v>2301887160.3740001</v>
      </c>
      <c r="N108">
        <v>25</v>
      </c>
      <c r="O108" t="s">
        <v>35</v>
      </c>
      <c r="P108">
        <v>1</v>
      </c>
      <c r="R108" t="s">
        <v>361</v>
      </c>
      <c r="S108" t="s">
        <v>369</v>
      </c>
      <c r="W108" t="s">
        <v>36</v>
      </c>
      <c r="X108" t="s">
        <v>37</v>
      </c>
      <c r="Y108" t="s">
        <v>38</v>
      </c>
      <c r="AD108">
        <v>0</v>
      </c>
      <c r="AE108" t="b">
        <f>ISNUMBER(MATCH(G108,AUM!$C$6:$C$1451,0))</f>
        <v>1</v>
      </c>
      <c r="AF108" t="b">
        <f>ISNUMBER(MATCH(G108,AUM!$G$6:$G$240,0))</f>
        <v>0</v>
      </c>
    </row>
    <row r="109" spans="1:32" x14ac:dyDescent="0.2">
      <c r="A109" t="s">
        <v>424</v>
      </c>
      <c r="B109" s="1">
        <v>45671</v>
      </c>
      <c r="D109" t="s">
        <v>424</v>
      </c>
      <c r="E109" t="s">
        <v>40</v>
      </c>
      <c r="F109" t="s">
        <v>425</v>
      </c>
      <c r="G109" t="s">
        <v>426</v>
      </c>
      <c r="H109" t="s">
        <v>43</v>
      </c>
      <c r="J109">
        <v>0</v>
      </c>
      <c r="K109">
        <v>0</v>
      </c>
      <c r="L109">
        <v>0</v>
      </c>
      <c r="Q109" t="s">
        <v>390</v>
      </c>
      <c r="T109">
        <v>0</v>
      </c>
      <c r="W109" t="s">
        <v>36</v>
      </c>
      <c r="X109" t="s">
        <v>427</v>
      </c>
      <c r="Y109" t="s">
        <v>38</v>
      </c>
      <c r="AD109">
        <v>0</v>
      </c>
      <c r="AE109" t="b">
        <f>ISNUMBER(MATCH(G109,AUM!$C$6:$C$1451,0))</f>
        <v>1</v>
      </c>
      <c r="AF109" t="b">
        <f>ISNUMBER(MATCH(G109,AUM!$G$6:$G$240,0))</f>
        <v>0</v>
      </c>
    </row>
    <row r="110" spans="1:32" x14ac:dyDescent="0.2">
      <c r="A110" t="s">
        <v>428</v>
      </c>
      <c r="B110" s="1">
        <v>45671</v>
      </c>
      <c r="D110" t="s">
        <v>428</v>
      </c>
      <c r="E110" t="s">
        <v>31</v>
      </c>
      <c r="F110" t="s">
        <v>429</v>
      </c>
      <c r="G110" t="s">
        <v>430</v>
      </c>
      <c r="H110" t="s">
        <v>34</v>
      </c>
      <c r="J110">
        <v>7.96</v>
      </c>
      <c r="K110">
        <v>7.96</v>
      </c>
      <c r="L110">
        <v>7.9569915699999996</v>
      </c>
      <c r="Q110" t="s">
        <v>431</v>
      </c>
      <c r="T110">
        <v>0.65490237873025003</v>
      </c>
      <c r="V110" t="s">
        <v>79</v>
      </c>
      <c r="W110" t="s">
        <v>36</v>
      </c>
      <c r="X110" t="s">
        <v>427</v>
      </c>
      <c r="Y110" t="s">
        <v>38</v>
      </c>
      <c r="AD110">
        <v>0</v>
      </c>
      <c r="AE110" t="b">
        <f>ISNUMBER(MATCH(G110,AUM!$C$6:$C$1451,0))</f>
        <v>1</v>
      </c>
      <c r="AF110" t="b">
        <f>ISNUMBER(MATCH(G110,AUM!$G$6:$G$240,0))</f>
        <v>0</v>
      </c>
    </row>
    <row r="111" spans="1:32" x14ac:dyDescent="0.2">
      <c r="A111" t="s">
        <v>432</v>
      </c>
      <c r="B111" s="1">
        <v>45671</v>
      </c>
      <c r="D111" t="s">
        <v>432</v>
      </c>
      <c r="E111" t="s">
        <v>40</v>
      </c>
      <c r="F111" t="s">
        <v>433</v>
      </c>
      <c r="G111" t="s">
        <v>434</v>
      </c>
      <c r="H111" t="s">
        <v>43</v>
      </c>
      <c r="J111">
        <v>289.14999999999998</v>
      </c>
      <c r="K111">
        <v>287.11</v>
      </c>
      <c r="L111">
        <v>287.11333631999997</v>
      </c>
      <c r="Q111" t="s">
        <v>435</v>
      </c>
      <c r="T111">
        <v>6.1079608131299999E-3</v>
      </c>
      <c r="V111" t="s">
        <v>79</v>
      </c>
      <c r="W111" t="s">
        <v>36</v>
      </c>
      <c r="X111" t="s">
        <v>69</v>
      </c>
      <c r="Y111" t="s">
        <v>38</v>
      </c>
      <c r="AD111">
        <v>0</v>
      </c>
      <c r="AE111" t="b">
        <f>ISNUMBER(MATCH(G111,AUM!$C$6:$C$1451,0))</f>
        <v>1</v>
      </c>
      <c r="AF111" t="b">
        <f>ISNUMBER(MATCH(G111,AUM!$G$6:$G$240,0))</f>
        <v>0</v>
      </c>
    </row>
    <row r="112" spans="1:32" x14ac:dyDescent="0.2">
      <c r="A112" t="s">
        <v>436</v>
      </c>
      <c r="B112" s="1">
        <v>45671</v>
      </c>
      <c r="D112" t="s">
        <v>436</v>
      </c>
      <c r="E112" t="s">
        <v>40</v>
      </c>
      <c r="F112" t="s">
        <v>437</v>
      </c>
      <c r="G112" t="s">
        <v>438</v>
      </c>
      <c r="H112" t="s">
        <v>43</v>
      </c>
      <c r="J112">
        <v>259.08999999999997</v>
      </c>
      <c r="K112">
        <v>257.26</v>
      </c>
      <c r="L112">
        <v>257.25747503999997</v>
      </c>
      <c r="Q112" t="s">
        <v>435</v>
      </c>
      <c r="U112">
        <v>4.5809706098499997E-3</v>
      </c>
      <c r="V112" t="s">
        <v>79</v>
      </c>
      <c r="W112" t="s">
        <v>36</v>
      </c>
      <c r="X112" t="s">
        <v>69</v>
      </c>
      <c r="Y112" t="s">
        <v>38</v>
      </c>
      <c r="AD112">
        <v>0</v>
      </c>
      <c r="AE112" t="b">
        <f>ISNUMBER(MATCH(G112,AUM!$C$6:$C$1451,0))</f>
        <v>1</v>
      </c>
      <c r="AF112" t="b">
        <f>ISNUMBER(MATCH(G112,AUM!$G$6:$G$240,0))</f>
        <v>0</v>
      </c>
    </row>
    <row r="113" spans="1:32" x14ac:dyDescent="0.2">
      <c r="A113" t="s">
        <v>435</v>
      </c>
      <c r="B113" s="1">
        <v>45671</v>
      </c>
      <c r="D113" t="s">
        <v>435</v>
      </c>
      <c r="E113" t="s">
        <v>40</v>
      </c>
      <c r="F113" t="s">
        <v>439</v>
      </c>
      <c r="G113" t="s">
        <v>440</v>
      </c>
      <c r="H113" t="s">
        <v>43</v>
      </c>
      <c r="I113">
        <v>16975286707.3265</v>
      </c>
      <c r="J113">
        <v>161.61000000000001</v>
      </c>
      <c r="K113">
        <v>160.47</v>
      </c>
      <c r="L113">
        <v>160.46547118999999</v>
      </c>
      <c r="M113">
        <v>2723947380122.3701</v>
      </c>
      <c r="N113">
        <v>99</v>
      </c>
      <c r="O113" t="s">
        <v>35</v>
      </c>
      <c r="P113">
        <v>1</v>
      </c>
      <c r="R113" t="s">
        <v>432</v>
      </c>
      <c r="S113" t="s">
        <v>436</v>
      </c>
      <c r="W113" t="s">
        <v>36</v>
      </c>
      <c r="X113" t="s">
        <v>37</v>
      </c>
      <c r="Y113" t="s">
        <v>38</v>
      </c>
      <c r="AD113">
        <v>0</v>
      </c>
      <c r="AE113" t="b">
        <f>ISNUMBER(MATCH(G113,AUM!$C$6:$C$1451,0))</f>
        <v>1</v>
      </c>
      <c r="AF113" t="b">
        <f>ISNUMBER(MATCH(G113,AUM!$G$6:$G$240,0))</f>
        <v>0</v>
      </c>
    </row>
    <row r="114" spans="1:32" x14ac:dyDescent="0.2">
      <c r="A114" t="s">
        <v>441</v>
      </c>
      <c r="B114" s="1">
        <v>45671</v>
      </c>
      <c r="D114" t="s">
        <v>442</v>
      </c>
      <c r="E114" t="s">
        <v>31</v>
      </c>
      <c r="F114" t="s">
        <v>443</v>
      </c>
      <c r="G114" t="s">
        <v>444</v>
      </c>
      <c r="H114" t="s">
        <v>34</v>
      </c>
      <c r="J114">
        <v>17111.57</v>
      </c>
      <c r="K114">
        <v>17059.990000000002</v>
      </c>
      <c r="L114">
        <v>17059.988007709999</v>
      </c>
      <c r="Q114" t="s">
        <v>431</v>
      </c>
      <c r="U114">
        <v>0.48608293058024998</v>
      </c>
      <c r="V114" t="s">
        <v>79</v>
      </c>
      <c r="W114" t="s">
        <v>36</v>
      </c>
      <c r="X114" t="s">
        <v>69</v>
      </c>
      <c r="Y114" t="s">
        <v>38</v>
      </c>
      <c r="AD114">
        <v>0</v>
      </c>
      <c r="AE114" t="b">
        <f>ISNUMBER(MATCH(G114,AUM!$C$6:$C$1451,0))</f>
        <v>0</v>
      </c>
      <c r="AF114" t="b">
        <f>ISNUMBER(MATCH(G114,AUM!$G$6:$G$240,0))</f>
        <v>0</v>
      </c>
    </row>
    <row r="115" spans="1:32" x14ac:dyDescent="0.2">
      <c r="A115" t="s">
        <v>445</v>
      </c>
      <c r="B115" s="1">
        <v>45671</v>
      </c>
      <c r="D115" t="s">
        <v>446</v>
      </c>
      <c r="E115" t="s">
        <v>31</v>
      </c>
      <c r="F115" t="s">
        <v>447</v>
      </c>
      <c r="G115" t="s">
        <v>448</v>
      </c>
      <c r="H115" t="s">
        <v>34</v>
      </c>
      <c r="J115">
        <v>22974.959999999999</v>
      </c>
      <c r="K115">
        <v>22905.7</v>
      </c>
      <c r="L115">
        <v>22905.704051090001</v>
      </c>
      <c r="Q115" t="s">
        <v>431</v>
      </c>
      <c r="T115">
        <v>0.64811057410700001</v>
      </c>
      <c r="V115" t="s">
        <v>79</v>
      </c>
      <c r="W115" t="s">
        <v>36</v>
      </c>
      <c r="X115" t="s">
        <v>69</v>
      </c>
      <c r="Y115" t="s">
        <v>38</v>
      </c>
      <c r="AD115">
        <v>0</v>
      </c>
      <c r="AE115" t="b">
        <f>ISNUMBER(MATCH(G115,AUM!$C$6:$C$1451,0))</f>
        <v>0</v>
      </c>
      <c r="AF115" t="b">
        <f>ISNUMBER(MATCH(G115,AUM!$G$6:$G$240,0))</f>
        <v>0</v>
      </c>
    </row>
    <row r="116" spans="1:32" x14ac:dyDescent="0.2">
      <c r="A116" t="s">
        <v>449</v>
      </c>
      <c r="B116" s="1">
        <v>45671</v>
      </c>
      <c r="D116" t="s">
        <v>449</v>
      </c>
      <c r="E116" t="s">
        <v>31</v>
      </c>
      <c r="F116" t="s">
        <v>450</v>
      </c>
      <c r="G116" t="s">
        <v>451</v>
      </c>
      <c r="H116" t="s">
        <v>34</v>
      </c>
      <c r="I116">
        <v>14041113.990792699</v>
      </c>
      <c r="J116">
        <v>3219.73</v>
      </c>
      <c r="K116">
        <v>3222.32</v>
      </c>
      <c r="L116">
        <v>3222.31913747</v>
      </c>
      <c r="M116">
        <v>45244950323.986298</v>
      </c>
      <c r="N116">
        <v>66</v>
      </c>
      <c r="O116" t="s">
        <v>35</v>
      </c>
      <c r="P116">
        <v>1</v>
      </c>
      <c r="W116" t="s">
        <v>36</v>
      </c>
      <c r="X116" t="s">
        <v>37</v>
      </c>
      <c r="Y116" t="s">
        <v>38</v>
      </c>
      <c r="AD116">
        <v>0</v>
      </c>
      <c r="AE116" t="b">
        <f>ISNUMBER(MATCH(G116,AUM!$C$6:$C$1451,0))</f>
        <v>1</v>
      </c>
      <c r="AF116" t="b">
        <f>ISNUMBER(MATCH(G116,AUM!$G$6:$G$240,0))</f>
        <v>1</v>
      </c>
    </row>
    <row r="117" spans="1:32" x14ac:dyDescent="0.2">
      <c r="A117" t="s">
        <v>416</v>
      </c>
      <c r="B117" s="1">
        <v>45671</v>
      </c>
      <c r="D117" t="s">
        <v>416</v>
      </c>
      <c r="E117" t="s">
        <v>31</v>
      </c>
      <c r="F117" t="s">
        <v>452</v>
      </c>
      <c r="G117" t="s">
        <v>453</v>
      </c>
      <c r="H117" t="s">
        <v>34</v>
      </c>
      <c r="I117">
        <v>85145870.936908603</v>
      </c>
      <c r="J117">
        <v>1051.1300000000001</v>
      </c>
      <c r="K117">
        <v>1041.8699999999999</v>
      </c>
      <c r="L117">
        <v>1041.8718045600001</v>
      </c>
      <c r="M117">
        <v>88711082203.691605</v>
      </c>
      <c r="N117">
        <v>40</v>
      </c>
      <c r="O117" t="s">
        <v>35</v>
      </c>
      <c r="P117">
        <v>1</v>
      </c>
      <c r="R117" t="s">
        <v>413</v>
      </c>
      <c r="S117" t="s">
        <v>417</v>
      </c>
      <c r="W117" t="s">
        <v>36</v>
      </c>
      <c r="X117" t="s">
        <v>37</v>
      </c>
      <c r="Y117" t="s">
        <v>38</v>
      </c>
      <c r="AD117">
        <v>0</v>
      </c>
      <c r="AE117" t="b">
        <f>ISNUMBER(MATCH(G117,AUM!$C$6:$C$1451,0))</f>
        <v>1</v>
      </c>
      <c r="AF117" t="b">
        <f>ISNUMBER(MATCH(G117,AUM!$G$6:$G$240,0))</f>
        <v>0</v>
      </c>
    </row>
    <row r="118" spans="1:32" x14ac:dyDescent="0.2">
      <c r="A118" t="s">
        <v>150</v>
      </c>
      <c r="B118" s="1">
        <v>45671</v>
      </c>
      <c r="D118" t="s">
        <v>150</v>
      </c>
      <c r="E118" t="s">
        <v>31</v>
      </c>
      <c r="F118" t="s">
        <v>454</v>
      </c>
      <c r="G118" t="s">
        <v>455</v>
      </c>
      <c r="H118" t="s">
        <v>34</v>
      </c>
      <c r="I118">
        <v>36870150.455686398</v>
      </c>
      <c r="J118">
        <v>867.46</v>
      </c>
      <c r="K118">
        <v>865.21</v>
      </c>
      <c r="L118">
        <v>865.20876686999998</v>
      </c>
      <c r="M118">
        <v>31900377409.987801</v>
      </c>
      <c r="N118">
        <v>576</v>
      </c>
      <c r="O118" t="s">
        <v>35</v>
      </c>
      <c r="P118">
        <v>1</v>
      </c>
      <c r="R118" t="s">
        <v>147</v>
      </c>
      <c r="S118" t="s">
        <v>152</v>
      </c>
      <c r="W118" t="s">
        <v>36</v>
      </c>
      <c r="X118" t="s">
        <v>37</v>
      </c>
      <c r="Y118" t="s">
        <v>38</v>
      </c>
      <c r="AD118">
        <v>0</v>
      </c>
      <c r="AE118" t="b">
        <f>ISNUMBER(MATCH(G118,AUM!$C$6:$C$1451,0))</f>
        <v>1</v>
      </c>
      <c r="AF118" t="b">
        <f>ISNUMBER(MATCH(G118,AUM!$G$6:$G$240,0))</f>
        <v>0</v>
      </c>
    </row>
    <row r="119" spans="1:32" x14ac:dyDescent="0.2">
      <c r="A119" t="s">
        <v>198</v>
      </c>
      <c r="B119" s="1">
        <v>45671</v>
      </c>
      <c r="D119" t="s">
        <v>198</v>
      </c>
      <c r="E119" t="s">
        <v>140</v>
      </c>
      <c r="F119" t="s">
        <v>456</v>
      </c>
      <c r="G119" t="s">
        <v>457</v>
      </c>
      <c r="H119" t="s">
        <v>143</v>
      </c>
      <c r="J119">
        <v>1618.44</v>
      </c>
      <c r="K119">
        <v>1631.09</v>
      </c>
      <c r="L119">
        <v>1631.0904677599999</v>
      </c>
      <c r="Q119" t="s">
        <v>195</v>
      </c>
      <c r="U119">
        <v>0</v>
      </c>
      <c r="W119" t="s">
        <v>36</v>
      </c>
      <c r="X119" t="s">
        <v>69</v>
      </c>
      <c r="Y119" t="s">
        <v>38</v>
      </c>
      <c r="AD119">
        <v>0</v>
      </c>
      <c r="AE119" t="b">
        <f>ISNUMBER(MATCH(G119,AUM!$C$6:$C$1451,0))</f>
        <v>1</v>
      </c>
      <c r="AF119" t="b">
        <f>ISNUMBER(MATCH(G119,AUM!$G$6:$G$240,0))</f>
        <v>0</v>
      </c>
    </row>
    <row r="120" spans="1:32" x14ac:dyDescent="0.2">
      <c r="A120" t="s">
        <v>325</v>
      </c>
      <c r="B120" s="1">
        <v>45671</v>
      </c>
      <c r="D120" t="s">
        <v>325</v>
      </c>
      <c r="E120" t="s">
        <v>31</v>
      </c>
      <c r="F120" t="s">
        <v>458</v>
      </c>
      <c r="G120" t="s">
        <v>459</v>
      </c>
      <c r="H120" t="s">
        <v>34</v>
      </c>
      <c r="I120">
        <v>79114050.6216629</v>
      </c>
      <c r="J120">
        <v>1482.53</v>
      </c>
      <c r="K120">
        <v>1471.91</v>
      </c>
      <c r="L120">
        <v>1471.91332941</v>
      </c>
      <c r="M120">
        <v>116449025654.03</v>
      </c>
      <c r="N120">
        <v>34</v>
      </c>
      <c r="O120" t="s">
        <v>35</v>
      </c>
      <c r="P120">
        <v>1</v>
      </c>
      <c r="S120" t="s">
        <v>322</v>
      </c>
      <c r="W120" t="s">
        <v>36</v>
      </c>
      <c r="X120" t="s">
        <v>37</v>
      </c>
      <c r="Y120" t="s">
        <v>38</v>
      </c>
      <c r="AD120">
        <v>0</v>
      </c>
      <c r="AE120" t="b">
        <f>ISNUMBER(MATCH(G120,AUM!$C$6:$C$1451,0))</f>
        <v>1</v>
      </c>
      <c r="AF120" t="b">
        <f>ISNUMBER(MATCH(G120,AUM!$G$6:$G$240,0))</f>
        <v>0</v>
      </c>
    </row>
    <row r="121" spans="1:32" x14ac:dyDescent="0.2">
      <c r="A121" t="s">
        <v>278</v>
      </c>
      <c r="B121" s="1">
        <v>45671</v>
      </c>
      <c r="D121" t="s">
        <v>278</v>
      </c>
      <c r="E121" t="s">
        <v>31</v>
      </c>
      <c r="F121" t="s">
        <v>460</v>
      </c>
      <c r="G121" t="s">
        <v>461</v>
      </c>
      <c r="H121" t="s">
        <v>34</v>
      </c>
      <c r="I121">
        <v>270806947.64018601</v>
      </c>
      <c r="J121">
        <v>995.78</v>
      </c>
      <c r="K121">
        <v>994.06</v>
      </c>
      <c r="L121">
        <v>994.06339018000006</v>
      </c>
      <c r="M121">
        <v>269199272455.04999</v>
      </c>
      <c r="N121">
        <v>38</v>
      </c>
      <c r="O121" t="s">
        <v>35</v>
      </c>
      <c r="P121">
        <v>1</v>
      </c>
      <c r="S121" t="s">
        <v>275</v>
      </c>
      <c r="W121" t="s">
        <v>36</v>
      </c>
      <c r="X121" t="s">
        <v>37</v>
      </c>
      <c r="Y121" t="s">
        <v>38</v>
      </c>
      <c r="AD121">
        <v>0</v>
      </c>
      <c r="AE121" t="b">
        <f>ISNUMBER(MATCH(G121,AUM!$C$6:$C$1451,0))</f>
        <v>1</v>
      </c>
      <c r="AF121" t="b">
        <f>ISNUMBER(MATCH(G121,AUM!$G$6:$G$240,0))</f>
        <v>0</v>
      </c>
    </row>
    <row r="122" spans="1:32" x14ac:dyDescent="0.2">
      <c r="A122" t="s">
        <v>309</v>
      </c>
      <c r="B122" s="1">
        <v>45671</v>
      </c>
      <c r="D122" t="s">
        <v>309</v>
      </c>
      <c r="E122" t="s">
        <v>31</v>
      </c>
      <c r="F122" t="s">
        <v>462</v>
      </c>
      <c r="G122" t="s">
        <v>463</v>
      </c>
      <c r="H122" t="s">
        <v>34</v>
      </c>
      <c r="I122">
        <v>97237519.553403094</v>
      </c>
      <c r="J122">
        <v>697.06</v>
      </c>
      <c r="K122">
        <v>700.01</v>
      </c>
      <c r="L122">
        <v>700.01029473000006</v>
      </c>
      <c r="M122">
        <v>68067264721.181</v>
      </c>
      <c r="N122">
        <v>13</v>
      </c>
      <c r="O122" t="s">
        <v>35</v>
      </c>
      <c r="P122">
        <v>1</v>
      </c>
      <c r="S122" t="s">
        <v>306</v>
      </c>
      <c r="W122" t="s">
        <v>36</v>
      </c>
      <c r="X122" t="s">
        <v>37</v>
      </c>
      <c r="Y122" t="s">
        <v>38</v>
      </c>
      <c r="AD122">
        <v>0</v>
      </c>
      <c r="AE122" t="b">
        <f>ISNUMBER(MATCH(G122,AUM!$C$6:$C$1451,0))</f>
        <v>1</v>
      </c>
      <c r="AF122" t="b">
        <f>ISNUMBER(MATCH(G122,AUM!$G$6:$G$240,0))</f>
        <v>0</v>
      </c>
    </row>
    <row r="123" spans="1:32" x14ac:dyDescent="0.2">
      <c r="A123" t="s">
        <v>321</v>
      </c>
      <c r="B123" s="1">
        <v>45671</v>
      </c>
      <c r="D123" t="s">
        <v>321</v>
      </c>
      <c r="E123" t="s">
        <v>31</v>
      </c>
      <c r="F123" t="s">
        <v>464</v>
      </c>
      <c r="G123" t="s">
        <v>465</v>
      </c>
      <c r="H123" t="s">
        <v>34</v>
      </c>
      <c r="I123">
        <v>46719186.846102498</v>
      </c>
      <c r="J123">
        <v>603.04</v>
      </c>
      <c r="K123">
        <v>608.61</v>
      </c>
      <c r="L123">
        <v>608.60570715999995</v>
      </c>
      <c r="M123">
        <v>28433563748.332298</v>
      </c>
      <c r="N123">
        <v>6</v>
      </c>
      <c r="O123" t="s">
        <v>35</v>
      </c>
      <c r="P123">
        <v>1</v>
      </c>
      <c r="S123" t="s">
        <v>318</v>
      </c>
      <c r="W123" t="s">
        <v>36</v>
      </c>
      <c r="X123" t="s">
        <v>37</v>
      </c>
      <c r="Y123" t="s">
        <v>38</v>
      </c>
      <c r="AD123">
        <v>0</v>
      </c>
      <c r="AE123" t="b">
        <f>ISNUMBER(MATCH(G123,AUM!$C$6:$C$1451,0))</f>
        <v>1</v>
      </c>
      <c r="AF123" t="b">
        <f>ISNUMBER(MATCH(G123,AUM!$G$6:$G$240,0))</f>
        <v>0</v>
      </c>
    </row>
    <row r="124" spans="1:32" x14ac:dyDescent="0.2">
      <c r="A124" t="s">
        <v>286</v>
      </c>
      <c r="B124" s="1">
        <v>45671</v>
      </c>
      <c r="D124" t="s">
        <v>286</v>
      </c>
      <c r="E124" t="s">
        <v>31</v>
      </c>
      <c r="F124" t="s">
        <v>466</v>
      </c>
      <c r="G124" t="s">
        <v>467</v>
      </c>
      <c r="H124" t="s">
        <v>34</v>
      </c>
      <c r="I124">
        <v>109627642.295996</v>
      </c>
      <c r="J124">
        <v>845.29</v>
      </c>
      <c r="K124">
        <v>843.65</v>
      </c>
      <c r="L124">
        <v>843.65057385</v>
      </c>
      <c r="M124">
        <v>92487423332.779602</v>
      </c>
      <c r="N124">
        <v>19</v>
      </c>
      <c r="O124" t="s">
        <v>35</v>
      </c>
      <c r="P124">
        <v>1</v>
      </c>
      <c r="S124" t="s">
        <v>283</v>
      </c>
      <c r="W124" t="s">
        <v>36</v>
      </c>
      <c r="X124" t="s">
        <v>37</v>
      </c>
      <c r="Y124" t="s">
        <v>38</v>
      </c>
      <c r="AD124">
        <v>0</v>
      </c>
      <c r="AE124" t="b">
        <f>ISNUMBER(MATCH(G124,AUM!$C$6:$C$1451,0))</f>
        <v>1</v>
      </c>
      <c r="AF124" t="b">
        <f>ISNUMBER(MATCH(G124,AUM!$G$6:$G$240,0))</f>
        <v>0</v>
      </c>
    </row>
    <row r="125" spans="1:32" x14ac:dyDescent="0.2">
      <c r="A125" t="s">
        <v>274</v>
      </c>
      <c r="B125" s="1">
        <v>45671</v>
      </c>
      <c r="D125" t="s">
        <v>274</v>
      </c>
      <c r="E125" t="s">
        <v>31</v>
      </c>
      <c r="F125" t="s">
        <v>468</v>
      </c>
      <c r="G125" t="s">
        <v>469</v>
      </c>
      <c r="H125" t="s">
        <v>34</v>
      </c>
      <c r="I125">
        <v>138392707.75257301</v>
      </c>
      <c r="J125">
        <v>2104.73</v>
      </c>
      <c r="K125">
        <v>2097.96</v>
      </c>
      <c r="L125">
        <v>2097.9636530799999</v>
      </c>
      <c r="M125">
        <v>290342870716.00598</v>
      </c>
      <c r="N125">
        <v>41</v>
      </c>
      <c r="O125" t="s">
        <v>35</v>
      </c>
      <c r="P125">
        <v>1</v>
      </c>
      <c r="S125" t="s">
        <v>271</v>
      </c>
      <c r="W125" t="s">
        <v>36</v>
      </c>
      <c r="X125" t="s">
        <v>37</v>
      </c>
      <c r="Y125" t="s">
        <v>38</v>
      </c>
      <c r="AD125">
        <v>0</v>
      </c>
      <c r="AE125" t="b">
        <f>ISNUMBER(MATCH(G125,AUM!$C$6:$C$1451,0))</f>
        <v>1</v>
      </c>
      <c r="AF125" t="b">
        <f>ISNUMBER(MATCH(G125,AUM!$G$6:$G$240,0))</f>
        <v>0</v>
      </c>
    </row>
    <row r="126" spans="1:32" x14ac:dyDescent="0.2">
      <c r="A126" t="s">
        <v>313</v>
      </c>
      <c r="B126" s="1">
        <v>45671</v>
      </c>
      <c r="D126" t="s">
        <v>313</v>
      </c>
      <c r="E126" t="s">
        <v>31</v>
      </c>
      <c r="F126" t="s">
        <v>470</v>
      </c>
      <c r="G126" t="s">
        <v>471</v>
      </c>
      <c r="H126" t="s">
        <v>34</v>
      </c>
      <c r="I126">
        <v>214670376.80892399</v>
      </c>
      <c r="J126">
        <v>4981.12</v>
      </c>
      <c r="K126">
        <v>4973.0200000000004</v>
      </c>
      <c r="L126">
        <v>4973.0230917700001</v>
      </c>
      <c r="M126">
        <v>1067560740990.12</v>
      </c>
      <c r="N126">
        <v>82</v>
      </c>
      <c r="O126" t="s">
        <v>35</v>
      </c>
      <c r="P126">
        <v>1</v>
      </c>
      <c r="S126" t="s">
        <v>310</v>
      </c>
      <c r="W126" t="s">
        <v>36</v>
      </c>
      <c r="X126" t="s">
        <v>37</v>
      </c>
      <c r="Y126" t="s">
        <v>38</v>
      </c>
      <c r="AD126">
        <v>0</v>
      </c>
      <c r="AE126" t="b">
        <f>ISNUMBER(MATCH(G126,AUM!$C$6:$C$1451,0))</f>
        <v>1</v>
      </c>
      <c r="AF126" t="b">
        <f>ISNUMBER(MATCH(G126,AUM!$G$6:$G$240,0))</f>
        <v>0</v>
      </c>
    </row>
    <row r="127" spans="1:32" x14ac:dyDescent="0.2">
      <c r="A127" t="s">
        <v>266</v>
      </c>
      <c r="B127" s="1">
        <v>45671</v>
      </c>
      <c r="D127" t="s">
        <v>266</v>
      </c>
      <c r="E127" t="s">
        <v>31</v>
      </c>
      <c r="F127" t="s">
        <v>472</v>
      </c>
      <c r="G127" t="s">
        <v>473</v>
      </c>
      <c r="H127" t="s">
        <v>34</v>
      </c>
      <c r="I127">
        <v>213511965.488175</v>
      </c>
      <c r="J127">
        <v>3180.89</v>
      </c>
      <c r="K127">
        <v>3157.13</v>
      </c>
      <c r="L127">
        <v>3157.12844877</v>
      </c>
      <c r="M127">
        <v>674084700394.58105</v>
      </c>
      <c r="N127">
        <v>60</v>
      </c>
      <c r="O127" t="s">
        <v>35</v>
      </c>
      <c r="P127">
        <v>1</v>
      </c>
      <c r="S127" t="s">
        <v>263</v>
      </c>
      <c r="W127" t="s">
        <v>36</v>
      </c>
      <c r="X127" t="s">
        <v>37</v>
      </c>
      <c r="Y127" t="s">
        <v>38</v>
      </c>
      <c r="AD127">
        <v>0</v>
      </c>
      <c r="AE127" t="b">
        <f>ISNUMBER(MATCH(G127,AUM!$C$6:$C$1451,0))</f>
        <v>1</v>
      </c>
      <c r="AF127" t="b">
        <f>ISNUMBER(MATCH(G127,AUM!$G$6:$G$240,0))</f>
        <v>0</v>
      </c>
    </row>
    <row r="128" spans="1:32" x14ac:dyDescent="0.2">
      <c r="A128" t="s">
        <v>317</v>
      </c>
      <c r="B128" s="1">
        <v>45671</v>
      </c>
      <c r="D128" t="s">
        <v>317</v>
      </c>
      <c r="E128" t="s">
        <v>31</v>
      </c>
      <c r="F128" t="s">
        <v>474</v>
      </c>
      <c r="G128" t="s">
        <v>475</v>
      </c>
      <c r="H128" t="s">
        <v>34</v>
      </c>
      <c r="I128">
        <v>48601237.634694599</v>
      </c>
      <c r="J128">
        <v>2583.21</v>
      </c>
      <c r="K128">
        <v>2591.79</v>
      </c>
      <c r="L128">
        <v>2591.7916022200002</v>
      </c>
      <c r="M128">
        <v>125964279558.92</v>
      </c>
      <c r="N128">
        <v>10</v>
      </c>
      <c r="O128" t="s">
        <v>35</v>
      </c>
      <c r="P128">
        <v>1</v>
      </c>
      <c r="S128" t="s">
        <v>314</v>
      </c>
      <c r="W128" t="s">
        <v>36</v>
      </c>
      <c r="X128" t="s">
        <v>37</v>
      </c>
      <c r="Y128" t="s">
        <v>38</v>
      </c>
      <c r="AD128">
        <v>0</v>
      </c>
      <c r="AE128" t="b">
        <f>ISNUMBER(MATCH(G128,AUM!$C$6:$C$1451,0))</f>
        <v>1</v>
      </c>
      <c r="AF128" t="b">
        <f>ISNUMBER(MATCH(G128,AUM!$G$6:$G$240,0))</f>
        <v>0</v>
      </c>
    </row>
    <row r="129" spans="1:32" x14ac:dyDescent="0.2">
      <c r="A129" t="s">
        <v>329</v>
      </c>
      <c r="B129" s="1">
        <v>45671</v>
      </c>
      <c r="D129" t="s">
        <v>329</v>
      </c>
      <c r="E129" t="s">
        <v>31</v>
      </c>
      <c r="F129" t="s">
        <v>476</v>
      </c>
      <c r="G129" t="s">
        <v>477</v>
      </c>
      <c r="H129" t="s">
        <v>34</v>
      </c>
      <c r="I129">
        <v>150303606.29783601</v>
      </c>
      <c r="J129">
        <v>1005.28</v>
      </c>
      <c r="K129">
        <v>1016.34</v>
      </c>
      <c r="L129">
        <v>1016.33537734</v>
      </c>
      <c r="M129">
        <v>152758872422.595</v>
      </c>
      <c r="N129">
        <v>10</v>
      </c>
      <c r="O129" t="s">
        <v>35</v>
      </c>
      <c r="P129">
        <v>1</v>
      </c>
      <c r="S129" t="s">
        <v>326</v>
      </c>
      <c r="W129" t="s">
        <v>36</v>
      </c>
      <c r="X129" t="s">
        <v>37</v>
      </c>
      <c r="Y129" t="s">
        <v>38</v>
      </c>
      <c r="AD129">
        <v>0</v>
      </c>
      <c r="AE129" t="b">
        <f>ISNUMBER(MATCH(G129,AUM!$C$6:$C$1451,0))</f>
        <v>1</v>
      </c>
      <c r="AF129" t="b">
        <f>ISNUMBER(MATCH(G129,AUM!$G$6:$G$240,0))</f>
        <v>0</v>
      </c>
    </row>
    <row r="130" spans="1:32" x14ac:dyDescent="0.2">
      <c r="A130" t="s">
        <v>194</v>
      </c>
      <c r="B130" s="1">
        <v>45671</v>
      </c>
      <c r="D130" t="s">
        <v>194</v>
      </c>
      <c r="E130" t="s">
        <v>140</v>
      </c>
      <c r="F130" t="s">
        <v>478</v>
      </c>
      <c r="G130" t="s">
        <v>479</v>
      </c>
      <c r="H130" t="s">
        <v>143</v>
      </c>
      <c r="J130">
        <v>1789.77</v>
      </c>
      <c r="K130">
        <v>1780.15</v>
      </c>
      <c r="L130">
        <v>1780.1454106900001</v>
      </c>
      <c r="Q130" t="s">
        <v>191</v>
      </c>
      <c r="U130">
        <v>0</v>
      </c>
      <c r="W130" t="s">
        <v>36</v>
      </c>
      <c r="X130" t="s">
        <v>69</v>
      </c>
      <c r="Y130" t="s">
        <v>38</v>
      </c>
      <c r="AD130">
        <v>0</v>
      </c>
      <c r="AE130" t="b">
        <f>ISNUMBER(MATCH(G130,AUM!$C$6:$C$1451,0))</f>
        <v>1</v>
      </c>
      <c r="AF130" t="b">
        <f>ISNUMBER(MATCH(G130,AUM!$G$6:$G$240,0))</f>
        <v>0</v>
      </c>
    </row>
    <row r="131" spans="1:32" x14ac:dyDescent="0.2">
      <c r="A131" t="s">
        <v>190</v>
      </c>
      <c r="B131" s="1">
        <v>45671</v>
      </c>
      <c r="D131" t="s">
        <v>190</v>
      </c>
      <c r="E131" t="s">
        <v>140</v>
      </c>
      <c r="F131" t="s">
        <v>480</v>
      </c>
      <c r="G131" t="s">
        <v>481</v>
      </c>
      <c r="H131" t="s">
        <v>143</v>
      </c>
      <c r="J131">
        <v>1423.02</v>
      </c>
      <c r="K131">
        <v>1430</v>
      </c>
      <c r="L131">
        <v>1430.0023806199999</v>
      </c>
      <c r="Q131" t="s">
        <v>187</v>
      </c>
      <c r="U131">
        <v>0</v>
      </c>
      <c r="W131" t="s">
        <v>36</v>
      </c>
      <c r="X131" t="s">
        <v>69</v>
      </c>
      <c r="Y131" t="s">
        <v>38</v>
      </c>
      <c r="AD131">
        <v>0</v>
      </c>
      <c r="AE131" t="b">
        <f>ISNUMBER(MATCH(G131,AUM!$C$6:$C$1451,0))</f>
        <v>1</v>
      </c>
      <c r="AF131" t="b">
        <f>ISNUMBER(MATCH(G131,AUM!$G$6:$G$240,0))</f>
        <v>0</v>
      </c>
    </row>
    <row r="132" spans="1:32" x14ac:dyDescent="0.2">
      <c r="A132" t="s">
        <v>186</v>
      </c>
      <c r="B132" s="1">
        <v>45671</v>
      </c>
      <c r="D132" t="s">
        <v>186</v>
      </c>
      <c r="E132" t="s">
        <v>140</v>
      </c>
      <c r="F132" t="s">
        <v>482</v>
      </c>
      <c r="G132" t="s">
        <v>483</v>
      </c>
      <c r="H132" t="s">
        <v>143</v>
      </c>
      <c r="J132">
        <v>677</v>
      </c>
      <c r="K132">
        <v>674.03</v>
      </c>
      <c r="L132">
        <v>674.02652822000005</v>
      </c>
      <c r="Q132" t="s">
        <v>183</v>
      </c>
      <c r="U132">
        <v>0</v>
      </c>
      <c r="W132" t="s">
        <v>36</v>
      </c>
      <c r="X132" t="s">
        <v>69</v>
      </c>
      <c r="Y132" t="s">
        <v>38</v>
      </c>
      <c r="AD132">
        <v>0</v>
      </c>
      <c r="AE132" t="b">
        <f>ISNUMBER(MATCH(G132,AUM!$C$6:$C$1451,0))</f>
        <v>1</v>
      </c>
      <c r="AF132" t="b">
        <f>ISNUMBER(MATCH(G132,AUM!$G$6:$G$240,0))</f>
        <v>0</v>
      </c>
    </row>
    <row r="133" spans="1:32" x14ac:dyDescent="0.2">
      <c r="A133" t="s">
        <v>202</v>
      </c>
      <c r="B133" s="1">
        <v>45671</v>
      </c>
      <c r="D133" t="s">
        <v>202</v>
      </c>
      <c r="E133" t="s">
        <v>140</v>
      </c>
      <c r="F133" t="s">
        <v>484</v>
      </c>
      <c r="G133" t="s">
        <v>485</v>
      </c>
      <c r="H133" t="s">
        <v>143</v>
      </c>
      <c r="J133">
        <v>3632.7</v>
      </c>
      <c r="K133">
        <v>3612.58</v>
      </c>
      <c r="L133">
        <v>3612.5780128199999</v>
      </c>
      <c r="Q133" t="s">
        <v>199</v>
      </c>
      <c r="U133">
        <v>0</v>
      </c>
      <c r="W133" t="s">
        <v>36</v>
      </c>
      <c r="X133" t="s">
        <v>69</v>
      </c>
      <c r="Y133" t="s">
        <v>38</v>
      </c>
      <c r="AD133">
        <v>0</v>
      </c>
      <c r="AE133" t="b">
        <f>ISNUMBER(MATCH(G133,AUM!$C$6:$C$1451,0))</f>
        <v>1</v>
      </c>
      <c r="AF133" t="b">
        <f>ISNUMBER(MATCH(G133,AUM!$G$6:$G$240,0))</f>
        <v>0</v>
      </c>
    </row>
    <row r="134" spans="1:32" x14ac:dyDescent="0.2">
      <c r="A134" t="s">
        <v>182</v>
      </c>
      <c r="B134" s="1">
        <v>45671</v>
      </c>
      <c r="D134" t="s">
        <v>182</v>
      </c>
      <c r="E134" t="s">
        <v>140</v>
      </c>
      <c r="F134" t="s">
        <v>486</v>
      </c>
      <c r="G134" t="s">
        <v>487</v>
      </c>
      <c r="H134" t="s">
        <v>143</v>
      </c>
      <c r="J134">
        <v>6634.12</v>
      </c>
      <c r="K134">
        <v>6568.04</v>
      </c>
      <c r="L134">
        <v>6568.0434137700004</v>
      </c>
      <c r="Q134" t="s">
        <v>179</v>
      </c>
      <c r="U134">
        <v>0</v>
      </c>
      <c r="W134" t="s">
        <v>36</v>
      </c>
      <c r="X134" t="s">
        <v>69</v>
      </c>
      <c r="Y134" t="s">
        <v>38</v>
      </c>
      <c r="AD134">
        <v>0</v>
      </c>
      <c r="AE134" t="b">
        <f>ISNUMBER(MATCH(G134,AUM!$C$6:$C$1451,0))</f>
        <v>1</v>
      </c>
      <c r="AF134" t="b">
        <f>ISNUMBER(MATCH(G134,AUM!$G$6:$G$240,0))</f>
        <v>0</v>
      </c>
    </row>
    <row r="135" spans="1:32" x14ac:dyDescent="0.2">
      <c r="A135" t="s">
        <v>174</v>
      </c>
      <c r="B135" s="1">
        <v>45671</v>
      </c>
      <c r="D135" t="s">
        <v>174</v>
      </c>
      <c r="E135" t="s">
        <v>140</v>
      </c>
      <c r="F135" t="s">
        <v>488</v>
      </c>
      <c r="G135" t="s">
        <v>489</v>
      </c>
      <c r="H135" t="s">
        <v>143</v>
      </c>
      <c r="J135">
        <v>9304.49</v>
      </c>
      <c r="K135">
        <v>9266.65</v>
      </c>
      <c r="L135">
        <v>9266.6508946499998</v>
      </c>
      <c r="Q135" t="s">
        <v>171</v>
      </c>
      <c r="U135">
        <v>0</v>
      </c>
      <c r="W135" t="s">
        <v>36</v>
      </c>
      <c r="X135" t="s">
        <v>69</v>
      </c>
      <c r="Y135" t="s">
        <v>38</v>
      </c>
      <c r="AD135">
        <v>0</v>
      </c>
      <c r="AE135" t="b">
        <f>ISNUMBER(MATCH(G135,AUM!$C$6:$C$1451,0))</f>
        <v>1</v>
      </c>
      <c r="AF135" t="b">
        <f>ISNUMBER(MATCH(G135,AUM!$G$6:$G$240,0))</f>
        <v>0</v>
      </c>
    </row>
    <row r="136" spans="1:32" x14ac:dyDescent="0.2">
      <c r="A136" t="s">
        <v>178</v>
      </c>
      <c r="B136" s="1">
        <v>45671</v>
      </c>
      <c r="D136" t="s">
        <v>178</v>
      </c>
      <c r="E136" t="s">
        <v>140</v>
      </c>
      <c r="F136" t="s">
        <v>490</v>
      </c>
      <c r="G136" t="s">
        <v>491</v>
      </c>
      <c r="H136" t="s">
        <v>143</v>
      </c>
      <c r="J136">
        <v>2712.33</v>
      </c>
      <c r="K136">
        <v>2705.31</v>
      </c>
      <c r="L136">
        <v>2705.3111229400001</v>
      </c>
      <c r="Q136" t="s">
        <v>175</v>
      </c>
      <c r="U136">
        <v>0</v>
      </c>
      <c r="W136" t="s">
        <v>36</v>
      </c>
      <c r="X136" t="s">
        <v>69</v>
      </c>
      <c r="Y136" t="s">
        <v>38</v>
      </c>
      <c r="AD136">
        <v>0</v>
      </c>
      <c r="AE136" t="b">
        <f>ISNUMBER(MATCH(G136,AUM!$C$6:$C$1451,0))</f>
        <v>1</v>
      </c>
      <c r="AF136" t="b">
        <f>ISNUMBER(MATCH(G136,AUM!$G$6:$G$240,0))</f>
        <v>0</v>
      </c>
    </row>
    <row r="137" spans="1:32" x14ac:dyDescent="0.2">
      <c r="A137" t="s">
        <v>250</v>
      </c>
      <c r="B137" s="1">
        <v>45671</v>
      </c>
      <c r="D137" t="s">
        <v>250</v>
      </c>
      <c r="E137" t="s">
        <v>140</v>
      </c>
      <c r="F137" t="s">
        <v>492</v>
      </c>
      <c r="G137" t="s">
        <v>493</v>
      </c>
      <c r="H137" t="s">
        <v>143</v>
      </c>
      <c r="J137">
        <v>1609.19</v>
      </c>
      <c r="K137">
        <v>1604.07</v>
      </c>
      <c r="L137">
        <v>1604.07274211</v>
      </c>
      <c r="Q137" t="s">
        <v>247</v>
      </c>
      <c r="U137">
        <v>0</v>
      </c>
      <c r="W137" t="s">
        <v>36</v>
      </c>
      <c r="X137" t="s">
        <v>69</v>
      </c>
      <c r="Y137" t="s">
        <v>38</v>
      </c>
      <c r="AD137">
        <v>0</v>
      </c>
      <c r="AE137" t="b">
        <f>ISNUMBER(MATCH(G137,AUM!$C$6:$C$1451,0))</f>
        <v>1</v>
      </c>
      <c r="AF137" t="b">
        <f>ISNUMBER(MATCH(G137,AUM!$G$6:$G$240,0))</f>
        <v>0</v>
      </c>
    </row>
    <row r="138" spans="1:32" x14ac:dyDescent="0.2">
      <c r="A138" t="s">
        <v>206</v>
      </c>
      <c r="B138" s="1">
        <v>45671</v>
      </c>
      <c r="D138" t="s">
        <v>206</v>
      </c>
      <c r="E138" t="s">
        <v>126</v>
      </c>
      <c r="F138" t="s">
        <v>494</v>
      </c>
      <c r="G138" t="s">
        <v>495</v>
      </c>
      <c r="H138" t="s">
        <v>129</v>
      </c>
      <c r="J138">
        <v>1334.29</v>
      </c>
      <c r="K138">
        <v>1339.21</v>
      </c>
      <c r="L138">
        <v>1339.21106966</v>
      </c>
      <c r="Q138" t="s">
        <v>203</v>
      </c>
      <c r="T138">
        <v>0</v>
      </c>
      <c r="W138" t="s">
        <v>36</v>
      </c>
      <c r="X138" t="s">
        <v>69</v>
      </c>
      <c r="Y138" t="s">
        <v>38</v>
      </c>
      <c r="AD138">
        <v>0</v>
      </c>
      <c r="AE138" t="b">
        <f>ISNUMBER(MATCH(G138,AUM!$C$6:$C$1451,0))</f>
        <v>1</v>
      </c>
      <c r="AF138" t="b">
        <f>ISNUMBER(MATCH(G138,AUM!$G$6:$G$240,0))</f>
        <v>0</v>
      </c>
    </row>
    <row r="139" spans="1:32" x14ac:dyDescent="0.2">
      <c r="A139" t="s">
        <v>210</v>
      </c>
      <c r="B139" s="1">
        <v>45671</v>
      </c>
      <c r="D139" t="s">
        <v>210</v>
      </c>
      <c r="E139" t="s">
        <v>126</v>
      </c>
      <c r="F139" t="s">
        <v>496</v>
      </c>
      <c r="G139" t="s">
        <v>497</v>
      </c>
      <c r="H139" t="s">
        <v>129</v>
      </c>
      <c r="J139">
        <v>146.82</v>
      </c>
      <c r="K139">
        <v>146.82</v>
      </c>
      <c r="L139">
        <v>146.81612279999999</v>
      </c>
      <c r="Q139" t="s">
        <v>207</v>
      </c>
      <c r="T139">
        <v>0</v>
      </c>
      <c r="W139" t="s">
        <v>36</v>
      </c>
      <c r="X139" t="s">
        <v>69</v>
      </c>
      <c r="Y139" t="s">
        <v>38</v>
      </c>
      <c r="AD139">
        <v>0</v>
      </c>
      <c r="AE139" t="b">
        <f>ISNUMBER(MATCH(G139,AUM!$C$6:$C$1451,0))</f>
        <v>1</v>
      </c>
      <c r="AF139" t="b">
        <f>ISNUMBER(MATCH(G139,AUM!$G$6:$G$240,0))</f>
        <v>0</v>
      </c>
    </row>
    <row r="140" spans="1:32" x14ac:dyDescent="0.2">
      <c r="A140" t="s">
        <v>246</v>
      </c>
      <c r="B140" s="1">
        <v>45671</v>
      </c>
      <c r="D140" t="s">
        <v>246</v>
      </c>
      <c r="E140" t="s">
        <v>40</v>
      </c>
      <c r="F140" t="s">
        <v>498</v>
      </c>
      <c r="G140" t="s">
        <v>499</v>
      </c>
      <c r="H140" t="s">
        <v>43</v>
      </c>
      <c r="I140">
        <v>39670775.489463903</v>
      </c>
      <c r="J140">
        <v>10444.32</v>
      </c>
      <c r="K140">
        <v>10257.58</v>
      </c>
      <c r="L140">
        <v>10257.58018228</v>
      </c>
      <c r="M140">
        <v>406926160476.39001</v>
      </c>
      <c r="N140">
        <v>13</v>
      </c>
      <c r="O140" t="s">
        <v>35</v>
      </c>
      <c r="P140">
        <v>1</v>
      </c>
      <c r="R140" t="s">
        <v>243</v>
      </c>
      <c r="W140" t="s">
        <v>36</v>
      </c>
      <c r="X140" t="s">
        <v>37</v>
      </c>
      <c r="Y140" t="s">
        <v>38</v>
      </c>
      <c r="AD140">
        <v>0</v>
      </c>
      <c r="AE140" t="b">
        <f>ISNUMBER(MATCH(G140,AUM!$C$6:$C$1451,0))</f>
        <v>1</v>
      </c>
      <c r="AF140" t="b">
        <f>ISNUMBER(MATCH(G140,AUM!$G$6:$G$240,0))</f>
        <v>0</v>
      </c>
    </row>
    <row r="141" spans="1:32" x14ac:dyDescent="0.2">
      <c r="A141" t="s">
        <v>270</v>
      </c>
      <c r="B141" s="1">
        <v>45671</v>
      </c>
      <c r="D141" t="s">
        <v>270</v>
      </c>
      <c r="E141" t="s">
        <v>40</v>
      </c>
      <c r="F141" t="s">
        <v>500</v>
      </c>
      <c r="G141" t="s">
        <v>501</v>
      </c>
      <c r="H141" t="s">
        <v>43</v>
      </c>
      <c r="I141">
        <v>235649725.00659201</v>
      </c>
      <c r="J141">
        <v>717.83</v>
      </c>
      <c r="K141">
        <v>721.51</v>
      </c>
      <c r="L141">
        <v>721.50888887999997</v>
      </c>
      <c r="M141">
        <v>170023371253.22198</v>
      </c>
      <c r="N141">
        <v>20</v>
      </c>
      <c r="O141" t="s">
        <v>35</v>
      </c>
      <c r="P141">
        <v>1</v>
      </c>
      <c r="R141" t="s">
        <v>267</v>
      </c>
      <c r="W141" t="s">
        <v>36</v>
      </c>
      <c r="X141" t="s">
        <v>37</v>
      </c>
      <c r="Y141" t="s">
        <v>38</v>
      </c>
      <c r="AD141">
        <v>0</v>
      </c>
      <c r="AE141" t="b">
        <f>ISNUMBER(MATCH(G141,AUM!$C$6:$C$1451,0))</f>
        <v>1</v>
      </c>
      <c r="AF141" t="b">
        <f>ISNUMBER(MATCH(G141,AUM!$G$6:$G$240,0))</f>
        <v>0</v>
      </c>
    </row>
    <row r="142" spans="1:32" x14ac:dyDescent="0.2">
      <c r="A142" t="s">
        <v>242</v>
      </c>
      <c r="B142" s="1">
        <v>45671</v>
      </c>
      <c r="D142" t="s">
        <v>242</v>
      </c>
      <c r="E142" t="s">
        <v>40</v>
      </c>
      <c r="F142" t="s">
        <v>502</v>
      </c>
      <c r="G142" t="s">
        <v>503</v>
      </c>
      <c r="H142" t="s">
        <v>43</v>
      </c>
      <c r="I142">
        <v>8645482.6521827895</v>
      </c>
      <c r="J142">
        <v>1582.47</v>
      </c>
      <c r="K142">
        <v>1595.97</v>
      </c>
      <c r="L142">
        <v>1595.96932784</v>
      </c>
      <c r="M142">
        <v>13797925137.256001</v>
      </c>
      <c r="N142">
        <v>1</v>
      </c>
      <c r="O142" t="s">
        <v>35</v>
      </c>
      <c r="P142">
        <v>1</v>
      </c>
      <c r="R142" t="s">
        <v>239</v>
      </c>
      <c r="W142" t="s">
        <v>36</v>
      </c>
      <c r="X142" t="s">
        <v>37</v>
      </c>
      <c r="Y142" t="s">
        <v>38</v>
      </c>
      <c r="AD142">
        <v>0</v>
      </c>
      <c r="AE142" t="b">
        <f>ISNUMBER(MATCH(G142,AUM!$C$6:$C$1451,0))</f>
        <v>1</v>
      </c>
      <c r="AF142" t="b">
        <f>ISNUMBER(MATCH(G142,AUM!$G$6:$G$240,0))</f>
        <v>0</v>
      </c>
    </row>
    <row r="143" spans="1:32" x14ac:dyDescent="0.2">
      <c r="A143" t="s">
        <v>158</v>
      </c>
      <c r="B143" s="1">
        <v>45671</v>
      </c>
      <c r="D143" t="s">
        <v>158</v>
      </c>
      <c r="E143" t="s">
        <v>40</v>
      </c>
      <c r="F143" t="s">
        <v>504</v>
      </c>
      <c r="G143" t="s">
        <v>505</v>
      </c>
      <c r="H143" t="s">
        <v>43</v>
      </c>
      <c r="I143">
        <v>93107295.268802598</v>
      </c>
      <c r="J143">
        <v>2813.3</v>
      </c>
      <c r="K143">
        <v>2803.04</v>
      </c>
      <c r="L143">
        <v>2803.04239155</v>
      </c>
      <c r="M143">
        <v>260983695601.20999</v>
      </c>
      <c r="N143">
        <v>11</v>
      </c>
      <c r="O143" t="s">
        <v>35</v>
      </c>
      <c r="P143">
        <v>1</v>
      </c>
      <c r="R143" t="s">
        <v>155</v>
      </c>
      <c r="W143" t="s">
        <v>36</v>
      </c>
      <c r="X143" t="s">
        <v>37</v>
      </c>
      <c r="Y143" t="s">
        <v>38</v>
      </c>
      <c r="AD143">
        <v>0</v>
      </c>
      <c r="AE143" t="b">
        <f>ISNUMBER(MATCH(G143,AUM!$C$6:$C$1451,0))</f>
        <v>1</v>
      </c>
      <c r="AF143" t="b">
        <f>ISNUMBER(MATCH(G143,AUM!$G$6:$G$240,0))</f>
        <v>0</v>
      </c>
    </row>
    <row r="144" spans="1:32" x14ac:dyDescent="0.2">
      <c r="A144" t="s">
        <v>262</v>
      </c>
      <c r="B144" s="1">
        <v>45671</v>
      </c>
      <c r="D144" t="s">
        <v>262</v>
      </c>
      <c r="E144" t="s">
        <v>40</v>
      </c>
      <c r="F144" t="s">
        <v>506</v>
      </c>
      <c r="G144" t="s">
        <v>507</v>
      </c>
      <c r="H144" t="s">
        <v>43</v>
      </c>
      <c r="I144">
        <v>19177247.920072202</v>
      </c>
      <c r="J144">
        <v>1443.52</v>
      </c>
      <c r="K144">
        <v>1424.71</v>
      </c>
      <c r="L144">
        <v>1424.7129644500001</v>
      </c>
      <c r="M144">
        <v>27322073734.130001</v>
      </c>
      <c r="N144">
        <v>7</v>
      </c>
      <c r="O144" t="s">
        <v>35</v>
      </c>
      <c r="P144">
        <v>1</v>
      </c>
      <c r="R144" t="s">
        <v>259</v>
      </c>
      <c r="W144" t="s">
        <v>36</v>
      </c>
      <c r="X144" t="s">
        <v>37</v>
      </c>
      <c r="Y144" t="s">
        <v>38</v>
      </c>
      <c r="AD144">
        <v>0</v>
      </c>
      <c r="AE144" t="b">
        <f>ISNUMBER(MATCH(G144,AUM!$C$6:$C$1451,0))</f>
        <v>1</v>
      </c>
      <c r="AF144" t="b">
        <f>ISNUMBER(MATCH(G144,AUM!$G$6:$G$240,0))</f>
        <v>0</v>
      </c>
    </row>
    <row r="145" spans="1:32" x14ac:dyDescent="0.2">
      <c r="A145" t="s">
        <v>162</v>
      </c>
      <c r="B145" s="1">
        <v>45671</v>
      </c>
      <c r="D145" t="s">
        <v>162</v>
      </c>
      <c r="E145" t="s">
        <v>40</v>
      </c>
      <c r="F145" t="s">
        <v>508</v>
      </c>
      <c r="G145" t="s">
        <v>509</v>
      </c>
      <c r="H145" t="s">
        <v>43</v>
      </c>
      <c r="I145">
        <v>43899154.8563907</v>
      </c>
      <c r="J145">
        <v>4114.3100000000004</v>
      </c>
      <c r="K145">
        <v>4070.3</v>
      </c>
      <c r="L145">
        <v>4070.2959880399999</v>
      </c>
      <c r="M145">
        <v>178682553890.35101</v>
      </c>
      <c r="N145">
        <v>17</v>
      </c>
      <c r="O145" t="s">
        <v>35</v>
      </c>
      <c r="P145">
        <v>1</v>
      </c>
      <c r="R145" t="s">
        <v>159</v>
      </c>
      <c r="W145" t="s">
        <v>36</v>
      </c>
      <c r="X145" t="s">
        <v>37</v>
      </c>
      <c r="Y145" t="s">
        <v>38</v>
      </c>
      <c r="AD145">
        <v>0</v>
      </c>
      <c r="AE145" t="b">
        <f>ISNUMBER(MATCH(G145,AUM!$C$6:$C$1451,0))</f>
        <v>1</v>
      </c>
      <c r="AF145" t="b">
        <f>ISNUMBER(MATCH(G145,AUM!$G$6:$G$240,0))</f>
        <v>0</v>
      </c>
    </row>
    <row r="146" spans="1:32" x14ac:dyDescent="0.2">
      <c r="A146" t="s">
        <v>230</v>
      </c>
      <c r="B146" s="1">
        <v>45671</v>
      </c>
      <c r="D146" t="s">
        <v>230</v>
      </c>
      <c r="E146" t="s">
        <v>126</v>
      </c>
      <c r="F146" t="s">
        <v>510</v>
      </c>
      <c r="G146" t="s">
        <v>511</v>
      </c>
      <c r="H146" t="s">
        <v>129</v>
      </c>
      <c r="J146">
        <v>778.52</v>
      </c>
      <c r="K146">
        <v>777.48</v>
      </c>
      <c r="L146">
        <v>777.47780665000005</v>
      </c>
      <c r="Q146" t="s">
        <v>227</v>
      </c>
      <c r="T146">
        <v>0</v>
      </c>
      <c r="W146" t="s">
        <v>36</v>
      </c>
      <c r="X146" t="s">
        <v>69</v>
      </c>
      <c r="Y146" t="s">
        <v>38</v>
      </c>
      <c r="AD146">
        <v>0</v>
      </c>
      <c r="AE146" t="b">
        <f>ISNUMBER(MATCH(G146,AUM!$C$6:$C$1451,0))</f>
        <v>1</v>
      </c>
      <c r="AF146" t="b">
        <f>ISNUMBER(MATCH(G146,AUM!$G$6:$G$240,0))</f>
        <v>0</v>
      </c>
    </row>
    <row r="147" spans="1:32" x14ac:dyDescent="0.2">
      <c r="A147" t="s">
        <v>234</v>
      </c>
      <c r="B147" s="1">
        <v>45671</v>
      </c>
      <c r="D147" t="s">
        <v>234</v>
      </c>
      <c r="E147" t="s">
        <v>126</v>
      </c>
      <c r="F147" t="s">
        <v>512</v>
      </c>
      <c r="G147" t="s">
        <v>513</v>
      </c>
      <c r="H147" t="s">
        <v>129</v>
      </c>
      <c r="J147">
        <v>7249.02</v>
      </c>
      <c r="K147">
        <v>7288.82</v>
      </c>
      <c r="L147">
        <v>7288.81548337</v>
      </c>
      <c r="Q147" t="s">
        <v>231</v>
      </c>
      <c r="T147">
        <v>0</v>
      </c>
      <c r="W147" t="s">
        <v>36</v>
      </c>
      <c r="X147" t="s">
        <v>69</v>
      </c>
      <c r="Y147" t="s">
        <v>38</v>
      </c>
      <c r="AD147">
        <v>0</v>
      </c>
      <c r="AE147" t="b">
        <f>ISNUMBER(MATCH(G147,AUM!$C$6:$C$1451,0))</f>
        <v>1</v>
      </c>
      <c r="AF147" t="b">
        <f>ISNUMBER(MATCH(G147,AUM!$G$6:$G$240,0))</f>
        <v>0</v>
      </c>
    </row>
    <row r="148" spans="1:32" x14ac:dyDescent="0.2">
      <c r="A148" t="s">
        <v>258</v>
      </c>
      <c r="B148" s="1">
        <v>45671</v>
      </c>
      <c r="D148" t="s">
        <v>258</v>
      </c>
      <c r="E148" t="s">
        <v>40</v>
      </c>
      <c r="F148" t="s">
        <v>514</v>
      </c>
      <c r="G148" t="s">
        <v>515</v>
      </c>
      <c r="H148" t="s">
        <v>43</v>
      </c>
      <c r="I148">
        <v>64745975.939751603</v>
      </c>
      <c r="J148">
        <v>2467.2199999999998</v>
      </c>
      <c r="K148">
        <v>2401.34</v>
      </c>
      <c r="L148">
        <v>2401.3432807200002</v>
      </c>
      <c r="M148">
        <v>155477314276.569</v>
      </c>
      <c r="N148">
        <v>29</v>
      </c>
      <c r="O148" t="s">
        <v>35</v>
      </c>
      <c r="P148">
        <v>1</v>
      </c>
      <c r="R148" t="s">
        <v>255</v>
      </c>
      <c r="W148" t="s">
        <v>36</v>
      </c>
      <c r="X148" t="s">
        <v>37</v>
      </c>
      <c r="Y148" t="s">
        <v>38</v>
      </c>
      <c r="AD148">
        <v>0</v>
      </c>
      <c r="AE148" t="b">
        <f>ISNUMBER(MATCH(G148,AUM!$C$6:$C$1451,0))</f>
        <v>1</v>
      </c>
      <c r="AF148" t="b">
        <f>ISNUMBER(MATCH(G148,AUM!$G$6:$G$240,0))</f>
        <v>0</v>
      </c>
    </row>
    <row r="149" spans="1:32" x14ac:dyDescent="0.2">
      <c r="A149" t="s">
        <v>166</v>
      </c>
      <c r="B149" s="1">
        <v>45671</v>
      </c>
      <c r="D149" t="s">
        <v>166</v>
      </c>
      <c r="E149" t="s">
        <v>40</v>
      </c>
      <c r="F149" t="s">
        <v>516</v>
      </c>
      <c r="G149" t="s">
        <v>517</v>
      </c>
      <c r="H149" t="s">
        <v>43</v>
      </c>
      <c r="I149">
        <v>33631801.228658602</v>
      </c>
      <c r="J149">
        <v>1205.72</v>
      </c>
      <c r="K149">
        <v>1203.3399999999999</v>
      </c>
      <c r="L149">
        <v>1203.3438748999999</v>
      </c>
      <c r="M149">
        <v>40470622010.426003</v>
      </c>
      <c r="N149">
        <v>8</v>
      </c>
      <c r="O149" t="s">
        <v>35</v>
      </c>
      <c r="P149">
        <v>1</v>
      </c>
      <c r="R149" t="s">
        <v>163</v>
      </c>
      <c r="W149" t="s">
        <v>36</v>
      </c>
      <c r="X149" t="s">
        <v>37</v>
      </c>
      <c r="Y149" t="s">
        <v>38</v>
      </c>
      <c r="AD149">
        <v>0</v>
      </c>
      <c r="AE149" t="b">
        <f>ISNUMBER(MATCH(G149,AUM!$C$6:$C$1451,0))</f>
        <v>1</v>
      </c>
      <c r="AF149" t="b">
        <f>ISNUMBER(MATCH(G149,AUM!$G$6:$G$240,0))</f>
        <v>0</v>
      </c>
    </row>
    <row r="150" spans="1:32" x14ac:dyDescent="0.2">
      <c r="A150" t="s">
        <v>254</v>
      </c>
      <c r="B150" s="1">
        <v>45671</v>
      </c>
      <c r="D150" t="s">
        <v>254</v>
      </c>
      <c r="E150" t="s">
        <v>40</v>
      </c>
      <c r="F150" t="s">
        <v>518</v>
      </c>
      <c r="G150" t="s">
        <v>519</v>
      </c>
      <c r="H150" t="s">
        <v>43</v>
      </c>
      <c r="I150">
        <v>181190968.61609399</v>
      </c>
      <c r="J150">
        <v>1157.98</v>
      </c>
      <c r="K150">
        <v>1172.48</v>
      </c>
      <c r="L150">
        <v>1172.4822857700001</v>
      </c>
      <c r="M150">
        <v>212443201043.965</v>
      </c>
      <c r="N150">
        <v>3</v>
      </c>
      <c r="O150" t="s">
        <v>35</v>
      </c>
      <c r="P150">
        <v>1</v>
      </c>
      <c r="R150" t="s">
        <v>251</v>
      </c>
      <c r="W150" t="s">
        <v>36</v>
      </c>
      <c r="X150" t="s">
        <v>37</v>
      </c>
      <c r="Y150" t="s">
        <v>38</v>
      </c>
      <c r="AD150">
        <v>0</v>
      </c>
      <c r="AE150" t="b">
        <f>ISNUMBER(MATCH(G150,AUM!$C$6:$C$1451,0))</f>
        <v>1</v>
      </c>
      <c r="AF150" t="b">
        <f>ISNUMBER(MATCH(G150,AUM!$G$6:$G$240,0))</f>
        <v>0</v>
      </c>
    </row>
    <row r="151" spans="1:32" x14ac:dyDescent="0.2">
      <c r="A151" t="s">
        <v>302</v>
      </c>
      <c r="B151" s="1">
        <v>45671</v>
      </c>
      <c r="D151" t="s">
        <v>302</v>
      </c>
      <c r="E151" t="s">
        <v>31</v>
      </c>
      <c r="F151" t="s">
        <v>520</v>
      </c>
      <c r="G151" t="s">
        <v>521</v>
      </c>
      <c r="H151" t="s">
        <v>34</v>
      </c>
      <c r="I151">
        <v>333951036.18402302</v>
      </c>
      <c r="J151">
        <v>8819.2099999999991</v>
      </c>
      <c r="K151">
        <v>8796.48</v>
      </c>
      <c r="L151">
        <v>8796.4759283599997</v>
      </c>
      <c r="M151">
        <v>2937592251044.3101</v>
      </c>
      <c r="N151">
        <v>354</v>
      </c>
      <c r="O151" t="s">
        <v>35</v>
      </c>
      <c r="P151">
        <v>1</v>
      </c>
      <c r="S151" t="s">
        <v>299</v>
      </c>
      <c r="W151" t="s">
        <v>36</v>
      </c>
      <c r="X151" t="s">
        <v>37</v>
      </c>
      <c r="Y151" t="s">
        <v>38</v>
      </c>
      <c r="AD151">
        <v>0</v>
      </c>
      <c r="AE151" t="b">
        <f>ISNUMBER(MATCH(G151,AUM!$C$6:$C$1451,0))</f>
        <v>1</v>
      </c>
      <c r="AF151" t="b">
        <f>ISNUMBER(MATCH(G151,AUM!$G$6:$G$240,0))</f>
        <v>0</v>
      </c>
    </row>
    <row r="152" spans="1:32" x14ac:dyDescent="0.2">
      <c r="A152" t="s">
        <v>333</v>
      </c>
      <c r="B152" s="1">
        <v>45671</v>
      </c>
      <c r="D152" t="s">
        <v>333</v>
      </c>
      <c r="E152" t="s">
        <v>31</v>
      </c>
      <c r="F152" t="s">
        <v>522</v>
      </c>
      <c r="G152" t="s">
        <v>523</v>
      </c>
      <c r="H152" t="s">
        <v>34</v>
      </c>
      <c r="I152">
        <v>7541501.1156712798</v>
      </c>
      <c r="J152">
        <v>12702.71</v>
      </c>
      <c r="K152">
        <v>12664.51</v>
      </c>
      <c r="L152">
        <v>12664.51338479</v>
      </c>
      <c r="M152">
        <v>95509441820.841003</v>
      </c>
      <c r="N152">
        <v>143</v>
      </c>
      <c r="O152" t="s">
        <v>35</v>
      </c>
      <c r="P152">
        <v>1</v>
      </c>
      <c r="R152" t="s">
        <v>330</v>
      </c>
      <c r="S152" t="s">
        <v>334</v>
      </c>
      <c r="W152" t="s">
        <v>36</v>
      </c>
      <c r="X152" t="s">
        <v>37</v>
      </c>
      <c r="Y152" t="s">
        <v>38</v>
      </c>
      <c r="AD152">
        <v>0</v>
      </c>
      <c r="AE152" t="b">
        <f>ISNUMBER(MATCH(G152,AUM!$C$6:$C$1451,0))</f>
        <v>1</v>
      </c>
      <c r="AF152" t="b">
        <f>ISNUMBER(MATCH(G152,AUM!$G$6:$G$240,0))</f>
        <v>0</v>
      </c>
    </row>
    <row r="153" spans="1:32" x14ac:dyDescent="0.2">
      <c r="A153" t="s">
        <v>340</v>
      </c>
      <c r="B153" s="1">
        <v>45671</v>
      </c>
      <c r="D153" t="s">
        <v>340</v>
      </c>
      <c r="E153" t="s">
        <v>31</v>
      </c>
      <c r="F153" t="s">
        <v>524</v>
      </c>
      <c r="G153" t="s">
        <v>525</v>
      </c>
      <c r="H153" t="s">
        <v>34</v>
      </c>
      <c r="I153">
        <v>958960.12561845395</v>
      </c>
      <c r="J153">
        <v>10696.3</v>
      </c>
      <c r="K153">
        <v>10559.57</v>
      </c>
      <c r="L153">
        <v>10559.57141162</v>
      </c>
      <c r="M153">
        <v>10126207927.3654</v>
      </c>
      <c r="N153">
        <v>83</v>
      </c>
      <c r="O153" t="s">
        <v>35</v>
      </c>
      <c r="P153">
        <v>1</v>
      </c>
      <c r="R153" t="s">
        <v>337</v>
      </c>
      <c r="S153" t="s">
        <v>341</v>
      </c>
      <c r="W153" t="s">
        <v>36</v>
      </c>
      <c r="X153" t="s">
        <v>37</v>
      </c>
      <c r="Y153" t="s">
        <v>38</v>
      </c>
      <c r="AD153">
        <v>0</v>
      </c>
      <c r="AE153" t="b">
        <f>ISNUMBER(MATCH(G153,AUM!$C$6:$C$1451,0))</f>
        <v>1</v>
      </c>
      <c r="AF153" t="b">
        <f>ISNUMBER(MATCH(G153,AUM!$G$6:$G$240,0))</f>
        <v>0</v>
      </c>
    </row>
    <row r="154" spans="1:32" x14ac:dyDescent="0.2">
      <c r="A154" t="s">
        <v>526</v>
      </c>
      <c r="B154" s="1">
        <v>45671</v>
      </c>
      <c r="D154" t="s">
        <v>526</v>
      </c>
      <c r="E154" t="s">
        <v>31</v>
      </c>
      <c r="F154" t="s">
        <v>527</v>
      </c>
      <c r="G154" t="s">
        <v>528</v>
      </c>
      <c r="H154" t="s">
        <v>34</v>
      </c>
      <c r="I154">
        <v>6577159.6959274504</v>
      </c>
      <c r="J154">
        <v>13005.64</v>
      </c>
      <c r="K154">
        <v>12981.78</v>
      </c>
      <c r="L154">
        <v>12981.77904154</v>
      </c>
      <c r="M154">
        <v>85383233893.475601</v>
      </c>
      <c r="N154">
        <v>60</v>
      </c>
      <c r="O154" t="s">
        <v>35</v>
      </c>
      <c r="P154">
        <v>1</v>
      </c>
      <c r="R154" t="s">
        <v>529</v>
      </c>
      <c r="S154" t="s">
        <v>530</v>
      </c>
      <c r="W154" t="s">
        <v>36</v>
      </c>
      <c r="X154" t="s">
        <v>37</v>
      </c>
      <c r="Y154" t="s">
        <v>38</v>
      </c>
      <c r="AD154">
        <v>0</v>
      </c>
      <c r="AE154" t="b">
        <f>ISNUMBER(MATCH(G154,AUM!$C$6:$C$1451,0))</f>
        <v>1</v>
      </c>
      <c r="AF154" t="b">
        <f>ISNUMBER(MATCH(G154,AUM!$G$6:$G$240,0))</f>
        <v>0</v>
      </c>
    </row>
    <row r="155" spans="1:32" x14ac:dyDescent="0.2">
      <c r="A155" t="s">
        <v>298</v>
      </c>
      <c r="B155" s="1">
        <v>45671</v>
      </c>
      <c r="D155" t="s">
        <v>298</v>
      </c>
      <c r="E155" t="s">
        <v>31</v>
      </c>
      <c r="F155" t="s">
        <v>531</v>
      </c>
      <c r="G155" t="s">
        <v>532</v>
      </c>
      <c r="H155" t="s">
        <v>34</v>
      </c>
      <c r="I155">
        <v>8306638.0847737202</v>
      </c>
      <c r="J155">
        <v>10695.76</v>
      </c>
      <c r="K155">
        <v>10668.96</v>
      </c>
      <c r="L155">
        <v>10668.95730383</v>
      </c>
      <c r="M155">
        <v>88623167064.849899</v>
      </c>
      <c r="N155">
        <v>20</v>
      </c>
      <c r="O155" t="s">
        <v>35</v>
      </c>
      <c r="P155">
        <v>1</v>
      </c>
      <c r="R155" t="s">
        <v>295</v>
      </c>
      <c r="S155" t="s">
        <v>303</v>
      </c>
      <c r="W155" t="s">
        <v>36</v>
      </c>
      <c r="X155" t="s">
        <v>37</v>
      </c>
      <c r="Y155" t="s">
        <v>38</v>
      </c>
      <c r="AD155">
        <v>0</v>
      </c>
      <c r="AE155" t="b">
        <f>ISNUMBER(MATCH(G155,AUM!$C$6:$C$1451,0))</f>
        <v>1</v>
      </c>
      <c r="AF155" t="b">
        <f>ISNUMBER(MATCH(G155,AUM!$G$6:$G$240,0))</f>
        <v>0</v>
      </c>
    </row>
    <row r="156" spans="1:32" x14ac:dyDescent="0.2">
      <c r="A156" t="s">
        <v>533</v>
      </c>
      <c r="B156" s="1">
        <v>45671</v>
      </c>
      <c r="D156" t="s">
        <v>534</v>
      </c>
      <c r="E156" t="s">
        <v>31</v>
      </c>
      <c r="F156" t="s">
        <v>535</v>
      </c>
      <c r="G156" t="s">
        <v>536</v>
      </c>
      <c r="H156" t="s">
        <v>34</v>
      </c>
      <c r="J156">
        <v>17290.89</v>
      </c>
      <c r="K156">
        <v>17238.77</v>
      </c>
      <c r="L156">
        <v>17238.766305739999</v>
      </c>
      <c r="Q156" t="s">
        <v>537</v>
      </c>
      <c r="U156">
        <v>0.49117678404769</v>
      </c>
      <c r="V156" t="s">
        <v>79</v>
      </c>
      <c r="W156" t="s">
        <v>36</v>
      </c>
      <c r="X156" t="s">
        <v>69</v>
      </c>
      <c r="Y156" t="s">
        <v>38</v>
      </c>
      <c r="AD156">
        <v>0</v>
      </c>
      <c r="AE156" t="b">
        <f>ISNUMBER(MATCH(G156,AUM!$C$6:$C$1451,0))</f>
        <v>0</v>
      </c>
      <c r="AF156" t="b">
        <f>ISNUMBER(MATCH(G156,AUM!$G$6:$G$240,0))</f>
        <v>0</v>
      </c>
    </row>
    <row r="157" spans="1:32" x14ac:dyDescent="0.2">
      <c r="A157" t="s">
        <v>538</v>
      </c>
      <c r="B157" s="1">
        <v>45671</v>
      </c>
      <c r="D157" t="s">
        <v>539</v>
      </c>
      <c r="E157" t="s">
        <v>31</v>
      </c>
      <c r="F157" t="s">
        <v>540</v>
      </c>
      <c r="G157" t="s">
        <v>541</v>
      </c>
      <c r="H157" t="s">
        <v>34</v>
      </c>
      <c r="J157">
        <v>23215.72</v>
      </c>
      <c r="K157">
        <v>23145.74</v>
      </c>
      <c r="L157">
        <v>23145.74189786</v>
      </c>
      <c r="Q157" t="s">
        <v>537</v>
      </c>
      <c r="T157">
        <v>0.65490237873025003</v>
      </c>
      <c r="V157" t="s">
        <v>79</v>
      </c>
      <c r="W157" t="s">
        <v>36</v>
      </c>
      <c r="X157" t="s">
        <v>69</v>
      </c>
      <c r="Y157" t="s">
        <v>38</v>
      </c>
      <c r="AD157">
        <v>0</v>
      </c>
      <c r="AE157" t="b">
        <f>ISNUMBER(MATCH(G157,AUM!$C$6:$C$1451,0))</f>
        <v>0</v>
      </c>
      <c r="AF157" t="b">
        <f>ISNUMBER(MATCH(G157,AUM!$G$6:$G$240,0))</f>
        <v>0</v>
      </c>
    </row>
    <row r="158" spans="1:32" x14ac:dyDescent="0.2">
      <c r="A158" t="s">
        <v>542</v>
      </c>
      <c r="B158" s="1">
        <v>45671</v>
      </c>
      <c r="D158" t="s">
        <v>543</v>
      </c>
      <c r="E158" t="s">
        <v>126</v>
      </c>
      <c r="F158" t="s">
        <v>544</v>
      </c>
      <c r="G158" t="s">
        <v>545</v>
      </c>
      <c r="H158" t="s">
        <v>129</v>
      </c>
      <c r="J158">
        <v>14785.89</v>
      </c>
      <c r="K158">
        <v>14857.87</v>
      </c>
      <c r="L158">
        <v>14857.87162521</v>
      </c>
      <c r="Q158" t="s">
        <v>546</v>
      </c>
      <c r="U158">
        <v>0</v>
      </c>
      <c r="W158" t="s">
        <v>36</v>
      </c>
      <c r="X158" t="s">
        <v>69</v>
      </c>
      <c r="Y158" t="s">
        <v>38</v>
      </c>
      <c r="AD158">
        <v>0</v>
      </c>
      <c r="AE158" t="b">
        <f>ISNUMBER(MATCH(G158,AUM!$C$6:$C$1451,0))</f>
        <v>0</v>
      </c>
      <c r="AF158" t="b">
        <f>ISNUMBER(MATCH(G158,AUM!$G$6:$G$240,0))</f>
        <v>0</v>
      </c>
    </row>
    <row r="159" spans="1:32" x14ac:dyDescent="0.2">
      <c r="A159" t="s">
        <v>547</v>
      </c>
      <c r="B159" s="1">
        <v>45671</v>
      </c>
      <c r="D159" t="s">
        <v>548</v>
      </c>
      <c r="E159" t="s">
        <v>40</v>
      </c>
      <c r="F159" t="s">
        <v>549</v>
      </c>
      <c r="G159" t="s">
        <v>550</v>
      </c>
      <c r="H159" t="s">
        <v>43</v>
      </c>
      <c r="J159">
        <v>2495.25</v>
      </c>
      <c r="K159">
        <v>2466.31</v>
      </c>
      <c r="L159">
        <v>2466.3083096</v>
      </c>
      <c r="Q159" t="s">
        <v>551</v>
      </c>
      <c r="U159">
        <v>0</v>
      </c>
      <c r="W159" t="s">
        <v>36</v>
      </c>
      <c r="X159" t="s">
        <v>69</v>
      </c>
      <c r="Y159" t="s">
        <v>38</v>
      </c>
      <c r="AD159">
        <v>0</v>
      </c>
      <c r="AE159" t="b">
        <f>ISNUMBER(MATCH(G159,AUM!$C$6:$C$1451,0))</f>
        <v>0</v>
      </c>
      <c r="AF159" t="b">
        <f>ISNUMBER(MATCH(G159,AUM!$G$6:$G$240,0))</f>
        <v>0</v>
      </c>
    </row>
    <row r="160" spans="1:32" x14ac:dyDescent="0.2">
      <c r="A160" t="s">
        <v>552</v>
      </c>
      <c r="B160" s="1">
        <v>45671</v>
      </c>
      <c r="D160" t="s">
        <v>553</v>
      </c>
      <c r="E160" t="s">
        <v>40</v>
      </c>
      <c r="F160" t="s">
        <v>554</v>
      </c>
      <c r="G160" t="s">
        <v>555</v>
      </c>
      <c r="H160" t="s">
        <v>43</v>
      </c>
      <c r="J160">
        <v>2902.78</v>
      </c>
      <c r="K160">
        <v>2869.1</v>
      </c>
      <c r="L160">
        <v>2869.1024156200001</v>
      </c>
      <c r="Q160" t="s">
        <v>551</v>
      </c>
      <c r="T160">
        <v>0</v>
      </c>
      <c r="W160" t="s">
        <v>36</v>
      </c>
      <c r="X160" t="s">
        <v>69</v>
      </c>
      <c r="Y160" t="s">
        <v>38</v>
      </c>
      <c r="AD160">
        <v>0</v>
      </c>
      <c r="AE160" t="b">
        <f>ISNUMBER(MATCH(G160,AUM!$C$6:$C$1451,0))</f>
        <v>0</v>
      </c>
      <c r="AF160" t="b">
        <f>ISNUMBER(MATCH(G160,AUM!$G$6:$G$240,0))</f>
        <v>0</v>
      </c>
    </row>
    <row r="161" spans="1:32" x14ac:dyDescent="0.2">
      <c r="A161" t="s">
        <v>556</v>
      </c>
      <c r="B161" s="1">
        <v>45671</v>
      </c>
      <c r="D161" t="s">
        <v>556</v>
      </c>
      <c r="E161" t="s">
        <v>126</v>
      </c>
      <c r="F161" t="s">
        <v>557</v>
      </c>
      <c r="G161" t="s">
        <v>558</v>
      </c>
      <c r="H161" t="s">
        <v>129</v>
      </c>
      <c r="I161">
        <v>1746775.42278146</v>
      </c>
      <c r="J161">
        <v>5624.25</v>
      </c>
      <c r="K161">
        <v>5659.07</v>
      </c>
      <c r="L161">
        <v>5659.0683061899999</v>
      </c>
      <c r="M161">
        <v>9885121433.1003304</v>
      </c>
      <c r="N161">
        <v>14</v>
      </c>
      <c r="O161" t="s">
        <v>35</v>
      </c>
      <c r="P161">
        <v>1</v>
      </c>
      <c r="R161" t="s">
        <v>559</v>
      </c>
      <c r="S161" t="s">
        <v>560</v>
      </c>
      <c r="W161" t="s">
        <v>36</v>
      </c>
      <c r="X161" t="s">
        <v>37</v>
      </c>
      <c r="Y161" t="s">
        <v>38</v>
      </c>
      <c r="AD161">
        <v>0</v>
      </c>
      <c r="AE161" t="b">
        <f>ISNUMBER(MATCH(G161,AUM!$C$6:$C$1451,0))</f>
        <v>1</v>
      </c>
      <c r="AF161" t="b">
        <f>ISNUMBER(MATCH(G161,AUM!$G$6:$G$240,0))</f>
        <v>0</v>
      </c>
    </row>
    <row r="162" spans="1:32" x14ac:dyDescent="0.2">
      <c r="A162" t="s">
        <v>282</v>
      </c>
      <c r="B162" s="1">
        <v>45671</v>
      </c>
      <c r="D162" t="s">
        <v>282</v>
      </c>
      <c r="E162" t="s">
        <v>126</v>
      </c>
      <c r="F162" t="s">
        <v>561</v>
      </c>
      <c r="G162" t="s">
        <v>562</v>
      </c>
      <c r="H162" t="s">
        <v>129</v>
      </c>
      <c r="J162">
        <v>4061.34</v>
      </c>
      <c r="K162">
        <v>4091.42</v>
      </c>
      <c r="L162">
        <v>4091.41666489</v>
      </c>
      <c r="Q162" t="s">
        <v>279</v>
      </c>
      <c r="T162">
        <v>0</v>
      </c>
      <c r="W162" t="s">
        <v>36</v>
      </c>
      <c r="X162" t="s">
        <v>69</v>
      </c>
      <c r="Y162" t="s">
        <v>38</v>
      </c>
      <c r="AD162">
        <v>0</v>
      </c>
      <c r="AE162" t="b">
        <f>ISNUMBER(MATCH(G162,AUM!$C$6:$C$1451,0))</f>
        <v>1</v>
      </c>
      <c r="AF162" t="b">
        <f>ISNUMBER(MATCH(G162,AUM!$G$6:$G$240,0))</f>
        <v>0</v>
      </c>
    </row>
    <row r="163" spans="1:32" x14ac:dyDescent="0.2">
      <c r="A163" t="s">
        <v>563</v>
      </c>
      <c r="B163" s="1">
        <v>45671</v>
      </c>
      <c r="D163" t="s">
        <v>563</v>
      </c>
      <c r="E163" t="s">
        <v>126</v>
      </c>
      <c r="F163" t="s">
        <v>564</v>
      </c>
      <c r="G163" t="s">
        <v>565</v>
      </c>
      <c r="H163" t="s">
        <v>129</v>
      </c>
      <c r="J163">
        <v>18800.16</v>
      </c>
      <c r="K163">
        <v>18891.689999999999</v>
      </c>
      <c r="L163">
        <v>18891.692321359998</v>
      </c>
      <c r="Q163" t="s">
        <v>378</v>
      </c>
      <c r="T163">
        <v>0</v>
      </c>
      <c r="W163" t="s">
        <v>36</v>
      </c>
      <c r="X163" t="s">
        <v>69</v>
      </c>
      <c r="Y163" t="s">
        <v>38</v>
      </c>
      <c r="AD163">
        <v>0</v>
      </c>
      <c r="AE163" t="b">
        <f>ISNUMBER(MATCH(G163,AUM!$C$6:$C$1451,0))</f>
        <v>1</v>
      </c>
      <c r="AF163" t="b">
        <f>ISNUMBER(MATCH(G163,AUM!$G$6:$G$240,0))</f>
        <v>0</v>
      </c>
    </row>
    <row r="164" spans="1:32" x14ac:dyDescent="0.2">
      <c r="A164" t="s">
        <v>378</v>
      </c>
      <c r="B164" s="1">
        <v>45671</v>
      </c>
      <c r="D164" t="s">
        <v>378</v>
      </c>
      <c r="E164" t="s">
        <v>126</v>
      </c>
      <c r="F164" t="s">
        <v>566</v>
      </c>
      <c r="G164" t="s">
        <v>567</v>
      </c>
      <c r="H164" t="s">
        <v>129</v>
      </c>
      <c r="I164">
        <v>1982797.2759043099</v>
      </c>
      <c r="J164">
        <v>6299.98</v>
      </c>
      <c r="K164">
        <v>6330.65</v>
      </c>
      <c r="L164">
        <v>6330.6527657899996</v>
      </c>
      <c r="M164">
        <v>12552401058.696899</v>
      </c>
      <c r="N164">
        <v>15</v>
      </c>
      <c r="O164" t="s">
        <v>35</v>
      </c>
      <c r="P164">
        <v>1</v>
      </c>
      <c r="R164" t="s">
        <v>563</v>
      </c>
      <c r="S164" t="s">
        <v>375</v>
      </c>
      <c r="W164" t="s">
        <v>36</v>
      </c>
      <c r="X164" t="s">
        <v>37</v>
      </c>
      <c r="Y164" t="s">
        <v>38</v>
      </c>
      <c r="AD164">
        <v>0</v>
      </c>
      <c r="AE164" t="b">
        <f>ISNUMBER(MATCH(G164,AUM!$C$6:$C$1451,0))</f>
        <v>1</v>
      </c>
      <c r="AF164" t="b">
        <f>ISNUMBER(MATCH(G164,AUM!$G$6:$G$240,0))</f>
        <v>1</v>
      </c>
    </row>
    <row r="165" spans="1:32" x14ac:dyDescent="0.2">
      <c r="A165" t="s">
        <v>568</v>
      </c>
      <c r="B165" s="1">
        <v>45671</v>
      </c>
      <c r="D165" t="s">
        <v>378</v>
      </c>
      <c r="E165" t="s">
        <v>126</v>
      </c>
      <c r="F165" t="s">
        <v>569</v>
      </c>
      <c r="G165" t="s">
        <v>570</v>
      </c>
      <c r="H165" t="s">
        <v>129</v>
      </c>
      <c r="I165">
        <v>1982797.2759043099</v>
      </c>
      <c r="J165">
        <v>6299.98</v>
      </c>
      <c r="K165">
        <v>6330.65</v>
      </c>
      <c r="L165">
        <v>6330.6527657899996</v>
      </c>
      <c r="M165">
        <v>12552401058.696899</v>
      </c>
      <c r="N165">
        <v>15</v>
      </c>
      <c r="O165" t="s">
        <v>35</v>
      </c>
      <c r="P165">
        <v>1</v>
      </c>
      <c r="R165" t="s">
        <v>563</v>
      </c>
      <c r="S165" t="s">
        <v>375</v>
      </c>
      <c r="W165" t="s">
        <v>36</v>
      </c>
      <c r="X165" t="s">
        <v>37</v>
      </c>
      <c r="Y165" t="s">
        <v>38</v>
      </c>
      <c r="AD165">
        <v>0</v>
      </c>
      <c r="AE165" t="b">
        <f>ISNUMBER(MATCH(G165,AUM!$C$6:$C$1451,0))</f>
        <v>0</v>
      </c>
      <c r="AF165" t="b">
        <f>ISNUMBER(MATCH(G165,AUM!$G$6:$G$240,0))</f>
        <v>0</v>
      </c>
    </row>
    <row r="166" spans="1:32" x14ac:dyDescent="0.2">
      <c r="A166" t="s">
        <v>571</v>
      </c>
      <c r="B166" s="1">
        <v>45671</v>
      </c>
      <c r="D166" t="s">
        <v>563</v>
      </c>
      <c r="E166" t="s">
        <v>126</v>
      </c>
      <c r="F166" t="s">
        <v>572</v>
      </c>
      <c r="G166" t="s">
        <v>573</v>
      </c>
      <c r="H166" t="s">
        <v>129</v>
      </c>
      <c r="J166">
        <v>18800.16</v>
      </c>
      <c r="K166">
        <v>18891.689999999999</v>
      </c>
      <c r="L166">
        <v>18891.692321359998</v>
      </c>
      <c r="Q166" t="s">
        <v>378</v>
      </c>
      <c r="T166">
        <v>0</v>
      </c>
      <c r="W166" t="s">
        <v>36</v>
      </c>
      <c r="X166" t="s">
        <v>69</v>
      </c>
      <c r="Y166" t="s">
        <v>38</v>
      </c>
      <c r="AD166">
        <v>0</v>
      </c>
      <c r="AE166" t="b">
        <f>ISNUMBER(MATCH(G166,AUM!$C$6:$C$1451,0))</f>
        <v>0</v>
      </c>
      <c r="AF166" t="b">
        <f>ISNUMBER(MATCH(G166,AUM!$G$6:$G$240,0))</f>
        <v>0</v>
      </c>
    </row>
    <row r="167" spans="1:32" x14ac:dyDescent="0.2">
      <c r="A167" t="s">
        <v>574</v>
      </c>
      <c r="B167" s="1">
        <v>45671</v>
      </c>
      <c r="D167" t="s">
        <v>546</v>
      </c>
      <c r="E167" t="s">
        <v>126</v>
      </c>
      <c r="F167" t="s">
        <v>575</v>
      </c>
      <c r="G167" t="s">
        <v>576</v>
      </c>
      <c r="H167" t="s">
        <v>129</v>
      </c>
      <c r="I167">
        <v>1982797.2759043099</v>
      </c>
      <c r="J167">
        <v>6299.98</v>
      </c>
      <c r="K167">
        <v>6330.65</v>
      </c>
      <c r="L167">
        <v>6330.6527657899996</v>
      </c>
      <c r="M167">
        <v>12552401058.696899</v>
      </c>
      <c r="N167">
        <v>15</v>
      </c>
      <c r="O167" t="s">
        <v>35</v>
      </c>
      <c r="P167">
        <v>1</v>
      </c>
      <c r="R167" t="s">
        <v>577</v>
      </c>
      <c r="S167" t="s">
        <v>543</v>
      </c>
      <c r="W167" t="s">
        <v>36</v>
      </c>
      <c r="X167" t="s">
        <v>37</v>
      </c>
      <c r="Y167" t="s">
        <v>38</v>
      </c>
      <c r="AD167">
        <v>0</v>
      </c>
      <c r="AE167" t="b">
        <f>ISNUMBER(MATCH(G167,AUM!$C$6:$C$1451,0))</f>
        <v>0</v>
      </c>
      <c r="AF167" t="b">
        <f>ISNUMBER(MATCH(G167,AUM!$G$6:$G$240,0))</f>
        <v>0</v>
      </c>
    </row>
    <row r="168" spans="1:32" x14ac:dyDescent="0.2">
      <c r="A168" t="s">
        <v>578</v>
      </c>
      <c r="B168" s="1">
        <v>45671</v>
      </c>
      <c r="D168" t="s">
        <v>577</v>
      </c>
      <c r="E168" t="s">
        <v>126</v>
      </c>
      <c r="F168" t="s">
        <v>579</v>
      </c>
      <c r="G168" t="s">
        <v>580</v>
      </c>
      <c r="H168" t="s">
        <v>129</v>
      </c>
      <c r="J168">
        <v>18800.16</v>
      </c>
      <c r="K168">
        <v>18891.689999999999</v>
      </c>
      <c r="L168">
        <v>18891.692321359998</v>
      </c>
      <c r="Q168" t="s">
        <v>546</v>
      </c>
      <c r="T168">
        <v>0</v>
      </c>
      <c r="W168" t="s">
        <v>36</v>
      </c>
      <c r="X168" t="s">
        <v>69</v>
      </c>
      <c r="Y168" t="s">
        <v>38</v>
      </c>
      <c r="AD168">
        <v>0</v>
      </c>
      <c r="AE168" t="b">
        <f>ISNUMBER(MATCH(G168,AUM!$C$6:$C$1451,0))</f>
        <v>0</v>
      </c>
      <c r="AF168" t="b">
        <f>ISNUMBER(MATCH(G168,AUM!$G$6:$G$240,0))</f>
        <v>0</v>
      </c>
    </row>
    <row r="169" spans="1:32" x14ac:dyDescent="0.2">
      <c r="A169" t="s">
        <v>581</v>
      </c>
      <c r="B169" s="1">
        <v>45671</v>
      </c>
      <c r="D169" t="s">
        <v>581</v>
      </c>
      <c r="E169" t="s">
        <v>582</v>
      </c>
      <c r="F169" t="s">
        <v>583</v>
      </c>
      <c r="G169" t="s">
        <v>584</v>
      </c>
      <c r="H169" t="s">
        <v>585</v>
      </c>
      <c r="J169">
        <v>4154.62</v>
      </c>
      <c r="K169">
        <v>4125.6099999999997</v>
      </c>
      <c r="L169">
        <v>4125.6128405400004</v>
      </c>
      <c r="Q169" t="s">
        <v>586</v>
      </c>
      <c r="U169">
        <v>0</v>
      </c>
      <c r="W169" t="s">
        <v>36</v>
      </c>
      <c r="X169" t="s">
        <v>69</v>
      </c>
      <c r="Y169" t="s">
        <v>38</v>
      </c>
      <c r="AD169">
        <v>0</v>
      </c>
      <c r="AE169" t="b">
        <f>ISNUMBER(MATCH(G169,AUM!$C$6:$C$1451,0))</f>
        <v>1</v>
      </c>
      <c r="AF169" t="b">
        <f>ISNUMBER(MATCH(G169,AUM!$G$6:$G$240,0))</f>
        <v>0</v>
      </c>
    </row>
    <row r="170" spans="1:32" x14ac:dyDescent="0.2">
      <c r="A170" t="s">
        <v>586</v>
      </c>
      <c r="B170" s="1">
        <v>45671</v>
      </c>
      <c r="D170" t="s">
        <v>586</v>
      </c>
      <c r="E170" t="s">
        <v>582</v>
      </c>
      <c r="F170" t="s">
        <v>587</v>
      </c>
      <c r="G170" t="s">
        <v>588</v>
      </c>
      <c r="H170" t="s">
        <v>585</v>
      </c>
      <c r="I170">
        <v>310708431.74314302</v>
      </c>
      <c r="J170">
        <v>3050.13</v>
      </c>
      <c r="K170">
        <v>3028.83</v>
      </c>
      <c r="L170">
        <v>3028.8310433199999</v>
      </c>
      <c r="M170">
        <v>941083343484.24402</v>
      </c>
      <c r="N170">
        <v>40</v>
      </c>
      <c r="O170" t="s">
        <v>589</v>
      </c>
      <c r="P170">
        <v>1</v>
      </c>
      <c r="R170" t="s">
        <v>590</v>
      </c>
      <c r="S170" t="s">
        <v>581</v>
      </c>
      <c r="W170" t="s">
        <v>36</v>
      </c>
      <c r="X170" t="s">
        <v>37</v>
      </c>
      <c r="Y170" t="s">
        <v>38</v>
      </c>
      <c r="AD170">
        <v>0</v>
      </c>
      <c r="AE170" t="b">
        <f>ISNUMBER(MATCH(G170,AUM!$C$6:$C$1451,0))</f>
        <v>1</v>
      </c>
      <c r="AF170" t="b">
        <f>ISNUMBER(MATCH(G170,AUM!$G$6:$G$240,0))</f>
        <v>0</v>
      </c>
    </row>
    <row r="171" spans="1:32" x14ac:dyDescent="0.2">
      <c r="A171" t="s">
        <v>590</v>
      </c>
      <c r="B171" s="1">
        <v>45671</v>
      </c>
      <c r="D171" t="s">
        <v>590</v>
      </c>
      <c r="E171" t="s">
        <v>582</v>
      </c>
      <c r="F171" t="s">
        <v>591</v>
      </c>
      <c r="G171" t="s">
        <v>592</v>
      </c>
      <c r="H171" t="s">
        <v>585</v>
      </c>
      <c r="J171">
        <v>4590.08</v>
      </c>
      <c r="K171">
        <v>4558.04</v>
      </c>
      <c r="L171">
        <v>4558.0389814700002</v>
      </c>
      <c r="Q171" t="s">
        <v>586</v>
      </c>
      <c r="T171">
        <v>0</v>
      </c>
      <c r="W171" t="s">
        <v>36</v>
      </c>
      <c r="X171" t="s">
        <v>69</v>
      </c>
      <c r="Y171" t="s">
        <v>38</v>
      </c>
      <c r="AD171">
        <v>0</v>
      </c>
      <c r="AE171" t="b">
        <f>ISNUMBER(MATCH(G171,AUM!$C$6:$C$1451,0))</f>
        <v>1</v>
      </c>
      <c r="AF171" t="b">
        <f>ISNUMBER(MATCH(G171,AUM!$G$6:$G$240,0))</f>
        <v>1</v>
      </c>
    </row>
    <row r="172" spans="1:32" x14ac:dyDescent="0.2">
      <c r="A172" t="s">
        <v>593</v>
      </c>
      <c r="B172" s="1">
        <v>45671</v>
      </c>
      <c r="D172" t="s">
        <v>593</v>
      </c>
      <c r="E172" t="s">
        <v>582</v>
      </c>
      <c r="F172" t="s">
        <v>594</v>
      </c>
      <c r="G172" t="s">
        <v>595</v>
      </c>
      <c r="H172" t="s">
        <v>585</v>
      </c>
      <c r="J172">
        <v>3523.13</v>
      </c>
      <c r="K172">
        <v>3505.97</v>
      </c>
      <c r="L172">
        <v>3505.96942734</v>
      </c>
      <c r="Q172" t="s">
        <v>596</v>
      </c>
      <c r="U172">
        <v>0</v>
      </c>
      <c r="W172" t="s">
        <v>36</v>
      </c>
      <c r="X172" t="s">
        <v>69</v>
      </c>
      <c r="Y172" t="s">
        <v>38</v>
      </c>
      <c r="AD172">
        <v>0</v>
      </c>
      <c r="AE172" t="b">
        <f>ISNUMBER(MATCH(G172,AUM!$C$6:$C$1451,0))</f>
        <v>1</v>
      </c>
      <c r="AF172" t="b">
        <f>ISNUMBER(MATCH(G172,AUM!$G$6:$G$240,0))</f>
        <v>0</v>
      </c>
    </row>
    <row r="173" spans="1:32" x14ac:dyDescent="0.2">
      <c r="A173" t="s">
        <v>596</v>
      </c>
      <c r="B173" s="1">
        <v>45671</v>
      </c>
      <c r="D173" t="s">
        <v>596</v>
      </c>
      <c r="E173" t="s">
        <v>582</v>
      </c>
      <c r="F173" t="s">
        <v>597</v>
      </c>
      <c r="G173" t="s">
        <v>598</v>
      </c>
      <c r="H173" t="s">
        <v>585</v>
      </c>
      <c r="I173">
        <v>436710982.18815702</v>
      </c>
      <c r="J173">
        <v>2515.56</v>
      </c>
      <c r="K173">
        <v>2503.3000000000002</v>
      </c>
      <c r="L173">
        <v>2503.3039250500001</v>
      </c>
      <c r="M173">
        <v>1093220315823.77</v>
      </c>
      <c r="N173">
        <v>40</v>
      </c>
      <c r="O173" t="s">
        <v>589</v>
      </c>
      <c r="P173">
        <v>1</v>
      </c>
      <c r="R173" t="s">
        <v>599</v>
      </c>
      <c r="S173" t="s">
        <v>593</v>
      </c>
      <c r="W173" t="s">
        <v>36</v>
      </c>
      <c r="X173" t="s">
        <v>37</v>
      </c>
      <c r="Y173" t="s">
        <v>38</v>
      </c>
      <c r="AD173">
        <v>0</v>
      </c>
      <c r="AE173" t="b">
        <f>ISNUMBER(MATCH(G173,AUM!$C$6:$C$1451,0))</f>
        <v>1</v>
      </c>
      <c r="AF173" t="b">
        <f>ISNUMBER(MATCH(G173,AUM!$G$6:$G$240,0))</f>
        <v>0</v>
      </c>
    </row>
    <row r="174" spans="1:32" x14ac:dyDescent="0.2">
      <c r="A174" t="s">
        <v>599</v>
      </c>
      <c r="B174" s="1">
        <v>45671</v>
      </c>
      <c r="D174" t="s">
        <v>599</v>
      </c>
      <c r="E174" t="s">
        <v>582</v>
      </c>
      <c r="F174" t="s">
        <v>600</v>
      </c>
      <c r="G174" t="s">
        <v>601</v>
      </c>
      <c r="H174" t="s">
        <v>585</v>
      </c>
      <c r="J174">
        <v>3892.21</v>
      </c>
      <c r="K174">
        <v>3873.26</v>
      </c>
      <c r="L174">
        <v>3873.2553683199999</v>
      </c>
      <c r="Q174" t="s">
        <v>596</v>
      </c>
      <c r="T174">
        <v>0</v>
      </c>
      <c r="W174" t="s">
        <v>36</v>
      </c>
      <c r="X174" t="s">
        <v>69</v>
      </c>
      <c r="Y174" t="s">
        <v>38</v>
      </c>
      <c r="AD174">
        <v>0</v>
      </c>
      <c r="AE174" t="b">
        <f>ISNUMBER(MATCH(G174,AUM!$C$6:$C$1451,0))</f>
        <v>1</v>
      </c>
      <c r="AF174" t="b">
        <f>ISNUMBER(MATCH(G174,AUM!$G$6:$G$240,0))</f>
        <v>1</v>
      </c>
    </row>
    <row r="175" spans="1:32" x14ac:dyDescent="0.2">
      <c r="A175" t="s">
        <v>602</v>
      </c>
      <c r="B175" s="1">
        <v>45671</v>
      </c>
      <c r="D175" t="s">
        <v>602</v>
      </c>
      <c r="E175" t="s">
        <v>582</v>
      </c>
      <c r="F175" t="s">
        <v>603</v>
      </c>
      <c r="G175" t="s">
        <v>604</v>
      </c>
      <c r="H175" t="s">
        <v>585</v>
      </c>
      <c r="I175">
        <v>13337231879.9774</v>
      </c>
      <c r="J175">
        <v>129.55000000000001</v>
      </c>
      <c r="K175">
        <v>129.5</v>
      </c>
      <c r="L175">
        <v>129.49589710000001</v>
      </c>
      <c r="M175">
        <v>1727116807133.9099</v>
      </c>
      <c r="N175">
        <v>59</v>
      </c>
      <c r="O175" t="s">
        <v>589</v>
      </c>
      <c r="P175">
        <v>1</v>
      </c>
      <c r="R175" t="s">
        <v>605</v>
      </c>
      <c r="W175" t="s">
        <v>36</v>
      </c>
      <c r="X175" t="s">
        <v>37</v>
      </c>
      <c r="Y175" t="s">
        <v>38</v>
      </c>
      <c r="AD175">
        <v>0</v>
      </c>
      <c r="AE175" t="b">
        <f>ISNUMBER(MATCH(G175,AUM!$C$6:$C$1451,0))</f>
        <v>1</v>
      </c>
      <c r="AF175" t="b">
        <f>ISNUMBER(MATCH(G175,AUM!$G$6:$G$240,0))</f>
        <v>0</v>
      </c>
    </row>
    <row r="176" spans="1:32" x14ac:dyDescent="0.2">
      <c r="A176" t="s">
        <v>606</v>
      </c>
      <c r="B176" s="1">
        <v>45671</v>
      </c>
      <c r="D176" t="s">
        <v>606</v>
      </c>
      <c r="E176" t="s">
        <v>582</v>
      </c>
      <c r="F176" t="s">
        <v>607</v>
      </c>
      <c r="G176" t="s">
        <v>608</v>
      </c>
      <c r="H176" t="s">
        <v>585</v>
      </c>
      <c r="I176">
        <v>631573155.11026597</v>
      </c>
      <c r="J176">
        <v>175.73</v>
      </c>
      <c r="K176">
        <v>175.49</v>
      </c>
      <c r="L176">
        <v>175.49162193999999</v>
      </c>
      <c r="M176">
        <v>110835797366.23</v>
      </c>
      <c r="N176">
        <v>20</v>
      </c>
      <c r="O176" t="s">
        <v>589</v>
      </c>
      <c r="P176">
        <v>1</v>
      </c>
      <c r="R176" t="s">
        <v>609</v>
      </c>
      <c r="W176" t="s">
        <v>36</v>
      </c>
      <c r="X176" t="s">
        <v>37</v>
      </c>
      <c r="Y176" t="s">
        <v>38</v>
      </c>
      <c r="AD176">
        <v>0</v>
      </c>
      <c r="AE176" t="b">
        <f>ISNUMBER(MATCH(G176,AUM!$C$6:$C$1451,0))</f>
        <v>1</v>
      </c>
      <c r="AF176" t="b">
        <f>ISNUMBER(MATCH(G176,AUM!$G$6:$G$240,0))</f>
        <v>0</v>
      </c>
    </row>
    <row r="177" spans="1:32" x14ac:dyDescent="0.2">
      <c r="A177" t="s">
        <v>610</v>
      </c>
      <c r="B177" s="1">
        <v>45671</v>
      </c>
      <c r="D177" t="s">
        <v>610</v>
      </c>
      <c r="E177" t="s">
        <v>582</v>
      </c>
      <c r="F177" t="s">
        <v>611</v>
      </c>
      <c r="G177" t="s">
        <v>612</v>
      </c>
      <c r="H177" t="s">
        <v>585</v>
      </c>
      <c r="I177">
        <v>12281657313.093599</v>
      </c>
      <c r="J177">
        <v>129.83000000000001</v>
      </c>
      <c r="K177">
        <v>129.58000000000001</v>
      </c>
      <c r="L177">
        <v>129.58059864000001</v>
      </c>
      <c r="M177">
        <v>1591464506897.0801</v>
      </c>
      <c r="N177">
        <v>59</v>
      </c>
      <c r="O177" t="s">
        <v>589</v>
      </c>
      <c r="P177">
        <v>1</v>
      </c>
      <c r="R177" t="s">
        <v>613</v>
      </c>
      <c r="W177" t="s">
        <v>36</v>
      </c>
      <c r="X177" t="s">
        <v>37</v>
      </c>
      <c r="Y177" t="s">
        <v>38</v>
      </c>
      <c r="AD177">
        <v>0</v>
      </c>
      <c r="AE177" t="b">
        <f>ISNUMBER(MATCH(G177,AUM!$C$6:$C$1451,0))</f>
        <v>1</v>
      </c>
      <c r="AF177" t="b">
        <f>ISNUMBER(MATCH(G177,AUM!$G$6:$G$240,0))</f>
        <v>0</v>
      </c>
    </row>
    <row r="178" spans="1:32" x14ac:dyDescent="0.2">
      <c r="A178" t="s">
        <v>614</v>
      </c>
      <c r="B178" s="1">
        <v>45671</v>
      </c>
      <c r="D178" t="s">
        <v>614</v>
      </c>
      <c r="E178" t="s">
        <v>582</v>
      </c>
      <c r="F178" t="s">
        <v>615</v>
      </c>
      <c r="G178" t="s">
        <v>616</v>
      </c>
      <c r="H178" t="s">
        <v>585</v>
      </c>
      <c r="I178">
        <v>823651871.63259697</v>
      </c>
      <c r="J178">
        <v>292.82</v>
      </c>
      <c r="K178">
        <v>294.77</v>
      </c>
      <c r="L178">
        <v>294.77051404999997</v>
      </c>
      <c r="M178">
        <v>242788285600.745</v>
      </c>
      <c r="N178">
        <v>22</v>
      </c>
      <c r="O178" t="s">
        <v>589</v>
      </c>
      <c r="P178">
        <v>1</v>
      </c>
      <c r="R178" t="s">
        <v>617</v>
      </c>
      <c r="W178" t="s">
        <v>36</v>
      </c>
      <c r="X178" t="s">
        <v>37</v>
      </c>
      <c r="Y178" t="s">
        <v>38</v>
      </c>
      <c r="AD178">
        <v>0</v>
      </c>
      <c r="AE178" t="b">
        <f>ISNUMBER(MATCH(G178,AUM!$C$6:$C$1451,0))</f>
        <v>1</v>
      </c>
      <c r="AF178" t="b">
        <f>ISNUMBER(MATCH(G178,AUM!$G$6:$G$240,0))</f>
        <v>0</v>
      </c>
    </row>
    <row r="179" spans="1:32" x14ac:dyDescent="0.2">
      <c r="A179" t="s">
        <v>618</v>
      </c>
      <c r="B179" s="1">
        <v>45671</v>
      </c>
      <c r="D179" t="s">
        <v>618</v>
      </c>
      <c r="E179" t="s">
        <v>582</v>
      </c>
      <c r="F179" t="s">
        <v>619</v>
      </c>
      <c r="G179" t="s">
        <v>620</v>
      </c>
      <c r="H179" t="s">
        <v>585</v>
      </c>
      <c r="I179">
        <v>2720797651.0046701</v>
      </c>
      <c r="J179">
        <v>100.6</v>
      </c>
      <c r="K179">
        <v>99.89</v>
      </c>
      <c r="L179">
        <v>99.894882339999995</v>
      </c>
      <c r="M179">
        <v>271793761215.69901</v>
      </c>
      <c r="N179">
        <v>9</v>
      </c>
      <c r="O179" t="s">
        <v>589</v>
      </c>
      <c r="P179">
        <v>1</v>
      </c>
      <c r="R179" t="s">
        <v>621</v>
      </c>
      <c r="W179" t="s">
        <v>36</v>
      </c>
      <c r="X179" t="s">
        <v>37</v>
      </c>
      <c r="Y179" t="s">
        <v>38</v>
      </c>
      <c r="AD179">
        <v>0</v>
      </c>
      <c r="AE179" t="b">
        <f>ISNUMBER(MATCH(G179,AUM!$C$6:$C$1451,0))</f>
        <v>1</v>
      </c>
      <c r="AF179" t="b">
        <f>ISNUMBER(MATCH(G179,AUM!$G$6:$G$240,0))</f>
        <v>0</v>
      </c>
    </row>
    <row r="180" spans="1:32" x14ac:dyDescent="0.2">
      <c r="A180" t="s">
        <v>622</v>
      </c>
      <c r="B180" s="1">
        <v>45671</v>
      </c>
      <c r="D180" t="s">
        <v>622</v>
      </c>
      <c r="E180" t="s">
        <v>582</v>
      </c>
      <c r="F180" t="s">
        <v>623</v>
      </c>
      <c r="G180" t="s">
        <v>624</v>
      </c>
      <c r="H180" t="s">
        <v>585</v>
      </c>
      <c r="I180">
        <v>5900228933.4742298</v>
      </c>
      <c r="J180">
        <v>216.61</v>
      </c>
      <c r="K180">
        <v>219.05</v>
      </c>
      <c r="L180">
        <v>219.05117634999999</v>
      </c>
      <c r="M180">
        <v>1292452088594.72</v>
      </c>
      <c r="N180">
        <v>38</v>
      </c>
      <c r="O180" t="s">
        <v>589</v>
      </c>
      <c r="P180">
        <v>1</v>
      </c>
      <c r="R180" t="s">
        <v>625</v>
      </c>
      <c r="W180" t="s">
        <v>36</v>
      </c>
      <c r="X180" t="s">
        <v>37</v>
      </c>
      <c r="Y180" t="s">
        <v>38</v>
      </c>
      <c r="AD180">
        <v>0</v>
      </c>
      <c r="AE180" t="b">
        <f>ISNUMBER(MATCH(G180,AUM!$C$6:$C$1451,0))</f>
        <v>1</v>
      </c>
      <c r="AF180" t="b">
        <f>ISNUMBER(MATCH(G180,AUM!$G$6:$G$240,0))</f>
        <v>0</v>
      </c>
    </row>
    <row r="181" spans="1:32" x14ac:dyDescent="0.2">
      <c r="A181" t="s">
        <v>626</v>
      </c>
      <c r="B181" s="1">
        <v>45671</v>
      </c>
      <c r="D181" t="s">
        <v>626</v>
      </c>
      <c r="E181" t="s">
        <v>582</v>
      </c>
      <c r="F181" t="s">
        <v>627</v>
      </c>
      <c r="G181" t="s">
        <v>628</v>
      </c>
      <c r="H181" t="s">
        <v>585</v>
      </c>
      <c r="I181">
        <v>10560620671.3283</v>
      </c>
      <c r="J181">
        <v>135.18</v>
      </c>
      <c r="K181">
        <v>135.65</v>
      </c>
      <c r="L181">
        <v>135.64722594</v>
      </c>
      <c r="M181">
        <v>1432518898291.4099</v>
      </c>
      <c r="N181">
        <v>25</v>
      </c>
      <c r="O181" t="s">
        <v>589</v>
      </c>
      <c r="P181">
        <v>1</v>
      </c>
      <c r="R181" t="s">
        <v>629</v>
      </c>
      <c r="W181" t="s">
        <v>36</v>
      </c>
      <c r="X181" t="s">
        <v>37</v>
      </c>
      <c r="Y181" t="s">
        <v>38</v>
      </c>
      <c r="AD181">
        <v>0</v>
      </c>
      <c r="AE181" t="b">
        <f>ISNUMBER(MATCH(G181,AUM!$C$6:$C$1451,0))</f>
        <v>1</v>
      </c>
      <c r="AF181" t="b">
        <f>ISNUMBER(MATCH(G181,AUM!$G$6:$G$240,0))</f>
        <v>0</v>
      </c>
    </row>
    <row r="182" spans="1:32" x14ac:dyDescent="0.2">
      <c r="A182" t="s">
        <v>630</v>
      </c>
      <c r="B182" s="1">
        <v>45671</v>
      </c>
      <c r="D182" t="s">
        <v>630</v>
      </c>
      <c r="E182" t="s">
        <v>582</v>
      </c>
      <c r="F182" t="s">
        <v>631</v>
      </c>
      <c r="G182" t="s">
        <v>632</v>
      </c>
      <c r="H182" t="s">
        <v>585</v>
      </c>
      <c r="I182">
        <v>442787714.57782698</v>
      </c>
      <c r="J182">
        <v>179.52</v>
      </c>
      <c r="K182">
        <v>178.88</v>
      </c>
      <c r="L182">
        <v>178.88481017000001</v>
      </c>
      <c r="M182">
        <v>79207996266.110504</v>
      </c>
      <c r="N182">
        <v>19</v>
      </c>
      <c r="O182" t="s">
        <v>589</v>
      </c>
      <c r="P182">
        <v>1</v>
      </c>
      <c r="R182" t="s">
        <v>633</v>
      </c>
      <c r="W182" t="s">
        <v>36</v>
      </c>
      <c r="X182" t="s">
        <v>37</v>
      </c>
      <c r="Y182" t="s">
        <v>38</v>
      </c>
      <c r="AD182">
        <v>0</v>
      </c>
      <c r="AE182" t="b">
        <f>ISNUMBER(MATCH(G182,AUM!$C$6:$C$1451,0))</f>
        <v>1</v>
      </c>
      <c r="AF182" t="b">
        <f>ISNUMBER(MATCH(G182,AUM!$G$6:$G$240,0))</f>
        <v>0</v>
      </c>
    </row>
    <row r="183" spans="1:32" x14ac:dyDescent="0.2">
      <c r="A183" t="s">
        <v>634</v>
      </c>
      <c r="B183" s="1">
        <v>45671</v>
      </c>
      <c r="D183" t="s">
        <v>634</v>
      </c>
      <c r="E183" t="s">
        <v>582</v>
      </c>
      <c r="F183" t="s">
        <v>635</v>
      </c>
      <c r="G183" t="s">
        <v>636</v>
      </c>
      <c r="H183" t="s">
        <v>585</v>
      </c>
      <c r="I183">
        <v>407253109.63516802</v>
      </c>
      <c r="J183">
        <v>168.39</v>
      </c>
      <c r="K183">
        <v>168.38</v>
      </c>
      <c r="L183">
        <v>168.37839514999999</v>
      </c>
      <c r="M183">
        <v>68572625022</v>
      </c>
      <c r="N183">
        <v>2</v>
      </c>
      <c r="O183" t="s">
        <v>589</v>
      </c>
      <c r="P183">
        <v>1</v>
      </c>
      <c r="R183" t="s">
        <v>637</v>
      </c>
      <c r="W183" t="s">
        <v>36</v>
      </c>
      <c r="X183" t="s">
        <v>37</v>
      </c>
      <c r="Y183" t="s">
        <v>38</v>
      </c>
      <c r="AD183">
        <v>0</v>
      </c>
      <c r="AE183" t="b">
        <f>ISNUMBER(MATCH(G183,AUM!$C$6:$C$1451,0))</f>
        <v>1</v>
      </c>
      <c r="AF183" t="b">
        <f>ISNUMBER(MATCH(G183,AUM!$G$6:$G$240,0))</f>
        <v>0</v>
      </c>
    </row>
    <row r="184" spans="1:32" x14ac:dyDescent="0.2">
      <c r="A184" t="s">
        <v>638</v>
      </c>
      <c r="B184" s="1">
        <v>45671</v>
      </c>
      <c r="D184" t="s">
        <v>638</v>
      </c>
      <c r="E184" t="s">
        <v>582</v>
      </c>
      <c r="F184" t="s">
        <v>639</v>
      </c>
      <c r="G184" t="s">
        <v>640</v>
      </c>
      <c r="H184" t="s">
        <v>585</v>
      </c>
      <c r="I184">
        <v>1139042657.3397801</v>
      </c>
      <c r="J184">
        <v>22</v>
      </c>
      <c r="K184">
        <v>21.55</v>
      </c>
      <c r="L184">
        <v>21.549101919999998</v>
      </c>
      <c r="M184">
        <v>24545346312.521999</v>
      </c>
      <c r="N184">
        <v>6</v>
      </c>
      <c r="O184" t="s">
        <v>589</v>
      </c>
      <c r="P184">
        <v>1</v>
      </c>
      <c r="R184" t="s">
        <v>641</v>
      </c>
      <c r="S184" t="s">
        <v>642</v>
      </c>
      <c r="W184" t="s">
        <v>36</v>
      </c>
      <c r="X184" t="s">
        <v>37</v>
      </c>
      <c r="Y184" t="s">
        <v>38</v>
      </c>
      <c r="AD184">
        <v>0</v>
      </c>
      <c r="AE184" t="b">
        <f>ISNUMBER(MATCH(G184,AUM!$C$6:$C$1451,0))</f>
        <v>1</v>
      </c>
      <c r="AF184" t="b">
        <f>ISNUMBER(MATCH(G184,AUM!$G$6:$G$240,0))</f>
        <v>0</v>
      </c>
    </row>
    <row r="185" spans="1:32" x14ac:dyDescent="0.2">
      <c r="A185" t="s">
        <v>642</v>
      </c>
      <c r="B185" s="1">
        <v>45671</v>
      </c>
      <c r="D185" t="s">
        <v>642</v>
      </c>
      <c r="E185" t="s">
        <v>582</v>
      </c>
      <c r="F185" t="s">
        <v>643</v>
      </c>
      <c r="G185" t="s">
        <v>644</v>
      </c>
      <c r="H185" t="s">
        <v>585</v>
      </c>
      <c r="J185">
        <v>23.63</v>
      </c>
      <c r="K185">
        <v>23.14</v>
      </c>
      <c r="L185">
        <v>23.14138548</v>
      </c>
      <c r="Q185" t="s">
        <v>638</v>
      </c>
      <c r="U185">
        <v>0</v>
      </c>
      <c r="W185" t="s">
        <v>36</v>
      </c>
      <c r="X185" t="s">
        <v>69</v>
      </c>
      <c r="Y185" t="s">
        <v>38</v>
      </c>
      <c r="AD185">
        <v>0</v>
      </c>
      <c r="AE185" t="b">
        <f>ISNUMBER(MATCH(G185,AUM!$C$6:$C$1451,0))</f>
        <v>1</v>
      </c>
      <c r="AF185" t="b">
        <f>ISNUMBER(MATCH(G185,AUM!$G$6:$G$240,0))</f>
        <v>0</v>
      </c>
    </row>
    <row r="186" spans="1:32" x14ac:dyDescent="0.2">
      <c r="A186" t="s">
        <v>641</v>
      </c>
      <c r="B186" s="1">
        <v>45671</v>
      </c>
      <c r="D186" t="s">
        <v>641</v>
      </c>
      <c r="E186" t="s">
        <v>582</v>
      </c>
      <c r="F186" t="s">
        <v>645</v>
      </c>
      <c r="G186" t="s">
        <v>646</v>
      </c>
      <c r="H186" t="s">
        <v>585</v>
      </c>
      <c r="J186">
        <v>729.36</v>
      </c>
      <c r="K186">
        <v>714.29</v>
      </c>
      <c r="L186">
        <v>714.28575727999998</v>
      </c>
      <c r="Q186" t="s">
        <v>638</v>
      </c>
      <c r="T186">
        <v>0</v>
      </c>
      <c r="W186" t="s">
        <v>36</v>
      </c>
      <c r="X186" t="s">
        <v>69</v>
      </c>
      <c r="Y186" t="s">
        <v>38</v>
      </c>
      <c r="AD186">
        <v>0</v>
      </c>
      <c r="AE186" t="b">
        <f>ISNUMBER(MATCH(G186,AUM!$C$6:$C$1451,0))</f>
        <v>1</v>
      </c>
      <c r="AF186" t="b">
        <f>ISNUMBER(MATCH(G186,AUM!$G$6:$G$240,0))</f>
        <v>0</v>
      </c>
    </row>
    <row r="187" spans="1:32" x14ac:dyDescent="0.2">
      <c r="A187" t="s">
        <v>647</v>
      </c>
      <c r="B187" s="1">
        <v>45671</v>
      </c>
      <c r="D187" t="s">
        <v>647</v>
      </c>
      <c r="E187" t="s">
        <v>582</v>
      </c>
      <c r="F187" t="s">
        <v>648</v>
      </c>
      <c r="G187" t="s">
        <v>649</v>
      </c>
      <c r="H187" t="s">
        <v>585</v>
      </c>
      <c r="I187">
        <v>6592352823.4894199</v>
      </c>
      <c r="J187">
        <v>196.26</v>
      </c>
      <c r="K187">
        <v>198.16</v>
      </c>
      <c r="L187">
        <v>198.15626141999999</v>
      </c>
      <c r="M187">
        <v>1306315989448.28</v>
      </c>
      <c r="N187">
        <v>39</v>
      </c>
      <c r="O187" t="s">
        <v>589</v>
      </c>
      <c r="P187">
        <v>1</v>
      </c>
      <c r="R187" t="s">
        <v>650</v>
      </c>
      <c r="S187" t="s">
        <v>651</v>
      </c>
      <c r="W187" t="s">
        <v>36</v>
      </c>
      <c r="X187" t="s">
        <v>37</v>
      </c>
      <c r="Y187" t="s">
        <v>38</v>
      </c>
      <c r="AD187">
        <v>0</v>
      </c>
      <c r="AE187" t="b">
        <f>ISNUMBER(MATCH(G187,AUM!$C$6:$C$1451,0))</f>
        <v>1</v>
      </c>
      <c r="AF187" t="b">
        <f>ISNUMBER(MATCH(G187,AUM!$G$6:$G$240,0))</f>
        <v>0</v>
      </c>
    </row>
    <row r="188" spans="1:32" x14ac:dyDescent="0.2">
      <c r="A188" t="s">
        <v>651</v>
      </c>
      <c r="B188" s="1">
        <v>45671</v>
      </c>
      <c r="D188" t="s">
        <v>651</v>
      </c>
      <c r="E188" t="s">
        <v>582</v>
      </c>
      <c r="F188" t="s">
        <v>652</v>
      </c>
      <c r="G188" t="s">
        <v>653</v>
      </c>
      <c r="H188" t="s">
        <v>585</v>
      </c>
      <c r="J188">
        <v>221.46</v>
      </c>
      <c r="K188">
        <v>223.61</v>
      </c>
      <c r="L188">
        <v>223.60860604000001</v>
      </c>
      <c r="Q188" t="s">
        <v>647</v>
      </c>
      <c r="U188">
        <v>0</v>
      </c>
      <c r="W188" t="s">
        <v>36</v>
      </c>
      <c r="X188" t="s">
        <v>69</v>
      </c>
      <c r="Y188" t="s">
        <v>38</v>
      </c>
      <c r="AD188">
        <v>0</v>
      </c>
      <c r="AE188" t="b">
        <f>ISNUMBER(MATCH(G188,AUM!$C$6:$C$1451,0))</f>
        <v>1</v>
      </c>
      <c r="AF188" t="b">
        <f>ISNUMBER(MATCH(G188,AUM!$G$6:$G$240,0))</f>
        <v>0</v>
      </c>
    </row>
    <row r="189" spans="1:32" x14ac:dyDescent="0.2">
      <c r="A189" t="s">
        <v>650</v>
      </c>
      <c r="B189" s="1">
        <v>45671</v>
      </c>
      <c r="D189" t="s">
        <v>650</v>
      </c>
      <c r="E189" t="s">
        <v>582</v>
      </c>
      <c r="F189" t="s">
        <v>654</v>
      </c>
      <c r="G189" t="s">
        <v>655</v>
      </c>
      <c r="H189" t="s">
        <v>585</v>
      </c>
      <c r="J189">
        <v>1535.19</v>
      </c>
      <c r="K189">
        <v>1550.05</v>
      </c>
      <c r="L189">
        <v>1550.0525544699999</v>
      </c>
      <c r="Q189" t="s">
        <v>647</v>
      </c>
      <c r="T189">
        <v>0</v>
      </c>
      <c r="W189" t="s">
        <v>36</v>
      </c>
      <c r="X189" t="s">
        <v>69</v>
      </c>
      <c r="Y189" t="s">
        <v>38</v>
      </c>
      <c r="AD189">
        <v>0</v>
      </c>
      <c r="AE189" t="b">
        <f>ISNUMBER(MATCH(G189,AUM!$C$6:$C$1451,0))</f>
        <v>1</v>
      </c>
      <c r="AF189" t="b">
        <f>ISNUMBER(MATCH(G189,AUM!$G$6:$G$240,0))</f>
        <v>0</v>
      </c>
    </row>
    <row r="190" spans="1:32" x14ac:dyDescent="0.2">
      <c r="A190" t="s">
        <v>656</v>
      </c>
      <c r="B190" s="1">
        <v>45671</v>
      </c>
      <c r="D190" t="s">
        <v>656</v>
      </c>
      <c r="E190" t="s">
        <v>582</v>
      </c>
      <c r="F190" t="s">
        <v>657</v>
      </c>
      <c r="G190" t="s">
        <v>658</v>
      </c>
      <c r="H190" t="s">
        <v>585</v>
      </c>
      <c r="I190">
        <v>1987631777.57987</v>
      </c>
      <c r="J190">
        <v>124.18</v>
      </c>
      <c r="K190">
        <v>125.53</v>
      </c>
      <c r="L190">
        <v>125.52768106000001</v>
      </c>
      <c r="M190">
        <v>249502807831.20499</v>
      </c>
      <c r="N190">
        <v>9</v>
      </c>
      <c r="O190" t="s">
        <v>589</v>
      </c>
      <c r="P190">
        <v>1</v>
      </c>
      <c r="R190" t="s">
        <v>659</v>
      </c>
      <c r="S190" t="s">
        <v>660</v>
      </c>
      <c r="W190" t="s">
        <v>36</v>
      </c>
      <c r="X190" t="s">
        <v>37</v>
      </c>
      <c r="Y190" t="s">
        <v>38</v>
      </c>
      <c r="AD190">
        <v>0</v>
      </c>
      <c r="AE190" t="b">
        <f>ISNUMBER(MATCH(G190,AUM!$C$6:$C$1451,0))</f>
        <v>1</v>
      </c>
      <c r="AF190" t="b">
        <f>ISNUMBER(MATCH(G190,AUM!$G$6:$G$240,0))</f>
        <v>0</v>
      </c>
    </row>
    <row r="191" spans="1:32" x14ac:dyDescent="0.2">
      <c r="A191" t="s">
        <v>660</v>
      </c>
      <c r="B191" s="1">
        <v>45671</v>
      </c>
      <c r="D191" t="s">
        <v>660</v>
      </c>
      <c r="E191" t="s">
        <v>582</v>
      </c>
      <c r="F191" t="s">
        <v>661</v>
      </c>
      <c r="G191" t="s">
        <v>662</v>
      </c>
      <c r="H191" t="s">
        <v>585</v>
      </c>
      <c r="J191">
        <v>145.4</v>
      </c>
      <c r="K191">
        <v>146.97</v>
      </c>
      <c r="L191">
        <v>146.97232310999999</v>
      </c>
      <c r="Q191" t="s">
        <v>656</v>
      </c>
      <c r="U191">
        <v>0</v>
      </c>
      <c r="W191" t="s">
        <v>36</v>
      </c>
      <c r="X191" t="s">
        <v>69</v>
      </c>
      <c r="Y191" t="s">
        <v>38</v>
      </c>
      <c r="AD191">
        <v>0</v>
      </c>
      <c r="AE191" t="b">
        <f>ISNUMBER(MATCH(G191,AUM!$C$6:$C$1451,0))</f>
        <v>1</v>
      </c>
      <c r="AF191" t="b">
        <f>ISNUMBER(MATCH(G191,AUM!$G$6:$G$240,0))</f>
        <v>0</v>
      </c>
    </row>
    <row r="192" spans="1:32" x14ac:dyDescent="0.2">
      <c r="A192" t="s">
        <v>659</v>
      </c>
      <c r="B192" s="1">
        <v>45671</v>
      </c>
      <c r="D192" t="s">
        <v>659</v>
      </c>
      <c r="E192" t="s">
        <v>582</v>
      </c>
      <c r="F192" t="s">
        <v>663</v>
      </c>
      <c r="G192" t="s">
        <v>664</v>
      </c>
      <c r="H192" t="s">
        <v>585</v>
      </c>
      <c r="J192">
        <v>998.02</v>
      </c>
      <c r="K192">
        <v>1008.84</v>
      </c>
      <c r="L192">
        <v>1008.8428850499999</v>
      </c>
      <c r="Q192" t="s">
        <v>656</v>
      </c>
      <c r="T192">
        <v>0</v>
      </c>
      <c r="W192" t="s">
        <v>36</v>
      </c>
      <c r="X192" t="s">
        <v>69</v>
      </c>
      <c r="Y192" t="s">
        <v>38</v>
      </c>
      <c r="AD192">
        <v>0</v>
      </c>
      <c r="AE192" t="b">
        <f>ISNUMBER(MATCH(G192,AUM!$C$6:$C$1451,0))</f>
        <v>1</v>
      </c>
      <c r="AF192" t="b">
        <f>ISNUMBER(MATCH(G192,AUM!$G$6:$G$240,0))</f>
        <v>0</v>
      </c>
    </row>
    <row r="193" spans="1:32" x14ac:dyDescent="0.2">
      <c r="A193" t="s">
        <v>665</v>
      </c>
      <c r="B193" s="1">
        <v>45671</v>
      </c>
      <c r="D193" t="s">
        <v>665</v>
      </c>
      <c r="E193" t="s">
        <v>582</v>
      </c>
      <c r="F193" t="s">
        <v>666</v>
      </c>
      <c r="G193" t="s">
        <v>667</v>
      </c>
      <c r="H193" t="s">
        <v>585</v>
      </c>
      <c r="I193">
        <v>3712183327.4814501</v>
      </c>
      <c r="J193">
        <v>195.19</v>
      </c>
      <c r="K193">
        <v>193.06</v>
      </c>
      <c r="L193">
        <v>193.0628557</v>
      </c>
      <c r="M193">
        <v>716684714081.47595</v>
      </c>
      <c r="N193">
        <v>55</v>
      </c>
      <c r="O193" t="s">
        <v>589</v>
      </c>
      <c r="P193">
        <v>1</v>
      </c>
      <c r="R193" t="s">
        <v>668</v>
      </c>
      <c r="S193" t="s">
        <v>669</v>
      </c>
      <c r="W193" t="s">
        <v>36</v>
      </c>
      <c r="X193" t="s">
        <v>37</v>
      </c>
      <c r="Y193" t="s">
        <v>38</v>
      </c>
      <c r="AD193">
        <v>0</v>
      </c>
      <c r="AE193" t="b">
        <f>ISNUMBER(MATCH(G193,AUM!$C$6:$C$1451,0))</f>
        <v>1</v>
      </c>
      <c r="AF193" t="b">
        <f>ISNUMBER(MATCH(G193,AUM!$G$6:$G$240,0))</f>
        <v>0</v>
      </c>
    </row>
    <row r="194" spans="1:32" x14ac:dyDescent="0.2">
      <c r="A194" t="s">
        <v>669</v>
      </c>
      <c r="B194" s="1">
        <v>45671</v>
      </c>
      <c r="D194" t="s">
        <v>669</v>
      </c>
      <c r="E194" t="s">
        <v>582</v>
      </c>
      <c r="F194" t="s">
        <v>670</v>
      </c>
      <c r="G194" t="s">
        <v>671</v>
      </c>
      <c r="H194" t="s">
        <v>585</v>
      </c>
      <c r="J194">
        <v>238.64</v>
      </c>
      <c r="K194">
        <v>236.03</v>
      </c>
      <c r="L194">
        <v>236.03027333</v>
      </c>
      <c r="Q194" t="s">
        <v>665</v>
      </c>
      <c r="U194">
        <v>0</v>
      </c>
      <c r="W194" t="s">
        <v>36</v>
      </c>
      <c r="X194" t="s">
        <v>69</v>
      </c>
      <c r="Y194" t="s">
        <v>38</v>
      </c>
      <c r="AD194">
        <v>0</v>
      </c>
      <c r="AE194" t="b">
        <f>ISNUMBER(MATCH(G194,AUM!$C$6:$C$1451,0))</f>
        <v>1</v>
      </c>
      <c r="AF194" t="b">
        <f>ISNUMBER(MATCH(G194,AUM!$G$6:$G$240,0))</f>
        <v>0</v>
      </c>
    </row>
    <row r="195" spans="1:32" x14ac:dyDescent="0.2">
      <c r="A195" t="s">
        <v>668</v>
      </c>
      <c r="B195" s="1">
        <v>45671</v>
      </c>
      <c r="D195" t="s">
        <v>668</v>
      </c>
      <c r="E195" t="s">
        <v>582</v>
      </c>
      <c r="F195" t="s">
        <v>672</v>
      </c>
      <c r="G195" t="s">
        <v>673</v>
      </c>
      <c r="H195" t="s">
        <v>585</v>
      </c>
      <c r="J195">
        <v>1329.65</v>
      </c>
      <c r="K195">
        <v>1315.14</v>
      </c>
      <c r="L195">
        <v>1315.1398999400001</v>
      </c>
      <c r="Q195" t="s">
        <v>665</v>
      </c>
      <c r="T195">
        <v>0</v>
      </c>
      <c r="W195" t="s">
        <v>36</v>
      </c>
      <c r="X195" t="s">
        <v>69</v>
      </c>
      <c r="Y195" t="s">
        <v>38</v>
      </c>
      <c r="AD195">
        <v>0</v>
      </c>
      <c r="AE195" t="b">
        <f>ISNUMBER(MATCH(G195,AUM!$C$6:$C$1451,0))</f>
        <v>1</v>
      </c>
      <c r="AF195" t="b">
        <f>ISNUMBER(MATCH(G195,AUM!$G$6:$G$240,0))</f>
        <v>0</v>
      </c>
    </row>
    <row r="196" spans="1:32" x14ac:dyDescent="0.2">
      <c r="A196" t="s">
        <v>674</v>
      </c>
      <c r="B196" s="1">
        <v>45671</v>
      </c>
      <c r="D196" t="s">
        <v>674</v>
      </c>
      <c r="E196" t="s">
        <v>582</v>
      </c>
      <c r="F196" t="s">
        <v>675</v>
      </c>
      <c r="G196" t="s">
        <v>676</v>
      </c>
      <c r="H196" t="s">
        <v>585</v>
      </c>
      <c r="I196">
        <v>3564532949.2638302</v>
      </c>
      <c r="J196">
        <v>105.19</v>
      </c>
      <c r="K196">
        <v>104.29</v>
      </c>
      <c r="L196">
        <v>104.29005669</v>
      </c>
      <c r="M196">
        <v>371745343357.19897</v>
      </c>
      <c r="N196">
        <v>11</v>
      </c>
      <c r="O196" t="s">
        <v>589</v>
      </c>
      <c r="P196">
        <v>1</v>
      </c>
      <c r="R196" t="s">
        <v>677</v>
      </c>
      <c r="S196" t="s">
        <v>678</v>
      </c>
      <c r="W196" t="s">
        <v>36</v>
      </c>
      <c r="X196" t="s">
        <v>37</v>
      </c>
      <c r="Y196" t="s">
        <v>38</v>
      </c>
      <c r="AD196">
        <v>0</v>
      </c>
      <c r="AE196" t="b">
        <f>ISNUMBER(MATCH(G196,AUM!$C$6:$C$1451,0))</f>
        <v>0</v>
      </c>
      <c r="AF196" t="b">
        <f>ISNUMBER(MATCH(G196,AUM!$G$6:$G$240,0))</f>
        <v>0</v>
      </c>
    </row>
    <row r="197" spans="1:32" x14ac:dyDescent="0.2">
      <c r="A197" t="s">
        <v>678</v>
      </c>
      <c r="B197" s="1">
        <v>45671</v>
      </c>
      <c r="D197" t="s">
        <v>678</v>
      </c>
      <c r="E197" t="s">
        <v>582</v>
      </c>
      <c r="F197" t="s">
        <v>679</v>
      </c>
      <c r="G197" t="s">
        <v>680</v>
      </c>
      <c r="H197" t="s">
        <v>585</v>
      </c>
      <c r="J197">
        <v>116.3</v>
      </c>
      <c r="K197">
        <v>115.3</v>
      </c>
      <c r="L197">
        <v>115.29947453</v>
      </c>
      <c r="Q197" t="s">
        <v>674</v>
      </c>
      <c r="U197">
        <v>0</v>
      </c>
      <c r="W197" t="s">
        <v>36</v>
      </c>
      <c r="X197" t="s">
        <v>69</v>
      </c>
      <c r="Y197" t="s">
        <v>38</v>
      </c>
      <c r="AD197">
        <v>0</v>
      </c>
      <c r="AE197" t="b">
        <f>ISNUMBER(MATCH(G197,AUM!$C$6:$C$1451,0))</f>
        <v>0</v>
      </c>
      <c r="AF197" t="b">
        <f>ISNUMBER(MATCH(G197,AUM!$G$6:$G$240,0))</f>
        <v>0</v>
      </c>
    </row>
    <row r="198" spans="1:32" x14ac:dyDescent="0.2">
      <c r="A198" t="s">
        <v>677</v>
      </c>
      <c r="B198" s="1">
        <v>45671</v>
      </c>
      <c r="D198" t="s">
        <v>677</v>
      </c>
      <c r="E198" t="s">
        <v>582</v>
      </c>
      <c r="F198" t="s">
        <v>681</v>
      </c>
      <c r="G198" t="s">
        <v>682</v>
      </c>
      <c r="H198" t="s">
        <v>585</v>
      </c>
      <c r="J198">
        <v>3500.57</v>
      </c>
      <c r="K198">
        <v>3470.49</v>
      </c>
      <c r="L198">
        <v>3470.4889203399998</v>
      </c>
      <c r="Q198" t="s">
        <v>674</v>
      </c>
      <c r="T198">
        <v>0</v>
      </c>
      <c r="W198" t="s">
        <v>36</v>
      </c>
      <c r="X198" t="s">
        <v>69</v>
      </c>
      <c r="Y198" t="s">
        <v>38</v>
      </c>
      <c r="AD198">
        <v>0</v>
      </c>
      <c r="AE198" t="b">
        <f>ISNUMBER(MATCH(G198,AUM!$C$6:$C$1451,0))</f>
        <v>0</v>
      </c>
      <c r="AF198" t="b">
        <f>ISNUMBER(MATCH(G198,AUM!$G$6:$G$240,0))</f>
        <v>0</v>
      </c>
    </row>
    <row r="199" spans="1:32" x14ac:dyDescent="0.2">
      <c r="A199" t="s">
        <v>683</v>
      </c>
      <c r="B199" s="1">
        <v>45671</v>
      </c>
      <c r="D199" t="s">
        <v>683</v>
      </c>
      <c r="E199" t="s">
        <v>582</v>
      </c>
      <c r="F199" t="s">
        <v>684</v>
      </c>
      <c r="G199" t="s">
        <v>685</v>
      </c>
      <c r="H199" t="s">
        <v>585</v>
      </c>
      <c r="I199">
        <v>790844443.01145303</v>
      </c>
      <c r="J199">
        <v>62.16</v>
      </c>
      <c r="K199">
        <v>60.47</v>
      </c>
      <c r="L199">
        <v>60.46514183</v>
      </c>
      <c r="M199">
        <v>47818521411.213997</v>
      </c>
      <c r="N199">
        <v>12</v>
      </c>
      <c r="O199" t="s">
        <v>589</v>
      </c>
      <c r="P199">
        <v>1</v>
      </c>
      <c r="R199" t="s">
        <v>686</v>
      </c>
      <c r="S199" t="s">
        <v>687</v>
      </c>
      <c r="W199" t="s">
        <v>36</v>
      </c>
      <c r="X199" t="s">
        <v>37</v>
      </c>
      <c r="Y199" t="s">
        <v>38</v>
      </c>
      <c r="AD199">
        <v>0</v>
      </c>
      <c r="AE199" t="b">
        <f>ISNUMBER(MATCH(G199,AUM!$C$6:$C$1451,0))</f>
        <v>1</v>
      </c>
      <c r="AF199" t="b">
        <f>ISNUMBER(MATCH(G199,AUM!$G$6:$G$240,0))</f>
        <v>0</v>
      </c>
    </row>
    <row r="200" spans="1:32" x14ac:dyDescent="0.2">
      <c r="A200" t="s">
        <v>687</v>
      </c>
      <c r="B200" s="1">
        <v>45671</v>
      </c>
      <c r="D200" t="s">
        <v>687</v>
      </c>
      <c r="E200" t="s">
        <v>582</v>
      </c>
      <c r="F200" t="s">
        <v>688</v>
      </c>
      <c r="G200" t="s">
        <v>689</v>
      </c>
      <c r="H200" t="s">
        <v>585</v>
      </c>
      <c r="J200">
        <v>63.27</v>
      </c>
      <c r="K200">
        <v>61.55</v>
      </c>
      <c r="L200">
        <v>61.550599920000003</v>
      </c>
      <c r="Q200" t="s">
        <v>683</v>
      </c>
      <c r="U200">
        <v>0</v>
      </c>
      <c r="W200" t="s">
        <v>36</v>
      </c>
      <c r="X200" t="s">
        <v>69</v>
      </c>
      <c r="Y200" t="s">
        <v>38</v>
      </c>
      <c r="AD200">
        <v>0</v>
      </c>
      <c r="AE200" t="b">
        <f>ISNUMBER(MATCH(G200,AUM!$C$6:$C$1451,0))</f>
        <v>1</v>
      </c>
      <c r="AF200" t="b">
        <f>ISNUMBER(MATCH(G200,AUM!$G$6:$G$240,0))</f>
        <v>0</v>
      </c>
    </row>
    <row r="201" spans="1:32" x14ac:dyDescent="0.2">
      <c r="A201" t="s">
        <v>686</v>
      </c>
      <c r="B201" s="1">
        <v>45671</v>
      </c>
      <c r="D201" t="s">
        <v>686</v>
      </c>
      <c r="E201" t="s">
        <v>582</v>
      </c>
      <c r="F201" t="s">
        <v>690</v>
      </c>
      <c r="G201" t="s">
        <v>691</v>
      </c>
      <c r="H201" t="s">
        <v>585</v>
      </c>
      <c r="J201">
        <v>554.33000000000004</v>
      </c>
      <c r="K201">
        <v>539.24</v>
      </c>
      <c r="L201">
        <v>539.23635620000005</v>
      </c>
      <c r="Q201" t="s">
        <v>683</v>
      </c>
      <c r="T201">
        <v>0</v>
      </c>
      <c r="W201" t="s">
        <v>36</v>
      </c>
      <c r="X201" t="s">
        <v>69</v>
      </c>
      <c r="Y201" t="s">
        <v>38</v>
      </c>
      <c r="AD201">
        <v>0</v>
      </c>
      <c r="AE201" t="b">
        <f>ISNUMBER(MATCH(G201,AUM!$C$6:$C$1451,0))</f>
        <v>1</v>
      </c>
      <c r="AF201" t="b">
        <f>ISNUMBER(MATCH(G201,AUM!$G$6:$G$240,0))</f>
        <v>0</v>
      </c>
    </row>
    <row r="202" spans="1:32" x14ac:dyDescent="0.2">
      <c r="A202" t="s">
        <v>692</v>
      </c>
      <c r="B202" s="1">
        <v>45671</v>
      </c>
      <c r="D202" t="s">
        <v>692</v>
      </c>
      <c r="E202" t="s">
        <v>582</v>
      </c>
      <c r="F202" t="s">
        <v>693</v>
      </c>
      <c r="G202" t="s">
        <v>694</v>
      </c>
      <c r="H202" t="s">
        <v>585</v>
      </c>
      <c r="I202">
        <v>526025995.54035199</v>
      </c>
      <c r="J202">
        <v>88.78</v>
      </c>
      <c r="K202">
        <v>87.49</v>
      </c>
      <c r="L202">
        <v>87.490629139999996</v>
      </c>
      <c r="M202">
        <v>46022345293.9216</v>
      </c>
      <c r="N202">
        <v>4</v>
      </c>
      <c r="O202" t="s">
        <v>589</v>
      </c>
      <c r="P202">
        <v>1</v>
      </c>
      <c r="R202" t="s">
        <v>695</v>
      </c>
      <c r="S202" t="s">
        <v>696</v>
      </c>
      <c r="W202" t="s">
        <v>36</v>
      </c>
      <c r="X202" t="s">
        <v>37</v>
      </c>
      <c r="Y202" t="s">
        <v>38</v>
      </c>
      <c r="AD202">
        <v>0</v>
      </c>
      <c r="AE202" t="b">
        <f>ISNUMBER(MATCH(G202,AUM!$C$6:$C$1451,0))</f>
        <v>1</v>
      </c>
      <c r="AF202" t="b">
        <f>ISNUMBER(MATCH(G202,AUM!$G$6:$G$240,0))</f>
        <v>0</v>
      </c>
    </row>
    <row r="203" spans="1:32" x14ac:dyDescent="0.2">
      <c r="A203" t="s">
        <v>696</v>
      </c>
      <c r="B203" s="1">
        <v>45671</v>
      </c>
      <c r="D203" t="s">
        <v>696</v>
      </c>
      <c r="E203" t="s">
        <v>582</v>
      </c>
      <c r="F203" t="s">
        <v>697</v>
      </c>
      <c r="G203" t="s">
        <v>698</v>
      </c>
      <c r="H203" t="s">
        <v>585</v>
      </c>
      <c r="J203">
        <v>97.27</v>
      </c>
      <c r="K203">
        <v>95.85</v>
      </c>
      <c r="L203">
        <v>95.854944599999996</v>
      </c>
      <c r="Q203" t="s">
        <v>692</v>
      </c>
      <c r="U203">
        <v>0</v>
      </c>
      <c r="W203" t="s">
        <v>36</v>
      </c>
      <c r="X203" t="s">
        <v>69</v>
      </c>
      <c r="Y203" t="s">
        <v>38</v>
      </c>
      <c r="AD203">
        <v>0</v>
      </c>
      <c r="AE203" t="b">
        <f>ISNUMBER(MATCH(G203,AUM!$C$6:$C$1451,0))</f>
        <v>1</v>
      </c>
      <c r="AF203" t="b">
        <f>ISNUMBER(MATCH(G203,AUM!$G$6:$G$240,0))</f>
        <v>0</v>
      </c>
    </row>
    <row r="204" spans="1:32" x14ac:dyDescent="0.2">
      <c r="A204" t="s">
        <v>695</v>
      </c>
      <c r="B204" s="1">
        <v>45671</v>
      </c>
      <c r="D204" t="s">
        <v>695</v>
      </c>
      <c r="E204" t="s">
        <v>582</v>
      </c>
      <c r="F204" t="s">
        <v>699</v>
      </c>
      <c r="G204" t="s">
        <v>700</v>
      </c>
      <c r="H204" t="s">
        <v>585</v>
      </c>
      <c r="J204">
        <v>165.14</v>
      </c>
      <c r="K204">
        <v>162.75</v>
      </c>
      <c r="L204">
        <v>162.74518420999999</v>
      </c>
      <c r="Q204" t="s">
        <v>692</v>
      </c>
      <c r="T204">
        <v>0</v>
      </c>
      <c r="W204" t="s">
        <v>36</v>
      </c>
      <c r="X204" t="s">
        <v>69</v>
      </c>
      <c r="Y204" t="s">
        <v>38</v>
      </c>
      <c r="AD204">
        <v>0</v>
      </c>
      <c r="AE204" t="b">
        <f>ISNUMBER(MATCH(G204,AUM!$C$6:$C$1451,0))</f>
        <v>1</v>
      </c>
      <c r="AF204" t="b">
        <f>ISNUMBER(MATCH(G204,AUM!$G$6:$G$240,0))</f>
        <v>0</v>
      </c>
    </row>
    <row r="205" spans="1:32" x14ac:dyDescent="0.2">
      <c r="A205" t="s">
        <v>701</v>
      </c>
      <c r="B205" s="1">
        <v>45671</v>
      </c>
      <c r="D205" t="s">
        <v>701</v>
      </c>
      <c r="E205" t="s">
        <v>582</v>
      </c>
      <c r="F205" t="s">
        <v>702</v>
      </c>
      <c r="G205" t="s">
        <v>703</v>
      </c>
      <c r="H205" t="s">
        <v>585</v>
      </c>
      <c r="I205">
        <v>4634406650.6190004</v>
      </c>
      <c r="J205">
        <v>141.16</v>
      </c>
      <c r="K205">
        <v>141.86000000000001</v>
      </c>
      <c r="L205">
        <v>141.85596393</v>
      </c>
      <c r="M205">
        <v>657418222660.76001</v>
      </c>
      <c r="N205">
        <v>15</v>
      </c>
      <c r="O205" t="s">
        <v>589</v>
      </c>
      <c r="P205">
        <v>1</v>
      </c>
      <c r="R205" t="s">
        <v>704</v>
      </c>
      <c r="S205" t="s">
        <v>705</v>
      </c>
      <c r="W205" t="s">
        <v>36</v>
      </c>
      <c r="X205" t="s">
        <v>37</v>
      </c>
      <c r="Y205" t="s">
        <v>38</v>
      </c>
      <c r="AD205">
        <v>0</v>
      </c>
      <c r="AE205" t="b">
        <f>ISNUMBER(MATCH(G205,AUM!$C$6:$C$1451,0))</f>
        <v>1</v>
      </c>
      <c r="AF205" t="b">
        <f>ISNUMBER(MATCH(G205,AUM!$G$6:$G$240,0))</f>
        <v>0</v>
      </c>
    </row>
    <row r="206" spans="1:32" x14ac:dyDescent="0.2">
      <c r="A206" t="s">
        <v>705</v>
      </c>
      <c r="B206" s="1">
        <v>45671</v>
      </c>
      <c r="D206" t="s">
        <v>705</v>
      </c>
      <c r="E206" t="s">
        <v>582</v>
      </c>
      <c r="F206" t="s">
        <v>706</v>
      </c>
      <c r="G206" t="s">
        <v>707</v>
      </c>
      <c r="H206" t="s">
        <v>585</v>
      </c>
      <c r="J206">
        <v>168.26</v>
      </c>
      <c r="K206">
        <v>169.09</v>
      </c>
      <c r="L206">
        <v>169.08612782</v>
      </c>
      <c r="Q206" t="s">
        <v>701</v>
      </c>
      <c r="U206">
        <v>0</v>
      </c>
      <c r="W206" t="s">
        <v>36</v>
      </c>
      <c r="X206" t="s">
        <v>69</v>
      </c>
      <c r="Y206" t="s">
        <v>38</v>
      </c>
      <c r="AD206">
        <v>0</v>
      </c>
      <c r="AE206" t="b">
        <f>ISNUMBER(MATCH(G206,AUM!$C$6:$C$1451,0))</f>
        <v>1</v>
      </c>
      <c r="AF206" t="b">
        <f>ISNUMBER(MATCH(G206,AUM!$G$6:$G$240,0))</f>
        <v>0</v>
      </c>
    </row>
    <row r="207" spans="1:32" x14ac:dyDescent="0.2">
      <c r="A207" t="s">
        <v>704</v>
      </c>
      <c r="B207" s="1">
        <v>45671</v>
      </c>
      <c r="D207" t="s">
        <v>704</v>
      </c>
      <c r="E207" t="s">
        <v>582</v>
      </c>
      <c r="F207" t="s">
        <v>708</v>
      </c>
      <c r="G207" t="s">
        <v>709</v>
      </c>
      <c r="H207" t="s">
        <v>585</v>
      </c>
      <c r="J207">
        <v>3734.48</v>
      </c>
      <c r="K207">
        <v>3752.91</v>
      </c>
      <c r="L207">
        <v>3752.9077753800002</v>
      </c>
      <c r="Q207" t="s">
        <v>701</v>
      </c>
      <c r="T207">
        <v>0</v>
      </c>
      <c r="W207" t="s">
        <v>36</v>
      </c>
      <c r="X207" t="s">
        <v>69</v>
      </c>
      <c r="Y207" t="s">
        <v>38</v>
      </c>
      <c r="AD207">
        <v>0</v>
      </c>
      <c r="AE207" t="b">
        <f>ISNUMBER(MATCH(G207,AUM!$C$6:$C$1451,0))</f>
        <v>1</v>
      </c>
      <c r="AF207" t="b">
        <f>ISNUMBER(MATCH(G207,AUM!$G$6:$G$240,0))</f>
        <v>0</v>
      </c>
    </row>
    <row r="208" spans="1:32" x14ac:dyDescent="0.2">
      <c r="A208" t="s">
        <v>710</v>
      </c>
      <c r="B208" s="1">
        <v>45671</v>
      </c>
      <c r="D208" t="s">
        <v>710</v>
      </c>
      <c r="E208" t="s">
        <v>582</v>
      </c>
      <c r="F208" t="s">
        <v>711</v>
      </c>
      <c r="G208" t="s">
        <v>712</v>
      </c>
      <c r="H208" t="s">
        <v>585</v>
      </c>
      <c r="I208">
        <v>297319233.08068001</v>
      </c>
      <c r="J208">
        <v>32.17</v>
      </c>
      <c r="K208">
        <v>31.37</v>
      </c>
      <c r="L208">
        <v>31.371037350000002</v>
      </c>
      <c r="M208">
        <v>9327212765.2189999</v>
      </c>
      <c r="N208">
        <v>13</v>
      </c>
      <c r="O208" t="s">
        <v>589</v>
      </c>
      <c r="P208">
        <v>1</v>
      </c>
      <c r="R208" t="s">
        <v>713</v>
      </c>
      <c r="S208" t="s">
        <v>714</v>
      </c>
      <c r="W208" t="s">
        <v>36</v>
      </c>
      <c r="X208" t="s">
        <v>37</v>
      </c>
      <c r="Y208" t="s">
        <v>38</v>
      </c>
      <c r="AD208">
        <v>0</v>
      </c>
      <c r="AE208" t="b">
        <f>ISNUMBER(MATCH(G208,AUM!$C$6:$C$1451,0))</f>
        <v>0</v>
      </c>
      <c r="AF208" t="b">
        <f>ISNUMBER(MATCH(G208,AUM!$G$6:$G$240,0))</f>
        <v>0</v>
      </c>
    </row>
    <row r="209" spans="1:32" x14ac:dyDescent="0.2">
      <c r="A209" t="s">
        <v>714</v>
      </c>
      <c r="B209" s="1">
        <v>45671</v>
      </c>
      <c r="D209" t="s">
        <v>714</v>
      </c>
      <c r="E209" t="s">
        <v>582</v>
      </c>
      <c r="F209" t="s">
        <v>715</v>
      </c>
      <c r="G209" t="s">
        <v>716</v>
      </c>
      <c r="H209" t="s">
        <v>585</v>
      </c>
      <c r="J209">
        <v>32.83</v>
      </c>
      <c r="K209">
        <v>32.01</v>
      </c>
      <c r="L209">
        <v>32.014276649999999</v>
      </c>
      <c r="Q209" t="s">
        <v>710</v>
      </c>
      <c r="U209">
        <v>0</v>
      </c>
      <c r="W209" t="s">
        <v>36</v>
      </c>
      <c r="X209" t="s">
        <v>69</v>
      </c>
      <c r="Y209" t="s">
        <v>38</v>
      </c>
      <c r="AD209">
        <v>0</v>
      </c>
      <c r="AE209" t="b">
        <f>ISNUMBER(MATCH(G209,AUM!$C$6:$C$1451,0))</f>
        <v>0</v>
      </c>
      <c r="AF209" t="b">
        <f>ISNUMBER(MATCH(G209,AUM!$G$6:$G$240,0))</f>
        <v>0</v>
      </c>
    </row>
    <row r="210" spans="1:32" x14ac:dyDescent="0.2">
      <c r="A210" t="s">
        <v>713</v>
      </c>
      <c r="B210" s="1">
        <v>45671</v>
      </c>
      <c r="D210" t="s">
        <v>713</v>
      </c>
      <c r="E210" t="s">
        <v>582</v>
      </c>
      <c r="F210" t="s">
        <v>717</v>
      </c>
      <c r="G210" t="s">
        <v>718</v>
      </c>
      <c r="H210" t="s">
        <v>585</v>
      </c>
      <c r="J210">
        <v>264.85000000000002</v>
      </c>
      <c r="K210">
        <v>258.25</v>
      </c>
      <c r="L210">
        <v>258.25198297999998</v>
      </c>
      <c r="Q210" t="s">
        <v>710</v>
      </c>
      <c r="T210">
        <v>0</v>
      </c>
      <c r="W210" t="s">
        <v>36</v>
      </c>
      <c r="X210" t="s">
        <v>69</v>
      </c>
      <c r="Y210" t="s">
        <v>38</v>
      </c>
      <c r="AD210">
        <v>0</v>
      </c>
      <c r="AE210" t="b">
        <f>ISNUMBER(MATCH(G210,AUM!$C$6:$C$1451,0))</f>
        <v>0</v>
      </c>
      <c r="AF210" t="b">
        <f>ISNUMBER(MATCH(G210,AUM!$G$6:$G$240,0))</f>
        <v>0</v>
      </c>
    </row>
    <row r="211" spans="1:32" x14ac:dyDescent="0.2">
      <c r="A211" t="s">
        <v>719</v>
      </c>
      <c r="B211" s="1">
        <v>45671</v>
      </c>
      <c r="D211" t="s">
        <v>719</v>
      </c>
      <c r="E211" t="s">
        <v>582</v>
      </c>
      <c r="F211" t="s">
        <v>720</v>
      </c>
      <c r="G211" t="s">
        <v>721</v>
      </c>
      <c r="H211" t="s">
        <v>585</v>
      </c>
      <c r="I211">
        <v>2157264747.5331101</v>
      </c>
      <c r="J211">
        <v>82.37</v>
      </c>
      <c r="K211">
        <v>82.29</v>
      </c>
      <c r="L211">
        <v>82.285625969999998</v>
      </c>
      <c r="M211">
        <v>177511880143.10001</v>
      </c>
      <c r="N211">
        <v>2</v>
      </c>
      <c r="O211" t="s">
        <v>589</v>
      </c>
      <c r="P211">
        <v>1</v>
      </c>
      <c r="R211" t="s">
        <v>722</v>
      </c>
      <c r="S211" t="s">
        <v>723</v>
      </c>
      <c r="W211" t="s">
        <v>36</v>
      </c>
      <c r="X211" t="s">
        <v>37</v>
      </c>
      <c r="Y211" t="s">
        <v>38</v>
      </c>
      <c r="AD211">
        <v>0</v>
      </c>
      <c r="AE211" t="b">
        <f>ISNUMBER(MATCH(G211,AUM!$C$6:$C$1451,0))</f>
        <v>1</v>
      </c>
      <c r="AF211" t="b">
        <f>ISNUMBER(MATCH(G211,AUM!$G$6:$G$240,0))</f>
        <v>0</v>
      </c>
    </row>
    <row r="212" spans="1:32" x14ac:dyDescent="0.2">
      <c r="A212" t="s">
        <v>723</v>
      </c>
      <c r="B212" s="1">
        <v>45671</v>
      </c>
      <c r="D212" t="s">
        <v>723</v>
      </c>
      <c r="E212" t="s">
        <v>582</v>
      </c>
      <c r="F212" t="s">
        <v>724</v>
      </c>
      <c r="G212" t="s">
        <v>725</v>
      </c>
      <c r="H212" t="s">
        <v>585</v>
      </c>
      <c r="J212">
        <v>102.57</v>
      </c>
      <c r="K212">
        <v>102.46</v>
      </c>
      <c r="L212">
        <v>102.46117302</v>
      </c>
      <c r="Q212" t="s">
        <v>719</v>
      </c>
      <c r="U212">
        <v>0</v>
      </c>
      <c r="W212" t="s">
        <v>36</v>
      </c>
      <c r="X212" t="s">
        <v>69</v>
      </c>
      <c r="Y212" t="s">
        <v>38</v>
      </c>
      <c r="AD212">
        <v>0</v>
      </c>
      <c r="AE212" t="b">
        <f>ISNUMBER(MATCH(G212,AUM!$C$6:$C$1451,0))</f>
        <v>1</v>
      </c>
      <c r="AF212" t="b">
        <f>ISNUMBER(MATCH(G212,AUM!$G$6:$G$240,0))</f>
        <v>0</v>
      </c>
    </row>
    <row r="213" spans="1:32" x14ac:dyDescent="0.2">
      <c r="A213" t="s">
        <v>722</v>
      </c>
      <c r="B213" s="1">
        <v>45671</v>
      </c>
      <c r="D213" t="s">
        <v>722</v>
      </c>
      <c r="E213" t="s">
        <v>582</v>
      </c>
      <c r="F213" t="s">
        <v>726</v>
      </c>
      <c r="G213" t="s">
        <v>727</v>
      </c>
      <c r="H213" t="s">
        <v>585</v>
      </c>
      <c r="J213">
        <v>2061.9699999999998</v>
      </c>
      <c r="K213">
        <v>2059.89</v>
      </c>
      <c r="L213">
        <v>2059.88627997</v>
      </c>
      <c r="Q213" t="s">
        <v>719</v>
      </c>
      <c r="T213">
        <v>0</v>
      </c>
      <c r="W213" t="s">
        <v>36</v>
      </c>
      <c r="X213" t="s">
        <v>69</v>
      </c>
      <c r="Y213" t="s">
        <v>38</v>
      </c>
      <c r="AD213">
        <v>0</v>
      </c>
      <c r="AE213" t="b">
        <f>ISNUMBER(MATCH(G213,AUM!$C$6:$C$1451,0))</f>
        <v>1</v>
      </c>
      <c r="AF213" t="b">
        <f>ISNUMBER(MATCH(G213,AUM!$G$6:$G$240,0))</f>
        <v>0</v>
      </c>
    </row>
    <row r="214" spans="1:32" x14ac:dyDescent="0.2">
      <c r="A214" t="s">
        <v>728</v>
      </c>
      <c r="B214" s="1">
        <v>45671</v>
      </c>
      <c r="D214" t="s">
        <v>728</v>
      </c>
      <c r="E214" t="s">
        <v>582</v>
      </c>
      <c r="F214" t="s">
        <v>729</v>
      </c>
      <c r="G214" t="s">
        <v>730</v>
      </c>
      <c r="H214" t="s">
        <v>585</v>
      </c>
      <c r="I214">
        <v>1329828746.28439</v>
      </c>
      <c r="J214">
        <v>120.24</v>
      </c>
      <c r="K214">
        <v>117.58</v>
      </c>
      <c r="L214">
        <v>117.58112299</v>
      </c>
      <c r="M214">
        <v>156362757368.14499</v>
      </c>
      <c r="N214">
        <v>21</v>
      </c>
      <c r="O214" t="s">
        <v>589</v>
      </c>
      <c r="P214">
        <v>1</v>
      </c>
      <c r="R214" t="s">
        <v>731</v>
      </c>
      <c r="S214" t="s">
        <v>732</v>
      </c>
      <c r="W214" t="s">
        <v>36</v>
      </c>
      <c r="X214" t="s">
        <v>37</v>
      </c>
      <c r="Y214" t="s">
        <v>38</v>
      </c>
      <c r="AD214">
        <v>0</v>
      </c>
      <c r="AE214" t="b">
        <f>ISNUMBER(MATCH(G214,AUM!$C$6:$C$1451,0))</f>
        <v>1</v>
      </c>
      <c r="AF214" t="b">
        <f>ISNUMBER(MATCH(G214,AUM!$G$6:$G$240,0))</f>
        <v>0</v>
      </c>
    </row>
    <row r="215" spans="1:32" x14ac:dyDescent="0.2">
      <c r="A215" t="s">
        <v>732</v>
      </c>
      <c r="B215" s="1">
        <v>45671</v>
      </c>
      <c r="D215" t="s">
        <v>732</v>
      </c>
      <c r="E215" t="s">
        <v>582</v>
      </c>
      <c r="F215" t="s">
        <v>733</v>
      </c>
      <c r="G215" t="s">
        <v>734</v>
      </c>
      <c r="H215" t="s">
        <v>585</v>
      </c>
      <c r="J215">
        <v>125.3</v>
      </c>
      <c r="K215">
        <v>122.53</v>
      </c>
      <c r="L215">
        <v>122.52752667</v>
      </c>
      <c r="Q215" t="s">
        <v>728</v>
      </c>
      <c r="U215">
        <v>0</v>
      </c>
      <c r="W215" t="s">
        <v>36</v>
      </c>
      <c r="X215" t="s">
        <v>69</v>
      </c>
      <c r="Y215" t="s">
        <v>38</v>
      </c>
      <c r="AD215">
        <v>0</v>
      </c>
      <c r="AE215" t="b">
        <f>ISNUMBER(MATCH(G215,AUM!$C$6:$C$1451,0))</f>
        <v>1</v>
      </c>
      <c r="AF215" t="b">
        <f>ISNUMBER(MATCH(G215,AUM!$G$6:$G$240,0))</f>
        <v>0</v>
      </c>
    </row>
    <row r="216" spans="1:32" x14ac:dyDescent="0.2">
      <c r="A216" t="s">
        <v>731</v>
      </c>
      <c r="B216" s="1">
        <v>45671</v>
      </c>
      <c r="D216" t="s">
        <v>731</v>
      </c>
      <c r="E216" t="s">
        <v>582</v>
      </c>
      <c r="F216" t="s">
        <v>735</v>
      </c>
      <c r="G216" t="s">
        <v>736</v>
      </c>
      <c r="H216" t="s">
        <v>585</v>
      </c>
      <c r="J216">
        <v>495.78</v>
      </c>
      <c r="K216">
        <v>484.8</v>
      </c>
      <c r="L216">
        <v>484.79847295000002</v>
      </c>
      <c r="Q216" t="s">
        <v>728</v>
      </c>
      <c r="T216">
        <v>0</v>
      </c>
      <c r="W216" t="s">
        <v>36</v>
      </c>
      <c r="X216" t="s">
        <v>69</v>
      </c>
      <c r="Y216" t="s">
        <v>38</v>
      </c>
      <c r="AD216">
        <v>0</v>
      </c>
      <c r="AE216" t="b">
        <f>ISNUMBER(MATCH(G216,AUM!$C$6:$C$1451,0))</f>
        <v>1</v>
      </c>
      <c r="AF216" t="b">
        <f>ISNUMBER(MATCH(G216,AUM!$G$6:$G$240,0))</f>
        <v>0</v>
      </c>
    </row>
    <row r="217" spans="1:32" x14ac:dyDescent="0.2">
      <c r="A217" t="s">
        <v>609</v>
      </c>
      <c r="B217" s="1">
        <v>45671</v>
      </c>
      <c r="D217" t="s">
        <v>609</v>
      </c>
      <c r="E217" t="s">
        <v>582</v>
      </c>
      <c r="F217" t="s">
        <v>737</v>
      </c>
      <c r="G217" t="s">
        <v>738</v>
      </c>
      <c r="H217" t="s">
        <v>585</v>
      </c>
      <c r="J217">
        <v>4866.46</v>
      </c>
      <c r="K217">
        <v>4859.7299999999996</v>
      </c>
      <c r="L217">
        <v>4859.7278099100004</v>
      </c>
      <c r="Q217" t="s">
        <v>606</v>
      </c>
      <c r="T217">
        <v>0</v>
      </c>
      <c r="W217" t="s">
        <v>36</v>
      </c>
      <c r="X217" t="s">
        <v>69</v>
      </c>
      <c r="Y217" t="s">
        <v>38</v>
      </c>
      <c r="AD217">
        <v>0</v>
      </c>
      <c r="AE217" t="b">
        <f>ISNUMBER(MATCH(G217,AUM!$C$6:$C$1451,0))</f>
        <v>1</v>
      </c>
      <c r="AF217" t="b">
        <f>ISNUMBER(MATCH(G217,AUM!$G$6:$G$240,0))</f>
        <v>0</v>
      </c>
    </row>
    <row r="218" spans="1:32" x14ac:dyDescent="0.2">
      <c r="A218" t="s">
        <v>613</v>
      </c>
      <c r="B218" s="1">
        <v>45671</v>
      </c>
      <c r="D218" t="s">
        <v>613</v>
      </c>
      <c r="E218" t="s">
        <v>582</v>
      </c>
      <c r="F218" t="s">
        <v>739</v>
      </c>
      <c r="G218" t="s">
        <v>740</v>
      </c>
      <c r="H218" t="s">
        <v>585</v>
      </c>
      <c r="J218">
        <v>1415.74</v>
      </c>
      <c r="K218">
        <v>1413.06</v>
      </c>
      <c r="L218">
        <v>1413.0635580200001</v>
      </c>
      <c r="Q218" t="s">
        <v>610</v>
      </c>
      <c r="T218">
        <v>0</v>
      </c>
      <c r="W218" t="s">
        <v>36</v>
      </c>
      <c r="X218" t="s">
        <v>69</v>
      </c>
      <c r="Y218" t="s">
        <v>38</v>
      </c>
      <c r="AD218">
        <v>0</v>
      </c>
      <c r="AE218" t="b">
        <f>ISNUMBER(MATCH(G218,AUM!$C$6:$C$1451,0))</f>
        <v>1</v>
      </c>
      <c r="AF218" t="b">
        <f>ISNUMBER(MATCH(G218,AUM!$G$6:$G$240,0))</f>
        <v>0</v>
      </c>
    </row>
    <row r="219" spans="1:32" x14ac:dyDescent="0.2">
      <c r="A219" t="s">
        <v>605</v>
      </c>
      <c r="B219" s="1">
        <v>45671</v>
      </c>
      <c r="D219" t="s">
        <v>605</v>
      </c>
      <c r="E219" t="s">
        <v>582</v>
      </c>
      <c r="F219" t="s">
        <v>741</v>
      </c>
      <c r="G219" t="s">
        <v>742</v>
      </c>
      <c r="H219" t="s">
        <v>585</v>
      </c>
      <c r="J219">
        <v>380.35</v>
      </c>
      <c r="K219">
        <v>380.2</v>
      </c>
      <c r="L219">
        <v>380.20191727999998</v>
      </c>
      <c r="Q219" t="s">
        <v>602</v>
      </c>
      <c r="T219">
        <v>0</v>
      </c>
      <c r="W219" t="s">
        <v>36</v>
      </c>
      <c r="X219" t="s">
        <v>69</v>
      </c>
      <c r="Y219" t="s">
        <v>38</v>
      </c>
      <c r="AD219">
        <v>0</v>
      </c>
      <c r="AE219" t="b">
        <f>ISNUMBER(MATCH(G219,AUM!$C$6:$C$1451,0))</f>
        <v>1</v>
      </c>
      <c r="AF219" t="b">
        <f>ISNUMBER(MATCH(G219,AUM!$G$6:$G$240,0))</f>
        <v>0</v>
      </c>
    </row>
    <row r="220" spans="1:32" x14ac:dyDescent="0.2">
      <c r="A220" t="s">
        <v>743</v>
      </c>
      <c r="B220" s="1">
        <v>45671</v>
      </c>
      <c r="D220" t="s">
        <v>743</v>
      </c>
      <c r="E220" t="s">
        <v>582</v>
      </c>
      <c r="F220" t="s">
        <v>744</v>
      </c>
      <c r="G220" t="s">
        <v>745</v>
      </c>
      <c r="H220" t="s">
        <v>585</v>
      </c>
      <c r="I220">
        <v>306543119.73801303</v>
      </c>
      <c r="J220">
        <v>22.79</v>
      </c>
      <c r="K220">
        <v>22.57</v>
      </c>
      <c r="L220">
        <v>22.570582829999999</v>
      </c>
      <c r="M220">
        <v>6918856874.6426001</v>
      </c>
      <c r="N220">
        <v>16</v>
      </c>
      <c r="O220" t="s">
        <v>589</v>
      </c>
      <c r="P220">
        <v>1</v>
      </c>
      <c r="R220" t="s">
        <v>746</v>
      </c>
      <c r="S220" t="s">
        <v>747</v>
      </c>
      <c r="W220" t="s">
        <v>36</v>
      </c>
      <c r="X220" t="s">
        <v>37</v>
      </c>
      <c r="Y220" t="s">
        <v>38</v>
      </c>
      <c r="AD220">
        <v>0</v>
      </c>
      <c r="AE220" t="b">
        <f>ISNUMBER(MATCH(G220,AUM!$C$6:$C$1451,0))</f>
        <v>1</v>
      </c>
      <c r="AF220" t="b">
        <f>ISNUMBER(MATCH(G220,AUM!$G$6:$G$240,0))</f>
        <v>0</v>
      </c>
    </row>
    <row r="221" spans="1:32" x14ac:dyDescent="0.2">
      <c r="A221" t="s">
        <v>747</v>
      </c>
      <c r="B221" s="1">
        <v>45671</v>
      </c>
      <c r="D221" t="s">
        <v>747</v>
      </c>
      <c r="E221" t="s">
        <v>582</v>
      </c>
      <c r="F221" t="s">
        <v>748</v>
      </c>
      <c r="G221" t="s">
        <v>749</v>
      </c>
      <c r="H221" t="s">
        <v>585</v>
      </c>
      <c r="J221">
        <v>63.09</v>
      </c>
      <c r="K221">
        <v>62.47</v>
      </c>
      <c r="L221">
        <v>62.470864730000002</v>
      </c>
      <c r="Q221" t="s">
        <v>743</v>
      </c>
      <c r="U221">
        <v>0</v>
      </c>
      <c r="W221" t="s">
        <v>36</v>
      </c>
      <c r="X221" t="s">
        <v>69</v>
      </c>
      <c r="Y221" t="s">
        <v>38</v>
      </c>
      <c r="AD221">
        <v>0</v>
      </c>
      <c r="AE221" t="b">
        <f>ISNUMBER(MATCH(G221,AUM!$C$6:$C$1451,0))</f>
        <v>1</v>
      </c>
      <c r="AF221" t="b">
        <f>ISNUMBER(MATCH(G221,AUM!$G$6:$G$240,0))</f>
        <v>0</v>
      </c>
    </row>
    <row r="222" spans="1:32" x14ac:dyDescent="0.2">
      <c r="A222" t="s">
        <v>750</v>
      </c>
      <c r="B222" s="1">
        <v>45671</v>
      </c>
      <c r="D222" t="s">
        <v>750</v>
      </c>
      <c r="E222" t="s">
        <v>582</v>
      </c>
      <c r="F222" t="s">
        <v>751</v>
      </c>
      <c r="G222" t="s">
        <v>752</v>
      </c>
      <c r="H222" t="s">
        <v>585</v>
      </c>
      <c r="I222">
        <v>408432918.355479</v>
      </c>
      <c r="J222">
        <v>477.94</v>
      </c>
      <c r="K222">
        <v>468.19</v>
      </c>
      <c r="L222">
        <v>468.19301173999997</v>
      </c>
      <c r="M222">
        <v>191225438139.88</v>
      </c>
      <c r="N222">
        <v>130</v>
      </c>
      <c r="O222" t="s">
        <v>589</v>
      </c>
      <c r="P222">
        <v>1</v>
      </c>
      <c r="R222" t="s">
        <v>753</v>
      </c>
      <c r="S222" t="s">
        <v>754</v>
      </c>
      <c r="W222" t="s">
        <v>36</v>
      </c>
      <c r="X222" t="s">
        <v>37</v>
      </c>
      <c r="Y222" t="s">
        <v>38</v>
      </c>
      <c r="AD222">
        <v>0</v>
      </c>
      <c r="AE222" t="b">
        <f>ISNUMBER(MATCH(G222,AUM!$C$6:$C$1451,0))</f>
        <v>1</v>
      </c>
      <c r="AF222" t="b">
        <f>ISNUMBER(MATCH(G222,AUM!$G$6:$G$240,0))</f>
        <v>0</v>
      </c>
    </row>
    <row r="223" spans="1:32" x14ac:dyDescent="0.2">
      <c r="A223" t="s">
        <v>754</v>
      </c>
      <c r="B223" s="1">
        <v>45671</v>
      </c>
      <c r="D223" t="s">
        <v>754</v>
      </c>
      <c r="E223" t="s">
        <v>582</v>
      </c>
      <c r="F223" t="s">
        <v>755</v>
      </c>
      <c r="G223" t="s">
        <v>756</v>
      </c>
      <c r="H223" t="s">
        <v>585</v>
      </c>
      <c r="J223">
        <v>976.56</v>
      </c>
      <c r="K223">
        <v>956.65</v>
      </c>
      <c r="L223">
        <v>956.64707668999995</v>
      </c>
      <c r="Q223" t="s">
        <v>750</v>
      </c>
      <c r="U223">
        <v>0</v>
      </c>
      <c r="W223" t="s">
        <v>36</v>
      </c>
      <c r="X223" t="s">
        <v>69</v>
      </c>
      <c r="Y223" t="s">
        <v>38</v>
      </c>
      <c r="AD223">
        <v>0</v>
      </c>
      <c r="AE223" t="b">
        <f>ISNUMBER(MATCH(G223,AUM!$C$6:$C$1451,0))</f>
        <v>1</v>
      </c>
      <c r="AF223" t="b">
        <f>ISNUMBER(MATCH(G223,AUM!$G$6:$G$240,0))</f>
        <v>0</v>
      </c>
    </row>
    <row r="224" spans="1:32" x14ac:dyDescent="0.2">
      <c r="A224" t="s">
        <v>757</v>
      </c>
      <c r="B224" s="1">
        <v>45671</v>
      </c>
      <c r="D224" t="s">
        <v>757</v>
      </c>
      <c r="E224" t="s">
        <v>582</v>
      </c>
      <c r="F224" t="s">
        <v>758</v>
      </c>
      <c r="G224" t="s">
        <v>759</v>
      </c>
      <c r="H224" t="s">
        <v>585</v>
      </c>
      <c r="I224">
        <v>1543395398.3722999</v>
      </c>
      <c r="J224">
        <v>205.58</v>
      </c>
      <c r="K224">
        <v>202.02</v>
      </c>
      <c r="L224">
        <v>202.02438348000001</v>
      </c>
      <c r="M224">
        <v>311803503824.45502</v>
      </c>
      <c r="N224">
        <v>106</v>
      </c>
      <c r="O224" t="s">
        <v>589</v>
      </c>
      <c r="P224">
        <v>1</v>
      </c>
      <c r="R224" t="s">
        <v>760</v>
      </c>
      <c r="S224" t="s">
        <v>761</v>
      </c>
      <c r="W224" t="s">
        <v>36</v>
      </c>
      <c r="X224" t="s">
        <v>37</v>
      </c>
      <c r="Y224" t="s">
        <v>38</v>
      </c>
      <c r="AD224">
        <v>0</v>
      </c>
      <c r="AE224" t="b">
        <f>ISNUMBER(MATCH(G224,AUM!$C$6:$C$1451,0))</f>
        <v>1</v>
      </c>
      <c r="AF224" t="b">
        <f>ISNUMBER(MATCH(G224,AUM!$G$6:$G$240,0))</f>
        <v>0</v>
      </c>
    </row>
    <row r="225" spans="1:32" x14ac:dyDescent="0.2">
      <c r="A225" t="s">
        <v>761</v>
      </c>
      <c r="B225" s="1">
        <v>45671</v>
      </c>
      <c r="D225" t="s">
        <v>761</v>
      </c>
      <c r="E225" t="s">
        <v>582</v>
      </c>
      <c r="F225" t="s">
        <v>762</v>
      </c>
      <c r="G225" t="s">
        <v>763</v>
      </c>
      <c r="H225" t="s">
        <v>585</v>
      </c>
      <c r="J225">
        <v>299.14999999999998</v>
      </c>
      <c r="K225">
        <v>293.97000000000003</v>
      </c>
      <c r="L225">
        <v>293.96973946000003</v>
      </c>
      <c r="Q225" t="s">
        <v>757</v>
      </c>
      <c r="U225">
        <v>0</v>
      </c>
      <c r="W225" t="s">
        <v>36</v>
      </c>
      <c r="X225" t="s">
        <v>69</v>
      </c>
      <c r="Y225" t="s">
        <v>38</v>
      </c>
      <c r="AD225">
        <v>0</v>
      </c>
      <c r="AE225" t="b">
        <f>ISNUMBER(MATCH(G225,AUM!$C$6:$C$1451,0))</f>
        <v>1</v>
      </c>
      <c r="AF225" t="b">
        <f>ISNUMBER(MATCH(G225,AUM!$G$6:$G$240,0))</f>
        <v>0</v>
      </c>
    </row>
    <row r="226" spans="1:32" x14ac:dyDescent="0.2">
      <c r="A226" t="s">
        <v>764</v>
      </c>
      <c r="B226" s="1">
        <v>45671</v>
      </c>
      <c r="D226" t="s">
        <v>764</v>
      </c>
      <c r="E226" t="s">
        <v>582</v>
      </c>
      <c r="F226" t="s">
        <v>765</v>
      </c>
      <c r="G226" t="s">
        <v>766</v>
      </c>
      <c r="H226" t="s">
        <v>585</v>
      </c>
      <c r="I226">
        <v>2998075972.9586802</v>
      </c>
      <c r="J226">
        <v>517.6</v>
      </c>
      <c r="K226">
        <v>516.41</v>
      </c>
      <c r="L226">
        <v>516.41406712000003</v>
      </c>
      <c r="M226">
        <v>1548248606743.6399</v>
      </c>
      <c r="N226">
        <v>60</v>
      </c>
      <c r="O226" t="s">
        <v>589</v>
      </c>
      <c r="P226">
        <v>1</v>
      </c>
      <c r="R226" t="s">
        <v>767</v>
      </c>
      <c r="S226" t="s">
        <v>768</v>
      </c>
      <c r="W226" t="s">
        <v>36</v>
      </c>
      <c r="X226" t="s">
        <v>37</v>
      </c>
      <c r="Y226" t="s">
        <v>38</v>
      </c>
      <c r="AD226">
        <v>0</v>
      </c>
      <c r="AE226" t="b">
        <f>ISNUMBER(MATCH(G226,AUM!$C$6:$C$1451,0))</f>
        <v>1</v>
      </c>
      <c r="AF226" t="b">
        <f>ISNUMBER(MATCH(G226,AUM!$G$6:$G$240,0))</f>
        <v>0</v>
      </c>
    </row>
    <row r="227" spans="1:32" x14ac:dyDescent="0.2">
      <c r="A227" t="s">
        <v>769</v>
      </c>
      <c r="B227" s="1">
        <v>45671</v>
      </c>
      <c r="D227" t="s">
        <v>769</v>
      </c>
      <c r="E227" t="s">
        <v>582</v>
      </c>
      <c r="F227" t="s">
        <v>770</v>
      </c>
      <c r="G227" t="s">
        <v>771</v>
      </c>
      <c r="H227" t="s">
        <v>585</v>
      </c>
      <c r="I227">
        <v>3389252947.59794</v>
      </c>
      <c r="J227">
        <v>526.01</v>
      </c>
      <c r="K227">
        <v>525.78</v>
      </c>
      <c r="L227">
        <v>525.77765309999995</v>
      </c>
      <c r="M227">
        <v>1781993460556.4099</v>
      </c>
      <c r="N227">
        <v>60</v>
      </c>
      <c r="O227" t="s">
        <v>589</v>
      </c>
      <c r="P227">
        <v>1</v>
      </c>
      <c r="R227" t="s">
        <v>772</v>
      </c>
      <c r="S227" t="s">
        <v>773</v>
      </c>
      <c r="W227" t="s">
        <v>36</v>
      </c>
      <c r="X227" t="s">
        <v>37</v>
      </c>
      <c r="Y227" t="s">
        <v>38</v>
      </c>
      <c r="AD227">
        <v>0</v>
      </c>
      <c r="AE227" t="b">
        <f>ISNUMBER(MATCH(G227,AUM!$C$6:$C$1451,0))</f>
        <v>1</v>
      </c>
      <c r="AF227" t="b">
        <f>ISNUMBER(MATCH(G227,AUM!$G$6:$G$240,0))</f>
        <v>0</v>
      </c>
    </row>
    <row r="228" spans="1:32" x14ac:dyDescent="0.2">
      <c r="A228" t="s">
        <v>774</v>
      </c>
      <c r="B228" s="1">
        <v>45671</v>
      </c>
      <c r="D228" t="s">
        <v>774</v>
      </c>
      <c r="E228" t="s">
        <v>582</v>
      </c>
      <c r="F228" t="s">
        <v>775</v>
      </c>
      <c r="G228" t="s">
        <v>776</v>
      </c>
      <c r="H228" t="s">
        <v>585</v>
      </c>
      <c r="I228">
        <v>6273381286.17132</v>
      </c>
      <c r="J228">
        <v>599.75</v>
      </c>
      <c r="K228">
        <v>599.88</v>
      </c>
      <c r="L228">
        <v>599.87668037000003</v>
      </c>
      <c r="M228">
        <v>3763255140673.04</v>
      </c>
      <c r="N228">
        <v>187</v>
      </c>
      <c r="O228" t="s">
        <v>589</v>
      </c>
      <c r="P228">
        <v>1</v>
      </c>
      <c r="R228" t="s">
        <v>777</v>
      </c>
      <c r="S228" t="s">
        <v>778</v>
      </c>
      <c r="W228" t="s">
        <v>36</v>
      </c>
      <c r="X228" t="s">
        <v>37</v>
      </c>
      <c r="Y228" t="s">
        <v>38</v>
      </c>
      <c r="AD228">
        <v>0</v>
      </c>
      <c r="AE228" t="b">
        <f>ISNUMBER(MATCH(G228,AUM!$C$6:$C$1451,0))</f>
        <v>1</v>
      </c>
      <c r="AF228" t="b">
        <f>ISNUMBER(MATCH(G228,AUM!$G$6:$G$240,0))</f>
        <v>0</v>
      </c>
    </row>
    <row r="229" spans="1:32" x14ac:dyDescent="0.2">
      <c r="A229" t="s">
        <v>778</v>
      </c>
      <c r="B229" s="1">
        <v>45671</v>
      </c>
      <c r="D229" t="s">
        <v>778</v>
      </c>
      <c r="E229" t="s">
        <v>582</v>
      </c>
      <c r="F229" t="s">
        <v>779</v>
      </c>
      <c r="G229" t="s">
        <v>780</v>
      </c>
      <c r="H229" t="s">
        <v>585</v>
      </c>
      <c r="J229">
        <v>1458.14</v>
      </c>
      <c r="K229">
        <v>1458.45</v>
      </c>
      <c r="L229">
        <v>1458.4538154100001</v>
      </c>
      <c r="Q229" t="s">
        <v>774</v>
      </c>
      <c r="U229">
        <v>0</v>
      </c>
      <c r="W229" t="s">
        <v>36</v>
      </c>
      <c r="X229" t="s">
        <v>69</v>
      </c>
      <c r="Y229" t="s">
        <v>38</v>
      </c>
      <c r="AD229">
        <v>0</v>
      </c>
      <c r="AE229" t="b">
        <f>ISNUMBER(MATCH(G229,AUM!$C$6:$C$1451,0))</f>
        <v>1</v>
      </c>
      <c r="AF229" t="b">
        <f>ISNUMBER(MATCH(G229,AUM!$G$6:$G$240,0))</f>
        <v>0</v>
      </c>
    </row>
    <row r="230" spans="1:32" x14ac:dyDescent="0.2">
      <c r="A230" t="s">
        <v>781</v>
      </c>
      <c r="B230" s="1">
        <v>45671</v>
      </c>
      <c r="D230" t="s">
        <v>781</v>
      </c>
      <c r="E230" t="s">
        <v>582</v>
      </c>
      <c r="F230" t="s">
        <v>782</v>
      </c>
      <c r="G230" t="s">
        <v>783</v>
      </c>
      <c r="H230" t="s">
        <v>585</v>
      </c>
      <c r="I230">
        <v>778868542.65970802</v>
      </c>
      <c r="J230">
        <v>153.47999999999999</v>
      </c>
      <c r="K230">
        <v>154.83000000000001</v>
      </c>
      <c r="L230">
        <v>154.83387572999999</v>
      </c>
      <c r="M230">
        <v>120595235145.271</v>
      </c>
      <c r="N230">
        <v>20</v>
      </c>
      <c r="O230" t="s">
        <v>589</v>
      </c>
      <c r="P230">
        <v>1</v>
      </c>
      <c r="R230" t="s">
        <v>784</v>
      </c>
      <c r="S230" t="s">
        <v>785</v>
      </c>
      <c r="W230" t="s">
        <v>36</v>
      </c>
      <c r="X230" t="s">
        <v>37</v>
      </c>
      <c r="Y230" t="s">
        <v>38</v>
      </c>
      <c r="AD230">
        <v>0</v>
      </c>
      <c r="AE230" t="b">
        <f>ISNUMBER(MATCH(G230,AUM!$C$6:$C$1451,0))</f>
        <v>1</v>
      </c>
      <c r="AF230" t="b">
        <f>ISNUMBER(MATCH(G230,AUM!$G$6:$G$240,0))</f>
        <v>0</v>
      </c>
    </row>
    <row r="231" spans="1:32" x14ac:dyDescent="0.2">
      <c r="A231" t="s">
        <v>786</v>
      </c>
      <c r="B231" s="1">
        <v>45671</v>
      </c>
      <c r="D231" t="s">
        <v>786</v>
      </c>
      <c r="E231" t="s">
        <v>582</v>
      </c>
      <c r="F231" t="s">
        <v>787</v>
      </c>
      <c r="G231" t="s">
        <v>788</v>
      </c>
      <c r="H231" t="s">
        <v>585</v>
      </c>
      <c r="I231">
        <v>259772309.56476501</v>
      </c>
      <c r="J231">
        <v>386.77</v>
      </c>
      <c r="K231">
        <v>384.35</v>
      </c>
      <c r="L231">
        <v>384.34965493999999</v>
      </c>
      <c r="M231">
        <v>99843397543.735199</v>
      </c>
      <c r="N231">
        <v>9</v>
      </c>
      <c r="O231" t="s">
        <v>589</v>
      </c>
      <c r="P231">
        <v>1</v>
      </c>
      <c r="R231" t="s">
        <v>789</v>
      </c>
      <c r="S231" t="s">
        <v>790</v>
      </c>
      <c r="W231" t="s">
        <v>36</v>
      </c>
      <c r="X231" t="s">
        <v>37</v>
      </c>
      <c r="Y231" t="s">
        <v>38</v>
      </c>
      <c r="AD231">
        <v>0</v>
      </c>
      <c r="AE231" t="b">
        <f>ISNUMBER(MATCH(G231,AUM!$C$6:$C$1451,0))</f>
        <v>1</v>
      </c>
      <c r="AF231" t="b">
        <f>ISNUMBER(MATCH(G231,AUM!$G$6:$G$240,0))</f>
        <v>0</v>
      </c>
    </row>
    <row r="232" spans="1:32" x14ac:dyDescent="0.2">
      <c r="A232" t="s">
        <v>629</v>
      </c>
      <c r="B232" s="1">
        <v>45671</v>
      </c>
      <c r="D232" t="s">
        <v>629</v>
      </c>
      <c r="E232" t="s">
        <v>582</v>
      </c>
      <c r="F232" t="s">
        <v>791</v>
      </c>
      <c r="G232" t="s">
        <v>792</v>
      </c>
      <c r="H232" t="s">
        <v>585</v>
      </c>
      <c r="J232">
        <v>1328.77</v>
      </c>
      <c r="K232">
        <v>1333.4</v>
      </c>
      <c r="L232">
        <v>1333.4035052500001</v>
      </c>
      <c r="Q232" t="s">
        <v>626</v>
      </c>
      <c r="T232">
        <v>0</v>
      </c>
      <c r="W232" t="s">
        <v>36</v>
      </c>
      <c r="X232" t="s">
        <v>69</v>
      </c>
      <c r="Y232" t="s">
        <v>38</v>
      </c>
      <c r="AD232">
        <v>0</v>
      </c>
      <c r="AE232" t="b">
        <f>ISNUMBER(MATCH(G232,AUM!$C$6:$C$1451,0))</f>
        <v>1</v>
      </c>
      <c r="AF232" t="b">
        <f>ISNUMBER(MATCH(G232,AUM!$G$6:$G$240,0))</f>
        <v>0</v>
      </c>
    </row>
    <row r="233" spans="1:32" x14ac:dyDescent="0.2">
      <c r="A233" t="s">
        <v>760</v>
      </c>
      <c r="B233" s="1">
        <v>45671</v>
      </c>
      <c r="D233" t="s">
        <v>760</v>
      </c>
      <c r="E233" t="s">
        <v>582</v>
      </c>
      <c r="F233" t="s">
        <v>793</v>
      </c>
      <c r="G233" t="s">
        <v>794</v>
      </c>
      <c r="H233" t="s">
        <v>585</v>
      </c>
      <c r="J233">
        <v>322.37</v>
      </c>
      <c r="K233">
        <v>316.79000000000002</v>
      </c>
      <c r="L233">
        <v>316.79053596</v>
      </c>
      <c r="Q233" t="s">
        <v>757</v>
      </c>
      <c r="T233">
        <v>0</v>
      </c>
      <c r="W233" t="s">
        <v>36</v>
      </c>
      <c r="X233" t="s">
        <v>69</v>
      </c>
      <c r="Y233" t="s">
        <v>38</v>
      </c>
      <c r="AD233">
        <v>0</v>
      </c>
      <c r="AE233" t="b">
        <f>ISNUMBER(MATCH(G233,AUM!$C$6:$C$1451,0))</f>
        <v>1</v>
      </c>
      <c r="AF233" t="b">
        <f>ISNUMBER(MATCH(G233,AUM!$G$6:$G$240,0))</f>
        <v>0</v>
      </c>
    </row>
    <row r="234" spans="1:32" x14ac:dyDescent="0.2">
      <c r="A234" t="s">
        <v>617</v>
      </c>
      <c r="B234" s="1">
        <v>45671</v>
      </c>
      <c r="D234" t="s">
        <v>617</v>
      </c>
      <c r="E234" t="s">
        <v>582</v>
      </c>
      <c r="F234" t="s">
        <v>795</v>
      </c>
      <c r="G234" t="s">
        <v>796</v>
      </c>
      <c r="H234" t="s">
        <v>585</v>
      </c>
      <c r="J234">
        <v>861.84</v>
      </c>
      <c r="K234">
        <v>867.57</v>
      </c>
      <c r="L234">
        <v>867.57296997000003</v>
      </c>
      <c r="Q234" t="s">
        <v>614</v>
      </c>
      <c r="T234">
        <v>0</v>
      </c>
      <c r="W234" t="s">
        <v>36</v>
      </c>
      <c r="X234" t="s">
        <v>69</v>
      </c>
      <c r="Y234" t="s">
        <v>38</v>
      </c>
      <c r="AD234">
        <v>0</v>
      </c>
      <c r="AE234" t="b">
        <f>ISNUMBER(MATCH(G234,AUM!$C$6:$C$1451,0))</f>
        <v>1</v>
      </c>
      <c r="AF234" t="b">
        <f>ISNUMBER(MATCH(G234,AUM!$G$6:$G$240,0))</f>
        <v>0</v>
      </c>
    </row>
    <row r="235" spans="1:32" x14ac:dyDescent="0.2">
      <c r="A235" t="s">
        <v>621</v>
      </c>
      <c r="B235" s="1">
        <v>45671</v>
      </c>
      <c r="D235" t="s">
        <v>621</v>
      </c>
      <c r="E235" t="s">
        <v>582</v>
      </c>
      <c r="F235" t="s">
        <v>797</v>
      </c>
      <c r="G235" t="s">
        <v>798</v>
      </c>
      <c r="H235" t="s">
        <v>585</v>
      </c>
      <c r="J235">
        <v>1686.43</v>
      </c>
      <c r="K235">
        <v>1674.67</v>
      </c>
      <c r="L235">
        <v>1674.6703255800001</v>
      </c>
      <c r="Q235" t="s">
        <v>618</v>
      </c>
      <c r="T235">
        <v>0</v>
      </c>
      <c r="W235" t="s">
        <v>36</v>
      </c>
      <c r="X235" t="s">
        <v>69</v>
      </c>
      <c r="Y235" t="s">
        <v>38</v>
      </c>
      <c r="AD235">
        <v>0</v>
      </c>
      <c r="AE235" t="b">
        <f>ISNUMBER(MATCH(G235,AUM!$C$6:$C$1451,0))</f>
        <v>1</v>
      </c>
      <c r="AF235" t="b">
        <f>ISNUMBER(MATCH(G235,AUM!$G$6:$G$240,0))</f>
        <v>0</v>
      </c>
    </row>
    <row r="236" spans="1:32" x14ac:dyDescent="0.2">
      <c r="A236" t="s">
        <v>625</v>
      </c>
      <c r="B236" s="1">
        <v>45671</v>
      </c>
      <c r="D236" t="s">
        <v>625</v>
      </c>
      <c r="E236" t="s">
        <v>582</v>
      </c>
      <c r="F236" t="s">
        <v>799</v>
      </c>
      <c r="G236" t="s">
        <v>800</v>
      </c>
      <c r="H236" t="s">
        <v>585</v>
      </c>
      <c r="J236">
        <v>374.73</v>
      </c>
      <c r="K236">
        <v>378.96</v>
      </c>
      <c r="L236">
        <v>378.95822572999998</v>
      </c>
      <c r="Q236" t="s">
        <v>622</v>
      </c>
      <c r="T236">
        <v>0</v>
      </c>
      <c r="W236" t="s">
        <v>36</v>
      </c>
      <c r="X236" t="s">
        <v>69</v>
      </c>
      <c r="Y236" t="s">
        <v>38</v>
      </c>
      <c r="AD236">
        <v>0</v>
      </c>
      <c r="AE236" t="b">
        <f>ISNUMBER(MATCH(G236,AUM!$C$6:$C$1451,0))</f>
        <v>1</v>
      </c>
      <c r="AF236" t="b">
        <f>ISNUMBER(MATCH(G236,AUM!$G$6:$G$240,0))</f>
        <v>0</v>
      </c>
    </row>
    <row r="237" spans="1:32" x14ac:dyDescent="0.2">
      <c r="A237" t="s">
        <v>746</v>
      </c>
      <c r="B237" s="1">
        <v>45671</v>
      </c>
      <c r="D237" t="s">
        <v>746</v>
      </c>
      <c r="E237" t="s">
        <v>582</v>
      </c>
      <c r="F237" t="s">
        <v>801</v>
      </c>
      <c r="G237" t="s">
        <v>802</v>
      </c>
      <c r="H237" t="s">
        <v>585</v>
      </c>
      <c r="J237">
        <v>77.28</v>
      </c>
      <c r="K237">
        <v>76.52</v>
      </c>
      <c r="L237">
        <v>76.523823199999995</v>
      </c>
      <c r="Q237" t="s">
        <v>743</v>
      </c>
      <c r="T237">
        <v>0</v>
      </c>
      <c r="W237" t="s">
        <v>36</v>
      </c>
      <c r="X237" t="s">
        <v>69</v>
      </c>
      <c r="Y237" t="s">
        <v>38</v>
      </c>
      <c r="AD237">
        <v>0</v>
      </c>
      <c r="AE237" t="b">
        <f>ISNUMBER(MATCH(G237,AUM!$C$6:$C$1451,0))</f>
        <v>1</v>
      </c>
      <c r="AF237" t="b">
        <f>ISNUMBER(MATCH(G237,AUM!$G$6:$G$240,0))</f>
        <v>0</v>
      </c>
    </row>
    <row r="238" spans="1:32" x14ac:dyDescent="0.2">
      <c r="A238" t="s">
        <v>803</v>
      </c>
      <c r="B238" s="1">
        <v>45671</v>
      </c>
      <c r="D238" t="s">
        <v>803</v>
      </c>
      <c r="E238" t="s">
        <v>582</v>
      </c>
      <c r="F238" t="s">
        <v>804</v>
      </c>
      <c r="G238" t="s">
        <v>805</v>
      </c>
      <c r="H238" t="s">
        <v>585</v>
      </c>
      <c r="I238">
        <v>2049396797.6926799</v>
      </c>
      <c r="J238">
        <v>628.84</v>
      </c>
      <c r="K238">
        <v>630.4</v>
      </c>
      <c r="L238">
        <v>630.39697350999995</v>
      </c>
      <c r="M238">
        <v>1291933538792.0801</v>
      </c>
      <c r="N238">
        <v>25</v>
      </c>
      <c r="O238" t="s">
        <v>589</v>
      </c>
      <c r="P238">
        <v>1</v>
      </c>
      <c r="R238" t="s">
        <v>806</v>
      </c>
      <c r="W238" t="s">
        <v>36</v>
      </c>
      <c r="X238" t="s">
        <v>37</v>
      </c>
      <c r="Y238" t="s">
        <v>38</v>
      </c>
      <c r="AD238">
        <v>0</v>
      </c>
      <c r="AE238" t="b">
        <f>ISNUMBER(MATCH(G238,AUM!$C$6:$C$1451,0))</f>
        <v>1</v>
      </c>
      <c r="AF238" t="b">
        <f>ISNUMBER(MATCH(G238,AUM!$G$6:$G$240,0))</f>
        <v>0</v>
      </c>
    </row>
    <row r="239" spans="1:32" x14ac:dyDescent="0.2">
      <c r="A239" t="s">
        <v>753</v>
      </c>
      <c r="B239" s="1">
        <v>45671</v>
      </c>
      <c r="D239" t="s">
        <v>753</v>
      </c>
      <c r="E239" t="s">
        <v>582</v>
      </c>
      <c r="F239" t="s">
        <v>807</v>
      </c>
      <c r="G239" t="s">
        <v>808</v>
      </c>
      <c r="H239" t="s">
        <v>585</v>
      </c>
      <c r="J239">
        <v>1039.45</v>
      </c>
      <c r="K239">
        <v>1018.26</v>
      </c>
      <c r="L239">
        <v>1018.25571627</v>
      </c>
      <c r="Q239" t="s">
        <v>750</v>
      </c>
      <c r="T239">
        <v>0</v>
      </c>
      <c r="W239" t="s">
        <v>36</v>
      </c>
      <c r="X239" t="s">
        <v>69</v>
      </c>
      <c r="Y239" t="s">
        <v>38</v>
      </c>
      <c r="AD239">
        <v>0</v>
      </c>
      <c r="AE239" t="b">
        <f>ISNUMBER(MATCH(G239,AUM!$C$6:$C$1451,0))</f>
        <v>1</v>
      </c>
      <c r="AF239" t="b">
        <f>ISNUMBER(MATCH(G239,AUM!$G$6:$G$240,0))</f>
        <v>0</v>
      </c>
    </row>
    <row r="240" spans="1:32" x14ac:dyDescent="0.2">
      <c r="A240" t="s">
        <v>777</v>
      </c>
      <c r="B240" s="1">
        <v>45671</v>
      </c>
      <c r="D240" t="s">
        <v>777</v>
      </c>
      <c r="E240" t="s">
        <v>582</v>
      </c>
      <c r="F240" t="s">
        <v>809</v>
      </c>
      <c r="G240" t="s">
        <v>810</v>
      </c>
      <c r="H240" t="s">
        <v>585</v>
      </c>
      <c r="J240">
        <v>1714.2</v>
      </c>
      <c r="K240">
        <v>1714.57</v>
      </c>
      <c r="L240">
        <v>1714.57465011</v>
      </c>
      <c r="Q240" t="s">
        <v>774</v>
      </c>
      <c r="T240">
        <v>0</v>
      </c>
      <c r="W240" t="s">
        <v>36</v>
      </c>
      <c r="X240" t="s">
        <v>69</v>
      </c>
      <c r="Y240" t="s">
        <v>38</v>
      </c>
      <c r="AD240">
        <v>0</v>
      </c>
      <c r="AE240" t="b">
        <f>ISNUMBER(MATCH(G240,AUM!$C$6:$C$1451,0))</f>
        <v>1</v>
      </c>
      <c r="AF240" t="b">
        <f>ISNUMBER(MATCH(G240,AUM!$G$6:$G$240,0))</f>
        <v>0</v>
      </c>
    </row>
    <row r="241" spans="1:32" x14ac:dyDescent="0.2">
      <c r="A241" t="s">
        <v>811</v>
      </c>
      <c r="B241" s="1">
        <v>45671</v>
      </c>
      <c r="D241" t="s">
        <v>803</v>
      </c>
      <c r="E241" t="s">
        <v>582</v>
      </c>
      <c r="F241" t="s">
        <v>812</v>
      </c>
      <c r="G241" t="s">
        <v>813</v>
      </c>
      <c r="H241" t="s">
        <v>585</v>
      </c>
      <c r="I241">
        <v>1912659757.66399</v>
      </c>
      <c r="J241">
        <v>673.79</v>
      </c>
      <c r="K241">
        <v>675.46</v>
      </c>
      <c r="L241">
        <v>675.46438075000003</v>
      </c>
      <c r="M241">
        <v>1291933538792.0801</v>
      </c>
      <c r="N241">
        <v>25</v>
      </c>
      <c r="O241" t="s">
        <v>589</v>
      </c>
      <c r="P241">
        <v>1</v>
      </c>
      <c r="R241" t="s">
        <v>806</v>
      </c>
      <c r="W241" t="s">
        <v>36</v>
      </c>
      <c r="X241" t="s">
        <v>37</v>
      </c>
      <c r="Y241" t="s">
        <v>38</v>
      </c>
      <c r="AD241">
        <v>0</v>
      </c>
      <c r="AE241" t="b">
        <f>ISNUMBER(MATCH(G241,AUM!$C$6:$C$1451,0))</f>
        <v>0</v>
      </c>
      <c r="AF241" t="b">
        <f>ISNUMBER(MATCH(G241,AUM!$G$6:$G$240,0))</f>
        <v>0</v>
      </c>
    </row>
    <row r="242" spans="1:32" x14ac:dyDescent="0.2">
      <c r="A242" t="s">
        <v>814</v>
      </c>
      <c r="B242" s="1">
        <v>45671</v>
      </c>
      <c r="D242" t="s">
        <v>815</v>
      </c>
      <c r="E242" t="s">
        <v>582</v>
      </c>
      <c r="F242" t="s">
        <v>816</v>
      </c>
      <c r="G242" t="s">
        <v>817</v>
      </c>
      <c r="H242" t="s">
        <v>585</v>
      </c>
      <c r="I242">
        <v>2049396797.6926799</v>
      </c>
      <c r="J242">
        <v>628.84</v>
      </c>
      <c r="K242">
        <v>630.4</v>
      </c>
      <c r="L242">
        <v>630.39697350999995</v>
      </c>
      <c r="M242">
        <v>1291933538792.0801</v>
      </c>
      <c r="N242">
        <v>25</v>
      </c>
      <c r="O242" t="s">
        <v>589</v>
      </c>
      <c r="P242">
        <v>1</v>
      </c>
      <c r="R242" t="s">
        <v>818</v>
      </c>
      <c r="W242" t="s">
        <v>36</v>
      </c>
      <c r="X242" t="s">
        <v>37</v>
      </c>
      <c r="Y242" t="s">
        <v>38</v>
      </c>
      <c r="AD242">
        <v>0</v>
      </c>
      <c r="AE242" t="b">
        <f>ISNUMBER(MATCH(G242,AUM!$C$6:$C$1451,0))</f>
        <v>0</v>
      </c>
      <c r="AF242" t="b">
        <f>ISNUMBER(MATCH(G242,AUM!$G$6:$G$240,0))</f>
        <v>0</v>
      </c>
    </row>
    <row r="243" spans="1:32" x14ac:dyDescent="0.2">
      <c r="A243" t="s">
        <v>633</v>
      </c>
      <c r="B243" s="1">
        <v>45671</v>
      </c>
      <c r="D243" t="s">
        <v>633</v>
      </c>
      <c r="E243" t="s">
        <v>582</v>
      </c>
      <c r="F243" t="s">
        <v>819</v>
      </c>
      <c r="G243" t="s">
        <v>820</v>
      </c>
      <c r="H243" t="s">
        <v>585</v>
      </c>
      <c r="J243">
        <v>5195.0600000000004</v>
      </c>
      <c r="K243">
        <v>5176.71</v>
      </c>
      <c r="L243">
        <v>5176.7110706800004</v>
      </c>
      <c r="Q243" t="s">
        <v>630</v>
      </c>
      <c r="T243">
        <v>0</v>
      </c>
      <c r="W243" t="s">
        <v>36</v>
      </c>
      <c r="X243" t="s">
        <v>69</v>
      </c>
      <c r="Y243" t="s">
        <v>38</v>
      </c>
      <c r="AD243">
        <v>0</v>
      </c>
      <c r="AE243" t="b">
        <f>ISNUMBER(MATCH(G243,AUM!$C$6:$C$1451,0))</f>
        <v>1</v>
      </c>
      <c r="AF243" t="b">
        <f>ISNUMBER(MATCH(G243,AUM!$G$6:$G$240,0))</f>
        <v>0</v>
      </c>
    </row>
    <row r="244" spans="1:32" x14ac:dyDescent="0.2">
      <c r="A244" t="s">
        <v>806</v>
      </c>
      <c r="B244" s="1">
        <v>45671</v>
      </c>
      <c r="D244" t="s">
        <v>806</v>
      </c>
      <c r="E244" t="s">
        <v>582</v>
      </c>
      <c r="F244" t="s">
        <v>821</v>
      </c>
      <c r="G244" t="s">
        <v>822</v>
      </c>
      <c r="H244" t="s">
        <v>585</v>
      </c>
      <c r="J244">
        <v>1387.94</v>
      </c>
      <c r="K244">
        <v>1391.38</v>
      </c>
      <c r="L244">
        <v>1391.3799887299999</v>
      </c>
      <c r="Q244" t="s">
        <v>803</v>
      </c>
      <c r="T244">
        <v>0</v>
      </c>
      <c r="W244" t="s">
        <v>36</v>
      </c>
      <c r="X244" t="s">
        <v>69</v>
      </c>
      <c r="Y244" t="s">
        <v>38</v>
      </c>
      <c r="AD244">
        <v>0</v>
      </c>
      <c r="AE244" t="b">
        <f>ISNUMBER(MATCH(G244,AUM!$C$6:$C$1451,0))</f>
        <v>1</v>
      </c>
      <c r="AF244" t="b">
        <f>ISNUMBER(MATCH(G244,AUM!$G$6:$G$240,0))</f>
        <v>0</v>
      </c>
    </row>
    <row r="245" spans="1:32" x14ac:dyDescent="0.2">
      <c r="A245" t="s">
        <v>823</v>
      </c>
      <c r="B245" s="1">
        <v>45671</v>
      </c>
      <c r="D245" t="s">
        <v>806</v>
      </c>
      <c r="E245" t="s">
        <v>582</v>
      </c>
      <c r="F245" t="s">
        <v>824</v>
      </c>
      <c r="G245" t="s">
        <v>825</v>
      </c>
      <c r="H245" t="s">
        <v>585</v>
      </c>
      <c r="J245">
        <v>1479.71</v>
      </c>
      <c r="K245">
        <v>1483.38</v>
      </c>
      <c r="L245">
        <v>1483.3836798100001</v>
      </c>
      <c r="Q245" t="s">
        <v>803</v>
      </c>
      <c r="T245">
        <v>0</v>
      </c>
      <c r="W245" t="s">
        <v>36</v>
      </c>
      <c r="X245" t="s">
        <v>69</v>
      </c>
      <c r="Y245" t="s">
        <v>38</v>
      </c>
      <c r="AD245">
        <v>0</v>
      </c>
      <c r="AE245" t="b">
        <f>ISNUMBER(MATCH(G245,AUM!$C$6:$C$1451,0))</f>
        <v>0</v>
      </c>
      <c r="AF245" t="b">
        <f>ISNUMBER(MATCH(G245,AUM!$G$6:$G$240,0))</f>
        <v>0</v>
      </c>
    </row>
    <row r="246" spans="1:32" x14ac:dyDescent="0.2">
      <c r="A246" t="s">
        <v>826</v>
      </c>
      <c r="B246" s="1">
        <v>45671</v>
      </c>
      <c r="D246" t="s">
        <v>826</v>
      </c>
      <c r="E246" t="s">
        <v>40</v>
      </c>
      <c r="F246" t="s">
        <v>827</v>
      </c>
      <c r="G246" t="s">
        <v>828</v>
      </c>
      <c r="H246" t="s">
        <v>43</v>
      </c>
      <c r="I246">
        <v>4088753618.4222898</v>
      </c>
      <c r="J246">
        <v>1539.95</v>
      </c>
      <c r="K246">
        <v>1542.42</v>
      </c>
      <c r="L246">
        <v>1542.4224554100001</v>
      </c>
      <c r="M246">
        <v>6306585395695.25</v>
      </c>
      <c r="N246">
        <v>500</v>
      </c>
      <c r="O246" t="s">
        <v>35</v>
      </c>
      <c r="P246">
        <v>1</v>
      </c>
      <c r="R246" t="s">
        <v>829</v>
      </c>
      <c r="S246" t="s">
        <v>830</v>
      </c>
      <c r="W246" t="s">
        <v>36</v>
      </c>
      <c r="X246" t="s">
        <v>37</v>
      </c>
      <c r="Y246" t="s">
        <v>38</v>
      </c>
      <c r="AD246">
        <v>0</v>
      </c>
      <c r="AE246" t="b">
        <f>ISNUMBER(MATCH(G246,AUM!$C$6:$C$1451,0))</f>
        <v>1</v>
      </c>
      <c r="AF246" t="b">
        <f>ISNUMBER(MATCH(G246,AUM!$G$6:$G$240,0))</f>
        <v>1</v>
      </c>
    </row>
    <row r="247" spans="1:32" x14ac:dyDescent="0.2">
      <c r="A247" t="s">
        <v>831</v>
      </c>
      <c r="B247" s="1">
        <v>45671</v>
      </c>
      <c r="D247" t="s">
        <v>831</v>
      </c>
      <c r="E247" t="s">
        <v>40</v>
      </c>
      <c r="F247" t="s">
        <v>832</v>
      </c>
      <c r="G247" t="s">
        <v>833</v>
      </c>
      <c r="H247" t="s">
        <v>43</v>
      </c>
      <c r="J247">
        <v>7689.64</v>
      </c>
      <c r="K247">
        <v>7737.32</v>
      </c>
      <c r="L247">
        <v>7737.3216180700001</v>
      </c>
      <c r="Q247" t="s">
        <v>834</v>
      </c>
      <c r="T247">
        <v>1.0226921361920001E-2</v>
      </c>
      <c r="V247" t="s">
        <v>835</v>
      </c>
      <c r="W247" t="s">
        <v>36</v>
      </c>
      <c r="X247" t="s">
        <v>69</v>
      </c>
      <c r="Y247" t="s">
        <v>38</v>
      </c>
      <c r="AD247">
        <v>0</v>
      </c>
      <c r="AE247" t="b">
        <f>ISNUMBER(MATCH(G247,AUM!$C$6:$C$1451,0))</f>
        <v>1</v>
      </c>
      <c r="AF247" t="b">
        <f>ISNUMBER(MATCH(G247,AUM!$G$6:$G$240,0))</f>
        <v>0</v>
      </c>
    </row>
    <row r="248" spans="1:32" x14ac:dyDescent="0.2">
      <c r="A248" t="s">
        <v>836</v>
      </c>
      <c r="B248" s="1">
        <v>45671</v>
      </c>
      <c r="D248" t="s">
        <v>836</v>
      </c>
      <c r="E248" t="s">
        <v>40</v>
      </c>
      <c r="F248" t="s">
        <v>837</v>
      </c>
      <c r="G248" t="s">
        <v>838</v>
      </c>
      <c r="H248" t="s">
        <v>43</v>
      </c>
      <c r="J248">
        <v>6859.82</v>
      </c>
      <c r="K248">
        <v>6902.36</v>
      </c>
      <c r="L248">
        <v>6902.3565723800002</v>
      </c>
      <c r="Q248" t="s">
        <v>834</v>
      </c>
      <c r="U248">
        <v>7.15884495334E-3</v>
      </c>
      <c r="V248" t="s">
        <v>835</v>
      </c>
      <c r="W248" t="s">
        <v>36</v>
      </c>
      <c r="X248" t="s">
        <v>69</v>
      </c>
      <c r="Y248" t="s">
        <v>38</v>
      </c>
      <c r="AD248">
        <v>0</v>
      </c>
      <c r="AE248" t="b">
        <f>ISNUMBER(MATCH(G248,AUM!$C$6:$C$1451,0))</f>
        <v>1</v>
      </c>
      <c r="AF248" t="b">
        <f>ISNUMBER(MATCH(G248,AUM!$G$6:$G$240,0))</f>
        <v>0</v>
      </c>
    </row>
    <row r="249" spans="1:32" x14ac:dyDescent="0.2">
      <c r="A249" t="s">
        <v>834</v>
      </c>
      <c r="B249" s="1">
        <v>45671</v>
      </c>
      <c r="D249" t="s">
        <v>834</v>
      </c>
      <c r="E249" t="s">
        <v>40</v>
      </c>
      <c r="F249" t="s">
        <v>839</v>
      </c>
      <c r="G249" t="s">
        <v>840</v>
      </c>
      <c r="H249" t="s">
        <v>43</v>
      </c>
      <c r="I249">
        <v>9559687274.8868504</v>
      </c>
      <c r="J249">
        <v>5197.0600000000004</v>
      </c>
      <c r="K249">
        <v>5229.28</v>
      </c>
      <c r="L249">
        <v>5229.28403377</v>
      </c>
      <c r="M249">
        <v>49990320034395.898</v>
      </c>
      <c r="N249">
        <v>500</v>
      </c>
      <c r="O249" t="s">
        <v>35</v>
      </c>
      <c r="P249">
        <v>1</v>
      </c>
      <c r="R249" t="s">
        <v>831</v>
      </c>
      <c r="S249" t="s">
        <v>836</v>
      </c>
      <c r="W249" t="s">
        <v>36</v>
      </c>
      <c r="X249" t="s">
        <v>37</v>
      </c>
      <c r="Y249" t="s">
        <v>38</v>
      </c>
      <c r="AD249">
        <v>0</v>
      </c>
      <c r="AE249" t="b">
        <f>ISNUMBER(MATCH(G249,AUM!$C$6:$C$1451,0))</f>
        <v>1</v>
      </c>
      <c r="AF249" t="b">
        <f>ISNUMBER(MATCH(G249,AUM!$G$6:$G$240,0))</f>
        <v>1</v>
      </c>
    </row>
    <row r="250" spans="1:32" x14ac:dyDescent="0.2">
      <c r="A250" t="s">
        <v>841</v>
      </c>
      <c r="B250" s="1">
        <v>45671</v>
      </c>
      <c r="D250" t="s">
        <v>841</v>
      </c>
      <c r="E250" t="s">
        <v>40</v>
      </c>
      <c r="F250" t="s">
        <v>842</v>
      </c>
      <c r="G250" t="s">
        <v>843</v>
      </c>
      <c r="H250" t="s">
        <v>43</v>
      </c>
      <c r="I250">
        <v>382476.95228662202</v>
      </c>
      <c r="J250">
        <v>2012.44</v>
      </c>
      <c r="K250">
        <v>2001.98</v>
      </c>
      <c r="L250">
        <v>2001.97547586</v>
      </c>
      <c r="M250">
        <v>765709478.55900002</v>
      </c>
      <c r="N250">
        <v>2</v>
      </c>
      <c r="O250" t="s">
        <v>35</v>
      </c>
      <c r="P250">
        <v>1</v>
      </c>
      <c r="R250" t="s">
        <v>844</v>
      </c>
      <c r="W250" t="s">
        <v>36</v>
      </c>
      <c r="X250" t="s">
        <v>37</v>
      </c>
      <c r="Y250" t="s">
        <v>38</v>
      </c>
      <c r="AD250">
        <v>0</v>
      </c>
      <c r="AE250" t="b">
        <f>ISNUMBER(MATCH(G250,AUM!$C$6:$C$1451,0))</f>
        <v>1</v>
      </c>
      <c r="AF250" t="b">
        <f>ISNUMBER(MATCH(G250,AUM!$G$6:$G$240,0))</f>
        <v>0</v>
      </c>
    </row>
    <row r="251" spans="1:32" x14ac:dyDescent="0.2">
      <c r="A251" t="s">
        <v>845</v>
      </c>
      <c r="B251" s="1">
        <v>45671</v>
      </c>
      <c r="D251" t="s">
        <v>845</v>
      </c>
      <c r="E251" t="s">
        <v>40</v>
      </c>
      <c r="F251" t="s">
        <v>846</v>
      </c>
      <c r="G251" t="s">
        <v>847</v>
      </c>
      <c r="H251" t="s">
        <v>43</v>
      </c>
      <c r="I251">
        <v>950831.15947490197</v>
      </c>
      <c r="J251">
        <v>1993.17</v>
      </c>
      <c r="K251">
        <v>1985.68</v>
      </c>
      <c r="L251">
        <v>1985.68355271</v>
      </c>
      <c r="M251">
        <v>1888049794.7739999</v>
      </c>
      <c r="N251">
        <v>50</v>
      </c>
      <c r="O251" t="s">
        <v>35</v>
      </c>
      <c r="P251">
        <v>1</v>
      </c>
      <c r="R251" t="s">
        <v>848</v>
      </c>
      <c r="S251" t="s">
        <v>849</v>
      </c>
      <c r="W251" t="s">
        <v>36</v>
      </c>
      <c r="X251" t="s">
        <v>37</v>
      </c>
      <c r="Y251" t="s">
        <v>38</v>
      </c>
      <c r="AD251">
        <v>0</v>
      </c>
      <c r="AE251" t="b">
        <f>ISNUMBER(MATCH(G251,AUM!$C$6:$C$1451,0))</f>
        <v>1</v>
      </c>
      <c r="AF251" t="b">
        <f>ISNUMBER(MATCH(G251,AUM!$G$6:$G$240,0))</f>
        <v>1</v>
      </c>
    </row>
    <row r="252" spans="1:32" x14ac:dyDescent="0.2">
      <c r="A252" t="s">
        <v>850</v>
      </c>
      <c r="B252" s="1">
        <v>45671</v>
      </c>
      <c r="D252" t="s">
        <v>850</v>
      </c>
      <c r="E252" t="s">
        <v>40</v>
      </c>
      <c r="F252" t="s">
        <v>851</v>
      </c>
      <c r="G252" t="s">
        <v>852</v>
      </c>
      <c r="H252" t="s">
        <v>43</v>
      </c>
      <c r="J252">
        <v>5400.45</v>
      </c>
      <c r="K252">
        <v>5421.68</v>
      </c>
      <c r="L252">
        <v>5421.6817842700002</v>
      </c>
      <c r="Q252" t="s">
        <v>853</v>
      </c>
      <c r="T252">
        <v>1.254483605437E-2</v>
      </c>
      <c r="V252" t="s">
        <v>854</v>
      </c>
      <c r="W252" t="s">
        <v>36</v>
      </c>
      <c r="X252" t="s">
        <v>69</v>
      </c>
      <c r="Y252" t="s">
        <v>38</v>
      </c>
      <c r="AD252">
        <v>0</v>
      </c>
      <c r="AE252" t="b">
        <f>ISNUMBER(MATCH(G252,AUM!$C$6:$C$1451,0))</f>
        <v>1</v>
      </c>
      <c r="AF252" t="b">
        <f>ISNUMBER(MATCH(G252,AUM!$G$6:$G$240,0))</f>
        <v>0</v>
      </c>
    </row>
    <row r="253" spans="1:32" x14ac:dyDescent="0.2">
      <c r="A253" t="s">
        <v>855</v>
      </c>
      <c r="B253" s="1">
        <v>45671</v>
      </c>
      <c r="D253" t="s">
        <v>855</v>
      </c>
      <c r="E253" t="s">
        <v>40</v>
      </c>
      <c r="F253" t="s">
        <v>856</v>
      </c>
      <c r="G253" t="s">
        <v>857</v>
      </c>
      <c r="H253" t="s">
        <v>43</v>
      </c>
      <c r="I253">
        <v>19635379673.123402</v>
      </c>
      <c r="J253">
        <v>3390.65</v>
      </c>
      <c r="K253">
        <v>3403.92</v>
      </c>
      <c r="L253">
        <v>3403.91958054</v>
      </c>
      <c r="M253">
        <v>66837253340629</v>
      </c>
      <c r="N253">
        <v>1548</v>
      </c>
      <c r="O253" t="s">
        <v>35</v>
      </c>
      <c r="P253">
        <v>1</v>
      </c>
      <c r="R253" t="s">
        <v>858</v>
      </c>
      <c r="S253" t="s">
        <v>859</v>
      </c>
      <c r="W253" t="s">
        <v>36</v>
      </c>
      <c r="X253" t="s">
        <v>37</v>
      </c>
      <c r="Y253" t="s">
        <v>38</v>
      </c>
      <c r="AD253">
        <v>0</v>
      </c>
      <c r="AE253" t="b">
        <f>ISNUMBER(MATCH(G253,AUM!$C$6:$C$1451,0))</f>
        <v>1</v>
      </c>
      <c r="AF253" t="b">
        <f>ISNUMBER(MATCH(G253,AUM!$G$6:$G$240,0))</f>
        <v>1</v>
      </c>
    </row>
    <row r="254" spans="1:32" x14ac:dyDescent="0.2">
      <c r="A254" t="s">
        <v>859</v>
      </c>
      <c r="B254" s="1">
        <v>45671</v>
      </c>
      <c r="D254" t="s">
        <v>859</v>
      </c>
      <c r="E254" t="s">
        <v>40</v>
      </c>
      <c r="F254" t="s">
        <v>860</v>
      </c>
      <c r="G254" t="s">
        <v>861</v>
      </c>
      <c r="H254" t="s">
        <v>43</v>
      </c>
      <c r="J254">
        <v>4840.09</v>
      </c>
      <c r="K254">
        <v>4859.03</v>
      </c>
      <c r="L254">
        <v>4859.0260433200001</v>
      </c>
      <c r="Q254" t="s">
        <v>855</v>
      </c>
      <c r="U254">
        <v>9.1424266905900005E-3</v>
      </c>
      <c r="V254" t="s">
        <v>854</v>
      </c>
      <c r="W254" t="s">
        <v>36</v>
      </c>
      <c r="X254" t="s">
        <v>69</v>
      </c>
      <c r="Y254" t="s">
        <v>38</v>
      </c>
      <c r="AD254">
        <v>0</v>
      </c>
      <c r="AE254" t="b">
        <f>ISNUMBER(MATCH(G254,AUM!$C$6:$C$1451,0))</f>
        <v>1</v>
      </c>
      <c r="AF254" t="b">
        <f>ISNUMBER(MATCH(G254,AUM!$G$6:$G$240,0))</f>
        <v>0</v>
      </c>
    </row>
    <row r="255" spans="1:32" x14ac:dyDescent="0.2">
      <c r="A255" t="s">
        <v>858</v>
      </c>
      <c r="B255" s="1">
        <v>45671</v>
      </c>
      <c r="D255" t="s">
        <v>858</v>
      </c>
      <c r="E255" t="s">
        <v>40</v>
      </c>
      <c r="F255" t="s">
        <v>862</v>
      </c>
      <c r="G255" t="s">
        <v>863</v>
      </c>
      <c r="H255" t="s">
        <v>43</v>
      </c>
      <c r="J255">
        <v>5400.42</v>
      </c>
      <c r="K255">
        <v>5421.56</v>
      </c>
      <c r="L255">
        <v>5421.5586451899999</v>
      </c>
      <c r="Q255" t="s">
        <v>855</v>
      </c>
      <c r="T255">
        <v>1.2521841069430001E-2</v>
      </c>
      <c r="V255" t="s">
        <v>854</v>
      </c>
      <c r="W255" t="s">
        <v>36</v>
      </c>
      <c r="X255" t="s">
        <v>69</v>
      </c>
      <c r="Y255" t="s">
        <v>38</v>
      </c>
      <c r="AD255">
        <v>0</v>
      </c>
      <c r="AE255" t="b">
        <f>ISNUMBER(MATCH(G255,AUM!$C$6:$C$1451,0))</f>
        <v>1</v>
      </c>
      <c r="AF255" t="b">
        <f>ISNUMBER(MATCH(G255,AUM!$G$6:$G$240,0))</f>
        <v>0</v>
      </c>
    </row>
    <row r="256" spans="1:32" x14ac:dyDescent="0.2">
      <c r="A256" t="s">
        <v>853</v>
      </c>
      <c r="B256" s="1">
        <v>45671</v>
      </c>
      <c r="D256" t="s">
        <v>853</v>
      </c>
      <c r="E256" t="s">
        <v>40</v>
      </c>
      <c r="F256" t="s">
        <v>864</v>
      </c>
      <c r="G256" t="s">
        <v>865</v>
      </c>
      <c r="H256" t="s">
        <v>43</v>
      </c>
      <c r="I256">
        <v>19599387551.910301</v>
      </c>
      <c r="J256">
        <v>3391.34</v>
      </c>
      <c r="K256">
        <v>3404.67</v>
      </c>
      <c r="L256">
        <v>3404.6739346099998</v>
      </c>
      <c r="M256">
        <v>66729523932240.297</v>
      </c>
      <c r="N256">
        <v>1500</v>
      </c>
      <c r="O256" t="s">
        <v>35</v>
      </c>
      <c r="P256">
        <v>1</v>
      </c>
      <c r="R256" t="s">
        <v>850</v>
      </c>
      <c r="S256" t="s">
        <v>866</v>
      </c>
      <c r="W256" t="s">
        <v>36</v>
      </c>
      <c r="X256" t="s">
        <v>37</v>
      </c>
      <c r="Y256" t="s">
        <v>38</v>
      </c>
      <c r="AD256">
        <v>0</v>
      </c>
      <c r="AE256" t="b">
        <f>ISNUMBER(MATCH(G256,AUM!$C$6:$C$1451,0))</f>
        <v>1</v>
      </c>
      <c r="AF256" t="b">
        <f>ISNUMBER(MATCH(G256,AUM!$G$6:$G$240,0))</f>
        <v>1</v>
      </c>
    </row>
    <row r="257" spans="1:32" x14ac:dyDescent="0.2">
      <c r="A257" t="s">
        <v>866</v>
      </c>
      <c r="B257" s="1">
        <v>45671</v>
      </c>
      <c r="D257" t="s">
        <v>866</v>
      </c>
      <c r="E257" t="s">
        <v>40</v>
      </c>
      <c r="F257" t="s">
        <v>867</v>
      </c>
      <c r="G257" t="s">
        <v>868</v>
      </c>
      <c r="H257" t="s">
        <v>43</v>
      </c>
      <c r="J257">
        <v>4840.38</v>
      </c>
      <c r="K257">
        <v>4859.41</v>
      </c>
      <c r="L257">
        <v>4859.4098055000004</v>
      </c>
      <c r="Q257" t="s">
        <v>853</v>
      </c>
      <c r="U257">
        <v>9.1592157524300003E-3</v>
      </c>
      <c r="V257" t="s">
        <v>854</v>
      </c>
      <c r="W257" t="s">
        <v>36</v>
      </c>
      <c r="X257" t="s">
        <v>69</v>
      </c>
      <c r="Y257" t="s">
        <v>38</v>
      </c>
      <c r="AD257">
        <v>0</v>
      </c>
      <c r="AE257" t="b">
        <f>ISNUMBER(MATCH(G257,AUM!$C$6:$C$1451,0))</f>
        <v>1</v>
      </c>
      <c r="AF257" t="b">
        <f>ISNUMBER(MATCH(G257,AUM!$G$6:$G$240,0))</f>
        <v>0</v>
      </c>
    </row>
    <row r="258" spans="1:32" x14ac:dyDescent="0.2">
      <c r="A258" t="s">
        <v>869</v>
      </c>
      <c r="B258" s="1">
        <v>45671</v>
      </c>
      <c r="D258" t="s">
        <v>869</v>
      </c>
      <c r="E258" t="s">
        <v>31</v>
      </c>
      <c r="F258" t="s">
        <v>870</v>
      </c>
      <c r="G258" t="s">
        <v>871</v>
      </c>
      <c r="H258" t="s">
        <v>34</v>
      </c>
      <c r="I258">
        <v>15466536119.528099</v>
      </c>
      <c r="J258">
        <v>3804.47</v>
      </c>
      <c r="K258">
        <v>3823.9</v>
      </c>
      <c r="L258">
        <v>3823.8986945000001</v>
      </c>
      <c r="M258">
        <v>59142467275921.797</v>
      </c>
      <c r="N258">
        <v>1094</v>
      </c>
      <c r="O258" t="s">
        <v>35</v>
      </c>
      <c r="P258">
        <v>1</v>
      </c>
      <c r="R258" t="s">
        <v>872</v>
      </c>
      <c r="S258" t="s">
        <v>873</v>
      </c>
      <c r="W258" t="s">
        <v>36</v>
      </c>
      <c r="X258" t="s">
        <v>37</v>
      </c>
      <c r="Y258" t="s">
        <v>38</v>
      </c>
      <c r="AD258">
        <v>0</v>
      </c>
      <c r="AE258" t="b">
        <f>ISNUMBER(MATCH(G258,AUM!$C$6:$C$1451,0))</f>
        <v>1</v>
      </c>
      <c r="AF258" t="b">
        <f>ISNUMBER(MATCH(G258,AUM!$G$6:$G$240,0))</f>
        <v>1</v>
      </c>
    </row>
    <row r="259" spans="1:32" x14ac:dyDescent="0.2">
      <c r="A259" t="s">
        <v>874</v>
      </c>
      <c r="B259" s="1">
        <v>45671</v>
      </c>
      <c r="D259" t="s">
        <v>874</v>
      </c>
      <c r="E259" t="s">
        <v>40</v>
      </c>
      <c r="F259" t="s">
        <v>875</v>
      </c>
      <c r="G259" t="s">
        <v>876</v>
      </c>
      <c r="H259" t="s">
        <v>43</v>
      </c>
      <c r="J259">
        <v>1129.44</v>
      </c>
      <c r="K259">
        <v>1131.8399999999999</v>
      </c>
      <c r="L259">
        <v>1131.8393783199999</v>
      </c>
      <c r="Q259" t="s">
        <v>877</v>
      </c>
      <c r="W259" t="s">
        <v>36</v>
      </c>
      <c r="X259" t="s">
        <v>878</v>
      </c>
      <c r="Y259" t="s">
        <v>38</v>
      </c>
      <c r="Z259" t="s">
        <v>879</v>
      </c>
      <c r="AA259">
        <v>50</v>
      </c>
      <c r="AB259">
        <v>1</v>
      </c>
      <c r="AC259">
        <v>365</v>
      </c>
      <c r="AD259">
        <v>0</v>
      </c>
      <c r="AE259" t="b">
        <f>ISNUMBER(MATCH(G259,AUM!$C$6:$C$1451,0))</f>
        <v>0</v>
      </c>
      <c r="AF259" t="b">
        <f>ISNUMBER(MATCH(G259,AUM!$G$6:$G$240,0))</f>
        <v>0</v>
      </c>
    </row>
    <row r="260" spans="1:32" x14ac:dyDescent="0.2">
      <c r="A260" t="s">
        <v>872</v>
      </c>
      <c r="B260" s="1">
        <v>45671</v>
      </c>
      <c r="D260" t="s">
        <v>872</v>
      </c>
      <c r="E260" t="s">
        <v>31</v>
      </c>
      <c r="F260" t="s">
        <v>880</v>
      </c>
      <c r="G260" t="s">
        <v>881</v>
      </c>
      <c r="H260" t="s">
        <v>34</v>
      </c>
      <c r="J260">
        <v>5861.34</v>
      </c>
      <c r="K260">
        <v>5891.28</v>
      </c>
      <c r="L260">
        <v>5891.2827945500003</v>
      </c>
      <c r="Q260" t="s">
        <v>869</v>
      </c>
      <c r="T260">
        <v>6.3211419317999997E-3</v>
      </c>
      <c r="V260" t="s">
        <v>835</v>
      </c>
      <c r="W260" t="s">
        <v>36</v>
      </c>
      <c r="X260" t="s">
        <v>69</v>
      </c>
      <c r="Y260" t="s">
        <v>38</v>
      </c>
      <c r="AD260">
        <v>0</v>
      </c>
      <c r="AE260" t="b">
        <f>ISNUMBER(MATCH(G260,AUM!$C$6:$C$1451,0))</f>
        <v>1</v>
      </c>
      <c r="AF260" t="b">
        <f>ISNUMBER(MATCH(G260,AUM!$G$6:$G$240,0))</f>
        <v>0</v>
      </c>
    </row>
    <row r="261" spans="1:32" x14ac:dyDescent="0.2">
      <c r="A261" t="s">
        <v>882</v>
      </c>
      <c r="B261" s="1">
        <v>45671</v>
      </c>
      <c r="D261" t="s">
        <v>882</v>
      </c>
      <c r="E261" t="s">
        <v>31</v>
      </c>
      <c r="F261" t="s">
        <v>883</v>
      </c>
      <c r="G261" t="s">
        <v>884</v>
      </c>
      <c r="H261" t="s">
        <v>34</v>
      </c>
      <c r="J261">
        <v>5732.57</v>
      </c>
      <c r="K261">
        <v>5763.13</v>
      </c>
      <c r="L261">
        <v>5763.1342243199997</v>
      </c>
      <c r="Q261" t="s">
        <v>885</v>
      </c>
      <c r="U261">
        <v>0</v>
      </c>
      <c r="W261" t="s">
        <v>36</v>
      </c>
      <c r="X261" t="s">
        <v>69</v>
      </c>
      <c r="Y261" t="s">
        <v>38</v>
      </c>
      <c r="AD261">
        <v>0</v>
      </c>
      <c r="AE261" t="b">
        <f>ISNUMBER(MATCH(G261,AUM!$C$6:$C$1451,0))</f>
        <v>0</v>
      </c>
      <c r="AF261" t="b">
        <f>ISNUMBER(MATCH(G261,AUM!$G$6:$G$240,0))</f>
        <v>0</v>
      </c>
    </row>
    <row r="262" spans="1:32" x14ac:dyDescent="0.2">
      <c r="A262" t="s">
        <v>886</v>
      </c>
      <c r="B262" s="1">
        <v>45671</v>
      </c>
      <c r="D262" t="s">
        <v>886</v>
      </c>
      <c r="E262" t="s">
        <v>40</v>
      </c>
      <c r="F262" t="s">
        <v>887</v>
      </c>
      <c r="G262" t="s">
        <v>888</v>
      </c>
      <c r="H262" t="s">
        <v>43</v>
      </c>
      <c r="I262">
        <v>1145958740.9960599</v>
      </c>
      <c r="J262">
        <v>1066.3800000000001</v>
      </c>
      <c r="K262">
        <v>1069.03</v>
      </c>
      <c r="L262">
        <v>1069.03447592</v>
      </c>
      <c r="M262">
        <v>1225069402111.47</v>
      </c>
      <c r="N262">
        <v>50</v>
      </c>
      <c r="O262" t="s">
        <v>35</v>
      </c>
      <c r="P262">
        <v>1</v>
      </c>
      <c r="R262" t="s">
        <v>877</v>
      </c>
      <c r="S262" t="s">
        <v>889</v>
      </c>
      <c r="W262" t="s">
        <v>36</v>
      </c>
      <c r="X262" t="s">
        <v>37</v>
      </c>
      <c r="Y262" t="s">
        <v>38</v>
      </c>
      <c r="AD262">
        <v>0</v>
      </c>
      <c r="AE262" t="b">
        <f>ISNUMBER(MATCH(G262,AUM!$C$6:$C$1451,0))</f>
        <v>0</v>
      </c>
      <c r="AF262" t="b">
        <f>ISNUMBER(MATCH(G262,AUM!$G$6:$G$240,0))</f>
        <v>0</v>
      </c>
    </row>
    <row r="263" spans="1:32" x14ac:dyDescent="0.2">
      <c r="A263" t="s">
        <v>889</v>
      </c>
      <c r="B263" s="1">
        <v>45671</v>
      </c>
      <c r="D263" t="s">
        <v>889</v>
      </c>
      <c r="E263" t="s">
        <v>40</v>
      </c>
      <c r="F263" t="s">
        <v>890</v>
      </c>
      <c r="G263" t="s">
        <v>891</v>
      </c>
      <c r="H263" t="s">
        <v>43</v>
      </c>
      <c r="J263">
        <v>2180.6</v>
      </c>
      <c r="K263">
        <v>2186.02</v>
      </c>
      <c r="L263">
        <v>2186.02446667</v>
      </c>
      <c r="Q263" t="s">
        <v>886</v>
      </c>
      <c r="U263">
        <v>0</v>
      </c>
      <c r="W263" t="s">
        <v>36</v>
      </c>
      <c r="X263" t="s">
        <v>69</v>
      </c>
      <c r="Y263" t="s">
        <v>38</v>
      </c>
      <c r="AD263">
        <v>0</v>
      </c>
      <c r="AE263" t="b">
        <f>ISNUMBER(MATCH(G263,AUM!$C$6:$C$1451,0))</f>
        <v>1</v>
      </c>
      <c r="AF263" t="b">
        <f>ISNUMBER(MATCH(G263,AUM!$G$6:$G$240,0))</f>
        <v>0</v>
      </c>
    </row>
    <row r="264" spans="1:32" x14ac:dyDescent="0.2">
      <c r="A264" t="s">
        <v>885</v>
      </c>
      <c r="B264" s="1">
        <v>45671</v>
      </c>
      <c r="D264" t="s">
        <v>885</v>
      </c>
      <c r="E264" t="s">
        <v>31</v>
      </c>
      <c r="F264" t="s">
        <v>892</v>
      </c>
      <c r="G264" t="s">
        <v>893</v>
      </c>
      <c r="H264" t="s">
        <v>34</v>
      </c>
      <c r="I264">
        <v>350719.32088234602</v>
      </c>
      <c r="J264">
        <v>4267.1400000000003</v>
      </c>
      <c r="K264">
        <v>4289.8900000000003</v>
      </c>
      <c r="L264">
        <v>4289.89169279</v>
      </c>
      <c r="M264">
        <v>1504547901.1556599</v>
      </c>
      <c r="N264">
        <v>75</v>
      </c>
      <c r="O264" t="s">
        <v>35</v>
      </c>
      <c r="P264">
        <v>1</v>
      </c>
      <c r="R264" t="s">
        <v>894</v>
      </c>
      <c r="S264" t="s">
        <v>882</v>
      </c>
      <c r="W264" t="s">
        <v>36</v>
      </c>
      <c r="X264" t="s">
        <v>37</v>
      </c>
      <c r="Y264" t="s">
        <v>38</v>
      </c>
      <c r="AD264">
        <v>0</v>
      </c>
      <c r="AE264" t="b">
        <f>ISNUMBER(MATCH(G264,AUM!$C$6:$C$1451,0))</f>
        <v>0</v>
      </c>
      <c r="AF264" t="b">
        <f>ISNUMBER(MATCH(G264,AUM!$G$6:$G$240,0))</f>
        <v>0</v>
      </c>
    </row>
    <row r="265" spans="1:32" x14ac:dyDescent="0.2">
      <c r="A265" t="s">
        <v>877</v>
      </c>
      <c r="B265" s="1">
        <v>45671</v>
      </c>
      <c r="D265" t="s">
        <v>877</v>
      </c>
      <c r="E265" t="s">
        <v>40</v>
      </c>
      <c r="F265" t="s">
        <v>895</v>
      </c>
      <c r="G265" t="s">
        <v>896</v>
      </c>
      <c r="H265" t="s">
        <v>43</v>
      </c>
      <c r="J265">
        <v>2674.3</v>
      </c>
      <c r="K265">
        <v>2680.96</v>
      </c>
      <c r="L265">
        <v>2680.95501556</v>
      </c>
      <c r="Q265" t="s">
        <v>886</v>
      </c>
      <c r="T265">
        <v>0</v>
      </c>
      <c r="W265" t="s">
        <v>36</v>
      </c>
      <c r="X265" t="s">
        <v>69</v>
      </c>
      <c r="Y265" t="s">
        <v>38</v>
      </c>
      <c r="AD265">
        <v>0</v>
      </c>
      <c r="AE265" t="b">
        <f>ISNUMBER(MATCH(G265,AUM!$C$6:$C$1451,0))</f>
        <v>1</v>
      </c>
      <c r="AF265" t="b">
        <f>ISNUMBER(MATCH(G265,AUM!$G$6:$G$240,0))</f>
        <v>0</v>
      </c>
    </row>
    <row r="266" spans="1:32" x14ac:dyDescent="0.2">
      <c r="A266" t="s">
        <v>873</v>
      </c>
      <c r="B266" s="1">
        <v>45671</v>
      </c>
      <c r="D266" t="s">
        <v>873</v>
      </c>
      <c r="E266" t="s">
        <v>31</v>
      </c>
      <c r="F266" t="s">
        <v>897</v>
      </c>
      <c r="G266" t="s">
        <v>898</v>
      </c>
      <c r="H266" t="s">
        <v>34</v>
      </c>
      <c r="J266">
        <v>5280.39</v>
      </c>
      <c r="K266">
        <v>5307.36</v>
      </c>
      <c r="L266">
        <v>5307.36210338</v>
      </c>
      <c r="Q266" t="s">
        <v>869</v>
      </c>
      <c r="U266">
        <v>4.4247993522599999E-3</v>
      </c>
      <c r="V266" t="s">
        <v>835</v>
      </c>
      <c r="W266" t="s">
        <v>36</v>
      </c>
      <c r="X266" t="s">
        <v>69</v>
      </c>
      <c r="Y266" t="s">
        <v>38</v>
      </c>
      <c r="AD266">
        <v>0</v>
      </c>
      <c r="AE266" t="b">
        <f>ISNUMBER(MATCH(G266,AUM!$C$6:$C$1451,0))</f>
        <v>1</v>
      </c>
      <c r="AF266" t="b">
        <f>ISNUMBER(MATCH(G266,AUM!$G$6:$G$240,0))</f>
        <v>0</v>
      </c>
    </row>
    <row r="267" spans="1:32" x14ac:dyDescent="0.2">
      <c r="A267" t="s">
        <v>894</v>
      </c>
      <c r="B267" s="1">
        <v>45671</v>
      </c>
      <c r="D267" t="s">
        <v>894</v>
      </c>
      <c r="E267" t="s">
        <v>31</v>
      </c>
      <c r="F267" t="s">
        <v>899</v>
      </c>
      <c r="G267" t="s">
        <v>900</v>
      </c>
      <c r="H267" t="s">
        <v>34</v>
      </c>
      <c r="J267">
        <v>6367.15</v>
      </c>
      <c r="K267">
        <v>6401.1</v>
      </c>
      <c r="L267">
        <v>6401.1027801700002</v>
      </c>
      <c r="Q267" t="s">
        <v>885</v>
      </c>
      <c r="T267">
        <v>0</v>
      </c>
      <c r="W267" t="s">
        <v>36</v>
      </c>
      <c r="X267" t="s">
        <v>69</v>
      </c>
      <c r="Y267" t="s">
        <v>38</v>
      </c>
      <c r="AD267">
        <v>0</v>
      </c>
      <c r="AE267" t="b">
        <f>ISNUMBER(MATCH(G267,AUM!$C$6:$C$1451,0))</f>
        <v>0</v>
      </c>
      <c r="AF267" t="b">
        <f>ISNUMBER(MATCH(G267,AUM!$G$6:$G$240,0))</f>
        <v>0</v>
      </c>
    </row>
    <row r="268" spans="1:32" x14ac:dyDescent="0.2">
      <c r="A268" t="s">
        <v>901</v>
      </c>
      <c r="B268" s="1">
        <v>45671</v>
      </c>
      <c r="D268" t="s">
        <v>901</v>
      </c>
      <c r="E268" t="s">
        <v>31</v>
      </c>
      <c r="F268" t="s">
        <v>902</v>
      </c>
      <c r="G268" t="s">
        <v>903</v>
      </c>
      <c r="H268" t="s">
        <v>34</v>
      </c>
      <c r="I268">
        <v>348227838.36008501</v>
      </c>
      <c r="J268">
        <v>5471.22</v>
      </c>
      <c r="K268">
        <v>5471.77</v>
      </c>
      <c r="L268">
        <v>5471.7679496999999</v>
      </c>
      <c r="M268">
        <v>1905421925131.78</v>
      </c>
      <c r="N268">
        <v>50</v>
      </c>
      <c r="O268" t="s">
        <v>35</v>
      </c>
      <c r="P268">
        <v>1</v>
      </c>
      <c r="R268" t="s">
        <v>904</v>
      </c>
      <c r="S268" t="s">
        <v>905</v>
      </c>
      <c r="W268" t="s">
        <v>36</v>
      </c>
      <c r="X268" t="s">
        <v>37</v>
      </c>
      <c r="Y268" t="s">
        <v>38</v>
      </c>
      <c r="AD268">
        <v>0</v>
      </c>
      <c r="AE268" t="b">
        <f>ISNUMBER(MATCH(G268,AUM!$C$6:$C$1451,0))</f>
        <v>0</v>
      </c>
      <c r="AF268" t="b">
        <f>ISNUMBER(MATCH(G268,AUM!$G$6:$G$240,0))</f>
        <v>0</v>
      </c>
    </row>
    <row r="269" spans="1:32" x14ac:dyDescent="0.2">
      <c r="A269" t="s">
        <v>906</v>
      </c>
      <c r="B269" s="1">
        <v>45671</v>
      </c>
      <c r="D269" t="s">
        <v>906</v>
      </c>
      <c r="E269" t="s">
        <v>31</v>
      </c>
      <c r="F269" t="s">
        <v>907</v>
      </c>
      <c r="G269" t="s">
        <v>908</v>
      </c>
      <c r="H269" t="s">
        <v>34</v>
      </c>
      <c r="J269">
        <v>1516.47</v>
      </c>
      <c r="K269">
        <v>1521.66</v>
      </c>
      <c r="L269">
        <v>1521.65926904</v>
      </c>
      <c r="Q269" t="s">
        <v>909</v>
      </c>
      <c r="W269" t="s">
        <v>36</v>
      </c>
      <c r="X269" t="s">
        <v>878</v>
      </c>
      <c r="Y269" t="s">
        <v>38</v>
      </c>
      <c r="Z269" t="s">
        <v>910</v>
      </c>
      <c r="AA269">
        <v>0.05</v>
      </c>
      <c r="AB269">
        <v>1</v>
      </c>
      <c r="AC269">
        <v>365</v>
      </c>
      <c r="AD269">
        <v>0</v>
      </c>
      <c r="AE269" t="b">
        <f>ISNUMBER(MATCH(G269,AUM!$C$6:$C$1451,0))</f>
        <v>1</v>
      </c>
      <c r="AF269" t="b">
        <f>ISNUMBER(MATCH(G269,AUM!$G$6:$G$240,0))</f>
        <v>0</v>
      </c>
    </row>
    <row r="270" spans="1:32" x14ac:dyDescent="0.2">
      <c r="A270" t="s">
        <v>911</v>
      </c>
      <c r="B270" s="1">
        <v>45671</v>
      </c>
      <c r="D270" t="s">
        <v>911</v>
      </c>
      <c r="E270" t="s">
        <v>31</v>
      </c>
      <c r="F270" t="s">
        <v>912</v>
      </c>
      <c r="G270" t="s">
        <v>913</v>
      </c>
      <c r="H270" t="s">
        <v>34</v>
      </c>
      <c r="J270">
        <v>4507.3599999999997</v>
      </c>
      <c r="K270">
        <v>4524.62</v>
      </c>
      <c r="L270">
        <v>4524.6212095700002</v>
      </c>
      <c r="Q270" t="s">
        <v>914</v>
      </c>
      <c r="T270">
        <v>0</v>
      </c>
      <c r="W270" t="s">
        <v>91</v>
      </c>
      <c r="X270" t="s">
        <v>69</v>
      </c>
      <c r="Y270" t="s">
        <v>38</v>
      </c>
      <c r="AD270">
        <v>0</v>
      </c>
      <c r="AE270" t="b">
        <f>ISNUMBER(MATCH(G270,AUM!$C$6:$C$1451,0))</f>
        <v>1</v>
      </c>
      <c r="AF270" t="b">
        <f>ISNUMBER(MATCH(G270,AUM!$G$6:$G$240,0))</f>
        <v>0</v>
      </c>
    </row>
    <row r="271" spans="1:32" x14ac:dyDescent="0.2">
      <c r="A271" t="s">
        <v>909</v>
      </c>
      <c r="B271" s="1">
        <v>45671</v>
      </c>
      <c r="D271" t="s">
        <v>909</v>
      </c>
      <c r="E271" t="s">
        <v>31</v>
      </c>
      <c r="F271" t="s">
        <v>915</v>
      </c>
      <c r="G271" t="s">
        <v>916</v>
      </c>
      <c r="H271" t="s">
        <v>34</v>
      </c>
      <c r="J271">
        <v>3929.77</v>
      </c>
      <c r="K271">
        <v>3944.82</v>
      </c>
      <c r="L271">
        <v>3944.8238233100001</v>
      </c>
      <c r="Q271" t="s">
        <v>914</v>
      </c>
      <c r="U271">
        <v>0</v>
      </c>
      <c r="W271" t="s">
        <v>91</v>
      </c>
      <c r="X271" t="s">
        <v>69</v>
      </c>
      <c r="Y271" t="s">
        <v>38</v>
      </c>
      <c r="AD271">
        <v>0</v>
      </c>
      <c r="AE271" t="b">
        <f>ISNUMBER(MATCH(G271,AUM!$C$6:$C$1451,0))</f>
        <v>1</v>
      </c>
      <c r="AF271" t="b">
        <f>ISNUMBER(MATCH(G271,AUM!$G$6:$G$240,0))</f>
        <v>0</v>
      </c>
    </row>
    <row r="272" spans="1:32" x14ac:dyDescent="0.2">
      <c r="A272" t="s">
        <v>914</v>
      </c>
      <c r="B272" s="1">
        <v>45671</v>
      </c>
      <c r="D272" t="s">
        <v>914</v>
      </c>
      <c r="E272" t="s">
        <v>31</v>
      </c>
      <c r="F272" t="s">
        <v>917</v>
      </c>
      <c r="G272" t="s">
        <v>918</v>
      </c>
      <c r="H272" t="s">
        <v>34</v>
      </c>
      <c r="I272">
        <v>1019370.02631492</v>
      </c>
      <c r="J272">
        <v>2825.38</v>
      </c>
      <c r="K272">
        <v>2836.2</v>
      </c>
      <c r="L272">
        <v>2836.2004762699999</v>
      </c>
      <c r="M272">
        <v>2891137754.1300001</v>
      </c>
      <c r="N272">
        <v>20</v>
      </c>
      <c r="O272" t="s">
        <v>88</v>
      </c>
      <c r="P272">
        <v>1</v>
      </c>
      <c r="R272" t="s">
        <v>911</v>
      </c>
      <c r="S272" t="s">
        <v>909</v>
      </c>
      <c r="W272" t="s">
        <v>91</v>
      </c>
      <c r="X272" t="s">
        <v>37</v>
      </c>
      <c r="Y272" t="s">
        <v>38</v>
      </c>
      <c r="AD272">
        <v>0</v>
      </c>
      <c r="AE272" t="b">
        <f>ISNUMBER(MATCH(G272,AUM!$C$6:$C$1451,0))</f>
        <v>1</v>
      </c>
      <c r="AF272" t="b">
        <f>ISNUMBER(MATCH(G272,AUM!$G$6:$G$240,0))</f>
        <v>1</v>
      </c>
    </row>
    <row r="273" spans="1:32" x14ac:dyDescent="0.2">
      <c r="A273" t="s">
        <v>919</v>
      </c>
      <c r="B273" s="1">
        <v>45671</v>
      </c>
      <c r="D273" t="s">
        <v>919</v>
      </c>
      <c r="E273" t="s">
        <v>40</v>
      </c>
      <c r="F273" t="s">
        <v>920</v>
      </c>
      <c r="G273" t="s">
        <v>921</v>
      </c>
      <c r="H273" t="s">
        <v>43</v>
      </c>
      <c r="J273">
        <v>658.3</v>
      </c>
      <c r="K273">
        <v>662.35</v>
      </c>
      <c r="L273">
        <v>662.34502268000006</v>
      </c>
      <c r="Q273" t="s">
        <v>922</v>
      </c>
      <c r="W273" t="s">
        <v>36</v>
      </c>
      <c r="X273" t="s">
        <v>878</v>
      </c>
      <c r="Y273" t="s">
        <v>38</v>
      </c>
      <c r="Z273" t="s">
        <v>910</v>
      </c>
      <c r="AA273">
        <v>0.05</v>
      </c>
      <c r="AB273">
        <v>1</v>
      </c>
      <c r="AC273">
        <v>365</v>
      </c>
      <c r="AD273">
        <v>0</v>
      </c>
      <c r="AE273" t="b">
        <f>ISNUMBER(MATCH(G273,AUM!$C$6:$C$1451,0))</f>
        <v>1</v>
      </c>
      <c r="AF273" t="b">
        <f>ISNUMBER(MATCH(G273,AUM!$G$6:$G$240,0))</f>
        <v>0</v>
      </c>
    </row>
    <row r="274" spans="1:32" x14ac:dyDescent="0.2">
      <c r="A274" t="s">
        <v>923</v>
      </c>
      <c r="B274" s="1">
        <v>45671</v>
      </c>
      <c r="D274" t="s">
        <v>923</v>
      </c>
      <c r="E274" t="s">
        <v>40</v>
      </c>
      <c r="F274" t="s">
        <v>924</v>
      </c>
      <c r="G274" t="s">
        <v>925</v>
      </c>
      <c r="H274" t="s">
        <v>43</v>
      </c>
      <c r="J274">
        <v>1618.62</v>
      </c>
      <c r="K274">
        <v>1629.22</v>
      </c>
      <c r="L274">
        <v>1629.22304065</v>
      </c>
      <c r="Q274" t="s">
        <v>926</v>
      </c>
      <c r="T274">
        <v>0</v>
      </c>
      <c r="W274" t="s">
        <v>36</v>
      </c>
      <c r="X274" t="s">
        <v>69</v>
      </c>
      <c r="Y274" t="s">
        <v>38</v>
      </c>
      <c r="AD274">
        <v>0</v>
      </c>
      <c r="AE274" t="b">
        <f>ISNUMBER(MATCH(G274,AUM!$C$6:$C$1451,0))</f>
        <v>1</v>
      </c>
      <c r="AF274" t="b">
        <f>ISNUMBER(MATCH(G274,AUM!$G$6:$G$240,0))</f>
        <v>0</v>
      </c>
    </row>
    <row r="275" spans="1:32" x14ac:dyDescent="0.2">
      <c r="A275" t="s">
        <v>922</v>
      </c>
      <c r="B275" s="1">
        <v>45671</v>
      </c>
      <c r="D275" t="s">
        <v>922</v>
      </c>
      <c r="E275" t="s">
        <v>40</v>
      </c>
      <c r="F275" t="s">
        <v>927</v>
      </c>
      <c r="G275" t="s">
        <v>928</v>
      </c>
      <c r="H275" t="s">
        <v>43</v>
      </c>
      <c r="J275">
        <v>1396.76</v>
      </c>
      <c r="K275">
        <v>1405.91</v>
      </c>
      <c r="L275">
        <v>1405.9074550800001</v>
      </c>
      <c r="Q275" t="s">
        <v>926</v>
      </c>
      <c r="U275">
        <v>0</v>
      </c>
      <c r="W275" t="s">
        <v>36</v>
      </c>
      <c r="X275" t="s">
        <v>69</v>
      </c>
      <c r="Y275" t="s">
        <v>38</v>
      </c>
      <c r="AD275">
        <v>0</v>
      </c>
      <c r="AE275" t="b">
        <f>ISNUMBER(MATCH(G275,AUM!$C$6:$C$1451,0))</f>
        <v>1</v>
      </c>
      <c r="AF275" t="b">
        <f>ISNUMBER(MATCH(G275,AUM!$G$6:$G$240,0))</f>
        <v>0</v>
      </c>
    </row>
    <row r="276" spans="1:32" x14ac:dyDescent="0.2">
      <c r="A276" t="s">
        <v>926</v>
      </c>
      <c r="B276" s="1">
        <v>45671</v>
      </c>
      <c r="D276" t="s">
        <v>926</v>
      </c>
      <c r="E276" t="s">
        <v>40</v>
      </c>
      <c r="F276" t="s">
        <v>929</v>
      </c>
      <c r="G276" t="s">
        <v>930</v>
      </c>
      <c r="H276" t="s">
        <v>43</v>
      </c>
      <c r="I276">
        <v>763814171.46555603</v>
      </c>
      <c r="J276">
        <v>852.21</v>
      </c>
      <c r="K276">
        <v>857.79</v>
      </c>
      <c r="L276">
        <v>857.78718494999998</v>
      </c>
      <c r="M276">
        <v>655190007963.14294</v>
      </c>
      <c r="N276">
        <v>29</v>
      </c>
      <c r="O276" t="s">
        <v>35</v>
      </c>
      <c r="P276">
        <v>1</v>
      </c>
      <c r="R276" t="s">
        <v>923</v>
      </c>
      <c r="S276" t="s">
        <v>922</v>
      </c>
      <c r="W276" t="s">
        <v>36</v>
      </c>
      <c r="X276" t="s">
        <v>37</v>
      </c>
      <c r="Y276" t="s">
        <v>38</v>
      </c>
      <c r="AD276">
        <v>0</v>
      </c>
      <c r="AE276" t="b">
        <f>ISNUMBER(MATCH(G276,AUM!$C$6:$C$1451,0))</f>
        <v>1</v>
      </c>
      <c r="AF276" t="b">
        <f>ISNUMBER(MATCH(G276,AUM!$G$6:$G$240,0))</f>
        <v>1</v>
      </c>
    </row>
    <row r="277" spans="1:32" x14ac:dyDescent="0.2">
      <c r="A277" t="s">
        <v>931</v>
      </c>
      <c r="B277" s="1">
        <v>45671</v>
      </c>
      <c r="D277" t="s">
        <v>931</v>
      </c>
      <c r="E277" t="s">
        <v>31</v>
      </c>
      <c r="F277" t="s">
        <v>932</v>
      </c>
      <c r="G277" t="s">
        <v>933</v>
      </c>
      <c r="H277" t="s">
        <v>34</v>
      </c>
      <c r="J277">
        <v>1379.71</v>
      </c>
      <c r="K277">
        <v>1375.9</v>
      </c>
      <c r="L277">
        <v>1375.9018225699999</v>
      </c>
      <c r="Q277" t="s">
        <v>934</v>
      </c>
      <c r="W277" t="s">
        <v>36</v>
      </c>
      <c r="X277" t="s">
        <v>878</v>
      </c>
      <c r="Y277" t="s">
        <v>38</v>
      </c>
      <c r="Z277" t="s">
        <v>910</v>
      </c>
      <c r="AA277">
        <v>0.05</v>
      </c>
      <c r="AB277">
        <v>1</v>
      </c>
      <c r="AC277">
        <v>365</v>
      </c>
      <c r="AD277">
        <v>0</v>
      </c>
      <c r="AE277" t="b">
        <f>ISNUMBER(MATCH(G277,AUM!$C$6:$C$1451,0))</f>
        <v>1</v>
      </c>
      <c r="AF277" t="b">
        <f>ISNUMBER(MATCH(G277,AUM!$G$6:$G$240,0))</f>
        <v>0</v>
      </c>
    </row>
    <row r="278" spans="1:32" x14ac:dyDescent="0.2">
      <c r="A278" t="s">
        <v>935</v>
      </c>
      <c r="B278" s="1">
        <v>45671</v>
      </c>
      <c r="D278" t="s">
        <v>935</v>
      </c>
      <c r="E278" t="s">
        <v>31</v>
      </c>
      <c r="F278" t="s">
        <v>936</v>
      </c>
      <c r="G278" t="s">
        <v>937</v>
      </c>
      <c r="H278" t="s">
        <v>34</v>
      </c>
      <c r="J278">
        <v>4183.51</v>
      </c>
      <c r="K278">
        <v>4173.67</v>
      </c>
      <c r="L278">
        <v>4173.6701735799998</v>
      </c>
      <c r="Q278" t="s">
        <v>938</v>
      </c>
      <c r="T278">
        <v>0</v>
      </c>
      <c r="W278" t="s">
        <v>36</v>
      </c>
      <c r="X278" t="s">
        <v>69</v>
      </c>
      <c r="Y278" t="s">
        <v>38</v>
      </c>
      <c r="AD278">
        <v>0</v>
      </c>
      <c r="AE278" t="b">
        <f>ISNUMBER(MATCH(G278,AUM!$C$6:$C$1451,0))</f>
        <v>1</v>
      </c>
      <c r="AF278" t="b">
        <f>ISNUMBER(MATCH(G278,AUM!$G$6:$G$240,0))</f>
        <v>0</v>
      </c>
    </row>
    <row r="279" spans="1:32" x14ac:dyDescent="0.2">
      <c r="A279" t="s">
        <v>934</v>
      </c>
      <c r="B279" s="1">
        <v>45671</v>
      </c>
      <c r="D279" t="s">
        <v>934</v>
      </c>
      <c r="E279" t="s">
        <v>31</v>
      </c>
      <c r="F279" t="s">
        <v>939</v>
      </c>
      <c r="G279" t="s">
        <v>940</v>
      </c>
      <c r="H279" t="s">
        <v>34</v>
      </c>
      <c r="J279">
        <v>3575.76</v>
      </c>
      <c r="K279">
        <v>3567.35</v>
      </c>
      <c r="L279">
        <v>3567.3537013300001</v>
      </c>
      <c r="Q279" t="s">
        <v>938</v>
      </c>
      <c r="U279">
        <v>0</v>
      </c>
      <c r="W279" t="s">
        <v>36</v>
      </c>
      <c r="X279" t="s">
        <v>69</v>
      </c>
      <c r="Y279" t="s">
        <v>38</v>
      </c>
      <c r="AD279">
        <v>0</v>
      </c>
      <c r="AE279" t="b">
        <f>ISNUMBER(MATCH(G279,AUM!$C$6:$C$1451,0))</f>
        <v>1</v>
      </c>
      <c r="AF279" t="b">
        <f>ISNUMBER(MATCH(G279,AUM!$G$6:$G$240,0))</f>
        <v>0</v>
      </c>
    </row>
    <row r="280" spans="1:32" x14ac:dyDescent="0.2">
      <c r="A280" t="s">
        <v>938</v>
      </c>
      <c r="B280" s="1">
        <v>45671</v>
      </c>
      <c r="D280" t="s">
        <v>938</v>
      </c>
      <c r="E280" t="s">
        <v>31</v>
      </c>
      <c r="F280" t="s">
        <v>941</v>
      </c>
      <c r="G280" t="s">
        <v>942</v>
      </c>
      <c r="H280" t="s">
        <v>34</v>
      </c>
      <c r="I280">
        <v>993318.74283914606</v>
      </c>
      <c r="J280">
        <v>2184.1999999999998</v>
      </c>
      <c r="K280">
        <v>2179.06</v>
      </c>
      <c r="L280">
        <v>2179.0598052800001</v>
      </c>
      <c r="M280">
        <v>2164500946.3509998</v>
      </c>
      <c r="N280">
        <v>40</v>
      </c>
      <c r="O280" t="s">
        <v>35</v>
      </c>
      <c r="P280">
        <v>1</v>
      </c>
      <c r="R280" t="s">
        <v>935</v>
      </c>
      <c r="S280" t="s">
        <v>934</v>
      </c>
      <c r="W280" t="s">
        <v>36</v>
      </c>
      <c r="X280" t="s">
        <v>37</v>
      </c>
      <c r="Y280" t="s">
        <v>38</v>
      </c>
      <c r="AD280">
        <v>0</v>
      </c>
      <c r="AE280" t="b">
        <f>ISNUMBER(MATCH(G280,AUM!$C$6:$C$1451,0))</f>
        <v>1</v>
      </c>
      <c r="AF280" t="b">
        <f>ISNUMBER(MATCH(G280,AUM!$G$6:$G$240,0))</f>
        <v>1</v>
      </c>
    </row>
    <row r="281" spans="1:32" x14ac:dyDescent="0.2">
      <c r="A281" t="s">
        <v>943</v>
      </c>
      <c r="B281" s="1">
        <v>45671</v>
      </c>
      <c r="D281" t="s">
        <v>943</v>
      </c>
      <c r="E281" t="s">
        <v>40</v>
      </c>
      <c r="F281" t="s">
        <v>944</v>
      </c>
      <c r="G281" t="s">
        <v>945</v>
      </c>
      <c r="H281" t="s">
        <v>43</v>
      </c>
      <c r="I281">
        <v>36648284.482182801</v>
      </c>
      <c r="J281">
        <v>619.55999999999995</v>
      </c>
      <c r="K281">
        <v>610.63</v>
      </c>
      <c r="L281">
        <v>610.62779608000005</v>
      </c>
      <c r="M281">
        <v>22378461183.360001</v>
      </c>
      <c r="N281">
        <v>10</v>
      </c>
      <c r="O281" t="s">
        <v>35</v>
      </c>
      <c r="P281">
        <v>1</v>
      </c>
      <c r="R281" t="s">
        <v>946</v>
      </c>
      <c r="W281" t="s">
        <v>36</v>
      </c>
      <c r="X281" t="s">
        <v>37</v>
      </c>
      <c r="Y281" t="s">
        <v>38</v>
      </c>
      <c r="AD281">
        <v>0</v>
      </c>
      <c r="AE281" t="b">
        <f>ISNUMBER(MATCH(G281,AUM!$C$6:$C$1451,0))</f>
        <v>1</v>
      </c>
      <c r="AF281" t="b">
        <f>ISNUMBER(MATCH(G281,AUM!$G$6:$G$240,0))</f>
        <v>0</v>
      </c>
    </row>
    <row r="282" spans="1:32" x14ac:dyDescent="0.2">
      <c r="A282" t="s">
        <v>947</v>
      </c>
      <c r="B282" s="1">
        <v>45671</v>
      </c>
      <c r="D282" t="s">
        <v>947</v>
      </c>
      <c r="E282" t="s">
        <v>31</v>
      </c>
      <c r="F282" t="s">
        <v>948</v>
      </c>
      <c r="G282" t="s">
        <v>949</v>
      </c>
      <c r="H282" t="s">
        <v>34</v>
      </c>
      <c r="I282">
        <v>973657.67590109596</v>
      </c>
      <c r="J282">
        <v>1494.24</v>
      </c>
      <c r="K282">
        <v>1490.68</v>
      </c>
      <c r="L282">
        <v>1490.68255497</v>
      </c>
      <c r="M282">
        <v>1451414511.977</v>
      </c>
      <c r="N282">
        <v>50</v>
      </c>
      <c r="O282" t="s">
        <v>35</v>
      </c>
      <c r="P282">
        <v>1</v>
      </c>
      <c r="R282" t="s">
        <v>950</v>
      </c>
      <c r="S282" t="s">
        <v>951</v>
      </c>
      <c r="W282" t="s">
        <v>36</v>
      </c>
      <c r="X282" t="s">
        <v>37</v>
      </c>
      <c r="Y282" t="s">
        <v>38</v>
      </c>
      <c r="AD282">
        <v>0</v>
      </c>
      <c r="AE282" t="b">
        <f>ISNUMBER(MATCH(G282,AUM!$C$6:$C$1451,0))</f>
        <v>1</v>
      </c>
      <c r="AF282" t="b">
        <f>ISNUMBER(MATCH(G282,AUM!$G$6:$G$240,0))</f>
        <v>0</v>
      </c>
    </row>
    <row r="283" spans="1:32" x14ac:dyDescent="0.2">
      <c r="A283" t="s">
        <v>952</v>
      </c>
      <c r="B283" s="1">
        <v>45671</v>
      </c>
      <c r="D283" t="s">
        <v>952</v>
      </c>
      <c r="E283" t="s">
        <v>31</v>
      </c>
      <c r="F283" t="s">
        <v>953</v>
      </c>
      <c r="G283" t="s">
        <v>954</v>
      </c>
      <c r="H283" t="s">
        <v>34</v>
      </c>
      <c r="J283">
        <v>1610.19</v>
      </c>
      <c r="K283">
        <v>1619.56</v>
      </c>
      <c r="L283">
        <v>1619.55938083</v>
      </c>
      <c r="Q283" t="s">
        <v>955</v>
      </c>
      <c r="W283" t="s">
        <v>36</v>
      </c>
      <c r="X283" t="s">
        <v>878</v>
      </c>
      <c r="Y283" t="s">
        <v>38</v>
      </c>
      <c r="Z283" t="s">
        <v>910</v>
      </c>
      <c r="AA283">
        <v>0.05</v>
      </c>
      <c r="AB283">
        <v>1</v>
      </c>
      <c r="AC283">
        <v>365</v>
      </c>
      <c r="AD283">
        <v>0</v>
      </c>
      <c r="AE283" t="b">
        <f>ISNUMBER(MATCH(G283,AUM!$C$6:$C$1451,0))</f>
        <v>0</v>
      </c>
      <c r="AF283" t="b">
        <f>ISNUMBER(MATCH(G283,AUM!$G$6:$G$240,0))</f>
        <v>0</v>
      </c>
    </row>
    <row r="284" spans="1:32" x14ac:dyDescent="0.2">
      <c r="A284" t="s">
        <v>956</v>
      </c>
      <c r="B284" s="1">
        <v>45671</v>
      </c>
      <c r="D284" t="s">
        <v>956</v>
      </c>
      <c r="E284" t="s">
        <v>31</v>
      </c>
      <c r="F284" t="s">
        <v>957</v>
      </c>
      <c r="G284" t="s">
        <v>958</v>
      </c>
      <c r="H284" t="s">
        <v>34</v>
      </c>
      <c r="J284">
        <v>4750.7700000000004</v>
      </c>
      <c r="K284">
        <v>4780.3500000000004</v>
      </c>
      <c r="L284">
        <v>4780.3505119199999</v>
      </c>
      <c r="Q284" t="s">
        <v>959</v>
      </c>
      <c r="T284">
        <v>0.58004264918565995</v>
      </c>
      <c r="V284" t="s">
        <v>79</v>
      </c>
      <c r="W284" t="s">
        <v>36</v>
      </c>
      <c r="X284" t="s">
        <v>69</v>
      </c>
      <c r="Y284" t="s">
        <v>38</v>
      </c>
      <c r="AD284">
        <v>0</v>
      </c>
      <c r="AE284" t="b">
        <f>ISNUMBER(MATCH(G284,AUM!$C$6:$C$1451,0))</f>
        <v>0</v>
      </c>
      <c r="AF284" t="b">
        <f>ISNUMBER(MATCH(G284,AUM!$G$6:$G$240,0))</f>
        <v>0</v>
      </c>
    </row>
    <row r="285" spans="1:32" x14ac:dyDescent="0.2">
      <c r="A285" t="s">
        <v>955</v>
      </c>
      <c r="B285" s="1">
        <v>45671</v>
      </c>
      <c r="D285" t="s">
        <v>955</v>
      </c>
      <c r="E285" t="s">
        <v>31</v>
      </c>
      <c r="F285" t="s">
        <v>960</v>
      </c>
      <c r="G285" t="s">
        <v>961</v>
      </c>
      <c r="H285" t="s">
        <v>34</v>
      </c>
      <c r="J285">
        <v>4172.8999999999996</v>
      </c>
      <c r="K285">
        <v>4198.8900000000003</v>
      </c>
      <c r="L285">
        <v>4198.8866801100003</v>
      </c>
      <c r="Q285" t="s">
        <v>959</v>
      </c>
      <c r="U285">
        <v>0.43503198688924</v>
      </c>
      <c r="V285" t="s">
        <v>79</v>
      </c>
      <c r="W285" t="s">
        <v>36</v>
      </c>
      <c r="X285" t="s">
        <v>69</v>
      </c>
      <c r="Y285" t="s">
        <v>38</v>
      </c>
      <c r="AD285">
        <v>0</v>
      </c>
      <c r="AE285" t="b">
        <f>ISNUMBER(MATCH(G285,AUM!$C$6:$C$1451,0))</f>
        <v>0</v>
      </c>
      <c r="AF285" t="b">
        <f>ISNUMBER(MATCH(G285,AUM!$G$6:$G$240,0))</f>
        <v>0</v>
      </c>
    </row>
    <row r="286" spans="1:32" x14ac:dyDescent="0.2">
      <c r="A286" t="s">
        <v>959</v>
      </c>
      <c r="B286" s="1">
        <v>45671</v>
      </c>
      <c r="D286" t="s">
        <v>959</v>
      </c>
      <c r="E286" t="s">
        <v>31</v>
      </c>
      <c r="F286" t="s">
        <v>962</v>
      </c>
      <c r="G286" t="s">
        <v>963</v>
      </c>
      <c r="H286" t="s">
        <v>34</v>
      </c>
      <c r="I286">
        <v>1003453.79915969</v>
      </c>
      <c r="J286">
        <v>2729.47</v>
      </c>
      <c r="K286">
        <v>2746.47</v>
      </c>
      <c r="L286">
        <v>2746.4681426500001</v>
      </c>
      <c r="M286">
        <v>2755953892.01051</v>
      </c>
      <c r="N286">
        <v>40</v>
      </c>
      <c r="O286" t="s">
        <v>35</v>
      </c>
      <c r="P286">
        <v>1</v>
      </c>
      <c r="R286" t="s">
        <v>956</v>
      </c>
      <c r="S286" t="s">
        <v>955</v>
      </c>
      <c r="W286" t="s">
        <v>36</v>
      </c>
      <c r="X286" t="s">
        <v>37</v>
      </c>
      <c r="Y286" t="s">
        <v>38</v>
      </c>
      <c r="AD286">
        <v>0</v>
      </c>
      <c r="AE286" t="b">
        <f>ISNUMBER(MATCH(G286,AUM!$C$6:$C$1451,0))</f>
        <v>0</v>
      </c>
      <c r="AF286" t="b">
        <f>ISNUMBER(MATCH(G286,AUM!$G$6:$G$240,0))</f>
        <v>0</v>
      </c>
    </row>
    <row r="287" spans="1:32" x14ac:dyDescent="0.2">
      <c r="A287" t="s">
        <v>964</v>
      </c>
      <c r="B287" s="1">
        <v>45671</v>
      </c>
      <c r="D287" t="s">
        <v>964</v>
      </c>
      <c r="E287" t="s">
        <v>31</v>
      </c>
      <c r="F287" t="s">
        <v>965</v>
      </c>
      <c r="G287" t="s">
        <v>966</v>
      </c>
      <c r="H287" t="s">
        <v>34</v>
      </c>
      <c r="I287">
        <v>908813.96192606201</v>
      </c>
      <c r="J287">
        <v>1809.71</v>
      </c>
      <c r="K287">
        <v>1805.06</v>
      </c>
      <c r="L287">
        <v>1805.06090191</v>
      </c>
      <c r="M287">
        <v>1640464549.7818899</v>
      </c>
      <c r="N287">
        <v>40</v>
      </c>
      <c r="O287" t="s">
        <v>35</v>
      </c>
      <c r="P287">
        <v>1</v>
      </c>
      <c r="R287" t="s">
        <v>967</v>
      </c>
      <c r="S287" t="s">
        <v>968</v>
      </c>
      <c r="W287" t="s">
        <v>36</v>
      </c>
      <c r="X287" t="s">
        <v>37</v>
      </c>
      <c r="Y287" t="s">
        <v>38</v>
      </c>
      <c r="AD287">
        <v>0</v>
      </c>
      <c r="AE287" t="b">
        <f>ISNUMBER(MATCH(G287,AUM!$C$6:$C$1451,0))</f>
        <v>0</v>
      </c>
      <c r="AF287" t="b">
        <f>ISNUMBER(MATCH(G287,AUM!$G$6:$G$240,0))</f>
        <v>0</v>
      </c>
    </row>
    <row r="288" spans="1:32" x14ac:dyDescent="0.2">
      <c r="A288" t="s">
        <v>969</v>
      </c>
      <c r="B288" s="1">
        <v>45671</v>
      </c>
      <c r="D288" t="s">
        <v>969</v>
      </c>
      <c r="E288" t="s">
        <v>31</v>
      </c>
      <c r="F288" t="s">
        <v>970</v>
      </c>
      <c r="G288" t="s">
        <v>971</v>
      </c>
      <c r="H288" t="s">
        <v>34</v>
      </c>
      <c r="I288">
        <v>1018495.18959027</v>
      </c>
      <c r="J288">
        <v>2679.81</v>
      </c>
      <c r="K288">
        <v>2683.53</v>
      </c>
      <c r="L288">
        <v>2683.5287100700002</v>
      </c>
      <c r="M288">
        <v>2733161082.3288999</v>
      </c>
      <c r="N288">
        <v>60</v>
      </c>
      <c r="O288" t="s">
        <v>35</v>
      </c>
      <c r="P288">
        <v>1</v>
      </c>
      <c r="R288" t="s">
        <v>972</v>
      </c>
      <c r="S288" t="s">
        <v>973</v>
      </c>
      <c r="W288" t="s">
        <v>36</v>
      </c>
      <c r="X288" t="s">
        <v>37</v>
      </c>
      <c r="Y288" t="s">
        <v>38</v>
      </c>
      <c r="AD288">
        <v>0</v>
      </c>
      <c r="AE288" t="b">
        <f>ISNUMBER(MATCH(G288,AUM!$C$6:$C$1451,0))</f>
        <v>0</v>
      </c>
      <c r="AF288" t="b">
        <f>ISNUMBER(MATCH(G288,AUM!$G$6:$G$240,0))</f>
        <v>0</v>
      </c>
    </row>
    <row r="289" spans="1:32" x14ac:dyDescent="0.2">
      <c r="A289" t="s">
        <v>974</v>
      </c>
      <c r="B289" s="1">
        <v>45671</v>
      </c>
      <c r="D289" t="s">
        <v>974</v>
      </c>
      <c r="E289" t="s">
        <v>40</v>
      </c>
      <c r="F289" t="s">
        <v>975</v>
      </c>
      <c r="G289" t="s">
        <v>976</v>
      </c>
      <c r="H289" t="s">
        <v>43</v>
      </c>
      <c r="J289">
        <v>1794.31</v>
      </c>
      <c r="K289">
        <v>1784.44</v>
      </c>
      <c r="L289">
        <v>1784.4420759499999</v>
      </c>
      <c r="Q289" t="s">
        <v>977</v>
      </c>
      <c r="W289" t="s">
        <v>36</v>
      </c>
      <c r="X289" t="s">
        <v>878</v>
      </c>
      <c r="Y289" t="s">
        <v>38</v>
      </c>
      <c r="Z289" t="s">
        <v>910</v>
      </c>
      <c r="AA289">
        <v>4.4999999999999998E-2</v>
      </c>
      <c r="AB289">
        <v>1</v>
      </c>
      <c r="AC289">
        <v>365</v>
      </c>
      <c r="AD289">
        <v>0</v>
      </c>
      <c r="AE289" t="b">
        <f>ISNUMBER(MATCH(G289,AUM!$C$6:$C$1451,0))</f>
        <v>0</v>
      </c>
      <c r="AF289" t="b">
        <f>ISNUMBER(MATCH(G289,AUM!$G$6:$G$240,0))</f>
        <v>0</v>
      </c>
    </row>
    <row r="290" spans="1:32" x14ac:dyDescent="0.2">
      <c r="A290" t="s">
        <v>978</v>
      </c>
      <c r="B290" s="1">
        <v>45671</v>
      </c>
      <c r="D290" t="s">
        <v>978</v>
      </c>
      <c r="E290" t="s">
        <v>40</v>
      </c>
      <c r="F290" t="s">
        <v>979</v>
      </c>
      <c r="G290" t="s">
        <v>980</v>
      </c>
      <c r="H290" t="s">
        <v>43</v>
      </c>
      <c r="I290">
        <v>1016263.00734949</v>
      </c>
      <c r="J290">
        <v>3047.92</v>
      </c>
      <c r="K290">
        <v>3057.2</v>
      </c>
      <c r="L290">
        <v>3057.19937136</v>
      </c>
      <c r="M290">
        <v>3106918627.20157</v>
      </c>
      <c r="N290">
        <v>40</v>
      </c>
      <c r="O290" t="s">
        <v>35</v>
      </c>
      <c r="P290">
        <v>1</v>
      </c>
      <c r="R290" t="s">
        <v>981</v>
      </c>
      <c r="S290" t="s">
        <v>982</v>
      </c>
      <c r="W290" t="s">
        <v>36</v>
      </c>
      <c r="X290" t="s">
        <v>37</v>
      </c>
      <c r="Y290" t="s">
        <v>38</v>
      </c>
      <c r="AD290">
        <v>0</v>
      </c>
      <c r="AE290" t="b">
        <f>ISNUMBER(MATCH(G290,AUM!$C$6:$C$1451,0))</f>
        <v>1</v>
      </c>
      <c r="AF290" t="b">
        <f>ISNUMBER(MATCH(G290,AUM!$G$6:$G$240,0))</f>
        <v>0</v>
      </c>
    </row>
    <row r="291" spans="1:32" x14ac:dyDescent="0.2">
      <c r="A291" t="s">
        <v>983</v>
      </c>
      <c r="B291" s="1">
        <v>45671</v>
      </c>
      <c r="D291" t="s">
        <v>983</v>
      </c>
      <c r="E291" t="s">
        <v>40</v>
      </c>
      <c r="F291" t="s">
        <v>984</v>
      </c>
      <c r="G291" t="s">
        <v>985</v>
      </c>
      <c r="H291" t="s">
        <v>43</v>
      </c>
      <c r="I291">
        <v>974820.49072390003</v>
      </c>
      <c r="J291">
        <v>1479.25</v>
      </c>
      <c r="K291">
        <v>1474.3</v>
      </c>
      <c r="L291">
        <v>1474.3039092500001</v>
      </c>
      <c r="M291">
        <v>1437181660.2920001</v>
      </c>
      <c r="N291">
        <v>50</v>
      </c>
      <c r="O291" t="s">
        <v>35</v>
      </c>
      <c r="P291">
        <v>1</v>
      </c>
      <c r="R291" t="s">
        <v>986</v>
      </c>
      <c r="S291" t="s">
        <v>987</v>
      </c>
      <c r="W291" t="s">
        <v>36</v>
      </c>
      <c r="X291" t="s">
        <v>37</v>
      </c>
      <c r="Y291" t="s">
        <v>38</v>
      </c>
      <c r="AD291">
        <v>0</v>
      </c>
      <c r="AE291" t="b">
        <f>ISNUMBER(MATCH(G291,AUM!$C$6:$C$1451,0))</f>
        <v>1</v>
      </c>
      <c r="AF291" t="b">
        <f>ISNUMBER(MATCH(G291,AUM!$G$6:$G$240,0))</f>
        <v>0</v>
      </c>
    </row>
    <row r="292" spans="1:32" x14ac:dyDescent="0.2">
      <c r="A292" t="s">
        <v>988</v>
      </c>
      <c r="B292" s="1">
        <v>45671</v>
      </c>
      <c r="D292" t="s">
        <v>988</v>
      </c>
      <c r="E292" t="s">
        <v>40</v>
      </c>
      <c r="F292" t="s">
        <v>989</v>
      </c>
      <c r="G292" t="s">
        <v>990</v>
      </c>
      <c r="H292" t="s">
        <v>43</v>
      </c>
      <c r="J292">
        <v>3069.66</v>
      </c>
      <c r="K292">
        <v>3057.18</v>
      </c>
      <c r="L292">
        <v>3057.18208108</v>
      </c>
      <c r="Q292" t="s">
        <v>991</v>
      </c>
      <c r="T292">
        <v>4.0115924071140001E-2</v>
      </c>
      <c r="V292" t="s">
        <v>79</v>
      </c>
      <c r="W292" t="s">
        <v>36</v>
      </c>
      <c r="X292" t="s">
        <v>69</v>
      </c>
      <c r="Y292" t="s">
        <v>38</v>
      </c>
      <c r="AD292">
        <v>0</v>
      </c>
      <c r="AE292" t="b">
        <f>ISNUMBER(MATCH(G292,AUM!$C$6:$C$1451,0))</f>
        <v>1</v>
      </c>
      <c r="AF292" t="b">
        <f>ISNUMBER(MATCH(G292,AUM!$G$6:$G$240,0))</f>
        <v>0</v>
      </c>
    </row>
    <row r="293" spans="1:32" x14ac:dyDescent="0.2">
      <c r="A293" t="s">
        <v>992</v>
      </c>
      <c r="B293" s="1">
        <v>45671</v>
      </c>
      <c r="D293" t="s">
        <v>992</v>
      </c>
      <c r="E293" t="s">
        <v>40</v>
      </c>
      <c r="F293" t="s">
        <v>993</v>
      </c>
      <c r="G293" t="s">
        <v>994</v>
      </c>
      <c r="H293" t="s">
        <v>43</v>
      </c>
      <c r="J293">
        <v>2631.52</v>
      </c>
      <c r="K293">
        <v>2620.8200000000002</v>
      </c>
      <c r="L293">
        <v>2620.8179356099999</v>
      </c>
      <c r="Q293" t="s">
        <v>991</v>
      </c>
      <c r="U293">
        <v>3.0086943053349999E-2</v>
      </c>
      <c r="V293" t="s">
        <v>79</v>
      </c>
      <c r="W293" t="s">
        <v>36</v>
      </c>
      <c r="X293" t="s">
        <v>69</v>
      </c>
      <c r="Y293" t="s">
        <v>38</v>
      </c>
      <c r="AD293">
        <v>0</v>
      </c>
      <c r="AE293" t="b">
        <f>ISNUMBER(MATCH(G293,AUM!$C$6:$C$1451,0))</f>
        <v>1</v>
      </c>
      <c r="AF293" t="b">
        <f>ISNUMBER(MATCH(G293,AUM!$G$6:$G$240,0))</f>
        <v>0</v>
      </c>
    </row>
    <row r="294" spans="1:32" x14ac:dyDescent="0.2">
      <c r="A294" t="s">
        <v>991</v>
      </c>
      <c r="B294" s="1">
        <v>45671</v>
      </c>
      <c r="D294" t="s">
        <v>991</v>
      </c>
      <c r="E294" t="s">
        <v>40</v>
      </c>
      <c r="F294" t="s">
        <v>995</v>
      </c>
      <c r="G294" t="s">
        <v>996</v>
      </c>
      <c r="H294" t="s">
        <v>43</v>
      </c>
      <c r="I294">
        <v>3691923769.1587901</v>
      </c>
      <c r="J294">
        <v>1612.31</v>
      </c>
      <c r="K294">
        <v>1605.74</v>
      </c>
      <c r="L294">
        <v>1605.7382304099999</v>
      </c>
      <c r="M294">
        <v>5928263139902.7598</v>
      </c>
      <c r="N294">
        <v>300</v>
      </c>
      <c r="O294" t="s">
        <v>35</v>
      </c>
      <c r="P294">
        <v>1</v>
      </c>
      <c r="R294" t="s">
        <v>988</v>
      </c>
      <c r="S294" t="s">
        <v>992</v>
      </c>
      <c r="W294" t="s">
        <v>36</v>
      </c>
      <c r="X294" t="s">
        <v>37</v>
      </c>
      <c r="Y294" t="s">
        <v>38</v>
      </c>
      <c r="AD294">
        <v>0</v>
      </c>
      <c r="AE294" t="b">
        <f>ISNUMBER(MATCH(G294,AUM!$C$6:$C$1451,0))</f>
        <v>1</v>
      </c>
      <c r="AF294" t="b">
        <f>ISNUMBER(MATCH(G294,AUM!$G$6:$G$240,0))</f>
        <v>1</v>
      </c>
    </row>
    <row r="295" spans="1:32" x14ac:dyDescent="0.2">
      <c r="A295" t="s">
        <v>997</v>
      </c>
      <c r="B295" s="1">
        <v>45671</v>
      </c>
      <c r="D295" t="s">
        <v>997</v>
      </c>
      <c r="E295" t="s">
        <v>40</v>
      </c>
      <c r="F295" t="s">
        <v>998</v>
      </c>
      <c r="G295" t="s">
        <v>999</v>
      </c>
      <c r="H295" t="s">
        <v>43</v>
      </c>
      <c r="J295">
        <v>3230.86</v>
      </c>
      <c r="K295">
        <v>3213.37</v>
      </c>
      <c r="L295">
        <v>3213.3659865899999</v>
      </c>
      <c r="Q295" t="s">
        <v>1000</v>
      </c>
      <c r="T295">
        <v>2.3645972129350001E-2</v>
      </c>
      <c r="V295" t="s">
        <v>79</v>
      </c>
      <c r="W295" t="s">
        <v>36</v>
      </c>
      <c r="X295" t="s">
        <v>69</v>
      </c>
      <c r="Y295" t="s">
        <v>38</v>
      </c>
      <c r="AD295">
        <v>0</v>
      </c>
      <c r="AE295" t="b">
        <f>ISNUMBER(MATCH(G295,AUM!$C$6:$C$1451,0))</f>
        <v>1</v>
      </c>
      <c r="AF295" t="b">
        <f>ISNUMBER(MATCH(G295,AUM!$G$6:$G$240,0))</f>
        <v>0</v>
      </c>
    </row>
    <row r="296" spans="1:32" x14ac:dyDescent="0.2">
      <c r="A296" t="s">
        <v>1001</v>
      </c>
      <c r="B296" s="1">
        <v>45671</v>
      </c>
      <c r="D296" t="s">
        <v>1001</v>
      </c>
      <c r="E296" t="s">
        <v>40</v>
      </c>
      <c r="F296" t="s">
        <v>1002</v>
      </c>
      <c r="G296" t="s">
        <v>1003</v>
      </c>
      <c r="H296" t="s">
        <v>43</v>
      </c>
      <c r="J296">
        <v>2883.38</v>
      </c>
      <c r="K296">
        <v>2867.76</v>
      </c>
      <c r="L296">
        <v>2867.7588251100001</v>
      </c>
      <c r="Q296" t="s">
        <v>1000</v>
      </c>
      <c r="U296">
        <v>1.7734479097010002E-2</v>
      </c>
      <c r="V296" t="s">
        <v>79</v>
      </c>
      <c r="W296" t="s">
        <v>36</v>
      </c>
      <c r="X296" t="s">
        <v>69</v>
      </c>
      <c r="Y296" t="s">
        <v>38</v>
      </c>
      <c r="AD296">
        <v>0</v>
      </c>
      <c r="AE296" t="b">
        <f>ISNUMBER(MATCH(G296,AUM!$C$6:$C$1451,0))</f>
        <v>1</v>
      </c>
      <c r="AF296" t="b">
        <f>ISNUMBER(MATCH(G296,AUM!$G$6:$G$240,0))</f>
        <v>0</v>
      </c>
    </row>
    <row r="297" spans="1:32" x14ac:dyDescent="0.2">
      <c r="A297" t="s">
        <v>1000</v>
      </c>
      <c r="B297" s="1">
        <v>45671</v>
      </c>
      <c r="D297" t="s">
        <v>1000</v>
      </c>
      <c r="E297" t="s">
        <v>40</v>
      </c>
      <c r="F297" t="s">
        <v>1004</v>
      </c>
      <c r="G297" t="s">
        <v>1005</v>
      </c>
      <c r="H297" t="s">
        <v>43</v>
      </c>
      <c r="I297">
        <v>6263431792.52073</v>
      </c>
      <c r="J297">
        <v>1674.72</v>
      </c>
      <c r="K297">
        <v>1665.64</v>
      </c>
      <c r="L297">
        <v>1665.6393567800001</v>
      </c>
      <c r="M297">
        <v>10432618502149</v>
      </c>
      <c r="N297">
        <v>500</v>
      </c>
      <c r="O297" t="s">
        <v>35</v>
      </c>
      <c r="P297">
        <v>1</v>
      </c>
      <c r="R297" t="s">
        <v>997</v>
      </c>
      <c r="S297" t="s">
        <v>1001</v>
      </c>
      <c r="W297" t="s">
        <v>36</v>
      </c>
      <c r="X297" t="s">
        <v>37</v>
      </c>
      <c r="Y297" t="s">
        <v>38</v>
      </c>
      <c r="AD297">
        <v>0</v>
      </c>
      <c r="AE297" t="b">
        <f>ISNUMBER(MATCH(G297,AUM!$C$6:$C$1451,0))</f>
        <v>1</v>
      </c>
      <c r="AF297" t="b">
        <f>ISNUMBER(MATCH(G297,AUM!$G$6:$G$240,0))</f>
        <v>1</v>
      </c>
    </row>
    <row r="298" spans="1:32" x14ac:dyDescent="0.2">
      <c r="A298" t="s">
        <v>1006</v>
      </c>
      <c r="B298" s="1">
        <v>45671</v>
      </c>
      <c r="D298" t="s">
        <v>1006</v>
      </c>
      <c r="E298" t="s">
        <v>31</v>
      </c>
      <c r="F298" t="s">
        <v>1007</v>
      </c>
      <c r="G298" t="s">
        <v>1008</v>
      </c>
      <c r="H298" t="s">
        <v>34</v>
      </c>
      <c r="I298">
        <v>880848.26318607701</v>
      </c>
      <c r="J298">
        <v>1501.77</v>
      </c>
      <c r="K298">
        <v>1491.7</v>
      </c>
      <c r="L298">
        <v>1491.69799446</v>
      </c>
      <c r="M298">
        <v>1313959587.6140001</v>
      </c>
      <c r="N298">
        <v>50</v>
      </c>
      <c r="O298" t="s">
        <v>35</v>
      </c>
      <c r="P298">
        <v>1</v>
      </c>
      <c r="R298" t="s">
        <v>1009</v>
      </c>
      <c r="S298" t="s">
        <v>1010</v>
      </c>
      <c r="W298" t="s">
        <v>36</v>
      </c>
      <c r="X298" t="s">
        <v>37</v>
      </c>
      <c r="Y298" t="s">
        <v>38</v>
      </c>
      <c r="AD298">
        <v>0</v>
      </c>
      <c r="AE298" t="b">
        <f>ISNUMBER(MATCH(G298,AUM!$C$6:$C$1451,0))</f>
        <v>1</v>
      </c>
      <c r="AF298" t="b">
        <f>ISNUMBER(MATCH(G298,AUM!$G$6:$G$240,0))</f>
        <v>0</v>
      </c>
    </row>
    <row r="299" spans="1:32" x14ac:dyDescent="0.2">
      <c r="A299" t="s">
        <v>1011</v>
      </c>
      <c r="B299" s="1">
        <v>45671</v>
      </c>
      <c r="D299" t="s">
        <v>1011</v>
      </c>
      <c r="E299" t="s">
        <v>40</v>
      </c>
      <c r="F299" t="s">
        <v>1012</v>
      </c>
      <c r="G299" t="s">
        <v>1013</v>
      </c>
      <c r="H299" t="s">
        <v>43</v>
      </c>
      <c r="I299">
        <v>1002821.81812022</v>
      </c>
      <c r="J299">
        <v>2297.04</v>
      </c>
      <c r="K299">
        <v>2297.96</v>
      </c>
      <c r="L299">
        <v>2297.9614629799999</v>
      </c>
      <c r="M299">
        <v>2304445892.27422</v>
      </c>
      <c r="N299">
        <v>50</v>
      </c>
      <c r="O299" t="s">
        <v>35</v>
      </c>
      <c r="P299">
        <v>1</v>
      </c>
      <c r="R299" t="s">
        <v>1014</v>
      </c>
      <c r="S299" t="s">
        <v>1015</v>
      </c>
      <c r="W299" t="s">
        <v>36</v>
      </c>
      <c r="X299" t="s">
        <v>37</v>
      </c>
      <c r="Y299" t="s">
        <v>38</v>
      </c>
      <c r="AD299">
        <v>0</v>
      </c>
      <c r="AE299" t="b">
        <f>ISNUMBER(MATCH(G299,AUM!$C$6:$C$1451,0))</f>
        <v>1</v>
      </c>
      <c r="AF299" t="b">
        <f>ISNUMBER(MATCH(G299,AUM!$G$6:$G$240,0))</f>
        <v>0</v>
      </c>
    </row>
    <row r="300" spans="1:32" x14ac:dyDescent="0.2">
      <c r="A300" t="s">
        <v>1016</v>
      </c>
      <c r="B300" s="1">
        <v>45671</v>
      </c>
      <c r="D300" t="s">
        <v>1016</v>
      </c>
      <c r="E300" t="s">
        <v>40</v>
      </c>
      <c r="F300" t="s">
        <v>1017</v>
      </c>
      <c r="G300" t="s">
        <v>1018</v>
      </c>
      <c r="H300" t="s">
        <v>43</v>
      </c>
      <c r="I300">
        <v>959098.45999438304</v>
      </c>
      <c r="J300">
        <v>2102.9699999999998</v>
      </c>
      <c r="K300">
        <v>2100.25</v>
      </c>
      <c r="L300">
        <v>2100.25314359</v>
      </c>
      <c r="M300">
        <v>2014349555.6148</v>
      </c>
      <c r="N300">
        <v>100</v>
      </c>
      <c r="O300" t="s">
        <v>35</v>
      </c>
      <c r="P300">
        <v>1</v>
      </c>
      <c r="R300" t="s">
        <v>1019</v>
      </c>
      <c r="S300" t="s">
        <v>1020</v>
      </c>
      <c r="W300" t="s">
        <v>36</v>
      </c>
      <c r="X300" t="s">
        <v>37</v>
      </c>
      <c r="Y300" t="s">
        <v>38</v>
      </c>
      <c r="AD300">
        <v>0</v>
      </c>
      <c r="AE300" t="b">
        <f>ISNUMBER(MATCH(G300,AUM!$C$6:$C$1451,0))</f>
        <v>0</v>
      </c>
      <c r="AF300" t="b">
        <f>ISNUMBER(MATCH(G300,AUM!$G$6:$G$240,0))</f>
        <v>1</v>
      </c>
    </row>
    <row r="301" spans="1:32" x14ac:dyDescent="0.2">
      <c r="A301" t="s">
        <v>1021</v>
      </c>
      <c r="B301" s="1">
        <v>45671</v>
      </c>
      <c r="D301" t="s">
        <v>1021</v>
      </c>
      <c r="E301" t="s">
        <v>40</v>
      </c>
      <c r="F301" t="s">
        <v>1022</v>
      </c>
      <c r="G301" t="s">
        <v>1023</v>
      </c>
      <c r="H301" t="s">
        <v>43</v>
      </c>
      <c r="J301">
        <v>912.54</v>
      </c>
      <c r="K301">
        <v>904.96</v>
      </c>
      <c r="L301">
        <v>904.96248662999994</v>
      </c>
      <c r="Q301" t="s">
        <v>1024</v>
      </c>
      <c r="W301" t="s">
        <v>36</v>
      </c>
      <c r="X301" t="s">
        <v>878</v>
      </c>
      <c r="Y301" t="s">
        <v>38</v>
      </c>
      <c r="Z301" t="s">
        <v>910</v>
      </c>
      <c r="AA301">
        <v>0.05</v>
      </c>
      <c r="AB301">
        <v>1</v>
      </c>
      <c r="AC301">
        <v>365</v>
      </c>
      <c r="AD301">
        <v>0</v>
      </c>
      <c r="AE301" t="b">
        <f>ISNUMBER(MATCH(G301,AUM!$C$6:$C$1451,0))</f>
        <v>1</v>
      </c>
      <c r="AF301" t="b">
        <f>ISNUMBER(MATCH(G301,AUM!$G$6:$G$240,0))</f>
        <v>0</v>
      </c>
    </row>
    <row r="302" spans="1:32" x14ac:dyDescent="0.2">
      <c r="A302" t="s">
        <v>1025</v>
      </c>
      <c r="B302" s="1">
        <v>45671</v>
      </c>
      <c r="D302" t="s">
        <v>1025</v>
      </c>
      <c r="E302" t="s">
        <v>40</v>
      </c>
      <c r="F302" t="s">
        <v>1026</v>
      </c>
      <c r="G302" t="s">
        <v>1027</v>
      </c>
      <c r="H302" t="s">
        <v>43</v>
      </c>
      <c r="J302">
        <v>2779.41</v>
      </c>
      <c r="K302">
        <v>2757.47</v>
      </c>
      <c r="L302">
        <v>2757.4735894400001</v>
      </c>
      <c r="Q302" t="s">
        <v>1028</v>
      </c>
      <c r="T302">
        <v>0.33198843833175001</v>
      </c>
      <c r="V302" t="s">
        <v>79</v>
      </c>
      <c r="W302" t="s">
        <v>36</v>
      </c>
      <c r="X302" t="s">
        <v>69</v>
      </c>
      <c r="Y302" t="s">
        <v>38</v>
      </c>
      <c r="AD302">
        <v>0</v>
      </c>
      <c r="AE302" t="b">
        <f>ISNUMBER(MATCH(G302,AUM!$C$6:$C$1451,0))</f>
        <v>1</v>
      </c>
      <c r="AF302" t="b">
        <f>ISNUMBER(MATCH(G302,AUM!$G$6:$G$240,0))</f>
        <v>0</v>
      </c>
    </row>
    <row r="303" spans="1:32" x14ac:dyDescent="0.2">
      <c r="A303" t="s">
        <v>1024</v>
      </c>
      <c r="B303" s="1">
        <v>45671</v>
      </c>
      <c r="D303" t="s">
        <v>1024</v>
      </c>
      <c r="E303" t="s">
        <v>40</v>
      </c>
      <c r="F303" t="s">
        <v>1029</v>
      </c>
      <c r="G303" t="s">
        <v>1030</v>
      </c>
      <c r="H303" t="s">
        <v>43</v>
      </c>
      <c r="J303">
        <v>2365.39</v>
      </c>
      <c r="K303">
        <v>2346.7199999999998</v>
      </c>
      <c r="L303">
        <v>2346.7192252</v>
      </c>
      <c r="Q303" t="s">
        <v>1028</v>
      </c>
      <c r="U303">
        <v>0.24899132874881999</v>
      </c>
      <c r="V303" t="s">
        <v>79</v>
      </c>
      <c r="W303" t="s">
        <v>36</v>
      </c>
      <c r="X303" t="s">
        <v>69</v>
      </c>
      <c r="Y303" t="s">
        <v>38</v>
      </c>
      <c r="AD303">
        <v>0</v>
      </c>
      <c r="AE303" t="b">
        <f>ISNUMBER(MATCH(G303,AUM!$C$6:$C$1451,0))</f>
        <v>1</v>
      </c>
      <c r="AF303" t="b">
        <f>ISNUMBER(MATCH(G303,AUM!$G$6:$G$240,0))</f>
        <v>0</v>
      </c>
    </row>
    <row r="304" spans="1:32" x14ac:dyDescent="0.2">
      <c r="A304" t="s">
        <v>1028</v>
      </c>
      <c r="B304" s="1">
        <v>45671</v>
      </c>
      <c r="D304" t="s">
        <v>1028</v>
      </c>
      <c r="E304" t="s">
        <v>40</v>
      </c>
      <c r="F304" t="s">
        <v>1031</v>
      </c>
      <c r="G304" t="s">
        <v>1032</v>
      </c>
      <c r="H304" t="s">
        <v>43</v>
      </c>
      <c r="I304">
        <v>989136.855639079</v>
      </c>
      <c r="J304">
        <v>1569</v>
      </c>
      <c r="K304">
        <v>1556.62</v>
      </c>
      <c r="L304">
        <v>1556.6160679499999</v>
      </c>
      <c r="M304">
        <v>1539706322.888</v>
      </c>
      <c r="N304">
        <v>40</v>
      </c>
      <c r="O304" t="s">
        <v>35</v>
      </c>
      <c r="P304">
        <v>1</v>
      </c>
      <c r="R304" t="s">
        <v>1025</v>
      </c>
      <c r="S304" t="s">
        <v>1024</v>
      </c>
      <c r="W304" t="s">
        <v>36</v>
      </c>
      <c r="X304" t="s">
        <v>37</v>
      </c>
      <c r="Y304" t="s">
        <v>38</v>
      </c>
      <c r="AD304">
        <v>0</v>
      </c>
      <c r="AE304" t="b">
        <f>ISNUMBER(MATCH(G304,AUM!$C$6:$C$1451,0))</f>
        <v>1</v>
      </c>
      <c r="AF304" t="b">
        <f>ISNUMBER(MATCH(G304,AUM!$G$6:$G$240,0))</f>
        <v>0</v>
      </c>
    </row>
    <row r="305" spans="1:32" x14ac:dyDescent="0.2">
      <c r="A305" t="s">
        <v>1033</v>
      </c>
      <c r="B305" s="1">
        <v>45671</v>
      </c>
      <c r="D305" t="s">
        <v>1033</v>
      </c>
      <c r="E305" t="s">
        <v>40</v>
      </c>
      <c r="F305" t="s">
        <v>1034</v>
      </c>
      <c r="G305" t="s">
        <v>1035</v>
      </c>
      <c r="H305" t="s">
        <v>43</v>
      </c>
      <c r="J305">
        <v>2525.9</v>
      </c>
      <c r="K305">
        <v>2517.88</v>
      </c>
      <c r="L305">
        <v>2517.8840362300002</v>
      </c>
      <c r="Q305" t="s">
        <v>1036</v>
      </c>
      <c r="T305">
        <v>0.37072212794608</v>
      </c>
      <c r="V305" t="s">
        <v>79</v>
      </c>
      <c r="W305" t="s">
        <v>36</v>
      </c>
      <c r="X305" t="s">
        <v>69</v>
      </c>
      <c r="Y305" t="s">
        <v>38</v>
      </c>
      <c r="AD305">
        <v>0</v>
      </c>
      <c r="AE305" t="b">
        <f>ISNUMBER(MATCH(G305,AUM!$C$6:$C$1451,0))</f>
        <v>1</v>
      </c>
      <c r="AF305" t="b">
        <f>ISNUMBER(MATCH(G305,AUM!$G$6:$G$240,0))</f>
        <v>0</v>
      </c>
    </row>
    <row r="306" spans="1:32" x14ac:dyDescent="0.2">
      <c r="A306" t="s">
        <v>1037</v>
      </c>
      <c r="B306" s="1">
        <v>45671</v>
      </c>
      <c r="D306" t="s">
        <v>1037</v>
      </c>
      <c r="E306" t="s">
        <v>40</v>
      </c>
      <c r="F306" t="s">
        <v>1038</v>
      </c>
      <c r="G306" t="s">
        <v>1039</v>
      </c>
      <c r="H306" t="s">
        <v>43</v>
      </c>
      <c r="J306">
        <v>2135.04</v>
      </c>
      <c r="K306">
        <v>2128.27</v>
      </c>
      <c r="L306">
        <v>2128.2680074499999</v>
      </c>
      <c r="Q306" t="s">
        <v>1036</v>
      </c>
      <c r="U306">
        <v>0.27804159595956002</v>
      </c>
      <c r="V306" t="s">
        <v>79</v>
      </c>
      <c r="W306" t="s">
        <v>36</v>
      </c>
      <c r="X306" t="s">
        <v>69</v>
      </c>
      <c r="Y306" t="s">
        <v>38</v>
      </c>
      <c r="AD306">
        <v>0</v>
      </c>
      <c r="AE306" t="b">
        <f>ISNUMBER(MATCH(G306,AUM!$C$6:$C$1451,0))</f>
        <v>1</v>
      </c>
      <c r="AF306" t="b">
        <f>ISNUMBER(MATCH(G306,AUM!$G$6:$G$240,0))</f>
        <v>0</v>
      </c>
    </row>
    <row r="307" spans="1:32" x14ac:dyDescent="0.2">
      <c r="A307" t="s">
        <v>1036</v>
      </c>
      <c r="B307" s="1">
        <v>45671</v>
      </c>
      <c r="D307" t="s">
        <v>1036</v>
      </c>
      <c r="E307" t="s">
        <v>40</v>
      </c>
      <c r="F307" t="s">
        <v>1040</v>
      </c>
      <c r="G307" t="s">
        <v>1041</v>
      </c>
      <c r="H307" t="s">
        <v>43</v>
      </c>
      <c r="I307">
        <v>1011280.34109291</v>
      </c>
      <c r="J307">
        <v>1335.12</v>
      </c>
      <c r="K307">
        <v>1330.88</v>
      </c>
      <c r="L307">
        <v>1330.8801996499999</v>
      </c>
      <c r="M307">
        <v>1345892982.2579999</v>
      </c>
      <c r="N307">
        <v>30</v>
      </c>
      <c r="O307" t="s">
        <v>35</v>
      </c>
      <c r="P307">
        <v>1</v>
      </c>
      <c r="R307" t="s">
        <v>1033</v>
      </c>
      <c r="S307" t="s">
        <v>1037</v>
      </c>
      <c r="W307" t="s">
        <v>36</v>
      </c>
      <c r="X307" t="s">
        <v>37</v>
      </c>
      <c r="Y307" t="s">
        <v>38</v>
      </c>
      <c r="AD307">
        <v>0</v>
      </c>
      <c r="AE307" t="b">
        <f>ISNUMBER(MATCH(G307,AUM!$C$6:$C$1451,0))</f>
        <v>1</v>
      </c>
      <c r="AF307" t="b">
        <f>ISNUMBER(MATCH(G307,AUM!$G$6:$G$240,0))</f>
        <v>0</v>
      </c>
    </row>
    <row r="308" spans="1:32" x14ac:dyDescent="0.2">
      <c r="A308" t="s">
        <v>1042</v>
      </c>
      <c r="B308" s="1">
        <v>45671</v>
      </c>
      <c r="D308" t="s">
        <v>1042</v>
      </c>
      <c r="E308" t="s">
        <v>40</v>
      </c>
      <c r="F308" t="s">
        <v>1043</v>
      </c>
      <c r="G308" t="s">
        <v>1044</v>
      </c>
      <c r="H308" t="s">
        <v>43</v>
      </c>
      <c r="J308">
        <v>1830.1</v>
      </c>
      <c r="K308">
        <v>1825.23</v>
      </c>
      <c r="L308">
        <v>1825.22610459</v>
      </c>
      <c r="Q308" t="s">
        <v>1045</v>
      </c>
      <c r="T308">
        <v>0</v>
      </c>
      <c r="W308" t="s">
        <v>36</v>
      </c>
      <c r="X308" t="s">
        <v>69</v>
      </c>
      <c r="Y308" t="s">
        <v>38</v>
      </c>
      <c r="AD308">
        <v>0</v>
      </c>
      <c r="AE308" t="b">
        <f>ISNUMBER(MATCH(G308,AUM!$C$6:$C$1451,0))</f>
        <v>1</v>
      </c>
      <c r="AF308" t="b">
        <f>ISNUMBER(MATCH(G308,AUM!$G$6:$G$240,0))</f>
        <v>0</v>
      </c>
    </row>
    <row r="309" spans="1:32" x14ac:dyDescent="0.2">
      <c r="A309" t="s">
        <v>1046</v>
      </c>
      <c r="B309" s="1">
        <v>45671</v>
      </c>
      <c r="D309" t="s">
        <v>1046</v>
      </c>
      <c r="E309" t="s">
        <v>40</v>
      </c>
      <c r="F309" t="s">
        <v>1047</v>
      </c>
      <c r="G309" t="s">
        <v>1048</v>
      </c>
      <c r="H309" t="s">
        <v>43</v>
      </c>
      <c r="J309">
        <v>1715.53</v>
      </c>
      <c r="K309">
        <v>1710.96</v>
      </c>
      <c r="L309">
        <v>1710.9592432899999</v>
      </c>
      <c r="Q309" t="s">
        <v>1045</v>
      </c>
      <c r="U309">
        <v>0</v>
      </c>
      <c r="W309" t="s">
        <v>36</v>
      </c>
      <c r="X309" t="s">
        <v>69</v>
      </c>
      <c r="Y309" t="s">
        <v>38</v>
      </c>
      <c r="AD309">
        <v>0</v>
      </c>
      <c r="AE309" t="b">
        <f>ISNUMBER(MATCH(G309,AUM!$C$6:$C$1451,0))</f>
        <v>1</v>
      </c>
      <c r="AF309" t="b">
        <f>ISNUMBER(MATCH(G309,AUM!$G$6:$G$240,0))</f>
        <v>0</v>
      </c>
    </row>
    <row r="310" spans="1:32" x14ac:dyDescent="0.2">
      <c r="A310" t="s">
        <v>1045</v>
      </c>
      <c r="B310" s="1">
        <v>45671</v>
      </c>
      <c r="D310" t="s">
        <v>1045</v>
      </c>
      <c r="E310" t="s">
        <v>40</v>
      </c>
      <c r="F310" t="s">
        <v>1049</v>
      </c>
      <c r="G310" t="s">
        <v>1050</v>
      </c>
      <c r="H310" t="s">
        <v>43</v>
      </c>
      <c r="I310">
        <v>1030125.48220509</v>
      </c>
      <c r="J310">
        <v>1387.31</v>
      </c>
      <c r="K310">
        <v>1383.62</v>
      </c>
      <c r="L310">
        <v>1383.6187039700001</v>
      </c>
      <c r="M310">
        <v>1425300884.615</v>
      </c>
      <c r="N310">
        <v>60</v>
      </c>
      <c r="O310" t="s">
        <v>35</v>
      </c>
      <c r="P310">
        <v>1</v>
      </c>
      <c r="R310" t="s">
        <v>1042</v>
      </c>
      <c r="S310" t="s">
        <v>1046</v>
      </c>
      <c r="W310" t="s">
        <v>36</v>
      </c>
      <c r="X310" t="s">
        <v>37</v>
      </c>
      <c r="Y310" t="s">
        <v>38</v>
      </c>
      <c r="AD310">
        <v>0</v>
      </c>
      <c r="AE310" t="b">
        <f>ISNUMBER(MATCH(G310,AUM!$C$6:$C$1451,0))</f>
        <v>1</v>
      </c>
      <c r="AF310" t="b">
        <f>ISNUMBER(MATCH(G310,AUM!$G$6:$G$240,0))</f>
        <v>0</v>
      </c>
    </row>
    <row r="311" spans="1:32" x14ac:dyDescent="0.2">
      <c r="A311" t="s">
        <v>1051</v>
      </c>
      <c r="B311" s="1">
        <v>45671</v>
      </c>
      <c r="D311" t="s">
        <v>1051</v>
      </c>
      <c r="E311" t="s">
        <v>40</v>
      </c>
      <c r="F311" t="s">
        <v>1052</v>
      </c>
      <c r="G311" t="s">
        <v>1053</v>
      </c>
      <c r="H311" t="s">
        <v>43</v>
      </c>
      <c r="J311">
        <v>4050.61</v>
      </c>
      <c r="K311">
        <v>4038.87</v>
      </c>
      <c r="L311">
        <v>4038.8727014699998</v>
      </c>
      <c r="Q311" t="s">
        <v>1054</v>
      </c>
      <c r="T311">
        <v>0</v>
      </c>
      <c r="W311" t="s">
        <v>36</v>
      </c>
      <c r="X311" t="s">
        <v>69</v>
      </c>
      <c r="Y311" t="s">
        <v>38</v>
      </c>
      <c r="AD311">
        <v>0</v>
      </c>
      <c r="AE311" t="b">
        <f>ISNUMBER(MATCH(G311,AUM!$C$6:$C$1451,0))</f>
        <v>1</v>
      </c>
      <c r="AF311" t="b">
        <f>ISNUMBER(MATCH(G311,AUM!$G$6:$G$240,0))</f>
        <v>0</v>
      </c>
    </row>
    <row r="312" spans="1:32" x14ac:dyDescent="0.2">
      <c r="A312" t="s">
        <v>1055</v>
      </c>
      <c r="B312" s="1">
        <v>45671</v>
      </c>
      <c r="D312" t="s">
        <v>1055</v>
      </c>
      <c r="E312" t="s">
        <v>40</v>
      </c>
      <c r="F312" t="s">
        <v>1056</v>
      </c>
      <c r="G312" t="s">
        <v>1057</v>
      </c>
      <c r="H312" t="s">
        <v>43</v>
      </c>
      <c r="J312">
        <v>3572.16</v>
      </c>
      <c r="K312">
        <v>3561.81</v>
      </c>
      <c r="L312">
        <v>3561.80810604</v>
      </c>
      <c r="Q312" t="s">
        <v>1054</v>
      </c>
      <c r="U312">
        <v>0</v>
      </c>
      <c r="W312" t="s">
        <v>36</v>
      </c>
      <c r="X312" t="s">
        <v>69</v>
      </c>
      <c r="Y312" t="s">
        <v>38</v>
      </c>
      <c r="AD312">
        <v>0</v>
      </c>
      <c r="AE312" t="b">
        <f>ISNUMBER(MATCH(G312,AUM!$C$6:$C$1451,0))</f>
        <v>1</v>
      </c>
      <c r="AF312" t="b">
        <f>ISNUMBER(MATCH(G312,AUM!$G$6:$G$240,0))</f>
        <v>0</v>
      </c>
    </row>
    <row r="313" spans="1:32" x14ac:dyDescent="0.2">
      <c r="A313" t="s">
        <v>1054</v>
      </c>
      <c r="B313" s="1">
        <v>45671</v>
      </c>
      <c r="D313" t="s">
        <v>1054</v>
      </c>
      <c r="E313" t="s">
        <v>40</v>
      </c>
      <c r="F313" t="s">
        <v>1058</v>
      </c>
      <c r="G313" t="s">
        <v>1059</v>
      </c>
      <c r="H313" t="s">
        <v>43</v>
      </c>
      <c r="I313">
        <v>946235.35412288201</v>
      </c>
      <c r="J313">
        <v>1993.55</v>
      </c>
      <c r="K313">
        <v>1987.77</v>
      </c>
      <c r="L313">
        <v>1987.7745857499999</v>
      </c>
      <c r="M313">
        <v>1880902589.066</v>
      </c>
      <c r="N313">
        <v>20</v>
      </c>
      <c r="O313" t="s">
        <v>35</v>
      </c>
      <c r="P313">
        <v>1</v>
      </c>
      <c r="R313" t="s">
        <v>1051</v>
      </c>
      <c r="S313" t="s">
        <v>1055</v>
      </c>
      <c r="W313" t="s">
        <v>36</v>
      </c>
      <c r="X313" t="s">
        <v>37</v>
      </c>
      <c r="Y313" t="s">
        <v>38</v>
      </c>
      <c r="AD313">
        <v>0</v>
      </c>
      <c r="AE313" t="b">
        <f>ISNUMBER(MATCH(G313,AUM!$C$6:$C$1451,0))</f>
        <v>1</v>
      </c>
      <c r="AF313" t="b">
        <f>ISNUMBER(MATCH(G313,AUM!$G$6:$G$240,0))</f>
        <v>1</v>
      </c>
    </row>
    <row r="314" spans="1:32" x14ac:dyDescent="0.2">
      <c r="A314" t="s">
        <v>1060</v>
      </c>
      <c r="B314" s="1">
        <v>45671</v>
      </c>
      <c r="D314" t="s">
        <v>1060</v>
      </c>
      <c r="E314" t="s">
        <v>40</v>
      </c>
      <c r="F314" t="s">
        <v>1061</v>
      </c>
      <c r="G314" t="s">
        <v>1062</v>
      </c>
      <c r="H314" t="s">
        <v>43</v>
      </c>
      <c r="J314">
        <v>3112.6</v>
      </c>
      <c r="K314">
        <v>3106.34</v>
      </c>
      <c r="L314">
        <v>3106.3420503399998</v>
      </c>
      <c r="Q314" t="s">
        <v>1063</v>
      </c>
      <c r="T314">
        <v>0.22972337150064001</v>
      </c>
      <c r="V314" t="s">
        <v>79</v>
      </c>
      <c r="W314" t="s">
        <v>36</v>
      </c>
      <c r="X314" t="s">
        <v>69</v>
      </c>
      <c r="Y314" t="s">
        <v>38</v>
      </c>
      <c r="AD314">
        <v>0</v>
      </c>
      <c r="AE314" t="b">
        <f>ISNUMBER(MATCH(G314,AUM!$C$6:$C$1451,0))</f>
        <v>1</v>
      </c>
      <c r="AF314" t="b">
        <f>ISNUMBER(MATCH(G314,AUM!$G$6:$G$240,0))</f>
        <v>0</v>
      </c>
    </row>
    <row r="315" spans="1:32" x14ac:dyDescent="0.2">
      <c r="A315" t="s">
        <v>1064</v>
      </c>
      <c r="B315" s="1">
        <v>45671</v>
      </c>
      <c r="D315" t="s">
        <v>1064</v>
      </c>
      <c r="E315" t="s">
        <v>40</v>
      </c>
      <c r="F315" t="s">
        <v>1065</v>
      </c>
      <c r="G315" t="s">
        <v>1066</v>
      </c>
      <c r="H315" t="s">
        <v>43</v>
      </c>
      <c r="J315">
        <v>2632.96</v>
      </c>
      <c r="K315">
        <v>2627.67</v>
      </c>
      <c r="L315">
        <v>2627.6718489700002</v>
      </c>
      <c r="Q315" t="s">
        <v>1063</v>
      </c>
      <c r="U315">
        <v>0.17229252862548</v>
      </c>
      <c r="V315" t="s">
        <v>79</v>
      </c>
      <c r="W315" t="s">
        <v>36</v>
      </c>
      <c r="X315" t="s">
        <v>69</v>
      </c>
      <c r="Y315" t="s">
        <v>38</v>
      </c>
      <c r="AD315">
        <v>0</v>
      </c>
      <c r="AE315" t="b">
        <f>ISNUMBER(MATCH(G315,AUM!$C$6:$C$1451,0))</f>
        <v>1</v>
      </c>
      <c r="AF315" t="b">
        <f>ISNUMBER(MATCH(G315,AUM!$G$6:$G$240,0))</f>
        <v>0</v>
      </c>
    </row>
    <row r="316" spans="1:32" x14ac:dyDescent="0.2">
      <c r="A316" t="s">
        <v>1063</v>
      </c>
      <c r="B316" s="1">
        <v>45671</v>
      </c>
      <c r="D316" t="s">
        <v>1063</v>
      </c>
      <c r="E316" t="s">
        <v>40</v>
      </c>
      <c r="F316" t="s">
        <v>1067</v>
      </c>
      <c r="G316" t="s">
        <v>1068</v>
      </c>
      <c r="H316" t="s">
        <v>43</v>
      </c>
      <c r="I316">
        <v>834055.31944085704</v>
      </c>
      <c r="J316">
        <v>1588.18</v>
      </c>
      <c r="K316">
        <v>1584.99</v>
      </c>
      <c r="L316">
        <v>1584.99022468</v>
      </c>
      <c r="M316">
        <v>1321969528.1600001</v>
      </c>
      <c r="N316">
        <v>100</v>
      </c>
      <c r="O316" t="s">
        <v>35</v>
      </c>
      <c r="P316">
        <v>1</v>
      </c>
      <c r="R316" t="s">
        <v>1060</v>
      </c>
      <c r="S316" t="s">
        <v>1064</v>
      </c>
      <c r="W316" t="s">
        <v>36</v>
      </c>
      <c r="X316" t="s">
        <v>37</v>
      </c>
      <c r="Y316" t="s">
        <v>38</v>
      </c>
      <c r="AD316">
        <v>0</v>
      </c>
      <c r="AE316" t="b">
        <f>ISNUMBER(MATCH(G316,AUM!$C$6:$C$1451,0))</f>
        <v>1</v>
      </c>
      <c r="AF316" t="b">
        <f>ISNUMBER(MATCH(G316,AUM!$G$6:$G$240,0))</f>
        <v>1</v>
      </c>
    </row>
    <row r="317" spans="1:32" x14ac:dyDescent="0.2">
      <c r="A317" t="s">
        <v>1069</v>
      </c>
      <c r="B317" s="1">
        <v>45671</v>
      </c>
      <c r="D317" t="s">
        <v>1069</v>
      </c>
      <c r="E317" t="s">
        <v>40</v>
      </c>
      <c r="F317" t="s">
        <v>1070</v>
      </c>
      <c r="G317" t="s">
        <v>1071</v>
      </c>
      <c r="H317" t="s">
        <v>43</v>
      </c>
      <c r="J317">
        <v>3193.5</v>
      </c>
      <c r="K317">
        <v>3183.24</v>
      </c>
      <c r="L317">
        <v>3183.2418597699998</v>
      </c>
      <c r="Q317" t="s">
        <v>1072</v>
      </c>
      <c r="T317">
        <v>0</v>
      </c>
      <c r="W317" t="s">
        <v>36</v>
      </c>
      <c r="X317" t="s">
        <v>69</v>
      </c>
      <c r="Y317" t="s">
        <v>38</v>
      </c>
      <c r="AD317">
        <v>0</v>
      </c>
      <c r="AE317" t="b">
        <f>ISNUMBER(MATCH(G317,AUM!$C$6:$C$1451,0))</f>
        <v>1</v>
      </c>
      <c r="AF317" t="b">
        <f>ISNUMBER(MATCH(G317,AUM!$G$6:$G$240,0))</f>
        <v>0</v>
      </c>
    </row>
    <row r="318" spans="1:32" x14ac:dyDescent="0.2">
      <c r="A318" t="s">
        <v>1073</v>
      </c>
      <c r="B318" s="1">
        <v>45671</v>
      </c>
      <c r="D318" t="s">
        <v>1073</v>
      </c>
      <c r="E318" t="s">
        <v>40</v>
      </c>
      <c r="F318" t="s">
        <v>1074</v>
      </c>
      <c r="G318" t="s">
        <v>1075</v>
      </c>
      <c r="H318" t="s">
        <v>43</v>
      </c>
      <c r="J318">
        <v>2863.76</v>
      </c>
      <c r="K318">
        <v>2854.57</v>
      </c>
      <c r="L318">
        <v>2854.5652948100001</v>
      </c>
      <c r="Q318" t="s">
        <v>1072</v>
      </c>
      <c r="U318">
        <v>0</v>
      </c>
      <c r="W318" t="s">
        <v>36</v>
      </c>
      <c r="X318" t="s">
        <v>69</v>
      </c>
      <c r="Y318" t="s">
        <v>38</v>
      </c>
      <c r="AD318">
        <v>0</v>
      </c>
      <c r="AE318" t="b">
        <f>ISNUMBER(MATCH(G318,AUM!$C$6:$C$1451,0))</f>
        <v>1</v>
      </c>
      <c r="AF318" t="b">
        <f>ISNUMBER(MATCH(G318,AUM!$G$6:$G$240,0))</f>
        <v>0</v>
      </c>
    </row>
    <row r="319" spans="1:32" x14ac:dyDescent="0.2">
      <c r="A319" t="s">
        <v>1072</v>
      </c>
      <c r="B319" s="1">
        <v>45671</v>
      </c>
      <c r="D319" t="s">
        <v>1072</v>
      </c>
      <c r="E319" t="s">
        <v>40</v>
      </c>
      <c r="F319" t="s">
        <v>1076</v>
      </c>
      <c r="G319" t="s">
        <v>1077</v>
      </c>
      <c r="H319" t="s">
        <v>43</v>
      </c>
      <c r="I319">
        <v>870950.62033221498</v>
      </c>
      <c r="J319">
        <v>2066.5700000000002</v>
      </c>
      <c r="K319">
        <v>2059.9299999999998</v>
      </c>
      <c r="L319">
        <v>2059.9336510399999</v>
      </c>
      <c r="M319">
        <v>1794100491.2149999</v>
      </c>
      <c r="N319">
        <v>50</v>
      </c>
      <c r="O319" t="s">
        <v>35</v>
      </c>
      <c r="P319">
        <v>1</v>
      </c>
      <c r="R319" t="s">
        <v>1069</v>
      </c>
      <c r="S319" t="s">
        <v>1073</v>
      </c>
      <c r="W319" t="s">
        <v>36</v>
      </c>
      <c r="X319" t="s">
        <v>37</v>
      </c>
      <c r="Y319" t="s">
        <v>38</v>
      </c>
      <c r="AD319">
        <v>0</v>
      </c>
      <c r="AE319" t="b">
        <f>ISNUMBER(MATCH(G319,AUM!$C$6:$C$1451,0))</f>
        <v>1</v>
      </c>
      <c r="AF319" t="b">
        <f>ISNUMBER(MATCH(G319,AUM!$G$6:$G$240,0))</f>
        <v>0</v>
      </c>
    </row>
    <row r="320" spans="1:32" x14ac:dyDescent="0.2">
      <c r="A320" t="s">
        <v>1078</v>
      </c>
      <c r="B320" s="1">
        <v>45671</v>
      </c>
      <c r="D320" t="s">
        <v>1078</v>
      </c>
      <c r="E320" t="s">
        <v>40</v>
      </c>
      <c r="F320" t="s">
        <v>1079</v>
      </c>
      <c r="G320" t="s">
        <v>1080</v>
      </c>
      <c r="H320" t="s">
        <v>43</v>
      </c>
      <c r="J320">
        <v>2875.46</v>
      </c>
      <c r="K320">
        <v>2853.14</v>
      </c>
      <c r="L320">
        <v>2853.1384475499999</v>
      </c>
      <c r="Q320" t="s">
        <v>1081</v>
      </c>
      <c r="T320">
        <v>0.34121368103881999</v>
      </c>
      <c r="V320" t="s">
        <v>79</v>
      </c>
      <c r="W320" t="s">
        <v>36</v>
      </c>
      <c r="X320" t="s">
        <v>69</v>
      </c>
      <c r="Y320" t="s">
        <v>38</v>
      </c>
      <c r="AD320">
        <v>0</v>
      </c>
      <c r="AE320" t="b">
        <f>ISNUMBER(MATCH(G320,AUM!$C$6:$C$1451,0))</f>
        <v>1</v>
      </c>
      <c r="AF320" t="b">
        <f>ISNUMBER(MATCH(G320,AUM!$G$6:$G$240,0))</f>
        <v>0</v>
      </c>
    </row>
    <row r="321" spans="1:32" x14ac:dyDescent="0.2">
      <c r="A321" t="s">
        <v>1082</v>
      </c>
      <c r="B321" s="1">
        <v>45671</v>
      </c>
      <c r="D321" t="s">
        <v>1082</v>
      </c>
      <c r="E321" t="s">
        <v>40</v>
      </c>
      <c r="F321" t="s">
        <v>1083</v>
      </c>
      <c r="G321" t="s">
        <v>1084</v>
      </c>
      <c r="H321" t="s">
        <v>43</v>
      </c>
      <c r="J321">
        <v>2442.9899999999998</v>
      </c>
      <c r="K321">
        <v>2424.0300000000002</v>
      </c>
      <c r="L321">
        <v>2424.0267906099998</v>
      </c>
      <c r="Q321" t="s">
        <v>1081</v>
      </c>
      <c r="U321">
        <v>0.25591026077911</v>
      </c>
      <c r="V321" t="s">
        <v>79</v>
      </c>
      <c r="W321" t="s">
        <v>36</v>
      </c>
      <c r="X321" t="s">
        <v>69</v>
      </c>
      <c r="Y321" t="s">
        <v>38</v>
      </c>
      <c r="AD321">
        <v>0</v>
      </c>
      <c r="AE321" t="b">
        <f>ISNUMBER(MATCH(G321,AUM!$C$6:$C$1451,0))</f>
        <v>1</v>
      </c>
      <c r="AF321" t="b">
        <f>ISNUMBER(MATCH(G321,AUM!$G$6:$G$240,0))</f>
        <v>0</v>
      </c>
    </row>
    <row r="322" spans="1:32" x14ac:dyDescent="0.2">
      <c r="A322" t="s">
        <v>1081</v>
      </c>
      <c r="B322" s="1">
        <v>45671</v>
      </c>
      <c r="D322" t="s">
        <v>1081</v>
      </c>
      <c r="E322" t="s">
        <v>40</v>
      </c>
      <c r="F322" t="s">
        <v>1085</v>
      </c>
      <c r="G322" t="s">
        <v>1086</v>
      </c>
      <c r="H322" t="s">
        <v>43</v>
      </c>
      <c r="I322">
        <v>111760014.67438699</v>
      </c>
      <c r="J322">
        <v>1614.25</v>
      </c>
      <c r="K322">
        <v>1601.72</v>
      </c>
      <c r="L322">
        <v>1601.72115798</v>
      </c>
      <c r="M322">
        <v>179008380119.78699</v>
      </c>
      <c r="N322">
        <v>40</v>
      </c>
      <c r="O322" t="s">
        <v>35</v>
      </c>
      <c r="P322">
        <v>1</v>
      </c>
      <c r="R322" t="s">
        <v>1078</v>
      </c>
      <c r="S322" t="s">
        <v>1082</v>
      </c>
      <c r="W322" t="s">
        <v>36</v>
      </c>
      <c r="X322" t="s">
        <v>37</v>
      </c>
      <c r="Y322" t="s">
        <v>38</v>
      </c>
      <c r="AD322">
        <v>0</v>
      </c>
      <c r="AE322" t="b">
        <f>ISNUMBER(MATCH(G322,AUM!$C$6:$C$1451,0))</f>
        <v>1</v>
      </c>
      <c r="AF322" t="b">
        <f>ISNUMBER(MATCH(G322,AUM!$G$6:$G$240,0))</f>
        <v>0</v>
      </c>
    </row>
    <row r="323" spans="1:32" x14ac:dyDescent="0.2">
      <c r="A323" t="s">
        <v>1087</v>
      </c>
      <c r="B323" s="1">
        <v>45671</v>
      </c>
      <c r="D323" t="s">
        <v>1087</v>
      </c>
      <c r="E323" t="s">
        <v>40</v>
      </c>
      <c r="F323" t="s">
        <v>1088</v>
      </c>
      <c r="G323" t="s">
        <v>1089</v>
      </c>
      <c r="H323" t="s">
        <v>43</v>
      </c>
      <c r="J323">
        <v>2977.15</v>
      </c>
      <c r="K323">
        <v>2966.07</v>
      </c>
      <c r="L323">
        <v>2966.0669545599999</v>
      </c>
      <c r="Q323" t="s">
        <v>1090</v>
      </c>
      <c r="T323">
        <v>0.14183343912384</v>
      </c>
      <c r="V323" t="s">
        <v>79</v>
      </c>
      <c r="W323" t="s">
        <v>36</v>
      </c>
      <c r="X323" t="s">
        <v>69</v>
      </c>
      <c r="Y323" t="s">
        <v>38</v>
      </c>
      <c r="AD323">
        <v>0</v>
      </c>
      <c r="AE323" t="b">
        <f>ISNUMBER(MATCH(G323,AUM!$C$6:$C$1451,0))</f>
        <v>1</v>
      </c>
      <c r="AF323" t="b">
        <f>ISNUMBER(MATCH(G323,AUM!$G$6:$G$240,0))</f>
        <v>0</v>
      </c>
    </row>
    <row r="324" spans="1:32" x14ac:dyDescent="0.2">
      <c r="A324" t="s">
        <v>1091</v>
      </c>
      <c r="B324" s="1">
        <v>45671</v>
      </c>
      <c r="D324" t="s">
        <v>1091</v>
      </c>
      <c r="E324" t="s">
        <v>40</v>
      </c>
      <c r="F324" t="s">
        <v>1092</v>
      </c>
      <c r="G324" t="s">
        <v>1093</v>
      </c>
      <c r="H324" t="s">
        <v>43</v>
      </c>
      <c r="J324">
        <v>2590.6799999999998</v>
      </c>
      <c r="K324">
        <v>2581.04</v>
      </c>
      <c r="L324">
        <v>2581.0412995199999</v>
      </c>
      <c r="Q324" t="s">
        <v>1090</v>
      </c>
      <c r="U324">
        <v>0.10637507934288</v>
      </c>
      <c r="V324" t="s">
        <v>79</v>
      </c>
      <c r="W324" t="s">
        <v>36</v>
      </c>
      <c r="X324" t="s">
        <v>69</v>
      </c>
      <c r="Y324" t="s">
        <v>38</v>
      </c>
      <c r="AD324">
        <v>0</v>
      </c>
      <c r="AE324" t="b">
        <f>ISNUMBER(MATCH(G324,AUM!$C$6:$C$1451,0))</f>
        <v>1</v>
      </c>
      <c r="AF324" t="b">
        <f>ISNUMBER(MATCH(G324,AUM!$G$6:$G$240,0))</f>
        <v>0</v>
      </c>
    </row>
    <row r="325" spans="1:32" x14ac:dyDescent="0.2">
      <c r="A325" t="s">
        <v>1090</v>
      </c>
      <c r="B325" s="1">
        <v>45671</v>
      </c>
      <c r="D325" t="s">
        <v>1090</v>
      </c>
      <c r="E325" t="s">
        <v>40</v>
      </c>
      <c r="F325" t="s">
        <v>1094</v>
      </c>
      <c r="G325" t="s">
        <v>1095</v>
      </c>
      <c r="H325" t="s">
        <v>43</v>
      </c>
      <c r="I325">
        <v>953597.408590673</v>
      </c>
      <c r="J325">
        <v>1698.27</v>
      </c>
      <c r="K325">
        <v>1691.95</v>
      </c>
      <c r="L325">
        <v>1691.9527266299999</v>
      </c>
      <c r="M325">
        <v>1613441735.573</v>
      </c>
      <c r="N325">
        <v>100</v>
      </c>
      <c r="O325" t="s">
        <v>35</v>
      </c>
      <c r="P325">
        <v>1</v>
      </c>
      <c r="R325" t="s">
        <v>1087</v>
      </c>
      <c r="S325" t="s">
        <v>1091</v>
      </c>
      <c r="W325" t="s">
        <v>36</v>
      </c>
      <c r="X325" t="s">
        <v>37</v>
      </c>
      <c r="Y325" t="s">
        <v>38</v>
      </c>
      <c r="AD325">
        <v>0</v>
      </c>
      <c r="AE325" t="b">
        <f>ISNUMBER(MATCH(G325,AUM!$C$6:$C$1451,0))</f>
        <v>1</v>
      </c>
      <c r="AF325" t="b">
        <f>ISNUMBER(MATCH(G325,AUM!$G$6:$G$240,0))</f>
        <v>0</v>
      </c>
    </row>
    <row r="326" spans="1:32" x14ac:dyDescent="0.2">
      <c r="A326" t="s">
        <v>1096</v>
      </c>
      <c r="B326" s="1">
        <v>45671</v>
      </c>
      <c r="D326" t="s">
        <v>1096</v>
      </c>
      <c r="E326" t="s">
        <v>40</v>
      </c>
      <c r="F326" t="s">
        <v>1097</v>
      </c>
      <c r="G326" t="s">
        <v>1098</v>
      </c>
      <c r="H326" t="s">
        <v>43</v>
      </c>
      <c r="J326">
        <v>3100.95</v>
      </c>
      <c r="K326">
        <v>3089.71</v>
      </c>
      <c r="L326">
        <v>3089.7096480599998</v>
      </c>
      <c r="Q326" t="s">
        <v>1099</v>
      </c>
      <c r="T326">
        <v>9.4558939699850006E-2</v>
      </c>
      <c r="V326" t="s">
        <v>79</v>
      </c>
      <c r="W326" t="s">
        <v>36</v>
      </c>
      <c r="X326" t="s">
        <v>69</v>
      </c>
      <c r="Y326" t="s">
        <v>38</v>
      </c>
      <c r="AD326">
        <v>0</v>
      </c>
      <c r="AE326" t="b">
        <f>ISNUMBER(MATCH(G326,AUM!$C$6:$C$1451,0))</f>
        <v>1</v>
      </c>
      <c r="AF326" t="b">
        <f>ISNUMBER(MATCH(G326,AUM!$G$6:$G$240,0))</f>
        <v>0</v>
      </c>
    </row>
    <row r="327" spans="1:32" x14ac:dyDescent="0.2">
      <c r="A327" t="s">
        <v>1100</v>
      </c>
      <c r="B327" s="1">
        <v>45671</v>
      </c>
      <c r="D327" t="s">
        <v>1100</v>
      </c>
      <c r="E327" t="s">
        <v>40</v>
      </c>
      <c r="F327" t="s">
        <v>1101</v>
      </c>
      <c r="G327" t="s">
        <v>1102</v>
      </c>
      <c r="H327" t="s">
        <v>43</v>
      </c>
      <c r="J327">
        <v>2674.3</v>
      </c>
      <c r="K327">
        <v>2664.6</v>
      </c>
      <c r="L327">
        <v>2664.6004439100002</v>
      </c>
      <c r="Q327" t="s">
        <v>1099</v>
      </c>
      <c r="U327">
        <v>7.0919204774889999E-2</v>
      </c>
      <c r="V327" t="s">
        <v>79</v>
      </c>
      <c r="W327" t="s">
        <v>36</v>
      </c>
      <c r="X327" t="s">
        <v>69</v>
      </c>
      <c r="Y327" t="s">
        <v>38</v>
      </c>
      <c r="AD327">
        <v>0</v>
      </c>
      <c r="AE327" t="b">
        <f>ISNUMBER(MATCH(G327,AUM!$C$6:$C$1451,0))</f>
        <v>1</v>
      </c>
      <c r="AF327" t="b">
        <f>ISNUMBER(MATCH(G327,AUM!$G$6:$G$240,0))</f>
        <v>0</v>
      </c>
    </row>
    <row r="328" spans="1:32" x14ac:dyDescent="0.2">
      <c r="A328" t="s">
        <v>1099</v>
      </c>
      <c r="B328" s="1">
        <v>45671</v>
      </c>
      <c r="D328" t="s">
        <v>1099</v>
      </c>
      <c r="E328" t="s">
        <v>40</v>
      </c>
      <c r="F328" t="s">
        <v>1103</v>
      </c>
      <c r="G328" t="s">
        <v>1104</v>
      </c>
      <c r="H328" t="s">
        <v>43</v>
      </c>
      <c r="I328">
        <v>968982.946412422</v>
      </c>
      <c r="J328">
        <v>1700.19</v>
      </c>
      <c r="K328">
        <v>1694.02</v>
      </c>
      <c r="L328">
        <v>1694.0241299300001</v>
      </c>
      <c r="M328">
        <v>1641480492.7119999</v>
      </c>
      <c r="N328">
        <v>150</v>
      </c>
      <c r="O328" t="s">
        <v>35</v>
      </c>
      <c r="P328">
        <v>1</v>
      </c>
      <c r="R328" t="s">
        <v>1096</v>
      </c>
      <c r="S328" t="s">
        <v>1100</v>
      </c>
      <c r="W328" t="s">
        <v>36</v>
      </c>
      <c r="X328" t="s">
        <v>37</v>
      </c>
      <c r="Y328" t="s">
        <v>38</v>
      </c>
      <c r="AD328">
        <v>0</v>
      </c>
      <c r="AE328" t="b">
        <f>ISNUMBER(MATCH(G328,AUM!$C$6:$C$1451,0))</f>
        <v>1</v>
      </c>
      <c r="AF328" t="b">
        <f>ISNUMBER(MATCH(G328,AUM!$G$6:$G$240,0))</f>
        <v>1</v>
      </c>
    </row>
    <row r="329" spans="1:32" x14ac:dyDescent="0.2">
      <c r="A329" t="s">
        <v>1105</v>
      </c>
      <c r="B329" s="1">
        <v>45671</v>
      </c>
      <c r="D329" t="s">
        <v>1105</v>
      </c>
      <c r="E329" t="s">
        <v>40</v>
      </c>
      <c r="F329" t="s">
        <v>1106</v>
      </c>
      <c r="G329" t="s">
        <v>1107</v>
      </c>
      <c r="H329" t="s">
        <v>43</v>
      </c>
      <c r="J329">
        <v>1062.08</v>
      </c>
      <c r="K329">
        <v>1068.6500000000001</v>
      </c>
      <c r="L329">
        <v>1068.6483860999999</v>
      </c>
      <c r="Q329" t="s">
        <v>1108</v>
      </c>
      <c r="W329" t="s">
        <v>36</v>
      </c>
      <c r="X329" t="s">
        <v>878</v>
      </c>
      <c r="Y329" t="s">
        <v>38</v>
      </c>
      <c r="Z329" t="s">
        <v>910</v>
      </c>
      <c r="AA329">
        <v>0.05</v>
      </c>
      <c r="AB329">
        <v>1</v>
      </c>
      <c r="AC329">
        <v>365</v>
      </c>
      <c r="AD329">
        <v>0</v>
      </c>
      <c r="AE329" t="b">
        <f>ISNUMBER(MATCH(G329,AUM!$C$6:$C$1451,0))</f>
        <v>0</v>
      </c>
      <c r="AF329" t="b">
        <f>ISNUMBER(MATCH(G329,AUM!$G$6:$G$240,0))</f>
        <v>0</v>
      </c>
    </row>
    <row r="330" spans="1:32" x14ac:dyDescent="0.2">
      <c r="A330" t="s">
        <v>1108</v>
      </c>
      <c r="B330" s="1">
        <v>45671</v>
      </c>
      <c r="D330" t="s">
        <v>1108</v>
      </c>
      <c r="E330" t="s">
        <v>40</v>
      </c>
      <c r="F330" t="s">
        <v>1109</v>
      </c>
      <c r="G330" t="s">
        <v>1110</v>
      </c>
      <c r="H330" t="s">
        <v>43</v>
      </c>
      <c r="J330">
        <v>2750.09</v>
      </c>
      <c r="K330">
        <v>2768.22</v>
      </c>
      <c r="L330">
        <v>2768.2225141700001</v>
      </c>
      <c r="Q330" t="s">
        <v>1111</v>
      </c>
      <c r="U330">
        <v>0</v>
      </c>
      <c r="W330" t="s">
        <v>36</v>
      </c>
      <c r="X330" t="s">
        <v>69</v>
      </c>
      <c r="Y330" t="s">
        <v>38</v>
      </c>
      <c r="AD330">
        <v>0</v>
      </c>
      <c r="AE330" t="b">
        <f>ISNUMBER(MATCH(G330,AUM!$C$6:$C$1451,0))</f>
        <v>0</v>
      </c>
      <c r="AF330" t="b">
        <f>ISNUMBER(MATCH(G330,AUM!$G$6:$G$240,0))</f>
        <v>0</v>
      </c>
    </row>
    <row r="331" spans="1:32" x14ac:dyDescent="0.2">
      <c r="A331" t="s">
        <v>1112</v>
      </c>
      <c r="B331" s="1">
        <v>45671</v>
      </c>
      <c r="D331" t="s">
        <v>1112</v>
      </c>
      <c r="E331" t="s">
        <v>40</v>
      </c>
      <c r="F331" t="s">
        <v>1113</v>
      </c>
      <c r="G331" t="s">
        <v>1114</v>
      </c>
      <c r="H331" t="s">
        <v>43</v>
      </c>
      <c r="J331">
        <v>1888.25</v>
      </c>
      <c r="K331">
        <v>1882.14</v>
      </c>
      <c r="L331">
        <v>1882.1421444499999</v>
      </c>
      <c r="Q331" t="s">
        <v>1115</v>
      </c>
      <c r="T331">
        <v>0.20784504055743</v>
      </c>
      <c r="V331" t="s">
        <v>79</v>
      </c>
      <c r="W331" t="s">
        <v>36</v>
      </c>
      <c r="X331" t="s">
        <v>69</v>
      </c>
      <c r="Y331" t="s">
        <v>38</v>
      </c>
      <c r="AD331">
        <v>0</v>
      </c>
      <c r="AE331" t="b">
        <f>ISNUMBER(MATCH(G331,AUM!$C$6:$C$1451,0))</f>
        <v>1</v>
      </c>
      <c r="AF331" t="b">
        <f>ISNUMBER(MATCH(G331,AUM!$G$6:$G$240,0))</f>
        <v>0</v>
      </c>
    </row>
    <row r="332" spans="1:32" x14ac:dyDescent="0.2">
      <c r="A332" t="s">
        <v>1116</v>
      </c>
      <c r="B332" s="1">
        <v>45671</v>
      </c>
      <c r="D332" t="s">
        <v>1116</v>
      </c>
      <c r="E332" t="s">
        <v>40</v>
      </c>
      <c r="F332" t="s">
        <v>1117</v>
      </c>
      <c r="G332" t="s">
        <v>1118</v>
      </c>
      <c r="H332" t="s">
        <v>43</v>
      </c>
      <c r="J332">
        <v>1783.93</v>
      </c>
      <c r="K332">
        <v>1778.16</v>
      </c>
      <c r="L332">
        <v>1778.1592734200001</v>
      </c>
      <c r="Q332" t="s">
        <v>1115</v>
      </c>
      <c r="U332">
        <v>0.15588378041806999</v>
      </c>
      <c r="V332" t="s">
        <v>79</v>
      </c>
      <c r="W332" t="s">
        <v>36</v>
      </c>
      <c r="X332" t="s">
        <v>69</v>
      </c>
      <c r="Y332" t="s">
        <v>38</v>
      </c>
      <c r="AD332">
        <v>0</v>
      </c>
      <c r="AE332" t="b">
        <f>ISNUMBER(MATCH(G332,AUM!$C$6:$C$1451,0))</f>
        <v>1</v>
      </c>
      <c r="AF332" t="b">
        <f>ISNUMBER(MATCH(G332,AUM!$G$6:$G$240,0))</f>
        <v>0</v>
      </c>
    </row>
    <row r="333" spans="1:32" x14ac:dyDescent="0.2">
      <c r="A333" t="s">
        <v>1115</v>
      </c>
      <c r="B333" s="1">
        <v>45671</v>
      </c>
      <c r="D333" t="s">
        <v>1115</v>
      </c>
      <c r="E333" t="s">
        <v>40</v>
      </c>
      <c r="F333" t="s">
        <v>1119</v>
      </c>
      <c r="G333" t="s">
        <v>1120</v>
      </c>
      <c r="H333" t="s">
        <v>43</v>
      </c>
      <c r="I333">
        <v>1085144.9685549899</v>
      </c>
      <c r="J333">
        <v>1493.53</v>
      </c>
      <c r="K333">
        <v>1488.7</v>
      </c>
      <c r="L333">
        <v>1488.70156866</v>
      </c>
      <c r="M333">
        <v>1615457016.9100001</v>
      </c>
      <c r="N333">
        <v>60</v>
      </c>
      <c r="O333" t="s">
        <v>35</v>
      </c>
      <c r="P333">
        <v>1</v>
      </c>
      <c r="R333" t="s">
        <v>1112</v>
      </c>
      <c r="S333" t="s">
        <v>1116</v>
      </c>
      <c r="W333" t="s">
        <v>36</v>
      </c>
      <c r="X333" t="s">
        <v>37</v>
      </c>
      <c r="Y333" t="s">
        <v>38</v>
      </c>
      <c r="AD333">
        <v>0</v>
      </c>
      <c r="AE333" t="b">
        <f>ISNUMBER(MATCH(G333,AUM!$C$6:$C$1451,0))</f>
        <v>1</v>
      </c>
      <c r="AF333" t="b">
        <f>ISNUMBER(MATCH(G333,AUM!$G$6:$G$240,0))</f>
        <v>1</v>
      </c>
    </row>
    <row r="334" spans="1:32" x14ac:dyDescent="0.2">
      <c r="A334" t="s">
        <v>1121</v>
      </c>
      <c r="B334" s="1">
        <v>45671</v>
      </c>
      <c r="D334" t="s">
        <v>1121</v>
      </c>
      <c r="E334" t="s">
        <v>40</v>
      </c>
      <c r="F334" t="s">
        <v>1122</v>
      </c>
      <c r="G334" t="s">
        <v>1123</v>
      </c>
      <c r="H334" t="s">
        <v>43</v>
      </c>
      <c r="J334">
        <v>1848.05</v>
      </c>
      <c r="K334">
        <v>1840.56</v>
      </c>
      <c r="L334">
        <v>1840.55971393</v>
      </c>
      <c r="Q334" t="s">
        <v>1124</v>
      </c>
      <c r="T334">
        <v>0</v>
      </c>
      <c r="W334" t="s">
        <v>36</v>
      </c>
      <c r="X334" t="s">
        <v>69</v>
      </c>
      <c r="Y334" t="s">
        <v>38</v>
      </c>
      <c r="AD334">
        <v>0</v>
      </c>
      <c r="AE334" t="b">
        <f>ISNUMBER(MATCH(G334,AUM!$C$6:$C$1451,0))</f>
        <v>1</v>
      </c>
      <c r="AF334" t="b">
        <f>ISNUMBER(MATCH(G334,AUM!$G$6:$G$240,0))</f>
        <v>0</v>
      </c>
    </row>
    <row r="335" spans="1:32" x14ac:dyDescent="0.2">
      <c r="A335" t="s">
        <v>1125</v>
      </c>
      <c r="B335" s="1">
        <v>45671</v>
      </c>
      <c r="D335" t="s">
        <v>1125</v>
      </c>
      <c r="E335" t="s">
        <v>40</v>
      </c>
      <c r="F335" t="s">
        <v>1126</v>
      </c>
      <c r="G335" t="s">
        <v>1127</v>
      </c>
      <c r="H335" t="s">
        <v>43</v>
      </c>
      <c r="J335">
        <v>1752.42</v>
      </c>
      <c r="K335">
        <v>1745.31</v>
      </c>
      <c r="L335">
        <v>1745.31407212</v>
      </c>
      <c r="Q335" t="s">
        <v>1124</v>
      </c>
      <c r="U335">
        <v>0</v>
      </c>
      <c r="W335" t="s">
        <v>36</v>
      </c>
      <c r="X335" t="s">
        <v>69</v>
      </c>
      <c r="Y335" t="s">
        <v>38</v>
      </c>
      <c r="AD335">
        <v>0</v>
      </c>
      <c r="AE335" t="b">
        <f>ISNUMBER(MATCH(G335,AUM!$C$6:$C$1451,0))</f>
        <v>1</v>
      </c>
      <c r="AF335" t="b">
        <f>ISNUMBER(MATCH(G335,AUM!$G$6:$G$240,0))</f>
        <v>0</v>
      </c>
    </row>
    <row r="336" spans="1:32" x14ac:dyDescent="0.2">
      <c r="A336" t="s">
        <v>1124</v>
      </c>
      <c r="B336" s="1">
        <v>45671</v>
      </c>
      <c r="D336" t="s">
        <v>1124</v>
      </c>
      <c r="E336" t="s">
        <v>40</v>
      </c>
      <c r="F336" t="s">
        <v>1128</v>
      </c>
      <c r="G336" t="s">
        <v>1129</v>
      </c>
      <c r="H336" t="s">
        <v>43</v>
      </c>
      <c r="I336">
        <v>1066726.9446449401</v>
      </c>
      <c r="J336">
        <v>1477.7</v>
      </c>
      <c r="K336">
        <v>1471.71</v>
      </c>
      <c r="L336">
        <v>1471.70716208</v>
      </c>
      <c r="M336">
        <v>1569909684.4219999</v>
      </c>
      <c r="N336">
        <v>60</v>
      </c>
      <c r="O336" t="s">
        <v>35</v>
      </c>
      <c r="P336">
        <v>1</v>
      </c>
      <c r="R336" t="s">
        <v>1121</v>
      </c>
      <c r="S336" t="s">
        <v>1125</v>
      </c>
      <c r="W336" t="s">
        <v>36</v>
      </c>
      <c r="X336" t="s">
        <v>37</v>
      </c>
      <c r="Y336" t="s">
        <v>38</v>
      </c>
      <c r="AD336">
        <v>0</v>
      </c>
      <c r="AE336" t="b">
        <f>ISNUMBER(MATCH(G336,AUM!$C$6:$C$1451,0))</f>
        <v>1</v>
      </c>
      <c r="AF336" t="b">
        <f>ISNUMBER(MATCH(G336,AUM!$G$6:$G$240,0))</f>
        <v>1</v>
      </c>
    </row>
    <row r="337" spans="1:32" x14ac:dyDescent="0.2">
      <c r="A337" t="s">
        <v>1111</v>
      </c>
      <c r="B337" s="1">
        <v>45671</v>
      </c>
      <c r="D337" t="s">
        <v>1111</v>
      </c>
      <c r="E337" t="s">
        <v>40</v>
      </c>
      <c r="F337" t="s">
        <v>1130</v>
      </c>
      <c r="G337" t="s">
        <v>1131</v>
      </c>
      <c r="H337" t="s">
        <v>43</v>
      </c>
      <c r="I337">
        <v>1101546.65333509</v>
      </c>
      <c r="J337">
        <v>1252.19</v>
      </c>
      <c r="K337">
        <v>1260.45</v>
      </c>
      <c r="L337">
        <v>1260.4457299200001</v>
      </c>
      <c r="M337">
        <v>1388439775.4985199</v>
      </c>
      <c r="N337">
        <v>30</v>
      </c>
      <c r="O337" t="s">
        <v>35</v>
      </c>
      <c r="P337">
        <v>1</v>
      </c>
      <c r="S337" t="s">
        <v>1108</v>
      </c>
      <c r="W337" t="s">
        <v>36</v>
      </c>
      <c r="X337" t="s">
        <v>37</v>
      </c>
      <c r="Y337" t="s">
        <v>38</v>
      </c>
      <c r="AD337">
        <v>0</v>
      </c>
      <c r="AE337" t="b">
        <f>ISNUMBER(MATCH(G337,AUM!$C$6:$C$1451,0))</f>
        <v>0</v>
      </c>
      <c r="AF337" t="b">
        <f>ISNUMBER(MATCH(G337,AUM!$G$6:$G$240,0))</f>
        <v>0</v>
      </c>
    </row>
    <row r="338" spans="1:32" x14ac:dyDescent="0.2">
      <c r="A338" t="s">
        <v>1132</v>
      </c>
      <c r="B338" s="1">
        <v>45671</v>
      </c>
      <c r="D338" t="s">
        <v>1132</v>
      </c>
      <c r="E338" t="s">
        <v>40</v>
      </c>
      <c r="F338" t="s">
        <v>1133</v>
      </c>
      <c r="G338" t="s">
        <v>1134</v>
      </c>
      <c r="H338" t="s">
        <v>43</v>
      </c>
      <c r="J338">
        <v>1396.28</v>
      </c>
      <c r="K338">
        <v>1390.89</v>
      </c>
      <c r="L338">
        <v>1390.8882452400001</v>
      </c>
      <c r="Q338" t="s">
        <v>1135</v>
      </c>
      <c r="W338" t="s">
        <v>36</v>
      </c>
      <c r="X338" t="s">
        <v>878</v>
      </c>
      <c r="Y338" t="s">
        <v>38</v>
      </c>
      <c r="Z338" t="s">
        <v>879</v>
      </c>
      <c r="AA338">
        <v>50</v>
      </c>
      <c r="AB338">
        <v>1</v>
      </c>
      <c r="AC338">
        <v>365</v>
      </c>
      <c r="AD338">
        <v>0</v>
      </c>
      <c r="AE338" t="b">
        <f>ISNUMBER(MATCH(G338,AUM!$C$6:$C$1451,0))</f>
        <v>0</v>
      </c>
      <c r="AF338" t="b">
        <f>ISNUMBER(MATCH(G338,AUM!$G$6:$G$240,0))</f>
        <v>0</v>
      </c>
    </row>
    <row r="339" spans="1:32" x14ac:dyDescent="0.2">
      <c r="A339" t="s">
        <v>1135</v>
      </c>
      <c r="B339" s="1">
        <v>45671</v>
      </c>
      <c r="D339" t="s">
        <v>1135</v>
      </c>
      <c r="E339" t="s">
        <v>40</v>
      </c>
      <c r="F339" t="s">
        <v>1136</v>
      </c>
      <c r="G339" t="s">
        <v>1137</v>
      </c>
      <c r="H339" t="s">
        <v>43</v>
      </c>
      <c r="J339">
        <v>1985.53</v>
      </c>
      <c r="K339">
        <v>1978.46</v>
      </c>
      <c r="L339">
        <v>1978.4565333999999</v>
      </c>
      <c r="Q339" t="s">
        <v>1138</v>
      </c>
      <c r="T339">
        <v>0</v>
      </c>
      <c r="W339" t="s">
        <v>36</v>
      </c>
      <c r="X339" t="s">
        <v>69</v>
      </c>
      <c r="Y339" t="s">
        <v>38</v>
      </c>
      <c r="AD339">
        <v>0</v>
      </c>
      <c r="AE339" t="b">
        <f>ISNUMBER(MATCH(G339,AUM!$C$6:$C$1451,0))</f>
        <v>1</v>
      </c>
      <c r="AF339" t="b">
        <f>ISNUMBER(MATCH(G339,AUM!$G$6:$G$240,0))</f>
        <v>0</v>
      </c>
    </row>
    <row r="340" spans="1:32" x14ac:dyDescent="0.2">
      <c r="A340" t="s">
        <v>1139</v>
      </c>
      <c r="B340" s="1">
        <v>45671</v>
      </c>
      <c r="D340" t="s">
        <v>1139</v>
      </c>
      <c r="E340" t="s">
        <v>40</v>
      </c>
      <c r="F340" t="s">
        <v>1140</v>
      </c>
      <c r="G340" t="s">
        <v>1141</v>
      </c>
      <c r="H340" t="s">
        <v>43</v>
      </c>
      <c r="J340">
        <v>1867.15</v>
      </c>
      <c r="K340">
        <v>1860.49</v>
      </c>
      <c r="L340">
        <v>1860.4925561299999</v>
      </c>
      <c r="Q340" t="s">
        <v>1138</v>
      </c>
      <c r="U340">
        <v>0</v>
      </c>
      <c r="W340" t="s">
        <v>36</v>
      </c>
      <c r="X340" t="s">
        <v>69</v>
      </c>
      <c r="Y340" t="s">
        <v>38</v>
      </c>
      <c r="AD340">
        <v>0</v>
      </c>
      <c r="AE340" t="b">
        <f>ISNUMBER(MATCH(G340,AUM!$C$6:$C$1451,0))</f>
        <v>1</v>
      </c>
      <c r="AF340" t="b">
        <f>ISNUMBER(MATCH(G340,AUM!$G$6:$G$240,0))</f>
        <v>0</v>
      </c>
    </row>
    <row r="341" spans="1:32" x14ac:dyDescent="0.2">
      <c r="A341" t="s">
        <v>1138</v>
      </c>
      <c r="B341" s="1">
        <v>45671</v>
      </c>
      <c r="D341" t="s">
        <v>1138</v>
      </c>
      <c r="E341" t="s">
        <v>40</v>
      </c>
      <c r="F341" t="s">
        <v>1142</v>
      </c>
      <c r="G341" t="s">
        <v>1143</v>
      </c>
      <c r="H341" t="s">
        <v>43</v>
      </c>
      <c r="I341">
        <v>1369255.38212222</v>
      </c>
      <c r="J341">
        <v>1496.63</v>
      </c>
      <c r="K341">
        <v>1491.29</v>
      </c>
      <c r="L341">
        <v>1491.29291139</v>
      </c>
      <c r="M341">
        <v>2041960845.2432301</v>
      </c>
      <c r="N341">
        <v>100</v>
      </c>
      <c r="O341" t="s">
        <v>35</v>
      </c>
      <c r="P341">
        <v>1</v>
      </c>
      <c r="R341" t="s">
        <v>1135</v>
      </c>
      <c r="S341" t="s">
        <v>1139</v>
      </c>
      <c r="W341" t="s">
        <v>36</v>
      </c>
      <c r="X341" t="s">
        <v>37</v>
      </c>
      <c r="Y341" t="s">
        <v>38</v>
      </c>
      <c r="AD341">
        <v>0</v>
      </c>
      <c r="AE341" t="b">
        <f>ISNUMBER(MATCH(G341,AUM!$C$6:$C$1451,0))</f>
        <v>1</v>
      </c>
      <c r="AF341" t="b">
        <f>ISNUMBER(MATCH(G341,AUM!$G$6:$G$240,0))</f>
        <v>0</v>
      </c>
    </row>
    <row r="342" spans="1:32" x14ac:dyDescent="0.2">
      <c r="A342" t="s">
        <v>1144</v>
      </c>
      <c r="B342" s="1">
        <v>45671</v>
      </c>
      <c r="D342" t="s">
        <v>1144</v>
      </c>
      <c r="E342" t="s">
        <v>40</v>
      </c>
      <c r="F342" t="s">
        <v>1145</v>
      </c>
      <c r="G342" t="s">
        <v>1146</v>
      </c>
      <c r="H342" t="s">
        <v>43</v>
      </c>
      <c r="J342">
        <v>1938.83</v>
      </c>
      <c r="K342">
        <v>1933.27</v>
      </c>
      <c r="L342">
        <v>1933.2743418099999</v>
      </c>
      <c r="Q342" t="s">
        <v>1147</v>
      </c>
      <c r="W342" t="s">
        <v>36</v>
      </c>
      <c r="X342" t="s">
        <v>878</v>
      </c>
      <c r="Y342" t="s">
        <v>38</v>
      </c>
      <c r="Z342" t="s">
        <v>910</v>
      </c>
      <c r="AA342">
        <v>0.05</v>
      </c>
      <c r="AB342">
        <v>1</v>
      </c>
      <c r="AC342">
        <v>365</v>
      </c>
      <c r="AD342">
        <v>0</v>
      </c>
      <c r="AE342" t="b">
        <f>ISNUMBER(MATCH(G342,AUM!$C$6:$C$1451,0))</f>
        <v>0</v>
      </c>
      <c r="AF342" t="b">
        <f>ISNUMBER(MATCH(G342,AUM!$G$6:$G$240,0))</f>
        <v>0</v>
      </c>
    </row>
    <row r="343" spans="1:32" x14ac:dyDescent="0.2">
      <c r="A343" t="s">
        <v>1148</v>
      </c>
      <c r="B343" s="1">
        <v>45671</v>
      </c>
      <c r="D343" t="s">
        <v>1148</v>
      </c>
      <c r="E343" t="s">
        <v>40</v>
      </c>
      <c r="F343" t="s">
        <v>1149</v>
      </c>
      <c r="G343" t="s">
        <v>1150</v>
      </c>
      <c r="H343" t="s">
        <v>43</v>
      </c>
      <c r="J343">
        <v>4964.71</v>
      </c>
      <c r="K343">
        <v>4952.5200000000004</v>
      </c>
      <c r="L343">
        <v>4952.5167607000003</v>
      </c>
      <c r="Q343" t="s">
        <v>1151</v>
      </c>
      <c r="T343">
        <v>0</v>
      </c>
      <c r="W343" t="s">
        <v>36</v>
      </c>
      <c r="X343" t="s">
        <v>69</v>
      </c>
      <c r="Y343" t="s">
        <v>38</v>
      </c>
      <c r="AD343">
        <v>0</v>
      </c>
      <c r="AE343" t="b">
        <f>ISNUMBER(MATCH(G343,AUM!$C$6:$C$1451,0))</f>
        <v>0</v>
      </c>
      <c r="AF343" t="b">
        <f>ISNUMBER(MATCH(G343,AUM!$G$6:$G$240,0))</f>
        <v>0</v>
      </c>
    </row>
    <row r="344" spans="1:32" x14ac:dyDescent="0.2">
      <c r="A344" t="s">
        <v>1147</v>
      </c>
      <c r="B344" s="1">
        <v>45671</v>
      </c>
      <c r="D344" t="s">
        <v>1147</v>
      </c>
      <c r="E344" t="s">
        <v>40</v>
      </c>
      <c r="F344" t="s">
        <v>1152</v>
      </c>
      <c r="G344" t="s">
        <v>1153</v>
      </c>
      <c r="H344" t="s">
        <v>43</v>
      </c>
      <c r="J344">
        <v>4323.2299999999996</v>
      </c>
      <c r="K344">
        <v>4312.6099999999997</v>
      </c>
      <c r="L344">
        <v>4312.60957246</v>
      </c>
      <c r="Q344" t="s">
        <v>1151</v>
      </c>
      <c r="U344">
        <v>0</v>
      </c>
      <c r="W344" t="s">
        <v>36</v>
      </c>
      <c r="X344" t="s">
        <v>69</v>
      </c>
      <c r="Y344" t="s">
        <v>38</v>
      </c>
      <c r="AD344">
        <v>0</v>
      </c>
      <c r="AE344" t="b">
        <f>ISNUMBER(MATCH(G344,AUM!$C$6:$C$1451,0))</f>
        <v>0</v>
      </c>
      <c r="AF344" t="b">
        <f>ISNUMBER(MATCH(G344,AUM!$G$6:$G$240,0))</f>
        <v>0</v>
      </c>
    </row>
    <row r="345" spans="1:32" x14ac:dyDescent="0.2">
      <c r="A345" t="s">
        <v>1151</v>
      </c>
      <c r="B345" s="1">
        <v>45671</v>
      </c>
      <c r="D345" t="s">
        <v>1151</v>
      </c>
      <c r="E345" t="s">
        <v>40</v>
      </c>
      <c r="F345" t="s">
        <v>1154</v>
      </c>
      <c r="G345" t="s">
        <v>1155</v>
      </c>
      <c r="H345" t="s">
        <v>43</v>
      </c>
      <c r="I345">
        <v>665915.84328851302</v>
      </c>
      <c r="J345">
        <v>2880.14</v>
      </c>
      <c r="K345">
        <v>2873.07</v>
      </c>
      <c r="L345">
        <v>2873.0690208599999</v>
      </c>
      <c r="M345">
        <v>1913222179.849</v>
      </c>
      <c r="N345">
        <v>50</v>
      </c>
      <c r="O345" t="s">
        <v>35</v>
      </c>
      <c r="P345">
        <v>1</v>
      </c>
      <c r="R345" t="s">
        <v>1148</v>
      </c>
      <c r="S345" t="s">
        <v>1147</v>
      </c>
      <c r="W345" t="s">
        <v>36</v>
      </c>
      <c r="X345" t="s">
        <v>37</v>
      </c>
      <c r="Y345" t="s">
        <v>38</v>
      </c>
      <c r="AD345">
        <v>0</v>
      </c>
      <c r="AE345" t="b">
        <f>ISNUMBER(MATCH(G345,AUM!$C$6:$C$1451,0))</f>
        <v>0</v>
      </c>
      <c r="AF345" t="b">
        <f>ISNUMBER(MATCH(G345,AUM!$G$6:$G$240,0))</f>
        <v>0</v>
      </c>
    </row>
    <row r="346" spans="1:32" x14ac:dyDescent="0.2">
      <c r="A346" t="s">
        <v>1156</v>
      </c>
      <c r="B346" s="1">
        <v>45671</v>
      </c>
      <c r="D346" t="s">
        <v>1156</v>
      </c>
      <c r="E346" t="s">
        <v>40</v>
      </c>
      <c r="F346" t="s">
        <v>1157</v>
      </c>
      <c r="G346" t="s">
        <v>1158</v>
      </c>
      <c r="H346" t="s">
        <v>43</v>
      </c>
      <c r="J346">
        <v>1755.43</v>
      </c>
      <c r="K346">
        <v>1751.4</v>
      </c>
      <c r="L346">
        <v>1751.4011433400001</v>
      </c>
      <c r="Q346" t="s">
        <v>1159</v>
      </c>
      <c r="W346" t="s">
        <v>36</v>
      </c>
      <c r="X346" t="s">
        <v>878</v>
      </c>
      <c r="Y346" t="s">
        <v>38</v>
      </c>
      <c r="Z346" t="s">
        <v>910</v>
      </c>
      <c r="AA346">
        <v>0.05</v>
      </c>
      <c r="AB346">
        <v>1</v>
      </c>
      <c r="AC346">
        <v>365</v>
      </c>
      <c r="AD346">
        <v>0</v>
      </c>
      <c r="AE346" t="b">
        <f>ISNUMBER(MATCH(G346,AUM!$C$6:$C$1451,0))</f>
        <v>0</v>
      </c>
      <c r="AF346" t="b">
        <f>ISNUMBER(MATCH(G346,AUM!$G$6:$G$240,0))</f>
        <v>0</v>
      </c>
    </row>
    <row r="347" spans="1:32" x14ac:dyDescent="0.2">
      <c r="A347" t="s">
        <v>1160</v>
      </c>
      <c r="B347" s="1">
        <v>45671</v>
      </c>
      <c r="D347" t="s">
        <v>1160</v>
      </c>
      <c r="E347" t="s">
        <v>40</v>
      </c>
      <c r="F347" t="s">
        <v>1161</v>
      </c>
      <c r="G347" t="s">
        <v>1162</v>
      </c>
      <c r="H347" t="s">
        <v>43</v>
      </c>
      <c r="J347">
        <v>4549.99</v>
      </c>
      <c r="K347">
        <v>4541.41</v>
      </c>
      <c r="L347">
        <v>4541.4113036400004</v>
      </c>
      <c r="Q347" t="s">
        <v>1163</v>
      </c>
      <c r="T347">
        <v>0</v>
      </c>
      <c r="W347" t="s">
        <v>36</v>
      </c>
      <c r="X347" t="s">
        <v>69</v>
      </c>
      <c r="Y347" t="s">
        <v>38</v>
      </c>
      <c r="AD347">
        <v>0</v>
      </c>
      <c r="AE347" t="b">
        <f>ISNUMBER(MATCH(G347,AUM!$C$6:$C$1451,0))</f>
        <v>1</v>
      </c>
      <c r="AF347" t="b">
        <f>ISNUMBER(MATCH(G347,AUM!$G$6:$G$240,0))</f>
        <v>0</v>
      </c>
    </row>
    <row r="348" spans="1:32" x14ac:dyDescent="0.2">
      <c r="A348" t="s">
        <v>1159</v>
      </c>
      <c r="B348" s="1">
        <v>45671</v>
      </c>
      <c r="D348" t="s">
        <v>1159</v>
      </c>
      <c r="E348" t="s">
        <v>40</v>
      </c>
      <c r="F348" t="s">
        <v>1164</v>
      </c>
      <c r="G348" t="s">
        <v>1165</v>
      </c>
      <c r="H348" t="s">
        <v>43</v>
      </c>
      <c r="J348">
        <v>3914.42</v>
      </c>
      <c r="K348">
        <v>3907.04</v>
      </c>
      <c r="L348">
        <v>3907.03616083</v>
      </c>
      <c r="Q348" t="s">
        <v>1163</v>
      </c>
      <c r="U348">
        <v>0</v>
      </c>
      <c r="W348" t="s">
        <v>36</v>
      </c>
      <c r="X348" t="s">
        <v>69</v>
      </c>
      <c r="Y348" t="s">
        <v>38</v>
      </c>
      <c r="AD348">
        <v>0</v>
      </c>
      <c r="AE348" t="b">
        <f>ISNUMBER(MATCH(G348,AUM!$C$6:$C$1451,0))</f>
        <v>1</v>
      </c>
      <c r="AF348" t="b">
        <f>ISNUMBER(MATCH(G348,AUM!$G$6:$G$240,0))</f>
        <v>0</v>
      </c>
    </row>
    <row r="349" spans="1:32" x14ac:dyDescent="0.2">
      <c r="A349" t="s">
        <v>1163</v>
      </c>
      <c r="B349" s="1">
        <v>45671</v>
      </c>
      <c r="D349" t="s">
        <v>1163</v>
      </c>
      <c r="E349" t="s">
        <v>40</v>
      </c>
      <c r="F349" t="s">
        <v>1166</v>
      </c>
      <c r="G349" t="s">
        <v>1167</v>
      </c>
      <c r="H349" t="s">
        <v>43</v>
      </c>
      <c r="I349">
        <v>660325.61189413304</v>
      </c>
      <c r="J349">
        <v>2534.75</v>
      </c>
      <c r="K349">
        <v>2529.9699999999998</v>
      </c>
      <c r="L349">
        <v>2529.9724525800002</v>
      </c>
      <c r="M349">
        <v>1670605607.825</v>
      </c>
      <c r="N349">
        <v>40</v>
      </c>
      <c r="O349" t="s">
        <v>35</v>
      </c>
      <c r="P349">
        <v>1</v>
      </c>
      <c r="R349" t="s">
        <v>1160</v>
      </c>
      <c r="S349" t="s">
        <v>1159</v>
      </c>
      <c r="W349" t="s">
        <v>36</v>
      </c>
      <c r="X349" t="s">
        <v>37</v>
      </c>
      <c r="Y349" t="s">
        <v>38</v>
      </c>
      <c r="AD349">
        <v>0</v>
      </c>
      <c r="AE349" t="b">
        <f>ISNUMBER(MATCH(G349,AUM!$C$6:$C$1451,0))</f>
        <v>1</v>
      </c>
      <c r="AF349" t="b">
        <f>ISNUMBER(MATCH(G349,AUM!$G$6:$G$240,0))</f>
        <v>1</v>
      </c>
    </row>
    <row r="350" spans="1:32" x14ac:dyDescent="0.2">
      <c r="A350" t="s">
        <v>1168</v>
      </c>
      <c r="B350" s="1">
        <v>45671</v>
      </c>
      <c r="D350" t="s">
        <v>1168</v>
      </c>
      <c r="E350" t="s">
        <v>40</v>
      </c>
      <c r="F350" t="s">
        <v>1169</v>
      </c>
      <c r="G350" t="s">
        <v>1170</v>
      </c>
      <c r="H350" t="s">
        <v>43</v>
      </c>
      <c r="J350">
        <v>902.63</v>
      </c>
      <c r="K350">
        <v>898.64</v>
      </c>
      <c r="L350">
        <v>898.64416097000003</v>
      </c>
      <c r="Q350" t="s">
        <v>1171</v>
      </c>
      <c r="W350" t="s">
        <v>36</v>
      </c>
      <c r="X350" t="s">
        <v>878</v>
      </c>
      <c r="Y350" t="s">
        <v>38</v>
      </c>
      <c r="Z350" t="s">
        <v>910</v>
      </c>
      <c r="AA350">
        <v>0.05</v>
      </c>
      <c r="AB350">
        <v>1</v>
      </c>
      <c r="AC350">
        <v>365</v>
      </c>
      <c r="AD350">
        <v>0</v>
      </c>
      <c r="AE350" t="b">
        <f>ISNUMBER(MATCH(G350,AUM!$C$6:$C$1451,0))</f>
        <v>1</v>
      </c>
      <c r="AF350" t="b">
        <f>ISNUMBER(MATCH(G350,AUM!$G$6:$G$240,0))</f>
        <v>0</v>
      </c>
    </row>
    <row r="351" spans="1:32" x14ac:dyDescent="0.2">
      <c r="A351" t="s">
        <v>1172</v>
      </c>
      <c r="B351" s="1">
        <v>45671</v>
      </c>
      <c r="D351" t="s">
        <v>1172</v>
      </c>
      <c r="E351" t="s">
        <v>40</v>
      </c>
      <c r="F351" t="s">
        <v>1173</v>
      </c>
      <c r="G351" t="s">
        <v>1174</v>
      </c>
      <c r="H351" t="s">
        <v>43</v>
      </c>
      <c r="J351">
        <v>2502.27</v>
      </c>
      <c r="K351">
        <v>2492.2399999999998</v>
      </c>
      <c r="L351">
        <v>2492.2404446199998</v>
      </c>
      <c r="Q351" t="s">
        <v>1175</v>
      </c>
      <c r="T351">
        <v>0</v>
      </c>
      <c r="W351" t="s">
        <v>36</v>
      </c>
      <c r="X351" t="s">
        <v>69</v>
      </c>
      <c r="Y351" t="s">
        <v>38</v>
      </c>
      <c r="AD351">
        <v>0</v>
      </c>
      <c r="AE351" t="b">
        <f>ISNUMBER(MATCH(G351,AUM!$C$6:$C$1451,0))</f>
        <v>1</v>
      </c>
      <c r="AF351" t="b">
        <f>ISNUMBER(MATCH(G351,AUM!$G$6:$G$240,0))</f>
        <v>0</v>
      </c>
    </row>
    <row r="352" spans="1:32" x14ac:dyDescent="0.2">
      <c r="A352" t="s">
        <v>1171</v>
      </c>
      <c r="B352" s="1">
        <v>45671</v>
      </c>
      <c r="D352" t="s">
        <v>1171</v>
      </c>
      <c r="E352" t="s">
        <v>40</v>
      </c>
      <c r="F352" t="s">
        <v>1176</v>
      </c>
      <c r="G352" t="s">
        <v>1177</v>
      </c>
      <c r="H352" t="s">
        <v>43</v>
      </c>
      <c r="J352">
        <v>2146.02</v>
      </c>
      <c r="K352">
        <v>2137.42</v>
      </c>
      <c r="L352">
        <v>2137.4169835500002</v>
      </c>
      <c r="Q352" t="s">
        <v>1175</v>
      </c>
      <c r="U352">
        <v>0</v>
      </c>
      <c r="W352" t="s">
        <v>36</v>
      </c>
      <c r="X352" t="s">
        <v>69</v>
      </c>
      <c r="Y352" t="s">
        <v>38</v>
      </c>
      <c r="AD352">
        <v>0</v>
      </c>
      <c r="AE352" t="b">
        <f>ISNUMBER(MATCH(G352,AUM!$C$6:$C$1451,0))</f>
        <v>1</v>
      </c>
      <c r="AF352" t="b">
        <f>ISNUMBER(MATCH(G352,AUM!$G$6:$G$240,0))</f>
        <v>0</v>
      </c>
    </row>
    <row r="353" spans="1:32" x14ac:dyDescent="0.2">
      <c r="A353" t="s">
        <v>1175</v>
      </c>
      <c r="B353" s="1">
        <v>45671</v>
      </c>
      <c r="D353" t="s">
        <v>1175</v>
      </c>
      <c r="E353" t="s">
        <v>40</v>
      </c>
      <c r="F353" t="s">
        <v>1178</v>
      </c>
      <c r="G353" t="s">
        <v>1179</v>
      </c>
      <c r="H353" t="s">
        <v>43</v>
      </c>
      <c r="I353">
        <v>1004896.29159778</v>
      </c>
      <c r="J353">
        <v>1360.23</v>
      </c>
      <c r="K353">
        <v>1354.78</v>
      </c>
      <c r="L353">
        <v>1354.77763562</v>
      </c>
      <c r="M353">
        <v>1361411021.974</v>
      </c>
      <c r="N353">
        <v>40</v>
      </c>
      <c r="O353" t="s">
        <v>35</v>
      </c>
      <c r="P353">
        <v>1</v>
      </c>
      <c r="R353" t="s">
        <v>1172</v>
      </c>
      <c r="S353" t="s">
        <v>1171</v>
      </c>
      <c r="W353" t="s">
        <v>36</v>
      </c>
      <c r="X353" t="s">
        <v>37</v>
      </c>
      <c r="Y353" t="s">
        <v>38</v>
      </c>
      <c r="AD353">
        <v>0</v>
      </c>
      <c r="AE353" t="b">
        <f>ISNUMBER(MATCH(G353,AUM!$C$6:$C$1451,0))</f>
        <v>1</v>
      </c>
      <c r="AF353" t="b">
        <f>ISNUMBER(MATCH(G353,AUM!$G$6:$G$240,0))</f>
        <v>1</v>
      </c>
    </row>
    <row r="354" spans="1:32" x14ac:dyDescent="0.2">
      <c r="A354" t="s">
        <v>1180</v>
      </c>
      <c r="B354" s="1">
        <v>45671</v>
      </c>
      <c r="D354" t="s">
        <v>1180</v>
      </c>
      <c r="E354" t="s">
        <v>40</v>
      </c>
      <c r="F354" t="s">
        <v>1181</v>
      </c>
      <c r="G354" t="s">
        <v>1182</v>
      </c>
      <c r="H354" t="s">
        <v>43</v>
      </c>
      <c r="J354">
        <v>1526.22</v>
      </c>
      <c r="K354">
        <v>1513.26</v>
      </c>
      <c r="L354">
        <v>1513.25734268</v>
      </c>
      <c r="Q354" t="s">
        <v>1183</v>
      </c>
      <c r="W354" t="s">
        <v>36</v>
      </c>
      <c r="X354" t="s">
        <v>878</v>
      </c>
      <c r="Y354" t="s">
        <v>38</v>
      </c>
      <c r="Z354" t="s">
        <v>910</v>
      </c>
      <c r="AA354">
        <v>0.05</v>
      </c>
      <c r="AB354">
        <v>1</v>
      </c>
      <c r="AC354">
        <v>365</v>
      </c>
      <c r="AD354">
        <v>0</v>
      </c>
      <c r="AE354" t="b">
        <f>ISNUMBER(MATCH(G354,AUM!$C$6:$C$1451,0))</f>
        <v>0</v>
      </c>
      <c r="AF354" t="b">
        <f>ISNUMBER(MATCH(G354,AUM!$G$6:$G$240,0))</f>
        <v>0</v>
      </c>
    </row>
    <row r="355" spans="1:32" x14ac:dyDescent="0.2">
      <c r="A355" t="s">
        <v>1184</v>
      </c>
      <c r="B355" s="1">
        <v>45671</v>
      </c>
      <c r="D355" t="s">
        <v>1184</v>
      </c>
      <c r="E355" t="s">
        <v>40</v>
      </c>
      <c r="F355" t="s">
        <v>1185</v>
      </c>
      <c r="G355" t="s">
        <v>1186</v>
      </c>
      <c r="H355" t="s">
        <v>43</v>
      </c>
      <c r="J355">
        <v>4498.2299999999996</v>
      </c>
      <c r="K355">
        <v>4461.87</v>
      </c>
      <c r="L355">
        <v>4461.8733216500004</v>
      </c>
      <c r="Q355" t="s">
        <v>1187</v>
      </c>
      <c r="T355">
        <v>0</v>
      </c>
      <c r="W355" t="s">
        <v>36</v>
      </c>
      <c r="X355" t="s">
        <v>69</v>
      </c>
      <c r="Y355" t="s">
        <v>38</v>
      </c>
      <c r="AD355">
        <v>0</v>
      </c>
      <c r="AE355" t="b">
        <f>ISNUMBER(MATCH(G355,AUM!$C$6:$C$1451,0))</f>
        <v>0</v>
      </c>
      <c r="AF355" t="b">
        <f>ISNUMBER(MATCH(G355,AUM!$G$6:$G$240,0))</f>
        <v>0</v>
      </c>
    </row>
    <row r="356" spans="1:32" x14ac:dyDescent="0.2">
      <c r="A356" t="s">
        <v>1183</v>
      </c>
      <c r="B356" s="1">
        <v>45671</v>
      </c>
      <c r="D356" t="s">
        <v>1183</v>
      </c>
      <c r="E356" t="s">
        <v>40</v>
      </c>
      <c r="F356" t="s">
        <v>1188</v>
      </c>
      <c r="G356" t="s">
        <v>1189</v>
      </c>
      <c r="H356" t="s">
        <v>43</v>
      </c>
      <c r="J356">
        <v>3987.21</v>
      </c>
      <c r="K356">
        <v>3954.98</v>
      </c>
      <c r="L356">
        <v>3954.97974544</v>
      </c>
      <c r="Q356" t="s">
        <v>1187</v>
      </c>
      <c r="U356">
        <v>0</v>
      </c>
      <c r="W356" t="s">
        <v>36</v>
      </c>
      <c r="X356" t="s">
        <v>69</v>
      </c>
      <c r="Y356" t="s">
        <v>38</v>
      </c>
      <c r="AD356">
        <v>0</v>
      </c>
      <c r="AE356" t="b">
        <f>ISNUMBER(MATCH(G356,AUM!$C$6:$C$1451,0))</f>
        <v>0</v>
      </c>
      <c r="AF356" t="b">
        <f>ISNUMBER(MATCH(G356,AUM!$G$6:$G$240,0))</f>
        <v>0</v>
      </c>
    </row>
    <row r="357" spans="1:32" x14ac:dyDescent="0.2">
      <c r="A357" t="s">
        <v>1187</v>
      </c>
      <c r="B357" s="1">
        <v>45671</v>
      </c>
      <c r="D357" t="s">
        <v>1187</v>
      </c>
      <c r="E357" t="s">
        <v>40</v>
      </c>
      <c r="F357" t="s">
        <v>1190</v>
      </c>
      <c r="G357" t="s">
        <v>1191</v>
      </c>
      <c r="H357" t="s">
        <v>43</v>
      </c>
      <c r="I357">
        <v>886805.100227235</v>
      </c>
      <c r="J357">
        <v>2917.59</v>
      </c>
      <c r="K357">
        <v>2894</v>
      </c>
      <c r="L357">
        <v>2894.0041200800001</v>
      </c>
      <c r="M357">
        <v>2566417613.77</v>
      </c>
      <c r="N357">
        <v>30</v>
      </c>
      <c r="O357" t="s">
        <v>35</v>
      </c>
      <c r="P357">
        <v>1</v>
      </c>
      <c r="R357" t="s">
        <v>1184</v>
      </c>
      <c r="S357" t="s">
        <v>1183</v>
      </c>
      <c r="W357" t="s">
        <v>36</v>
      </c>
      <c r="X357" t="s">
        <v>37</v>
      </c>
      <c r="Y357" t="s">
        <v>38</v>
      </c>
      <c r="AD357">
        <v>0</v>
      </c>
      <c r="AE357" t="b">
        <f>ISNUMBER(MATCH(G357,AUM!$C$6:$C$1451,0))</f>
        <v>0</v>
      </c>
      <c r="AF357" t="b">
        <f>ISNUMBER(MATCH(G357,AUM!$G$6:$G$240,0))</f>
        <v>0</v>
      </c>
    </row>
    <row r="358" spans="1:32" x14ac:dyDescent="0.2">
      <c r="A358" t="s">
        <v>1192</v>
      </c>
      <c r="B358" s="1">
        <v>45671</v>
      </c>
      <c r="D358" t="s">
        <v>1192</v>
      </c>
      <c r="E358" t="s">
        <v>40</v>
      </c>
      <c r="F358" t="s">
        <v>1193</v>
      </c>
      <c r="G358" t="s">
        <v>1194</v>
      </c>
      <c r="H358" t="s">
        <v>43</v>
      </c>
      <c r="J358">
        <v>1001.52</v>
      </c>
      <c r="K358">
        <v>996.94</v>
      </c>
      <c r="L358">
        <v>996.93884754999999</v>
      </c>
      <c r="Q358" t="s">
        <v>1195</v>
      </c>
      <c r="W358" t="s">
        <v>36</v>
      </c>
      <c r="X358" t="s">
        <v>878</v>
      </c>
      <c r="Y358" t="s">
        <v>38</v>
      </c>
      <c r="Z358" t="s">
        <v>910</v>
      </c>
      <c r="AA358">
        <v>0.05</v>
      </c>
      <c r="AB358">
        <v>1</v>
      </c>
      <c r="AC358">
        <v>365</v>
      </c>
      <c r="AD358">
        <v>0</v>
      </c>
      <c r="AE358" t="b">
        <f>ISNUMBER(MATCH(G358,AUM!$C$6:$C$1451,0))</f>
        <v>0</v>
      </c>
      <c r="AF358" t="b">
        <f>ISNUMBER(MATCH(G358,AUM!$G$6:$G$240,0))</f>
        <v>0</v>
      </c>
    </row>
    <row r="359" spans="1:32" x14ac:dyDescent="0.2">
      <c r="A359" t="s">
        <v>1196</v>
      </c>
      <c r="B359" s="1">
        <v>45671</v>
      </c>
      <c r="D359" t="s">
        <v>1196</v>
      </c>
      <c r="E359" t="s">
        <v>40</v>
      </c>
      <c r="F359" t="s">
        <v>1197</v>
      </c>
      <c r="G359" t="s">
        <v>1198</v>
      </c>
      <c r="H359" t="s">
        <v>43</v>
      </c>
      <c r="J359">
        <v>2737.53</v>
      </c>
      <c r="K359">
        <v>2726.14</v>
      </c>
      <c r="L359">
        <v>2726.1404236100002</v>
      </c>
      <c r="Q359" t="s">
        <v>1199</v>
      </c>
      <c r="T359">
        <v>0</v>
      </c>
      <c r="W359" t="s">
        <v>36</v>
      </c>
      <c r="X359" t="s">
        <v>69</v>
      </c>
      <c r="Y359" t="s">
        <v>38</v>
      </c>
      <c r="AD359">
        <v>0</v>
      </c>
      <c r="AE359" t="b">
        <f>ISNUMBER(MATCH(G359,AUM!$C$6:$C$1451,0))</f>
        <v>0</v>
      </c>
      <c r="AF359" t="b">
        <f>ISNUMBER(MATCH(G359,AUM!$G$6:$G$240,0))</f>
        <v>0</v>
      </c>
    </row>
    <row r="360" spans="1:32" x14ac:dyDescent="0.2">
      <c r="A360" t="s">
        <v>1195</v>
      </c>
      <c r="B360" s="1">
        <v>45671</v>
      </c>
      <c r="D360" t="s">
        <v>1195</v>
      </c>
      <c r="E360" t="s">
        <v>40</v>
      </c>
      <c r="F360" t="s">
        <v>1200</v>
      </c>
      <c r="G360" t="s">
        <v>1201</v>
      </c>
      <c r="H360" t="s">
        <v>43</v>
      </c>
      <c r="J360">
        <v>2373.5</v>
      </c>
      <c r="K360">
        <v>2363.63</v>
      </c>
      <c r="L360">
        <v>2363.62664262</v>
      </c>
      <c r="Q360" t="s">
        <v>1199</v>
      </c>
      <c r="U360">
        <v>0</v>
      </c>
      <c r="W360" t="s">
        <v>36</v>
      </c>
      <c r="X360" t="s">
        <v>69</v>
      </c>
      <c r="Y360" t="s">
        <v>38</v>
      </c>
      <c r="AD360">
        <v>0</v>
      </c>
      <c r="AE360" t="b">
        <f>ISNUMBER(MATCH(G360,AUM!$C$6:$C$1451,0))</f>
        <v>0</v>
      </c>
      <c r="AF360" t="b">
        <f>ISNUMBER(MATCH(G360,AUM!$G$6:$G$240,0))</f>
        <v>0</v>
      </c>
    </row>
    <row r="361" spans="1:32" x14ac:dyDescent="0.2">
      <c r="A361" t="s">
        <v>1199</v>
      </c>
      <c r="B361" s="1">
        <v>45671</v>
      </c>
      <c r="D361" t="s">
        <v>1199</v>
      </c>
      <c r="E361" t="s">
        <v>40</v>
      </c>
      <c r="F361" t="s">
        <v>1202</v>
      </c>
      <c r="G361" t="s">
        <v>1203</v>
      </c>
      <c r="H361" t="s">
        <v>43</v>
      </c>
      <c r="I361">
        <v>1005344.83844303</v>
      </c>
      <c r="J361">
        <v>1578.1</v>
      </c>
      <c r="K361">
        <v>1571.54</v>
      </c>
      <c r="L361">
        <v>1571.5372088500001</v>
      </c>
      <c r="M361">
        <v>1579936821.3410001</v>
      </c>
      <c r="N361">
        <v>50</v>
      </c>
      <c r="O361" t="s">
        <v>35</v>
      </c>
      <c r="P361">
        <v>1</v>
      </c>
      <c r="R361" t="s">
        <v>1196</v>
      </c>
      <c r="S361" t="s">
        <v>1195</v>
      </c>
      <c r="W361" t="s">
        <v>36</v>
      </c>
      <c r="X361" t="s">
        <v>37</v>
      </c>
      <c r="Y361" t="s">
        <v>38</v>
      </c>
      <c r="AD361">
        <v>0</v>
      </c>
      <c r="AE361" t="b">
        <f>ISNUMBER(MATCH(G361,AUM!$C$6:$C$1451,0))</f>
        <v>0</v>
      </c>
      <c r="AF361" t="b">
        <f>ISNUMBER(MATCH(G361,AUM!$G$6:$G$240,0))</f>
        <v>0</v>
      </c>
    </row>
    <row r="362" spans="1:32" x14ac:dyDescent="0.2">
      <c r="A362" t="s">
        <v>1204</v>
      </c>
      <c r="B362" s="1">
        <v>45671</v>
      </c>
      <c r="D362" t="s">
        <v>1204</v>
      </c>
      <c r="E362" t="s">
        <v>40</v>
      </c>
      <c r="F362" t="s">
        <v>1205</v>
      </c>
      <c r="G362" t="s">
        <v>1206</v>
      </c>
      <c r="H362" t="s">
        <v>43</v>
      </c>
      <c r="J362">
        <v>3220.7</v>
      </c>
      <c r="K362">
        <v>3210.24</v>
      </c>
      <c r="L362">
        <v>3210.23700091</v>
      </c>
      <c r="Q362" t="s">
        <v>1207</v>
      </c>
      <c r="T362">
        <v>0</v>
      </c>
      <c r="W362" t="s">
        <v>36</v>
      </c>
      <c r="X362" t="s">
        <v>69</v>
      </c>
      <c r="Y362" t="s">
        <v>38</v>
      </c>
      <c r="AD362">
        <v>0</v>
      </c>
      <c r="AE362" t="b">
        <f>ISNUMBER(MATCH(G362,AUM!$C$6:$C$1451,0))</f>
        <v>1</v>
      </c>
      <c r="AF362" t="b">
        <f>ISNUMBER(MATCH(G362,AUM!$G$6:$G$240,0))</f>
        <v>0</v>
      </c>
    </row>
    <row r="363" spans="1:32" x14ac:dyDescent="0.2">
      <c r="A363" t="s">
        <v>1208</v>
      </c>
      <c r="B363" s="1">
        <v>45671</v>
      </c>
      <c r="D363" t="s">
        <v>1208</v>
      </c>
      <c r="E363" t="s">
        <v>40</v>
      </c>
      <c r="F363" t="s">
        <v>1209</v>
      </c>
      <c r="G363" t="s">
        <v>1210</v>
      </c>
      <c r="H363" t="s">
        <v>43</v>
      </c>
      <c r="J363">
        <v>2765.44</v>
      </c>
      <c r="K363">
        <v>2756.45</v>
      </c>
      <c r="L363">
        <v>2756.45159547</v>
      </c>
      <c r="Q363" t="s">
        <v>1207</v>
      </c>
      <c r="U363">
        <v>0</v>
      </c>
      <c r="W363" t="s">
        <v>36</v>
      </c>
      <c r="X363" t="s">
        <v>69</v>
      </c>
      <c r="Y363" t="s">
        <v>38</v>
      </c>
      <c r="AD363">
        <v>0</v>
      </c>
      <c r="AE363" t="b">
        <f>ISNUMBER(MATCH(G363,AUM!$C$6:$C$1451,0))</f>
        <v>1</v>
      </c>
      <c r="AF363" t="b">
        <f>ISNUMBER(MATCH(G363,AUM!$G$6:$G$240,0))</f>
        <v>0</v>
      </c>
    </row>
    <row r="364" spans="1:32" x14ac:dyDescent="0.2">
      <c r="A364" t="s">
        <v>1207</v>
      </c>
      <c r="B364" s="1">
        <v>45671</v>
      </c>
      <c r="D364" t="s">
        <v>1207</v>
      </c>
      <c r="E364" t="s">
        <v>40</v>
      </c>
      <c r="F364" t="s">
        <v>1211</v>
      </c>
      <c r="G364" t="s">
        <v>1212</v>
      </c>
      <c r="H364" t="s">
        <v>43</v>
      </c>
      <c r="I364">
        <v>1628412052.83674</v>
      </c>
      <c r="J364">
        <v>1715.93</v>
      </c>
      <c r="K364">
        <v>1710.36</v>
      </c>
      <c r="L364">
        <v>1710.3561844599999</v>
      </c>
      <c r="M364">
        <v>2785164625422.7598</v>
      </c>
      <c r="N364">
        <v>50</v>
      </c>
      <c r="O364" t="s">
        <v>35</v>
      </c>
      <c r="P364">
        <v>1</v>
      </c>
      <c r="R364" t="s">
        <v>1204</v>
      </c>
      <c r="S364" t="s">
        <v>1208</v>
      </c>
      <c r="W364" t="s">
        <v>36</v>
      </c>
      <c r="X364" t="s">
        <v>37</v>
      </c>
      <c r="Y364" t="s">
        <v>38</v>
      </c>
      <c r="AD364">
        <v>0</v>
      </c>
      <c r="AE364" t="b">
        <f>ISNUMBER(MATCH(G364,AUM!$C$6:$C$1451,0))</f>
        <v>1</v>
      </c>
      <c r="AF364" t="b">
        <f>ISNUMBER(MATCH(G364,AUM!$G$6:$G$240,0))</f>
        <v>0</v>
      </c>
    </row>
    <row r="365" spans="1:32" x14ac:dyDescent="0.2">
      <c r="A365" t="s">
        <v>1213</v>
      </c>
      <c r="B365" s="1">
        <v>45671</v>
      </c>
      <c r="D365" t="s">
        <v>1213</v>
      </c>
      <c r="E365" t="s">
        <v>40</v>
      </c>
      <c r="F365" t="s">
        <v>1214</v>
      </c>
      <c r="G365" t="s">
        <v>1215</v>
      </c>
      <c r="H365" t="s">
        <v>43</v>
      </c>
      <c r="J365">
        <v>1188.49</v>
      </c>
      <c r="K365">
        <v>1194.1300000000001</v>
      </c>
      <c r="L365">
        <v>1194.13374122</v>
      </c>
      <c r="Q365" t="s">
        <v>1216</v>
      </c>
      <c r="W365" t="s">
        <v>36</v>
      </c>
      <c r="X365" t="s">
        <v>878</v>
      </c>
      <c r="Y365" t="s">
        <v>38</v>
      </c>
      <c r="Z365" t="s">
        <v>910</v>
      </c>
      <c r="AA365">
        <v>4.7500000000000001E-2</v>
      </c>
      <c r="AB365">
        <v>1</v>
      </c>
      <c r="AC365">
        <v>365</v>
      </c>
      <c r="AD365">
        <v>0</v>
      </c>
      <c r="AE365" t="b">
        <f>ISNUMBER(MATCH(G365,AUM!$C$6:$C$1451,0))</f>
        <v>1</v>
      </c>
      <c r="AF365" t="b">
        <f>ISNUMBER(MATCH(G365,AUM!$G$6:$G$240,0))</f>
        <v>0</v>
      </c>
    </row>
    <row r="366" spans="1:32" x14ac:dyDescent="0.2">
      <c r="A366" t="s">
        <v>1216</v>
      </c>
      <c r="B366" s="1">
        <v>45671</v>
      </c>
      <c r="D366" t="s">
        <v>1216</v>
      </c>
      <c r="E366" t="s">
        <v>40</v>
      </c>
      <c r="F366" t="s">
        <v>1217</v>
      </c>
      <c r="G366" t="s">
        <v>1218</v>
      </c>
      <c r="H366" t="s">
        <v>43</v>
      </c>
      <c r="J366">
        <v>2935.1</v>
      </c>
      <c r="K366">
        <v>2950.17</v>
      </c>
      <c r="L366">
        <v>2950.1744434399998</v>
      </c>
      <c r="Q366" t="s">
        <v>1219</v>
      </c>
      <c r="U366">
        <v>0</v>
      </c>
      <c r="W366" t="s">
        <v>36</v>
      </c>
      <c r="X366" t="s">
        <v>69</v>
      </c>
      <c r="Y366" t="s">
        <v>38</v>
      </c>
      <c r="AD366">
        <v>0</v>
      </c>
      <c r="AE366" t="b">
        <f>ISNUMBER(MATCH(G366,AUM!$C$6:$C$1451,0))</f>
        <v>1</v>
      </c>
      <c r="AF366" t="b">
        <f>ISNUMBER(MATCH(G366,AUM!$G$6:$G$240,0))</f>
        <v>0</v>
      </c>
    </row>
    <row r="367" spans="1:32" x14ac:dyDescent="0.2">
      <c r="A367" t="s">
        <v>1219</v>
      </c>
      <c r="B367" s="1">
        <v>45671</v>
      </c>
      <c r="D367" t="s">
        <v>1219</v>
      </c>
      <c r="E367" t="s">
        <v>40</v>
      </c>
      <c r="F367" t="s">
        <v>1220</v>
      </c>
      <c r="G367" t="s">
        <v>1221</v>
      </c>
      <c r="H367" t="s">
        <v>43</v>
      </c>
      <c r="I367">
        <v>229046928.73626599</v>
      </c>
      <c r="J367">
        <v>1398.6</v>
      </c>
      <c r="K367">
        <v>1405.78</v>
      </c>
      <c r="L367">
        <v>1405.78332013</v>
      </c>
      <c r="M367">
        <v>321990351943.66901</v>
      </c>
      <c r="N367">
        <v>40</v>
      </c>
      <c r="O367" t="s">
        <v>35</v>
      </c>
      <c r="P367">
        <v>1</v>
      </c>
      <c r="S367" t="s">
        <v>1216</v>
      </c>
      <c r="W367" t="s">
        <v>36</v>
      </c>
      <c r="X367" t="s">
        <v>37</v>
      </c>
      <c r="Y367" t="s">
        <v>38</v>
      </c>
      <c r="AD367">
        <v>0</v>
      </c>
      <c r="AE367" t="b">
        <f>ISNUMBER(MATCH(G367,AUM!$C$6:$C$1451,0))</f>
        <v>1</v>
      </c>
      <c r="AF367" t="b">
        <f>ISNUMBER(MATCH(G367,AUM!$G$6:$G$240,0))</f>
        <v>0</v>
      </c>
    </row>
    <row r="368" spans="1:32" x14ac:dyDescent="0.2">
      <c r="A368" t="s">
        <v>1222</v>
      </c>
      <c r="B368" s="1">
        <v>45671</v>
      </c>
      <c r="D368" t="s">
        <v>1222</v>
      </c>
      <c r="E368" t="s">
        <v>40</v>
      </c>
      <c r="F368" t="s">
        <v>1223</v>
      </c>
      <c r="G368" t="s">
        <v>1224</v>
      </c>
      <c r="H368" t="s">
        <v>43</v>
      </c>
      <c r="J368">
        <v>1214.27</v>
      </c>
      <c r="K368">
        <v>1223.95</v>
      </c>
      <c r="L368">
        <v>1223.9511670899999</v>
      </c>
      <c r="Q368" t="s">
        <v>1225</v>
      </c>
      <c r="W368" t="s">
        <v>36</v>
      </c>
      <c r="X368" t="s">
        <v>878</v>
      </c>
      <c r="Y368" t="s">
        <v>38</v>
      </c>
      <c r="Z368" t="s">
        <v>910</v>
      </c>
      <c r="AA368">
        <v>4.7500000000000001E-2</v>
      </c>
      <c r="AB368">
        <v>1</v>
      </c>
      <c r="AC368">
        <v>365</v>
      </c>
      <c r="AD368">
        <v>0</v>
      </c>
      <c r="AE368" t="b">
        <f>ISNUMBER(MATCH(G368,AUM!$C$6:$C$1451,0))</f>
        <v>1</v>
      </c>
      <c r="AF368" t="b">
        <f>ISNUMBER(MATCH(G368,AUM!$G$6:$G$240,0))</f>
        <v>0</v>
      </c>
    </row>
    <row r="369" spans="1:32" x14ac:dyDescent="0.2">
      <c r="A369" t="s">
        <v>1225</v>
      </c>
      <c r="B369" s="1">
        <v>45671</v>
      </c>
      <c r="D369" t="s">
        <v>1225</v>
      </c>
      <c r="E369" t="s">
        <v>40</v>
      </c>
      <c r="F369" t="s">
        <v>1226</v>
      </c>
      <c r="G369" t="s">
        <v>1227</v>
      </c>
      <c r="H369" t="s">
        <v>43</v>
      </c>
      <c r="J369">
        <v>2998.59</v>
      </c>
      <c r="K369">
        <v>3023.67</v>
      </c>
      <c r="L369">
        <v>3023.67235527</v>
      </c>
      <c r="Q369" t="s">
        <v>1228</v>
      </c>
      <c r="U369">
        <v>0</v>
      </c>
      <c r="W369" t="s">
        <v>36</v>
      </c>
      <c r="X369" t="s">
        <v>69</v>
      </c>
      <c r="Y369" t="s">
        <v>38</v>
      </c>
      <c r="AD369">
        <v>0</v>
      </c>
      <c r="AE369" t="b">
        <f>ISNUMBER(MATCH(G369,AUM!$C$6:$C$1451,0))</f>
        <v>0</v>
      </c>
      <c r="AF369" t="b">
        <f>ISNUMBER(MATCH(G369,AUM!$G$6:$G$240,0))</f>
        <v>0</v>
      </c>
    </row>
    <row r="370" spans="1:32" x14ac:dyDescent="0.2">
      <c r="A370" t="s">
        <v>1228</v>
      </c>
      <c r="B370" s="1">
        <v>45671</v>
      </c>
      <c r="D370" t="s">
        <v>1228</v>
      </c>
      <c r="E370" t="s">
        <v>40</v>
      </c>
      <c r="F370" t="s">
        <v>1229</v>
      </c>
      <c r="G370" t="s">
        <v>1230</v>
      </c>
      <c r="H370" t="s">
        <v>43</v>
      </c>
      <c r="I370">
        <v>136732224.606953</v>
      </c>
      <c r="J370">
        <v>1438.3</v>
      </c>
      <c r="K370">
        <v>1450.33</v>
      </c>
      <c r="L370">
        <v>1450.3320243000001</v>
      </c>
      <c r="M370">
        <v>198307124101.19</v>
      </c>
      <c r="N370">
        <v>30</v>
      </c>
      <c r="O370" t="s">
        <v>35</v>
      </c>
      <c r="P370">
        <v>1</v>
      </c>
      <c r="S370" t="s">
        <v>1225</v>
      </c>
      <c r="W370" t="s">
        <v>36</v>
      </c>
      <c r="X370" t="s">
        <v>37</v>
      </c>
      <c r="Y370" t="s">
        <v>38</v>
      </c>
      <c r="AD370">
        <v>0</v>
      </c>
      <c r="AE370" t="b">
        <f>ISNUMBER(MATCH(G370,AUM!$C$6:$C$1451,0))</f>
        <v>0</v>
      </c>
      <c r="AF370" t="b">
        <f>ISNUMBER(MATCH(G370,AUM!$G$6:$G$240,0))</f>
        <v>0</v>
      </c>
    </row>
    <row r="371" spans="1:32" x14ac:dyDescent="0.2">
      <c r="A371" t="s">
        <v>1231</v>
      </c>
      <c r="B371" s="1">
        <v>45671</v>
      </c>
      <c r="D371" t="s">
        <v>1231</v>
      </c>
      <c r="E371" t="s">
        <v>40</v>
      </c>
      <c r="F371" t="s">
        <v>1232</v>
      </c>
      <c r="G371" t="s">
        <v>1233</v>
      </c>
      <c r="H371" t="s">
        <v>43</v>
      </c>
      <c r="J371">
        <v>3754.79</v>
      </c>
      <c r="K371">
        <v>3748.61</v>
      </c>
      <c r="L371">
        <v>3748.6114920300001</v>
      </c>
      <c r="Q371" t="s">
        <v>1234</v>
      </c>
      <c r="T371">
        <v>0</v>
      </c>
      <c r="W371" t="s">
        <v>36</v>
      </c>
      <c r="X371" t="s">
        <v>69</v>
      </c>
      <c r="Y371" t="s">
        <v>38</v>
      </c>
      <c r="AD371">
        <v>0</v>
      </c>
      <c r="AE371" t="b">
        <f>ISNUMBER(MATCH(G371,AUM!$C$6:$C$1451,0))</f>
        <v>1</v>
      </c>
      <c r="AF371" t="b">
        <f>ISNUMBER(MATCH(G371,AUM!$G$6:$G$240,0))</f>
        <v>0</v>
      </c>
    </row>
    <row r="372" spans="1:32" x14ac:dyDescent="0.2">
      <c r="A372" t="s">
        <v>1235</v>
      </c>
      <c r="B372" s="1">
        <v>45671</v>
      </c>
      <c r="D372" t="s">
        <v>1235</v>
      </c>
      <c r="E372" t="s">
        <v>40</v>
      </c>
      <c r="F372" t="s">
        <v>1236</v>
      </c>
      <c r="G372" t="s">
        <v>1237</v>
      </c>
      <c r="H372" t="s">
        <v>43</v>
      </c>
      <c r="J372">
        <v>3183.25</v>
      </c>
      <c r="K372">
        <v>3178.01</v>
      </c>
      <c r="L372">
        <v>3178.0077746000002</v>
      </c>
      <c r="Q372" t="s">
        <v>1234</v>
      </c>
      <c r="U372">
        <v>0</v>
      </c>
      <c r="W372" t="s">
        <v>36</v>
      </c>
      <c r="X372" t="s">
        <v>69</v>
      </c>
      <c r="Y372" t="s">
        <v>38</v>
      </c>
      <c r="AD372">
        <v>0</v>
      </c>
      <c r="AE372" t="b">
        <f>ISNUMBER(MATCH(G372,AUM!$C$6:$C$1451,0))</f>
        <v>1</v>
      </c>
      <c r="AF372" t="b">
        <f>ISNUMBER(MATCH(G372,AUM!$G$6:$G$240,0))</f>
        <v>0</v>
      </c>
    </row>
    <row r="373" spans="1:32" x14ac:dyDescent="0.2">
      <c r="A373" t="s">
        <v>1234</v>
      </c>
      <c r="B373" s="1">
        <v>45671</v>
      </c>
      <c r="D373" t="s">
        <v>1234</v>
      </c>
      <c r="E373" t="s">
        <v>40</v>
      </c>
      <c r="F373" t="s">
        <v>1238</v>
      </c>
      <c r="G373" t="s">
        <v>1239</v>
      </c>
      <c r="H373" t="s">
        <v>43</v>
      </c>
      <c r="I373">
        <v>1013970.26324259</v>
      </c>
      <c r="J373">
        <v>1982.41</v>
      </c>
      <c r="K373">
        <v>1979.15</v>
      </c>
      <c r="L373">
        <v>1979.14597379</v>
      </c>
      <c r="M373">
        <v>2006795164.039</v>
      </c>
      <c r="N373">
        <v>30</v>
      </c>
      <c r="O373" t="s">
        <v>35</v>
      </c>
      <c r="P373">
        <v>1</v>
      </c>
      <c r="R373" t="s">
        <v>1231</v>
      </c>
      <c r="S373" t="s">
        <v>1235</v>
      </c>
      <c r="W373" t="s">
        <v>36</v>
      </c>
      <c r="X373" t="s">
        <v>37</v>
      </c>
      <c r="Y373" t="s">
        <v>38</v>
      </c>
      <c r="AD373">
        <v>0</v>
      </c>
      <c r="AE373" t="b">
        <f>ISNUMBER(MATCH(G373,AUM!$C$6:$C$1451,0))</f>
        <v>1</v>
      </c>
      <c r="AF373" t="b">
        <f>ISNUMBER(MATCH(G373,AUM!$G$6:$G$240,0))</f>
        <v>0</v>
      </c>
    </row>
    <row r="374" spans="1:32" x14ac:dyDescent="0.2">
      <c r="A374" t="s">
        <v>1240</v>
      </c>
      <c r="B374" s="1">
        <v>45671</v>
      </c>
      <c r="D374" t="s">
        <v>1240</v>
      </c>
      <c r="E374" t="s">
        <v>40</v>
      </c>
      <c r="F374" t="s">
        <v>1241</v>
      </c>
      <c r="G374" t="s">
        <v>1242</v>
      </c>
      <c r="H374" t="s">
        <v>43</v>
      </c>
      <c r="J374">
        <v>1309.76</v>
      </c>
      <c r="K374">
        <v>1306.51</v>
      </c>
      <c r="L374">
        <v>1306.5147892699999</v>
      </c>
      <c r="Q374" t="s">
        <v>1243</v>
      </c>
      <c r="W374" t="s">
        <v>36</v>
      </c>
      <c r="X374" t="s">
        <v>878</v>
      </c>
      <c r="Y374" t="s">
        <v>38</v>
      </c>
      <c r="Z374" t="s">
        <v>879</v>
      </c>
      <c r="AA374">
        <v>50</v>
      </c>
      <c r="AB374">
        <v>1</v>
      </c>
      <c r="AC374">
        <v>365</v>
      </c>
      <c r="AD374">
        <v>0</v>
      </c>
      <c r="AE374" t="b">
        <f>ISNUMBER(MATCH(G374,AUM!$C$6:$C$1451,0))</f>
        <v>0</v>
      </c>
      <c r="AF374" t="b">
        <f>ISNUMBER(MATCH(G374,AUM!$G$6:$G$240,0))</f>
        <v>0</v>
      </c>
    </row>
    <row r="375" spans="1:32" x14ac:dyDescent="0.2">
      <c r="A375" t="s">
        <v>1243</v>
      </c>
      <c r="B375" s="1">
        <v>45671</v>
      </c>
      <c r="D375" t="s">
        <v>1243</v>
      </c>
      <c r="E375" t="s">
        <v>40</v>
      </c>
      <c r="F375" t="s">
        <v>1244</v>
      </c>
      <c r="G375" t="s">
        <v>1245</v>
      </c>
      <c r="H375" t="s">
        <v>43</v>
      </c>
      <c r="J375">
        <v>1823.96</v>
      </c>
      <c r="K375">
        <v>1820.02</v>
      </c>
      <c r="L375">
        <v>1820.0164929099999</v>
      </c>
      <c r="Q375" t="s">
        <v>1246</v>
      </c>
      <c r="T375">
        <v>0.23861364809159999</v>
      </c>
      <c r="V375" t="s">
        <v>79</v>
      </c>
      <c r="W375" t="s">
        <v>36</v>
      </c>
      <c r="X375" t="s">
        <v>69</v>
      </c>
      <c r="Y375" t="s">
        <v>38</v>
      </c>
      <c r="AD375">
        <v>0</v>
      </c>
      <c r="AE375" t="b">
        <f>ISNUMBER(MATCH(G375,AUM!$C$6:$C$1451,0))</f>
        <v>1</v>
      </c>
      <c r="AF375" t="b">
        <f>ISNUMBER(MATCH(G375,AUM!$G$6:$G$240,0))</f>
        <v>0</v>
      </c>
    </row>
    <row r="376" spans="1:32" x14ac:dyDescent="0.2">
      <c r="A376" t="s">
        <v>1247</v>
      </c>
      <c r="B376" s="1">
        <v>45671</v>
      </c>
      <c r="D376" t="s">
        <v>1247</v>
      </c>
      <c r="E376" t="s">
        <v>40</v>
      </c>
      <c r="F376" t="s">
        <v>1248</v>
      </c>
      <c r="G376" t="s">
        <v>1249</v>
      </c>
      <c r="H376" t="s">
        <v>43</v>
      </c>
      <c r="J376">
        <v>1718.94</v>
      </c>
      <c r="K376">
        <v>1715.22</v>
      </c>
      <c r="L376">
        <v>1715.22312313</v>
      </c>
      <c r="Q376" t="s">
        <v>1246</v>
      </c>
      <c r="U376">
        <v>0.17896023606870001</v>
      </c>
      <c r="V376" t="s">
        <v>79</v>
      </c>
      <c r="W376" t="s">
        <v>36</v>
      </c>
      <c r="X376" t="s">
        <v>69</v>
      </c>
      <c r="Y376" t="s">
        <v>38</v>
      </c>
      <c r="AD376">
        <v>0</v>
      </c>
      <c r="AE376" t="b">
        <f>ISNUMBER(MATCH(G376,AUM!$C$6:$C$1451,0))</f>
        <v>1</v>
      </c>
      <c r="AF376" t="b">
        <f>ISNUMBER(MATCH(G376,AUM!$G$6:$G$240,0))</f>
        <v>0</v>
      </c>
    </row>
    <row r="377" spans="1:32" x14ac:dyDescent="0.2">
      <c r="A377" t="s">
        <v>1246</v>
      </c>
      <c r="B377" s="1">
        <v>45671</v>
      </c>
      <c r="D377" t="s">
        <v>1246</v>
      </c>
      <c r="E377" t="s">
        <v>40</v>
      </c>
      <c r="F377" t="s">
        <v>1250</v>
      </c>
      <c r="G377" t="s">
        <v>1251</v>
      </c>
      <c r="H377" t="s">
        <v>43</v>
      </c>
      <c r="I377">
        <v>1182690.10283797</v>
      </c>
      <c r="J377">
        <v>1432.66</v>
      </c>
      <c r="K377">
        <v>1429.57</v>
      </c>
      <c r="L377">
        <v>1429.5653872800001</v>
      </c>
      <c r="M377">
        <v>1690732834.901</v>
      </c>
      <c r="N377">
        <v>50</v>
      </c>
      <c r="O377" t="s">
        <v>35</v>
      </c>
      <c r="P377">
        <v>1</v>
      </c>
      <c r="R377" t="s">
        <v>1243</v>
      </c>
      <c r="S377" t="s">
        <v>1247</v>
      </c>
      <c r="W377" t="s">
        <v>36</v>
      </c>
      <c r="X377" t="s">
        <v>37</v>
      </c>
      <c r="Y377" t="s">
        <v>38</v>
      </c>
      <c r="AD377">
        <v>0</v>
      </c>
      <c r="AE377" t="b">
        <f>ISNUMBER(MATCH(G377,AUM!$C$6:$C$1451,0))</f>
        <v>1</v>
      </c>
      <c r="AF377" t="b">
        <f>ISNUMBER(MATCH(G377,AUM!$G$6:$G$240,0))</f>
        <v>1</v>
      </c>
    </row>
    <row r="378" spans="1:32" x14ac:dyDescent="0.2">
      <c r="A378" t="s">
        <v>1252</v>
      </c>
      <c r="B378" s="1">
        <v>45671</v>
      </c>
      <c r="D378" t="s">
        <v>1252</v>
      </c>
      <c r="E378" t="s">
        <v>40</v>
      </c>
      <c r="F378" t="s">
        <v>1253</v>
      </c>
      <c r="G378" t="s">
        <v>1254</v>
      </c>
      <c r="H378" t="s">
        <v>43</v>
      </c>
      <c r="J378">
        <v>2987.49</v>
      </c>
      <c r="K378">
        <v>2974.24</v>
      </c>
      <c r="L378">
        <v>2974.2352073799998</v>
      </c>
      <c r="Q378" t="s">
        <v>1255</v>
      </c>
      <c r="U378">
        <v>0.12671874851116</v>
      </c>
      <c r="V378" t="s">
        <v>79</v>
      </c>
      <c r="W378" t="s">
        <v>36</v>
      </c>
      <c r="X378" t="s">
        <v>69</v>
      </c>
      <c r="Y378" t="s">
        <v>38</v>
      </c>
      <c r="AD378">
        <v>0</v>
      </c>
      <c r="AE378" t="b">
        <f>ISNUMBER(MATCH(G378,AUM!$C$6:$C$1451,0))</f>
        <v>1</v>
      </c>
      <c r="AF378" t="b">
        <f>ISNUMBER(MATCH(G378,AUM!$G$6:$G$240,0))</f>
        <v>0</v>
      </c>
    </row>
    <row r="379" spans="1:32" x14ac:dyDescent="0.2">
      <c r="A379" t="s">
        <v>1256</v>
      </c>
      <c r="B379" s="1">
        <v>45671</v>
      </c>
      <c r="D379" t="s">
        <v>1256</v>
      </c>
      <c r="E379" t="s">
        <v>40</v>
      </c>
      <c r="F379" t="s">
        <v>1257</v>
      </c>
      <c r="G379" t="s">
        <v>1258</v>
      </c>
      <c r="H379" t="s">
        <v>43</v>
      </c>
      <c r="J379">
        <v>3437.79</v>
      </c>
      <c r="K379">
        <v>3425.08</v>
      </c>
      <c r="L379">
        <v>3425.08493808</v>
      </c>
      <c r="Q379" t="s">
        <v>1259</v>
      </c>
      <c r="T379">
        <v>0</v>
      </c>
      <c r="W379" t="s">
        <v>36</v>
      </c>
      <c r="X379" t="s">
        <v>69</v>
      </c>
      <c r="Y379" t="s">
        <v>38</v>
      </c>
      <c r="AD379">
        <v>0</v>
      </c>
      <c r="AE379" t="b">
        <f>ISNUMBER(MATCH(G379,AUM!$C$6:$C$1451,0))</f>
        <v>0</v>
      </c>
      <c r="AF379" t="b">
        <f>ISNUMBER(MATCH(G379,AUM!$G$6:$G$240,0))</f>
        <v>0</v>
      </c>
    </row>
    <row r="380" spans="1:32" x14ac:dyDescent="0.2">
      <c r="A380" t="s">
        <v>1260</v>
      </c>
      <c r="B380" s="1">
        <v>45671</v>
      </c>
      <c r="D380" t="s">
        <v>1260</v>
      </c>
      <c r="E380" t="s">
        <v>40</v>
      </c>
      <c r="F380" t="s">
        <v>1261</v>
      </c>
      <c r="G380" t="s">
        <v>1262</v>
      </c>
      <c r="H380" t="s">
        <v>43</v>
      </c>
      <c r="J380">
        <v>2983.95</v>
      </c>
      <c r="K380">
        <v>2972.92</v>
      </c>
      <c r="L380">
        <v>2972.9225386899998</v>
      </c>
      <c r="Q380" t="s">
        <v>1259</v>
      </c>
      <c r="U380">
        <v>0</v>
      </c>
      <c r="W380" t="s">
        <v>36</v>
      </c>
      <c r="X380" t="s">
        <v>69</v>
      </c>
      <c r="Y380" t="s">
        <v>38</v>
      </c>
      <c r="AD380">
        <v>0</v>
      </c>
      <c r="AE380" t="b">
        <f>ISNUMBER(MATCH(G380,AUM!$C$6:$C$1451,0))</f>
        <v>0</v>
      </c>
      <c r="AF380" t="b">
        <f>ISNUMBER(MATCH(G380,AUM!$G$6:$G$240,0))</f>
        <v>0</v>
      </c>
    </row>
    <row r="381" spans="1:32" x14ac:dyDescent="0.2">
      <c r="A381" t="s">
        <v>1259</v>
      </c>
      <c r="B381" s="1">
        <v>45671</v>
      </c>
      <c r="D381" t="s">
        <v>1259</v>
      </c>
      <c r="E381" t="s">
        <v>40</v>
      </c>
      <c r="F381" t="s">
        <v>1263</v>
      </c>
      <c r="G381" t="s">
        <v>1264</v>
      </c>
      <c r="H381" t="s">
        <v>43</v>
      </c>
      <c r="I381">
        <v>992312.142040206</v>
      </c>
      <c r="J381">
        <v>1924.47</v>
      </c>
      <c r="K381">
        <v>1917.36</v>
      </c>
      <c r="L381">
        <v>1917.36244012</v>
      </c>
      <c r="M381">
        <v>1902622030.0209999</v>
      </c>
      <c r="N381">
        <v>50</v>
      </c>
      <c r="O381" t="s">
        <v>35</v>
      </c>
      <c r="P381">
        <v>1</v>
      </c>
      <c r="R381" t="s">
        <v>1256</v>
      </c>
      <c r="S381" t="s">
        <v>1260</v>
      </c>
      <c r="W381" t="s">
        <v>36</v>
      </c>
      <c r="X381" t="s">
        <v>37</v>
      </c>
      <c r="Y381" t="s">
        <v>38</v>
      </c>
      <c r="AD381">
        <v>0</v>
      </c>
      <c r="AE381" t="b">
        <f>ISNUMBER(MATCH(G381,AUM!$C$6:$C$1451,0))</f>
        <v>0</v>
      </c>
      <c r="AF381" t="b">
        <f>ISNUMBER(MATCH(G381,AUM!$G$6:$G$240,0))</f>
        <v>0</v>
      </c>
    </row>
    <row r="382" spans="1:32" x14ac:dyDescent="0.2">
      <c r="A382" t="s">
        <v>1265</v>
      </c>
      <c r="B382" s="1">
        <v>45671</v>
      </c>
      <c r="D382" t="s">
        <v>1265</v>
      </c>
      <c r="E382" t="s">
        <v>40</v>
      </c>
      <c r="F382" t="s">
        <v>1266</v>
      </c>
      <c r="G382" t="s">
        <v>1267</v>
      </c>
      <c r="H382" t="s">
        <v>43</v>
      </c>
      <c r="J382">
        <v>3335.85</v>
      </c>
      <c r="K382">
        <v>3317.44</v>
      </c>
      <c r="L382">
        <v>3317.4381091099999</v>
      </c>
      <c r="Q382" t="s">
        <v>1268</v>
      </c>
      <c r="T382">
        <v>0</v>
      </c>
      <c r="W382" t="s">
        <v>36</v>
      </c>
      <c r="X382" t="s">
        <v>69</v>
      </c>
      <c r="Y382" t="s">
        <v>38</v>
      </c>
      <c r="AD382">
        <v>0</v>
      </c>
      <c r="AE382" t="b">
        <f>ISNUMBER(MATCH(G382,AUM!$C$6:$C$1451,0))</f>
        <v>1</v>
      </c>
      <c r="AF382" t="b">
        <f>ISNUMBER(MATCH(G382,AUM!$G$6:$G$240,0))</f>
        <v>0</v>
      </c>
    </row>
    <row r="383" spans="1:32" x14ac:dyDescent="0.2">
      <c r="A383" t="s">
        <v>1269</v>
      </c>
      <c r="B383" s="1">
        <v>45671</v>
      </c>
      <c r="D383" t="s">
        <v>1269</v>
      </c>
      <c r="E383" t="s">
        <v>40</v>
      </c>
      <c r="F383" t="s">
        <v>1270</v>
      </c>
      <c r="G383" t="s">
        <v>1271</v>
      </c>
      <c r="H383" t="s">
        <v>43</v>
      </c>
      <c r="J383">
        <v>3034.6</v>
      </c>
      <c r="K383">
        <v>3017.85</v>
      </c>
      <c r="L383">
        <v>3017.85148549</v>
      </c>
      <c r="Q383" t="s">
        <v>1268</v>
      </c>
      <c r="U383">
        <v>0</v>
      </c>
      <c r="W383" t="s">
        <v>36</v>
      </c>
      <c r="X383" t="s">
        <v>69</v>
      </c>
      <c r="Y383" t="s">
        <v>38</v>
      </c>
      <c r="AD383">
        <v>0</v>
      </c>
      <c r="AE383" t="b">
        <f>ISNUMBER(MATCH(G383,AUM!$C$6:$C$1451,0))</f>
        <v>1</v>
      </c>
      <c r="AF383" t="b">
        <f>ISNUMBER(MATCH(G383,AUM!$G$6:$G$240,0))</f>
        <v>0</v>
      </c>
    </row>
    <row r="384" spans="1:32" x14ac:dyDescent="0.2">
      <c r="A384" t="s">
        <v>1268</v>
      </c>
      <c r="B384" s="1">
        <v>45671</v>
      </c>
      <c r="D384" t="s">
        <v>1268</v>
      </c>
      <c r="E384" t="s">
        <v>40</v>
      </c>
      <c r="F384" t="s">
        <v>1272</v>
      </c>
      <c r="G384" t="s">
        <v>1273</v>
      </c>
      <c r="H384" t="s">
        <v>43</v>
      </c>
      <c r="I384">
        <v>872995.74333824997</v>
      </c>
      <c r="J384">
        <v>2219.34</v>
      </c>
      <c r="K384">
        <v>2207.09</v>
      </c>
      <c r="L384">
        <v>2207.09228364</v>
      </c>
      <c r="M384">
        <v>1926782168.7697699</v>
      </c>
      <c r="N384">
        <v>51</v>
      </c>
      <c r="O384" t="s">
        <v>35</v>
      </c>
      <c r="P384">
        <v>1</v>
      </c>
      <c r="R384" t="s">
        <v>1265</v>
      </c>
      <c r="S384" t="s">
        <v>1269</v>
      </c>
      <c r="W384" t="s">
        <v>36</v>
      </c>
      <c r="X384" t="s">
        <v>37</v>
      </c>
      <c r="Y384" t="s">
        <v>38</v>
      </c>
      <c r="AD384">
        <v>0</v>
      </c>
      <c r="AE384" t="b">
        <f>ISNUMBER(MATCH(G384,AUM!$C$6:$C$1451,0))</f>
        <v>1</v>
      </c>
      <c r="AF384" t="b">
        <f>ISNUMBER(MATCH(G384,AUM!$G$6:$G$240,0))</f>
        <v>1</v>
      </c>
    </row>
    <row r="385" spans="1:32" x14ac:dyDescent="0.2">
      <c r="A385" t="s">
        <v>1274</v>
      </c>
      <c r="B385" s="1">
        <v>45671</v>
      </c>
      <c r="D385" t="s">
        <v>1274</v>
      </c>
      <c r="E385" t="s">
        <v>40</v>
      </c>
      <c r="F385" t="s">
        <v>1275</v>
      </c>
      <c r="G385" t="s">
        <v>1276</v>
      </c>
      <c r="H385" t="s">
        <v>43</v>
      </c>
      <c r="J385">
        <v>1591.47</v>
      </c>
      <c r="K385">
        <v>1585.99</v>
      </c>
      <c r="L385">
        <v>1585.9856853700001</v>
      </c>
      <c r="Q385" t="s">
        <v>1277</v>
      </c>
      <c r="W385" t="s">
        <v>36</v>
      </c>
      <c r="X385" t="s">
        <v>878</v>
      </c>
      <c r="Y385" t="s">
        <v>38</v>
      </c>
      <c r="Z385" t="s">
        <v>910</v>
      </c>
      <c r="AA385">
        <v>4.4999999999999998E-2</v>
      </c>
      <c r="AB385">
        <v>1</v>
      </c>
      <c r="AC385">
        <v>365</v>
      </c>
      <c r="AD385">
        <v>0</v>
      </c>
      <c r="AE385" t="b">
        <f>ISNUMBER(MATCH(G385,AUM!$C$6:$C$1451,0))</f>
        <v>1</v>
      </c>
      <c r="AF385" t="b">
        <f>ISNUMBER(MATCH(G385,AUM!$G$6:$G$240,0))</f>
        <v>0</v>
      </c>
    </row>
    <row r="386" spans="1:32" x14ac:dyDescent="0.2">
      <c r="A386" t="s">
        <v>1278</v>
      </c>
      <c r="B386" s="1">
        <v>45671</v>
      </c>
      <c r="D386" t="s">
        <v>1278</v>
      </c>
      <c r="E386" t="s">
        <v>40</v>
      </c>
      <c r="F386" t="s">
        <v>1279</v>
      </c>
      <c r="G386" t="s">
        <v>1280</v>
      </c>
      <c r="H386" t="s">
        <v>43</v>
      </c>
      <c r="J386">
        <v>4489.68</v>
      </c>
      <c r="K386">
        <v>4475.87</v>
      </c>
      <c r="L386">
        <v>4475.8704782599998</v>
      </c>
      <c r="Q386" t="s">
        <v>1281</v>
      </c>
      <c r="T386">
        <v>0</v>
      </c>
      <c r="W386" t="s">
        <v>36</v>
      </c>
      <c r="X386" t="s">
        <v>69</v>
      </c>
      <c r="Y386" t="s">
        <v>38</v>
      </c>
      <c r="AD386">
        <v>0</v>
      </c>
      <c r="AE386" t="b">
        <f>ISNUMBER(MATCH(G386,AUM!$C$6:$C$1451,0))</f>
        <v>1</v>
      </c>
      <c r="AF386" t="b">
        <f>ISNUMBER(MATCH(G386,AUM!$G$6:$G$240,0))</f>
        <v>0</v>
      </c>
    </row>
    <row r="387" spans="1:32" x14ac:dyDescent="0.2">
      <c r="A387" t="s">
        <v>1277</v>
      </c>
      <c r="B387" s="1">
        <v>45671</v>
      </c>
      <c r="D387" t="s">
        <v>1277</v>
      </c>
      <c r="E387" t="s">
        <v>40</v>
      </c>
      <c r="F387" t="s">
        <v>1282</v>
      </c>
      <c r="G387" t="s">
        <v>1283</v>
      </c>
      <c r="H387" t="s">
        <v>43</v>
      </c>
      <c r="J387">
        <v>3921.46</v>
      </c>
      <c r="K387">
        <v>3909.4</v>
      </c>
      <c r="L387">
        <v>3909.3995344599998</v>
      </c>
      <c r="Q387" t="s">
        <v>1281</v>
      </c>
      <c r="U387">
        <v>0</v>
      </c>
      <c r="W387" t="s">
        <v>36</v>
      </c>
      <c r="X387" t="s">
        <v>69</v>
      </c>
      <c r="Y387" t="s">
        <v>38</v>
      </c>
      <c r="AD387">
        <v>0</v>
      </c>
      <c r="AE387" t="b">
        <f>ISNUMBER(MATCH(G387,AUM!$C$6:$C$1451,0))</f>
        <v>1</v>
      </c>
      <c r="AF387" t="b">
        <f>ISNUMBER(MATCH(G387,AUM!$G$6:$G$240,0))</f>
        <v>0</v>
      </c>
    </row>
    <row r="388" spans="1:32" x14ac:dyDescent="0.2">
      <c r="A388" t="s">
        <v>1281</v>
      </c>
      <c r="B388" s="1">
        <v>45671</v>
      </c>
      <c r="D388" t="s">
        <v>1281</v>
      </c>
      <c r="E388" t="s">
        <v>40</v>
      </c>
      <c r="F388" t="s">
        <v>1284</v>
      </c>
      <c r="G388" t="s">
        <v>1285</v>
      </c>
      <c r="H388" t="s">
        <v>43</v>
      </c>
      <c r="I388">
        <v>427418.73156570701</v>
      </c>
      <c r="J388">
        <v>2312.3200000000002</v>
      </c>
      <c r="K388">
        <v>2305.1999999999998</v>
      </c>
      <c r="L388">
        <v>2305.2048813299998</v>
      </c>
      <c r="M388">
        <v>985287746.37699997</v>
      </c>
      <c r="N388">
        <v>20</v>
      </c>
      <c r="O388" t="s">
        <v>35</v>
      </c>
      <c r="P388">
        <v>1</v>
      </c>
      <c r="R388" t="s">
        <v>1278</v>
      </c>
      <c r="S388" t="s">
        <v>1277</v>
      </c>
      <c r="W388" t="s">
        <v>36</v>
      </c>
      <c r="X388" t="s">
        <v>37</v>
      </c>
      <c r="Y388" t="s">
        <v>38</v>
      </c>
      <c r="AD388">
        <v>0</v>
      </c>
      <c r="AE388" t="b">
        <f>ISNUMBER(MATCH(G388,AUM!$C$6:$C$1451,0))</f>
        <v>1</v>
      </c>
      <c r="AF388" t="b">
        <f>ISNUMBER(MATCH(G388,AUM!$G$6:$G$240,0))</f>
        <v>1</v>
      </c>
    </row>
    <row r="389" spans="1:32" x14ac:dyDescent="0.2">
      <c r="A389" t="s">
        <v>1286</v>
      </c>
      <c r="B389" s="1">
        <v>45671</v>
      </c>
      <c r="D389" t="s">
        <v>1286</v>
      </c>
      <c r="E389" t="s">
        <v>40</v>
      </c>
      <c r="F389" t="s">
        <v>1287</v>
      </c>
      <c r="G389" t="s">
        <v>1288</v>
      </c>
      <c r="H389" t="s">
        <v>43</v>
      </c>
      <c r="J389">
        <v>1322.14</v>
      </c>
      <c r="K389">
        <v>1315.73</v>
      </c>
      <c r="L389">
        <v>1315.7285174000001</v>
      </c>
      <c r="Q389" t="s">
        <v>1289</v>
      </c>
      <c r="W389" t="s">
        <v>36</v>
      </c>
      <c r="X389" t="s">
        <v>878</v>
      </c>
      <c r="Y389" t="s">
        <v>38</v>
      </c>
      <c r="Z389" t="s">
        <v>910</v>
      </c>
      <c r="AA389">
        <v>0.05</v>
      </c>
      <c r="AB389">
        <v>1</v>
      </c>
      <c r="AC389">
        <v>365</v>
      </c>
      <c r="AD389">
        <v>0</v>
      </c>
      <c r="AE389" t="b">
        <f>ISNUMBER(MATCH(G389,AUM!$C$6:$C$1451,0))</f>
        <v>0</v>
      </c>
      <c r="AF389" t="b">
        <f>ISNUMBER(MATCH(G389,AUM!$G$6:$G$240,0))</f>
        <v>0</v>
      </c>
    </row>
    <row r="390" spans="1:32" x14ac:dyDescent="0.2">
      <c r="A390" t="s">
        <v>1289</v>
      </c>
      <c r="B390" s="1">
        <v>45671</v>
      </c>
      <c r="D390" t="s">
        <v>1289</v>
      </c>
      <c r="E390" t="s">
        <v>40</v>
      </c>
      <c r="F390" t="s">
        <v>1290</v>
      </c>
      <c r="G390" t="s">
        <v>1291</v>
      </c>
      <c r="H390" t="s">
        <v>43</v>
      </c>
      <c r="J390">
        <v>3421.57</v>
      </c>
      <c r="K390">
        <v>3406.39</v>
      </c>
      <c r="L390">
        <v>3406.3911238300002</v>
      </c>
      <c r="Q390" t="s">
        <v>1255</v>
      </c>
      <c r="T390">
        <v>0.16895833134821001</v>
      </c>
      <c r="V390" t="s">
        <v>79</v>
      </c>
      <c r="W390" t="s">
        <v>36</v>
      </c>
      <c r="X390" t="s">
        <v>69</v>
      </c>
      <c r="Y390" t="s">
        <v>38</v>
      </c>
      <c r="AD390">
        <v>0</v>
      </c>
      <c r="AE390" t="b">
        <f>ISNUMBER(MATCH(G390,AUM!$C$6:$C$1451,0))</f>
        <v>1</v>
      </c>
      <c r="AF390" t="b">
        <f>ISNUMBER(MATCH(G390,AUM!$G$6:$G$240,0))</f>
        <v>0</v>
      </c>
    </row>
    <row r="391" spans="1:32" x14ac:dyDescent="0.2">
      <c r="A391" t="s">
        <v>1255</v>
      </c>
      <c r="B391" s="1">
        <v>45671</v>
      </c>
      <c r="D391" t="s">
        <v>1255</v>
      </c>
      <c r="E391" t="s">
        <v>40</v>
      </c>
      <c r="F391" t="s">
        <v>1292</v>
      </c>
      <c r="G391" t="s">
        <v>1293</v>
      </c>
      <c r="H391" t="s">
        <v>43</v>
      </c>
      <c r="I391">
        <v>995559.07458234904</v>
      </c>
      <c r="J391">
        <v>2020.88</v>
      </c>
      <c r="K391">
        <v>2011.92</v>
      </c>
      <c r="L391">
        <v>2011.9180375799999</v>
      </c>
      <c r="M391">
        <v>2002983259.628</v>
      </c>
      <c r="N391">
        <v>100</v>
      </c>
      <c r="O391" t="s">
        <v>35</v>
      </c>
      <c r="P391">
        <v>1</v>
      </c>
      <c r="R391" t="s">
        <v>1289</v>
      </c>
      <c r="S391" t="s">
        <v>1252</v>
      </c>
      <c r="W391" t="s">
        <v>36</v>
      </c>
      <c r="X391" t="s">
        <v>37</v>
      </c>
      <c r="Y391" t="s">
        <v>38</v>
      </c>
      <c r="AD391">
        <v>0</v>
      </c>
      <c r="AE391" t="b">
        <f>ISNUMBER(MATCH(G391,AUM!$C$6:$C$1451,0))</f>
        <v>1</v>
      </c>
      <c r="AF391" t="b">
        <f>ISNUMBER(MATCH(G391,AUM!$G$6:$G$240,0))</f>
        <v>0</v>
      </c>
    </row>
    <row r="392" spans="1:32" x14ac:dyDescent="0.2">
      <c r="A392" t="s">
        <v>1294</v>
      </c>
      <c r="B392" s="1">
        <v>45671</v>
      </c>
      <c r="D392" t="s">
        <v>1294</v>
      </c>
      <c r="E392" t="s">
        <v>40</v>
      </c>
      <c r="F392" t="s">
        <v>1295</v>
      </c>
      <c r="G392" t="s">
        <v>1296</v>
      </c>
      <c r="H392" t="s">
        <v>43</v>
      </c>
      <c r="I392">
        <v>1</v>
      </c>
      <c r="J392">
        <v>2277.2800000000002</v>
      </c>
      <c r="K392">
        <v>2266.5500000000002</v>
      </c>
      <c r="L392">
        <v>2266.5500000000002</v>
      </c>
      <c r="M392">
        <v>2266.5500000000002</v>
      </c>
      <c r="N392">
        <v>1</v>
      </c>
      <c r="O392" t="s">
        <v>35</v>
      </c>
      <c r="P392">
        <v>1</v>
      </c>
      <c r="W392" t="s">
        <v>36</v>
      </c>
      <c r="X392" t="s">
        <v>37</v>
      </c>
      <c r="Y392" t="s">
        <v>38</v>
      </c>
      <c r="AD392">
        <v>0</v>
      </c>
      <c r="AE392" t="b">
        <f>ISNUMBER(MATCH(G392,AUM!$C$6:$C$1451,0))</f>
        <v>0</v>
      </c>
      <c r="AF392" t="b">
        <f>ISNUMBER(MATCH(G392,AUM!$G$6:$G$240,0))</f>
        <v>0</v>
      </c>
    </row>
    <row r="393" spans="1:32" x14ac:dyDescent="0.2">
      <c r="A393" t="s">
        <v>1297</v>
      </c>
      <c r="B393" s="1">
        <v>45671</v>
      </c>
      <c r="D393" t="s">
        <v>1297</v>
      </c>
      <c r="E393" t="s">
        <v>40</v>
      </c>
      <c r="F393" t="s">
        <v>1298</v>
      </c>
      <c r="G393" t="s">
        <v>1299</v>
      </c>
      <c r="H393" t="s">
        <v>43</v>
      </c>
      <c r="J393">
        <v>1671.71</v>
      </c>
      <c r="K393">
        <v>1662.45</v>
      </c>
      <c r="L393">
        <v>1662.4521024799999</v>
      </c>
      <c r="Q393" t="s">
        <v>977</v>
      </c>
      <c r="W393" t="s">
        <v>36</v>
      </c>
      <c r="X393" t="s">
        <v>878</v>
      </c>
      <c r="Y393" t="s">
        <v>38</v>
      </c>
      <c r="Z393" t="s">
        <v>910</v>
      </c>
      <c r="AA393">
        <v>0.05</v>
      </c>
      <c r="AB393">
        <v>1</v>
      </c>
      <c r="AC393">
        <v>365</v>
      </c>
      <c r="AD393">
        <v>0</v>
      </c>
      <c r="AE393" t="b">
        <f>ISNUMBER(MATCH(G393,AUM!$C$6:$C$1451,0))</f>
        <v>1</v>
      </c>
      <c r="AF393" t="b">
        <f>ISNUMBER(MATCH(G393,AUM!$G$6:$G$240,0))</f>
        <v>0</v>
      </c>
    </row>
    <row r="394" spans="1:32" x14ac:dyDescent="0.2">
      <c r="A394" t="s">
        <v>1300</v>
      </c>
      <c r="B394" s="1">
        <v>45671</v>
      </c>
      <c r="D394" t="s">
        <v>1300</v>
      </c>
      <c r="E394" t="s">
        <v>40</v>
      </c>
      <c r="F394" t="s">
        <v>1301</v>
      </c>
      <c r="G394" t="s">
        <v>1302</v>
      </c>
      <c r="H394" t="s">
        <v>43</v>
      </c>
      <c r="J394">
        <v>3760.6</v>
      </c>
      <c r="K394">
        <v>3741.32</v>
      </c>
      <c r="L394">
        <v>3741.3184475899998</v>
      </c>
      <c r="Q394" t="s">
        <v>1303</v>
      </c>
      <c r="T394">
        <v>0</v>
      </c>
      <c r="W394" t="s">
        <v>36</v>
      </c>
      <c r="X394" t="s">
        <v>69</v>
      </c>
      <c r="Y394" t="s">
        <v>38</v>
      </c>
      <c r="AD394">
        <v>0</v>
      </c>
      <c r="AE394" t="b">
        <f>ISNUMBER(MATCH(G394,AUM!$C$6:$C$1451,0))</f>
        <v>1</v>
      </c>
      <c r="AF394" t="b">
        <f>ISNUMBER(MATCH(G394,AUM!$G$6:$G$240,0))</f>
        <v>0</v>
      </c>
    </row>
    <row r="395" spans="1:32" x14ac:dyDescent="0.2">
      <c r="A395" t="s">
        <v>977</v>
      </c>
      <c r="B395" s="1">
        <v>45671</v>
      </c>
      <c r="D395" t="s">
        <v>977</v>
      </c>
      <c r="E395" t="s">
        <v>40</v>
      </c>
      <c r="F395" t="s">
        <v>1304</v>
      </c>
      <c r="G395" t="s">
        <v>1305</v>
      </c>
      <c r="H395" t="s">
        <v>43</v>
      </c>
      <c r="J395">
        <v>3392.26</v>
      </c>
      <c r="K395">
        <v>3374.86</v>
      </c>
      <c r="L395">
        <v>3374.86355284</v>
      </c>
      <c r="Q395" t="s">
        <v>1303</v>
      </c>
      <c r="U395">
        <v>0</v>
      </c>
      <c r="W395" t="s">
        <v>36</v>
      </c>
      <c r="X395" t="s">
        <v>69</v>
      </c>
      <c r="Y395" t="s">
        <v>38</v>
      </c>
      <c r="AD395">
        <v>0</v>
      </c>
      <c r="AE395" t="b">
        <f>ISNUMBER(MATCH(G395,AUM!$C$6:$C$1451,0))</f>
        <v>1</v>
      </c>
      <c r="AF395" t="b">
        <f>ISNUMBER(MATCH(G395,AUM!$G$6:$G$240,0))</f>
        <v>0</v>
      </c>
    </row>
    <row r="396" spans="1:32" x14ac:dyDescent="0.2">
      <c r="A396" t="s">
        <v>1303</v>
      </c>
      <c r="B396" s="1">
        <v>45671</v>
      </c>
      <c r="D396" t="s">
        <v>1303</v>
      </c>
      <c r="E396" t="s">
        <v>40</v>
      </c>
      <c r="F396" t="s">
        <v>1306</v>
      </c>
      <c r="G396" t="s">
        <v>1307</v>
      </c>
      <c r="H396" t="s">
        <v>43</v>
      </c>
      <c r="I396">
        <v>983162.24537031201</v>
      </c>
      <c r="J396">
        <v>2327.54</v>
      </c>
      <c r="K396">
        <v>2315.61</v>
      </c>
      <c r="L396">
        <v>2315.6078628499999</v>
      </c>
      <c r="M396">
        <v>2276618225.8352699</v>
      </c>
      <c r="N396">
        <v>50</v>
      </c>
      <c r="O396" t="s">
        <v>35</v>
      </c>
      <c r="P396">
        <v>1</v>
      </c>
      <c r="R396" t="s">
        <v>1300</v>
      </c>
      <c r="S396" t="s">
        <v>977</v>
      </c>
      <c r="W396" t="s">
        <v>36</v>
      </c>
      <c r="X396" t="s">
        <v>37</v>
      </c>
      <c r="Y396" t="s">
        <v>38</v>
      </c>
      <c r="AD396">
        <v>0</v>
      </c>
      <c r="AE396" t="b">
        <f>ISNUMBER(MATCH(G396,AUM!$C$6:$C$1451,0))</f>
        <v>1</v>
      </c>
      <c r="AF396" t="b">
        <f>ISNUMBER(MATCH(G396,AUM!$G$6:$G$240,0))</f>
        <v>0</v>
      </c>
    </row>
    <row r="397" spans="1:32" x14ac:dyDescent="0.2">
      <c r="A397" t="s">
        <v>1308</v>
      </c>
      <c r="B397" s="1">
        <v>45671</v>
      </c>
      <c r="D397" t="s">
        <v>1308</v>
      </c>
      <c r="E397" t="s">
        <v>40</v>
      </c>
      <c r="F397" t="s">
        <v>1309</v>
      </c>
      <c r="G397" t="s">
        <v>1310</v>
      </c>
      <c r="H397" t="s">
        <v>43</v>
      </c>
      <c r="J397">
        <v>3066.98</v>
      </c>
      <c r="K397">
        <v>3050.41</v>
      </c>
      <c r="L397">
        <v>3050.4105256100001</v>
      </c>
      <c r="Q397" t="s">
        <v>1311</v>
      </c>
      <c r="T397">
        <v>5.060470708986E-2</v>
      </c>
      <c r="V397" t="s">
        <v>79</v>
      </c>
      <c r="W397" t="s">
        <v>36</v>
      </c>
      <c r="X397" t="s">
        <v>69</v>
      </c>
      <c r="Y397" t="s">
        <v>38</v>
      </c>
      <c r="AD397">
        <v>0</v>
      </c>
      <c r="AE397" t="b">
        <f>ISNUMBER(MATCH(G397,AUM!$C$6:$C$1451,0))</f>
        <v>1</v>
      </c>
      <c r="AF397" t="b">
        <f>ISNUMBER(MATCH(G397,AUM!$G$6:$G$240,0))</f>
        <v>0</v>
      </c>
    </row>
    <row r="398" spans="1:32" x14ac:dyDescent="0.2">
      <c r="A398" t="s">
        <v>1312</v>
      </c>
      <c r="B398" s="1">
        <v>45671</v>
      </c>
      <c r="D398" t="s">
        <v>1312</v>
      </c>
      <c r="E398" t="s">
        <v>40</v>
      </c>
      <c r="F398" t="s">
        <v>1313</v>
      </c>
      <c r="G398" t="s">
        <v>1314</v>
      </c>
      <c r="H398" t="s">
        <v>43</v>
      </c>
      <c r="J398">
        <v>2799.08</v>
      </c>
      <c r="K398">
        <v>2783.96</v>
      </c>
      <c r="L398">
        <v>2783.9632855099999</v>
      </c>
      <c r="Q398" t="s">
        <v>1311</v>
      </c>
      <c r="U398">
        <v>3.7953530317390002E-2</v>
      </c>
      <c r="V398" t="s">
        <v>79</v>
      </c>
      <c r="W398" t="s">
        <v>36</v>
      </c>
      <c r="X398" t="s">
        <v>69</v>
      </c>
      <c r="Y398" t="s">
        <v>38</v>
      </c>
      <c r="AD398">
        <v>0</v>
      </c>
      <c r="AE398" t="b">
        <f>ISNUMBER(MATCH(G398,AUM!$C$6:$C$1451,0))</f>
        <v>1</v>
      </c>
      <c r="AF398" t="b">
        <f>ISNUMBER(MATCH(G398,AUM!$G$6:$G$240,0))</f>
        <v>0</v>
      </c>
    </row>
    <row r="399" spans="1:32" x14ac:dyDescent="0.2">
      <c r="A399" t="s">
        <v>1311</v>
      </c>
      <c r="B399" s="1">
        <v>45671</v>
      </c>
      <c r="D399" t="s">
        <v>1311</v>
      </c>
      <c r="E399" t="s">
        <v>40</v>
      </c>
      <c r="F399" t="s">
        <v>1315</v>
      </c>
      <c r="G399" t="s">
        <v>1316</v>
      </c>
      <c r="H399" t="s">
        <v>43</v>
      </c>
      <c r="I399">
        <v>2926702714.3741598</v>
      </c>
      <c r="J399">
        <v>1939.91</v>
      </c>
      <c r="K399">
        <v>1929.43</v>
      </c>
      <c r="L399">
        <v>1929.4318390400001</v>
      </c>
      <c r="M399">
        <v>5646873400518.1201</v>
      </c>
      <c r="N399">
        <v>201</v>
      </c>
      <c r="O399" t="s">
        <v>35</v>
      </c>
      <c r="P399">
        <v>1</v>
      </c>
      <c r="R399" t="s">
        <v>1308</v>
      </c>
      <c r="S399" t="s">
        <v>1312</v>
      </c>
      <c r="W399" t="s">
        <v>36</v>
      </c>
      <c r="X399" t="s">
        <v>37</v>
      </c>
      <c r="Y399" t="s">
        <v>38</v>
      </c>
      <c r="AD399">
        <v>0</v>
      </c>
      <c r="AE399" t="b">
        <f>ISNUMBER(MATCH(G399,AUM!$C$6:$C$1451,0))</f>
        <v>1</v>
      </c>
      <c r="AF399" t="b">
        <f>ISNUMBER(MATCH(G399,AUM!$G$6:$G$240,0))</f>
        <v>1</v>
      </c>
    </row>
    <row r="400" spans="1:32" x14ac:dyDescent="0.2">
      <c r="A400" t="s">
        <v>1317</v>
      </c>
      <c r="B400" s="1">
        <v>45671</v>
      </c>
      <c r="D400" t="s">
        <v>1317</v>
      </c>
      <c r="E400" t="s">
        <v>40</v>
      </c>
      <c r="F400" t="s">
        <v>1318</v>
      </c>
      <c r="G400" t="s">
        <v>1319</v>
      </c>
      <c r="H400" t="s">
        <v>43</v>
      </c>
      <c r="J400">
        <v>5128.57</v>
      </c>
      <c r="K400">
        <v>5097.28</v>
      </c>
      <c r="L400">
        <v>5097.2750721000002</v>
      </c>
      <c r="Q400" t="s">
        <v>1320</v>
      </c>
      <c r="T400">
        <v>0</v>
      </c>
      <c r="W400" t="s">
        <v>36</v>
      </c>
      <c r="X400" t="s">
        <v>69</v>
      </c>
      <c r="Y400" t="s">
        <v>38</v>
      </c>
      <c r="AD400">
        <v>0</v>
      </c>
      <c r="AE400" t="b">
        <f>ISNUMBER(MATCH(G400,AUM!$C$6:$C$1451,0))</f>
        <v>1</v>
      </c>
      <c r="AF400" t="b">
        <f>ISNUMBER(MATCH(G400,AUM!$G$6:$G$240,0))</f>
        <v>0</v>
      </c>
    </row>
    <row r="401" spans="1:32" x14ac:dyDescent="0.2">
      <c r="A401" t="s">
        <v>1321</v>
      </c>
      <c r="B401" s="1">
        <v>45671</v>
      </c>
      <c r="D401" t="s">
        <v>1321</v>
      </c>
      <c r="E401" t="s">
        <v>40</v>
      </c>
      <c r="F401" t="s">
        <v>1322</v>
      </c>
      <c r="G401" t="s">
        <v>1323</v>
      </c>
      <c r="H401" t="s">
        <v>43</v>
      </c>
      <c r="J401">
        <v>4471.01</v>
      </c>
      <c r="K401">
        <v>4443.7299999999996</v>
      </c>
      <c r="L401">
        <v>4443.7328728100001</v>
      </c>
      <c r="Q401" t="s">
        <v>1320</v>
      </c>
      <c r="U401">
        <v>0</v>
      </c>
      <c r="W401" t="s">
        <v>36</v>
      </c>
      <c r="X401" t="s">
        <v>69</v>
      </c>
      <c r="Y401" t="s">
        <v>38</v>
      </c>
      <c r="AD401">
        <v>0</v>
      </c>
      <c r="AE401" t="b">
        <f>ISNUMBER(MATCH(G401,AUM!$C$6:$C$1451,0))</f>
        <v>1</v>
      </c>
      <c r="AF401" t="b">
        <f>ISNUMBER(MATCH(G401,AUM!$G$6:$G$240,0))</f>
        <v>0</v>
      </c>
    </row>
    <row r="402" spans="1:32" x14ac:dyDescent="0.2">
      <c r="A402" t="s">
        <v>1320</v>
      </c>
      <c r="B402" s="1">
        <v>45671</v>
      </c>
      <c r="D402" t="s">
        <v>1320</v>
      </c>
      <c r="E402" t="s">
        <v>40</v>
      </c>
      <c r="F402" t="s">
        <v>1324</v>
      </c>
      <c r="G402" t="s">
        <v>1325</v>
      </c>
      <c r="H402" t="s">
        <v>43</v>
      </c>
      <c r="I402">
        <v>1711250.5863894101</v>
      </c>
      <c r="J402">
        <v>2804.99</v>
      </c>
      <c r="K402">
        <v>2787.87</v>
      </c>
      <c r="L402">
        <v>2787.87107341</v>
      </c>
      <c r="M402">
        <v>4770746009.1459999</v>
      </c>
      <c r="N402">
        <v>40</v>
      </c>
      <c r="O402" t="s">
        <v>35</v>
      </c>
      <c r="P402">
        <v>1</v>
      </c>
      <c r="R402" t="s">
        <v>1317</v>
      </c>
      <c r="S402" t="s">
        <v>1321</v>
      </c>
      <c r="W402" t="s">
        <v>36</v>
      </c>
      <c r="X402" t="s">
        <v>37</v>
      </c>
      <c r="Y402" t="s">
        <v>38</v>
      </c>
      <c r="AD402">
        <v>0</v>
      </c>
      <c r="AE402" t="b">
        <f>ISNUMBER(MATCH(G402,AUM!$C$6:$C$1451,0))</f>
        <v>1</v>
      </c>
      <c r="AF402" t="b">
        <f>ISNUMBER(MATCH(G402,AUM!$G$6:$G$240,0))</f>
        <v>0</v>
      </c>
    </row>
    <row r="403" spans="1:32" x14ac:dyDescent="0.2">
      <c r="A403" t="s">
        <v>1326</v>
      </c>
      <c r="B403" s="1">
        <v>45671</v>
      </c>
      <c r="D403" t="s">
        <v>1326</v>
      </c>
      <c r="E403" t="s">
        <v>40</v>
      </c>
      <c r="F403" t="s">
        <v>1327</v>
      </c>
      <c r="G403" t="s">
        <v>1328</v>
      </c>
      <c r="H403" t="s">
        <v>43</v>
      </c>
      <c r="J403">
        <v>3627.4</v>
      </c>
      <c r="K403">
        <v>3602.36</v>
      </c>
      <c r="L403">
        <v>3602.3574721199998</v>
      </c>
      <c r="Q403" t="s">
        <v>1329</v>
      </c>
      <c r="T403">
        <v>0</v>
      </c>
      <c r="W403" t="s">
        <v>36</v>
      </c>
      <c r="X403" t="s">
        <v>69</v>
      </c>
      <c r="Y403" t="s">
        <v>38</v>
      </c>
      <c r="AD403">
        <v>0</v>
      </c>
      <c r="AE403" t="b">
        <f>ISNUMBER(MATCH(G403,AUM!$C$6:$C$1451,0))</f>
        <v>1</v>
      </c>
      <c r="AF403" t="b">
        <f>ISNUMBER(MATCH(G403,AUM!$G$6:$G$240,0))</f>
        <v>0</v>
      </c>
    </row>
    <row r="404" spans="1:32" x14ac:dyDescent="0.2">
      <c r="A404" t="s">
        <v>1330</v>
      </c>
      <c r="B404" s="1">
        <v>45671</v>
      </c>
      <c r="D404" t="s">
        <v>1330</v>
      </c>
      <c r="E404" t="s">
        <v>40</v>
      </c>
      <c r="F404" t="s">
        <v>1331</v>
      </c>
      <c r="G404" t="s">
        <v>1332</v>
      </c>
      <c r="H404" t="s">
        <v>43</v>
      </c>
      <c r="J404">
        <v>3361.98</v>
      </c>
      <c r="K404">
        <v>3338.78</v>
      </c>
      <c r="L404">
        <v>3338.7758325200002</v>
      </c>
      <c r="Q404" t="s">
        <v>1329</v>
      </c>
      <c r="U404">
        <v>0</v>
      </c>
      <c r="W404" t="s">
        <v>36</v>
      </c>
      <c r="X404" t="s">
        <v>69</v>
      </c>
      <c r="Y404" t="s">
        <v>38</v>
      </c>
      <c r="AD404">
        <v>0</v>
      </c>
      <c r="AE404" t="b">
        <f>ISNUMBER(MATCH(G404,AUM!$C$6:$C$1451,0))</f>
        <v>1</v>
      </c>
      <c r="AF404" t="b">
        <f>ISNUMBER(MATCH(G404,AUM!$G$6:$G$240,0))</f>
        <v>0</v>
      </c>
    </row>
    <row r="405" spans="1:32" x14ac:dyDescent="0.2">
      <c r="A405" t="s">
        <v>1329</v>
      </c>
      <c r="B405" s="1">
        <v>45671</v>
      </c>
      <c r="D405" t="s">
        <v>1329</v>
      </c>
      <c r="E405" t="s">
        <v>40</v>
      </c>
      <c r="F405" t="s">
        <v>1333</v>
      </c>
      <c r="G405" t="s">
        <v>1334</v>
      </c>
      <c r="H405" t="s">
        <v>43</v>
      </c>
      <c r="I405">
        <v>309179494.43118</v>
      </c>
      <c r="J405">
        <v>1968.88</v>
      </c>
      <c r="K405">
        <v>1955.29</v>
      </c>
      <c r="L405">
        <v>1955.28815811</v>
      </c>
      <c r="M405">
        <v>604535004193.047</v>
      </c>
      <c r="N405">
        <v>75</v>
      </c>
      <c r="O405" t="s">
        <v>35</v>
      </c>
      <c r="P405">
        <v>1</v>
      </c>
      <c r="R405" t="s">
        <v>1326</v>
      </c>
      <c r="S405" t="s">
        <v>1330</v>
      </c>
      <c r="W405" t="s">
        <v>36</v>
      </c>
      <c r="X405" t="s">
        <v>37</v>
      </c>
      <c r="Y405" t="s">
        <v>38</v>
      </c>
      <c r="AD405">
        <v>0</v>
      </c>
      <c r="AE405" t="b">
        <f>ISNUMBER(MATCH(G405,AUM!$C$6:$C$1451,0))</f>
        <v>1</v>
      </c>
      <c r="AF405" t="b">
        <f>ISNUMBER(MATCH(G405,AUM!$G$6:$G$240,0))</f>
        <v>0</v>
      </c>
    </row>
    <row r="406" spans="1:32" x14ac:dyDescent="0.2">
      <c r="A406" t="s">
        <v>1335</v>
      </c>
      <c r="B406" s="1">
        <v>45671</v>
      </c>
      <c r="D406" t="s">
        <v>1335</v>
      </c>
      <c r="E406" t="s">
        <v>40</v>
      </c>
      <c r="F406" t="s">
        <v>1336</v>
      </c>
      <c r="G406" t="s">
        <v>1337</v>
      </c>
      <c r="H406" t="s">
        <v>43</v>
      </c>
      <c r="J406">
        <v>1983.63</v>
      </c>
      <c r="K406">
        <v>1972.04</v>
      </c>
      <c r="L406">
        <v>1972.04065464</v>
      </c>
      <c r="Q406" t="s">
        <v>1338</v>
      </c>
      <c r="T406">
        <v>0</v>
      </c>
      <c r="W406" t="s">
        <v>36</v>
      </c>
      <c r="X406" t="s">
        <v>69</v>
      </c>
      <c r="Y406" t="s">
        <v>38</v>
      </c>
      <c r="AD406">
        <v>0</v>
      </c>
      <c r="AE406" t="b">
        <f>ISNUMBER(MATCH(G406,AUM!$C$6:$C$1451,0))</f>
        <v>1</v>
      </c>
      <c r="AF406" t="b">
        <f>ISNUMBER(MATCH(G406,AUM!$G$6:$G$240,0))</f>
        <v>0</v>
      </c>
    </row>
    <row r="407" spans="1:32" x14ac:dyDescent="0.2">
      <c r="A407" t="s">
        <v>1339</v>
      </c>
      <c r="B407" s="1">
        <v>45671</v>
      </c>
      <c r="D407" t="s">
        <v>1339</v>
      </c>
      <c r="E407" t="s">
        <v>40</v>
      </c>
      <c r="F407" t="s">
        <v>1340</v>
      </c>
      <c r="G407" t="s">
        <v>1341</v>
      </c>
      <c r="H407" t="s">
        <v>43</v>
      </c>
      <c r="J407">
        <v>1848.68</v>
      </c>
      <c r="K407">
        <v>1837.88</v>
      </c>
      <c r="L407">
        <v>1837.8766212099999</v>
      </c>
      <c r="Q407" t="s">
        <v>1338</v>
      </c>
      <c r="U407">
        <v>0</v>
      </c>
      <c r="W407" t="s">
        <v>36</v>
      </c>
      <c r="X407" t="s">
        <v>69</v>
      </c>
      <c r="Y407" t="s">
        <v>38</v>
      </c>
      <c r="AD407">
        <v>0</v>
      </c>
      <c r="AE407" t="b">
        <f>ISNUMBER(MATCH(G407,AUM!$C$6:$C$1451,0))</f>
        <v>1</v>
      </c>
      <c r="AF407" t="b">
        <f>ISNUMBER(MATCH(G407,AUM!$G$6:$G$240,0))</f>
        <v>0</v>
      </c>
    </row>
    <row r="408" spans="1:32" x14ac:dyDescent="0.2">
      <c r="A408" t="s">
        <v>1338</v>
      </c>
      <c r="B408" s="1">
        <v>45671</v>
      </c>
      <c r="D408" t="s">
        <v>1338</v>
      </c>
      <c r="E408" t="s">
        <v>40</v>
      </c>
      <c r="F408" t="s">
        <v>1342</v>
      </c>
      <c r="G408" t="s">
        <v>1343</v>
      </c>
      <c r="H408" t="s">
        <v>43</v>
      </c>
      <c r="I408">
        <v>908616766.35635495</v>
      </c>
      <c r="J408">
        <v>1058.55</v>
      </c>
      <c r="K408">
        <v>1052.3599999999999</v>
      </c>
      <c r="L408">
        <v>1052.36023475</v>
      </c>
      <c r="M408">
        <v>956192153544.92102</v>
      </c>
      <c r="N408">
        <v>75</v>
      </c>
      <c r="O408" t="s">
        <v>35</v>
      </c>
      <c r="P408">
        <v>1</v>
      </c>
      <c r="R408" t="s">
        <v>1335</v>
      </c>
      <c r="S408" t="s">
        <v>1339</v>
      </c>
      <c r="W408" t="s">
        <v>36</v>
      </c>
      <c r="X408" t="s">
        <v>37</v>
      </c>
      <c r="Y408" t="s">
        <v>38</v>
      </c>
      <c r="AD408">
        <v>0</v>
      </c>
      <c r="AE408" t="b">
        <f>ISNUMBER(MATCH(G408,AUM!$C$6:$C$1451,0))</f>
        <v>1</v>
      </c>
      <c r="AF408" t="b">
        <f>ISNUMBER(MATCH(G408,AUM!$G$6:$G$240,0))</f>
        <v>0</v>
      </c>
    </row>
    <row r="409" spans="1:32" x14ac:dyDescent="0.2">
      <c r="A409" t="s">
        <v>386</v>
      </c>
      <c r="B409" s="1">
        <v>45671</v>
      </c>
      <c r="D409" t="s">
        <v>386</v>
      </c>
      <c r="E409" t="s">
        <v>40</v>
      </c>
      <c r="F409" t="s">
        <v>1344</v>
      </c>
      <c r="G409" t="s">
        <v>1345</v>
      </c>
      <c r="H409" t="s">
        <v>43</v>
      </c>
      <c r="I409">
        <v>52506941.554930598</v>
      </c>
      <c r="J409">
        <v>822.22</v>
      </c>
      <c r="K409">
        <v>812.69</v>
      </c>
      <c r="L409">
        <v>812.68518800000004</v>
      </c>
      <c r="M409">
        <v>42671613668.616798</v>
      </c>
      <c r="N409">
        <v>25</v>
      </c>
      <c r="O409" t="s">
        <v>35</v>
      </c>
      <c r="P409">
        <v>1</v>
      </c>
      <c r="R409" t="s">
        <v>394</v>
      </c>
      <c r="S409" t="s">
        <v>383</v>
      </c>
      <c r="W409" t="s">
        <v>36</v>
      </c>
      <c r="X409" t="s">
        <v>37</v>
      </c>
      <c r="Y409" t="s">
        <v>38</v>
      </c>
      <c r="AD409">
        <v>0</v>
      </c>
      <c r="AE409" t="b">
        <f>ISNUMBER(MATCH(G409,AUM!$C$6:$C$1451,0))</f>
        <v>1</v>
      </c>
      <c r="AF409" t="b">
        <f>ISNUMBER(MATCH(G409,AUM!$G$6:$G$240,0))</f>
        <v>0</v>
      </c>
    </row>
    <row r="410" spans="1:32" x14ac:dyDescent="0.2">
      <c r="A410" t="s">
        <v>382</v>
      </c>
      <c r="B410" s="1">
        <v>45671</v>
      </c>
      <c r="D410" t="s">
        <v>382</v>
      </c>
      <c r="E410" t="s">
        <v>40</v>
      </c>
      <c r="F410" t="s">
        <v>1346</v>
      </c>
      <c r="G410" t="s">
        <v>1347</v>
      </c>
      <c r="H410" t="s">
        <v>43</v>
      </c>
      <c r="I410">
        <v>5533186.0366312396</v>
      </c>
      <c r="J410">
        <v>1265.54</v>
      </c>
      <c r="K410">
        <v>1251.83</v>
      </c>
      <c r="L410">
        <v>1251.82763305</v>
      </c>
      <c r="M410">
        <v>6926595179.4667997</v>
      </c>
      <c r="N410">
        <v>25</v>
      </c>
      <c r="O410" t="s">
        <v>35</v>
      </c>
      <c r="P410">
        <v>1</v>
      </c>
      <c r="R410" t="s">
        <v>391</v>
      </c>
      <c r="S410" t="s">
        <v>379</v>
      </c>
      <c r="W410" t="s">
        <v>36</v>
      </c>
      <c r="X410" t="s">
        <v>37</v>
      </c>
      <c r="Y410" t="s">
        <v>38</v>
      </c>
      <c r="AD410">
        <v>0</v>
      </c>
      <c r="AE410" t="b">
        <f>ISNUMBER(MATCH(G410,AUM!$C$6:$C$1451,0))</f>
        <v>1</v>
      </c>
      <c r="AF410" t="b">
        <f>ISNUMBER(MATCH(G410,AUM!$G$6:$G$240,0))</f>
        <v>0</v>
      </c>
    </row>
    <row r="411" spans="1:32" x14ac:dyDescent="0.2">
      <c r="A411" t="s">
        <v>238</v>
      </c>
      <c r="B411" s="1">
        <v>45671</v>
      </c>
      <c r="D411" t="s">
        <v>238</v>
      </c>
      <c r="E411" t="s">
        <v>40</v>
      </c>
      <c r="F411" t="s">
        <v>1348</v>
      </c>
      <c r="G411" t="s">
        <v>1349</v>
      </c>
      <c r="H411" t="s">
        <v>43</v>
      </c>
      <c r="I411">
        <v>1286006820.94297</v>
      </c>
      <c r="J411">
        <v>1167.17</v>
      </c>
      <c r="K411">
        <v>1158.06</v>
      </c>
      <c r="L411">
        <v>1158.05846737</v>
      </c>
      <c r="M411">
        <v>1489271088085.4399</v>
      </c>
      <c r="N411">
        <v>121</v>
      </c>
      <c r="O411" t="s">
        <v>35</v>
      </c>
      <c r="P411">
        <v>1</v>
      </c>
      <c r="R411" t="s">
        <v>235</v>
      </c>
      <c r="W411" t="s">
        <v>36</v>
      </c>
      <c r="X411" t="s">
        <v>37</v>
      </c>
      <c r="Y411" t="s">
        <v>38</v>
      </c>
      <c r="AD411">
        <v>0</v>
      </c>
      <c r="AE411" t="b">
        <f>ISNUMBER(MATCH(G411,AUM!$C$6:$C$1451,0))</f>
        <v>1</v>
      </c>
      <c r="AF411" t="b">
        <f>ISNUMBER(MATCH(G411,AUM!$G$6:$G$240,0))</f>
        <v>0</v>
      </c>
    </row>
    <row r="412" spans="1:32" x14ac:dyDescent="0.2">
      <c r="A412" t="s">
        <v>1350</v>
      </c>
      <c r="B412" s="1">
        <v>45671</v>
      </c>
      <c r="D412" t="s">
        <v>386</v>
      </c>
      <c r="E412" t="s">
        <v>40</v>
      </c>
      <c r="F412" t="s">
        <v>1351</v>
      </c>
      <c r="G412" t="s">
        <v>1352</v>
      </c>
      <c r="H412" t="s">
        <v>43</v>
      </c>
      <c r="I412">
        <v>52506941.554930598</v>
      </c>
      <c r="J412">
        <v>822.22</v>
      </c>
      <c r="K412">
        <v>812.69</v>
      </c>
      <c r="L412">
        <v>812.68518800000004</v>
      </c>
      <c r="M412">
        <v>42671613668.616798</v>
      </c>
      <c r="N412">
        <v>25</v>
      </c>
      <c r="O412" t="s">
        <v>35</v>
      </c>
      <c r="P412">
        <v>1</v>
      </c>
      <c r="R412" t="s">
        <v>394</v>
      </c>
      <c r="S412" t="s">
        <v>383</v>
      </c>
      <c r="W412" t="s">
        <v>36</v>
      </c>
      <c r="X412" t="s">
        <v>37</v>
      </c>
      <c r="Y412" t="s">
        <v>38</v>
      </c>
      <c r="AD412">
        <v>0</v>
      </c>
      <c r="AE412" t="b">
        <f>ISNUMBER(MATCH(G412,AUM!$C$6:$C$1451,0))</f>
        <v>0</v>
      </c>
      <c r="AF412" t="b">
        <f>ISNUMBER(MATCH(G412,AUM!$G$6:$G$240,0))</f>
        <v>0</v>
      </c>
    </row>
    <row r="413" spans="1:32" x14ac:dyDescent="0.2">
      <c r="A413" t="s">
        <v>1353</v>
      </c>
      <c r="B413" s="1">
        <v>45671</v>
      </c>
      <c r="D413" t="s">
        <v>551</v>
      </c>
      <c r="E413" t="s">
        <v>40</v>
      </c>
      <c r="F413" t="s">
        <v>1354</v>
      </c>
      <c r="G413" t="s">
        <v>1355</v>
      </c>
      <c r="H413" t="s">
        <v>43</v>
      </c>
      <c r="I413">
        <v>52506941.554930598</v>
      </c>
      <c r="J413">
        <v>822.22</v>
      </c>
      <c r="K413">
        <v>812.69</v>
      </c>
      <c r="L413">
        <v>812.68518800000004</v>
      </c>
      <c r="M413">
        <v>42671613668.616798</v>
      </c>
      <c r="N413">
        <v>25</v>
      </c>
      <c r="O413" t="s">
        <v>35</v>
      </c>
      <c r="P413">
        <v>1</v>
      </c>
      <c r="R413" t="s">
        <v>553</v>
      </c>
      <c r="S413" t="s">
        <v>548</v>
      </c>
      <c r="W413" t="s">
        <v>36</v>
      </c>
      <c r="X413" t="s">
        <v>37</v>
      </c>
      <c r="Y413" t="s">
        <v>38</v>
      </c>
      <c r="AD413">
        <v>0</v>
      </c>
      <c r="AE413" t="b">
        <f>ISNUMBER(MATCH(G413,AUM!$C$6:$C$1451,0))</f>
        <v>0</v>
      </c>
      <c r="AF413" t="b">
        <f>ISNUMBER(MATCH(G413,AUM!$G$6:$G$240,0))</f>
        <v>0</v>
      </c>
    </row>
    <row r="414" spans="1:32" x14ac:dyDescent="0.2">
      <c r="A414" t="s">
        <v>390</v>
      </c>
      <c r="B414" s="1">
        <v>45671</v>
      </c>
      <c r="D414" t="s">
        <v>390</v>
      </c>
      <c r="E414" t="s">
        <v>40</v>
      </c>
      <c r="F414" t="s">
        <v>1356</v>
      </c>
      <c r="G414" t="s">
        <v>1357</v>
      </c>
      <c r="H414" t="s">
        <v>43</v>
      </c>
      <c r="I414">
        <v>998905534.11928701</v>
      </c>
      <c r="J414">
        <v>890.3</v>
      </c>
      <c r="K414">
        <v>885.28</v>
      </c>
      <c r="L414">
        <v>885.27676233</v>
      </c>
      <c r="M414">
        <v>884307857114.13501</v>
      </c>
      <c r="N414">
        <v>25</v>
      </c>
      <c r="O414" t="s">
        <v>35</v>
      </c>
      <c r="P414">
        <v>1</v>
      </c>
      <c r="R414" t="s">
        <v>1358</v>
      </c>
      <c r="S414" t="s">
        <v>387</v>
      </c>
      <c r="W414" t="s">
        <v>36</v>
      </c>
      <c r="X414" t="s">
        <v>37</v>
      </c>
      <c r="Y414" t="s">
        <v>38</v>
      </c>
      <c r="AD414">
        <v>0</v>
      </c>
      <c r="AE414" t="b">
        <f>ISNUMBER(MATCH(G414,AUM!$C$6:$C$1451,0))</f>
        <v>1</v>
      </c>
      <c r="AF414" t="b">
        <f>ISNUMBER(MATCH(G414,AUM!$G$6:$G$240,0))</f>
        <v>0</v>
      </c>
    </row>
    <row r="415" spans="1:32" x14ac:dyDescent="0.2">
      <c r="A415" t="s">
        <v>1359</v>
      </c>
      <c r="B415" s="1">
        <v>45671</v>
      </c>
      <c r="D415" t="s">
        <v>390</v>
      </c>
      <c r="E415" t="s">
        <v>40</v>
      </c>
      <c r="F415" t="s">
        <v>1360</v>
      </c>
      <c r="G415" t="s">
        <v>1361</v>
      </c>
      <c r="H415" t="s">
        <v>43</v>
      </c>
      <c r="I415">
        <v>998905534.12367702</v>
      </c>
      <c r="J415">
        <v>890.3</v>
      </c>
      <c r="K415">
        <v>885.28</v>
      </c>
      <c r="L415">
        <v>885.27676231999999</v>
      </c>
      <c r="M415">
        <v>884307857114.13501</v>
      </c>
      <c r="N415">
        <v>25</v>
      </c>
      <c r="O415" t="s">
        <v>35</v>
      </c>
      <c r="P415">
        <v>1</v>
      </c>
      <c r="R415" t="s">
        <v>1358</v>
      </c>
      <c r="S415" t="s">
        <v>387</v>
      </c>
      <c r="W415" t="s">
        <v>36</v>
      </c>
      <c r="X415" t="s">
        <v>37</v>
      </c>
      <c r="Y415" t="s">
        <v>38</v>
      </c>
      <c r="AD415">
        <v>0</v>
      </c>
      <c r="AE415" t="b">
        <f>ISNUMBER(MATCH(G415,AUM!$C$6:$C$1451,0))</f>
        <v>0</v>
      </c>
      <c r="AF415" t="b">
        <f>ISNUMBER(MATCH(G415,AUM!$G$6:$G$240,0))</f>
        <v>0</v>
      </c>
    </row>
    <row r="416" spans="1:32" x14ac:dyDescent="0.2">
      <c r="A416" t="s">
        <v>1362</v>
      </c>
      <c r="B416" s="1">
        <v>45671</v>
      </c>
      <c r="D416" t="s">
        <v>1363</v>
      </c>
      <c r="E416" t="s">
        <v>40</v>
      </c>
      <c r="F416" t="s">
        <v>1364</v>
      </c>
      <c r="G416" t="s">
        <v>1365</v>
      </c>
      <c r="H416" t="s">
        <v>43</v>
      </c>
      <c r="I416">
        <v>998905534.11928701</v>
      </c>
      <c r="J416">
        <v>890.3</v>
      </c>
      <c r="K416">
        <v>885.28</v>
      </c>
      <c r="L416">
        <v>885.27676233</v>
      </c>
      <c r="M416">
        <v>884307857114.13501</v>
      </c>
      <c r="N416">
        <v>25</v>
      </c>
      <c r="O416" t="s">
        <v>35</v>
      </c>
      <c r="P416">
        <v>1</v>
      </c>
      <c r="R416" t="s">
        <v>1366</v>
      </c>
      <c r="S416" t="s">
        <v>1367</v>
      </c>
      <c r="W416" t="s">
        <v>36</v>
      </c>
      <c r="X416" t="s">
        <v>37</v>
      </c>
      <c r="Y416" t="s">
        <v>38</v>
      </c>
      <c r="AD416">
        <v>0</v>
      </c>
      <c r="AE416" t="b">
        <f>ISNUMBER(MATCH(G416,AUM!$C$6:$C$1451,0))</f>
        <v>0</v>
      </c>
      <c r="AF416" t="b">
        <f>ISNUMBER(MATCH(G416,AUM!$G$6:$G$240,0))</f>
        <v>0</v>
      </c>
    </row>
    <row r="417" spans="1:32" x14ac:dyDescent="0.2">
      <c r="A417" t="s">
        <v>1368</v>
      </c>
      <c r="B417" s="1">
        <v>45671</v>
      </c>
      <c r="D417" t="s">
        <v>387</v>
      </c>
      <c r="E417" t="s">
        <v>40</v>
      </c>
      <c r="F417" t="s">
        <v>1369</v>
      </c>
      <c r="G417" t="s">
        <v>1370</v>
      </c>
      <c r="H417" t="s">
        <v>43</v>
      </c>
      <c r="J417">
        <v>3006.41</v>
      </c>
      <c r="K417">
        <v>2989.45</v>
      </c>
      <c r="L417">
        <v>2989.4506337799999</v>
      </c>
      <c r="Q417" t="s">
        <v>390</v>
      </c>
      <c r="U417">
        <v>0</v>
      </c>
      <c r="W417" t="s">
        <v>36</v>
      </c>
      <c r="X417" t="s">
        <v>69</v>
      </c>
      <c r="Y417" t="s">
        <v>38</v>
      </c>
      <c r="AD417">
        <v>0</v>
      </c>
      <c r="AE417" t="b">
        <f>ISNUMBER(MATCH(G417,AUM!$C$6:$C$1451,0))</f>
        <v>0</v>
      </c>
      <c r="AF417" t="b">
        <f>ISNUMBER(MATCH(G417,AUM!$G$6:$G$240,0))</f>
        <v>0</v>
      </c>
    </row>
    <row r="418" spans="1:32" x14ac:dyDescent="0.2">
      <c r="A418" t="s">
        <v>1371</v>
      </c>
      <c r="B418" s="1">
        <v>45671</v>
      </c>
      <c r="D418" t="s">
        <v>1358</v>
      </c>
      <c r="E418" t="s">
        <v>40</v>
      </c>
      <c r="F418" t="s">
        <v>1372</v>
      </c>
      <c r="G418" t="s">
        <v>1373</v>
      </c>
      <c r="H418" t="s">
        <v>43</v>
      </c>
      <c r="J418">
        <v>3492.04</v>
      </c>
      <c r="K418">
        <v>3472.35</v>
      </c>
      <c r="L418">
        <v>3472.3485802999999</v>
      </c>
      <c r="Q418" t="s">
        <v>390</v>
      </c>
      <c r="T418">
        <v>0</v>
      </c>
      <c r="W418" t="s">
        <v>36</v>
      </c>
      <c r="X418" t="s">
        <v>69</v>
      </c>
      <c r="Y418" t="s">
        <v>38</v>
      </c>
      <c r="AD418">
        <v>0</v>
      </c>
      <c r="AE418" t="b">
        <f>ISNUMBER(MATCH(G418,AUM!$C$6:$C$1451,0))</f>
        <v>0</v>
      </c>
      <c r="AF418" t="b">
        <f>ISNUMBER(MATCH(G418,AUM!$G$6:$G$240,0))</f>
        <v>0</v>
      </c>
    </row>
    <row r="419" spans="1:32" x14ac:dyDescent="0.2">
      <c r="A419" t="s">
        <v>1374</v>
      </c>
      <c r="B419" s="1">
        <v>45671</v>
      </c>
      <c r="D419" t="s">
        <v>1367</v>
      </c>
      <c r="E419" t="s">
        <v>40</v>
      </c>
      <c r="F419" t="s">
        <v>1375</v>
      </c>
      <c r="G419" t="s">
        <v>1376</v>
      </c>
      <c r="H419" t="s">
        <v>43</v>
      </c>
      <c r="J419">
        <v>3006.41</v>
      </c>
      <c r="K419">
        <v>2989.45</v>
      </c>
      <c r="L419">
        <v>2989.45063381</v>
      </c>
      <c r="Q419" t="s">
        <v>1363</v>
      </c>
      <c r="U419">
        <v>0</v>
      </c>
      <c r="W419" t="s">
        <v>36</v>
      </c>
      <c r="X419" t="s">
        <v>69</v>
      </c>
      <c r="Y419" t="s">
        <v>38</v>
      </c>
      <c r="AD419">
        <v>0</v>
      </c>
      <c r="AE419" t="b">
        <f>ISNUMBER(MATCH(G419,AUM!$C$6:$C$1451,0))</f>
        <v>0</v>
      </c>
      <c r="AF419" t="b">
        <f>ISNUMBER(MATCH(G419,AUM!$G$6:$G$240,0))</f>
        <v>0</v>
      </c>
    </row>
    <row r="420" spans="1:32" x14ac:dyDescent="0.2">
      <c r="A420" t="s">
        <v>1377</v>
      </c>
      <c r="B420" s="1">
        <v>45671</v>
      </c>
      <c r="D420" t="s">
        <v>1366</v>
      </c>
      <c r="E420" t="s">
        <v>40</v>
      </c>
      <c r="F420" t="s">
        <v>1378</v>
      </c>
      <c r="G420" t="s">
        <v>1379</v>
      </c>
      <c r="H420" t="s">
        <v>43</v>
      </c>
      <c r="J420">
        <v>3492.04</v>
      </c>
      <c r="K420">
        <v>3472.35</v>
      </c>
      <c r="L420">
        <v>3472.34858033</v>
      </c>
      <c r="Q420" t="s">
        <v>1363</v>
      </c>
      <c r="T420">
        <v>0</v>
      </c>
      <c r="W420" t="s">
        <v>36</v>
      </c>
      <c r="X420" t="s">
        <v>69</v>
      </c>
      <c r="Y420" t="s">
        <v>38</v>
      </c>
      <c r="AD420">
        <v>0</v>
      </c>
      <c r="AE420" t="b">
        <f>ISNUMBER(MATCH(G420,AUM!$C$6:$C$1451,0))</f>
        <v>0</v>
      </c>
      <c r="AF420" t="b">
        <f>ISNUMBER(MATCH(G420,AUM!$G$6:$G$240,0))</f>
        <v>0</v>
      </c>
    </row>
    <row r="421" spans="1:32" x14ac:dyDescent="0.2">
      <c r="A421" t="s">
        <v>1380</v>
      </c>
      <c r="B421" s="1">
        <v>45671</v>
      </c>
      <c r="D421" t="s">
        <v>1380</v>
      </c>
      <c r="E421" t="s">
        <v>40</v>
      </c>
      <c r="F421" t="s">
        <v>1381</v>
      </c>
      <c r="G421" t="s">
        <v>1382</v>
      </c>
      <c r="H421" t="s">
        <v>43</v>
      </c>
      <c r="J421">
        <v>4408.79</v>
      </c>
      <c r="K421">
        <v>4520.6400000000003</v>
      </c>
      <c r="L421">
        <v>4520.64189747</v>
      </c>
      <c r="Q421" t="s">
        <v>1383</v>
      </c>
      <c r="T421">
        <v>0</v>
      </c>
      <c r="W421" t="s">
        <v>36</v>
      </c>
      <c r="X421" t="s">
        <v>69</v>
      </c>
      <c r="Y421" t="s">
        <v>38</v>
      </c>
      <c r="AD421">
        <v>0</v>
      </c>
      <c r="AE421" t="b">
        <f>ISNUMBER(MATCH(G421,AUM!$C$6:$C$1451,0))</f>
        <v>0</v>
      </c>
      <c r="AF421" t="b">
        <f>ISNUMBER(MATCH(G421,AUM!$G$6:$G$240,0))</f>
        <v>0</v>
      </c>
    </row>
    <row r="422" spans="1:32" x14ac:dyDescent="0.2">
      <c r="A422" t="s">
        <v>1384</v>
      </c>
      <c r="B422" s="1">
        <v>45671</v>
      </c>
      <c r="D422" t="s">
        <v>1384</v>
      </c>
      <c r="E422" t="s">
        <v>40</v>
      </c>
      <c r="F422" t="s">
        <v>1385</v>
      </c>
      <c r="G422" t="s">
        <v>1386</v>
      </c>
      <c r="H422" t="s">
        <v>43</v>
      </c>
      <c r="J422">
        <v>3986.6</v>
      </c>
      <c r="K422">
        <v>4087.74</v>
      </c>
      <c r="L422">
        <v>4087.74050575</v>
      </c>
      <c r="Q422" t="s">
        <v>1383</v>
      </c>
      <c r="U422">
        <v>0</v>
      </c>
      <c r="W422" t="s">
        <v>36</v>
      </c>
      <c r="X422" t="s">
        <v>69</v>
      </c>
      <c r="Y422" t="s">
        <v>38</v>
      </c>
      <c r="AD422">
        <v>0</v>
      </c>
      <c r="AE422" t="b">
        <f>ISNUMBER(MATCH(G422,AUM!$C$6:$C$1451,0))</f>
        <v>0</v>
      </c>
      <c r="AF422" t="b">
        <f>ISNUMBER(MATCH(G422,AUM!$G$6:$G$240,0))</f>
        <v>0</v>
      </c>
    </row>
    <row r="423" spans="1:32" x14ac:dyDescent="0.2">
      <c r="A423" t="s">
        <v>1383</v>
      </c>
      <c r="B423" s="1">
        <v>45671</v>
      </c>
      <c r="D423" t="s">
        <v>1383</v>
      </c>
      <c r="E423" t="s">
        <v>40</v>
      </c>
      <c r="F423" t="s">
        <v>1387</v>
      </c>
      <c r="G423" t="s">
        <v>1388</v>
      </c>
      <c r="H423" t="s">
        <v>43</v>
      </c>
      <c r="I423">
        <v>151642024.35241899</v>
      </c>
      <c r="J423">
        <v>3065.55</v>
      </c>
      <c r="K423">
        <v>3143.32</v>
      </c>
      <c r="L423">
        <v>3143.31822121</v>
      </c>
      <c r="M423">
        <v>476659138248.64203</v>
      </c>
      <c r="N423">
        <v>12</v>
      </c>
      <c r="O423" t="s">
        <v>35</v>
      </c>
      <c r="P423">
        <v>1</v>
      </c>
      <c r="R423" t="s">
        <v>1380</v>
      </c>
      <c r="S423" t="s">
        <v>1384</v>
      </c>
      <c r="W423" t="s">
        <v>36</v>
      </c>
      <c r="X423" t="s">
        <v>37</v>
      </c>
      <c r="Y423" t="s">
        <v>38</v>
      </c>
      <c r="AD423">
        <v>0</v>
      </c>
      <c r="AE423" t="b">
        <f>ISNUMBER(MATCH(G423,AUM!$C$6:$C$1451,0))</f>
        <v>0</v>
      </c>
      <c r="AF423" t="b">
        <f>ISNUMBER(MATCH(G423,AUM!$G$6:$G$240,0))</f>
        <v>0</v>
      </c>
    </row>
    <row r="424" spans="1:32" x14ac:dyDescent="0.2">
      <c r="A424" t="s">
        <v>1389</v>
      </c>
      <c r="B424" s="1">
        <v>45671</v>
      </c>
      <c r="D424" t="s">
        <v>1389</v>
      </c>
      <c r="E424" t="s">
        <v>40</v>
      </c>
      <c r="F424" t="s">
        <v>1390</v>
      </c>
      <c r="G424" t="s">
        <v>1391</v>
      </c>
      <c r="H424" t="s">
        <v>43</v>
      </c>
      <c r="J424">
        <v>8095.3</v>
      </c>
      <c r="K424">
        <v>8236.1299999999992</v>
      </c>
      <c r="L424">
        <v>8236.1311273200008</v>
      </c>
      <c r="Q424" t="s">
        <v>1392</v>
      </c>
      <c r="T424">
        <v>0.12744958869979001</v>
      </c>
      <c r="V424" t="s">
        <v>835</v>
      </c>
      <c r="W424" t="s">
        <v>36</v>
      </c>
      <c r="X424" t="s">
        <v>69</v>
      </c>
      <c r="Y424" t="s">
        <v>38</v>
      </c>
      <c r="AD424">
        <v>0</v>
      </c>
      <c r="AE424" t="b">
        <f>ISNUMBER(MATCH(G424,AUM!$C$6:$C$1451,0))</f>
        <v>0</v>
      </c>
      <c r="AF424" t="b">
        <f>ISNUMBER(MATCH(G424,AUM!$G$6:$G$240,0))</f>
        <v>0</v>
      </c>
    </row>
    <row r="425" spans="1:32" x14ac:dyDescent="0.2">
      <c r="A425" t="s">
        <v>1393</v>
      </c>
      <c r="B425" s="1">
        <v>45671</v>
      </c>
      <c r="D425" t="s">
        <v>1393</v>
      </c>
      <c r="E425" t="s">
        <v>40</v>
      </c>
      <c r="F425" t="s">
        <v>1394</v>
      </c>
      <c r="G425" t="s">
        <v>1395</v>
      </c>
      <c r="H425" t="s">
        <v>43</v>
      </c>
      <c r="J425">
        <v>7497.04</v>
      </c>
      <c r="K425">
        <v>7627.46</v>
      </c>
      <c r="L425">
        <v>7627.4603682999996</v>
      </c>
      <c r="Q425" t="s">
        <v>1392</v>
      </c>
      <c r="U425">
        <v>8.9214712089850004E-2</v>
      </c>
      <c r="V425" t="s">
        <v>835</v>
      </c>
      <c r="W425" t="s">
        <v>36</v>
      </c>
      <c r="X425" t="s">
        <v>69</v>
      </c>
      <c r="Y425" t="s">
        <v>38</v>
      </c>
      <c r="AD425">
        <v>0</v>
      </c>
      <c r="AE425" t="b">
        <f>ISNUMBER(MATCH(G425,AUM!$C$6:$C$1451,0))</f>
        <v>0</v>
      </c>
      <c r="AF425" t="b">
        <f>ISNUMBER(MATCH(G425,AUM!$G$6:$G$240,0))</f>
        <v>0</v>
      </c>
    </row>
    <row r="426" spans="1:32" x14ac:dyDescent="0.2">
      <c r="A426" t="s">
        <v>1392</v>
      </c>
      <c r="B426" s="1">
        <v>45671</v>
      </c>
      <c r="D426" t="s">
        <v>1392</v>
      </c>
      <c r="E426" t="s">
        <v>40</v>
      </c>
      <c r="F426" t="s">
        <v>1396</v>
      </c>
      <c r="G426" t="s">
        <v>1397</v>
      </c>
      <c r="H426" t="s">
        <v>43</v>
      </c>
      <c r="I426">
        <v>767096787.06835401</v>
      </c>
      <c r="J426">
        <v>6240.36</v>
      </c>
      <c r="K426">
        <v>6348.93</v>
      </c>
      <c r="L426">
        <v>6348.92700315</v>
      </c>
      <c r="M426">
        <v>4870241505450.5195</v>
      </c>
      <c r="N426">
        <v>48</v>
      </c>
      <c r="O426" t="s">
        <v>35</v>
      </c>
      <c r="P426">
        <v>1</v>
      </c>
      <c r="R426" t="s">
        <v>1389</v>
      </c>
      <c r="S426" t="s">
        <v>1393</v>
      </c>
      <c r="W426" t="s">
        <v>36</v>
      </c>
      <c r="X426" t="s">
        <v>37</v>
      </c>
      <c r="Y426" t="s">
        <v>38</v>
      </c>
      <c r="AD426">
        <v>0</v>
      </c>
      <c r="AE426" t="b">
        <f>ISNUMBER(MATCH(G426,AUM!$C$6:$C$1451,0))</f>
        <v>0</v>
      </c>
      <c r="AF426" t="b">
        <f>ISNUMBER(MATCH(G426,AUM!$G$6:$G$240,0))</f>
        <v>0</v>
      </c>
    </row>
    <row r="427" spans="1:32" x14ac:dyDescent="0.2">
      <c r="A427" t="s">
        <v>1398</v>
      </c>
      <c r="B427" s="1">
        <v>45671</v>
      </c>
      <c r="D427" t="s">
        <v>1398</v>
      </c>
      <c r="E427" t="s">
        <v>40</v>
      </c>
      <c r="F427" t="s">
        <v>1399</v>
      </c>
      <c r="G427" t="s">
        <v>1400</v>
      </c>
      <c r="H427" t="s">
        <v>43</v>
      </c>
      <c r="J427">
        <v>7441.37</v>
      </c>
      <c r="K427">
        <v>7535.24</v>
      </c>
      <c r="L427">
        <v>7535.2434520400002</v>
      </c>
      <c r="Q427" t="s">
        <v>1401</v>
      </c>
      <c r="T427">
        <v>0</v>
      </c>
      <c r="W427" t="s">
        <v>36</v>
      </c>
      <c r="X427" t="s">
        <v>69</v>
      </c>
      <c r="Y427" t="s">
        <v>38</v>
      </c>
      <c r="AD427">
        <v>0</v>
      </c>
      <c r="AE427" t="b">
        <f>ISNUMBER(MATCH(G427,AUM!$C$6:$C$1451,0))</f>
        <v>0</v>
      </c>
      <c r="AF427" t="b">
        <f>ISNUMBER(MATCH(G427,AUM!$G$6:$G$240,0))</f>
        <v>0</v>
      </c>
    </row>
    <row r="428" spans="1:32" x14ac:dyDescent="0.2">
      <c r="A428" t="s">
        <v>1402</v>
      </c>
      <c r="B428" s="1">
        <v>45671</v>
      </c>
      <c r="D428" t="s">
        <v>1402</v>
      </c>
      <c r="E428" t="s">
        <v>40</v>
      </c>
      <c r="F428" t="s">
        <v>1403</v>
      </c>
      <c r="G428" t="s">
        <v>1404</v>
      </c>
      <c r="H428" t="s">
        <v>43</v>
      </c>
      <c r="J428">
        <v>6822.88</v>
      </c>
      <c r="K428">
        <v>6908.95</v>
      </c>
      <c r="L428">
        <v>6908.9499675799998</v>
      </c>
      <c r="Q428" t="s">
        <v>1401</v>
      </c>
      <c r="U428">
        <v>0</v>
      </c>
      <c r="W428" t="s">
        <v>36</v>
      </c>
      <c r="X428" t="s">
        <v>69</v>
      </c>
      <c r="Y428" t="s">
        <v>38</v>
      </c>
      <c r="AD428">
        <v>0</v>
      </c>
      <c r="AE428" t="b">
        <f>ISNUMBER(MATCH(G428,AUM!$C$6:$C$1451,0))</f>
        <v>0</v>
      </c>
      <c r="AF428" t="b">
        <f>ISNUMBER(MATCH(G428,AUM!$G$6:$G$240,0))</f>
        <v>0</v>
      </c>
    </row>
    <row r="429" spans="1:32" x14ac:dyDescent="0.2">
      <c r="A429" t="s">
        <v>1401</v>
      </c>
      <c r="B429" s="1">
        <v>45671</v>
      </c>
      <c r="D429" t="s">
        <v>1401</v>
      </c>
      <c r="E429" t="s">
        <v>40</v>
      </c>
      <c r="F429" t="s">
        <v>1405</v>
      </c>
      <c r="G429" t="s">
        <v>1406</v>
      </c>
      <c r="H429" t="s">
        <v>43</v>
      </c>
      <c r="I429">
        <v>894585746.37707806</v>
      </c>
      <c r="J429">
        <v>5542.47</v>
      </c>
      <c r="K429">
        <v>5612.39</v>
      </c>
      <c r="L429">
        <v>5612.3900133999996</v>
      </c>
      <c r="M429">
        <v>5020764109097.7598</v>
      </c>
      <c r="N429">
        <v>62</v>
      </c>
      <c r="O429" t="s">
        <v>35</v>
      </c>
      <c r="P429">
        <v>1</v>
      </c>
      <c r="R429" t="s">
        <v>1398</v>
      </c>
      <c r="S429" t="s">
        <v>1402</v>
      </c>
      <c r="W429" t="s">
        <v>36</v>
      </c>
      <c r="X429" t="s">
        <v>37</v>
      </c>
      <c r="Y429" t="s">
        <v>38</v>
      </c>
      <c r="AD429">
        <v>0</v>
      </c>
      <c r="AE429" t="b">
        <f>ISNUMBER(MATCH(G429,AUM!$C$6:$C$1451,0))</f>
        <v>0</v>
      </c>
      <c r="AF429" t="b">
        <f>ISNUMBER(MATCH(G429,AUM!$G$6:$G$240,0))</f>
        <v>0</v>
      </c>
    </row>
    <row r="430" spans="1:32" x14ac:dyDescent="0.2">
      <c r="A430" t="s">
        <v>1407</v>
      </c>
      <c r="B430" s="1">
        <v>45671</v>
      </c>
      <c r="D430" t="s">
        <v>1407</v>
      </c>
      <c r="E430" t="s">
        <v>40</v>
      </c>
      <c r="F430" t="s">
        <v>1408</v>
      </c>
      <c r="G430" t="s">
        <v>1409</v>
      </c>
      <c r="H430" t="s">
        <v>43</v>
      </c>
      <c r="J430">
        <v>13304.01</v>
      </c>
      <c r="K430">
        <v>13394.29</v>
      </c>
      <c r="L430">
        <v>13394.294313390001</v>
      </c>
      <c r="Q430" t="s">
        <v>1410</v>
      </c>
      <c r="T430">
        <v>0</v>
      </c>
      <c r="W430" t="s">
        <v>36</v>
      </c>
      <c r="X430" t="s">
        <v>69</v>
      </c>
      <c r="Y430" t="s">
        <v>38</v>
      </c>
      <c r="AD430">
        <v>0</v>
      </c>
      <c r="AE430" t="b">
        <f>ISNUMBER(MATCH(G430,AUM!$C$6:$C$1451,0))</f>
        <v>0</v>
      </c>
      <c r="AF430" t="b">
        <f>ISNUMBER(MATCH(G430,AUM!$G$6:$G$240,0))</f>
        <v>0</v>
      </c>
    </row>
    <row r="431" spans="1:32" x14ac:dyDescent="0.2">
      <c r="A431" t="s">
        <v>1411</v>
      </c>
      <c r="B431" s="1">
        <v>45671</v>
      </c>
      <c r="D431" t="s">
        <v>1411</v>
      </c>
      <c r="E431" t="s">
        <v>40</v>
      </c>
      <c r="F431" t="s">
        <v>1412</v>
      </c>
      <c r="G431" t="s">
        <v>1413</v>
      </c>
      <c r="H431" t="s">
        <v>43</v>
      </c>
      <c r="J431">
        <v>12567.42</v>
      </c>
      <c r="K431">
        <v>12652.7</v>
      </c>
      <c r="L431">
        <v>12652.700626289999</v>
      </c>
      <c r="Q431" t="s">
        <v>1410</v>
      </c>
      <c r="U431">
        <v>0</v>
      </c>
      <c r="W431" t="s">
        <v>36</v>
      </c>
      <c r="X431" t="s">
        <v>69</v>
      </c>
      <c r="Y431" t="s">
        <v>38</v>
      </c>
      <c r="AD431">
        <v>0</v>
      </c>
      <c r="AE431" t="b">
        <f>ISNUMBER(MATCH(G431,AUM!$C$6:$C$1451,0))</f>
        <v>0</v>
      </c>
      <c r="AF431" t="b">
        <f>ISNUMBER(MATCH(G431,AUM!$G$6:$G$240,0))</f>
        <v>0</v>
      </c>
    </row>
    <row r="432" spans="1:32" x14ac:dyDescent="0.2">
      <c r="A432" t="s">
        <v>1410</v>
      </c>
      <c r="B432" s="1">
        <v>45671</v>
      </c>
      <c r="D432" t="s">
        <v>1410</v>
      </c>
      <c r="E432" t="s">
        <v>40</v>
      </c>
      <c r="F432" t="s">
        <v>1414</v>
      </c>
      <c r="G432" t="s">
        <v>1415</v>
      </c>
      <c r="H432" t="s">
        <v>43</v>
      </c>
      <c r="I432">
        <v>624181978.91517603</v>
      </c>
      <c r="J432">
        <v>10971.06</v>
      </c>
      <c r="K432">
        <v>11045.51</v>
      </c>
      <c r="L432">
        <v>11045.50665349</v>
      </c>
      <c r="M432">
        <v>6894406201095.2598</v>
      </c>
      <c r="N432">
        <v>62</v>
      </c>
      <c r="O432" t="s">
        <v>35</v>
      </c>
      <c r="P432">
        <v>1</v>
      </c>
      <c r="R432" t="s">
        <v>1407</v>
      </c>
      <c r="S432" t="s">
        <v>1411</v>
      </c>
      <c r="W432" t="s">
        <v>36</v>
      </c>
      <c r="X432" t="s">
        <v>37</v>
      </c>
      <c r="Y432" t="s">
        <v>38</v>
      </c>
      <c r="AD432">
        <v>0</v>
      </c>
      <c r="AE432" t="b">
        <f>ISNUMBER(MATCH(G432,AUM!$C$6:$C$1451,0))</f>
        <v>0</v>
      </c>
      <c r="AF432" t="b">
        <f>ISNUMBER(MATCH(G432,AUM!$G$6:$G$240,0))</f>
        <v>0</v>
      </c>
    </row>
    <row r="433" spans="1:32" x14ac:dyDescent="0.2">
      <c r="A433" t="s">
        <v>1416</v>
      </c>
      <c r="B433" s="1">
        <v>45671</v>
      </c>
      <c r="D433" t="s">
        <v>1416</v>
      </c>
      <c r="E433" t="s">
        <v>40</v>
      </c>
      <c r="F433" t="s">
        <v>1417</v>
      </c>
      <c r="G433" t="s">
        <v>1418</v>
      </c>
      <c r="H433" t="s">
        <v>43</v>
      </c>
      <c r="J433">
        <v>5238.59</v>
      </c>
      <c r="K433">
        <v>5313.32</v>
      </c>
      <c r="L433">
        <v>5313.3184058799998</v>
      </c>
      <c r="Q433" t="s">
        <v>1419</v>
      </c>
      <c r="T433">
        <v>0</v>
      </c>
      <c r="W433" t="s">
        <v>36</v>
      </c>
      <c r="X433" t="s">
        <v>69</v>
      </c>
      <c r="Y433" t="s">
        <v>38</v>
      </c>
      <c r="AD433">
        <v>0</v>
      </c>
      <c r="AE433" t="b">
        <f>ISNUMBER(MATCH(G433,AUM!$C$6:$C$1451,0))</f>
        <v>0</v>
      </c>
      <c r="AF433" t="b">
        <f>ISNUMBER(MATCH(G433,AUM!$G$6:$G$240,0))</f>
        <v>0</v>
      </c>
    </row>
    <row r="434" spans="1:32" x14ac:dyDescent="0.2">
      <c r="A434" t="s">
        <v>1420</v>
      </c>
      <c r="B434" s="1">
        <v>45671</v>
      </c>
      <c r="D434" t="s">
        <v>1420</v>
      </c>
      <c r="E434" t="s">
        <v>40</v>
      </c>
      <c r="F434" t="s">
        <v>1421</v>
      </c>
      <c r="G434" t="s">
        <v>1422</v>
      </c>
      <c r="H434" t="s">
        <v>43</v>
      </c>
      <c r="J434">
        <v>4580.09</v>
      </c>
      <c r="K434">
        <v>4645.42</v>
      </c>
      <c r="L434">
        <v>4645.4179203399999</v>
      </c>
      <c r="Q434" t="s">
        <v>1419</v>
      </c>
      <c r="U434">
        <v>0</v>
      </c>
      <c r="W434" t="s">
        <v>36</v>
      </c>
      <c r="X434" t="s">
        <v>69</v>
      </c>
      <c r="Y434" t="s">
        <v>38</v>
      </c>
      <c r="AD434">
        <v>0</v>
      </c>
      <c r="AE434" t="b">
        <f>ISNUMBER(MATCH(G434,AUM!$C$6:$C$1451,0))</f>
        <v>0</v>
      </c>
      <c r="AF434" t="b">
        <f>ISNUMBER(MATCH(G434,AUM!$G$6:$G$240,0))</f>
        <v>0</v>
      </c>
    </row>
    <row r="435" spans="1:32" x14ac:dyDescent="0.2">
      <c r="A435" t="s">
        <v>1419</v>
      </c>
      <c r="B435" s="1">
        <v>45671</v>
      </c>
      <c r="D435" t="s">
        <v>1419</v>
      </c>
      <c r="E435" t="s">
        <v>40</v>
      </c>
      <c r="F435" t="s">
        <v>1423</v>
      </c>
      <c r="G435" t="s">
        <v>1424</v>
      </c>
      <c r="H435" t="s">
        <v>43</v>
      </c>
      <c r="I435">
        <v>555395562.58527803</v>
      </c>
      <c r="J435">
        <v>3342.26</v>
      </c>
      <c r="K435">
        <v>3389.93</v>
      </c>
      <c r="L435">
        <v>3389.93392933</v>
      </c>
      <c r="M435">
        <v>1882754261808.1201</v>
      </c>
      <c r="N435">
        <v>27</v>
      </c>
      <c r="O435" t="s">
        <v>35</v>
      </c>
      <c r="P435">
        <v>1</v>
      </c>
      <c r="R435" t="s">
        <v>1416</v>
      </c>
      <c r="S435" t="s">
        <v>1420</v>
      </c>
      <c r="W435" t="s">
        <v>36</v>
      </c>
      <c r="X435" t="s">
        <v>37</v>
      </c>
      <c r="Y435" t="s">
        <v>38</v>
      </c>
      <c r="AD435">
        <v>0</v>
      </c>
      <c r="AE435" t="b">
        <f>ISNUMBER(MATCH(G435,AUM!$C$6:$C$1451,0))</f>
        <v>0</v>
      </c>
      <c r="AF435" t="b">
        <f>ISNUMBER(MATCH(G435,AUM!$G$6:$G$240,0))</f>
        <v>0</v>
      </c>
    </row>
    <row r="436" spans="1:32" x14ac:dyDescent="0.2">
      <c r="A436" t="s">
        <v>1425</v>
      </c>
      <c r="B436" s="1">
        <v>45671</v>
      </c>
      <c r="D436" t="s">
        <v>1425</v>
      </c>
      <c r="E436" t="s">
        <v>40</v>
      </c>
      <c r="F436" t="s">
        <v>1426</v>
      </c>
      <c r="G436" t="s">
        <v>1427</v>
      </c>
      <c r="H436" t="s">
        <v>43</v>
      </c>
      <c r="J436">
        <v>3277.82</v>
      </c>
      <c r="K436">
        <v>3360.27</v>
      </c>
      <c r="L436">
        <v>3360.27389902</v>
      </c>
      <c r="Q436" t="s">
        <v>1428</v>
      </c>
      <c r="T436">
        <v>0</v>
      </c>
      <c r="W436" t="s">
        <v>36</v>
      </c>
      <c r="X436" t="s">
        <v>69</v>
      </c>
      <c r="Y436" t="s">
        <v>38</v>
      </c>
      <c r="AD436">
        <v>0</v>
      </c>
      <c r="AE436" t="b">
        <f>ISNUMBER(MATCH(G436,AUM!$C$6:$C$1451,0))</f>
        <v>0</v>
      </c>
      <c r="AF436" t="b">
        <f>ISNUMBER(MATCH(G436,AUM!$G$6:$G$240,0))</f>
        <v>0</v>
      </c>
    </row>
    <row r="437" spans="1:32" x14ac:dyDescent="0.2">
      <c r="A437" t="s">
        <v>1429</v>
      </c>
      <c r="B437" s="1">
        <v>45671</v>
      </c>
      <c r="D437" t="s">
        <v>1429</v>
      </c>
      <c r="E437" t="s">
        <v>40</v>
      </c>
      <c r="F437" t="s">
        <v>1430</v>
      </c>
      <c r="G437" t="s">
        <v>1431</v>
      </c>
      <c r="H437" t="s">
        <v>43</v>
      </c>
      <c r="J437">
        <v>2843.47</v>
      </c>
      <c r="K437">
        <v>2915</v>
      </c>
      <c r="L437">
        <v>2915.0035278999999</v>
      </c>
      <c r="Q437" t="s">
        <v>1428</v>
      </c>
      <c r="U437">
        <v>0</v>
      </c>
      <c r="W437" t="s">
        <v>36</v>
      </c>
      <c r="X437" t="s">
        <v>69</v>
      </c>
      <c r="Y437" t="s">
        <v>38</v>
      </c>
      <c r="AD437">
        <v>0</v>
      </c>
      <c r="AE437" t="b">
        <f>ISNUMBER(MATCH(G437,AUM!$C$6:$C$1451,0))</f>
        <v>0</v>
      </c>
      <c r="AF437" t="b">
        <f>ISNUMBER(MATCH(G437,AUM!$G$6:$G$240,0))</f>
        <v>0</v>
      </c>
    </row>
    <row r="438" spans="1:32" x14ac:dyDescent="0.2">
      <c r="A438" t="s">
        <v>1428</v>
      </c>
      <c r="B438" s="1">
        <v>45671</v>
      </c>
      <c r="D438" t="s">
        <v>1428</v>
      </c>
      <c r="E438" t="s">
        <v>40</v>
      </c>
      <c r="F438" t="s">
        <v>1432</v>
      </c>
      <c r="G438" t="s">
        <v>1433</v>
      </c>
      <c r="H438" t="s">
        <v>43</v>
      </c>
      <c r="I438">
        <v>814568959.02289796</v>
      </c>
      <c r="J438">
        <v>2036.49</v>
      </c>
      <c r="K438">
        <v>2087.7199999999998</v>
      </c>
      <c r="L438">
        <v>2087.7160019100002</v>
      </c>
      <c r="M438">
        <v>1700588650409.71</v>
      </c>
      <c r="N438">
        <v>27</v>
      </c>
      <c r="O438" t="s">
        <v>35</v>
      </c>
      <c r="P438">
        <v>1</v>
      </c>
      <c r="R438" t="s">
        <v>1425</v>
      </c>
      <c r="S438" t="s">
        <v>1429</v>
      </c>
      <c r="W438" t="s">
        <v>36</v>
      </c>
      <c r="X438" t="s">
        <v>37</v>
      </c>
      <c r="Y438" t="s">
        <v>38</v>
      </c>
      <c r="AD438">
        <v>0</v>
      </c>
      <c r="AE438" t="b">
        <f>ISNUMBER(MATCH(G438,AUM!$C$6:$C$1451,0))</f>
        <v>0</v>
      </c>
      <c r="AF438" t="b">
        <f>ISNUMBER(MATCH(G438,AUM!$G$6:$G$240,0))</f>
        <v>0</v>
      </c>
    </row>
    <row r="439" spans="1:32" x14ac:dyDescent="0.2">
      <c r="A439" t="s">
        <v>1434</v>
      </c>
      <c r="B439" s="1">
        <v>45671</v>
      </c>
      <c r="D439" t="s">
        <v>1434</v>
      </c>
      <c r="E439" t="s">
        <v>40</v>
      </c>
      <c r="F439" t="s">
        <v>1435</v>
      </c>
      <c r="G439" t="s">
        <v>1436</v>
      </c>
      <c r="H439" t="s">
        <v>43</v>
      </c>
      <c r="J439">
        <v>2424.7159999999999</v>
      </c>
      <c r="K439">
        <v>2436.1529999999998</v>
      </c>
      <c r="L439">
        <v>2436.1534247499999</v>
      </c>
      <c r="Q439" t="s">
        <v>1437</v>
      </c>
      <c r="U439">
        <v>0</v>
      </c>
      <c r="W439" t="s">
        <v>91</v>
      </c>
      <c r="X439" t="s">
        <v>69</v>
      </c>
      <c r="Y439" t="s">
        <v>38</v>
      </c>
      <c r="AD439">
        <v>0</v>
      </c>
      <c r="AE439" t="b">
        <f>ISNUMBER(MATCH(G439,AUM!$C$6:$C$1451,0))</f>
        <v>0</v>
      </c>
      <c r="AF439" t="b">
        <f>ISNUMBER(MATCH(G439,AUM!$G$6:$G$240,0))</f>
        <v>0</v>
      </c>
    </row>
    <row r="440" spans="1:32" x14ac:dyDescent="0.2">
      <c r="A440" t="s">
        <v>1438</v>
      </c>
      <c r="B440" s="1">
        <v>45671</v>
      </c>
      <c r="D440" t="s">
        <v>1438</v>
      </c>
      <c r="E440" t="s">
        <v>40</v>
      </c>
      <c r="F440" t="s">
        <v>1439</v>
      </c>
      <c r="G440" t="s">
        <v>1440</v>
      </c>
      <c r="H440" t="s">
        <v>43</v>
      </c>
      <c r="J440">
        <v>2762.4009999999998</v>
      </c>
      <c r="K440">
        <v>2775.4540000000002</v>
      </c>
      <c r="L440">
        <v>2775.4539996399999</v>
      </c>
      <c r="Q440" t="s">
        <v>1437</v>
      </c>
      <c r="T440">
        <v>0</v>
      </c>
      <c r="W440" t="s">
        <v>91</v>
      </c>
      <c r="X440" t="s">
        <v>69</v>
      </c>
      <c r="Y440" t="s">
        <v>38</v>
      </c>
      <c r="AD440">
        <v>0</v>
      </c>
      <c r="AE440" t="b">
        <f>ISNUMBER(MATCH(G440,AUM!$C$6:$C$1451,0))</f>
        <v>0</v>
      </c>
      <c r="AF440" t="b">
        <f>ISNUMBER(MATCH(G440,AUM!$G$6:$G$240,0))</f>
        <v>0</v>
      </c>
    </row>
    <row r="441" spans="1:32" x14ac:dyDescent="0.2">
      <c r="A441" t="s">
        <v>1437</v>
      </c>
      <c r="B441" s="1">
        <v>45671</v>
      </c>
      <c r="D441" t="s">
        <v>1437</v>
      </c>
      <c r="E441" t="s">
        <v>40</v>
      </c>
      <c r="F441" t="s">
        <v>1441</v>
      </c>
      <c r="G441" t="s">
        <v>1442</v>
      </c>
      <c r="H441" t="s">
        <v>43</v>
      </c>
      <c r="I441">
        <v>1227107382.9851201</v>
      </c>
      <c r="J441">
        <v>1618.9069999999999</v>
      </c>
      <c r="K441">
        <v>1626.5129999999999</v>
      </c>
      <c r="L441">
        <v>1626.5130466999999</v>
      </c>
      <c r="M441">
        <v>1995906168125.76</v>
      </c>
      <c r="N441">
        <v>407</v>
      </c>
      <c r="O441" t="s">
        <v>88</v>
      </c>
      <c r="P441">
        <v>1</v>
      </c>
      <c r="R441" t="s">
        <v>1438</v>
      </c>
      <c r="S441" t="s">
        <v>1434</v>
      </c>
      <c r="W441" t="s">
        <v>91</v>
      </c>
      <c r="X441" t="s">
        <v>37</v>
      </c>
      <c r="Y441" t="s">
        <v>38</v>
      </c>
      <c r="AD441">
        <v>0</v>
      </c>
      <c r="AE441" t="b">
        <f>ISNUMBER(MATCH(G441,AUM!$C$6:$C$1451,0))</f>
        <v>0</v>
      </c>
      <c r="AF441" t="b">
        <f>ISNUMBER(MATCH(G441,AUM!$G$6:$G$240,0))</f>
        <v>0</v>
      </c>
    </row>
    <row r="442" spans="1:32" x14ac:dyDescent="0.2">
      <c r="A442" t="s">
        <v>1443</v>
      </c>
      <c r="B442" s="1">
        <v>45671</v>
      </c>
      <c r="D442" t="s">
        <v>1443</v>
      </c>
      <c r="E442" t="s">
        <v>40</v>
      </c>
      <c r="F442" t="s">
        <v>1444</v>
      </c>
      <c r="G442" t="s">
        <v>1445</v>
      </c>
      <c r="H442" t="s">
        <v>43</v>
      </c>
      <c r="J442">
        <v>1518.4839999999999</v>
      </c>
      <c r="K442">
        <v>1492.6849999999999</v>
      </c>
      <c r="L442">
        <v>1492.68466599</v>
      </c>
      <c r="Q442" t="s">
        <v>1446</v>
      </c>
      <c r="U442">
        <v>0</v>
      </c>
      <c r="W442" t="s">
        <v>91</v>
      </c>
      <c r="X442" t="s">
        <v>69</v>
      </c>
      <c r="Y442" t="s">
        <v>38</v>
      </c>
      <c r="AD442">
        <v>0</v>
      </c>
      <c r="AE442" t="b">
        <f>ISNUMBER(MATCH(G442,AUM!$C$6:$C$1451,0))</f>
        <v>0</v>
      </c>
      <c r="AF442" t="b">
        <f>ISNUMBER(MATCH(G442,AUM!$G$6:$G$240,0))</f>
        <v>0</v>
      </c>
    </row>
    <row r="443" spans="1:32" x14ac:dyDescent="0.2">
      <c r="A443" t="s">
        <v>1447</v>
      </c>
      <c r="B443" s="1">
        <v>45671</v>
      </c>
      <c r="D443" t="s">
        <v>1447</v>
      </c>
      <c r="E443" t="s">
        <v>40</v>
      </c>
      <c r="F443" t="s">
        <v>1448</v>
      </c>
      <c r="G443" t="s">
        <v>1449</v>
      </c>
      <c r="H443" t="s">
        <v>43</v>
      </c>
      <c r="J443">
        <v>1658.3920000000001</v>
      </c>
      <c r="K443">
        <v>1630.2159999999999</v>
      </c>
      <c r="L443">
        <v>1630.21592197</v>
      </c>
      <c r="Q443" t="s">
        <v>1446</v>
      </c>
      <c r="T443">
        <v>0</v>
      </c>
      <c r="W443" t="s">
        <v>91</v>
      </c>
      <c r="X443" t="s">
        <v>69</v>
      </c>
      <c r="Y443" t="s">
        <v>38</v>
      </c>
      <c r="AD443">
        <v>0</v>
      </c>
      <c r="AE443" t="b">
        <f>ISNUMBER(MATCH(G443,AUM!$C$6:$C$1451,0))</f>
        <v>0</v>
      </c>
      <c r="AF443" t="b">
        <f>ISNUMBER(MATCH(G443,AUM!$G$6:$G$240,0))</f>
        <v>0</v>
      </c>
    </row>
    <row r="444" spans="1:32" x14ac:dyDescent="0.2">
      <c r="A444" t="s">
        <v>1446</v>
      </c>
      <c r="B444" s="1">
        <v>45671</v>
      </c>
      <c r="D444" t="s">
        <v>1446</v>
      </c>
      <c r="E444" t="s">
        <v>40</v>
      </c>
      <c r="F444" t="s">
        <v>1450</v>
      </c>
      <c r="G444" t="s">
        <v>1451</v>
      </c>
      <c r="H444" t="s">
        <v>43</v>
      </c>
      <c r="I444">
        <v>193778077.771157</v>
      </c>
      <c r="J444">
        <v>999.57399999999996</v>
      </c>
      <c r="K444">
        <v>982.59100000000001</v>
      </c>
      <c r="L444">
        <v>982.59075730999996</v>
      </c>
      <c r="M444">
        <v>190404548187.54999</v>
      </c>
      <c r="N444">
        <v>92</v>
      </c>
      <c r="O444" t="s">
        <v>88</v>
      </c>
      <c r="P444">
        <v>1</v>
      </c>
      <c r="R444" t="s">
        <v>1447</v>
      </c>
      <c r="S444" t="s">
        <v>1443</v>
      </c>
      <c r="W444" t="s">
        <v>91</v>
      </c>
      <c r="X444" t="s">
        <v>37</v>
      </c>
      <c r="Y444" t="s">
        <v>38</v>
      </c>
      <c r="AD444">
        <v>0</v>
      </c>
      <c r="AE444" t="b">
        <f>ISNUMBER(MATCH(G444,AUM!$C$6:$C$1451,0))</f>
        <v>0</v>
      </c>
      <c r="AF444" t="b">
        <f>ISNUMBER(MATCH(G444,AUM!$G$6:$G$240,0))</f>
        <v>0</v>
      </c>
    </row>
    <row r="445" spans="1:32" x14ac:dyDescent="0.2">
      <c r="A445" t="s">
        <v>1452</v>
      </c>
      <c r="B445" s="1">
        <v>45671</v>
      </c>
      <c r="D445" t="s">
        <v>1452</v>
      </c>
      <c r="E445" t="s">
        <v>40</v>
      </c>
      <c r="F445" t="s">
        <v>1453</v>
      </c>
      <c r="G445" t="s">
        <v>1454</v>
      </c>
      <c r="H445" t="s">
        <v>43</v>
      </c>
      <c r="J445">
        <v>1771.7239999999999</v>
      </c>
      <c r="K445">
        <v>1757.9069999999999</v>
      </c>
      <c r="L445">
        <v>1757.90675169</v>
      </c>
      <c r="Q445" t="s">
        <v>1455</v>
      </c>
      <c r="U445">
        <v>0</v>
      </c>
      <c r="W445" t="s">
        <v>91</v>
      </c>
      <c r="X445" t="s">
        <v>69</v>
      </c>
      <c r="Y445" t="s">
        <v>38</v>
      </c>
      <c r="AD445">
        <v>0</v>
      </c>
      <c r="AE445" t="b">
        <f>ISNUMBER(MATCH(G445,AUM!$C$6:$C$1451,0))</f>
        <v>0</v>
      </c>
      <c r="AF445" t="b">
        <f>ISNUMBER(MATCH(G445,AUM!$G$6:$G$240,0))</f>
        <v>0</v>
      </c>
    </row>
    <row r="446" spans="1:32" x14ac:dyDescent="0.2">
      <c r="A446" t="s">
        <v>1456</v>
      </c>
      <c r="B446" s="1">
        <v>45671</v>
      </c>
      <c r="D446" t="s">
        <v>1456</v>
      </c>
      <c r="E446" t="s">
        <v>40</v>
      </c>
      <c r="F446" t="s">
        <v>1457</v>
      </c>
      <c r="G446" t="s">
        <v>1458</v>
      </c>
      <c r="H446" t="s">
        <v>43</v>
      </c>
      <c r="J446">
        <v>1922.251</v>
      </c>
      <c r="K446">
        <v>1907.26</v>
      </c>
      <c r="L446">
        <v>1907.25982469</v>
      </c>
      <c r="Q446" t="s">
        <v>1455</v>
      </c>
      <c r="T446">
        <v>0</v>
      </c>
      <c r="W446" t="s">
        <v>91</v>
      </c>
      <c r="X446" t="s">
        <v>69</v>
      </c>
      <c r="Y446" t="s">
        <v>38</v>
      </c>
      <c r="AD446">
        <v>0</v>
      </c>
      <c r="AE446" t="b">
        <f>ISNUMBER(MATCH(G446,AUM!$C$6:$C$1451,0))</f>
        <v>0</v>
      </c>
      <c r="AF446" t="b">
        <f>ISNUMBER(MATCH(G446,AUM!$G$6:$G$240,0))</f>
        <v>0</v>
      </c>
    </row>
    <row r="447" spans="1:32" x14ac:dyDescent="0.2">
      <c r="A447" t="s">
        <v>1455</v>
      </c>
      <c r="B447" s="1">
        <v>45671</v>
      </c>
      <c r="D447" t="s">
        <v>1455</v>
      </c>
      <c r="E447" t="s">
        <v>40</v>
      </c>
      <c r="F447" t="s">
        <v>1459</v>
      </c>
      <c r="G447" t="s">
        <v>1460</v>
      </c>
      <c r="H447" t="s">
        <v>43</v>
      </c>
      <c r="I447">
        <v>348485509.86556101</v>
      </c>
      <c r="J447">
        <v>1122.2840000000001</v>
      </c>
      <c r="K447">
        <v>1113.5309999999999</v>
      </c>
      <c r="L447">
        <v>1113.53135026</v>
      </c>
      <c r="M447">
        <v>388049540347.27399</v>
      </c>
      <c r="N447">
        <v>179</v>
      </c>
      <c r="O447" t="s">
        <v>88</v>
      </c>
      <c r="P447">
        <v>1</v>
      </c>
      <c r="R447" t="s">
        <v>1456</v>
      </c>
      <c r="S447" t="s">
        <v>1452</v>
      </c>
      <c r="W447" t="s">
        <v>91</v>
      </c>
      <c r="X447" t="s">
        <v>37</v>
      </c>
      <c r="Y447" t="s">
        <v>38</v>
      </c>
      <c r="AD447">
        <v>0</v>
      </c>
      <c r="AE447" t="b">
        <f>ISNUMBER(MATCH(G447,AUM!$C$6:$C$1451,0))</f>
        <v>0</v>
      </c>
      <c r="AF447" t="b">
        <f>ISNUMBER(MATCH(G447,AUM!$G$6:$G$240,0))</f>
        <v>0</v>
      </c>
    </row>
    <row r="448" spans="1:32" x14ac:dyDescent="0.2">
      <c r="A448" t="s">
        <v>1461</v>
      </c>
      <c r="B448" s="1">
        <v>45671</v>
      </c>
      <c r="D448" t="s">
        <v>1461</v>
      </c>
      <c r="E448" t="s">
        <v>40</v>
      </c>
      <c r="F448" t="s">
        <v>1462</v>
      </c>
      <c r="G448" t="s">
        <v>1463</v>
      </c>
      <c r="H448" t="s">
        <v>43</v>
      </c>
      <c r="J448">
        <v>3192.681</v>
      </c>
      <c r="K448">
        <v>3230.8989999999999</v>
      </c>
      <c r="L448">
        <v>3230.8994538500001</v>
      </c>
      <c r="Q448" t="s">
        <v>1464</v>
      </c>
      <c r="U448">
        <v>0</v>
      </c>
      <c r="W448" t="s">
        <v>91</v>
      </c>
      <c r="X448" t="s">
        <v>69</v>
      </c>
      <c r="Y448" t="s">
        <v>38</v>
      </c>
      <c r="AD448">
        <v>0</v>
      </c>
      <c r="AE448" t="b">
        <f>ISNUMBER(MATCH(G448,AUM!$C$6:$C$1451,0))</f>
        <v>0</v>
      </c>
      <c r="AF448" t="b">
        <f>ISNUMBER(MATCH(G448,AUM!$G$6:$G$240,0))</f>
        <v>0</v>
      </c>
    </row>
    <row r="449" spans="1:32" x14ac:dyDescent="0.2">
      <c r="A449" t="s">
        <v>1465</v>
      </c>
      <c r="B449" s="1">
        <v>45671</v>
      </c>
      <c r="D449" t="s">
        <v>1465</v>
      </c>
      <c r="E449" t="s">
        <v>40</v>
      </c>
      <c r="F449" t="s">
        <v>1466</v>
      </c>
      <c r="G449" t="s">
        <v>1467</v>
      </c>
      <c r="H449" t="s">
        <v>43</v>
      </c>
      <c r="J449">
        <v>3738.4760000000001</v>
      </c>
      <c r="K449">
        <v>3783.2280000000001</v>
      </c>
      <c r="L449">
        <v>3783.2278053199998</v>
      </c>
      <c r="Q449" t="s">
        <v>1464</v>
      </c>
      <c r="T449">
        <v>0</v>
      </c>
      <c r="W449" t="s">
        <v>91</v>
      </c>
      <c r="X449" t="s">
        <v>69</v>
      </c>
      <c r="Y449" t="s">
        <v>38</v>
      </c>
      <c r="AD449">
        <v>0</v>
      </c>
      <c r="AE449" t="b">
        <f>ISNUMBER(MATCH(G449,AUM!$C$6:$C$1451,0))</f>
        <v>0</v>
      </c>
      <c r="AF449" t="b">
        <f>ISNUMBER(MATCH(G449,AUM!$G$6:$G$240,0))</f>
        <v>0</v>
      </c>
    </row>
    <row r="450" spans="1:32" x14ac:dyDescent="0.2">
      <c r="A450" t="s">
        <v>1464</v>
      </c>
      <c r="B450" s="1">
        <v>45671</v>
      </c>
      <c r="D450" t="s">
        <v>1464</v>
      </c>
      <c r="E450" t="s">
        <v>40</v>
      </c>
      <c r="F450" t="s">
        <v>1468</v>
      </c>
      <c r="G450" t="s">
        <v>1469</v>
      </c>
      <c r="H450" t="s">
        <v>43</v>
      </c>
      <c r="I450">
        <v>596821322.82053399</v>
      </c>
      <c r="J450">
        <v>2208.857</v>
      </c>
      <c r="K450">
        <v>2235.299</v>
      </c>
      <c r="L450">
        <v>2235.2989220300001</v>
      </c>
      <c r="M450">
        <v>1334074059546.4299</v>
      </c>
      <c r="N450">
        <v>95</v>
      </c>
      <c r="O450" t="s">
        <v>88</v>
      </c>
      <c r="P450">
        <v>1</v>
      </c>
      <c r="R450" t="s">
        <v>1465</v>
      </c>
      <c r="S450" t="s">
        <v>1461</v>
      </c>
      <c r="W450" t="s">
        <v>91</v>
      </c>
      <c r="X450" t="s">
        <v>37</v>
      </c>
      <c r="Y450" t="s">
        <v>38</v>
      </c>
      <c r="AD450">
        <v>0</v>
      </c>
      <c r="AE450" t="b">
        <f>ISNUMBER(MATCH(G450,AUM!$C$6:$C$1451,0))</f>
        <v>0</v>
      </c>
      <c r="AF450" t="b">
        <f>ISNUMBER(MATCH(G450,AUM!$G$6:$G$240,0))</f>
        <v>0</v>
      </c>
    </row>
    <row r="451" spans="1:32" x14ac:dyDescent="0.2">
      <c r="A451" t="s">
        <v>1470</v>
      </c>
      <c r="B451" s="1">
        <v>45671</v>
      </c>
      <c r="D451" t="s">
        <v>1470</v>
      </c>
      <c r="E451" t="s">
        <v>40</v>
      </c>
      <c r="F451" t="s">
        <v>1471</v>
      </c>
      <c r="G451" t="s">
        <v>1472</v>
      </c>
      <c r="H451" t="s">
        <v>43</v>
      </c>
      <c r="J451">
        <v>4086.61</v>
      </c>
      <c r="K451">
        <v>4067.76</v>
      </c>
      <c r="L451">
        <v>4067.7647562799998</v>
      </c>
      <c r="Q451" t="s">
        <v>1473</v>
      </c>
      <c r="T451">
        <v>0</v>
      </c>
      <c r="W451" t="s">
        <v>36</v>
      </c>
      <c r="X451" t="s">
        <v>69</v>
      </c>
      <c r="Y451" t="s">
        <v>38</v>
      </c>
      <c r="AD451">
        <v>0</v>
      </c>
      <c r="AE451" t="b">
        <f>ISNUMBER(MATCH(G451,AUM!$C$6:$C$1451,0))</f>
        <v>1</v>
      </c>
      <c r="AF451" t="b">
        <f>ISNUMBER(MATCH(G451,AUM!$G$6:$G$240,0))</f>
        <v>0</v>
      </c>
    </row>
    <row r="452" spans="1:32" x14ac:dyDescent="0.2">
      <c r="A452" t="s">
        <v>1474</v>
      </c>
      <c r="B452" s="1">
        <v>45671</v>
      </c>
      <c r="D452" t="s">
        <v>1474</v>
      </c>
      <c r="E452" t="s">
        <v>40</v>
      </c>
      <c r="F452" t="s">
        <v>1475</v>
      </c>
      <c r="G452" t="s">
        <v>1476</v>
      </c>
      <c r="H452" t="s">
        <v>43</v>
      </c>
      <c r="J452">
        <v>3531.77</v>
      </c>
      <c r="K452">
        <v>3515.48</v>
      </c>
      <c r="L452">
        <v>3515.4846632200001</v>
      </c>
      <c r="Q452" t="s">
        <v>1473</v>
      </c>
      <c r="U452">
        <v>0</v>
      </c>
      <c r="W452" t="s">
        <v>36</v>
      </c>
      <c r="X452" t="s">
        <v>69</v>
      </c>
      <c r="Y452" t="s">
        <v>38</v>
      </c>
      <c r="AD452">
        <v>0</v>
      </c>
      <c r="AE452" t="b">
        <f>ISNUMBER(MATCH(G452,AUM!$C$6:$C$1451,0))</f>
        <v>1</v>
      </c>
      <c r="AF452" t="b">
        <f>ISNUMBER(MATCH(G452,AUM!$G$6:$G$240,0))</f>
        <v>0</v>
      </c>
    </row>
    <row r="453" spans="1:32" x14ac:dyDescent="0.2">
      <c r="A453" t="s">
        <v>1473</v>
      </c>
      <c r="B453" s="1">
        <v>45671</v>
      </c>
      <c r="D453" t="s">
        <v>1473</v>
      </c>
      <c r="E453" t="s">
        <v>40</v>
      </c>
      <c r="F453" t="s">
        <v>1477</v>
      </c>
      <c r="G453" t="s">
        <v>1478</v>
      </c>
      <c r="H453" t="s">
        <v>43</v>
      </c>
      <c r="I453">
        <v>705203506.64250696</v>
      </c>
      <c r="J453">
        <v>2246.29</v>
      </c>
      <c r="K453">
        <v>2235.9299999999998</v>
      </c>
      <c r="L453">
        <v>2235.93099377</v>
      </c>
      <c r="M453">
        <v>1576786377418.54</v>
      </c>
      <c r="N453">
        <v>54</v>
      </c>
      <c r="O453" t="s">
        <v>35</v>
      </c>
      <c r="P453">
        <v>1</v>
      </c>
      <c r="R453" t="s">
        <v>1470</v>
      </c>
      <c r="S453" t="s">
        <v>1474</v>
      </c>
      <c r="W453" t="s">
        <v>36</v>
      </c>
      <c r="X453" t="s">
        <v>37</v>
      </c>
      <c r="Y453" t="s">
        <v>38</v>
      </c>
      <c r="AD453">
        <v>0</v>
      </c>
      <c r="AE453" t="b">
        <f>ISNUMBER(MATCH(G453,AUM!$C$6:$C$1451,0))</f>
        <v>1</v>
      </c>
      <c r="AF453" t="b">
        <f>ISNUMBER(MATCH(G453,AUM!$G$6:$G$240,0))</f>
        <v>0</v>
      </c>
    </row>
    <row r="454" spans="1:32" x14ac:dyDescent="0.2">
      <c r="A454" t="s">
        <v>1479</v>
      </c>
      <c r="B454" s="1">
        <v>45671</v>
      </c>
      <c r="D454" t="s">
        <v>1479</v>
      </c>
      <c r="E454" t="s">
        <v>40</v>
      </c>
      <c r="F454" t="s">
        <v>1480</v>
      </c>
      <c r="G454" t="s">
        <v>1481</v>
      </c>
      <c r="H454" t="s">
        <v>43</v>
      </c>
      <c r="J454">
        <v>3337.48</v>
      </c>
      <c r="K454">
        <v>3393.12</v>
      </c>
      <c r="L454">
        <v>3393.1158506100001</v>
      </c>
      <c r="Q454" t="s">
        <v>1482</v>
      </c>
      <c r="T454">
        <v>0</v>
      </c>
      <c r="W454" t="s">
        <v>36</v>
      </c>
      <c r="X454" t="s">
        <v>69</v>
      </c>
      <c r="Y454" t="s">
        <v>38</v>
      </c>
      <c r="AD454">
        <v>0</v>
      </c>
      <c r="AE454" t="b">
        <f>ISNUMBER(MATCH(G454,AUM!$C$6:$C$1451,0))</f>
        <v>0</v>
      </c>
      <c r="AF454" t="b">
        <f>ISNUMBER(MATCH(G454,AUM!$G$6:$G$240,0))</f>
        <v>0</v>
      </c>
    </row>
    <row r="455" spans="1:32" x14ac:dyDescent="0.2">
      <c r="A455" t="s">
        <v>1483</v>
      </c>
      <c r="B455" s="1">
        <v>45671</v>
      </c>
      <c r="D455" t="s">
        <v>1483</v>
      </c>
      <c r="E455" t="s">
        <v>40</v>
      </c>
      <c r="F455" t="s">
        <v>1484</v>
      </c>
      <c r="G455" t="s">
        <v>1485</v>
      </c>
      <c r="H455" t="s">
        <v>43</v>
      </c>
      <c r="J455">
        <v>3073.22</v>
      </c>
      <c r="K455">
        <v>3124.45</v>
      </c>
      <c r="L455">
        <v>3124.4481656500002</v>
      </c>
      <c r="Q455" t="s">
        <v>1482</v>
      </c>
      <c r="U455">
        <v>0</v>
      </c>
      <c r="W455" t="s">
        <v>36</v>
      </c>
      <c r="X455" t="s">
        <v>69</v>
      </c>
      <c r="Y455" t="s">
        <v>38</v>
      </c>
      <c r="AD455">
        <v>0</v>
      </c>
      <c r="AE455" t="b">
        <f>ISNUMBER(MATCH(G455,AUM!$C$6:$C$1451,0))</f>
        <v>0</v>
      </c>
      <c r="AF455" t="b">
        <f>ISNUMBER(MATCH(G455,AUM!$G$6:$G$240,0))</f>
        <v>0</v>
      </c>
    </row>
    <row r="456" spans="1:32" x14ac:dyDescent="0.2">
      <c r="A456" t="s">
        <v>1482</v>
      </c>
      <c r="B456" s="1">
        <v>45671</v>
      </c>
      <c r="D456" t="s">
        <v>1482</v>
      </c>
      <c r="E456" t="s">
        <v>40</v>
      </c>
      <c r="F456" t="s">
        <v>1486</v>
      </c>
      <c r="G456" t="s">
        <v>1487</v>
      </c>
      <c r="H456" t="s">
        <v>43</v>
      </c>
      <c r="I456">
        <v>460678050.44602501</v>
      </c>
      <c r="J456">
        <v>2196.66</v>
      </c>
      <c r="K456">
        <v>2233.2800000000002</v>
      </c>
      <c r="L456">
        <v>2233.27526141</v>
      </c>
      <c r="M456">
        <v>1028820893536.14</v>
      </c>
      <c r="N456">
        <v>40</v>
      </c>
      <c r="O456" t="s">
        <v>35</v>
      </c>
      <c r="P456">
        <v>1</v>
      </c>
      <c r="R456" t="s">
        <v>1479</v>
      </c>
      <c r="S456" t="s">
        <v>1483</v>
      </c>
      <c r="W456" t="s">
        <v>36</v>
      </c>
      <c r="X456" t="s">
        <v>37</v>
      </c>
      <c r="Y456" t="s">
        <v>38</v>
      </c>
      <c r="AD456">
        <v>0</v>
      </c>
      <c r="AE456" t="b">
        <f>ISNUMBER(MATCH(G456,AUM!$C$6:$C$1451,0))</f>
        <v>0</v>
      </c>
      <c r="AF456" t="b">
        <f>ISNUMBER(MATCH(G456,AUM!$G$6:$G$240,0))</f>
        <v>0</v>
      </c>
    </row>
    <row r="457" spans="1:32" x14ac:dyDescent="0.2">
      <c r="A457" t="s">
        <v>1488</v>
      </c>
      <c r="B457" s="1">
        <v>45671</v>
      </c>
      <c r="D457" t="s">
        <v>1488</v>
      </c>
      <c r="E457" t="s">
        <v>40</v>
      </c>
      <c r="F457" t="s">
        <v>1489</v>
      </c>
      <c r="G457" t="s">
        <v>1490</v>
      </c>
      <c r="H457" t="s">
        <v>43</v>
      </c>
      <c r="J457">
        <v>6896.97</v>
      </c>
      <c r="K457">
        <v>6965.86</v>
      </c>
      <c r="L457">
        <v>6965.8610125300002</v>
      </c>
      <c r="Q457" t="s">
        <v>1491</v>
      </c>
      <c r="T457">
        <v>7.6808332124779999E-2</v>
      </c>
      <c r="V457" t="s">
        <v>835</v>
      </c>
      <c r="W457" t="s">
        <v>36</v>
      </c>
      <c r="X457" t="s">
        <v>69</v>
      </c>
      <c r="Y457" t="s">
        <v>38</v>
      </c>
      <c r="AD457">
        <v>0</v>
      </c>
      <c r="AE457" t="b">
        <f>ISNUMBER(MATCH(G457,AUM!$C$6:$C$1451,0))</f>
        <v>1</v>
      </c>
      <c r="AF457" t="b">
        <f>ISNUMBER(MATCH(G457,AUM!$G$6:$G$240,0))</f>
        <v>0</v>
      </c>
    </row>
    <row r="458" spans="1:32" x14ac:dyDescent="0.2">
      <c r="A458" t="s">
        <v>1492</v>
      </c>
      <c r="B458" s="1">
        <v>45671</v>
      </c>
      <c r="D458" t="s">
        <v>1492</v>
      </c>
      <c r="E458" t="s">
        <v>40</v>
      </c>
      <c r="F458" t="s">
        <v>1493</v>
      </c>
      <c r="G458" t="s">
        <v>1494</v>
      </c>
      <c r="H458" t="s">
        <v>43</v>
      </c>
      <c r="J458">
        <v>6347.24</v>
      </c>
      <c r="K458">
        <v>6410.65</v>
      </c>
      <c r="L458">
        <v>6410.6455773300004</v>
      </c>
      <c r="Q458" t="s">
        <v>1491</v>
      </c>
      <c r="U458">
        <v>5.376583248735E-2</v>
      </c>
      <c r="V458" t="s">
        <v>835</v>
      </c>
      <c r="W458" t="s">
        <v>36</v>
      </c>
      <c r="X458" t="s">
        <v>69</v>
      </c>
      <c r="Y458" t="s">
        <v>38</v>
      </c>
      <c r="AD458">
        <v>0</v>
      </c>
      <c r="AE458" t="b">
        <f>ISNUMBER(MATCH(G458,AUM!$C$6:$C$1451,0))</f>
        <v>1</v>
      </c>
      <c r="AF458" t="b">
        <f>ISNUMBER(MATCH(G458,AUM!$G$6:$G$240,0))</f>
        <v>0</v>
      </c>
    </row>
    <row r="459" spans="1:32" x14ac:dyDescent="0.2">
      <c r="A459" t="s">
        <v>1491</v>
      </c>
      <c r="B459" s="1">
        <v>45671</v>
      </c>
      <c r="D459" t="s">
        <v>1491</v>
      </c>
      <c r="E459" t="s">
        <v>40</v>
      </c>
      <c r="F459" t="s">
        <v>1495</v>
      </c>
      <c r="G459" t="s">
        <v>1496</v>
      </c>
      <c r="H459" t="s">
        <v>43</v>
      </c>
      <c r="I459">
        <v>1272858911.26969</v>
      </c>
      <c r="J459">
        <v>5033.45</v>
      </c>
      <c r="K459">
        <v>5083.7299999999996</v>
      </c>
      <c r="L459">
        <v>5083.7267837600002</v>
      </c>
      <c r="M459">
        <v>6470866939165.4297</v>
      </c>
      <c r="N459">
        <v>93</v>
      </c>
      <c r="O459" t="s">
        <v>35</v>
      </c>
      <c r="P459">
        <v>1</v>
      </c>
      <c r="R459" t="s">
        <v>1488</v>
      </c>
      <c r="S459" t="s">
        <v>1492</v>
      </c>
      <c r="W459" t="s">
        <v>36</v>
      </c>
      <c r="X459" t="s">
        <v>37</v>
      </c>
      <c r="Y459" t="s">
        <v>38</v>
      </c>
      <c r="AD459">
        <v>0</v>
      </c>
      <c r="AE459" t="b">
        <f>ISNUMBER(MATCH(G459,AUM!$C$6:$C$1451,0))</f>
        <v>1</v>
      </c>
      <c r="AF459" t="b">
        <f>ISNUMBER(MATCH(G459,AUM!$G$6:$G$240,0))</f>
        <v>0</v>
      </c>
    </row>
    <row r="460" spans="1:32" x14ac:dyDescent="0.2">
      <c r="A460" t="s">
        <v>1497</v>
      </c>
      <c r="B460" s="1">
        <v>45671</v>
      </c>
      <c r="D460" t="s">
        <v>1497</v>
      </c>
      <c r="E460" t="s">
        <v>40</v>
      </c>
      <c r="F460" t="s">
        <v>1498</v>
      </c>
      <c r="G460" t="s">
        <v>1499</v>
      </c>
      <c r="H460" t="s">
        <v>43</v>
      </c>
      <c r="J460">
        <v>4139.59</v>
      </c>
      <c r="K460">
        <v>4160.8100000000004</v>
      </c>
      <c r="L460">
        <v>4160.8068594599999</v>
      </c>
      <c r="Q460" t="s">
        <v>1500</v>
      </c>
      <c r="T460">
        <v>0</v>
      </c>
      <c r="W460" t="s">
        <v>36</v>
      </c>
      <c r="X460" t="s">
        <v>69</v>
      </c>
      <c r="Y460" t="s">
        <v>38</v>
      </c>
      <c r="AD460">
        <v>0</v>
      </c>
      <c r="AE460" t="b">
        <f>ISNUMBER(MATCH(G460,AUM!$C$6:$C$1451,0))</f>
        <v>0</v>
      </c>
      <c r="AF460" t="b">
        <f>ISNUMBER(MATCH(G460,AUM!$G$6:$G$240,0))</f>
        <v>0</v>
      </c>
    </row>
    <row r="461" spans="1:32" x14ac:dyDescent="0.2">
      <c r="A461" t="s">
        <v>1501</v>
      </c>
      <c r="B461" s="1">
        <v>45671</v>
      </c>
      <c r="D461" t="s">
        <v>1501</v>
      </c>
      <c r="E461" t="s">
        <v>40</v>
      </c>
      <c r="F461" t="s">
        <v>1502</v>
      </c>
      <c r="G461" t="s">
        <v>1503</v>
      </c>
      <c r="H461" t="s">
        <v>43</v>
      </c>
      <c r="J461">
        <v>3615.91</v>
      </c>
      <c r="K461">
        <v>3634.44</v>
      </c>
      <c r="L461">
        <v>3634.4389539399999</v>
      </c>
      <c r="Q461" t="s">
        <v>1500</v>
      </c>
      <c r="U461">
        <v>0</v>
      </c>
      <c r="W461" t="s">
        <v>36</v>
      </c>
      <c r="X461" t="s">
        <v>69</v>
      </c>
      <c r="Y461" t="s">
        <v>38</v>
      </c>
      <c r="AD461">
        <v>0</v>
      </c>
      <c r="AE461" t="b">
        <f>ISNUMBER(MATCH(G461,AUM!$C$6:$C$1451,0))</f>
        <v>0</v>
      </c>
      <c r="AF461" t="b">
        <f>ISNUMBER(MATCH(G461,AUM!$G$6:$G$240,0))</f>
        <v>0</v>
      </c>
    </row>
    <row r="462" spans="1:32" x14ac:dyDescent="0.2">
      <c r="A462" t="s">
        <v>1500</v>
      </c>
      <c r="B462" s="1">
        <v>45671</v>
      </c>
      <c r="D462" t="s">
        <v>1500</v>
      </c>
      <c r="E462" t="s">
        <v>40</v>
      </c>
      <c r="F462" t="s">
        <v>1504</v>
      </c>
      <c r="G462" t="s">
        <v>1505</v>
      </c>
      <c r="H462" t="s">
        <v>43</v>
      </c>
      <c r="I462">
        <v>529415021.63772303</v>
      </c>
      <c r="J462">
        <v>2418.04</v>
      </c>
      <c r="K462">
        <v>2430.4299999999998</v>
      </c>
      <c r="L462">
        <v>2430.4330043300001</v>
      </c>
      <c r="M462">
        <v>1286707741577.3301</v>
      </c>
      <c r="N462">
        <v>24</v>
      </c>
      <c r="O462" t="s">
        <v>35</v>
      </c>
      <c r="P462">
        <v>1</v>
      </c>
      <c r="R462" t="s">
        <v>1497</v>
      </c>
      <c r="S462" t="s">
        <v>1501</v>
      </c>
      <c r="W462" t="s">
        <v>36</v>
      </c>
      <c r="X462" t="s">
        <v>37</v>
      </c>
      <c r="Y462" t="s">
        <v>38</v>
      </c>
      <c r="AD462">
        <v>0</v>
      </c>
      <c r="AE462" t="b">
        <f>ISNUMBER(MATCH(G462,AUM!$C$6:$C$1451,0))</f>
        <v>0</v>
      </c>
      <c r="AF462" t="b">
        <f>ISNUMBER(MATCH(G462,AUM!$G$6:$G$240,0))</f>
        <v>0</v>
      </c>
    </row>
    <row r="463" spans="1:32" x14ac:dyDescent="0.2">
      <c r="A463" t="s">
        <v>1506</v>
      </c>
      <c r="B463" s="1">
        <v>45671</v>
      </c>
      <c r="D463" t="s">
        <v>1506</v>
      </c>
      <c r="E463" t="s">
        <v>40</v>
      </c>
      <c r="F463" t="s">
        <v>1507</v>
      </c>
      <c r="G463" t="s">
        <v>1508</v>
      </c>
      <c r="H463" t="s">
        <v>43</v>
      </c>
      <c r="J463">
        <v>7829.43</v>
      </c>
      <c r="K463">
        <v>7899.68</v>
      </c>
      <c r="L463">
        <v>7899.6772107699999</v>
      </c>
      <c r="Q463" t="s">
        <v>1509</v>
      </c>
      <c r="T463">
        <v>0</v>
      </c>
      <c r="W463" t="s">
        <v>36</v>
      </c>
      <c r="X463" t="s">
        <v>69</v>
      </c>
      <c r="Y463" t="s">
        <v>38</v>
      </c>
      <c r="AD463">
        <v>0</v>
      </c>
      <c r="AE463" t="b">
        <f>ISNUMBER(MATCH(G463,AUM!$C$6:$C$1451,0))</f>
        <v>1</v>
      </c>
      <c r="AF463" t="b">
        <f>ISNUMBER(MATCH(G463,AUM!$G$6:$G$240,0))</f>
        <v>0</v>
      </c>
    </row>
    <row r="464" spans="1:32" x14ac:dyDescent="0.2">
      <c r="A464" t="s">
        <v>1510</v>
      </c>
      <c r="B464" s="1">
        <v>45671</v>
      </c>
      <c r="D464" t="s">
        <v>1510</v>
      </c>
      <c r="E464" t="s">
        <v>40</v>
      </c>
      <c r="F464" t="s">
        <v>1511</v>
      </c>
      <c r="G464" t="s">
        <v>1512</v>
      </c>
      <c r="H464" t="s">
        <v>43</v>
      </c>
      <c r="J464">
        <v>7240.04</v>
      </c>
      <c r="K464">
        <v>7304.99</v>
      </c>
      <c r="L464">
        <v>7304.9914721799996</v>
      </c>
      <c r="Q464" t="s">
        <v>1509</v>
      </c>
      <c r="U464">
        <v>0</v>
      </c>
      <c r="W464" t="s">
        <v>36</v>
      </c>
      <c r="X464" t="s">
        <v>69</v>
      </c>
      <c r="Y464" t="s">
        <v>38</v>
      </c>
      <c r="AD464">
        <v>0</v>
      </c>
      <c r="AE464" t="b">
        <f>ISNUMBER(MATCH(G464,AUM!$C$6:$C$1451,0))</f>
        <v>1</v>
      </c>
      <c r="AF464" t="b">
        <f>ISNUMBER(MATCH(G464,AUM!$G$6:$G$240,0))</f>
        <v>0</v>
      </c>
    </row>
    <row r="465" spans="1:32" x14ac:dyDescent="0.2">
      <c r="A465" t="s">
        <v>1509</v>
      </c>
      <c r="B465" s="1">
        <v>45671</v>
      </c>
      <c r="D465" t="s">
        <v>1509</v>
      </c>
      <c r="E465" t="s">
        <v>40</v>
      </c>
      <c r="F465" t="s">
        <v>1513</v>
      </c>
      <c r="G465" t="s">
        <v>1514</v>
      </c>
      <c r="H465" t="s">
        <v>43</v>
      </c>
      <c r="I465">
        <v>1290402272.96049</v>
      </c>
      <c r="J465">
        <v>5843.89</v>
      </c>
      <c r="K465">
        <v>5896.32</v>
      </c>
      <c r="L465">
        <v>5896.31636901</v>
      </c>
      <c r="M465">
        <v>7608620044665.6299</v>
      </c>
      <c r="N465">
        <v>199</v>
      </c>
      <c r="O465" t="s">
        <v>35</v>
      </c>
      <c r="P465">
        <v>1</v>
      </c>
      <c r="R465" t="s">
        <v>1506</v>
      </c>
      <c r="S465" t="s">
        <v>1510</v>
      </c>
      <c r="W465" t="s">
        <v>36</v>
      </c>
      <c r="X465" t="s">
        <v>37</v>
      </c>
      <c r="Y465" t="s">
        <v>38</v>
      </c>
      <c r="AD465">
        <v>0</v>
      </c>
      <c r="AE465" t="b">
        <f>ISNUMBER(MATCH(G465,AUM!$C$6:$C$1451,0))</f>
        <v>1</v>
      </c>
      <c r="AF465" t="b">
        <f>ISNUMBER(MATCH(G465,AUM!$G$6:$G$240,0))</f>
        <v>0</v>
      </c>
    </row>
    <row r="466" spans="1:32" x14ac:dyDescent="0.2">
      <c r="A466" t="s">
        <v>1515</v>
      </c>
      <c r="B466" s="1">
        <v>45671</v>
      </c>
      <c r="D466" t="s">
        <v>1515</v>
      </c>
      <c r="E466" t="s">
        <v>40</v>
      </c>
      <c r="F466" t="s">
        <v>1516</v>
      </c>
      <c r="G466" t="s">
        <v>1517</v>
      </c>
      <c r="H466" t="s">
        <v>43</v>
      </c>
      <c r="J466">
        <v>4892.25</v>
      </c>
      <c r="K466">
        <v>4934.25</v>
      </c>
      <c r="L466">
        <v>4934.2489934499999</v>
      </c>
      <c r="Q466" t="s">
        <v>1518</v>
      </c>
      <c r="T466">
        <v>0</v>
      </c>
      <c r="W466" t="s">
        <v>36</v>
      </c>
      <c r="X466" t="s">
        <v>69</v>
      </c>
      <c r="Y466" t="s">
        <v>38</v>
      </c>
      <c r="AD466">
        <v>0</v>
      </c>
      <c r="AE466" t="b">
        <f>ISNUMBER(MATCH(G466,AUM!$C$6:$C$1451,0))</f>
        <v>1</v>
      </c>
      <c r="AF466" t="b">
        <f>ISNUMBER(MATCH(G466,AUM!$G$6:$G$240,0))</f>
        <v>0</v>
      </c>
    </row>
    <row r="467" spans="1:32" x14ac:dyDescent="0.2">
      <c r="A467" t="s">
        <v>1519</v>
      </c>
      <c r="B467" s="1">
        <v>45671</v>
      </c>
      <c r="D467" t="s">
        <v>1519</v>
      </c>
      <c r="E467" t="s">
        <v>40</v>
      </c>
      <c r="F467" t="s">
        <v>1520</v>
      </c>
      <c r="G467" t="s">
        <v>1521</v>
      </c>
      <c r="H467" t="s">
        <v>43</v>
      </c>
      <c r="J467">
        <v>4437.3599999999997</v>
      </c>
      <c r="K467">
        <v>4475.45</v>
      </c>
      <c r="L467">
        <v>4475.4502456800001</v>
      </c>
      <c r="Q467" t="s">
        <v>1518</v>
      </c>
      <c r="U467">
        <v>0</v>
      </c>
      <c r="W467" t="s">
        <v>36</v>
      </c>
      <c r="X467" t="s">
        <v>69</v>
      </c>
      <c r="Y467" t="s">
        <v>38</v>
      </c>
      <c r="AD467">
        <v>0</v>
      </c>
      <c r="AE467" t="b">
        <f>ISNUMBER(MATCH(G467,AUM!$C$6:$C$1451,0))</f>
        <v>1</v>
      </c>
      <c r="AF467" t="b">
        <f>ISNUMBER(MATCH(G467,AUM!$G$6:$G$240,0))</f>
        <v>0</v>
      </c>
    </row>
    <row r="468" spans="1:32" x14ac:dyDescent="0.2">
      <c r="A468" t="s">
        <v>1518</v>
      </c>
      <c r="B468" s="1">
        <v>45671</v>
      </c>
      <c r="D468" t="s">
        <v>1518</v>
      </c>
      <c r="E468" t="s">
        <v>40</v>
      </c>
      <c r="F468" t="s">
        <v>1522</v>
      </c>
      <c r="G468" t="s">
        <v>1523</v>
      </c>
      <c r="H468" t="s">
        <v>43</v>
      </c>
      <c r="I468">
        <v>2176918969.1886301</v>
      </c>
      <c r="J468">
        <v>3235.37</v>
      </c>
      <c r="K468">
        <v>3263.14</v>
      </c>
      <c r="L468">
        <v>3263.1435823000002</v>
      </c>
      <c r="M468">
        <v>7103599163490.0996</v>
      </c>
      <c r="N468">
        <v>151</v>
      </c>
      <c r="O468" t="s">
        <v>35</v>
      </c>
      <c r="P468">
        <v>1</v>
      </c>
      <c r="R468" t="s">
        <v>1515</v>
      </c>
      <c r="S468" t="s">
        <v>1519</v>
      </c>
      <c r="W468" t="s">
        <v>36</v>
      </c>
      <c r="X468" t="s">
        <v>37</v>
      </c>
      <c r="Y468" t="s">
        <v>38</v>
      </c>
      <c r="AD468">
        <v>0</v>
      </c>
      <c r="AE468" t="b">
        <f>ISNUMBER(MATCH(G468,AUM!$C$6:$C$1451,0))</f>
        <v>1</v>
      </c>
      <c r="AF468" t="b">
        <f>ISNUMBER(MATCH(G468,AUM!$G$6:$G$240,0))</f>
        <v>0</v>
      </c>
    </row>
    <row r="469" spans="1:32" x14ac:dyDescent="0.2">
      <c r="A469" t="s">
        <v>1524</v>
      </c>
      <c r="B469" s="1">
        <v>45671</v>
      </c>
      <c r="D469" t="s">
        <v>1524</v>
      </c>
      <c r="E469" t="s">
        <v>40</v>
      </c>
      <c r="F469" t="s">
        <v>1525</v>
      </c>
      <c r="G469" t="s">
        <v>1526</v>
      </c>
      <c r="H469" t="s">
        <v>43</v>
      </c>
      <c r="J469">
        <v>10045.31</v>
      </c>
      <c r="K469">
        <v>10090.27</v>
      </c>
      <c r="L469">
        <v>10090.2677726</v>
      </c>
      <c r="Q469" t="s">
        <v>1527</v>
      </c>
      <c r="T469">
        <v>0.13942213807421999</v>
      </c>
      <c r="V469" t="s">
        <v>79</v>
      </c>
      <c r="W469" t="s">
        <v>36</v>
      </c>
      <c r="X469" t="s">
        <v>69</v>
      </c>
      <c r="Y469" t="s">
        <v>38</v>
      </c>
      <c r="AD469">
        <v>0</v>
      </c>
      <c r="AE469" t="b">
        <f>ISNUMBER(MATCH(G469,AUM!$C$6:$C$1451,0))</f>
        <v>0</v>
      </c>
      <c r="AF469" t="b">
        <f>ISNUMBER(MATCH(G469,AUM!$G$6:$G$240,0))</f>
        <v>0</v>
      </c>
    </row>
    <row r="470" spans="1:32" x14ac:dyDescent="0.2">
      <c r="A470" t="s">
        <v>1528</v>
      </c>
      <c r="B470" s="1">
        <v>45671</v>
      </c>
      <c r="D470" t="s">
        <v>1528</v>
      </c>
      <c r="E470" t="s">
        <v>40</v>
      </c>
      <c r="F470" t="s">
        <v>1529</v>
      </c>
      <c r="G470" t="s">
        <v>1530</v>
      </c>
      <c r="H470" t="s">
        <v>43</v>
      </c>
      <c r="J470">
        <v>9445.4500000000007</v>
      </c>
      <c r="K470">
        <v>9487.73</v>
      </c>
      <c r="L470">
        <v>9487.7283391799992</v>
      </c>
      <c r="Q470" t="s">
        <v>1527</v>
      </c>
      <c r="U470">
        <v>0.10456660355566</v>
      </c>
      <c r="V470" t="s">
        <v>79</v>
      </c>
      <c r="W470" t="s">
        <v>36</v>
      </c>
      <c r="X470" t="s">
        <v>69</v>
      </c>
      <c r="Y470" t="s">
        <v>38</v>
      </c>
      <c r="AD470">
        <v>0</v>
      </c>
      <c r="AE470" t="b">
        <f>ISNUMBER(MATCH(G470,AUM!$C$6:$C$1451,0))</f>
        <v>0</v>
      </c>
      <c r="AF470" t="b">
        <f>ISNUMBER(MATCH(G470,AUM!$G$6:$G$240,0))</f>
        <v>0</v>
      </c>
    </row>
    <row r="471" spans="1:32" x14ac:dyDescent="0.2">
      <c r="A471" t="s">
        <v>1527</v>
      </c>
      <c r="B471" s="1">
        <v>45671</v>
      </c>
      <c r="D471" t="s">
        <v>1527</v>
      </c>
      <c r="E471" t="s">
        <v>40</v>
      </c>
      <c r="F471" t="s">
        <v>1531</v>
      </c>
      <c r="G471" t="s">
        <v>1532</v>
      </c>
      <c r="H471" t="s">
        <v>43</v>
      </c>
      <c r="I471">
        <v>1062277021.75362</v>
      </c>
      <c r="J471">
        <v>7901.86</v>
      </c>
      <c r="K471">
        <v>7937.23</v>
      </c>
      <c r="L471">
        <v>7937.2284654699997</v>
      </c>
      <c r="M471">
        <v>8431535415281.8496</v>
      </c>
      <c r="N471">
        <v>126</v>
      </c>
      <c r="O471" t="s">
        <v>35</v>
      </c>
      <c r="P471">
        <v>1</v>
      </c>
      <c r="R471" t="s">
        <v>1524</v>
      </c>
      <c r="S471" t="s">
        <v>1528</v>
      </c>
      <c r="W471" t="s">
        <v>36</v>
      </c>
      <c r="X471" t="s">
        <v>37</v>
      </c>
      <c r="Y471" t="s">
        <v>38</v>
      </c>
      <c r="AD471">
        <v>0</v>
      </c>
      <c r="AE471" t="b">
        <f>ISNUMBER(MATCH(G471,AUM!$C$6:$C$1451,0))</f>
        <v>0</v>
      </c>
      <c r="AF471" t="b">
        <f>ISNUMBER(MATCH(G471,AUM!$G$6:$G$240,0))</f>
        <v>0</v>
      </c>
    </row>
    <row r="472" spans="1:32" x14ac:dyDescent="0.2">
      <c r="A472" t="s">
        <v>1533</v>
      </c>
      <c r="B472" s="1">
        <v>45671</v>
      </c>
      <c r="D472" t="s">
        <v>1533</v>
      </c>
      <c r="E472" t="s">
        <v>40</v>
      </c>
      <c r="F472" t="s">
        <v>1534</v>
      </c>
      <c r="G472" t="s">
        <v>1535</v>
      </c>
      <c r="H472" t="s">
        <v>43</v>
      </c>
      <c r="J472">
        <v>4224.0600000000004</v>
      </c>
      <c r="K472">
        <v>4258.63</v>
      </c>
      <c r="L472">
        <v>4258.6267140600003</v>
      </c>
      <c r="Q472" t="s">
        <v>1536</v>
      </c>
      <c r="T472">
        <v>0</v>
      </c>
      <c r="W472" t="s">
        <v>36</v>
      </c>
      <c r="X472" t="s">
        <v>69</v>
      </c>
      <c r="Y472" t="s">
        <v>38</v>
      </c>
      <c r="AD472">
        <v>0</v>
      </c>
      <c r="AE472" t="b">
        <f>ISNUMBER(MATCH(G472,AUM!$C$6:$C$1451,0))</f>
        <v>0</v>
      </c>
      <c r="AF472" t="b">
        <f>ISNUMBER(MATCH(G472,AUM!$G$6:$G$240,0))</f>
        <v>0</v>
      </c>
    </row>
    <row r="473" spans="1:32" x14ac:dyDescent="0.2">
      <c r="A473" t="s">
        <v>1537</v>
      </c>
      <c r="B473" s="1">
        <v>45671</v>
      </c>
      <c r="D473" t="s">
        <v>1537</v>
      </c>
      <c r="E473" t="s">
        <v>40</v>
      </c>
      <c r="F473" t="s">
        <v>1538</v>
      </c>
      <c r="G473" t="s">
        <v>1539</v>
      </c>
      <c r="H473" t="s">
        <v>43</v>
      </c>
      <c r="J473">
        <v>3782.42</v>
      </c>
      <c r="K473">
        <v>3813.34</v>
      </c>
      <c r="L473">
        <v>3813.3389962800002</v>
      </c>
      <c r="Q473" t="s">
        <v>1536</v>
      </c>
      <c r="U473">
        <v>0</v>
      </c>
      <c r="W473" t="s">
        <v>36</v>
      </c>
      <c r="X473" t="s">
        <v>69</v>
      </c>
      <c r="Y473" t="s">
        <v>38</v>
      </c>
      <c r="AD473">
        <v>0</v>
      </c>
      <c r="AE473" t="b">
        <f>ISNUMBER(MATCH(G473,AUM!$C$6:$C$1451,0))</f>
        <v>0</v>
      </c>
      <c r="AF473" t="b">
        <f>ISNUMBER(MATCH(G473,AUM!$G$6:$G$240,0))</f>
        <v>0</v>
      </c>
    </row>
    <row r="474" spans="1:32" x14ac:dyDescent="0.2">
      <c r="A474" t="s">
        <v>1536</v>
      </c>
      <c r="B474" s="1">
        <v>45671</v>
      </c>
      <c r="D474" t="s">
        <v>1536</v>
      </c>
      <c r="E474" t="s">
        <v>40</v>
      </c>
      <c r="F474" t="s">
        <v>1540</v>
      </c>
      <c r="G474" t="s">
        <v>1541</v>
      </c>
      <c r="H474" t="s">
        <v>43</v>
      </c>
      <c r="I474">
        <v>1023933104.27792</v>
      </c>
      <c r="J474">
        <v>2690.85</v>
      </c>
      <c r="K474">
        <v>2712.8</v>
      </c>
      <c r="L474">
        <v>2712.7957954399999</v>
      </c>
      <c r="M474">
        <v>2777721420093.7402</v>
      </c>
      <c r="N474">
        <v>63</v>
      </c>
      <c r="O474" t="s">
        <v>35</v>
      </c>
      <c r="P474">
        <v>1</v>
      </c>
      <c r="R474" t="s">
        <v>1533</v>
      </c>
      <c r="S474" t="s">
        <v>1537</v>
      </c>
      <c r="W474" t="s">
        <v>36</v>
      </c>
      <c r="X474" t="s">
        <v>37</v>
      </c>
      <c r="Y474" t="s">
        <v>38</v>
      </c>
      <c r="AD474">
        <v>0</v>
      </c>
      <c r="AE474" t="b">
        <f>ISNUMBER(MATCH(G474,AUM!$C$6:$C$1451,0))</f>
        <v>0</v>
      </c>
      <c r="AF474" t="b">
        <f>ISNUMBER(MATCH(G474,AUM!$G$6:$G$240,0))</f>
        <v>0</v>
      </c>
    </row>
    <row r="475" spans="1:32" x14ac:dyDescent="0.2">
      <c r="A475" t="s">
        <v>1542</v>
      </c>
      <c r="B475" s="1">
        <v>45671</v>
      </c>
      <c r="D475" t="s">
        <v>1542</v>
      </c>
      <c r="E475" t="s">
        <v>40</v>
      </c>
      <c r="F475" t="s">
        <v>1543</v>
      </c>
      <c r="G475" t="s">
        <v>1544</v>
      </c>
      <c r="H475" t="s">
        <v>43</v>
      </c>
      <c r="J475">
        <v>2891.53</v>
      </c>
      <c r="K475">
        <v>2955.52</v>
      </c>
      <c r="L475">
        <v>2955.52444057</v>
      </c>
      <c r="Q475" t="s">
        <v>1545</v>
      </c>
      <c r="T475">
        <v>0</v>
      </c>
      <c r="W475" t="s">
        <v>36</v>
      </c>
      <c r="X475" t="s">
        <v>69</v>
      </c>
      <c r="Y475" t="s">
        <v>38</v>
      </c>
      <c r="AD475">
        <v>0</v>
      </c>
      <c r="AE475" t="b">
        <f>ISNUMBER(MATCH(G475,AUM!$C$6:$C$1451,0))</f>
        <v>1</v>
      </c>
      <c r="AF475" t="b">
        <f>ISNUMBER(MATCH(G475,AUM!$G$6:$G$240,0))</f>
        <v>0</v>
      </c>
    </row>
    <row r="476" spans="1:32" x14ac:dyDescent="0.2">
      <c r="A476" t="s">
        <v>1546</v>
      </c>
      <c r="B476" s="1">
        <v>45671</v>
      </c>
      <c r="D476" t="s">
        <v>1546</v>
      </c>
      <c r="E476" t="s">
        <v>40</v>
      </c>
      <c r="F476" t="s">
        <v>1547</v>
      </c>
      <c r="G476" t="s">
        <v>1548</v>
      </c>
      <c r="H476" t="s">
        <v>43</v>
      </c>
      <c r="J476">
        <v>2544.65</v>
      </c>
      <c r="K476">
        <v>2600.96</v>
      </c>
      <c r="L476">
        <v>2600.9628868899999</v>
      </c>
      <c r="Q476" t="s">
        <v>1545</v>
      </c>
      <c r="U476">
        <v>0</v>
      </c>
      <c r="W476" t="s">
        <v>36</v>
      </c>
      <c r="X476" t="s">
        <v>69</v>
      </c>
      <c r="Y476" t="s">
        <v>38</v>
      </c>
      <c r="AD476">
        <v>0</v>
      </c>
      <c r="AE476" t="b">
        <f>ISNUMBER(MATCH(G476,AUM!$C$6:$C$1451,0))</f>
        <v>1</v>
      </c>
      <c r="AF476" t="b">
        <f>ISNUMBER(MATCH(G476,AUM!$G$6:$G$240,0))</f>
        <v>0</v>
      </c>
    </row>
    <row r="477" spans="1:32" x14ac:dyDescent="0.2">
      <c r="A477" t="s">
        <v>1545</v>
      </c>
      <c r="B477" s="1">
        <v>45671</v>
      </c>
      <c r="D477" t="s">
        <v>1545</v>
      </c>
      <c r="E477" t="s">
        <v>40</v>
      </c>
      <c r="F477" t="s">
        <v>1549</v>
      </c>
      <c r="G477" t="s">
        <v>1550</v>
      </c>
      <c r="H477" t="s">
        <v>43</v>
      </c>
      <c r="I477">
        <v>1424859367.4915299</v>
      </c>
      <c r="J477">
        <v>1676.59</v>
      </c>
      <c r="K477">
        <v>1713.69</v>
      </c>
      <c r="L477">
        <v>1713.69459347</v>
      </c>
      <c r="M477">
        <v>2441773794519.96</v>
      </c>
      <c r="N477">
        <v>47</v>
      </c>
      <c r="O477" t="s">
        <v>35</v>
      </c>
      <c r="P477">
        <v>1</v>
      </c>
      <c r="R477" t="s">
        <v>1542</v>
      </c>
      <c r="S477" t="s">
        <v>1546</v>
      </c>
      <c r="W477" t="s">
        <v>36</v>
      </c>
      <c r="X477" t="s">
        <v>37</v>
      </c>
      <c r="Y477" t="s">
        <v>38</v>
      </c>
      <c r="AD477">
        <v>0</v>
      </c>
      <c r="AE477" t="b">
        <f>ISNUMBER(MATCH(G477,AUM!$C$6:$C$1451,0))</f>
        <v>1</v>
      </c>
      <c r="AF477" t="b">
        <f>ISNUMBER(MATCH(G477,AUM!$G$6:$G$240,0))</f>
        <v>0</v>
      </c>
    </row>
    <row r="478" spans="1:32" x14ac:dyDescent="0.2">
      <c r="A478" t="s">
        <v>1551</v>
      </c>
      <c r="B478" s="1">
        <v>45671</v>
      </c>
      <c r="D478" t="s">
        <v>1551</v>
      </c>
      <c r="E478" t="s">
        <v>40</v>
      </c>
      <c r="F478" t="s">
        <v>1552</v>
      </c>
      <c r="G478" t="s">
        <v>1553</v>
      </c>
      <c r="H478" t="s">
        <v>43</v>
      </c>
      <c r="J478">
        <v>20867.28</v>
      </c>
      <c r="K478">
        <v>20776.97</v>
      </c>
      <c r="L478">
        <v>20776.97179865</v>
      </c>
      <c r="Q478" t="s">
        <v>1554</v>
      </c>
      <c r="T478">
        <v>0</v>
      </c>
      <c r="W478" t="s">
        <v>36</v>
      </c>
      <c r="X478" t="s">
        <v>69</v>
      </c>
      <c r="Y478" t="s">
        <v>38</v>
      </c>
      <c r="AD478">
        <v>0</v>
      </c>
      <c r="AE478" t="b">
        <f>ISNUMBER(MATCH(G478,AUM!$C$6:$C$1451,0))</f>
        <v>1</v>
      </c>
      <c r="AF478" t="b">
        <f>ISNUMBER(MATCH(G478,AUM!$G$6:$G$240,0))</f>
        <v>0</v>
      </c>
    </row>
    <row r="479" spans="1:32" x14ac:dyDescent="0.2">
      <c r="A479" t="s">
        <v>1555</v>
      </c>
      <c r="B479" s="1">
        <v>45671</v>
      </c>
      <c r="D479" t="s">
        <v>1555</v>
      </c>
      <c r="E479" t="s">
        <v>40</v>
      </c>
      <c r="F479" t="s">
        <v>1556</v>
      </c>
      <c r="G479" t="s">
        <v>1557</v>
      </c>
      <c r="H479" t="s">
        <v>43</v>
      </c>
      <c r="J479">
        <v>19769.8</v>
      </c>
      <c r="K479">
        <v>19684.240000000002</v>
      </c>
      <c r="L479">
        <v>19684.24371391</v>
      </c>
      <c r="Q479" t="s">
        <v>1554</v>
      </c>
      <c r="U479">
        <v>0</v>
      </c>
      <c r="W479" t="s">
        <v>36</v>
      </c>
      <c r="X479" t="s">
        <v>69</v>
      </c>
      <c r="Y479" t="s">
        <v>38</v>
      </c>
      <c r="AD479">
        <v>0</v>
      </c>
      <c r="AE479" t="b">
        <f>ISNUMBER(MATCH(G479,AUM!$C$6:$C$1451,0))</f>
        <v>1</v>
      </c>
      <c r="AF479" t="b">
        <f>ISNUMBER(MATCH(G479,AUM!$G$6:$G$240,0))</f>
        <v>0</v>
      </c>
    </row>
    <row r="480" spans="1:32" x14ac:dyDescent="0.2">
      <c r="A480" t="s">
        <v>1554</v>
      </c>
      <c r="B480" s="1">
        <v>45671</v>
      </c>
      <c r="D480" t="s">
        <v>1554</v>
      </c>
      <c r="E480" t="s">
        <v>40</v>
      </c>
      <c r="F480" t="s">
        <v>1558</v>
      </c>
      <c r="G480" t="s">
        <v>1559</v>
      </c>
      <c r="H480" t="s">
        <v>43</v>
      </c>
      <c r="I480">
        <v>1077767404.50474</v>
      </c>
      <c r="J480">
        <v>17334.669999999998</v>
      </c>
      <c r="K480">
        <v>17259.650000000001</v>
      </c>
      <c r="L480">
        <v>17259.65031026</v>
      </c>
      <c r="M480">
        <v>18601888517549.199</v>
      </c>
      <c r="N480">
        <v>88</v>
      </c>
      <c r="O480" t="s">
        <v>35</v>
      </c>
      <c r="P480">
        <v>1</v>
      </c>
      <c r="R480" t="s">
        <v>1551</v>
      </c>
      <c r="S480" t="s">
        <v>1555</v>
      </c>
      <c r="W480" t="s">
        <v>36</v>
      </c>
      <c r="X480" t="s">
        <v>37</v>
      </c>
      <c r="Y480" t="s">
        <v>38</v>
      </c>
      <c r="AD480">
        <v>0</v>
      </c>
      <c r="AE480" t="b">
        <f>ISNUMBER(MATCH(G480,AUM!$C$6:$C$1451,0))</f>
        <v>1</v>
      </c>
      <c r="AF480" t="b">
        <f>ISNUMBER(MATCH(G480,AUM!$G$6:$G$240,0))</f>
        <v>0</v>
      </c>
    </row>
    <row r="481" spans="1:32" x14ac:dyDescent="0.2">
      <c r="A481" t="s">
        <v>1560</v>
      </c>
      <c r="B481" s="1">
        <v>45671</v>
      </c>
      <c r="D481" t="s">
        <v>1560</v>
      </c>
      <c r="E481" t="s">
        <v>40</v>
      </c>
      <c r="F481" t="s">
        <v>1561</v>
      </c>
      <c r="G481" t="s">
        <v>1562</v>
      </c>
      <c r="H481" t="s">
        <v>43</v>
      </c>
      <c r="J481">
        <v>3724.89</v>
      </c>
      <c r="K481">
        <v>3696.39</v>
      </c>
      <c r="L481">
        <v>3696.3882921899999</v>
      </c>
      <c r="Q481" t="s">
        <v>1563</v>
      </c>
      <c r="T481">
        <v>0.78574307531705001</v>
      </c>
      <c r="V481" t="s">
        <v>1564</v>
      </c>
      <c r="W481" t="s">
        <v>36</v>
      </c>
      <c r="X481" t="s">
        <v>69</v>
      </c>
      <c r="Y481" t="s">
        <v>38</v>
      </c>
      <c r="AD481">
        <v>0</v>
      </c>
      <c r="AE481" t="b">
        <f>ISNUMBER(MATCH(G481,AUM!$C$6:$C$1451,0))</f>
        <v>0</v>
      </c>
      <c r="AF481" t="b">
        <f>ISNUMBER(MATCH(G481,AUM!$G$6:$G$240,0))</f>
        <v>0</v>
      </c>
    </row>
    <row r="482" spans="1:32" x14ac:dyDescent="0.2">
      <c r="A482" t="s">
        <v>1565</v>
      </c>
      <c r="B482" s="1">
        <v>45671</v>
      </c>
      <c r="D482" t="s">
        <v>1565</v>
      </c>
      <c r="E482" t="s">
        <v>40</v>
      </c>
      <c r="F482" t="s">
        <v>1566</v>
      </c>
      <c r="G482" t="s">
        <v>1567</v>
      </c>
      <c r="H482" t="s">
        <v>43</v>
      </c>
      <c r="J482">
        <v>3409.4</v>
      </c>
      <c r="K482">
        <v>3383.32</v>
      </c>
      <c r="L482">
        <v>3383.31740868</v>
      </c>
      <c r="Q482" t="s">
        <v>1563</v>
      </c>
      <c r="U482">
        <v>0.63645189100680999</v>
      </c>
      <c r="V482" t="s">
        <v>1564</v>
      </c>
      <c r="W482" t="s">
        <v>36</v>
      </c>
      <c r="X482" t="s">
        <v>69</v>
      </c>
      <c r="Y482" t="s">
        <v>38</v>
      </c>
      <c r="AD482">
        <v>0</v>
      </c>
      <c r="AE482" t="b">
        <f>ISNUMBER(MATCH(G482,AUM!$C$6:$C$1451,0))</f>
        <v>0</v>
      </c>
      <c r="AF482" t="b">
        <f>ISNUMBER(MATCH(G482,AUM!$G$6:$G$240,0))</f>
        <v>0</v>
      </c>
    </row>
    <row r="483" spans="1:32" x14ac:dyDescent="0.2">
      <c r="A483" t="s">
        <v>1563</v>
      </c>
      <c r="B483" s="1">
        <v>45671</v>
      </c>
      <c r="D483" t="s">
        <v>1563</v>
      </c>
      <c r="E483" t="s">
        <v>40</v>
      </c>
      <c r="F483" t="s">
        <v>1568</v>
      </c>
      <c r="G483" t="s">
        <v>1569</v>
      </c>
      <c r="H483" t="s">
        <v>43</v>
      </c>
      <c r="I483">
        <v>54194439.8336794</v>
      </c>
      <c r="J483">
        <v>2605.16</v>
      </c>
      <c r="K483">
        <v>2585.23</v>
      </c>
      <c r="L483">
        <v>2585.23043981</v>
      </c>
      <c r="M483">
        <v>140105115526.379</v>
      </c>
      <c r="N483">
        <v>135</v>
      </c>
      <c r="O483" t="s">
        <v>35</v>
      </c>
      <c r="P483">
        <v>1</v>
      </c>
      <c r="R483" t="s">
        <v>1560</v>
      </c>
      <c r="S483" t="s">
        <v>1565</v>
      </c>
      <c r="W483" t="s">
        <v>36</v>
      </c>
      <c r="X483" t="s">
        <v>37</v>
      </c>
      <c r="Y483" t="s">
        <v>38</v>
      </c>
      <c r="AD483">
        <v>0</v>
      </c>
      <c r="AE483" t="b">
        <f>ISNUMBER(MATCH(G483,AUM!$C$6:$C$1451,0))</f>
        <v>0</v>
      </c>
      <c r="AF483" t="b">
        <f>ISNUMBER(MATCH(G483,AUM!$G$6:$G$240,0))</f>
        <v>1</v>
      </c>
    </row>
    <row r="484" spans="1:32" x14ac:dyDescent="0.2">
      <c r="A484" t="s">
        <v>1570</v>
      </c>
      <c r="B484" s="1">
        <v>45671</v>
      </c>
      <c r="D484" t="s">
        <v>1570</v>
      </c>
      <c r="E484" t="s">
        <v>40</v>
      </c>
      <c r="F484" t="s">
        <v>1571</v>
      </c>
      <c r="G484" t="s">
        <v>1572</v>
      </c>
      <c r="H484" t="s">
        <v>43</v>
      </c>
      <c r="J484">
        <v>2146.5100000000002</v>
      </c>
      <c r="K484">
        <v>2147.9</v>
      </c>
      <c r="L484">
        <v>2147.8965707699999</v>
      </c>
      <c r="Q484" t="s">
        <v>1573</v>
      </c>
      <c r="T484">
        <v>0</v>
      </c>
      <c r="W484" t="s">
        <v>36</v>
      </c>
      <c r="X484" t="s">
        <v>69</v>
      </c>
      <c r="Y484" t="s">
        <v>38</v>
      </c>
      <c r="AD484">
        <v>0</v>
      </c>
      <c r="AE484" t="b">
        <f>ISNUMBER(MATCH(G484,AUM!$C$6:$C$1451,0))</f>
        <v>1</v>
      </c>
      <c r="AF484" t="b">
        <f>ISNUMBER(MATCH(G484,AUM!$G$6:$G$240,0))</f>
        <v>0</v>
      </c>
    </row>
    <row r="485" spans="1:32" x14ac:dyDescent="0.2">
      <c r="A485" t="s">
        <v>1574</v>
      </c>
      <c r="B485" s="1">
        <v>45671</v>
      </c>
      <c r="D485" t="s">
        <v>1574</v>
      </c>
      <c r="E485" t="s">
        <v>40</v>
      </c>
      <c r="F485" t="s">
        <v>1575</v>
      </c>
      <c r="G485" t="s">
        <v>1576</v>
      </c>
      <c r="H485" t="s">
        <v>43</v>
      </c>
      <c r="J485">
        <v>1781.22</v>
      </c>
      <c r="K485">
        <v>1782.37</v>
      </c>
      <c r="L485">
        <v>1782.37222342</v>
      </c>
      <c r="Q485" t="s">
        <v>1573</v>
      </c>
      <c r="U485">
        <v>0</v>
      </c>
      <c r="W485" t="s">
        <v>36</v>
      </c>
      <c r="X485" t="s">
        <v>69</v>
      </c>
      <c r="Y485" t="s">
        <v>38</v>
      </c>
      <c r="AD485">
        <v>0</v>
      </c>
      <c r="AE485" t="b">
        <f>ISNUMBER(MATCH(G485,AUM!$C$6:$C$1451,0))</f>
        <v>1</v>
      </c>
      <c r="AF485" t="b">
        <f>ISNUMBER(MATCH(G485,AUM!$G$6:$G$240,0))</f>
        <v>0</v>
      </c>
    </row>
    <row r="486" spans="1:32" x14ac:dyDescent="0.2">
      <c r="A486" t="s">
        <v>1577</v>
      </c>
      <c r="B486" s="1">
        <v>45671</v>
      </c>
      <c r="D486" t="s">
        <v>1577</v>
      </c>
      <c r="E486" t="s">
        <v>40</v>
      </c>
      <c r="F486" t="s">
        <v>1578</v>
      </c>
      <c r="G486" t="s">
        <v>1579</v>
      </c>
      <c r="H486" t="s">
        <v>43</v>
      </c>
      <c r="J486">
        <v>2552.52</v>
      </c>
      <c r="K486">
        <v>2561.92</v>
      </c>
      <c r="L486">
        <v>2561.9224645300001</v>
      </c>
      <c r="Q486" t="s">
        <v>1580</v>
      </c>
      <c r="T486">
        <v>0</v>
      </c>
      <c r="W486" t="s">
        <v>36</v>
      </c>
      <c r="X486" t="s">
        <v>69</v>
      </c>
      <c r="Y486" t="s">
        <v>38</v>
      </c>
      <c r="AD486">
        <v>0</v>
      </c>
      <c r="AE486" t="b">
        <f>ISNUMBER(MATCH(G486,AUM!$C$6:$C$1451,0))</f>
        <v>1</v>
      </c>
      <c r="AF486" t="b">
        <f>ISNUMBER(MATCH(G486,AUM!$G$6:$G$240,0))</f>
        <v>0</v>
      </c>
    </row>
    <row r="487" spans="1:32" x14ac:dyDescent="0.2">
      <c r="A487" t="s">
        <v>1581</v>
      </c>
      <c r="B487" s="1">
        <v>45671</v>
      </c>
      <c r="D487" t="s">
        <v>1581</v>
      </c>
      <c r="E487" t="s">
        <v>40</v>
      </c>
      <c r="F487" t="s">
        <v>1582</v>
      </c>
      <c r="G487" t="s">
        <v>1583</v>
      </c>
      <c r="H487" t="s">
        <v>43</v>
      </c>
      <c r="J487">
        <v>2294.58</v>
      </c>
      <c r="K487">
        <v>2303.0300000000002</v>
      </c>
      <c r="L487">
        <v>2303.0321806500001</v>
      </c>
      <c r="Q487" t="s">
        <v>1580</v>
      </c>
      <c r="U487">
        <v>0</v>
      </c>
      <c r="W487" t="s">
        <v>36</v>
      </c>
      <c r="X487" t="s">
        <v>69</v>
      </c>
      <c r="Y487" t="s">
        <v>38</v>
      </c>
      <c r="AD487">
        <v>0</v>
      </c>
      <c r="AE487" t="b">
        <f>ISNUMBER(MATCH(G487,AUM!$C$6:$C$1451,0))</f>
        <v>1</v>
      </c>
      <c r="AF487" t="b">
        <f>ISNUMBER(MATCH(G487,AUM!$G$6:$G$240,0))</f>
        <v>0</v>
      </c>
    </row>
    <row r="488" spans="1:32" x14ac:dyDescent="0.2">
      <c r="A488" t="s">
        <v>1584</v>
      </c>
      <c r="B488" s="1">
        <v>45671</v>
      </c>
      <c r="D488" t="s">
        <v>1584</v>
      </c>
      <c r="E488" t="s">
        <v>40</v>
      </c>
      <c r="F488" t="s">
        <v>1585</v>
      </c>
      <c r="G488" t="s">
        <v>1586</v>
      </c>
      <c r="H488" t="s">
        <v>43</v>
      </c>
      <c r="J488">
        <v>3059.64</v>
      </c>
      <c r="K488">
        <v>3043.89</v>
      </c>
      <c r="L488">
        <v>3043.8923858500002</v>
      </c>
      <c r="Q488" t="s">
        <v>1587</v>
      </c>
      <c r="T488">
        <v>0</v>
      </c>
      <c r="W488" t="s">
        <v>36</v>
      </c>
      <c r="X488" t="s">
        <v>69</v>
      </c>
      <c r="Y488" t="s">
        <v>38</v>
      </c>
      <c r="AD488">
        <v>0</v>
      </c>
      <c r="AE488" t="b">
        <f>ISNUMBER(MATCH(G488,AUM!$C$6:$C$1451,0))</f>
        <v>1</v>
      </c>
      <c r="AF488" t="b">
        <f>ISNUMBER(MATCH(G488,AUM!$G$6:$G$240,0))</f>
        <v>0</v>
      </c>
    </row>
    <row r="489" spans="1:32" x14ac:dyDescent="0.2">
      <c r="A489" t="s">
        <v>1588</v>
      </c>
      <c r="B489" s="1">
        <v>45671</v>
      </c>
      <c r="D489" t="s">
        <v>1588</v>
      </c>
      <c r="E489" t="s">
        <v>40</v>
      </c>
      <c r="F489" t="s">
        <v>1589</v>
      </c>
      <c r="G489" t="s">
        <v>1590</v>
      </c>
      <c r="H489" t="s">
        <v>43</v>
      </c>
      <c r="J489">
        <v>2809.76</v>
      </c>
      <c r="K489">
        <v>2795.3</v>
      </c>
      <c r="L489">
        <v>2795.2980860600001</v>
      </c>
      <c r="Q489" t="s">
        <v>1587</v>
      </c>
      <c r="U489">
        <v>0</v>
      </c>
      <c r="W489" t="s">
        <v>36</v>
      </c>
      <c r="X489" t="s">
        <v>69</v>
      </c>
      <c r="Y489" t="s">
        <v>38</v>
      </c>
      <c r="AD489">
        <v>0</v>
      </c>
      <c r="AE489" t="b">
        <f>ISNUMBER(MATCH(G489,AUM!$C$6:$C$1451,0))</f>
        <v>1</v>
      </c>
      <c r="AF489" t="b">
        <f>ISNUMBER(MATCH(G489,AUM!$G$6:$G$240,0))</f>
        <v>0</v>
      </c>
    </row>
    <row r="490" spans="1:32" x14ac:dyDescent="0.2">
      <c r="A490" t="s">
        <v>1591</v>
      </c>
      <c r="B490" s="1">
        <v>45671</v>
      </c>
      <c r="D490" t="s">
        <v>1591</v>
      </c>
      <c r="E490" t="s">
        <v>40</v>
      </c>
      <c r="F490" t="s">
        <v>1592</v>
      </c>
      <c r="G490" t="s">
        <v>1593</v>
      </c>
      <c r="H490" t="s">
        <v>43</v>
      </c>
      <c r="J490">
        <v>1543.73</v>
      </c>
      <c r="K490">
        <v>1546.37</v>
      </c>
      <c r="L490">
        <v>1546.3744996600001</v>
      </c>
      <c r="Q490" t="s">
        <v>1594</v>
      </c>
      <c r="T490">
        <v>0</v>
      </c>
      <c r="W490" t="s">
        <v>36</v>
      </c>
      <c r="X490" t="s">
        <v>69</v>
      </c>
      <c r="Y490" t="s">
        <v>38</v>
      </c>
      <c r="AD490">
        <v>0</v>
      </c>
      <c r="AE490" t="b">
        <f>ISNUMBER(MATCH(G490,AUM!$C$6:$C$1451,0))</f>
        <v>1</v>
      </c>
      <c r="AF490" t="b">
        <f>ISNUMBER(MATCH(G490,AUM!$G$6:$G$240,0))</f>
        <v>0</v>
      </c>
    </row>
    <row r="491" spans="1:32" x14ac:dyDescent="0.2">
      <c r="A491" t="s">
        <v>1595</v>
      </c>
      <c r="B491" s="1">
        <v>45671</v>
      </c>
      <c r="D491" t="s">
        <v>1595</v>
      </c>
      <c r="E491" t="s">
        <v>40</v>
      </c>
      <c r="F491" t="s">
        <v>1596</v>
      </c>
      <c r="G491" t="s">
        <v>1597</v>
      </c>
      <c r="H491" t="s">
        <v>43</v>
      </c>
      <c r="J491">
        <v>1328.66</v>
      </c>
      <c r="K491">
        <v>1330.93</v>
      </c>
      <c r="L491">
        <v>1330.93418883</v>
      </c>
      <c r="Q491" t="s">
        <v>1594</v>
      </c>
      <c r="U491">
        <v>0</v>
      </c>
      <c r="W491" t="s">
        <v>36</v>
      </c>
      <c r="X491" t="s">
        <v>69</v>
      </c>
      <c r="Y491" t="s">
        <v>38</v>
      </c>
      <c r="AD491">
        <v>0</v>
      </c>
      <c r="AE491" t="b">
        <f>ISNUMBER(MATCH(G491,AUM!$C$6:$C$1451,0))</f>
        <v>1</v>
      </c>
      <c r="AF491" t="b">
        <f>ISNUMBER(MATCH(G491,AUM!$G$6:$G$240,0))</f>
        <v>0</v>
      </c>
    </row>
    <row r="492" spans="1:32" x14ac:dyDescent="0.2">
      <c r="A492" t="s">
        <v>1598</v>
      </c>
      <c r="B492" s="1">
        <v>45671</v>
      </c>
      <c r="D492" t="s">
        <v>1598</v>
      </c>
      <c r="E492" t="s">
        <v>40</v>
      </c>
      <c r="F492" t="s">
        <v>1599</v>
      </c>
      <c r="G492" t="s">
        <v>1600</v>
      </c>
      <c r="H492" t="s">
        <v>43</v>
      </c>
      <c r="J492">
        <v>4546.29</v>
      </c>
      <c r="K492">
        <v>4497.67</v>
      </c>
      <c r="L492">
        <v>4497.6673458300002</v>
      </c>
      <c r="Q492" t="s">
        <v>1601</v>
      </c>
      <c r="T492">
        <v>0</v>
      </c>
      <c r="W492" t="s">
        <v>36</v>
      </c>
      <c r="X492" t="s">
        <v>69</v>
      </c>
      <c r="Y492" t="s">
        <v>38</v>
      </c>
      <c r="AD492">
        <v>0</v>
      </c>
      <c r="AE492" t="b">
        <f>ISNUMBER(MATCH(G492,AUM!$C$6:$C$1451,0))</f>
        <v>1</v>
      </c>
      <c r="AF492" t="b">
        <f>ISNUMBER(MATCH(G492,AUM!$G$6:$G$240,0))</f>
        <v>0</v>
      </c>
    </row>
    <row r="493" spans="1:32" x14ac:dyDescent="0.2">
      <c r="A493" t="s">
        <v>1602</v>
      </c>
      <c r="B493" s="1">
        <v>45671</v>
      </c>
      <c r="D493" t="s">
        <v>1602</v>
      </c>
      <c r="E493" t="s">
        <v>40</v>
      </c>
      <c r="F493" t="s">
        <v>1603</v>
      </c>
      <c r="G493" t="s">
        <v>1604</v>
      </c>
      <c r="H493" t="s">
        <v>43</v>
      </c>
      <c r="J493">
        <v>4116.45</v>
      </c>
      <c r="K493">
        <v>4072.42</v>
      </c>
      <c r="L493">
        <v>4072.4189170300001</v>
      </c>
      <c r="Q493" t="s">
        <v>1601</v>
      </c>
      <c r="U493">
        <v>0</v>
      </c>
      <c r="W493" t="s">
        <v>36</v>
      </c>
      <c r="X493" t="s">
        <v>69</v>
      </c>
      <c r="Y493" t="s">
        <v>38</v>
      </c>
      <c r="AD493">
        <v>0</v>
      </c>
      <c r="AE493" t="b">
        <f>ISNUMBER(MATCH(G493,AUM!$C$6:$C$1451,0))</f>
        <v>1</v>
      </c>
      <c r="AF493" t="b">
        <f>ISNUMBER(MATCH(G493,AUM!$G$6:$G$240,0))</f>
        <v>0</v>
      </c>
    </row>
    <row r="494" spans="1:32" x14ac:dyDescent="0.2">
      <c r="A494" t="s">
        <v>1605</v>
      </c>
      <c r="B494" s="1">
        <v>45671</v>
      </c>
      <c r="D494" t="s">
        <v>1605</v>
      </c>
      <c r="E494" t="s">
        <v>40</v>
      </c>
      <c r="F494" t="s">
        <v>1606</v>
      </c>
      <c r="G494" t="s">
        <v>1607</v>
      </c>
      <c r="H494" t="s">
        <v>43</v>
      </c>
      <c r="J494">
        <v>2346</v>
      </c>
      <c r="K494">
        <v>2350.12</v>
      </c>
      <c r="L494">
        <v>2350.1179067399999</v>
      </c>
      <c r="Q494" t="s">
        <v>1608</v>
      </c>
      <c r="T494">
        <v>0</v>
      </c>
      <c r="W494" t="s">
        <v>36</v>
      </c>
      <c r="X494" t="s">
        <v>69</v>
      </c>
      <c r="Y494" t="s">
        <v>38</v>
      </c>
      <c r="AD494">
        <v>0</v>
      </c>
      <c r="AE494" t="b">
        <f>ISNUMBER(MATCH(G494,AUM!$C$6:$C$1451,0))</f>
        <v>1</v>
      </c>
      <c r="AF494" t="b">
        <f>ISNUMBER(MATCH(G494,AUM!$G$6:$G$240,0))</f>
        <v>0</v>
      </c>
    </row>
    <row r="495" spans="1:32" x14ac:dyDescent="0.2">
      <c r="A495" t="s">
        <v>1609</v>
      </c>
      <c r="B495" s="1">
        <v>45671</v>
      </c>
      <c r="D495" t="s">
        <v>1609</v>
      </c>
      <c r="E495" t="s">
        <v>40</v>
      </c>
      <c r="F495" t="s">
        <v>1610</v>
      </c>
      <c r="G495" t="s">
        <v>1611</v>
      </c>
      <c r="H495" t="s">
        <v>43</v>
      </c>
      <c r="J495">
        <v>2011.32</v>
      </c>
      <c r="K495">
        <v>2014.85</v>
      </c>
      <c r="L495">
        <v>2014.8501225499999</v>
      </c>
      <c r="Q495" t="s">
        <v>1608</v>
      </c>
      <c r="U495">
        <v>0</v>
      </c>
      <c r="W495" t="s">
        <v>36</v>
      </c>
      <c r="X495" t="s">
        <v>69</v>
      </c>
      <c r="Y495" t="s">
        <v>38</v>
      </c>
      <c r="AD495">
        <v>0</v>
      </c>
      <c r="AE495" t="b">
        <f>ISNUMBER(MATCH(G495,AUM!$C$6:$C$1451,0))</f>
        <v>1</v>
      </c>
      <c r="AF495" t="b">
        <f>ISNUMBER(MATCH(G495,AUM!$G$6:$G$240,0))</f>
        <v>0</v>
      </c>
    </row>
    <row r="496" spans="1:32" x14ac:dyDescent="0.2">
      <c r="A496" t="s">
        <v>1612</v>
      </c>
      <c r="B496" s="1">
        <v>45671</v>
      </c>
      <c r="D496" t="s">
        <v>1612</v>
      </c>
      <c r="E496" t="s">
        <v>40</v>
      </c>
      <c r="F496" t="s">
        <v>1613</v>
      </c>
      <c r="G496" t="s">
        <v>1614</v>
      </c>
      <c r="H496" t="s">
        <v>43</v>
      </c>
      <c r="J496">
        <v>5289.72</v>
      </c>
      <c r="K496">
        <v>5249.76</v>
      </c>
      <c r="L496">
        <v>5249.7551903200001</v>
      </c>
      <c r="Q496" t="s">
        <v>1615</v>
      </c>
      <c r="T496">
        <v>0.58739788236102997</v>
      </c>
      <c r="V496" t="s">
        <v>79</v>
      </c>
      <c r="W496" t="s">
        <v>36</v>
      </c>
      <c r="X496" t="s">
        <v>69</v>
      </c>
      <c r="Y496" t="s">
        <v>38</v>
      </c>
      <c r="AD496">
        <v>0</v>
      </c>
      <c r="AE496" t="b">
        <f>ISNUMBER(MATCH(G496,AUM!$C$6:$C$1451,0))</f>
        <v>0</v>
      </c>
      <c r="AF496" t="b">
        <f>ISNUMBER(MATCH(G496,AUM!$G$6:$G$240,0))</f>
        <v>0</v>
      </c>
    </row>
    <row r="497" spans="1:32" x14ac:dyDescent="0.2">
      <c r="A497" t="s">
        <v>1616</v>
      </c>
      <c r="B497" s="1">
        <v>45671</v>
      </c>
      <c r="D497" t="s">
        <v>1616</v>
      </c>
      <c r="E497" t="s">
        <v>40</v>
      </c>
      <c r="F497" t="s">
        <v>1617</v>
      </c>
      <c r="G497" t="s">
        <v>1618</v>
      </c>
      <c r="H497" t="s">
        <v>43</v>
      </c>
      <c r="J497">
        <v>4820.49</v>
      </c>
      <c r="K497">
        <v>4784.07</v>
      </c>
      <c r="L497">
        <v>4784.0738445099996</v>
      </c>
      <c r="Q497" t="s">
        <v>1615</v>
      </c>
      <c r="U497">
        <v>0.44054841177078002</v>
      </c>
      <c r="V497" t="s">
        <v>79</v>
      </c>
      <c r="W497" t="s">
        <v>36</v>
      </c>
      <c r="X497" t="s">
        <v>69</v>
      </c>
      <c r="Y497" t="s">
        <v>38</v>
      </c>
      <c r="AD497">
        <v>0</v>
      </c>
      <c r="AE497" t="b">
        <f>ISNUMBER(MATCH(G497,AUM!$C$6:$C$1451,0))</f>
        <v>0</v>
      </c>
      <c r="AF497" t="b">
        <f>ISNUMBER(MATCH(G497,AUM!$G$6:$G$240,0))</f>
        <v>0</v>
      </c>
    </row>
    <row r="498" spans="1:32" x14ac:dyDescent="0.2">
      <c r="A498" t="s">
        <v>1619</v>
      </c>
      <c r="B498" s="1">
        <v>45671</v>
      </c>
      <c r="D498" t="s">
        <v>1619</v>
      </c>
      <c r="E498" t="s">
        <v>40</v>
      </c>
      <c r="F498" t="s">
        <v>1620</v>
      </c>
      <c r="G498" t="s">
        <v>1621</v>
      </c>
      <c r="H498" t="s">
        <v>43</v>
      </c>
      <c r="J498">
        <v>2408.33</v>
      </c>
      <c r="K498">
        <v>2397.4499999999998</v>
      </c>
      <c r="L498">
        <v>2397.4541397399998</v>
      </c>
      <c r="Q498" t="s">
        <v>1622</v>
      </c>
      <c r="T498">
        <v>0</v>
      </c>
      <c r="W498" t="s">
        <v>36</v>
      </c>
      <c r="X498" t="s">
        <v>69</v>
      </c>
      <c r="Y498" t="s">
        <v>38</v>
      </c>
      <c r="AD498">
        <v>0</v>
      </c>
      <c r="AE498" t="b">
        <f>ISNUMBER(MATCH(G498,AUM!$C$6:$C$1451,0))</f>
        <v>1</v>
      </c>
      <c r="AF498" t="b">
        <f>ISNUMBER(MATCH(G498,AUM!$G$6:$G$240,0))</f>
        <v>0</v>
      </c>
    </row>
    <row r="499" spans="1:32" x14ac:dyDescent="0.2">
      <c r="A499" t="s">
        <v>1623</v>
      </c>
      <c r="B499" s="1">
        <v>45671</v>
      </c>
      <c r="D499" t="s">
        <v>1623</v>
      </c>
      <c r="E499" t="s">
        <v>40</v>
      </c>
      <c r="F499" t="s">
        <v>1624</v>
      </c>
      <c r="G499" t="s">
        <v>1625</v>
      </c>
      <c r="H499" t="s">
        <v>43</v>
      </c>
      <c r="J499">
        <v>2224.56</v>
      </c>
      <c r="K499">
        <v>2214.33</v>
      </c>
      <c r="L499">
        <v>2214.33486825</v>
      </c>
      <c r="Q499" t="s">
        <v>1622</v>
      </c>
      <c r="U499">
        <v>0</v>
      </c>
      <c r="W499" t="s">
        <v>36</v>
      </c>
      <c r="X499" t="s">
        <v>69</v>
      </c>
      <c r="Y499" t="s">
        <v>38</v>
      </c>
      <c r="AD499">
        <v>0</v>
      </c>
      <c r="AE499" t="b">
        <f>ISNUMBER(MATCH(G499,AUM!$C$6:$C$1451,0))</f>
        <v>1</v>
      </c>
      <c r="AF499" t="b">
        <f>ISNUMBER(MATCH(G499,AUM!$G$6:$G$240,0))</f>
        <v>0</v>
      </c>
    </row>
    <row r="500" spans="1:32" x14ac:dyDescent="0.2">
      <c r="A500" t="s">
        <v>1626</v>
      </c>
      <c r="B500" s="1">
        <v>45671</v>
      </c>
      <c r="D500" t="s">
        <v>1626</v>
      </c>
      <c r="E500" t="s">
        <v>40</v>
      </c>
      <c r="F500" t="s">
        <v>1627</v>
      </c>
      <c r="G500" t="s">
        <v>1628</v>
      </c>
      <c r="H500" t="s">
        <v>43</v>
      </c>
      <c r="J500">
        <v>2384.6</v>
      </c>
      <c r="K500">
        <v>2405.83</v>
      </c>
      <c r="L500">
        <v>2405.8286002599998</v>
      </c>
      <c r="Q500" t="s">
        <v>1629</v>
      </c>
      <c r="T500">
        <v>0</v>
      </c>
      <c r="W500" t="s">
        <v>36</v>
      </c>
      <c r="X500" t="s">
        <v>69</v>
      </c>
      <c r="Y500" t="s">
        <v>38</v>
      </c>
      <c r="AD500">
        <v>0</v>
      </c>
      <c r="AE500" t="b">
        <f>ISNUMBER(MATCH(G500,AUM!$C$6:$C$1451,0))</f>
        <v>1</v>
      </c>
      <c r="AF500" t="b">
        <f>ISNUMBER(MATCH(G500,AUM!$G$6:$G$240,0))</f>
        <v>0</v>
      </c>
    </row>
    <row r="501" spans="1:32" x14ac:dyDescent="0.2">
      <c r="A501" t="s">
        <v>1630</v>
      </c>
      <c r="B501" s="1">
        <v>45671</v>
      </c>
      <c r="D501" t="s">
        <v>1630</v>
      </c>
      <c r="E501" t="s">
        <v>40</v>
      </c>
      <c r="F501" t="s">
        <v>1631</v>
      </c>
      <c r="G501" t="s">
        <v>1632</v>
      </c>
      <c r="H501" t="s">
        <v>43</v>
      </c>
      <c r="J501">
        <v>2074.4299999999998</v>
      </c>
      <c r="K501">
        <v>2092.9</v>
      </c>
      <c r="L501">
        <v>2092.9034906400002</v>
      </c>
      <c r="Q501" t="s">
        <v>1629</v>
      </c>
      <c r="U501">
        <v>0</v>
      </c>
      <c r="W501" t="s">
        <v>36</v>
      </c>
      <c r="X501" t="s">
        <v>69</v>
      </c>
      <c r="Y501" t="s">
        <v>38</v>
      </c>
      <c r="AD501">
        <v>0</v>
      </c>
      <c r="AE501" t="b">
        <f>ISNUMBER(MATCH(G501,AUM!$C$6:$C$1451,0))</f>
        <v>1</v>
      </c>
      <c r="AF501" t="b">
        <f>ISNUMBER(MATCH(G501,AUM!$G$6:$G$240,0))</f>
        <v>0</v>
      </c>
    </row>
    <row r="502" spans="1:32" x14ac:dyDescent="0.2">
      <c r="A502" t="s">
        <v>1633</v>
      </c>
      <c r="B502" s="1">
        <v>45671</v>
      </c>
      <c r="D502" t="s">
        <v>1633</v>
      </c>
      <c r="E502" t="s">
        <v>40</v>
      </c>
      <c r="F502" t="s">
        <v>1634</v>
      </c>
      <c r="G502" t="s">
        <v>1635</v>
      </c>
      <c r="H502" t="s">
        <v>43</v>
      </c>
      <c r="J502">
        <v>8291.92</v>
      </c>
      <c r="K502">
        <v>8200.06</v>
      </c>
      <c r="L502">
        <v>8200.0573102199996</v>
      </c>
      <c r="Q502" t="s">
        <v>1636</v>
      </c>
      <c r="T502">
        <v>0</v>
      </c>
      <c r="W502" t="s">
        <v>36</v>
      </c>
      <c r="X502" t="s">
        <v>69</v>
      </c>
      <c r="Y502" t="s">
        <v>38</v>
      </c>
      <c r="AD502">
        <v>0</v>
      </c>
      <c r="AE502" t="b">
        <f>ISNUMBER(MATCH(G502,AUM!$C$6:$C$1451,0))</f>
        <v>1</v>
      </c>
      <c r="AF502" t="b">
        <f>ISNUMBER(MATCH(G502,AUM!$G$6:$G$240,0))</f>
        <v>0</v>
      </c>
    </row>
    <row r="503" spans="1:32" x14ac:dyDescent="0.2">
      <c r="A503" t="s">
        <v>1637</v>
      </c>
      <c r="B503" s="1">
        <v>45671</v>
      </c>
      <c r="D503" t="s">
        <v>1637</v>
      </c>
      <c r="E503" t="s">
        <v>40</v>
      </c>
      <c r="F503" t="s">
        <v>1638</v>
      </c>
      <c r="G503" t="s">
        <v>1639</v>
      </c>
      <c r="H503" t="s">
        <v>43</v>
      </c>
      <c r="J503">
        <v>7905.27</v>
      </c>
      <c r="K503">
        <v>7817.7</v>
      </c>
      <c r="L503">
        <v>7817.6988027099997</v>
      </c>
      <c r="Q503" t="s">
        <v>1636</v>
      </c>
      <c r="U503">
        <v>0</v>
      </c>
      <c r="W503" t="s">
        <v>36</v>
      </c>
      <c r="X503" t="s">
        <v>69</v>
      </c>
      <c r="Y503" t="s">
        <v>38</v>
      </c>
      <c r="AD503">
        <v>0</v>
      </c>
      <c r="AE503" t="b">
        <f>ISNUMBER(MATCH(G503,AUM!$C$6:$C$1451,0))</f>
        <v>1</v>
      </c>
      <c r="AF503" t="b">
        <f>ISNUMBER(MATCH(G503,AUM!$G$6:$G$240,0))</f>
        <v>0</v>
      </c>
    </row>
    <row r="504" spans="1:32" x14ac:dyDescent="0.2">
      <c r="A504" t="s">
        <v>1573</v>
      </c>
      <c r="B504" s="1">
        <v>45671</v>
      </c>
      <c r="D504" t="s">
        <v>1573</v>
      </c>
      <c r="E504" t="s">
        <v>40</v>
      </c>
      <c r="F504" t="s">
        <v>1640</v>
      </c>
      <c r="G504" t="s">
        <v>1641</v>
      </c>
      <c r="H504" t="s">
        <v>43</v>
      </c>
      <c r="I504">
        <v>251871825.55479899</v>
      </c>
      <c r="J504">
        <v>998.04</v>
      </c>
      <c r="K504">
        <v>998.68</v>
      </c>
      <c r="L504">
        <v>998.68435732</v>
      </c>
      <c r="M504">
        <v>251540452230.147</v>
      </c>
      <c r="N504">
        <v>18</v>
      </c>
      <c r="O504" t="s">
        <v>35</v>
      </c>
      <c r="P504">
        <v>1</v>
      </c>
      <c r="R504" t="s">
        <v>1570</v>
      </c>
      <c r="S504" t="s">
        <v>1574</v>
      </c>
      <c r="W504" t="s">
        <v>36</v>
      </c>
      <c r="X504" t="s">
        <v>37</v>
      </c>
      <c r="Y504" t="s">
        <v>38</v>
      </c>
      <c r="AD504">
        <v>0</v>
      </c>
      <c r="AE504" t="b">
        <f>ISNUMBER(MATCH(G504,AUM!$C$6:$C$1451,0))</f>
        <v>1</v>
      </c>
      <c r="AF504" t="b">
        <f>ISNUMBER(MATCH(G504,AUM!$G$6:$G$240,0))</f>
        <v>0</v>
      </c>
    </row>
    <row r="505" spans="1:32" x14ac:dyDescent="0.2">
      <c r="A505" t="s">
        <v>1594</v>
      </c>
      <c r="B505" s="1">
        <v>45671</v>
      </c>
      <c r="D505" t="s">
        <v>1594</v>
      </c>
      <c r="E505" t="s">
        <v>40</v>
      </c>
      <c r="F505" t="s">
        <v>1642</v>
      </c>
      <c r="G505" t="s">
        <v>1643</v>
      </c>
      <c r="H505" t="s">
        <v>43</v>
      </c>
      <c r="I505">
        <v>156965544.96795699</v>
      </c>
      <c r="J505">
        <v>830.36</v>
      </c>
      <c r="K505">
        <v>831.78</v>
      </c>
      <c r="L505">
        <v>831.77965987000005</v>
      </c>
      <c r="M505">
        <v>130560747605.08099</v>
      </c>
      <c r="N505">
        <v>10</v>
      </c>
      <c r="O505" t="s">
        <v>35</v>
      </c>
      <c r="P505">
        <v>1</v>
      </c>
      <c r="R505" t="s">
        <v>1591</v>
      </c>
      <c r="S505" t="s">
        <v>1595</v>
      </c>
      <c r="W505" t="s">
        <v>36</v>
      </c>
      <c r="X505" t="s">
        <v>37</v>
      </c>
      <c r="Y505" t="s">
        <v>38</v>
      </c>
      <c r="AD505">
        <v>0</v>
      </c>
      <c r="AE505" t="b">
        <f>ISNUMBER(MATCH(G505,AUM!$C$6:$C$1451,0))</f>
        <v>1</v>
      </c>
      <c r="AF505" t="b">
        <f>ISNUMBER(MATCH(G505,AUM!$G$6:$G$240,0))</f>
        <v>0</v>
      </c>
    </row>
    <row r="506" spans="1:32" x14ac:dyDescent="0.2">
      <c r="A506" t="s">
        <v>1636</v>
      </c>
      <c r="B506" s="1">
        <v>45671</v>
      </c>
      <c r="D506" t="s">
        <v>1636</v>
      </c>
      <c r="E506" t="s">
        <v>40</v>
      </c>
      <c r="F506" t="s">
        <v>1644</v>
      </c>
      <c r="G506" t="s">
        <v>1645</v>
      </c>
      <c r="H506" t="s">
        <v>43</v>
      </c>
      <c r="I506">
        <v>60957356.673576698</v>
      </c>
      <c r="J506">
        <v>6740.88</v>
      </c>
      <c r="K506">
        <v>6666.21</v>
      </c>
      <c r="L506">
        <v>6666.2087105700002</v>
      </c>
      <c r="M506">
        <v>406354462030.50897</v>
      </c>
      <c r="N506">
        <v>15</v>
      </c>
      <c r="O506" t="s">
        <v>35</v>
      </c>
      <c r="P506">
        <v>1</v>
      </c>
      <c r="R506" t="s">
        <v>1633</v>
      </c>
      <c r="S506" t="s">
        <v>1637</v>
      </c>
      <c r="W506" t="s">
        <v>36</v>
      </c>
      <c r="X506" t="s">
        <v>37</v>
      </c>
      <c r="Y506" t="s">
        <v>38</v>
      </c>
      <c r="AD506">
        <v>0</v>
      </c>
      <c r="AE506" t="b">
        <f>ISNUMBER(MATCH(G506,AUM!$C$6:$C$1451,0))</f>
        <v>1</v>
      </c>
      <c r="AF506" t="b">
        <f>ISNUMBER(MATCH(G506,AUM!$G$6:$G$240,0))</f>
        <v>0</v>
      </c>
    </row>
    <row r="507" spans="1:32" x14ac:dyDescent="0.2">
      <c r="A507" t="s">
        <v>1601</v>
      </c>
      <c r="B507" s="1">
        <v>45671</v>
      </c>
      <c r="D507" t="s">
        <v>1601</v>
      </c>
      <c r="E507" t="s">
        <v>40</v>
      </c>
      <c r="F507" t="s">
        <v>1646</v>
      </c>
      <c r="G507" t="s">
        <v>1647</v>
      </c>
      <c r="H507" t="s">
        <v>43</v>
      </c>
      <c r="I507">
        <v>330760333.913625</v>
      </c>
      <c r="J507">
        <v>3062.66</v>
      </c>
      <c r="K507">
        <v>3029.91</v>
      </c>
      <c r="L507">
        <v>3029.9061255400002</v>
      </c>
      <c r="M507">
        <v>1002172761812.17</v>
      </c>
      <c r="N507">
        <v>58</v>
      </c>
      <c r="O507" t="s">
        <v>35</v>
      </c>
      <c r="P507">
        <v>1</v>
      </c>
      <c r="R507" t="s">
        <v>1598</v>
      </c>
      <c r="S507" t="s">
        <v>1602</v>
      </c>
      <c r="W507" t="s">
        <v>36</v>
      </c>
      <c r="X507" t="s">
        <v>37</v>
      </c>
      <c r="Y507" t="s">
        <v>38</v>
      </c>
      <c r="AD507">
        <v>0</v>
      </c>
      <c r="AE507" t="b">
        <f>ISNUMBER(MATCH(G507,AUM!$C$6:$C$1451,0))</f>
        <v>1</v>
      </c>
      <c r="AF507" t="b">
        <f>ISNUMBER(MATCH(G507,AUM!$G$6:$G$240,0))</f>
        <v>0</v>
      </c>
    </row>
    <row r="508" spans="1:32" x14ac:dyDescent="0.2">
      <c r="A508" t="s">
        <v>1587</v>
      </c>
      <c r="B508" s="1">
        <v>45671</v>
      </c>
      <c r="D508" t="s">
        <v>1587</v>
      </c>
      <c r="E508" t="s">
        <v>40</v>
      </c>
      <c r="F508" t="s">
        <v>1648</v>
      </c>
      <c r="G508" t="s">
        <v>1649</v>
      </c>
      <c r="H508" t="s">
        <v>43</v>
      </c>
      <c r="I508">
        <v>167320961.76248601</v>
      </c>
      <c r="J508">
        <v>2178.77</v>
      </c>
      <c r="K508">
        <v>2167.5500000000002</v>
      </c>
      <c r="L508">
        <v>2167.5508380199999</v>
      </c>
      <c r="M508">
        <v>362676690887.37701</v>
      </c>
      <c r="N508">
        <v>23</v>
      </c>
      <c r="O508" t="s">
        <v>35</v>
      </c>
      <c r="P508">
        <v>1</v>
      </c>
      <c r="R508" t="s">
        <v>1584</v>
      </c>
      <c r="S508" t="s">
        <v>1588</v>
      </c>
      <c r="W508" t="s">
        <v>36</v>
      </c>
      <c r="X508" t="s">
        <v>37</v>
      </c>
      <c r="Y508" t="s">
        <v>38</v>
      </c>
      <c r="AD508">
        <v>0</v>
      </c>
      <c r="AE508" t="b">
        <f>ISNUMBER(MATCH(G508,AUM!$C$6:$C$1451,0))</f>
        <v>1</v>
      </c>
      <c r="AF508" t="b">
        <f>ISNUMBER(MATCH(G508,AUM!$G$6:$G$240,0))</f>
        <v>0</v>
      </c>
    </row>
    <row r="509" spans="1:32" x14ac:dyDescent="0.2">
      <c r="A509" t="s">
        <v>1608</v>
      </c>
      <c r="B509" s="1">
        <v>45671</v>
      </c>
      <c r="D509" t="s">
        <v>1608</v>
      </c>
      <c r="E509" t="s">
        <v>40</v>
      </c>
      <c r="F509" t="s">
        <v>1650</v>
      </c>
      <c r="G509" t="s">
        <v>1651</v>
      </c>
      <c r="H509" t="s">
        <v>43</v>
      </c>
      <c r="I509">
        <v>879294162.56177902</v>
      </c>
      <c r="J509">
        <v>1241.26</v>
      </c>
      <c r="K509">
        <v>1243.44</v>
      </c>
      <c r="L509">
        <v>1243.43923473</v>
      </c>
      <c r="M509">
        <v>1093348860596.33</v>
      </c>
      <c r="N509">
        <v>51</v>
      </c>
      <c r="O509" t="s">
        <v>35</v>
      </c>
      <c r="P509">
        <v>1</v>
      </c>
      <c r="R509" t="s">
        <v>1605</v>
      </c>
      <c r="S509" t="s">
        <v>1609</v>
      </c>
      <c r="W509" t="s">
        <v>36</v>
      </c>
      <c r="X509" t="s">
        <v>37</v>
      </c>
      <c r="Y509" t="s">
        <v>38</v>
      </c>
      <c r="AD509">
        <v>0</v>
      </c>
      <c r="AE509" t="b">
        <f>ISNUMBER(MATCH(G509,AUM!$C$6:$C$1451,0))</f>
        <v>1</v>
      </c>
      <c r="AF509" t="b">
        <f>ISNUMBER(MATCH(G509,AUM!$G$6:$G$240,0))</f>
        <v>0</v>
      </c>
    </row>
    <row r="510" spans="1:32" x14ac:dyDescent="0.2">
      <c r="A510" t="s">
        <v>1629</v>
      </c>
      <c r="B510" s="1">
        <v>45671</v>
      </c>
      <c r="D510" t="s">
        <v>1629</v>
      </c>
      <c r="E510" t="s">
        <v>40</v>
      </c>
      <c r="F510" t="s">
        <v>1652</v>
      </c>
      <c r="G510" t="s">
        <v>1653</v>
      </c>
      <c r="H510" t="s">
        <v>43</v>
      </c>
      <c r="I510">
        <v>193330420.16685</v>
      </c>
      <c r="J510">
        <v>1155.96</v>
      </c>
      <c r="K510">
        <v>1166.25</v>
      </c>
      <c r="L510">
        <v>1166.2531830200001</v>
      </c>
      <c r="M510">
        <v>225472217895.065</v>
      </c>
      <c r="N510">
        <v>16</v>
      </c>
      <c r="O510" t="s">
        <v>35</v>
      </c>
      <c r="P510">
        <v>1</v>
      </c>
      <c r="R510" t="s">
        <v>1626</v>
      </c>
      <c r="S510" t="s">
        <v>1630</v>
      </c>
      <c r="W510" t="s">
        <v>36</v>
      </c>
      <c r="X510" t="s">
        <v>37</v>
      </c>
      <c r="Y510" t="s">
        <v>38</v>
      </c>
      <c r="AD510">
        <v>0</v>
      </c>
      <c r="AE510" t="b">
        <f>ISNUMBER(MATCH(G510,AUM!$C$6:$C$1451,0))</f>
        <v>1</v>
      </c>
      <c r="AF510" t="b">
        <f>ISNUMBER(MATCH(G510,AUM!$G$6:$G$240,0))</f>
        <v>0</v>
      </c>
    </row>
    <row r="511" spans="1:32" x14ac:dyDescent="0.2">
      <c r="A511" t="s">
        <v>1622</v>
      </c>
      <c r="B511" s="1">
        <v>45671</v>
      </c>
      <c r="D511" t="s">
        <v>1622</v>
      </c>
      <c r="E511" t="s">
        <v>40</v>
      </c>
      <c r="F511" t="s">
        <v>1654</v>
      </c>
      <c r="G511" t="s">
        <v>1655</v>
      </c>
      <c r="H511" t="s">
        <v>43</v>
      </c>
      <c r="I511">
        <v>173711419.83264899</v>
      </c>
      <c r="J511">
        <v>1650.12</v>
      </c>
      <c r="K511">
        <v>1642.28</v>
      </c>
      <c r="L511">
        <v>1642.2773544900001</v>
      </c>
      <c r="M511">
        <v>285282331006.97699</v>
      </c>
      <c r="N511">
        <v>15</v>
      </c>
      <c r="O511" t="s">
        <v>35</v>
      </c>
      <c r="P511">
        <v>1</v>
      </c>
      <c r="R511" t="s">
        <v>1619</v>
      </c>
      <c r="S511" t="s">
        <v>1623</v>
      </c>
      <c r="W511" t="s">
        <v>36</v>
      </c>
      <c r="X511" t="s">
        <v>37</v>
      </c>
      <c r="Y511" t="s">
        <v>38</v>
      </c>
      <c r="AD511">
        <v>0</v>
      </c>
      <c r="AE511" t="b">
        <f>ISNUMBER(MATCH(G511,AUM!$C$6:$C$1451,0))</f>
        <v>1</v>
      </c>
      <c r="AF511" t="b">
        <f>ISNUMBER(MATCH(G511,AUM!$G$6:$G$240,0))</f>
        <v>0</v>
      </c>
    </row>
    <row r="512" spans="1:32" x14ac:dyDescent="0.2">
      <c r="A512" t="s">
        <v>1615</v>
      </c>
      <c r="B512" s="1">
        <v>45671</v>
      </c>
      <c r="D512" t="s">
        <v>1615</v>
      </c>
      <c r="E512" t="s">
        <v>40</v>
      </c>
      <c r="F512" t="s">
        <v>1656</v>
      </c>
      <c r="G512" t="s">
        <v>1657</v>
      </c>
      <c r="H512" t="s">
        <v>43</v>
      </c>
      <c r="I512">
        <v>252137329.819262</v>
      </c>
      <c r="J512">
        <v>3669.46</v>
      </c>
      <c r="K512">
        <v>3641.73</v>
      </c>
      <c r="L512">
        <v>3641.7342895500001</v>
      </c>
      <c r="M512">
        <v>918217159679.29395</v>
      </c>
      <c r="N512">
        <v>38</v>
      </c>
      <c r="O512" t="s">
        <v>35</v>
      </c>
      <c r="P512">
        <v>1</v>
      </c>
      <c r="R512" t="s">
        <v>1612</v>
      </c>
      <c r="S512" t="s">
        <v>1616</v>
      </c>
      <c r="W512" t="s">
        <v>36</v>
      </c>
      <c r="X512" t="s">
        <v>37</v>
      </c>
      <c r="Y512" t="s">
        <v>38</v>
      </c>
      <c r="AD512">
        <v>0</v>
      </c>
      <c r="AE512" t="b">
        <f>ISNUMBER(MATCH(G512,AUM!$C$6:$C$1451,0))</f>
        <v>0</v>
      </c>
      <c r="AF512" t="b">
        <f>ISNUMBER(MATCH(G512,AUM!$G$6:$G$240,0))</f>
        <v>0</v>
      </c>
    </row>
    <row r="513" spans="1:32" x14ac:dyDescent="0.2">
      <c r="A513" t="s">
        <v>1580</v>
      </c>
      <c r="B513" s="1">
        <v>45671</v>
      </c>
      <c r="D513" t="s">
        <v>1580</v>
      </c>
      <c r="E513" t="s">
        <v>40</v>
      </c>
      <c r="F513" t="s">
        <v>1658</v>
      </c>
      <c r="G513" t="s">
        <v>1659</v>
      </c>
      <c r="H513" t="s">
        <v>43</v>
      </c>
      <c r="I513">
        <v>94254601.8154836</v>
      </c>
      <c r="J513">
        <v>1672.58</v>
      </c>
      <c r="K513">
        <v>1678.74</v>
      </c>
      <c r="L513">
        <v>1678.73898007</v>
      </c>
      <c r="M513">
        <v>158228874118.54999</v>
      </c>
      <c r="N513">
        <v>16</v>
      </c>
      <c r="O513" t="s">
        <v>35</v>
      </c>
      <c r="P513">
        <v>1</v>
      </c>
      <c r="R513" t="s">
        <v>1577</v>
      </c>
      <c r="S513" t="s">
        <v>1581</v>
      </c>
      <c r="W513" t="s">
        <v>36</v>
      </c>
      <c r="X513" t="s">
        <v>37</v>
      </c>
      <c r="Y513" t="s">
        <v>38</v>
      </c>
      <c r="AD513">
        <v>0</v>
      </c>
      <c r="AE513" t="b">
        <f>ISNUMBER(MATCH(G513,AUM!$C$6:$C$1451,0))</f>
        <v>1</v>
      </c>
      <c r="AF513" t="b">
        <f>ISNUMBER(MATCH(G513,AUM!$G$6:$G$240,0))</f>
        <v>0</v>
      </c>
    </row>
    <row r="514" spans="1:32" x14ac:dyDescent="0.2">
      <c r="A514" t="s">
        <v>1660</v>
      </c>
      <c r="B514" s="1">
        <v>45671</v>
      </c>
      <c r="D514" t="s">
        <v>1660</v>
      </c>
      <c r="E514" t="s">
        <v>40</v>
      </c>
      <c r="F514" t="s">
        <v>1661</v>
      </c>
      <c r="G514" t="s">
        <v>1662</v>
      </c>
      <c r="H514" t="s">
        <v>43</v>
      </c>
      <c r="J514">
        <v>5323.2</v>
      </c>
      <c r="K514">
        <v>5351.49</v>
      </c>
      <c r="L514">
        <v>5351.49078216</v>
      </c>
      <c r="Q514" t="s">
        <v>1663</v>
      </c>
      <c r="W514" t="s">
        <v>36</v>
      </c>
      <c r="X514" t="s">
        <v>878</v>
      </c>
      <c r="Y514" t="s">
        <v>38</v>
      </c>
      <c r="Z514" t="s">
        <v>910</v>
      </c>
      <c r="AA514">
        <v>0.05</v>
      </c>
      <c r="AB514">
        <v>1</v>
      </c>
      <c r="AC514">
        <v>365</v>
      </c>
      <c r="AD514">
        <v>0</v>
      </c>
      <c r="AE514" t="b">
        <f>ISNUMBER(MATCH(G514,AUM!$C$6:$C$1451,0))</f>
        <v>1</v>
      </c>
      <c r="AF514" t="b">
        <f>ISNUMBER(MATCH(G514,AUM!$G$6:$G$240,0))</f>
        <v>0</v>
      </c>
    </row>
    <row r="515" spans="1:32" x14ac:dyDescent="0.2">
      <c r="A515" t="s">
        <v>1664</v>
      </c>
      <c r="B515" s="1">
        <v>45671</v>
      </c>
      <c r="D515" t="s">
        <v>1664</v>
      </c>
      <c r="E515" t="s">
        <v>40</v>
      </c>
      <c r="F515" t="s">
        <v>1665</v>
      </c>
      <c r="G515" t="s">
        <v>1666</v>
      </c>
      <c r="H515" t="s">
        <v>43</v>
      </c>
      <c r="J515">
        <v>6669.87</v>
      </c>
      <c r="K515">
        <v>6706.15</v>
      </c>
      <c r="L515">
        <v>6706.1474858800002</v>
      </c>
      <c r="Q515" t="s">
        <v>1663</v>
      </c>
      <c r="W515" t="s">
        <v>36</v>
      </c>
      <c r="X515" t="s">
        <v>878</v>
      </c>
      <c r="Y515" t="s">
        <v>38</v>
      </c>
      <c r="Z515" t="s">
        <v>910</v>
      </c>
      <c r="AA515">
        <v>3.5000000000000003E-2</v>
      </c>
      <c r="AB515">
        <v>1</v>
      </c>
      <c r="AC515">
        <v>365</v>
      </c>
      <c r="AD515">
        <v>0</v>
      </c>
      <c r="AE515" t="b">
        <f>ISNUMBER(MATCH(G515,AUM!$C$6:$C$1451,0))</f>
        <v>1</v>
      </c>
      <c r="AF515" t="b">
        <f>ISNUMBER(MATCH(G515,AUM!$G$6:$G$240,0))</f>
        <v>0</v>
      </c>
    </row>
    <row r="516" spans="1:32" x14ac:dyDescent="0.2">
      <c r="A516" t="s">
        <v>1663</v>
      </c>
      <c r="B516" s="1">
        <v>45671</v>
      </c>
      <c r="D516" t="s">
        <v>1663</v>
      </c>
      <c r="E516" t="s">
        <v>40</v>
      </c>
      <c r="F516" t="s">
        <v>1667</v>
      </c>
      <c r="G516" t="s">
        <v>1668</v>
      </c>
      <c r="H516" t="s">
        <v>43</v>
      </c>
      <c r="J516">
        <v>11288.23</v>
      </c>
      <c r="K516">
        <v>11352.87</v>
      </c>
      <c r="L516">
        <v>11352.869134279999</v>
      </c>
      <c r="Q516" t="s">
        <v>1669</v>
      </c>
      <c r="U516">
        <v>0</v>
      </c>
      <c r="W516" t="s">
        <v>36</v>
      </c>
      <c r="X516" t="s">
        <v>69</v>
      </c>
      <c r="Y516" t="s">
        <v>38</v>
      </c>
      <c r="AD516">
        <v>0</v>
      </c>
      <c r="AE516" t="b">
        <f>ISNUMBER(MATCH(G516,AUM!$C$6:$C$1451,0))</f>
        <v>1</v>
      </c>
      <c r="AF516" t="b">
        <f>ISNUMBER(MATCH(G516,AUM!$G$6:$G$240,0))</f>
        <v>0</v>
      </c>
    </row>
    <row r="517" spans="1:32" x14ac:dyDescent="0.2">
      <c r="A517" t="s">
        <v>1670</v>
      </c>
      <c r="B517" s="1">
        <v>45671</v>
      </c>
      <c r="D517" t="s">
        <v>1670</v>
      </c>
      <c r="E517" t="s">
        <v>40</v>
      </c>
      <c r="F517" t="s">
        <v>1671</v>
      </c>
      <c r="G517" t="s">
        <v>1672</v>
      </c>
      <c r="H517" t="s">
        <v>43</v>
      </c>
      <c r="J517">
        <v>12057.58</v>
      </c>
      <c r="K517">
        <v>12126.62</v>
      </c>
      <c r="L517">
        <v>12126.61888451</v>
      </c>
      <c r="Q517" t="s">
        <v>1669</v>
      </c>
      <c r="T517">
        <v>0</v>
      </c>
      <c r="W517" t="s">
        <v>36</v>
      </c>
      <c r="X517" t="s">
        <v>69</v>
      </c>
      <c r="Y517" t="s">
        <v>38</v>
      </c>
      <c r="AD517">
        <v>0</v>
      </c>
      <c r="AE517" t="b">
        <f>ISNUMBER(MATCH(G517,AUM!$C$6:$C$1451,0))</f>
        <v>1</v>
      </c>
      <c r="AF517" t="b">
        <f>ISNUMBER(MATCH(G517,AUM!$G$6:$G$240,0))</f>
        <v>0</v>
      </c>
    </row>
    <row r="518" spans="1:32" x14ac:dyDescent="0.2">
      <c r="A518" t="s">
        <v>1669</v>
      </c>
      <c r="B518" s="1">
        <v>45671</v>
      </c>
      <c r="D518" t="s">
        <v>1669</v>
      </c>
      <c r="E518" t="s">
        <v>40</v>
      </c>
      <c r="F518" t="s">
        <v>1673</v>
      </c>
      <c r="G518" t="s">
        <v>1674</v>
      </c>
      <c r="H518" t="s">
        <v>43</v>
      </c>
      <c r="I518">
        <v>27618270.2565706</v>
      </c>
      <c r="J518">
        <v>8911.1200000000008</v>
      </c>
      <c r="K518">
        <v>8962.15</v>
      </c>
      <c r="L518">
        <v>8962.1461302099997</v>
      </c>
      <c r="M518">
        <v>247518973903.13101</v>
      </c>
      <c r="N518">
        <v>23</v>
      </c>
      <c r="O518" t="s">
        <v>35</v>
      </c>
      <c r="P518">
        <v>1</v>
      </c>
      <c r="R518" t="s">
        <v>1670</v>
      </c>
      <c r="S518" t="s">
        <v>1663</v>
      </c>
      <c r="W518" t="s">
        <v>36</v>
      </c>
      <c r="X518" t="s">
        <v>37</v>
      </c>
      <c r="Y518" t="s">
        <v>38</v>
      </c>
      <c r="AD518">
        <v>0</v>
      </c>
      <c r="AE518" t="b">
        <f>ISNUMBER(MATCH(G518,AUM!$C$6:$C$1451,0))</f>
        <v>0</v>
      </c>
      <c r="AF518" t="b">
        <f>ISNUMBER(MATCH(G518,AUM!$G$6:$G$240,0))</f>
        <v>0</v>
      </c>
    </row>
    <row r="519" spans="1:32" x14ac:dyDescent="0.2">
      <c r="A519" t="s">
        <v>1675</v>
      </c>
      <c r="B519" s="1">
        <v>45671</v>
      </c>
      <c r="D519" t="s">
        <v>1675</v>
      </c>
      <c r="E519" t="s">
        <v>40</v>
      </c>
      <c r="F519" t="s">
        <v>1676</v>
      </c>
      <c r="G519" t="s">
        <v>1677</v>
      </c>
      <c r="H519" t="s">
        <v>43</v>
      </c>
      <c r="J519">
        <v>967.36</v>
      </c>
      <c r="K519">
        <v>968.95</v>
      </c>
      <c r="L519">
        <v>968.94835575000002</v>
      </c>
      <c r="Q519" t="s">
        <v>1678</v>
      </c>
      <c r="W519" t="s">
        <v>36</v>
      </c>
      <c r="X519" t="s">
        <v>878</v>
      </c>
      <c r="Y519" t="s">
        <v>38</v>
      </c>
      <c r="Z519" t="s">
        <v>879</v>
      </c>
      <c r="AA519">
        <v>50</v>
      </c>
      <c r="AB519">
        <v>1</v>
      </c>
      <c r="AC519">
        <v>365</v>
      </c>
      <c r="AD519">
        <v>0</v>
      </c>
      <c r="AE519" t="b">
        <f>ISNUMBER(MATCH(G519,AUM!$C$6:$C$1451,0))</f>
        <v>0</v>
      </c>
      <c r="AF519" t="b">
        <f>ISNUMBER(MATCH(G519,AUM!$G$6:$G$240,0))</f>
        <v>0</v>
      </c>
    </row>
    <row r="520" spans="1:32" x14ac:dyDescent="0.2">
      <c r="A520" t="s">
        <v>1679</v>
      </c>
      <c r="B520" s="1">
        <v>45671</v>
      </c>
      <c r="D520" t="s">
        <v>1679</v>
      </c>
      <c r="E520" t="s">
        <v>40</v>
      </c>
      <c r="F520" t="s">
        <v>1680</v>
      </c>
      <c r="G520" t="s">
        <v>1681</v>
      </c>
      <c r="H520" t="s">
        <v>43</v>
      </c>
      <c r="J520">
        <v>7183.82</v>
      </c>
      <c r="K520">
        <v>7195.75</v>
      </c>
      <c r="L520">
        <v>7195.7462689399999</v>
      </c>
      <c r="Q520" t="s">
        <v>1682</v>
      </c>
      <c r="W520" t="s">
        <v>36</v>
      </c>
      <c r="X520" t="s">
        <v>878</v>
      </c>
      <c r="Y520" t="s">
        <v>38</v>
      </c>
      <c r="Z520" t="s">
        <v>910</v>
      </c>
      <c r="AA520">
        <v>0.05</v>
      </c>
      <c r="AB520">
        <v>1</v>
      </c>
      <c r="AC520">
        <v>365</v>
      </c>
      <c r="AD520">
        <v>0</v>
      </c>
      <c r="AE520" t="b">
        <f>ISNUMBER(MATCH(G520,AUM!$C$6:$C$1451,0))</f>
        <v>1</v>
      </c>
      <c r="AF520" t="b">
        <f>ISNUMBER(MATCH(G520,AUM!$G$6:$G$240,0))</f>
        <v>0</v>
      </c>
    </row>
    <row r="521" spans="1:32" x14ac:dyDescent="0.2">
      <c r="A521" t="s">
        <v>1682</v>
      </c>
      <c r="B521" s="1">
        <v>45671</v>
      </c>
      <c r="D521" t="s">
        <v>1682</v>
      </c>
      <c r="E521" t="s">
        <v>40</v>
      </c>
      <c r="F521" t="s">
        <v>1683</v>
      </c>
      <c r="G521" t="s">
        <v>1684</v>
      </c>
      <c r="H521" t="s">
        <v>43</v>
      </c>
      <c r="J521">
        <v>15230.55</v>
      </c>
      <c r="K521">
        <v>15262.1</v>
      </c>
      <c r="L521">
        <v>15262.095120030001</v>
      </c>
      <c r="Q521" t="s">
        <v>1685</v>
      </c>
      <c r="U521">
        <v>0</v>
      </c>
      <c r="W521" t="s">
        <v>36</v>
      </c>
      <c r="X521" t="s">
        <v>69</v>
      </c>
      <c r="Y521" t="s">
        <v>38</v>
      </c>
      <c r="AD521">
        <v>0</v>
      </c>
      <c r="AE521" t="b">
        <f>ISNUMBER(MATCH(G521,AUM!$C$6:$C$1451,0))</f>
        <v>1</v>
      </c>
      <c r="AF521" t="b">
        <f>ISNUMBER(MATCH(G521,AUM!$G$6:$G$240,0))</f>
        <v>0</v>
      </c>
    </row>
    <row r="522" spans="1:32" x14ac:dyDescent="0.2">
      <c r="A522" t="s">
        <v>1678</v>
      </c>
      <c r="B522" s="1">
        <v>45671</v>
      </c>
      <c r="D522" t="s">
        <v>1678</v>
      </c>
      <c r="E522" t="s">
        <v>40</v>
      </c>
      <c r="F522" t="s">
        <v>1686</v>
      </c>
      <c r="G522" t="s">
        <v>1687</v>
      </c>
      <c r="H522" t="s">
        <v>43</v>
      </c>
      <c r="J522">
        <v>16320.49</v>
      </c>
      <c r="K522">
        <v>16354.29</v>
      </c>
      <c r="L522">
        <v>16354.28634887</v>
      </c>
      <c r="Q522" t="s">
        <v>1685</v>
      </c>
      <c r="T522">
        <v>0</v>
      </c>
      <c r="W522" t="s">
        <v>36</v>
      </c>
      <c r="X522" t="s">
        <v>69</v>
      </c>
      <c r="Y522" t="s">
        <v>38</v>
      </c>
      <c r="AD522">
        <v>0</v>
      </c>
      <c r="AE522" t="b">
        <f>ISNUMBER(MATCH(G522,AUM!$C$6:$C$1451,0))</f>
        <v>1</v>
      </c>
      <c r="AF522" t="b">
        <f>ISNUMBER(MATCH(G522,AUM!$G$6:$G$240,0))</f>
        <v>0</v>
      </c>
    </row>
    <row r="523" spans="1:32" x14ac:dyDescent="0.2">
      <c r="A523" t="s">
        <v>1685</v>
      </c>
      <c r="B523" s="1">
        <v>45671</v>
      </c>
      <c r="D523" t="s">
        <v>1685</v>
      </c>
      <c r="E523" t="s">
        <v>40</v>
      </c>
      <c r="F523" t="s">
        <v>1688</v>
      </c>
      <c r="G523" t="s">
        <v>1689</v>
      </c>
      <c r="H523" t="s">
        <v>43</v>
      </c>
      <c r="I523">
        <v>1041967799.28923</v>
      </c>
      <c r="J523">
        <v>12961.52</v>
      </c>
      <c r="K523">
        <v>12988.36</v>
      </c>
      <c r="L523">
        <v>12988.35987156</v>
      </c>
      <c r="M523">
        <v>13533452751741.199</v>
      </c>
      <c r="N523">
        <v>20</v>
      </c>
      <c r="O523" t="s">
        <v>35</v>
      </c>
      <c r="P523">
        <v>1</v>
      </c>
      <c r="R523" t="s">
        <v>1678</v>
      </c>
      <c r="S523" t="s">
        <v>1682</v>
      </c>
      <c r="W523" t="s">
        <v>36</v>
      </c>
      <c r="X523" t="s">
        <v>37</v>
      </c>
      <c r="Y523" t="s">
        <v>38</v>
      </c>
      <c r="AD523">
        <v>0</v>
      </c>
      <c r="AE523" t="b">
        <f>ISNUMBER(MATCH(G523,AUM!$C$6:$C$1451,0))</f>
        <v>1</v>
      </c>
      <c r="AF523" t="b">
        <f>ISNUMBER(MATCH(G523,AUM!$G$6:$G$240,0))</f>
        <v>1</v>
      </c>
    </row>
    <row r="524" spans="1:32" x14ac:dyDescent="0.2">
      <c r="A524" t="s">
        <v>1690</v>
      </c>
      <c r="B524" s="1">
        <v>45671</v>
      </c>
      <c r="D524" t="s">
        <v>1690</v>
      </c>
      <c r="E524" t="s">
        <v>40</v>
      </c>
      <c r="F524" t="s">
        <v>1691</v>
      </c>
      <c r="G524" t="s">
        <v>1692</v>
      </c>
      <c r="H524" t="s">
        <v>43</v>
      </c>
      <c r="J524">
        <v>969.86</v>
      </c>
      <c r="K524">
        <v>962.58</v>
      </c>
      <c r="L524">
        <v>962.57554978999997</v>
      </c>
      <c r="Q524" t="s">
        <v>1693</v>
      </c>
      <c r="W524" t="s">
        <v>36</v>
      </c>
      <c r="X524" t="s">
        <v>878</v>
      </c>
      <c r="Y524" t="s">
        <v>38</v>
      </c>
      <c r="Z524" t="s">
        <v>879</v>
      </c>
      <c r="AA524">
        <v>50</v>
      </c>
      <c r="AB524">
        <v>1</v>
      </c>
      <c r="AC524">
        <v>365</v>
      </c>
      <c r="AD524">
        <v>0</v>
      </c>
      <c r="AE524" t="b">
        <f>ISNUMBER(MATCH(G524,AUM!$C$6:$C$1451,0))</f>
        <v>0</v>
      </c>
      <c r="AF524" t="b">
        <f>ISNUMBER(MATCH(G524,AUM!$G$6:$G$240,0))</f>
        <v>0</v>
      </c>
    </row>
    <row r="525" spans="1:32" x14ac:dyDescent="0.2">
      <c r="A525" t="s">
        <v>1694</v>
      </c>
      <c r="B525" s="1">
        <v>45671</v>
      </c>
      <c r="D525" t="s">
        <v>1694</v>
      </c>
      <c r="E525" t="s">
        <v>40</v>
      </c>
      <c r="F525" t="s">
        <v>1695</v>
      </c>
      <c r="G525" t="s">
        <v>1696</v>
      </c>
      <c r="H525" t="s">
        <v>43</v>
      </c>
      <c r="J525">
        <v>5484.46</v>
      </c>
      <c r="K525">
        <v>5443.31</v>
      </c>
      <c r="L525">
        <v>5443.3147408499999</v>
      </c>
      <c r="Q525" t="s">
        <v>1693</v>
      </c>
      <c r="W525" t="s">
        <v>36</v>
      </c>
      <c r="X525" t="s">
        <v>878</v>
      </c>
      <c r="Y525" t="s">
        <v>38</v>
      </c>
      <c r="Z525" t="s">
        <v>910</v>
      </c>
      <c r="AA525">
        <v>0.05</v>
      </c>
      <c r="AB525">
        <v>1</v>
      </c>
      <c r="AC525">
        <v>365</v>
      </c>
      <c r="AD525">
        <v>0</v>
      </c>
      <c r="AE525" t="b">
        <f>ISNUMBER(MATCH(G525,AUM!$C$6:$C$1451,0))</f>
        <v>0</v>
      </c>
      <c r="AF525" t="b">
        <f>ISNUMBER(MATCH(G525,AUM!$G$6:$G$240,0))</f>
        <v>0</v>
      </c>
    </row>
    <row r="526" spans="1:32" x14ac:dyDescent="0.2">
      <c r="A526" t="s">
        <v>1697</v>
      </c>
      <c r="B526" s="1">
        <v>45671</v>
      </c>
      <c r="D526" t="s">
        <v>1697</v>
      </c>
      <c r="E526" t="s">
        <v>40</v>
      </c>
      <c r="F526" t="s">
        <v>1698</v>
      </c>
      <c r="G526" t="s">
        <v>1699</v>
      </c>
      <c r="H526" t="s">
        <v>43</v>
      </c>
      <c r="J526">
        <v>6871.94</v>
      </c>
      <c r="K526">
        <v>6821.23</v>
      </c>
      <c r="L526">
        <v>6821.2276004300002</v>
      </c>
      <c r="Q526" t="s">
        <v>1693</v>
      </c>
      <c r="W526" t="s">
        <v>36</v>
      </c>
      <c r="X526" t="s">
        <v>878</v>
      </c>
      <c r="Y526" t="s">
        <v>38</v>
      </c>
      <c r="Z526" t="s">
        <v>910</v>
      </c>
      <c r="AA526">
        <v>3.5000000000000003E-2</v>
      </c>
      <c r="AB526">
        <v>1</v>
      </c>
      <c r="AC526">
        <v>365</v>
      </c>
      <c r="AD526">
        <v>0</v>
      </c>
      <c r="AE526" t="b">
        <f>ISNUMBER(MATCH(G526,AUM!$C$6:$C$1451,0))</f>
        <v>0</v>
      </c>
      <c r="AF526" t="b">
        <f>ISNUMBER(MATCH(G526,AUM!$G$6:$G$240,0))</f>
        <v>0</v>
      </c>
    </row>
    <row r="527" spans="1:32" x14ac:dyDescent="0.2">
      <c r="A527" t="s">
        <v>1700</v>
      </c>
      <c r="B527" s="1">
        <v>45671</v>
      </c>
      <c r="D527" t="s">
        <v>1700</v>
      </c>
      <c r="E527" t="s">
        <v>40</v>
      </c>
      <c r="F527" t="s">
        <v>1701</v>
      </c>
      <c r="G527" t="s">
        <v>1702</v>
      </c>
      <c r="H527" t="s">
        <v>43</v>
      </c>
      <c r="J527">
        <v>12463.11</v>
      </c>
      <c r="K527">
        <v>12374.72</v>
      </c>
      <c r="L527">
        <v>12374.72098072</v>
      </c>
      <c r="Q527" t="s">
        <v>1703</v>
      </c>
      <c r="T527">
        <v>5.16104980324537</v>
      </c>
      <c r="V527" t="s">
        <v>79</v>
      </c>
      <c r="W527" t="s">
        <v>36</v>
      </c>
      <c r="X527" t="s">
        <v>69</v>
      </c>
      <c r="Y527" t="s">
        <v>38</v>
      </c>
      <c r="AD527">
        <v>0</v>
      </c>
      <c r="AE527" t="b">
        <f>ISNUMBER(MATCH(G527,AUM!$C$6:$C$1451,0))</f>
        <v>1</v>
      </c>
      <c r="AF527" t="b">
        <f>ISNUMBER(MATCH(G527,AUM!$G$6:$G$240,0))</f>
        <v>0</v>
      </c>
    </row>
    <row r="528" spans="1:32" x14ac:dyDescent="0.2">
      <c r="A528" t="s">
        <v>1693</v>
      </c>
      <c r="B528" s="1">
        <v>45671</v>
      </c>
      <c r="D528" t="s">
        <v>1693</v>
      </c>
      <c r="E528" t="s">
        <v>40</v>
      </c>
      <c r="F528" t="s">
        <v>1704</v>
      </c>
      <c r="G528" t="s">
        <v>1705</v>
      </c>
      <c r="H528" t="s">
        <v>43</v>
      </c>
      <c r="J528">
        <v>11630.22</v>
      </c>
      <c r="K528">
        <v>11547.74</v>
      </c>
      <c r="L528">
        <v>11547.736992120001</v>
      </c>
      <c r="Q528" t="s">
        <v>1703</v>
      </c>
      <c r="U528">
        <v>3.8707873524340299</v>
      </c>
      <c r="V528" t="s">
        <v>79</v>
      </c>
      <c r="W528" t="s">
        <v>36</v>
      </c>
      <c r="X528" t="s">
        <v>69</v>
      </c>
      <c r="Y528" t="s">
        <v>38</v>
      </c>
      <c r="AD528">
        <v>0</v>
      </c>
      <c r="AE528" t="b">
        <f>ISNUMBER(MATCH(G528,AUM!$C$6:$C$1451,0))</f>
        <v>1</v>
      </c>
      <c r="AF528" t="b">
        <f>ISNUMBER(MATCH(G528,AUM!$G$6:$G$240,0))</f>
        <v>0</v>
      </c>
    </row>
    <row r="529" spans="1:32" x14ac:dyDescent="0.2">
      <c r="A529" t="s">
        <v>1703</v>
      </c>
      <c r="B529" s="1">
        <v>45671</v>
      </c>
      <c r="D529" t="s">
        <v>1703</v>
      </c>
      <c r="E529" t="s">
        <v>40</v>
      </c>
      <c r="F529" t="s">
        <v>1706</v>
      </c>
      <c r="G529" t="s">
        <v>1707</v>
      </c>
      <c r="H529" t="s">
        <v>43</v>
      </c>
      <c r="I529">
        <v>1006720.37629492</v>
      </c>
      <c r="J529">
        <v>9323.66</v>
      </c>
      <c r="K529">
        <v>9257.5400000000009</v>
      </c>
      <c r="L529">
        <v>9257.5397045099999</v>
      </c>
      <c r="M529">
        <v>9319753854.8909397</v>
      </c>
      <c r="N529">
        <v>15</v>
      </c>
      <c r="O529" t="s">
        <v>35</v>
      </c>
      <c r="P529">
        <v>1</v>
      </c>
      <c r="R529" t="s">
        <v>1700</v>
      </c>
      <c r="S529" t="s">
        <v>1693</v>
      </c>
      <c r="W529" t="s">
        <v>36</v>
      </c>
      <c r="X529" t="s">
        <v>37</v>
      </c>
      <c r="Y529" t="s">
        <v>38</v>
      </c>
      <c r="AD529">
        <v>0</v>
      </c>
      <c r="AE529" t="b">
        <f>ISNUMBER(MATCH(G529,AUM!$C$6:$C$1451,0))</f>
        <v>1</v>
      </c>
      <c r="AF529" t="b">
        <f>ISNUMBER(MATCH(G529,AUM!$G$6:$G$240,0))</f>
        <v>1</v>
      </c>
    </row>
    <row r="530" spans="1:32" x14ac:dyDescent="0.2">
      <c r="A530" t="s">
        <v>1708</v>
      </c>
      <c r="B530" s="1">
        <v>45671</v>
      </c>
      <c r="D530" t="s">
        <v>1708</v>
      </c>
      <c r="E530" t="s">
        <v>40</v>
      </c>
      <c r="F530" t="s">
        <v>1709</v>
      </c>
      <c r="G530" t="s">
        <v>1710</v>
      </c>
      <c r="H530" t="s">
        <v>43</v>
      </c>
      <c r="I530">
        <v>2141392380.12677</v>
      </c>
      <c r="J530">
        <v>1840.47</v>
      </c>
      <c r="K530">
        <v>1833.39</v>
      </c>
      <c r="L530">
        <v>1833.3881913099999</v>
      </c>
      <c r="M530">
        <v>3926003502678.0801</v>
      </c>
      <c r="N530">
        <v>50</v>
      </c>
      <c r="O530" t="s">
        <v>35</v>
      </c>
      <c r="P530">
        <v>1</v>
      </c>
      <c r="W530" t="s">
        <v>36</v>
      </c>
      <c r="X530" t="s">
        <v>37</v>
      </c>
      <c r="Y530" t="s">
        <v>38</v>
      </c>
      <c r="AD530">
        <v>0</v>
      </c>
      <c r="AE530" t="b">
        <f>ISNUMBER(MATCH(G530,AUM!$C$6:$C$1451,0))</f>
        <v>1</v>
      </c>
      <c r="AF530" t="b">
        <f>ISNUMBER(MATCH(G530,AUM!$G$6:$G$240,0))</f>
        <v>1</v>
      </c>
    </row>
    <row r="531" spans="1:32" x14ac:dyDescent="0.2">
      <c r="A531" t="s">
        <v>1711</v>
      </c>
      <c r="B531" s="1">
        <v>45671</v>
      </c>
      <c r="D531" t="s">
        <v>1711</v>
      </c>
      <c r="E531" t="s">
        <v>40</v>
      </c>
      <c r="F531" t="s">
        <v>1712</v>
      </c>
      <c r="G531" t="s">
        <v>1713</v>
      </c>
      <c r="H531" t="s">
        <v>43</v>
      </c>
      <c r="J531">
        <v>2907.49</v>
      </c>
      <c r="K531">
        <v>2892.51</v>
      </c>
      <c r="L531">
        <v>2892.5126516300002</v>
      </c>
      <c r="Q531" t="s">
        <v>1714</v>
      </c>
      <c r="T531">
        <v>0</v>
      </c>
      <c r="W531" t="s">
        <v>36</v>
      </c>
      <c r="X531" t="s">
        <v>69</v>
      </c>
      <c r="Y531" t="s">
        <v>38</v>
      </c>
      <c r="AD531">
        <v>0</v>
      </c>
      <c r="AE531" t="b">
        <f>ISNUMBER(MATCH(G531,AUM!$C$6:$C$1451,0))</f>
        <v>0</v>
      </c>
      <c r="AF531" t="b">
        <f>ISNUMBER(MATCH(G531,AUM!$G$6:$G$240,0))</f>
        <v>0</v>
      </c>
    </row>
    <row r="532" spans="1:32" x14ac:dyDescent="0.2">
      <c r="A532" t="s">
        <v>1715</v>
      </c>
      <c r="B532" s="1">
        <v>45671</v>
      </c>
      <c r="D532" t="s">
        <v>1715</v>
      </c>
      <c r="E532" t="s">
        <v>40</v>
      </c>
      <c r="F532" t="s">
        <v>1716</v>
      </c>
      <c r="G532" t="s">
        <v>1717</v>
      </c>
      <c r="H532" t="s">
        <v>43</v>
      </c>
      <c r="J532">
        <v>2902.23</v>
      </c>
      <c r="K532">
        <v>2887.28</v>
      </c>
      <c r="L532">
        <v>2887.2754433300001</v>
      </c>
      <c r="Q532" t="s">
        <v>1714</v>
      </c>
      <c r="U532">
        <v>0</v>
      </c>
      <c r="W532" t="s">
        <v>36</v>
      </c>
      <c r="X532" t="s">
        <v>69</v>
      </c>
      <c r="Y532" t="s">
        <v>38</v>
      </c>
      <c r="AD532">
        <v>0</v>
      </c>
      <c r="AE532" t="b">
        <f>ISNUMBER(MATCH(G532,AUM!$C$6:$C$1451,0))</f>
        <v>0</v>
      </c>
      <c r="AF532" t="b">
        <f>ISNUMBER(MATCH(G532,AUM!$G$6:$G$240,0))</f>
        <v>0</v>
      </c>
    </row>
    <row r="533" spans="1:32" x14ac:dyDescent="0.2">
      <c r="A533" t="s">
        <v>1714</v>
      </c>
      <c r="B533" s="1">
        <v>45671</v>
      </c>
      <c r="D533" t="s">
        <v>1714</v>
      </c>
      <c r="E533" t="s">
        <v>40</v>
      </c>
      <c r="F533" t="s">
        <v>1718</v>
      </c>
      <c r="G533" t="s">
        <v>1719</v>
      </c>
      <c r="H533" t="s">
        <v>43</v>
      </c>
      <c r="I533">
        <v>1306157786.7419701</v>
      </c>
      <c r="J533">
        <v>1731.5</v>
      </c>
      <c r="K533">
        <v>1722.58</v>
      </c>
      <c r="L533">
        <v>1722.5823309100001</v>
      </c>
      <c r="M533">
        <v>2249964324824.0801</v>
      </c>
      <c r="N533">
        <v>312</v>
      </c>
      <c r="O533" t="s">
        <v>35</v>
      </c>
      <c r="P533">
        <v>1</v>
      </c>
      <c r="R533" t="s">
        <v>1711</v>
      </c>
      <c r="S533" t="s">
        <v>1715</v>
      </c>
      <c r="W533" t="s">
        <v>36</v>
      </c>
      <c r="X533" t="s">
        <v>37</v>
      </c>
      <c r="Y533" t="s">
        <v>38</v>
      </c>
      <c r="AD533">
        <v>0</v>
      </c>
      <c r="AE533" t="b">
        <f>ISNUMBER(MATCH(G533,AUM!$C$6:$C$1451,0))</f>
        <v>0</v>
      </c>
      <c r="AF533" t="b">
        <f>ISNUMBER(MATCH(G533,AUM!$G$6:$G$240,0))</f>
        <v>0</v>
      </c>
    </row>
    <row r="534" spans="1:32" x14ac:dyDescent="0.2">
      <c r="A534" t="s">
        <v>1720</v>
      </c>
      <c r="B534" s="1">
        <v>45671</v>
      </c>
      <c r="D534" t="s">
        <v>1720</v>
      </c>
      <c r="E534" t="s">
        <v>40</v>
      </c>
      <c r="F534" t="s">
        <v>1721</v>
      </c>
      <c r="G534" t="s">
        <v>1722</v>
      </c>
      <c r="H534" t="s">
        <v>43</v>
      </c>
      <c r="J534">
        <v>3673.52</v>
      </c>
      <c r="K534">
        <v>3661.37</v>
      </c>
      <c r="L534">
        <v>3661.3657432199998</v>
      </c>
      <c r="Q534" t="s">
        <v>1723</v>
      </c>
      <c r="T534">
        <v>0</v>
      </c>
      <c r="W534" t="s">
        <v>36</v>
      </c>
      <c r="X534" t="s">
        <v>69</v>
      </c>
      <c r="Y534" t="s">
        <v>38</v>
      </c>
      <c r="AD534">
        <v>0</v>
      </c>
      <c r="AE534" t="b">
        <f>ISNUMBER(MATCH(G534,AUM!$C$6:$C$1451,0))</f>
        <v>0</v>
      </c>
      <c r="AF534" t="b">
        <f>ISNUMBER(MATCH(G534,AUM!$G$6:$G$240,0))</f>
        <v>0</v>
      </c>
    </row>
    <row r="535" spans="1:32" x14ac:dyDescent="0.2">
      <c r="A535" t="s">
        <v>1724</v>
      </c>
      <c r="B535" s="1">
        <v>45671</v>
      </c>
      <c r="D535" t="s">
        <v>1724</v>
      </c>
      <c r="E535" t="s">
        <v>40</v>
      </c>
      <c r="F535" t="s">
        <v>1725</v>
      </c>
      <c r="G535" t="s">
        <v>1726</v>
      </c>
      <c r="H535" t="s">
        <v>43</v>
      </c>
      <c r="J535">
        <v>3277.04</v>
      </c>
      <c r="K535">
        <v>3266.2</v>
      </c>
      <c r="L535">
        <v>3266.1959263799999</v>
      </c>
      <c r="Q535" t="s">
        <v>1723</v>
      </c>
      <c r="U535">
        <v>0</v>
      </c>
      <c r="W535" t="s">
        <v>36</v>
      </c>
      <c r="X535" t="s">
        <v>69</v>
      </c>
      <c r="Y535" t="s">
        <v>38</v>
      </c>
      <c r="AD535">
        <v>0</v>
      </c>
      <c r="AE535" t="b">
        <f>ISNUMBER(MATCH(G535,AUM!$C$6:$C$1451,0))</f>
        <v>0</v>
      </c>
      <c r="AF535" t="b">
        <f>ISNUMBER(MATCH(G535,AUM!$G$6:$G$240,0))</f>
        <v>0</v>
      </c>
    </row>
    <row r="536" spans="1:32" x14ac:dyDescent="0.2">
      <c r="A536" t="s">
        <v>1723</v>
      </c>
      <c r="B536" s="1">
        <v>45671</v>
      </c>
      <c r="D536" t="s">
        <v>1723</v>
      </c>
      <c r="E536" t="s">
        <v>40</v>
      </c>
      <c r="F536" t="s">
        <v>1727</v>
      </c>
      <c r="G536" t="s">
        <v>1728</v>
      </c>
      <c r="H536" t="s">
        <v>43</v>
      </c>
      <c r="I536">
        <v>941136234.10170496</v>
      </c>
      <c r="J536">
        <v>2326.02</v>
      </c>
      <c r="K536">
        <v>2318.3200000000002</v>
      </c>
      <c r="L536">
        <v>2318.3194918999998</v>
      </c>
      <c r="M536">
        <v>2181854476051.0701</v>
      </c>
      <c r="N536">
        <v>226</v>
      </c>
      <c r="O536" t="s">
        <v>35</v>
      </c>
      <c r="P536">
        <v>1</v>
      </c>
      <c r="R536" t="s">
        <v>1720</v>
      </c>
      <c r="S536" t="s">
        <v>1724</v>
      </c>
      <c r="W536" t="s">
        <v>36</v>
      </c>
      <c r="X536" t="s">
        <v>37</v>
      </c>
      <c r="Y536" t="s">
        <v>38</v>
      </c>
      <c r="AD536">
        <v>0</v>
      </c>
      <c r="AE536" t="b">
        <f>ISNUMBER(MATCH(G536,AUM!$C$6:$C$1451,0))</f>
        <v>0</v>
      </c>
      <c r="AF536" t="b">
        <f>ISNUMBER(MATCH(G536,AUM!$G$6:$G$240,0))</f>
        <v>0</v>
      </c>
    </row>
    <row r="537" spans="1:32" x14ac:dyDescent="0.2">
      <c r="A537" t="s">
        <v>1729</v>
      </c>
      <c r="B537" s="1">
        <v>45671</v>
      </c>
      <c r="D537" t="s">
        <v>1729</v>
      </c>
      <c r="E537" t="s">
        <v>40</v>
      </c>
      <c r="F537" t="s">
        <v>1730</v>
      </c>
      <c r="G537" t="s">
        <v>1731</v>
      </c>
      <c r="H537" t="s">
        <v>43</v>
      </c>
      <c r="J537">
        <v>4663.1000000000004</v>
      </c>
      <c r="K537">
        <v>4633.42</v>
      </c>
      <c r="L537">
        <v>4633.4188365199998</v>
      </c>
      <c r="Q537" t="s">
        <v>1732</v>
      </c>
      <c r="T537">
        <v>0</v>
      </c>
      <c r="W537" t="s">
        <v>36</v>
      </c>
      <c r="X537" t="s">
        <v>69</v>
      </c>
      <c r="Y537" t="s">
        <v>38</v>
      </c>
      <c r="AD537">
        <v>0</v>
      </c>
      <c r="AE537" t="b">
        <f>ISNUMBER(MATCH(G537,AUM!$C$6:$C$1451,0))</f>
        <v>0</v>
      </c>
      <c r="AF537" t="b">
        <f>ISNUMBER(MATCH(G537,AUM!$G$6:$G$240,0))</f>
        <v>0</v>
      </c>
    </row>
    <row r="538" spans="1:32" x14ac:dyDescent="0.2">
      <c r="A538" t="s">
        <v>1733</v>
      </c>
      <c r="B538" s="1">
        <v>45671</v>
      </c>
      <c r="D538" t="s">
        <v>1733</v>
      </c>
      <c r="E538" t="s">
        <v>40</v>
      </c>
      <c r="F538" t="s">
        <v>1734</v>
      </c>
      <c r="G538" t="s">
        <v>1735</v>
      </c>
      <c r="H538" t="s">
        <v>43</v>
      </c>
      <c r="J538">
        <v>4047.85</v>
      </c>
      <c r="K538">
        <v>4022.09</v>
      </c>
      <c r="L538">
        <v>4022.0915802</v>
      </c>
      <c r="Q538" t="s">
        <v>1732</v>
      </c>
      <c r="U538">
        <v>0</v>
      </c>
      <c r="W538" t="s">
        <v>36</v>
      </c>
      <c r="X538" t="s">
        <v>69</v>
      </c>
      <c r="Y538" t="s">
        <v>38</v>
      </c>
      <c r="AD538">
        <v>0</v>
      </c>
      <c r="AE538" t="b">
        <f>ISNUMBER(MATCH(G538,AUM!$C$6:$C$1451,0))</f>
        <v>0</v>
      </c>
      <c r="AF538" t="b">
        <f>ISNUMBER(MATCH(G538,AUM!$G$6:$G$240,0))</f>
        <v>0</v>
      </c>
    </row>
    <row r="539" spans="1:32" x14ac:dyDescent="0.2">
      <c r="A539" t="s">
        <v>1732</v>
      </c>
      <c r="B539" s="1">
        <v>45671</v>
      </c>
      <c r="D539" t="s">
        <v>1732</v>
      </c>
      <c r="E539" t="s">
        <v>40</v>
      </c>
      <c r="F539" t="s">
        <v>1736</v>
      </c>
      <c r="G539" t="s">
        <v>1737</v>
      </c>
      <c r="H539" t="s">
        <v>43</v>
      </c>
      <c r="I539">
        <v>508800440.06623697</v>
      </c>
      <c r="J539">
        <v>3110.72</v>
      </c>
      <c r="K539">
        <v>3090.92</v>
      </c>
      <c r="L539">
        <v>3090.9246078299998</v>
      </c>
      <c r="M539">
        <v>1572663800674.6499</v>
      </c>
      <c r="N539">
        <v>74</v>
      </c>
      <c r="O539" t="s">
        <v>35</v>
      </c>
      <c r="P539">
        <v>1</v>
      </c>
      <c r="R539" t="s">
        <v>1729</v>
      </c>
      <c r="S539" t="s">
        <v>1733</v>
      </c>
      <c r="W539" t="s">
        <v>36</v>
      </c>
      <c r="X539" t="s">
        <v>37</v>
      </c>
      <c r="Y539" t="s">
        <v>38</v>
      </c>
      <c r="AD539">
        <v>0</v>
      </c>
      <c r="AE539" t="b">
        <f>ISNUMBER(MATCH(G539,AUM!$C$6:$C$1451,0))</f>
        <v>0</v>
      </c>
      <c r="AF539" t="b">
        <f>ISNUMBER(MATCH(G539,AUM!$G$6:$G$240,0))</f>
        <v>0</v>
      </c>
    </row>
    <row r="540" spans="1:32" x14ac:dyDescent="0.2">
      <c r="A540" t="s">
        <v>1738</v>
      </c>
      <c r="B540" s="1">
        <v>45671</v>
      </c>
      <c r="D540" t="s">
        <v>1738</v>
      </c>
      <c r="E540" t="s">
        <v>40</v>
      </c>
      <c r="F540" t="s">
        <v>1739</v>
      </c>
      <c r="G540" t="s">
        <v>1740</v>
      </c>
      <c r="H540" t="s">
        <v>43</v>
      </c>
      <c r="J540">
        <v>3655.31</v>
      </c>
      <c r="K540">
        <v>3675.41</v>
      </c>
      <c r="L540">
        <v>3675.4139798199999</v>
      </c>
      <c r="Q540" t="s">
        <v>1741</v>
      </c>
      <c r="T540">
        <v>0</v>
      </c>
      <c r="W540" t="s">
        <v>36</v>
      </c>
      <c r="X540" t="s">
        <v>69</v>
      </c>
      <c r="Y540" t="s">
        <v>38</v>
      </c>
      <c r="AD540">
        <v>0</v>
      </c>
      <c r="AE540" t="b">
        <f>ISNUMBER(MATCH(G540,AUM!$C$6:$C$1451,0))</f>
        <v>0</v>
      </c>
      <c r="AF540" t="b">
        <f>ISNUMBER(MATCH(G540,AUM!$G$6:$G$240,0))</f>
        <v>0</v>
      </c>
    </row>
    <row r="541" spans="1:32" x14ac:dyDescent="0.2">
      <c r="A541" t="s">
        <v>1742</v>
      </c>
      <c r="B541" s="1">
        <v>45671</v>
      </c>
      <c r="D541" t="s">
        <v>1742</v>
      </c>
      <c r="E541" t="s">
        <v>40</v>
      </c>
      <c r="F541" t="s">
        <v>1743</v>
      </c>
      <c r="G541" t="s">
        <v>1744</v>
      </c>
      <c r="H541" t="s">
        <v>43</v>
      </c>
      <c r="J541">
        <v>3451.12</v>
      </c>
      <c r="K541">
        <v>3470.1</v>
      </c>
      <c r="L541">
        <v>3470.1028738999998</v>
      </c>
      <c r="Q541" t="s">
        <v>1741</v>
      </c>
      <c r="U541">
        <v>0</v>
      </c>
      <c r="W541" t="s">
        <v>36</v>
      </c>
      <c r="X541" t="s">
        <v>69</v>
      </c>
      <c r="Y541" t="s">
        <v>38</v>
      </c>
      <c r="AD541">
        <v>0</v>
      </c>
      <c r="AE541" t="b">
        <f>ISNUMBER(MATCH(G541,AUM!$C$6:$C$1451,0))</f>
        <v>0</v>
      </c>
      <c r="AF541" t="b">
        <f>ISNUMBER(MATCH(G541,AUM!$G$6:$G$240,0))</f>
        <v>0</v>
      </c>
    </row>
    <row r="542" spans="1:32" x14ac:dyDescent="0.2">
      <c r="A542" t="s">
        <v>1741</v>
      </c>
      <c r="B542" s="1">
        <v>45671</v>
      </c>
      <c r="D542" t="s">
        <v>1741</v>
      </c>
      <c r="E542" t="s">
        <v>40</v>
      </c>
      <c r="F542" t="s">
        <v>1745</v>
      </c>
      <c r="G542" t="s">
        <v>1746</v>
      </c>
      <c r="H542" t="s">
        <v>43</v>
      </c>
      <c r="I542">
        <v>1888933012.3113999</v>
      </c>
      <c r="J542">
        <v>2624.14</v>
      </c>
      <c r="K542">
        <v>2638.57</v>
      </c>
      <c r="L542">
        <v>2638.5669679299999</v>
      </c>
      <c r="M542">
        <v>4984076250916.6104</v>
      </c>
      <c r="N542">
        <v>1400</v>
      </c>
      <c r="O542" t="s">
        <v>35</v>
      </c>
      <c r="P542">
        <v>1</v>
      </c>
      <c r="R542" t="s">
        <v>1738</v>
      </c>
      <c r="S542" t="s">
        <v>1742</v>
      </c>
      <c r="W542" t="s">
        <v>36</v>
      </c>
      <c r="X542" t="s">
        <v>37</v>
      </c>
      <c r="Y542" t="s">
        <v>38</v>
      </c>
      <c r="AD542">
        <v>0</v>
      </c>
      <c r="AE542" t="b">
        <f>ISNUMBER(MATCH(G542,AUM!$C$6:$C$1451,0))</f>
        <v>0</v>
      </c>
      <c r="AF542" t="b">
        <f>ISNUMBER(MATCH(G542,AUM!$G$6:$G$240,0))</f>
        <v>0</v>
      </c>
    </row>
    <row r="543" spans="1:32" x14ac:dyDescent="0.2">
      <c r="A543" t="s">
        <v>1747</v>
      </c>
      <c r="B543" s="1">
        <v>45671</v>
      </c>
      <c r="D543" t="s">
        <v>1747</v>
      </c>
      <c r="E543" t="s">
        <v>40</v>
      </c>
      <c r="F543" t="s">
        <v>1748</v>
      </c>
      <c r="G543" t="s">
        <v>1749</v>
      </c>
      <c r="H543" t="s">
        <v>43</v>
      </c>
      <c r="J543">
        <v>9889.23</v>
      </c>
      <c r="K543">
        <v>9957.8700000000008</v>
      </c>
      <c r="L543">
        <v>9957.8678548999997</v>
      </c>
      <c r="Q543" t="s">
        <v>1750</v>
      </c>
      <c r="T543">
        <v>2.3793558197380001E-2</v>
      </c>
      <c r="V543" t="s">
        <v>1751</v>
      </c>
      <c r="W543" t="s">
        <v>36</v>
      </c>
      <c r="X543" t="s">
        <v>69</v>
      </c>
      <c r="Y543" t="s">
        <v>38</v>
      </c>
      <c r="AD543">
        <v>0</v>
      </c>
      <c r="AE543" t="b">
        <f>ISNUMBER(MATCH(G543,AUM!$C$6:$C$1451,0))</f>
        <v>0</v>
      </c>
      <c r="AF543" t="b">
        <f>ISNUMBER(MATCH(G543,AUM!$G$6:$G$240,0))</f>
        <v>0</v>
      </c>
    </row>
    <row r="544" spans="1:32" x14ac:dyDescent="0.2">
      <c r="A544" t="s">
        <v>1752</v>
      </c>
      <c r="B544" s="1">
        <v>45671</v>
      </c>
      <c r="D544" t="s">
        <v>1752</v>
      </c>
      <c r="E544" t="s">
        <v>40</v>
      </c>
      <c r="F544" t="s">
        <v>1753</v>
      </c>
      <c r="G544" t="s">
        <v>1754</v>
      </c>
      <c r="H544" t="s">
        <v>43</v>
      </c>
      <c r="J544">
        <v>9106.4</v>
      </c>
      <c r="K544">
        <v>9169.6</v>
      </c>
      <c r="L544">
        <v>9169.6032959700005</v>
      </c>
      <c r="Q544" t="s">
        <v>1750</v>
      </c>
      <c r="U544">
        <v>1.665549073816E-2</v>
      </c>
      <c r="V544" t="s">
        <v>1751</v>
      </c>
      <c r="W544" t="s">
        <v>36</v>
      </c>
      <c r="X544" t="s">
        <v>69</v>
      </c>
      <c r="Y544" t="s">
        <v>38</v>
      </c>
      <c r="AD544">
        <v>0</v>
      </c>
      <c r="AE544" t="b">
        <f>ISNUMBER(MATCH(G544,AUM!$C$6:$C$1451,0))</f>
        <v>0</v>
      </c>
      <c r="AF544" t="b">
        <f>ISNUMBER(MATCH(G544,AUM!$G$6:$G$240,0))</f>
        <v>0</v>
      </c>
    </row>
    <row r="545" spans="1:32" x14ac:dyDescent="0.2">
      <c r="A545" t="s">
        <v>1750</v>
      </c>
      <c r="B545" s="1">
        <v>45671</v>
      </c>
      <c r="D545" t="s">
        <v>1750</v>
      </c>
      <c r="E545" t="s">
        <v>40</v>
      </c>
      <c r="F545" t="s">
        <v>1755</v>
      </c>
      <c r="G545" t="s">
        <v>1756</v>
      </c>
      <c r="H545" t="s">
        <v>43</v>
      </c>
      <c r="I545">
        <v>7343618494.6827002</v>
      </c>
      <c r="J545">
        <v>7471.26</v>
      </c>
      <c r="K545">
        <v>7523.1</v>
      </c>
      <c r="L545">
        <v>7523.1002339500001</v>
      </c>
      <c r="M545">
        <v>55246778015400.797</v>
      </c>
      <c r="N545">
        <v>1474</v>
      </c>
      <c r="O545" t="s">
        <v>35</v>
      </c>
      <c r="P545">
        <v>1</v>
      </c>
      <c r="R545" t="s">
        <v>1747</v>
      </c>
      <c r="S545" t="s">
        <v>1752</v>
      </c>
      <c r="W545" t="s">
        <v>36</v>
      </c>
      <c r="X545" t="s">
        <v>37</v>
      </c>
      <c r="Y545" t="s">
        <v>38</v>
      </c>
      <c r="AD545">
        <v>0</v>
      </c>
      <c r="AE545" t="b">
        <f>ISNUMBER(MATCH(G545,AUM!$C$6:$C$1451,0))</f>
        <v>0</v>
      </c>
      <c r="AF545" t="b">
        <f>ISNUMBER(MATCH(G545,AUM!$G$6:$G$240,0))</f>
        <v>0</v>
      </c>
    </row>
    <row r="546" spans="1:32" x14ac:dyDescent="0.2">
      <c r="A546" t="s">
        <v>1757</v>
      </c>
      <c r="B546" s="1">
        <v>45671</v>
      </c>
      <c r="D546" t="s">
        <v>1757</v>
      </c>
      <c r="E546" t="s">
        <v>40</v>
      </c>
      <c r="F546" t="s">
        <v>1758</v>
      </c>
      <c r="G546" t="s">
        <v>1759</v>
      </c>
      <c r="H546" t="s">
        <v>43</v>
      </c>
      <c r="J546">
        <v>3276.13</v>
      </c>
      <c r="K546">
        <v>3248.89</v>
      </c>
      <c r="L546">
        <v>3248.8892208299999</v>
      </c>
      <c r="Q546" t="s">
        <v>1760</v>
      </c>
      <c r="T546">
        <v>0</v>
      </c>
      <c r="W546" t="s">
        <v>36</v>
      </c>
      <c r="X546" t="s">
        <v>69</v>
      </c>
      <c r="Y546" t="s">
        <v>38</v>
      </c>
      <c r="AD546">
        <v>0</v>
      </c>
      <c r="AE546" t="b">
        <f>ISNUMBER(MATCH(G546,AUM!$C$6:$C$1451,0))</f>
        <v>0</v>
      </c>
      <c r="AF546" t="b">
        <f>ISNUMBER(MATCH(G546,AUM!$G$6:$G$240,0))</f>
        <v>0</v>
      </c>
    </row>
    <row r="547" spans="1:32" x14ac:dyDescent="0.2">
      <c r="A547" t="s">
        <v>1761</v>
      </c>
      <c r="B547" s="1">
        <v>45671</v>
      </c>
      <c r="D547" t="s">
        <v>1761</v>
      </c>
      <c r="E547" t="s">
        <v>40</v>
      </c>
      <c r="F547" t="s">
        <v>1762</v>
      </c>
      <c r="G547" t="s">
        <v>1763</v>
      </c>
      <c r="H547" t="s">
        <v>43</v>
      </c>
      <c r="J547">
        <v>2732.57</v>
      </c>
      <c r="K547">
        <v>2709.84</v>
      </c>
      <c r="L547">
        <v>2709.8439538799998</v>
      </c>
      <c r="Q547" t="s">
        <v>1760</v>
      </c>
      <c r="U547">
        <v>0</v>
      </c>
      <c r="W547" t="s">
        <v>36</v>
      </c>
      <c r="X547" t="s">
        <v>69</v>
      </c>
      <c r="Y547" t="s">
        <v>38</v>
      </c>
      <c r="AD547">
        <v>0</v>
      </c>
      <c r="AE547" t="b">
        <f>ISNUMBER(MATCH(G547,AUM!$C$6:$C$1451,0))</f>
        <v>0</v>
      </c>
      <c r="AF547" t="b">
        <f>ISNUMBER(MATCH(G547,AUM!$G$6:$G$240,0))</f>
        <v>0</v>
      </c>
    </row>
    <row r="548" spans="1:32" x14ac:dyDescent="0.2">
      <c r="A548" t="s">
        <v>1760</v>
      </c>
      <c r="B548" s="1">
        <v>45671</v>
      </c>
      <c r="D548" t="s">
        <v>1760</v>
      </c>
      <c r="E548" t="s">
        <v>40</v>
      </c>
      <c r="F548" t="s">
        <v>1764</v>
      </c>
      <c r="G548" t="s">
        <v>1765</v>
      </c>
      <c r="H548" t="s">
        <v>43</v>
      </c>
      <c r="I548">
        <v>855566241.32219696</v>
      </c>
      <c r="J548">
        <v>1765.04</v>
      </c>
      <c r="K548">
        <v>1750.37</v>
      </c>
      <c r="L548">
        <v>1750.36612696</v>
      </c>
      <c r="M548">
        <v>1497554168184.8501</v>
      </c>
      <c r="N548">
        <v>319</v>
      </c>
      <c r="O548" t="s">
        <v>35</v>
      </c>
      <c r="P548">
        <v>1</v>
      </c>
      <c r="R548" t="s">
        <v>1757</v>
      </c>
      <c r="S548" t="s">
        <v>1761</v>
      </c>
      <c r="W548" t="s">
        <v>36</v>
      </c>
      <c r="X548" t="s">
        <v>37</v>
      </c>
      <c r="Y548" t="s">
        <v>38</v>
      </c>
      <c r="AD548">
        <v>0</v>
      </c>
      <c r="AE548" t="b">
        <f>ISNUMBER(MATCH(G548,AUM!$C$6:$C$1451,0))</f>
        <v>0</v>
      </c>
      <c r="AF548" t="b">
        <f>ISNUMBER(MATCH(G548,AUM!$G$6:$G$240,0))</f>
        <v>0</v>
      </c>
    </row>
    <row r="549" spans="1:32" x14ac:dyDescent="0.2">
      <c r="A549" t="s">
        <v>1766</v>
      </c>
      <c r="B549" s="1">
        <v>45671</v>
      </c>
      <c r="D549" t="s">
        <v>1766</v>
      </c>
      <c r="E549" t="s">
        <v>40</v>
      </c>
      <c r="F549" t="s">
        <v>1767</v>
      </c>
      <c r="G549" t="s">
        <v>1768</v>
      </c>
      <c r="H549" t="s">
        <v>43</v>
      </c>
      <c r="J549">
        <v>3548.33</v>
      </c>
      <c r="K549">
        <v>3563.09</v>
      </c>
      <c r="L549">
        <v>3563.0921367000001</v>
      </c>
      <c r="Q549" t="s">
        <v>1769</v>
      </c>
      <c r="T549">
        <v>0</v>
      </c>
      <c r="W549" t="s">
        <v>36</v>
      </c>
      <c r="X549" t="s">
        <v>69</v>
      </c>
      <c r="Y549" t="s">
        <v>38</v>
      </c>
      <c r="AD549">
        <v>0</v>
      </c>
      <c r="AE549" t="b">
        <f>ISNUMBER(MATCH(G549,AUM!$C$6:$C$1451,0))</f>
        <v>0</v>
      </c>
      <c r="AF549" t="b">
        <f>ISNUMBER(MATCH(G549,AUM!$G$6:$G$240,0))</f>
        <v>0</v>
      </c>
    </row>
    <row r="550" spans="1:32" x14ac:dyDescent="0.2">
      <c r="A550" t="s">
        <v>1770</v>
      </c>
      <c r="B550" s="1">
        <v>45671</v>
      </c>
      <c r="D550" t="s">
        <v>1770</v>
      </c>
      <c r="E550" t="s">
        <v>40</v>
      </c>
      <c r="F550" t="s">
        <v>1771</v>
      </c>
      <c r="G550" t="s">
        <v>1772</v>
      </c>
      <c r="H550" t="s">
        <v>43</v>
      </c>
      <c r="J550">
        <v>3379.01</v>
      </c>
      <c r="K550">
        <v>3393.07</v>
      </c>
      <c r="L550">
        <v>3393.0719538100002</v>
      </c>
      <c r="Q550" t="s">
        <v>1769</v>
      </c>
      <c r="U550">
        <v>0</v>
      </c>
      <c r="W550" t="s">
        <v>36</v>
      </c>
      <c r="X550" t="s">
        <v>69</v>
      </c>
      <c r="Y550" t="s">
        <v>38</v>
      </c>
      <c r="AD550">
        <v>0</v>
      </c>
      <c r="AE550" t="b">
        <f>ISNUMBER(MATCH(G550,AUM!$C$6:$C$1451,0))</f>
        <v>0</v>
      </c>
      <c r="AF550" t="b">
        <f>ISNUMBER(MATCH(G550,AUM!$G$6:$G$240,0))</f>
        <v>0</v>
      </c>
    </row>
    <row r="551" spans="1:32" x14ac:dyDescent="0.2">
      <c r="A551" t="s">
        <v>1769</v>
      </c>
      <c r="B551" s="1">
        <v>45671</v>
      </c>
      <c r="D551" t="s">
        <v>1769</v>
      </c>
      <c r="E551" t="s">
        <v>40</v>
      </c>
      <c r="F551" t="s">
        <v>1773</v>
      </c>
      <c r="G551" t="s">
        <v>1774</v>
      </c>
      <c r="H551" t="s">
        <v>43</v>
      </c>
      <c r="I551">
        <v>2267584917.1561699</v>
      </c>
      <c r="J551">
        <v>2495.27</v>
      </c>
      <c r="K551">
        <v>2505.66</v>
      </c>
      <c r="L551">
        <v>2505.6573678599998</v>
      </c>
      <c r="M551">
        <v>5681790854909.9199</v>
      </c>
      <c r="N551">
        <v>1547</v>
      </c>
      <c r="O551" t="s">
        <v>35</v>
      </c>
      <c r="P551">
        <v>1</v>
      </c>
      <c r="R551" t="s">
        <v>1766</v>
      </c>
      <c r="S551" t="s">
        <v>1770</v>
      </c>
      <c r="W551" t="s">
        <v>36</v>
      </c>
      <c r="X551" t="s">
        <v>37</v>
      </c>
      <c r="Y551" t="s">
        <v>38</v>
      </c>
      <c r="AD551">
        <v>0</v>
      </c>
      <c r="AE551" t="b">
        <f>ISNUMBER(MATCH(G551,AUM!$C$6:$C$1451,0))</f>
        <v>0</v>
      </c>
      <c r="AF551" t="b">
        <f>ISNUMBER(MATCH(G551,AUM!$G$6:$G$240,0))</f>
        <v>0</v>
      </c>
    </row>
    <row r="552" spans="1:32" x14ac:dyDescent="0.2">
      <c r="A552" t="s">
        <v>1775</v>
      </c>
      <c r="B552" s="1">
        <v>45671</v>
      </c>
      <c r="D552" t="s">
        <v>1775</v>
      </c>
      <c r="E552" t="s">
        <v>40</v>
      </c>
      <c r="F552" t="s">
        <v>1776</v>
      </c>
      <c r="G552" t="s">
        <v>1777</v>
      </c>
      <c r="H552" t="s">
        <v>43</v>
      </c>
      <c r="J552">
        <v>3480.25</v>
      </c>
      <c r="K552">
        <v>3485.56</v>
      </c>
      <c r="L552">
        <v>3485.5560100299999</v>
      </c>
      <c r="Q552" t="s">
        <v>1778</v>
      </c>
      <c r="T552">
        <v>0</v>
      </c>
      <c r="W552" t="s">
        <v>36</v>
      </c>
      <c r="X552" t="s">
        <v>69</v>
      </c>
      <c r="Y552" t="s">
        <v>38</v>
      </c>
      <c r="AD552">
        <v>0</v>
      </c>
      <c r="AE552" t="b">
        <f>ISNUMBER(MATCH(G552,AUM!$C$6:$C$1451,0))</f>
        <v>0</v>
      </c>
      <c r="AF552" t="b">
        <f>ISNUMBER(MATCH(G552,AUM!$G$6:$G$240,0))</f>
        <v>0</v>
      </c>
    </row>
    <row r="553" spans="1:32" x14ac:dyDescent="0.2">
      <c r="A553" t="s">
        <v>1779</v>
      </c>
      <c r="B553" s="1">
        <v>45671</v>
      </c>
      <c r="D553" t="s">
        <v>1779</v>
      </c>
      <c r="E553" t="s">
        <v>40</v>
      </c>
      <c r="F553" t="s">
        <v>1780</v>
      </c>
      <c r="G553" t="s">
        <v>1781</v>
      </c>
      <c r="H553" t="s">
        <v>43</v>
      </c>
      <c r="J553">
        <v>3209.49</v>
      </c>
      <c r="K553">
        <v>3214.38</v>
      </c>
      <c r="L553">
        <v>3214.3781981000002</v>
      </c>
      <c r="Q553" t="s">
        <v>1778</v>
      </c>
      <c r="U553">
        <v>0</v>
      </c>
      <c r="W553" t="s">
        <v>36</v>
      </c>
      <c r="X553" t="s">
        <v>69</v>
      </c>
      <c r="Y553" t="s">
        <v>38</v>
      </c>
      <c r="AD553">
        <v>0</v>
      </c>
      <c r="AE553" t="b">
        <f>ISNUMBER(MATCH(G553,AUM!$C$6:$C$1451,0))</f>
        <v>0</v>
      </c>
      <c r="AF553" t="b">
        <f>ISNUMBER(MATCH(G553,AUM!$G$6:$G$240,0))</f>
        <v>0</v>
      </c>
    </row>
    <row r="554" spans="1:32" x14ac:dyDescent="0.2">
      <c r="A554" t="s">
        <v>1778</v>
      </c>
      <c r="B554" s="1">
        <v>45671</v>
      </c>
      <c r="D554" t="s">
        <v>1778</v>
      </c>
      <c r="E554" t="s">
        <v>40</v>
      </c>
      <c r="F554" t="s">
        <v>1782</v>
      </c>
      <c r="G554" t="s">
        <v>1783</v>
      </c>
      <c r="H554" t="s">
        <v>43</v>
      </c>
      <c r="I554">
        <v>3126172078.10321</v>
      </c>
      <c r="J554">
        <v>2294.54</v>
      </c>
      <c r="K554">
        <v>2298.04</v>
      </c>
      <c r="L554">
        <v>2298.03998052</v>
      </c>
      <c r="M554">
        <v>7184068421461.9004</v>
      </c>
      <c r="N554">
        <v>1890</v>
      </c>
      <c r="O554" t="s">
        <v>35</v>
      </c>
      <c r="P554">
        <v>1</v>
      </c>
      <c r="R554" t="s">
        <v>1775</v>
      </c>
      <c r="S554" t="s">
        <v>1779</v>
      </c>
      <c r="W554" t="s">
        <v>36</v>
      </c>
      <c r="X554" t="s">
        <v>37</v>
      </c>
      <c r="Y554" t="s">
        <v>38</v>
      </c>
      <c r="AD554">
        <v>0</v>
      </c>
      <c r="AE554" t="b">
        <f>ISNUMBER(MATCH(G554,AUM!$C$6:$C$1451,0))</f>
        <v>0</v>
      </c>
      <c r="AF554" t="b">
        <f>ISNUMBER(MATCH(G554,AUM!$G$6:$G$240,0))</f>
        <v>0</v>
      </c>
    </row>
    <row r="555" spans="1:32" x14ac:dyDescent="0.2">
      <c r="A555" t="s">
        <v>1784</v>
      </c>
      <c r="B555" s="1">
        <v>45671</v>
      </c>
      <c r="D555" t="s">
        <v>1784</v>
      </c>
      <c r="E555" t="s">
        <v>40</v>
      </c>
      <c r="F555" t="s">
        <v>1785</v>
      </c>
      <c r="G555" t="s">
        <v>1786</v>
      </c>
      <c r="H555" t="s">
        <v>43</v>
      </c>
      <c r="J555">
        <v>9298.08</v>
      </c>
      <c r="K555">
        <v>9358.93</v>
      </c>
      <c r="L555">
        <v>9358.9310396300007</v>
      </c>
      <c r="Q555" t="s">
        <v>1787</v>
      </c>
      <c r="T555">
        <v>2.126920594037E-2</v>
      </c>
      <c r="V555" t="s">
        <v>1751</v>
      </c>
      <c r="W555" t="s">
        <v>36</v>
      </c>
      <c r="X555" t="s">
        <v>69</v>
      </c>
      <c r="Y555" t="s">
        <v>38</v>
      </c>
      <c r="AD555">
        <v>0</v>
      </c>
      <c r="AE555" t="b">
        <f>ISNUMBER(MATCH(G555,AUM!$C$6:$C$1451,0))</f>
        <v>0</v>
      </c>
      <c r="AF555" t="b">
        <f>ISNUMBER(MATCH(G555,AUM!$G$6:$G$240,0))</f>
        <v>0</v>
      </c>
    </row>
    <row r="556" spans="1:32" x14ac:dyDescent="0.2">
      <c r="A556" t="s">
        <v>1788</v>
      </c>
      <c r="B556" s="1">
        <v>45671</v>
      </c>
      <c r="D556" t="s">
        <v>1788</v>
      </c>
      <c r="E556" t="s">
        <v>40</v>
      </c>
      <c r="F556" t="s">
        <v>1789</v>
      </c>
      <c r="G556" t="s">
        <v>1790</v>
      </c>
      <c r="H556" t="s">
        <v>43</v>
      </c>
      <c r="J556">
        <v>8547.5</v>
      </c>
      <c r="K556">
        <v>8603.44</v>
      </c>
      <c r="L556">
        <v>8603.4360244100008</v>
      </c>
      <c r="Q556" t="s">
        <v>1787</v>
      </c>
      <c r="U556">
        <v>1.488844415826E-2</v>
      </c>
      <c r="V556" t="s">
        <v>1751</v>
      </c>
      <c r="W556" t="s">
        <v>36</v>
      </c>
      <c r="X556" t="s">
        <v>69</v>
      </c>
      <c r="Y556" t="s">
        <v>38</v>
      </c>
      <c r="AD556">
        <v>0</v>
      </c>
      <c r="AE556" t="b">
        <f>ISNUMBER(MATCH(G556,AUM!$C$6:$C$1451,0))</f>
        <v>0</v>
      </c>
      <c r="AF556" t="b">
        <f>ISNUMBER(MATCH(G556,AUM!$G$6:$G$240,0))</f>
        <v>0</v>
      </c>
    </row>
    <row r="557" spans="1:32" x14ac:dyDescent="0.2">
      <c r="A557" t="s">
        <v>1787</v>
      </c>
      <c r="B557" s="1">
        <v>45671</v>
      </c>
      <c r="D557" t="s">
        <v>1787</v>
      </c>
      <c r="E557" t="s">
        <v>40</v>
      </c>
      <c r="F557" t="s">
        <v>1791</v>
      </c>
      <c r="G557" t="s">
        <v>1792</v>
      </c>
      <c r="H557" t="s">
        <v>43</v>
      </c>
      <c r="I557">
        <v>8215201569.9349899</v>
      </c>
      <c r="J557">
        <v>6956.98</v>
      </c>
      <c r="K557">
        <v>7002.5</v>
      </c>
      <c r="L557">
        <v>7002.5040110399996</v>
      </c>
      <c r="M557">
        <v>57526981944932.398</v>
      </c>
      <c r="N557">
        <v>1752</v>
      </c>
      <c r="O557" t="s">
        <v>35</v>
      </c>
      <c r="P557">
        <v>1</v>
      </c>
      <c r="R557" t="s">
        <v>1784</v>
      </c>
      <c r="S557" t="s">
        <v>1788</v>
      </c>
      <c r="W557" t="s">
        <v>36</v>
      </c>
      <c r="X557" t="s">
        <v>37</v>
      </c>
      <c r="Y557" t="s">
        <v>38</v>
      </c>
      <c r="AD557">
        <v>0</v>
      </c>
      <c r="AE557" t="b">
        <f>ISNUMBER(MATCH(G557,AUM!$C$6:$C$1451,0))</f>
        <v>0</v>
      </c>
      <c r="AF557" t="b">
        <f>ISNUMBER(MATCH(G557,AUM!$G$6:$G$240,0))</f>
        <v>0</v>
      </c>
    </row>
    <row r="558" spans="1:32" x14ac:dyDescent="0.2">
      <c r="A558" t="s">
        <v>1793</v>
      </c>
      <c r="B558" s="1">
        <v>45671</v>
      </c>
      <c r="D558" t="s">
        <v>1793</v>
      </c>
      <c r="E558" t="s">
        <v>40</v>
      </c>
      <c r="F558" t="s">
        <v>1794</v>
      </c>
      <c r="G558" t="s">
        <v>1795</v>
      </c>
      <c r="H558" t="s">
        <v>43</v>
      </c>
      <c r="J558">
        <v>3240.45</v>
      </c>
      <c r="K558">
        <v>3227.54</v>
      </c>
      <c r="L558">
        <v>3227.5369425899999</v>
      </c>
      <c r="Q558" t="s">
        <v>1796</v>
      </c>
      <c r="T558">
        <v>6.2564971370629996E-2</v>
      </c>
      <c r="V558" t="s">
        <v>1797</v>
      </c>
      <c r="W558" t="s">
        <v>36</v>
      </c>
      <c r="X558" t="s">
        <v>69</v>
      </c>
      <c r="Y558" t="s">
        <v>38</v>
      </c>
      <c r="AD558">
        <v>0</v>
      </c>
      <c r="AE558" t="b">
        <f>ISNUMBER(MATCH(G558,AUM!$C$6:$C$1451,0))</f>
        <v>0</v>
      </c>
      <c r="AF558" t="b">
        <f>ISNUMBER(MATCH(G558,AUM!$G$6:$G$240,0))</f>
        <v>0</v>
      </c>
    </row>
    <row r="559" spans="1:32" x14ac:dyDescent="0.2">
      <c r="A559" t="s">
        <v>1798</v>
      </c>
      <c r="B559" s="1">
        <v>45671</v>
      </c>
      <c r="D559" t="s">
        <v>1798</v>
      </c>
      <c r="E559" t="s">
        <v>40</v>
      </c>
      <c r="F559" t="s">
        <v>1799</v>
      </c>
      <c r="G559" t="s">
        <v>1800</v>
      </c>
      <c r="H559" t="s">
        <v>43</v>
      </c>
      <c r="J559">
        <v>2890.09</v>
      </c>
      <c r="K559">
        <v>2878.56</v>
      </c>
      <c r="L559">
        <v>2878.5593120200001</v>
      </c>
      <c r="Q559" t="s">
        <v>1796</v>
      </c>
      <c r="U559">
        <v>4.7747235081220002E-2</v>
      </c>
      <c r="V559" t="s">
        <v>1797</v>
      </c>
      <c r="W559" t="s">
        <v>36</v>
      </c>
      <c r="X559" t="s">
        <v>69</v>
      </c>
      <c r="Y559" t="s">
        <v>38</v>
      </c>
      <c r="AD559">
        <v>0</v>
      </c>
      <c r="AE559" t="b">
        <f>ISNUMBER(MATCH(G559,AUM!$C$6:$C$1451,0))</f>
        <v>0</v>
      </c>
      <c r="AF559" t="b">
        <f>ISNUMBER(MATCH(G559,AUM!$G$6:$G$240,0))</f>
        <v>0</v>
      </c>
    </row>
    <row r="560" spans="1:32" x14ac:dyDescent="0.2">
      <c r="A560" t="s">
        <v>1796</v>
      </c>
      <c r="B560" s="1">
        <v>45671</v>
      </c>
      <c r="D560" t="s">
        <v>1796</v>
      </c>
      <c r="E560" t="s">
        <v>40</v>
      </c>
      <c r="F560" t="s">
        <v>1801</v>
      </c>
      <c r="G560" t="s">
        <v>1802</v>
      </c>
      <c r="H560" t="s">
        <v>43</v>
      </c>
      <c r="I560">
        <v>3032460106.98348</v>
      </c>
      <c r="J560">
        <v>1979.88</v>
      </c>
      <c r="K560">
        <v>1971.97</v>
      </c>
      <c r="L560">
        <v>1971.97027989</v>
      </c>
      <c r="M560">
        <v>5979921205929.7402</v>
      </c>
      <c r="N560">
        <v>495</v>
      </c>
      <c r="O560" t="s">
        <v>35</v>
      </c>
      <c r="P560">
        <v>1</v>
      </c>
      <c r="R560" t="s">
        <v>1793</v>
      </c>
      <c r="S560" t="s">
        <v>1798</v>
      </c>
      <c r="W560" t="s">
        <v>36</v>
      </c>
      <c r="X560" t="s">
        <v>37</v>
      </c>
      <c r="Y560" t="s">
        <v>38</v>
      </c>
      <c r="AD560">
        <v>0</v>
      </c>
      <c r="AE560" t="b">
        <f>ISNUMBER(MATCH(G560,AUM!$C$6:$C$1451,0))</f>
        <v>0</v>
      </c>
      <c r="AF560" t="b">
        <f>ISNUMBER(MATCH(G560,AUM!$G$6:$G$240,0))</f>
        <v>0</v>
      </c>
    </row>
    <row r="561" spans="1:32" x14ac:dyDescent="0.2">
      <c r="A561" t="s">
        <v>1803</v>
      </c>
      <c r="B561" s="1">
        <v>45671</v>
      </c>
      <c r="D561" t="s">
        <v>1803</v>
      </c>
      <c r="E561" t="s">
        <v>40</v>
      </c>
      <c r="F561" t="s">
        <v>1804</v>
      </c>
      <c r="G561" t="s">
        <v>1805</v>
      </c>
      <c r="H561" t="s">
        <v>43</v>
      </c>
      <c r="J561">
        <v>3478.35</v>
      </c>
      <c r="K561">
        <v>3459.26</v>
      </c>
      <c r="L561">
        <v>3459.2608885700001</v>
      </c>
      <c r="Q561" t="s">
        <v>1806</v>
      </c>
      <c r="T561">
        <v>3.6585191126799997E-2</v>
      </c>
      <c r="V561" t="s">
        <v>1797</v>
      </c>
      <c r="W561" t="s">
        <v>36</v>
      </c>
      <c r="X561" t="s">
        <v>69</v>
      </c>
      <c r="Y561" t="s">
        <v>38</v>
      </c>
      <c r="AD561">
        <v>0</v>
      </c>
      <c r="AE561" t="b">
        <f>ISNUMBER(MATCH(G561,AUM!$C$6:$C$1451,0))</f>
        <v>0</v>
      </c>
      <c r="AF561" t="b">
        <f>ISNUMBER(MATCH(G561,AUM!$G$6:$G$240,0))</f>
        <v>0</v>
      </c>
    </row>
    <row r="562" spans="1:32" x14ac:dyDescent="0.2">
      <c r="A562" t="s">
        <v>1807</v>
      </c>
      <c r="B562" s="1">
        <v>45671</v>
      </c>
      <c r="D562" t="s">
        <v>1807</v>
      </c>
      <c r="E562" t="s">
        <v>40</v>
      </c>
      <c r="F562" t="s">
        <v>1808</v>
      </c>
      <c r="G562" t="s">
        <v>1809</v>
      </c>
      <c r="H562" t="s">
        <v>43</v>
      </c>
      <c r="J562">
        <v>3189.98</v>
      </c>
      <c r="K562">
        <v>3172.46</v>
      </c>
      <c r="L562">
        <v>3172.4595847599999</v>
      </c>
      <c r="Q562" t="s">
        <v>1806</v>
      </c>
      <c r="U562">
        <v>2.7920443068289998E-2</v>
      </c>
      <c r="V562" t="s">
        <v>1797</v>
      </c>
      <c r="W562" t="s">
        <v>36</v>
      </c>
      <c r="X562" t="s">
        <v>69</v>
      </c>
      <c r="Y562" t="s">
        <v>38</v>
      </c>
      <c r="AD562">
        <v>0</v>
      </c>
      <c r="AE562" t="b">
        <f>ISNUMBER(MATCH(G562,AUM!$C$6:$C$1451,0))</f>
        <v>0</v>
      </c>
      <c r="AF562" t="b">
        <f>ISNUMBER(MATCH(G562,AUM!$G$6:$G$240,0))</f>
        <v>0</v>
      </c>
    </row>
    <row r="563" spans="1:32" x14ac:dyDescent="0.2">
      <c r="A563" t="s">
        <v>1806</v>
      </c>
      <c r="B563" s="1">
        <v>45671</v>
      </c>
      <c r="D563" t="s">
        <v>1806</v>
      </c>
      <c r="E563" t="s">
        <v>40</v>
      </c>
      <c r="F563" t="s">
        <v>1810</v>
      </c>
      <c r="G563" t="s">
        <v>1811</v>
      </c>
      <c r="H563" t="s">
        <v>43</v>
      </c>
      <c r="I563">
        <v>5185862747.5365601</v>
      </c>
      <c r="J563">
        <v>2161.9</v>
      </c>
      <c r="K563">
        <v>2150.02</v>
      </c>
      <c r="L563">
        <v>2150.0236984399999</v>
      </c>
      <c r="M563">
        <v>11149727804078.1</v>
      </c>
      <c r="N563">
        <v>1310</v>
      </c>
      <c r="O563" t="s">
        <v>35</v>
      </c>
      <c r="P563">
        <v>1</v>
      </c>
      <c r="R563" t="s">
        <v>1803</v>
      </c>
      <c r="S563" t="s">
        <v>1807</v>
      </c>
      <c r="W563" t="s">
        <v>36</v>
      </c>
      <c r="X563" t="s">
        <v>37</v>
      </c>
      <c r="Y563" t="s">
        <v>38</v>
      </c>
      <c r="AD563">
        <v>0</v>
      </c>
      <c r="AE563" t="b">
        <f>ISNUMBER(MATCH(G563,AUM!$C$6:$C$1451,0))</f>
        <v>0</v>
      </c>
      <c r="AF563" t="b">
        <f>ISNUMBER(MATCH(G563,AUM!$G$6:$G$240,0))</f>
        <v>0</v>
      </c>
    </row>
    <row r="564" spans="1:32" x14ac:dyDescent="0.2">
      <c r="A564" t="s">
        <v>1812</v>
      </c>
      <c r="B564" s="1">
        <v>45671</v>
      </c>
      <c r="D564" t="s">
        <v>1812</v>
      </c>
      <c r="E564" t="s">
        <v>40</v>
      </c>
      <c r="F564" t="s">
        <v>1813</v>
      </c>
      <c r="G564" t="s">
        <v>1814</v>
      </c>
      <c r="H564" t="s">
        <v>43</v>
      </c>
      <c r="J564">
        <v>6477.63</v>
      </c>
      <c r="K564">
        <v>6505.53</v>
      </c>
      <c r="L564">
        <v>6505.5281188899999</v>
      </c>
      <c r="Q564" t="s">
        <v>1815</v>
      </c>
      <c r="T564">
        <v>2.199609926328E-2</v>
      </c>
      <c r="V564" t="s">
        <v>1816</v>
      </c>
      <c r="W564" t="s">
        <v>36</v>
      </c>
      <c r="X564" t="s">
        <v>69</v>
      </c>
      <c r="Y564" t="s">
        <v>38</v>
      </c>
      <c r="AD564">
        <v>0</v>
      </c>
      <c r="AE564" t="b">
        <f>ISNUMBER(MATCH(G564,AUM!$C$6:$C$1451,0))</f>
        <v>0</v>
      </c>
      <c r="AF564" t="b">
        <f>ISNUMBER(MATCH(G564,AUM!$G$6:$G$240,0))</f>
        <v>0</v>
      </c>
    </row>
    <row r="565" spans="1:32" x14ac:dyDescent="0.2">
      <c r="A565" t="s">
        <v>1817</v>
      </c>
      <c r="B565" s="1">
        <v>45671</v>
      </c>
      <c r="D565" t="s">
        <v>1817</v>
      </c>
      <c r="E565" t="s">
        <v>40</v>
      </c>
      <c r="F565" t="s">
        <v>1818</v>
      </c>
      <c r="G565" t="s">
        <v>1819</v>
      </c>
      <c r="H565" t="s">
        <v>43</v>
      </c>
      <c r="J565">
        <v>5961.17</v>
      </c>
      <c r="K565">
        <v>5986.84</v>
      </c>
      <c r="L565">
        <v>5986.8385519699996</v>
      </c>
      <c r="Q565" t="s">
        <v>1815</v>
      </c>
      <c r="U565">
        <v>1.612051371845E-2</v>
      </c>
      <c r="V565" t="s">
        <v>1816</v>
      </c>
      <c r="W565" t="s">
        <v>36</v>
      </c>
      <c r="X565" t="s">
        <v>69</v>
      </c>
      <c r="Y565" t="s">
        <v>38</v>
      </c>
      <c r="AD565">
        <v>0</v>
      </c>
      <c r="AE565" t="b">
        <f>ISNUMBER(MATCH(G565,AUM!$C$6:$C$1451,0))</f>
        <v>0</v>
      </c>
      <c r="AF565" t="b">
        <f>ISNUMBER(MATCH(G565,AUM!$G$6:$G$240,0))</f>
        <v>0</v>
      </c>
    </row>
    <row r="566" spans="1:32" x14ac:dyDescent="0.2">
      <c r="A566" t="s">
        <v>1815</v>
      </c>
      <c r="B566" s="1">
        <v>45671</v>
      </c>
      <c r="D566" t="s">
        <v>1815</v>
      </c>
      <c r="E566" t="s">
        <v>40</v>
      </c>
      <c r="F566" t="s">
        <v>1820</v>
      </c>
      <c r="G566" t="s">
        <v>1821</v>
      </c>
      <c r="H566" t="s">
        <v>43</v>
      </c>
      <c r="I566">
        <v>16569146622.1478</v>
      </c>
      <c r="J566">
        <v>4595.8500000000004</v>
      </c>
      <c r="K566">
        <v>4615.63</v>
      </c>
      <c r="L566">
        <v>4615.6339153199997</v>
      </c>
      <c r="M566">
        <v>76477115097060.203</v>
      </c>
      <c r="N566">
        <v>5391</v>
      </c>
      <c r="O566" t="s">
        <v>35</v>
      </c>
      <c r="P566">
        <v>1</v>
      </c>
      <c r="R566" t="s">
        <v>1812</v>
      </c>
      <c r="S566" t="s">
        <v>1817</v>
      </c>
      <c r="W566" t="s">
        <v>36</v>
      </c>
      <c r="X566" t="s">
        <v>37</v>
      </c>
      <c r="Y566" t="s">
        <v>38</v>
      </c>
      <c r="AD566">
        <v>0</v>
      </c>
      <c r="AE566" t="b">
        <f>ISNUMBER(MATCH(G566,AUM!$C$6:$C$1451,0))</f>
        <v>0</v>
      </c>
      <c r="AF566" t="b">
        <f>ISNUMBER(MATCH(G566,AUM!$G$6:$G$240,0))</f>
        <v>0</v>
      </c>
    </row>
    <row r="567" spans="1:32" x14ac:dyDescent="0.2">
      <c r="A567" t="s">
        <v>1822</v>
      </c>
      <c r="B567" s="1">
        <v>45671</v>
      </c>
      <c r="D567" t="s">
        <v>1822</v>
      </c>
      <c r="E567" t="s">
        <v>40</v>
      </c>
      <c r="F567" t="s">
        <v>1823</v>
      </c>
      <c r="G567" t="s">
        <v>1824</v>
      </c>
      <c r="H567" t="s">
        <v>43</v>
      </c>
      <c r="J567">
        <v>2791.77</v>
      </c>
      <c r="K567">
        <v>2777.54</v>
      </c>
      <c r="L567">
        <v>2777.5426487899999</v>
      </c>
      <c r="Q567" t="s">
        <v>1825</v>
      </c>
      <c r="T567">
        <v>0</v>
      </c>
      <c r="W567" t="s">
        <v>36</v>
      </c>
      <c r="X567" t="s">
        <v>69</v>
      </c>
      <c r="Y567" t="s">
        <v>38</v>
      </c>
      <c r="AD567">
        <v>0</v>
      </c>
      <c r="AE567" t="b">
        <f>ISNUMBER(MATCH(G567,AUM!$C$6:$C$1451,0))</f>
        <v>1</v>
      </c>
      <c r="AF567" t="b">
        <f>ISNUMBER(MATCH(G567,AUM!$G$6:$G$240,0))</f>
        <v>0</v>
      </c>
    </row>
    <row r="568" spans="1:32" x14ac:dyDescent="0.2">
      <c r="A568" t="s">
        <v>1826</v>
      </c>
      <c r="B568" s="1">
        <v>45671</v>
      </c>
      <c r="D568" t="s">
        <v>1826</v>
      </c>
      <c r="E568" t="s">
        <v>40</v>
      </c>
      <c r="F568" t="s">
        <v>1827</v>
      </c>
      <c r="G568" t="s">
        <v>1828</v>
      </c>
      <c r="H568" t="s">
        <v>43</v>
      </c>
      <c r="J568">
        <v>2786.65</v>
      </c>
      <c r="K568">
        <v>2772.45</v>
      </c>
      <c r="L568">
        <v>2772.4463148999998</v>
      </c>
      <c r="Q568" t="s">
        <v>1825</v>
      </c>
      <c r="U568">
        <v>0</v>
      </c>
      <c r="W568" t="s">
        <v>36</v>
      </c>
      <c r="X568" t="s">
        <v>69</v>
      </c>
      <c r="Y568" t="s">
        <v>38</v>
      </c>
      <c r="AD568">
        <v>0</v>
      </c>
      <c r="AE568" t="b">
        <f>ISNUMBER(MATCH(G568,AUM!$C$6:$C$1451,0))</f>
        <v>1</v>
      </c>
      <c r="AF568" t="b">
        <f>ISNUMBER(MATCH(G568,AUM!$G$6:$G$240,0))</f>
        <v>0</v>
      </c>
    </row>
    <row r="569" spans="1:32" x14ac:dyDescent="0.2">
      <c r="A569" t="s">
        <v>1825</v>
      </c>
      <c r="B569" s="1">
        <v>45671</v>
      </c>
      <c r="D569" t="s">
        <v>1825</v>
      </c>
      <c r="E569" t="s">
        <v>40</v>
      </c>
      <c r="F569" t="s">
        <v>1829</v>
      </c>
      <c r="G569" t="s">
        <v>1830</v>
      </c>
      <c r="H569" t="s">
        <v>43</v>
      </c>
      <c r="I569">
        <v>1228348537.2573099</v>
      </c>
      <c r="J569">
        <v>1623.55</v>
      </c>
      <c r="K569">
        <v>1615.27</v>
      </c>
      <c r="L569">
        <v>1615.27183657</v>
      </c>
      <c r="M569">
        <v>1984116797718.9099</v>
      </c>
      <c r="N569">
        <v>95</v>
      </c>
      <c r="O569" t="s">
        <v>35</v>
      </c>
      <c r="P569">
        <v>1</v>
      </c>
      <c r="R569" t="s">
        <v>1822</v>
      </c>
      <c r="S569" t="s">
        <v>1826</v>
      </c>
      <c r="W569" t="s">
        <v>36</v>
      </c>
      <c r="X569" t="s">
        <v>37</v>
      </c>
      <c r="Y569" t="s">
        <v>38</v>
      </c>
      <c r="AD569">
        <v>0</v>
      </c>
      <c r="AE569" t="b">
        <f>ISNUMBER(MATCH(G569,AUM!$C$6:$C$1451,0))</f>
        <v>0</v>
      </c>
      <c r="AF569" t="b">
        <f>ISNUMBER(MATCH(G569,AUM!$G$6:$G$240,0))</f>
        <v>1</v>
      </c>
    </row>
    <row r="570" spans="1:32" x14ac:dyDescent="0.2">
      <c r="A570" t="s">
        <v>1831</v>
      </c>
      <c r="B570" s="1">
        <v>45671</v>
      </c>
      <c r="D570" t="s">
        <v>1831</v>
      </c>
      <c r="E570" t="s">
        <v>40</v>
      </c>
      <c r="F570" t="s">
        <v>1832</v>
      </c>
      <c r="G570" t="s">
        <v>1833</v>
      </c>
      <c r="H570" t="s">
        <v>43</v>
      </c>
      <c r="J570">
        <v>3668.31</v>
      </c>
      <c r="K570">
        <v>3659.18</v>
      </c>
      <c r="L570">
        <v>3659.1845119099999</v>
      </c>
      <c r="Q570" t="s">
        <v>1834</v>
      </c>
      <c r="T570">
        <v>0</v>
      </c>
      <c r="W570" t="s">
        <v>36</v>
      </c>
      <c r="X570" t="s">
        <v>69</v>
      </c>
      <c r="Y570" t="s">
        <v>38</v>
      </c>
      <c r="AD570">
        <v>0</v>
      </c>
      <c r="AE570" t="b">
        <f>ISNUMBER(MATCH(G570,AUM!$C$6:$C$1451,0))</f>
        <v>1</v>
      </c>
      <c r="AF570" t="b">
        <f>ISNUMBER(MATCH(G570,AUM!$G$6:$G$240,0))</f>
        <v>0</v>
      </c>
    </row>
    <row r="571" spans="1:32" x14ac:dyDescent="0.2">
      <c r="A571" t="s">
        <v>1835</v>
      </c>
      <c r="B571" s="1">
        <v>45671</v>
      </c>
      <c r="D571" t="s">
        <v>1835</v>
      </c>
      <c r="E571" t="s">
        <v>40</v>
      </c>
      <c r="F571" t="s">
        <v>1836</v>
      </c>
      <c r="G571" t="s">
        <v>1837</v>
      </c>
      <c r="H571" t="s">
        <v>43</v>
      </c>
      <c r="J571">
        <v>3263.64</v>
      </c>
      <c r="K571">
        <v>3255.51</v>
      </c>
      <c r="L571">
        <v>3255.51204874</v>
      </c>
      <c r="Q571" t="s">
        <v>1834</v>
      </c>
      <c r="U571">
        <v>0</v>
      </c>
      <c r="W571" t="s">
        <v>36</v>
      </c>
      <c r="X571" t="s">
        <v>69</v>
      </c>
      <c r="Y571" t="s">
        <v>38</v>
      </c>
      <c r="AD571">
        <v>0</v>
      </c>
      <c r="AE571" t="b">
        <f>ISNUMBER(MATCH(G571,AUM!$C$6:$C$1451,0))</f>
        <v>1</v>
      </c>
      <c r="AF571" t="b">
        <f>ISNUMBER(MATCH(G571,AUM!$G$6:$G$240,0))</f>
        <v>0</v>
      </c>
    </row>
    <row r="572" spans="1:32" x14ac:dyDescent="0.2">
      <c r="A572" t="s">
        <v>1834</v>
      </c>
      <c r="B572" s="1">
        <v>45671</v>
      </c>
      <c r="D572" t="s">
        <v>1834</v>
      </c>
      <c r="E572" t="s">
        <v>40</v>
      </c>
      <c r="F572" t="s">
        <v>1838</v>
      </c>
      <c r="G572" t="s">
        <v>1839</v>
      </c>
      <c r="H572" t="s">
        <v>43</v>
      </c>
      <c r="I572">
        <v>831198353.09109902</v>
      </c>
      <c r="J572">
        <v>2298.08</v>
      </c>
      <c r="K572">
        <v>2292.36</v>
      </c>
      <c r="L572">
        <v>2292.3616296</v>
      </c>
      <c r="M572">
        <v>1905407211211.1799</v>
      </c>
      <c r="N572">
        <v>75</v>
      </c>
      <c r="O572" t="s">
        <v>35</v>
      </c>
      <c r="P572">
        <v>1</v>
      </c>
      <c r="R572" t="s">
        <v>1831</v>
      </c>
      <c r="S572" t="s">
        <v>1835</v>
      </c>
      <c r="W572" t="s">
        <v>36</v>
      </c>
      <c r="X572" t="s">
        <v>37</v>
      </c>
      <c r="Y572" t="s">
        <v>38</v>
      </c>
      <c r="AD572">
        <v>0</v>
      </c>
      <c r="AE572" t="b">
        <f>ISNUMBER(MATCH(G572,AUM!$C$6:$C$1451,0))</f>
        <v>0</v>
      </c>
      <c r="AF572" t="b">
        <f>ISNUMBER(MATCH(G572,AUM!$G$6:$G$240,0))</f>
        <v>1</v>
      </c>
    </row>
    <row r="573" spans="1:32" x14ac:dyDescent="0.2">
      <c r="A573" t="s">
        <v>1840</v>
      </c>
      <c r="B573" s="1">
        <v>45671</v>
      </c>
      <c r="D573" t="s">
        <v>1840</v>
      </c>
      <c r="E573" t="s">
        <v>40</v>
      </c>
      <c r="F573" t="s">
        <v>1841</v>
      </c>
      <c r="G573" t="s">
        <v>1842</v>
      </c>
      <c r="H573" t="s">
        <v>43</v>
      </c>
      <c r="J573">
        <v>4616.88</v>
      </c>
      <c r="K573">
        <v>4588.3500000000004</v>
      </c>
      <c r="L573">
        <v>4588.3451251699998</v>
      </c>
      <c r="Q573" t="s">
        <v>1843</v>
      </c>
      <c r="T573">
        <v>0</v>
      </c>
      <c r="W573" t="s">
        <v>36</v>
      </c>
      <c r="X573" t="s">
        <v>69</v>
      </c>
      <c r="Y573" t="s">
        <v>38</v>
      </c>
      <c r="AD573">
        <v>0</v>
      </c>
      <c r="AE573" t="b">
        <f>ISNUMBER(MATCH(G573,AUM!$C$6:$C$1451,0))</f>
        <v>1</v>
      </c>
      <c r="AF573" t="b">
        <f>ISNUMBER(MATCH(G573,AUM!$G$6:$G$240,0))</f>
        <v>0</v>
      </c>
    </row>
    <row r="574" spans="1:32" x14ac:dyDescent="0.2">
      <c r="A574" t="s">
        <v>1844</v>
      </c>
      <c r="B574" s="1">
        <v>45671</v>
      </c>
      <c r="D574" t="s">
        <v>1844</v>
      </c>
      <c r="E574" t="s">
        <v>40</v>
      </c>
      <c r="F574" t="s">
        <v>1845</v>
      </c>
      <c r="G574" t="s">
        <v>1846</v>
      </c>
      <c r="H574" t="s">
        <v>43</v>
      </c>
      <c r="J574">
        <v>3991.97</v>
      </c>
      <c r="K574">
        <v>3967.29</v>
      </c>
      <c r="L574">
        <v>3967.2932664499999</v>
      </c>
      <c r="Q574" t="s">
        <v>1843</v>
      </c>
      <c r="U574">
        <v>0</v>
      </c>
      <c r="W574" t="s">
        <v>36</v>
      </c>
      <c r="X574" t="s">
        <v>69</v>
      </c>
      <c r="Y574" t="s">
        <v>38</v>
      </c>
      <c r="AD574">
        <v>0</v>
      </c>
      <c r="AE574" t="b">
        <f>ISNUMBER(MATCH(G574,AUM!$C$6:$C$1451,0))</f>
        <v>1</v>
      </c>
      <c r="AF574" t="b">
        <f>ISNUMBER(MATCH(G574,AUM!$G$6:$G$240,0))</f>
        <v>0</v>
      </c>
    </row>
    <row r="575" spans="1:32" x14ac:dyDescent="0.2">
      <c r="A575" t="s">
        <v>1843</v>
      </c>
      <c r="B575" s="1">
        <v>45671</v>
      </c>
      <c r="D575" t="s">
        <v>1843</v>
      </c>
      <c r="E575" t="s">
        <v>40</v>
      </c>
      <c r="F575" t="s">
        <v>1847</v>
      </c>
      <c r="G575" t="s">
        <v>1848</v>
      </c>
      <c r="H575" t="s">
        <v>43</v>
      </c>
      <c r="I575">
        <v>453021281.82770002</v>
      </c>
      <c r="J575">
        <v>3045.23</v>
      </c>
      <c r="K575">
        <v>3026.41</v>
      </c>
      <c r="L575">
        <v>3026.4098793600001</v>
      </c>
      <c r="M575">
        <v>1371028082885.3</v>
      </c>
      <c r="N575">
        <v>24</v>
      </c>
      <c r="O575" t="s">
        <v>35</v>
      </c>
      <c r="P575">
        <v>1</v>
      </c>
      <c r="R575" t="s">
        <v>1840</v>
      </c>
      <c r="S575" t="s">
        <v>1844</v>
      </c>
      <c r="W575" t="s">
        <v>36</v>
      </c>
      <c r="X575" t="s">
        <v>37</v>
      </c>
      <c r="Y575" t="s">
        <v>38</v>
      </c>
      <c r="AD575">
        <v>0</v>
      </c>
      <c r="AE575" t="b">
        <f>ISNUMBER(MATCH(G575,AUM!$C$6:$C$1451,0))</f>
        <v>0</v>
      </c>
      <c r="AF575" t="b">
        <f>ISNUMBER(MATCH(G575,AUM!$G$6:$G$240,0))</f>
        <v>1</v>
      </c>
    </row>
    <row r="576" spans="1:32" x14ac:dyDescent="0.2">
      <c r="A576" t="s">
        <v>1849</v>
      </c>
      <c r="B576" s="1">
        <v>45671</v>
      </c>
      <c r="D576" t="s">
        <v>1849</v>
      </c>
      <c r="E576" t="s">
        <v>40</v>
      </c>
      <c r="F576" t="s">
        <v>1850</v>
      </c>
      <c r="G576" t="s">
        <v>1851</v>
      </c>
      <c r="H576" t="s">
        <v>43</v>
      </c>
      <c r="J576">
        <v>3553.95</v>
      </c>
      <c r="K576">
        <v>3573.49</v>
      </c>
      <c r="L576">
        <v>3573.4920690200001</v>
      </c>
      <c r="Q576" t="s">
        <v>1852</v>
      </c>
      <c r="T576">
        <v>0</v>
      </c>
      <c r="W576" t="s">
        <v>36</v>
      </c>
      <c r="X576" t="s">
        <v>69</v>
      </c>
      <c r="Y576" t="s">
        <v>38</v>
      </c>
      <c r="AD576">
        <v>0</v>
      </c>
      <c r="AE576" t="b">
        <f>ISNUMBER(MATCH(G576,AUM!$C$6:$C$1451,0))</f>
        <v>1</v>
      </c>
      <c r="AF576" t="b">
        <f>ISNUMBER(MATCH(G576,AUM!$G$6:$G$240,0))</f>
        <v>0</v>
      </c>
    </row>
    <row r="577" spans="1:32" x14ac:dyDescent="0.2">
      <c r="A577" t="s">
        <v>1853</v>
      </c>
      <c r="B577" s="1">
        <v>45671</v>
      </c>
      <c r="D577" t="s">
        <v>1853</v>
      </c>
      <c r="E577" t="s">
        <v>40</v>
      </c>
      <c r="F577" t="s">
        <v>1854</v>
      </c>
      <c r="G577" t="s">
        <v>1855</v>
      </c>
      <c r="H577" t="s">
        <v>43</v>
      </c>
      <c r="J577">
        <v>3355.49</v>
      </c>
      <c r="K577">
        <v>3373.94</v>
      </c>
      <c r="L577">
        <v>3373.9392664500001</v>
      </c>
      <c r="Q577" t="s">
        <v>1852</v>
      </c>
      <c r="U577">
        <v>0</v>
      </c>
      <c r="W577" t="s">
        <v>36</v>
      </c>
      <c r="X577" t="s">
        <v>69</v>
      </c>
      <c r="Y577" t="s">
        <v>38</v>
      </c>
      <c r="AD577">
        <v>0</v>
      </c>
      <c r="AE577" t="b">
        <f>ISNUMBER(MATCH(G577,AUM!$C$6:$C$1451,0))</f>
        <v>1</v>
      </c>
      <c r="AF577" t="b">
        <f>ISNUMBER(MATCH(G577,AUM!$G$6:$G$240,0))</f>
        <v>0</v>
      </c>
    </row>
    <row r="578" spans="1:32" x14ac:dyDescent="0.2">
      <c r="A578" t="s">
        <v>1852</v>
      </c>
      <c r="B578" s="1">
        <v>45671</v>
      </c>
      <c r="D578" t="s">
        <v>1852</v>
      </c>
      <c r="E578" t="s">
        <v>40</v>
      </c>
      <c r="F578" t="s">
        <v>1856</v>
      </c>
      <c r="G578" t="s">
        <v>1857</v>
      </c>
      <c r="H578" t="s">
        <v>43</v>
      </c>
      <c r="I578">
        <v>1685215565.17068</v>
      </c>
      <c r="J578">
        <v>2553.5300000000002</v>
      </c>
      <c r="K578">
        <v>2567.5700000000002</v>
      </c>
      <c r="L578">
        <v>2567.56810877</v>
      </c>
      <c r="M578">
        <v>4326905741529.48</v>
      </c>
      <c r="N578">
        <v>339</v>
      </c>
      <c r="O578" t="s">
        <v>35</v>
      </c>
      <c r="P578">
        <v>1</v>
      </c>
      <c r="R578" t="s">
        <v>1849</v>
      </c>
      <c r="S578" t="s">
        <v>1853</v>
      </c>
      <c r="W578" t="s">
        <v>36</v>
      </c>
      <c r="X578" t="s">
        <v>37</v>
      </c>
      <c r="Y578" t="s">
        <v>38</v>
      </c>
      <c r="AD578">
        <v>0</v>
      </c>
      <c r="AE578" t="b">
        <f>ISNUMBER(MATCH(G578,AUM!$C$6:$C$1451,0))</f>
        <v>0</v>
      </c>
      <c r="AF578" t="b">
        <f>ISNUMBER(MATCH(G578,AUM!$G$6:$G$240,0))</f>
        <v>1</v>
      </c>
    </row>
    <row r="579" spans="1:32" x14ac:dyDescent="0.2">
      <c r="A579" t="s">
        <v>1858</v>
      </c>
      <c r="B579" s="1">
        <v>45671</v>
      </c>
      <c r="D579" t="s">
        <v>1858</v>
      </c>
      <c r="E579" t="s">
        <v>40</v>
      </c>
      <c r="F579" t="s">
        <v>1859</v>
      </c>
      <c r="G579" t="s">
        <v>1860</v>
      </c>
      <c r="H579" t="s">
        <v>43</v>
      </c>
      <c r="I579">
        <v>6405232768.3124104</v>
      </c>
      <c r="J579">
        <v>7460.75</v>
      </c>
      <c r="K579">
        <v>7507.33</v>
      </c>
      <c r="L579">
        <v>7507.3343973600004</v>
      </c>
      <c r="M579">
        <v>48086224284677.203</v>
      </c>
      <c r="N579">
        <v>393</v>
      </c>
      <c r="O579" t="s">
        <v>35</v>
      </c>
      <c r="P579">
        <v>1</v>
      </c>
      <c r="R579" t="s">
        <v>1861</v>
      </c>
      <c r="S579" t="s">
        <v>1862</v>
      </c>
      <c r="W579" t="s">
        <v>36</v>
      </c>
      <c r="X579" t="s">
        <v>37</v>
      </c>
      <c r="Y579" t="s">
        <v>38</v>
      </c>
      <c r="AD579">
        <v>0</v>
      </c>
      <c r="AE579" t="b">
        <f>ISNUMBER(MATCH(G579,AUM!$C$6:$C$1451,0))</f>
        <v>0</v>
      </c>
      <c r="AF579" t="b">
        <f>ISNUMBER(MATCH(G579,AUM!$G$6:$G$240,0))</f>
        <v>1</v>
      </c>
    </row>
    <row r="580" spans="1:32" x14ac:dyDescent="0.2">
      <c r="A580" t="s">
        <v>1863</v>
      </c>
      <c r="B580" s="1">
        <v>45671</v>
      </c>
      <c r="D580" t="s">
        <v>1863</v>
      </c>
      <c r="E580" t="s">
        <v>40</v>
      </c>
      <c r="F580" t="s">
        <v>1864</v>
      </c>
      <c r="G580" t="s">
        <v>1865</v>
      </c>
      <c r="H580" t="s">
        <v>43</v>
      </c>
      <c r="J580">
        <v>3305.52</v>
      </c>
      <c r="K580">
        <v>3279.52</v>
      </c>
      <c r="L580">
        <v>3279.52333039</v>
      </c>
      <c r="Q580" t="s">
        <v>1866</v>
      </c>
      <c r="T580">
        <v>0</v>
      </c>
      <c r="W580" t="s">
        <v>36</v>
      </c>
      <c r="X580" t="s">
        <v>69</v>
      </c>
      <c r="Y580" t="s">
        <v>38</v>
      </c>
      <c r="AD580">
        <v>0</v>
      </c>
      <c r="AE580" t="b">
        <f>ISNUMBER(MATCH(G580,AUM!$C$6:$C$1451,0))</f>
        <v>1</v>
      </c>
      <c r="AF580" t="b">
        <f>ISNUMBER(MATCH(G580,AUM!$G$6:$G$240,0))</f>
        <v>0</v>
      </c>
    </row>
    <row r="581" spans="1:32" x14ac:dyDescent="0.2">
      <c r="A581" t="s">
        <v>1867</v>
      </c>
      <c r="B581" s="1">
        <v>45671</v>
      </c>
      <c r="D581" t="s">
        <v>1867</v>
      </c>
      <c r="E581" t="s">
        <v>40</v>
      </c>
      <c r="F581" t="s">
        <v>1868</v>
      </c>
      <c r="G581" t="s">
        <v>1869</v>
      </c>
      <c r="H581" t="s">
        <v>43</v>
      </c>
      <c r="J581">
        <v>2750.18</v>
      </c>
      <c r="K581">
        <v>2728.56</v>
      </c>
      <c r="L581">
        <v>2728.5555638400001</v>
      </c>
      <c r="Q581" t="s">
        <v>1866</v>
      </c>
      <c r="U581">
        <v>0</v>
      </c>
      <c r="W581" t="s">
        <v>36</v>
      </c>
      <c r="X581" t="s">
        <v>69</v>
      </c>
      <c r="Y581" t="s">
        <v>38</v>
      </c>
      <c r="AD581">
        <v>0</v>
      </c>
      <c r="AE581" t="b">
        <f>ISNUMBER(MATCH(G581,AUM!$C$6:$C$1451,0))</f>
        <v>1</v>
      </c>
      <c r="AF581" t="b">
        <f>ISNUMBER(MATCH(G581,AUM!$G$6:$G$240,0))</f>
        <v>0</v>
      </c>
    </row>
    <row r="582" spans="1:32" x14ac:dyDescent="0.2">
      <c r="A582" t="s">
        <v>1866</v>
      </c>
      <c r="B582" s="1">
        <v>45671</v>
      </c>
      <c r="D582" t="s">
        <v>1866</v>
      </c>
      <c r="E582" t="s">
        <v>40</v>
      </c>
      <c r="F582" t="s">
        <v>1870</v>
      </c>
      <c r="G582" t="s">
        <v>1871</v>
      </c>
      <c r="H582" t="s">
        <v>43</v>
      </c>
      <c r="I582">
        <v>762794567.27649105</v>
      </c>
      <c r="J582">
        <v>1738.56</v>
      </c>
      <c r="K582">
        <v>1724.89</v>
      </c>
      <c r="L582">
        <v>1724.88936878</v>
      </c>
      <c r="M582">
        <v>1315736239660.6799</v>
      </c>
      <c r="N582">
        <v>93</v>
      </c>
      <c r="O582" t="s">
        <v>35</v>
      </c>
      <c r="P582">
        <v>1</v>
      </c>
      <c r="R582" t="s">
        <v>1863</v>
      </c>
      <c r="S582" t="s">
        <v>1867</v>
      </c>
      <c r="W582" t="s">
        <v>36</v>
      </c>
      <c r="X582" t="s">
        <v>37</v>
      </c>
      <c r="Y582" t="s">
        <v>38</v>
      </c>
      <c r="AD582">
        <v>0</v>
      </c>
      <c r="AE582" t="b">
        <f>ISNUMBER(MATCH(G582,AUM!$C$6:$C$1451,0))</f>
        <v>1</v>
      </c>
      <c r="AF582" t="b">
        <f>ISNUMBER(MATCH(G582,AUM!$G$6:$G$240,0))</f>
        <v>1</v>
      </c>
    </row>
    <row r="583" spans="1:32" x14ac:dyDescent="0.2">
      <c r="A583" t="s">
        <v>1872</v>
      </c>
      <c r="B583" s="1">
        <v>45671</v>
      </c>
      <c r="D583" t="s">
        <v>1872</v>
      </c>
      <c r="E583" t="s">
        <v>40</v>
      </c>
      <c r="F583" t="s">
        <v>1873</v>
      </c>
      <c r="G583" t="s">
        <v>1874</v>
      </c>
      <c r="H583" t="s">
        <v>43</v>
      </c>
      <c r="J583">
        <v>3480.59</v>
      </c>
      <c r="K583">
        <v>3494.97</v>
      </c>
      <c r="L583">
        <v>3494.9664291300001</v>
      </c>
      <c r="Q583" t="s">
        <v>1875</v>
      </c>
      <c r="T583">
        <v>0</v>
      </c>
      <c r="W583" t="s">
        <v>36</v>
      </c>
      <c r="X583" t="s">
        <v>69</v>
      </c>
      <c r="Y583" t="s">
        <v>38</v>
      </c>
      <c r="AD583">
        <v>0</v>
      </c>
      <c r="AE583" t="b">
        <f>ISNUMBER(MATCH(G583,AUM!$C$6:$C$1451,0))</f>
        <v>1</v>
      </c>
      <c r="AF583" t="b">
        <f>ISNUMBER(MATCH(G583,AUM!$G$6:$G$240,0))</f>
        <v>0</v>
      </c>
    </row>
    <row r="584" spans="1:32" x14ac:dyDescent="0.2">
      <c r="A584" t="s">
        <v>1876</v>
      </c>
      <c r="B584" s="1">
        <v>45671</v>
      </c>
      <c r="D584" t="s">
        <v>1876</v>
      </c>
      <c r="E584" t="s">
        <v>40</v>
      </c>
      <c r="F584" t="s">
        <v>1877</v>
      </c>
      <c r="G584" t="s">
        <v>1878</v>
      </c>
      <c r="H584" t="s">
        <v>43</v>
      </c>
      <c r="J584">
        <v>3314.54</v>
      </c>
      <c r="K584">
        <v>3328.23</v>
      </c>
      <c r="L584">
        <v>3328.2349892399998</v>
      </c>
      <c r="Q584" t="s">
        <v>1875</v>
      </c>
      <c r="U584">
        <v>0</v>
      </c>
      <c r="W584" t="s">
        <v>36</v>
      </c>
      <c r="X584" t="s">
        <v>69</v>
      </c>
      <c r="Y584" t="s">
        <v>38</v>
      </c>
      <c r="AD584">
        <v>0</v>
      </c>
      <c r="AE584" t="b">
        <f>ISNUMBER(MATCH(G584,AUM!$C$6:$C$1451,0))</f>
        <v>1</v>
      </c>
      <c r="AF584" t="b">
        <f>ISNUMBER(MATCH(G584,AUM!$G$6:$G$240,0))</f>
        <v>0</v>
      </c>
    </row>
    <row r="585" spans="1:32" x14ac:dyDescent="0.2">
      <c r="A585" t="s">
        <v>1875</v>
      </c>
      <c r="B585" s="1">
        <v>45671</v>
      </c>
      <c r="D585" t="s">
        <v>1875</v>
      </c>
      <c r="E585" t="s">
        <v>40</v>
      </c>
      <c r="F585" t="s">
        <v>1879</v>
      </c>
      <c r="G585" t="s">
        <v>1880</v>
      </c>
      <c r="H585" t="s">
        <v>43</v>
      </c>
      <c r="I585">
        <v>2011617872.07095</v>
      </c>
      <c r="J585">
        <v>2454.06</v>
      </c>
      <c r="K585">
        <v>2464.19</v>
      </c>
      <c r="L585">
        <v>2464.1945333899998</v>
      </c>
      <c r="M585">
        <v>4957017763622.71</v>
      </c>
      <c r="N585">
        <v>394</v>
      </c>
      <c r="O585" t="s">
        <v>35</v>
      </c>
      <c r="P585">
        <v>1</v>
      </c>
      <c r="R585" t="s">
        <v>1872</v>
      </c>
      <c r="S585" t="s">
        <v>1876</v>
      </c>
      <c r="W585" t="s">
        <v>36</v>
      </c>
      <c r="X585" t="s">
        <v>37</v>
      </c>
      <c r="Y585" t="s">
        <v>38</v>
      </c>
      <c r="AD585">
        <v>0</v>
      </c>
      <c r="AE585" t="b">
        <f>ISNUMBER(MATCH(G585,AUM!$C$6:$C$1451,0))</f>
        <v>1</v>
      </c>
      <c r="AF585" t="b">
        <f>ISNUMBER(MATCH(G585,AUM!$G$6:$G$240,0))</f>
        <v>1</v>
      </c>
    </row>
    <row r="586" spans="1:32" x14ac:dyDescent="0.2">
      <c r="A586" t="s">
        <v>1881</v>
      </c>
      <c r="B586" s="1">
        <v>45671</v>
      </c>
      <c r="D586" t="s">
        <v>1881</v>
      </c>
      <c r="E586" t="s">
        <v>40</v>
      </c>
      <c r="F586" t="s">
        <v>1882</v>
      </c>
      <c r="G586" t="s">
        <v>1883</v>
      </c>
      <c r="H586" t="s">
        <v>43</v>
      </c>
      <c r="J586">
        <v>3446.71</v>
      </c>
      <c r="K586">
        <v>3452.12</v>
      </c>
      <c r="L586">
        <v>3452.11763359</v>
      </c>
      <c r="Q586" t="s">
        <v>1884</v>
      </c>
      <c r="T586">
        <v>0</v>
      </c>
      <c r="W586" t="s">
        <v>36</v>
      </c>
      <c r="X586" t="s">
        <v>69</v>
      </c>
      <c r="Y586" t="s">
        <v>38</v>
      </c>
      <c r="AD586">
        <v>0</v>
      </c>
      <c r="AE586" t="b">
        <f>ISNUMBER(MATCH(G586,AUM!$C$6:$C$1451,0))</f>
        <v>1</v>
      </c>
      <c r="AF586" t="b">
        <f>ISNUMBER(MATCH(G586,AUM!$G$6:$G$240,0))</f>
        <v>0</v>
      </c>
    </row>
    <row r="587" spans="1:32" x14ac:dyDescent="0.2">
      <c r="A587" t="s">
        <v>1885</v>
      </c>
      <c r="B587" s="1">
        <v>45671</v>
      </c>
      <c r="D587" t="s">
        <v>1885</v>
      </c>
      <c r="E587" t="s">
        <v>40</v>
      </c>
      <c r="F587" t="s">
        <v>1886</v>
      </c>
      <c r="G587" t="s">
        <v>1887</v>
      </c>
      <c r="H587" t="s">
        <v>43</v>
      </c>
      <c r="J587">
        <v>3176.37</v>
      </c>
      <c r="K587">
        <v>3181.36</v>
      </c>
      <c r="L587">
        <v>3181.3567202200002</v>
      </c>
      <c r="Q587" t="s">
        <v>1884</v>
      </c>
      <c r="U587">
        <v>0</v>
      </c>
      <c r="W587" t="s">
        <v>36</v>
      </c>
      <c r="X587" t="s">
        <v>69</v>
      </c>
      <c r="Y587" t="s">
        <v>38</v>
      </c>
      <c r="AD587">
        <v>0</v>
      </c>
      <c r="AE587" t="b">
        <f>ISNUMBER(MATCH(G587,AUM!$C$6:$C$1451,0))</f>
        <v>1</v>
      </c>
      <c r="AF587" t="b">
        <f>ISNUMBER(MATCH(G587,AUM!$G$6:$G$240,0))</f>
        <v>0</v>
      </c>
    </row>
    <row r="588" spans="1:32" x14ac:dyDescent="0.2">
      <c r="A588" t="s">
        <v>1884</v>
      </c>
      <c r="B588" s="1">
        <v>45671</v>
      </c>
      <c r="D588" t="s">
        <v>1884</v>
      </c>
      <c r="E588" t="s">
        <v>40</v>
      </c>
      <c r="F588" t="s">
        <v>1888</v>
      </c>
      <c r="G588" t="s">
        <v>1889</v>
      </c>
      <c r="H588" t="s">
        <v>43</v>
      </c>
      <c r="I588">
        <v>2773481037.3625498</v>
      </c>
      <c r="J588">
        <v>2264.08</v>
      </c>
      <c r="K588">
        <v>2267.63</v>
      </c>
      <c r="L588">
        <v>2267.63211443</v>
      </c>
      <c r="M588">
        <v>6289234669082.0996</v>
      </c>
      <c r="N588">
        <v>494</v>
      </c>
      <c r="O588" t="s">
        <v>35</v>
      </c>
      <c r="P588">
        <v>1</v>
      </c>
      <c r="R588" t="s">
        <v>1881</v>
      </c>
      <c r="S588" t="s">
        <v>1885</v>
      </c>
      <c r="W588" t="s">
        <v>36</v>
      </c>
      <c r="X588" t="s">
        <v>37</v>
      </c>
      <c r="Y588" t="s">
        <v>38</v>
      </c>
      <c r="AD588">
        <v>0</v>
      </c>
      <c r="AE588" t="b">
        <f>ISNUMBER(MATCH(G588,AUM!$C$6:$C$1451,0))</f>
        <v>0</v>
      </c>
      <c r="AF588" t="b">
        <f>ISNUMBER(MATCH(G588,AUM!$G$6:$G$240,0))</f>
        <v>1</v>
      </c>
    </row>
    <row r="589" spans="1:32" x14ac:dyDescent="0.2">
      <c r="A589" t="s">
        <v>1890</v>
      </c>
      <c r="B589" s="1">
        <v>45671</v>
      </c>
      <c r="D589" t="s">
        <v>1890</v>
      </c>
      <c r="E589" t="s">
        <v>40</v>
      </c>
      <c r="F589" t="s">
        <v>1891</v>
      </c>
      <c r="G589" t="s">
        <v>1892</v>
      </c>
      <c r="H589" t="s">
        <v>43</v>
      </c>
      <c r="J589">
        <v>9342.43</v>
      </c>
      <c r="K589">
        <v>9398.11</v>
      </c>
      <c r="L589">
        <v>9398.1059088799993</v>
      </c>
      <c r="Q589" t="s">
        <v>1893</v>
      </c>
      <c r="T589">
        <v>2.0680968677799999E-3</v>
      </c>
      <c r="V589" t="s">
        <v>1894</v>
      </c>
      <c r="W589" t="s">
        <v>36</v>
      </c>
      <c r="X589" t="s">
        <v>69</v>
      </c>
      <c r="Y589" t="s">
        <v>38</v>
      </c>
      <c r="AD589">
        <v>0</v>
      </c>
      <c r="AE589" t="b">
        <f>ISNUMBER(MATCH(G589,AUM!$C$6:$C$1451,0))</f>
        <v>1</v>
      </c>
      <c r="AF589" t="b">
        <f>ISNUMBER(MATCH(G589,AUM!$G$6:$G$240,0))</f>
        <v>0</v>
      </c>
    </row>
    <row r="590" spans="1:32" x14ac:dyDescent="0.2">
      <c r="A590" t="s">
        <v>1895</v>
      </c>
      <c r="B590" s="1">
        <v>45671</v>
      </c>
      <c r="D590" t="s">
        <v>1895</v>
      </c>
      <c r="E590" t="s">
        <v>40</v>
      </c>
      <c r="F590" t="s">
        <v>1896</v>
      </c>
      <c r="G590" t="s">
        <v>1897</v>
      </c>
      <c r="H590" t="s">
        <v>43</v>
      </c>
      <c r="J590">
        <v>8575.7199999999993</v>
      </c>
      <c r="K590">
        <v>8626.83</v>
      </c>
      <c r="L590">
        <v>8626.8296408099995</v>
      </c>
      <c r="Q590" t="s">
        <v>1893</v>
      </c>
      <c r="U590">
        <v>1.44766780745E-3</v>
      </c>
      <c r="V590" t="s">
        <v>1894</v>
      </c>
      <c r="W590" t="s">
        <v>36</v>
      </c>
      <c r="X590" t="s">
        <v>69</v>
      </c>
      <c r="Y590" t="s">
        <v>38</v>
      </c>
      <c r="AD590">
        <v>0</v>
      </c>
      <c r="AE590" t="b">
        <f>ISNUMBER(MATCH(G590,AUM!$C$6:$C$1451,0))</f>
        <v>1</v>
      </c>
      <c r="AF590" t="b">
        <f>ISNUMBER(MATCH(G590,AUM!$G$6:$G$240,0))</f>
        <v>0</v>
      </c>
    </row>
    <row r="591" spans="1:32" x14ac:dyDescent="0.2">
      <c r="A591" t="s">
        <v>1893</v>
      </c>
      <c r="B591" s="1">
        <v>45671</v>
      </c>
      <c r="D591" t="s">
        <v>1893</v>
      </c>
      <c r="E591" t="s">
        <v>40</v>
      </c>
      <c r="F591" t="s">
        <v>1898</v>
      </c>
      <c r="G591" t="s">
        <v>1899</v>
      </c>
      <c r="H591" t="s">
        <v>43</v>
      </c>
      <c r="I591">
        <v>7199475987.2951002</v>
      </c>
      <c r="J591">
        <v>6960.48</v>
      </c>
      <c r="K591">
        <v>7001.96</v>
      </c>
      <c r="L591">
        <v>7001.9617462699998</v>
      </c>
      <c r="M591">
        <v>50410455456196.203</v>
      </c>
      <c r="N591">
        <v>488</v>
      </c>
      <c r="O591" t="s">
        <v>35</v>
      </c>
      <c r="P591">
        <v>1</v>
      </c>
      <c r="R591" t="s">
        <v>1890</v>
      </c>
      <c r="S591" t="s">
        <v>1895</v>
      </c>
      <c r="W591" t="s">
        <v>36</v>
      </c>
      <c r="X591" t="s">
        <v>37</v>
      </c>
      <c r="Y591" t="s">
        <v>38</v>
      </c>
      <c r="AD591">
        <v>0</v>
      </c>
      <c r="AE591" t="b">
        <f>ISNUMBER(MATCH(G591,AUM!$C$6:$C$1451,0))</f>
        <v>0</v>
      </c>
      <c r="AF591" t="b">
        <f>ISNUMBER(MATCH(G591,AUM!$G$6:$G$240,0))</f>
        <v>1</v>
      </c>
    </row>
    <row r="592" spans="1:32" x14ac:dyDescent="0.2">
      <c r="A592" t="s">
        <v>1900</v>
      </c>
      <c r="B592" s="1">
        <v>45671</v>
      </c>
      <c r="D592" t="s">
        <v>1900</v>
      </c>
      <c r="E592" t="s">
        <v>40</v>
      </c>
      <c r="F592" t="s">
        <v>1901</v>
      </c>
      <c r="G592" t="s">
        <v>1902</v>
      </c>
      <c r="H592" t="s">
        <v>43</v>
      </c>
      <c r="J592">
        <v>3202.04</v>
      </c>
      <c r="K592">
        <v>3190.18</v>
      </c>
      <c r="L592">
        <v>3190.1801939900001</v>
      </c>
      <c r="Q592" t="s">
        <v>1903</v>
      </c>
      <c r="T592">
        <v>5.3022171928150001E-2</v>
      </c>
      <c r="V592" t="s">
        <v>79</v>
      </c>
      <c r="W592" t="s">
        <v>36</v>
      </c>
      <c r="X592" t="s">
        <v>69</v>
      </c>
      <c r="Y592" t="s">
        <v>38</v>
      </c>
      <c r="AD592">
        <v>0</v>
      </c>
      <c r="AE592" t="b">
        <f>ISNUMBER(MATCH(G592,AUM!$C$6:$C$1451,0))</f>
        <v>1</v>
      </c>
      <c r="AF592" t="b">
        <f>ISNUMBER(MATCH(G592,AUM!$G$6:$G$240,0))</f>
        <v>0</v>
      </c>
    </row>
    <row r="593" spans="1:32" x14ac:dyDescent="0.2">
      <c r="A593" t="s">
        <v>1904</v>
      </c>
      <c r="B593" s="1">
        <v>45671</v>
      </c>
      <c r="D593" t="s">
        <v>1904</v>
      </c>
      <c r="E593" t="s">
        <v>40</v>
      </c>
      <c r="F593" t="s">
        <v>1905</v>
      </c>
      <c r="G593" t="s">
        <v>1906</v>
      </c>
      <c r="H593" t="s">
        <v>43</v>
      </c>
      <c r="J593">
        <v>2849.78</v>
      </c>
      <c r="K593">
        <v>2839.22</v>
      </c>
      <c r="L593">
        <v>2839.2185928899999</v>
      </c>
      <c r="Q593" t="s">
        <v>1903</v>
      </c>
      <c r="U593">
        <v>3.9766628946110001E-2</v>
      </c>
      <c r="V593" t="s">
        <v>79</v>
      </c>
      <c r="W593" t="s">
        <v>36</v>
      </c>
      <c r="X593" t="s">
        <v>69</v>
      </c>
      <c r="Y593" t="s">
        <v>38</v>
      </c>
      <c r="AD593">
        <v>0</v>
      </c>
      <c r="AE593" t="b">
        <f>ISNUMBER(MATCH(G593,AUM!$C$6:$C$1451,0))</f>
        <v>1</v>
      </c>
      <c r="AF593" t="b">
        <f>ISNUMBER(MATCH(G593,AUM!$G$6:$G$240,0))</f>
        <v>0</v>
      </c>
    </row>
    <row r="594" spans="1:32" x14ac:dyDescent="0.2">
      <c r="A594" t="s">
        <v>1903</v>
      </c>
      <c r="B594" s="1">
        <v>45671</v>
      </c>
      <c r="D594" t="s">
        <v>1903</v>
      </c>
      <c r="E594" t="s">
        <v>40</v>
      </c>
      <c r="F594" t="s">
        <v>1907</v>
      </c>
      <c r="G594" t="s">
        <v>1908</v>
      </c>
      <c r="H594" t="s">
        <v>43</v>
      </c>
      <c r="I594">
        <v>2793264180.1377101</v>
      </c>
      <c r="J594">
        <v>1935.03</v>
      </c>
      <c r="K594">
        <v>1927.84</v>
      </c>
      <c r="L594">
        <v>1927.8420328699999</v>
      </c>
      <c r="M594">
        <v>5384972095388.6201</v>
      </c>
      <c r="N594">
        <v>183</v>
      </c>
      <c r="O594" t="s">
        <v>35</v>
      </c>
      <c r="P594">
        <v>1</v>
      </c>
      <c r="R594" t="s">
        <v>1900</v>
      </c>
      <c r="S594" t="s">
        <v>1904</v>
      </c>
      <c r="W594" t="s">
        <v>36</v>
      </c>
      <c r="X594" t="s">
        <v>37</v>
      </c>
      <c r="Y594" t="s">
        <v>38</v>
      </c>
      <c r="AD594">
        <v>0</v>
      </c>
      <c r="AE594" t="b">
        <f>ISNUMBER(MATCH(G594,AUM!$C$6:$C$1451,0))</f>
        <v>0</v>
      </c>
      <c r="AF594" t="b">
        <f>ISNUMBER(MATCH(G594,AUM!$G$6:$G$240,0))</f>
        <v>1</v>
      </c>
    </row>
    <row r="595" spans="1:32" x14ac:dyDescent="0.2">
      <c r="A595" t="s">
        <v>1909</v>
      </c>
      <c r="B595" s="1">
        <v>45671</v>
      </c>
      <c r="D595" t="s">
        <v>1909</v>
      </c>
      <c r="E595" t="s">
        <v>40</v>
      </c>
      <c r="F595" t="s">
        <v>1910</v>
      </c>
      <c r="G595" t="s">
        <v>1911</v>
      </c>
      <c r="H595" t="s">
        <v>43</v>
      </c>
      <c r="J595">
        <v>3409.89</v>
      </c>
      <c r="K595">
        <v>3391.97</v>
      </c>
      <c r="L595">
        <v>3391.9683078600001</v>
      </c>
      <c r="Q595" t="s">
        <v>1912</v>
      </c>
      <c r="T595">
        <v>3.0455655777939999E-2</v>
      </c>
      <c r="V595" t="s">
        <v>79</v>
      </c>
      <c r="W595" t="s">
        <v>36</v>
      </c>
      <c r="X595" t="s">
        <v>69</v>
      </c>
      <c r="Y595" t="s">
        <v>38</v>
      </c>
      <c r="AD595">
        <v>0</v>
      </c>
      <c r="AE595" t="b">
        <f>ISNUMBER(MATCH(G595,AUM!$C$6:$C$1451,0))</f>
        <v>1</v>
      </c>
      <c r="AF595" t="b">
        <f>ISNUMBER(MATCH(G595,AUM!$G$6:$G$240,0))</f>
        <v>0</v>
      </c>
    </row>
    <row r="596" spans="1:32" x14ac:dyDescent="0.2">
      <c r="A596" t="s">
        <v>1913</v>
      </c>
      <c r="B596" s="1">
        <v>45671</v>
      </c>
      <c r="D596" t="s">
        <v>1913</v>
      </c>
      <c r="E596" t="s">
        <v>40</v>
      </c>
      <c r="F596" t="s">
        <v>1914</v>
      </c>
      <c r="G596" t="s">
        <v>1915</v>
      </c>
      <c r="H596" t="s">
        <v>43</v>
      </c>
      <c r="J596">
        <v>3117.73</v>
      </c>
      <c r="K596">
        <v>3101.33</v>
      </c>
      <c r="L596">
        <v>3101.3311710900002</v>
      </c>
      <c r="Q596" t="s">
        <v>1912</v>
      </c>
      <c r="U596">
        <v>2.2841741833449999E-2</v>
      </c>
      <c r="V596" t="s">
        <v>79</v>
      </c>
      <c r="W596" t="s">
        <v>36</v>
      </c>
      <c r="X596" t="s">
        <v>69</v>
      </c>
      <c r="Y596" t="s">
        <v>38</v>
      </c>
      <c r="AD596">
        <v>0</v>
      </c>
      <c r="AE596" t="b">
        <f>ISNUMBER(MATCH(G596,AUM!$C$6:$C$1451,0))</f>
        <v>1</v>
      </c>
      <c r="AF596" t="b">
        <f>ISNUMBER(MATCH(G596,AUM!$G$6:$G$240,0))</f>
        <v>0</v>
      </c>
    </row>
    <row r="597" spans="1:32" x14ac:dyDescent="0.2">
      <c r="A597" t="s">
        <v>1912</v>
      </c>
      <c r="B597" s="1">
        <v>45671</v>
      </c>
      <c r="D597" t="s">
        <v>1912</v>
      </c>
      <c r="E597" t="s">
        <v>40</v>
      </c>
      <c r="F597" t="s">
        <v>1916</v>
      </c>
      <c r="G597" t="s">
        <v>1917</v>
      </c>
      <c r="H597" t="s">
        <v>43</v>
      </c>
      <c r="I597">
        <v>4862969777.4329205</v>
      </c>
      <c r="J597">
        <v>2088.63</v>
      </c>
      <c r="K597">
        <v>2077.64</v>
      </c>
      <c r="L597">
        <v>2077.6389521599999</v>
      </c>
      <c r="M597">
        <v>10103495432756</v>
      </c>
      <c r="N597">
        <v>461</v>
      </c>
      <c r="O597" t="s">
        <v>35</v>
      </c>
      <c r="P597">
        <v>1</v>
      </c>
      <c r="R597" t="s">
        <v>1909</v>
      </c>
      <c r="S597" t="s">
        <v>1913</v>
      </c>
      <c r="W597" t="s">
        <v>36</v>
      </c>
      <c r="X597" t="s">
        <v>37</v>
      </c>
      <c r="Y597" t="s">
        <v>38</v>
      </c>
      <c r="AD597">
        <v>0</v>
      </c>
      <c r="AE597" t="b">
        <f>ISNUMBER(MATCH(G597,AUM!$C$6:$C$1451,0))</f>
        <v>0</v>
      </c>
      <c r="AF597" t="b">
        <f>ISNUMBER(MATCH(G597,AUM!$G$6:$G$240,0))</f>
        <v>1</v>
      </c>
    </row>
    <row r="598" spans="1:32" x14ac:dyDescent="0.2">
      <c r="A598" t="s">
        <v>1918</v>
      </c>
      <c r="B598" s="1">
        <v>45671</v>
      </c>
      <c r="D598" t="s">
        <v>1918</v>
      </c>
      <c r="E598" t="s">
        <v>40</v>
      </c>
      <c r="F598" t="s">
        <v>1919</v>
      </c>
      <c r="G598" t="s">
        <v>1920</v>
      </c>
      <c r="H598" t="s">
        <v>43</v>
      </c>
      <c r="J598">
        <v>6583.29</v>
      </c>
      <c r="K598">
        <v>6610.96</v>
      </c>
      <c r="L598">
        <v>6610.9574398900004</v>
      </c>
      <c r="Q598" t="s">
        <v>1921</v>
      </c>
      <c r="T598">
        <v>1.6461117701670001E-2</v>
      </c>
      <c r="V598" t="s">
        <v>854</v>
      </c>
      <c r="W598" t="s">
        <v>36</v>
      </c>
      <c r="X598" t="s">
        <v>69</v>
      </c>
      <c r="Y598" t="s">
        <v>38</v>
      </c>
      <c r="AD598">
        <v>0</v>
      </c>
      <c r="AE598" t="b">
        <f>ISNUMBER(MATCH(G598,AUM!$C$6:$C$1451,0))</f>
        <v>1</v>
      </c>
      <c r="AF598" t="b">
        <f>ISNUMBER(MATCH(G598,AUM!$G$6:$G$240,0))</f>
        <v>0</v>
      </c>
    </row>
    <row r="599" spans="1:32" x14ac:dyDescent="0.2">
      <c r="A599" t="s">
        <v>1922</v>
      </c>
      <c r="B599" s="1">
        <v>45671</v>
      </c>
      <c r="D599" t="s">
        <v>1922</v>
      </c>
      <c r="E599" t="s">
        <v>40</v>
      </c>
      <c r="F599" t="s">
        <v>1923</v>
      </c>
      <c r="G599" t="s">
        <v>1924</v>
      </c>
      <c r="H599" t="s">
        <v>43</v>
      </c>
      <c r="J599">
        <v>6042.06</v>
      </c>
      <c r="K599">
        <v>6067.45</v>
      </c>
      <c r="L599">
        <v>6067.4507672099999</v>
      </c>
      <c r="Q599" t="s">
        <v>1921</v>
      </c>
      <c r="U599">
        <v>1.2020610108280001E-2</v>
      </c>
      <c r="V599" t="s">
        <v>854</v>
      </c>
      <c r="W599" t="s">
        <v>36</v>
      </c>
      <c r="X599" t="s">
        <v>69</v>
      </c>
      <c r="Y599" t="s">
        <v>38</v>
      </c>
      <c r="AD599">
        <v>0</v>
      </c>
      <c r="AE599" t="b">
        <f>ISNUMBER(MATCH(G599,AUM!$C$6:$C$1451,0))</f>
        <v>1</v>
      </c>
      <c r="AF599" t="b">
        <f>ISNUMBER(MATCH(G599,AUM!$G$6:$G$240,0))</f>
        <v>0</v>
      </c>
    </row>
    <row r="600" spans="1:32" x14ac:dyDescent="0.2">
      <c r="A600" t="s">
        <v>1921</v>
      </c>
      <c r="B600" s="1">
        <v>45671</v>
      </c>
      <c r="D600" t="s">
        <v>1921</v>
      </c>
      <c r="E600" t="s">
        <v>40</v>
      </c>
      <c r="F600" t="s">
        <v>1925</v>
      </c>
      <c r="G600" t="s">
        <v>1926</v>
      </c>
      <c r="H600" t="s">
        <v>43</v>
      </c>
      <c r="I600">
        <v>14875119294.113701</v>
      </c>
      <c r="J600">
        <v>4620.66</v>
      </c>
      <c r="K600">
        <v>4640.07</v>
      </c>
      <c r="L600">
        <v>4640.0743376199998</v>
      </c>
      <c r="M600">
        <v>69021659305683</v>
      </c>
      <c r="N600">
        <v>1602</v>
      </c>
      <c r="O600" t="s">
        <v>35</v>
      </c>
      <c r="P600">
        <v>1</v>
      </c>
      <c r="R600" t="s">
        <v>1918</v>
      </c>
      <c r="S600" t="s">
        <v>1922</v>
      </c>
      <c r="W600" t="s">
        <v>36</v>
      </c>
      <c r="X600" t="s">
        <v>37</v>
      </c>
      <c r="Y600" t="s">
        <v>38</v>
      </c>
      <c r="AD600">
        <v>0</v>
      </c>
      <c r="AE600" t="b">
        <f>ISNUMBER(MATCH(G600,AUM!$C$6:$C$1451,0))</f>
        <v>0</v>
      </c>
      <c r="AF600" t="b">
        <f>ISNUMBER(MATCH(G600,AUM!$G$6:$G$240,0))</f>
        <v>1</v>
      </c>
    </row>
    <row r="601" spans="1:32" x14ac:dyDescent="0.2">
      <c r="A601" t="s">
        <v>1927</v>
      </c>
      <c r="B601" s="1">
        <v>45671</v>
      </c>
      <c r="D601" t="s">
        <v>1927</v>
      </c>
      <c r="E601" t="s">
        <v>40</v>
      </c>
      <c r="F601" t="s">
        <v>1928</v>
      </c>
      <c r="G601" t="s">
        <v>1929</v>
      </c>
      <c r="H601" t="s">
        <v>43</v>
      </c>
      <c r="I601">
        <v>1</v>
      </c>
      <c r="J601">
        <v>618.99</v>
      </c>
      <c r="K601">
        <v>604.11</v>
      </c>
      <c r="L601">
        <v>604.11</v>
      </c>
      <c r="M601">
        <v>604.11</v>
      </c>
      <c r="N601">
        <v>1</v>
      </c>
      <c r="O601" t="s">
        <v>88</v>
      </c>
      <c r="P601">
        <v>1</v>
      </c>
      <c r="W601" t="s">
        <v>36</v>
      </c>
      <c r="X601" t="s">
        <v>37</v>
      </c>
      <c r="Y601" t="s">
        <v>38</v>
      </c>
      <c r="AD601">
        <v>0</v>
      </c>
      <c r="AE601" t="b">
        <f>ISNUMBER(MATCH(G601,AUM!$C$6:$C$1451,0))</f>
        <v>0</v>
      </c>
      <c r="AF601" t="b">
        <f>ISNUMBER(MATCH(G601,AUM!$G$6:$G$240,0))</f>
        <v>0</v>
      </c>
    </row>
    <row r="602" spans="1:32" x14ac:dyDescent="0.2">
      <c r="A602" t="s">
        <v>1930</v>
      </c>
      <c r="B602" s="1">
        <v>45671</v>
      </c>
      <c r="D602" t="s">
        <v>1930</v>
      </c>
      <c r="E602" t="s">
        <v>40</v>
      </c>
      <c r="F602" t="s">
        <v>1931</v>
      </c>
      <c r="G602" t="s">
        <v>1932</v>
      </c>
      <c r="H602" t="s">
        <v>43</v>
      </c>
      <c r="I602">
        <v>1</v>
      </c>
      <c r="J602">
        <v>608.61</v>
      </c>
      <c r="K602">
        <v>595.51</v>
      </c>
      <c r="L602">
        <v>595.51</v>
      </c>
      <c r="M602">
        <v>595.51</v>
      </c>
      <c r="N602">
        <v>1</v>
      </c>
      <c r="O602" t="s">
        <v>88</v>
      </c>
      <c r="P602">
        <v>1</v>
      </c>
      <c r="W602" t="s">
        <v>36</v>
      </c>
      <c r="X602" t="s">
        <v>37</v>
      </c>
      <c r="Y602" t="s">
        <v>38</v>
      </c>
      <c r="AD602">
        <v>0</v>
      </c>
      <c r="AE602" t="b">
        <f>ISNUMBER(MATCH(G602,AUM!$C$6:$C$1451,0))</f>
        <v>0</v>
      </c>
      <c r="AF602" t="b">
        <f>ISNUMBER(MATCH(G602,AUM!$G$6:$G$240,0))</f>
        <v>0</v>
      </c>
    </row>
    <row r="603" spans="1:32" x14ac:dyDescent="0.2">
      <c r="A603" t="s">
        <v>1933</v>
      </c>
      <c r="B603" s="1">
        <v>45671</v>
      </c>
      <c r="D603" t="s">
        <v>1933</v>
      </c>
      <c r="E603" t="s">
        <v>40</v>
      </c>
      <c r="F603" t="s">
        <v>1934</v>
      </c>
      <c r="G603" t="s">
        <v>1935</v>
      </c>
      <c r="H603" t="s">
        <v>43</v>
      </c>
      <c r="I603">
        <v>1</v>
      </c>
      <c r="J603">
        <v>0.20399999999999999</v>
      </c>
      <c r="K603">
        <v>0.186</v>
      </c>
      <c r="L603">
        <v>0.186</v>
      </c>
      <c r="M603">
        <v>0.186</v>
      </c>
      <c r="N603">
        <v>1</v>
      </c>
      <c r="O603" t="s">
        <v>88</v>
      </c>
      <c r="P603">
        <v>1</v>
      </c>
      <c r="W603" t="s">
        <v>36</v>
      </c>
      <c r="X603" t="s">
        <v>37</v>
      </c>
      <c r="Y603" t="s">
        <v>38</v>
      </c>
      <c r="AD603">
        <v>0</v>
      </c>
      <c r="AE603" t="b">
        <f>ISNUMBER(MATCH(G603,AUM!$C$6:$C$1451,0))</f>
        <v>0</v>
      </c>
      <c r="AF603" t="b">
        <f>ISNUMBER(MATCH(G603,AUM!$G$6:$G$240,0))</f>
        <v>0</v>
      </c>
    </row>
    <row r="604" spans="1:32" x14ac:dyDescent="0.2">
      <c r="A604" t="s">
        <v>1936</v>
      </c>
      <c r="B604" s="1">
        <v>45671</v>
      </c>
      <c r="D604" t="s">
        <v>1936</v>
      </c>
      <c r="E604" t="s">
        <v>40</v>
      </c>
      <c r="F604" t="s">
        <v>1937</v>
      </c>
      <c r="G604" t="s">
        <v>1938</v>
      </c>
      <c r="H604" t="s">
        <v>43</v>
      </c>
      <c r="I604">
        <v>1</v>
      </c>
      <c r="J604">
        <v>1.0659000000000001</v>
      </c>
      <c r="K604">
        <v>1.0659000000000001</v>
      </c>
      <c r="L604">
        <v>1.0659000000000001</v>
      </c>
      <c r="M604">
        <v>1.0659000000000001</v>
      </c>
      <c r="N604">
        <v>1</v>
      </c>
      <c r="O604" t="s">
        <v>88</v>
      </c>
      <c r="P604">
        <v>1</v>
      </c>
      <c r="W604" t="s">
        <v>36</v>
      </c>
      <c r="X604" t="s">
        <v>37</v>
      </c>
      <c r="Y604" t="s">
        <v>38</v>
      </c>
      <c r="AD604">
        <v>0</v>
      </c>
      <c r="AE604" t="b">
        <f>ISNUMBER(MATCH(G604,AUM!$C$6:$C$1451,0))</f>
        <v>0</v>
      </c>
      <c r="AF604" t="b">
        <f>ISNUMBER(MATCH(G604,AUM!$G$6:$G$240,0))</f>
        <v>0</v>
      </c>
    </row>
    <row r="605" spans="1:32" x14ac:dyDescent="0.2">
      <c r="A605" t="s">
        <v>1939</v>
      </c>
      <c r="B605" s="1">
        <v>45671</v>
      </c>
      <c r="D605" t="s">
        <v>1939</v>
      </c>
      <c r="E605" t="s">
        <v>40</v>
      </c>
      <c r="F605" t="s">
        <v>1940</v>
      </c>
      <c r="G605" t="s">
        <v>1941</v>
      </c>
      <c r="H605" t="s">
        <v>43</v>
      </c>
      <c r="I605">
        <v>1</v>
      </c>
      <c r="J605">
        <v>15.33</v>
      </c>
      <c r="K605">
        <v>14.1</v>
      </c>
      <c r="L605">
        <v>14.1</v>
      </c>
      <c r="M605">
        <v>14.1</v>
      </c>
      <c r="N605">
        <v>1</v>
      </c>
      <c r="O605" t="s">
        <v>88</v>
      </c>
      <c r="P605">
        <v>1</v>
      </c>
      <c r="W605" t="s">
        <v>36</v>
      </c>
      <c r="X605" t="s">
        <v>37</v>
      </c>
      <c r="Y605" t="s">
        <v>38</v>
      </c>
      <c r="AD605">
        <v>0</v>
      </c>
      <c r="AE605" t="b">
        <f>ISNUMBER(MATCH(G605,AUM!$C$6:$C$1451,0))</f>
        <v>0</v>
      </c>
      <c r="AF605" t="b">
        <f>ISNUMBER(MATCH(G605,AUM!$G$6:$G$240,0))</f>
        <v>0</v>
      </c>
    </row>
    <row r="606" spans="1:32" x14ac:dyDescent="0.2">
      <c r="A606" t="s">
        <v>1942</v>
      </c>
      <c r="B606" s="1">
        <v>45671</v>
      </c>
      <c r="D606" t="s">
        <v>1942</v>
      </c>
      <c r="E606" t="s">
        <v>40</v>
      </c>
      <c r="F606" t="s">
        <v>1943</v>
      </c>
      <c r="G606" t="s">
        <v>1944</v>
      </c>
      <c r="H606" t="s">
        <v>43</v>
      </c>
      <c r="I606">
        <v>1</v>
      </c>
      <c r="J606">
        <v>0.2442</v>
      </c>
      <c r="K606">
        <v>0.222</v>
      </c>
      <c r="L606">
        <v>0.222</v>
      </c>
      <c r="M606">
        <v>0.222</v>
      </c>
      <c r="N606">
        <v>1</v>
      </c>
      <c r="O606" t="s">
        <v>88</v>
      </c>
      <c r="P606">
        <v>1</v>
      </c>
      <c r="W606" t="s">
        <v>36</v>
      </c>
      <c r="X606" t="s">
        <v>37</v>
      </c>
      <c r="Y606" t="s">
        <v>38</v>
      </c>
      <c r="AD606">
        <v>0</v>
      </c>
      <c r="AE606" t="b">
        <f>ISNUMBER(MATCH(G606,AUM!$C$6:$C$1451,0))</f>
        <v>0</v>
      </c>
      <c r="AF606" t="b">
        <f>ISNUMBER(MATCH(G606,AUM!$G$6:$G$240,0))</f>
        <v>0</v>
      </c>
    </row>
    <row r="607" spans="1:32" x14ac:dyDescent="0.2">
      <c r="A607" t="s">
        <v>1945</v>
      </c>
      <c r="B607" s="1">
        <v>45671</v>
      </c>
      <c r="D607" t="s">
        <v>1945</v>
      </c>
      <c r="E607" t="s">
        <v>40</v>
      </c>
      <c r="F607" t="s">
        <v>1946</v>
      </c>
      <c r="G607" t="s">
        <v>1947</v>
      </c>
      <c r="H607" t="s">
        <v>43</v>
      </c>
      <c r="I607">
        <v>1</v>
      </c>
      <c r="J607">
        <v>0.25469999999999998</v>
      </c>
      <c r="K607">
        <v>0.23519999999999999</v>
      </c>
      <c r="L607">
        <v>0.23519999999999999</v>
      </c>
      <c r="M607">
        <v>0.23519999999999999</v>
      </c>
      <c r="N607">
        <v>1</v>
      </c>
      <c r="O607" t="s">
        <v>88</v>
      </c>
      <c r="P607">
        <v>1</v>
      </c>
      <c r="W607" t="s">
        <v>36</v>
      </c>
      <c r="X607" t="s">
        <v>37</v>
      </c>
      <c r="Y607" t="s">
        <v>38</v>
      </c>
      <c r="AD607">
        <v>0</v>
      </c>
      <c r="AE607" t="b">
        <f>ISNUMBER(MATCH(G607,AUM!$C$6:$C$1451,0))</f>
        <v>0</v>
      </c>
      <c r="AF607" t="b">
        <f>ISNUMBER(MATCH(G607,AUM!$G$6:$G$240,0))</f>
        <v>0</v>
      </c>
    </row>
    <row r="608" spans="1:32" x14ac:dyDescent="0.2">
      <c r="A608" t="s">
        <v>1948</v>
      </c>
      <c r="B608" s="1">
        <v>45671</v>
      </c>
      <c r="D608" t="s">
        <v>1948</v>
      </c>
      <c r="E608" t="s">
        <v>40</v>
      </c>
      <c r="F608" t="s">
        <v>1949</v>
      </c>
      <c r="G608" t="s">
        <v>1950</v>
      </c>
      <c r="H608" t="s">
        <v>43</v>
      </c>
      <c r="I608">
        <v>1</v>
      </c>
      <c r="J608">
        <v>0.18770000000000001</v>
      </c>
      <c r="K608">
        <v>0.17549999999999999</v>
      </c>
      <c r="L608">
        <v>0.17549999999999999</v>
      </c>
      <c r="M608">
        <v>0.17549999999999999</v>
      </c>
      <c r="N608">
        <v>1</v>
      </c>
      <c r="O608" t="s">
        <v>88</v>
      </c>
      <c r="P608">
        <v>1</v>
      </c>
      <c r="W608" t="s">
        <v>36</v>
      </c>
      <c r="X608" t="s">
        <v>37</v>
      </c>
      <c r="Y608" t="s">
        <v>38</v>
      </c>
      <c r="AD608">
        <v>0</v>
      </c>
      <c r="AE608" t="b">
        <f>ISNUMBER(MATCH(G608,AUM!$C$6:$C$1451,0))</f>
        <v>0</v>
      </c>
      <c r="AF608" t="b">
        <f>ISNUMBER(MATCH(G608,AUM!$G$6:$G$240,0))</f>
        <v>0</v>
      </c>
    </row>
    <row r="609" spans="1:32" x14ac:dyDescent="0.2">
      <c r="A609" t="s">
        <v>1951</v>
      </c>
      <c r="B609" s="1">
        <v>45671</v>
      </c>
      <c r="D609" t="s">
        <v>1951</v>
      </c>
      <c r="E609" t="s">
        <v>40</v>
      </c>
      <c r="F609" t="s">
        <v>1952</v>
      </c>
      <c r="G609" t="s">
        <v>1953</v>
      </c>
      <c r="H609" t="s">
        <v>43</v>
      </c>
      <c r="I609">
        <v>1</v>
      </c>
      <c r="J609">
        <v>0.59750000000000003</v>
      </c>
      <c r="K609">
        <v>0.54800000000000004</v>
      </c>
      <c r="L609">
        <v>0.54800000000000004</v>
      </c>
      <c r="M609">
        <v>0.54800000000000004</v>
      </c>
      <c r="N609">
        <v>1</v>
      </c>
      <c r="O609" t="s">
        <v>88</v>
      </c>
      <c r="P609">
        <v>1</v>
      </c>
      <c r="W609" t="s">
        <v>36</v>
      </c>
      <c r="X609" t="s">
        <v>37</v>
      </c>
      <c r="Y609" t="s">
        <v>38</v>
      </c>
      <c r="AD609">
        <v>0</v>
      </c>
      <c r="AE609" t="b">
        <f>ISNUMBER(MATCH(G609,AUM!$C$6:$C$1451,0))</f>
        <v>0</v>
      </c>
      <c r="AF609" t="b">
        <f>ISNUMBER(MATCH(G609,AUM!$G$6:$G$240,0))</f>
        <v>0</v>
      </c>
    </row>
    <row r="610" spans="1:32" x14ac:dyDescent="0.2">
      <c r="A610" t="s">
        <v>1954</v>
      </c>
      <c r="B610" s="1">
        <v>45671</v>
      </c>
      <c r="D610" t="s">
        <v>1954</v>
      </c>
      <c r="E610" t="s">
        <v>40</v>
      </c>
      <c r="F610" t="s">
        <v>1955</v>
      </c>
      <c r="G610" t="s">
        <v>1956</v>
      </c>
      <c r="H610" t="s">
        <v>43</v>
      </c>
      <c r="I610">
        <v>1</v>
      </c>
      <c r="J610">
        <v>1477.5324000000001</v>
      </c>
      <c r="K610">
        <v>1333.7607</v>
      </c>
      <c r="L610">
        <v>1333.7607</v>
      </c>
      <c r="M610">
        <v>1333.7607</v>
      </c>
      <c r="N610">
        <v>1</v>
      </c>
      <c r="O610" t="s">
        <v>88</v>
      </c>
      <c r="P610">
        <v>1</v>
      </c>
      <c r="W610" t="s">
        <v>36</v>
      </c>
      <c r="X610" t="s">
        <v>37</v>
      </c>
      <c r="Y610" t="s">
        <v>38</v>
      </c>
      <c r="AD610">
        <v>0</v>
      </c>
      <c r="AE610" t="b">
        <f>ISNUMBER(MATCH(G610,AUM!$C$6:$C$1451,0))</f>
        <v>0</v>
      </c>
      <c r="AF610" t="b">
        <f>ISNUMBER(MATCH(G610,AUM!$G$6:$G$240,0))</f>
        <v>0</v>
      </c>
    </row>
    <row r="611" spans="1:32" x14ac:dyDescent="0.2">
      <c r="A611" t="s">
        <v>1957</v>
      </c>
      <c r="B611" s="1">
        <v>45671</v>
      </c>
      <c r="D611" t="s">
        <v>1957</v>
      </c>
      <c r="E611" t="s">
        <v>40</v>
      </c>
      <c r="F611" t="s">
        <v>1958</v>
      </c>
      <c r="G611" t="s">
        <v>1959</v>
      </c>
      <c r="H611" t="s">
        <v>43</v>
      </c>
      <c r="I611">
        <v>1</v>
      </c>
      <c r="J611">
        <v>0.83599999999999997</v>
      </c>
      <c r="K611">
        <v>0.78910000000000002</v>
      </c>
      <c r="L611">
        <v>0.78910000000000002</v>
      </c>
      <c r="M611">
        <v>0.78910000000000002</v>
      </c>
      <c r="N611">
        <v>1</v>
      </c>
      <c r="O611" t="s">
        <v>88</v>
      </c>
      <c r="P611">
        <v>1</v>
      </c>
      <c r="W611" t="s">
        <v>36</v>
      </c>
      <c r="X611" t="s">
        <v>37</v>
      </c>
      <c r="Y611" t="s">
        <v>38</v>
      </c>
      <c r="AD611">
        <v>0</v>
      </c>
      <c r="AE611" t="b">
        <f>ISNUMBER(MATCH(G611,AUM!$C$6:$C$1451,0))</f>
        <v>0</v>
      </c>
      <c r="AF611" t="b">
        <f>ISNUMBER(MATCH(G611,AUM!$G$6:$G$240,0))</f>
        <v>0</v>
      </c>
    </row>
    <row r="612" spans="1:32" x14ac:dyDescent="0.2">
      <c r="A612" t="s">
        <v>1960</v>
      </c>
      <c r="B612" s="1">
        <v>45671</v>
      </c>
      <c r="D612" t="s">
        <v>1960</v>
      </c>
      <c r="E612" t="s">
        <v>40</v>
      </c>
      <c r="F612" t="s">
        <v>1961</v>
      </c>
      <c r="G612" t="s">
        <v>1962</v>
      </c>
      <c r="H612" t="s">
        <v>43</v>
      </c>
      <c r="I612">
        <v>1</v>
      </c>
      <c r="J612">
        <v>1.29</v>
      </c>
      <c r="K612">
        <v>1.2210000000000001</v>
      </c>
      <c r="L612">
        <v>1.2210000000000001</v>
      </c>
      <c r="M612">
        <v>1.2210000000000001</v>
      </c>
      <c r="N612">
        <v>1</v>
      </c>
      <c r="O612" t="s">
        <v>88</v>
      </c>
      <c r="P612">
        <v>1</v>
      </c>
      <c r="W612" t="s">
        <v>36</v>
      </c>
      <c r="X612" t="s">
        <v>37</v>
      </c>
      <c r="Y612" t="s">
        <v>38</v>
      </c>
      <c r="AD612">
        <v>0</v>
      </c>
      <c r="AE612" t="b">
        <f>ISNUMBER(MATCH(G612,AUM!$C$6:$C$1451,0))</f>
        <v>0</v>
      </c>
      <c r="AF612" t="b">
        <f>ISNUMBER(MATCH(G612,AUM!$G$6:$G$240,0))</f>
        <v>0</v>
      </c>
    </row>
    <row r="613" spans="1:32" x14ac:dyDescent="0.2">
      <c r="A613" t="s">
        <v>1963</v>
      </c>
      <c r="B613" s="1">
        <v>45671</v>
      </c>
      <c r="D613" t="s">
        <v>1963</v>
      </c>
      <c r="E613" t="s">
        <v>40</v>
      </c>
      <c r="F613" t="s">
        <v>1964</v>
      </c>
      <c r="G613" t="s">
        <v>1965</v>
      </c>
      <c r="H613" t="s">
        <v>43</v>
      </c>
      <c r="I613">
        <v>1</v>
      </c>
      <c r="J613">
        <v>0.50390000000000001</v>
      </c>
      <c r="K613">
        <v>0.47189999999999999</v>
      </c>
      <c r="L613">
        <v>0.47189999999999999</v>
      </c>
      <c r="M613">
        <v>0.47189999999999999</v>
      </c>
      <c r="N613">
        <v>1</v>
      </c>
      <c r="O613" t="s">
        <v>88</v>
      </c>
      <c r="P613">
        <v>1</v>
      </c>
      <c r="W613" t="s">
        <v>36</v>
      </c>
      <c r="X613" t="s">
        <v>37</v>
      </c>
      <c r="Y613" t="s">
        <v>38</v>
      </c>
      <c r="AD613">
        <v>0</v>
      </c>
      <c r="AE613" t="b">
        <f>ISNUMBER(MATCH(G613,AUM!$C$6:$C$1451,0))</f>
        <v>0</v>
      </c>
      <c r="AF613" t="b">
        <f>ISNUMBER(MATCH(G613,AUM!$G$6:$G$240,0))</f>
        <v>0</v>
      </c>
    </row>
    <row r="614" spans="1:32" x14ac:dyDescent="0.2">
      <c r="A614" t="s">
        <v>1966</v>
      </c>
      <c r="B614" s="1">
        <v>45671</v>
      </c>
      <c r="D614" t="s">
        <v>1966</v>
      </c>
      <c r="E614" t="s">
        <v>40</v>
      </c>
      <c r="F614" t="s">
        <v>1967</v>
      </c>
      <c r="G614" t="s">
        <v>1968</v>
      </c>
      <c r="H614" t="s">
        <v>43</v>
      </c>
      <c r="I614">
        <v>1</v>
      </c>
      <c r="J614">
        <v>286.61</v>
      </c>
      <c r="K614">
        <v>279.93</v>
      </c>
      <c r="L614">
        <v>279.93</v>
      </c>
      <c r="M614">
        <v>279.93</v>
      </c>
      <c r="N614">
        <v>1</v>
      </c>
      <c r="O614" t="s">
        <v>88</v>
      </c>
      <c r="P614">
        <v>1</v>
      </c>
      <c r="W614" t="s">
        <v>36</v>
      </c>
      <c r="X614" t="s">
        <v>37</v>
      </c>
      <c r="Y614" t="s">
        <v>38</v>
      </c>
      <c r="AD614">
        <v>0</v>
      </c>
      <c r="AE614" t="b">
        <f>ISNUMBER(MATCH(G614,AUM!$C$6:$C$1451,0))</f>
        <v>0</v>
      </c>
      <c r="AF614" t="b">
        <f>ISNUMBER(MATCH(G614,AUM!$G$6:$G$240,0))</f>
        <v>0</v>
      </c>
    </row>
    <row r="615" spans="1:32" x14ac:dyDescent="0.2">
      <c r="A615" t="s">
        <v>1969</v>
      </c>
      <c r="B615" s="1">
        <v>45671</v>
      </c>
      <c r="D615" t="s">
        <v>1969</v>
      </c>
      <c r="E615" t="s">
        <v>40</v>
      </c>
      <c r="F615" t="s">
        <v>1970</v>
      </c>
      <c r="G615" t="s">
        <v>1971</v>
      </c>
      <c r="H615" t="s">
        <v>43</v>
      </c>
      <c r="I615">
        <v>1</v>
      </c>
      <c r="J615">
        <v>6.6340000000000003</v>
      </c>
      <c r="K615">
        <v>6.234</v>
      </c>
      <c r="L615">
        <v>6.234</v>
      </c>
      <c r="M615">
        <v>6.234</v>
      </c>
      <c r="N615">
        <v>1</v>
      </c>
      <c r="O615" t="s">
        <v>88</v>
      </c>
      <c r="P615">
        <v>1</v>
      </c>
      <c r="W615" t="s">
        <v>36</v>
      </c>
      <c r="X615" t="s">
        <v>37</v>
      </c>
      <c r="Y615" t="s">
        <v>38</v>
      </c>
      <c r="AD615">
        <v>0</v>
      </c>
      <c r="AE615" t="b">
        <f>ISNUMBER(MATCH(G615,AUM!$C$6:$C$1451,0))</f>
        <v>0</v>
      </c>
      <c r="AF615" t="b">
        <f>ISNUMBER(MATCH(G615,AUM!$G$6:$G$240,0))</f>
        <v>0</v>
      </c>
    </row>
    <row r="616" spans="1:32" x14ac:dyDescent="0.2">
      <c r="A616" t="s">
        <v>1972</v>
      </c>
      <c r="B616" s="1">
        <v>45671</v>
      </c>
      <c r="D616" t="s">
        <v>1972</v>
      </c>
      <c r="E616" t="s">
        <v>40</v>
      </c>
      <c r="F616" t="s">
        <v>1973</v>
      </c>
      <c r="G616" t="s">
        <v>1974</v>
      </c>
      <c r="H616" t="s">
        <v>43</v>
      </c>
      <c r="I616">
        <v>1</v>
      </c>
      <c r="J616">
        <v>0.80510000000000004</v>
      </c>
      <c r="K616">
        <v>0.75549999999999995</v>
      </c>
      <c r="L616">
        <v>0.75549999999999995</v>
      </c>
      <c r="M616">
        <v>0.75549999999999995</v>
      </c>
      <c r="N616">
        <v>1</v>
      </c>
      <c r="O616" t="s">
        <v>88</v>
      </c>
      <c r="P616">
        <v>1</v>
      </c>
      <c r="W616" t="s">
        <v>36</v>
      </c>
      <c r="X616" t="s">
        <v>37</v>
      </c>
      <c r="Y616" t="s">
        <v>38</v>
      </c>
      <c r="AD616">
        <v>0</v>
      </c>
      <c r="AE616" t="b">
        <f>ISNUMBER(MATCH(G616,AUM!$C$6:$C$1451,0))</f>
        <v>0</v>
      </c>
      <c r="AF616" t="b">
        <f>ISNUMBER(MATCH(G616,AUM!$G$6:$G$240,0))</f>
        <v>0</v>
      </c>
    </row>
    <row r="617" spans="1:32" x14ac:dyDescent="0.2">
      <c r="A617" t="s">
        <v>1975</v>
      </c>
      <c r="B617" s="1">
        <v>45671</v>
      </c>
      <c r="D617" t="s">
        <v>1975</v>
      </c>
      <c r="E617" t="s">
        <v>40</v>
      </c>
      <c r="F617" t="s">
        <v>1976</v>
      </c>
      <c r="G617" t="s">
        <v>1977</v>
      </c>
      <c r="H617" t="s">
        <v>43</v>
      </c>
      <c r="I617">
        <v>1</v>
      </c>
      <c r="J617">
        <v>0.71009999999999995</v>
      </c>
      <c r="K617">
        <v>0.65269999999999995</v>
      </c>
      <c r="L617">
        <v>0.65269999999999995</v>
      </c>
      <c r="M617">
        <v>0.65269999999999995</v>
      </c>
      <c r="N617">
        <v>1</v>
      </c>
      <c r="O617" t="s">
        <v>88</v>
      </c>
      <c r="P617">
        <v>1</v>
      </c>
      <c r="W617" t="s">
        <v>36</v>
      </c>
      <c r="X617" t="s">
        <v>37</v>
      </c>
      <c r="Y617" t="s">
        <v>38</v>
      </c>
      <c r="AD617">
        <v>0</v>
      </c>
      <c r="AE617" t="b">
        <f>ISNUMBER(MATCH(G617,AUM!$C$6:$C$1451,0))</f>
        <v>0</v>
      </c>
      <c r="AF617" t="b">
        <f>ISNUMBER(MATCH(G617,AUM!$G$6:$G$240,0))</f>
        <v>0</v>
      </c>
    </row>
    <row r="618" spans="1:32" x14ac:dyDescent="0.2">
      <c r="A618" t="s">
        <v>1978</v>
      </c>
      <c r="B618" s="1">
        <v>45671</v>
      </c>
      <c r="D618" t="s">
        <v>1978</v>
      </c>
      <c r="E618" t="s">
        <v>40</v>
      </c>
      <c r="F618" t="s">
        <v>1979</v>
      </c>
      <c r="G618" t="s">
        <v>1980</v>
      </c>
      <c r="H618" t="s">
        <v>43</v>
      </c>
      <c r="I618">
        <v>1</v>
      </c>
      <c r="J618">
        <v>0.378</v>
      </c>
      <c r="K618">
        <v>0.3468</v>
      </c>
      <c r="L618">
        <v>0.3468</v>
      </c>
      <c r="M618">
        <v>0.3468</v>
      </c>
      <c r="N618">
        <v>1</v>
      </c>
      <c r="O618" t="s">
        <v>88</v>
      </c>
      <c r="P618">
        <v>1</v>
      </c>
      <c r="W618" t="s">
        <v>36</v>
      </c>
      <c r="X618" t="s">
        <v>37</v>
      </c>
      <c r="Y618" t="s">
        <v>38</v>
      </c>
      <c r="AD618">
        <v>0</v>
      </c>
      <c r="AE618" t="b">
        <f>ISNUMBER(MATCH(G618,AUM!$C$6:$C$1451,0))</f>
        <v>0</v>
      </c>
      <c r="AF618" t="b">
        <f>ISNUMBER(MATCH(G618,AUM!$G$6:$G$240,0))</f>
        <v>0</v>
      </c>
    </row>
    <row r="619" spans="1:32" x14ac:dyDescent="0.2">
      <c r="A619" t="s">
        <v>1981</v>
      </c>
      <c r="B619" s="1">
        <v>45671</v>
      </c>
      <c r="D619" t="s">
        <v>1981</v>
      </c>
      <c r="E619" t="s">
        <v>40</v>
      </c>
      <c r="F619" t="s">
        <v>1982</v>
      </c>
      <c r="G619" t="s">
        <v>1983</v>
      </c>
      <c r="H619" t="s">
        <v>43</v>
      </c>
      <c r="I619">
        <v>1</v>
      </c>
      <c r="J619">
        <v>10.391</v>
      </c>
      <c r="K619">
        <v>9.7170000000000005</v>
      </c>
      <c r="L619">
        <v>9.7170000000000005</v>
      </c>
      <c r="M619">
        <v>9.7170000000000005</v>
      </c>
      <c r="N619">
        <v>1</v>
      </c>
      <c r="O619" t="s">
        <v>88</v>
      </c>
      <c r="P619">
        <v>1</v>
      </c>
      <c r="W619" t="s">
        <v>36</v>
      </c>
      <c r="X619" t="s">
        <v>37</v>
      </c>
      <c r="Y619" t="s">
        <v>38</v>
      </c>
      <c r="AD619">
        <v>0</v>
      </c>
      <c r="AE619" t="b">
        <f>ISNUMBER(MATCH(G619,AUM!$C$6:$C$1451,0))</f>
        <v>0</v>
      </c>
      <c r="AF619" t="b">
        <f>ISNUMBER(MATCH(G619,AUM!$G$6:$G$240,0))</f>
        <v>0</v>
      </c>
    </row>
    <row r="620" spans="1:32" x14ac:dyDescent="0.2">
      <c r="A620" t="s">
        <v>1984</v>
      </c>
      <c r="B620" s="1">
        <v>45671</v>
      </c>
      <c r="D620" t="s">
        <v>1984</v>
      </c>
      <c r="E620" t="s">
        <v>40</v>
      </c>
      <c r="F620" t="s">
        <v>1985</v>
      </c>
      <c r="G620" t="s">
        <v>1986</v>
      </c>
      <c r="H620" t="s">
        <v>43</v>
      </c>
      <c r="I620">
        <v>1</v>
      </c>
      <c r="J620">
        <v>5.0853999999999999</v>
      </c>
      <c r="K620">
        <v>4.6840999999999999</v>
      </c>
      <c r="L620">
        <v>4.6840999999999999</v>
      </c>
      <c r="M620">
        <v>4.6840999999999999</v>
      </c>
      <c r="N620">
        <v>1</v>
      </c>
      <c r="O620" t="s">
        <v>88</v>
      </c>
      <c r="P620">
        <v>1</v>
      </c>
      <c r="W620" t="s">
        <v>36</v>
      </c>
      <c r="X620" t="s">
        <v>37</v>
      </c>
      <c r="Y620" t="s">
        <v>38</v>
      </c>
      <c r="AD620">
        <v>0</v>
      </c>
      <c r="AE620" t="b">
        <f>ISNUMBER(MATCH(G620,AUM!$C$6:$C$1451,0))</f>
        <v>0</v>
      </c>
      <c r="AF620" t="b">
        <f>ISNUMBER(MATCH(G620,AUM!$G$6:$G$240,0))</f>
        <v>0</v>
      </c>
    </row>
    <row r="621" spans="1:32" x14ac:dyDescent="0.2">
      <c r="A621" t="s">
        <v>1987</v>
      </c>
      <c r="B621" s="1">
        <v>45671</v>
      </c>
      <c r="D621" t="s">
        <v>1987</v>
      </c>
      <c r="E621" t="s">
        <v>40</v>
      </c>
      <c r="F621" t="s">
        <v>1988</v>
      </c>
      <c r="G621" t="s">
        <v>1989</v>
      </c>
      <c r="H621" t="s">
        <v>43</v>
      </c>
      <c r="I621">
        <v>1</v>
      </c>
      <c r="J621">
        <v>1.6259999999999999</v>
      </c>
      <c r="K621">
        <v>1.6379999999999999</v>
      </c>
      <c r="L621">
        <v>1.6379999999999999</v>
      </c>
      <c r="M621">
        <v>1.6379999999999999</v>
      </c>
      <c r="N621">
        <v>1</v>
      </c>
      <c r="O621" t="s">
        <v>88</v>
      </c>
      <c r="P621">
        <v>1</v>
      </c>
      <c r="W621" t="s">
        <v>36</v>
      </c>
      <c r="X621" t="s">
        <v>37</v>
      </c>
      <c r="Y621" t="s">
        <v>38</v>
      </c>
      <c r="AD621">
        <v>0</v>
      </c>
      <c r="AE621" t="b">
        <f>ISNUMBER(MATCH(G621,AUM!$C$6:$C$1451,0))</f>
        <v>0</v>
      </c>
      <c r="AF621" t="b">
        <f>ISNUMBER(MATCH(G621,AUM!$G$6:$G$240,0))</f>
        <v>0</v>
      </c>
    </row>
    <row r="622" spans="1:32" x14ac:dyDescent="0.2">
      <c r="A622" t="s">
        <v>1990</v>
      </c>
      <c r="B622" s="1">
        <v>45671</v>
      </c>
      <c r="D622" t="s">
        <v>1990</v>
      </c>
      <c r="E622" t="s">
        <v>40</v>
      </c>
      <c r="F622" t="s">
        <v>1991</v>
      </c>
      <c r="G622" t="s">
        <v>1992</v>
      </c>
      <c r="H622" t="s">
        <v>43</v>
      </c>
      <c r="I622">
        <v>1</v>
      </c>
      <c r="J622">
        <v>5.2030000000000003</v>
      </c>
      <c r="K622">
        <v>4.907</v>
      </c>
      <c r="L622">
        <v>4.907</v>
      </c>
      <c r="M622">
        <v>4.907</v>
      </c>
      <c r="N622">
        <v>1</v>
      </c>
      <c r="O622" t="s">
        <v>88</v>
      </c>
      <c r="P622">
        <v>1</v>
      </c>
      <c r="W622" t="s">
        <v>36</v>
      </c>
      <c r="X622" t="s">
        <v>37</v>
      </c>
      <c r="Y622" t="s">
        <v>38</v>
      </c>
      <c r="AD622">
        <v>0</v>
      </c>
      <c r="AE622" t="b">
        <f>ISNUMBER(MATCH(G622,AUM!$C$6:$C$1451,0))</f>
        <v>0</v>
      </c>
      <c r="AF622" t="b">
        <f>ISNUMBER(MATCH(G622,AUM!$G$6:$G$240,0))</f>
        <v>0</v>
      </c>
    </row>
    <row r="623" spans="1:32" x14ac:dyDescent="0.2">
      <c r="A623" t="s">
        <v>1993</v>
      </c>
      <c r="B623" s="1">
        <v>45671</v>
      </c>
      <c r="D623" t="s">
        <v>1993</v>
      </c>
      <c r="E623" t="s">
        <v>40</v>
      </c>
      <c r="F623" t="s">
        <v>1994</v>
      </c>
      <c r="G623" t="s">
        <v>1995</v>
      </c>
      <c r="H623" t="s">
        <v>43</v>
      </c>
      <c r="I623">
        <v>1</v>
      </c>
      <c r="J623">
        <v>447.46</v>
      </c>
      <c r="K623">
        <v>420.58550000000002</v>
      </c>
      <c r="L623">
        <v>420.58550000000002</v>
      </c>
      <c r="M623">
        <v>420.58550000000002</v>
      </c>
      <c r="N623">
        <v>1</v>
      </c>
      <c r="O623" t="s">
        <v>88</v>
      </c>
      <c r="P623">
        <v>1</v>
      </c>
      <c r="W623" t="s">
        <v>36</v>
      </c>
      <c r="X623" t="s">
        <v>37</v>
      </c>
      <c r="Y623" t="s">
        <v>38</v>
      </c>
      <c r="AD623">
        <v>0</v>
      </c>
      <c r="AE623" t="b">
        <f>ISNUMBER(MATCH(G623,AUM!$C$6:$C$1451,0))</f>
        <v>0</v>
      </c>
      <c r="AF623" t="b">
        <f>ISNUMBER(MATCH(G623,AUM!$G$6:$G$240,0))</f>
        <v>0</v>
      </c>
    </row>
    <row r="624" spans="1:32" x14ac:dyDescent="0.2">
      <c r="A624" t="s">
        <v>1996</v>
      </c>
      <c r="B624" s="1">
        <v>45671</v>
      </c>
      <c r="D624" t="s">
        <v>1996</v>
      </c>
      <c r="E624" t="s">
        <v>40</v>
      </c>
      <c r="F624" t="s">
        <v>1997</v>
      </c>
      <c r="G624" t="s">
        <v>1998</v>
      </c>
      <c r="H624" t="s">
        <v>43</v>
      </c>
      <c r="I624">
        <v>1</v>
      </c>
      <c r="J624">
        <v>0.41949999999999998</v>
      </c>
      <c r="K624">
        <v>0.41789999999999999</v>
      </c>
      <c r="L624">
        <v>0.41789999999999999</v>
      </c>
      <c r="M624">
        <v>0.41789999999999999</v>
      </c>
      <c r="N624">
        <v>1</v>
      </c>
      <c r="O624" t="s">
        <v>88</v>
      </c>
      <c r="P624">
        <v>1</v>
      </c>
      <c r="W624" t="s">
        <v>36</v>
      </c>
      <c r="X624" t="s">
        <v>37</v>
      </c>
      <c r="Y624" t="s">
        <v>38</v>
      </c>
      <c r="AD624">
        <v>0</v>
      </c>
      <c r="AE624" t="b">
        <f>ISNUMBER(MATCH(G624,AUM!$C$6:$C$1451,0))</f>
        <v>0</v>
      </c>
      <c r="AF624" t="b">
        <f>ISNUMBER(MATCH(G624,AUM!$G$6:$G$240,0))</f>
        <v>0</v>
      </c>
    </row>
    <row r="625" spans="1:32" x14ac:dyDescent="0.2">
      <c r="A625" t="s">
        <v>1999</v>
      </c>
      <c r="B625" s="1">
        <v>45671</v>
      </c>
      <c r="D625" t="s">
        <v>1999</v>
      </c>
      <c r="E625" t="s">
        <v>40</v>
      </c>
      <c r="F625" t="s">
        <v>2000</v>
      </c>
      <c r="G625" t="s">
        <v>2001</v>
      </c>
      <c r="H625" t="s">
        <v>43</v>
      </c>
      <c r="I625">
        <v>1</v>
      </c>
      <c r="J625">
        <v>13.864000000000001</v>
      </c>
      <c r="K625">
        <v>12.771000000000001</v>
      </c>
      <c r="L625">
        <v>12.771000000000001</v>
      </c>
      <c r="M625">
        <v>12.771000000000001</v>
      </c>
      <c r="N625">
        <v>1</v>
      </c>
      <c r="O625" t="s">
        <v>88</v>
      </c>
      <c r="P625">
        <v>1</v>
      </c>
      <c r="W625" t="s">
        <v>36</v>
      </c>
      <c r="X625" t="s">
        <v>37</v>
      </c>
      <c r="Y625" t="s">
        <v>38</v>
      </c>
      <c r="AD625">
        <v>0</v>
      </c>
      <c r="AE625" t="b">
        <f>ISNUMBER(MATCH(G625,AUM!$C$6:$C$1451,0))</f>
        <v>0</v>
      </c>
      <c r="AF625" t="b">
        <f>ISNUMBER(MATCH(G625,AUM!$G$6:$G$240,0))</f>
        <v>0</v>
      </c>
    </row>
    <row r="626" spans="1:32" x14ac:dyDescent="0.2">
      <c r="A626" t="s">
        <v>2002</v>
      </c>
      <c r="B626" s="1">
        <v>45671</v>
      </c>
      <c r="D626" t="s">
        <v>2002</v>
      </c>
      <c r="E626" t="s">
        <v>40</v>
      </c>
      <c r="F626" t="s">
        <v>2003</v>
      </c>
      <c r="G626" t="s">
        <v>2004</v>
      </c>
      <c r="H626" t="s">
        <v>43</v>
      </c>
      <c r="I626">
        <v>1</v>
      </c>
      <c r="J626">
        <v>20.354600000000001</v>
      </c>
      <c r="K626">
        <v>19.111999999999998</v>
      </c>
      <c r="L626">
        <v>19.111999999999998</v>
      </c>
      <c r="M626">
        <v>19.111999999999998</v>
      </c>
      <c r="N626">
        <v>1</v>
      </c>
      <c r="O626" t="s">
        <v>88</v>
      </c>
      <c r="P626">
        <v>1</v>
      </c>
      <c r="W626" t="s">
        <v>36</v>
      </c>
      <c r="X626" t="s">
        <v>37</v>
      </c>
      <c r="Y626" t="s">
        <v>38</v>
      </c>
      <c r="AD626">
        <v>0</v>
      </c>
      <c r="AE626" t="b">
        <f>ISNUMBER(MATCH(G626,AUM!$C$6:$C$1451,0))</f>
        <v>0</v>
      </c>
      <c r="AF626" t="b">
        <f>ISNUMBER(MATCH(G626,AUM!$G$6:$G$240,0))</f>
        <v>0</v>
      </c>
    </row>
    <row r="627" spans="1:32" x14ac:dyDescent="0.2">
      <c r="A627" t="s">
        <v>2005</v>
      </c>
      <c r="B627" s="1">
        <v>45671</v>
      </c>
      <c r="D627" t="s">
        <v>2005</v>
      </c>
      <c r="E627" t="s">
        <v>40</v>
      </c>
      <c r="F627" t="s">
        <v>2006</v>
      </c>
      <c r="G627" t="s">
        <v>2007</v>
      </c>
      <c r="H627" t="s">
        <v>43</v>
      </c>
      <c r="I627">
        <v>1</v>
      </c>
      <c r="J627">
        <v>105.6686</v>
      </c>
      <c r="K627">
        <v>97.28</v>
      </c>
      <c r="L627">
        <v>97.28</v>
      </c>
      <c r="M627">
        <v>97.28</v>
      </c>
      <c r="N627">
        <v>1</v>
      </c>
      <c r="O627" t="s">
        <v>88</v>
      </c>
      <c r="P627">
        <v>1</v>
      </c>
      <c r="W627" t="s">
        <v>36</v>
      </c>
      <c r="X627" t="s">
        <v>37</v>
      </c>
      <c r="Y627" t="s">
        <v>38</v>
      </c>
      <c r="AD627">
        <v>0</v>
      </c>
      <c r="AE627" t="b">
        <f>ISNUMBER(MATCH(G627,AUM!$C$6:$C$1451,0))</f>
        <v>0</v>
      </c>
      <c r="AF627" t="b">
        <f>ISNUMBER(MATCH(G627,AUM!$G$6:$G$240,0))</f>
        <v>0</v>
      </c>
    </row>
    <row r="628" spans="1:32" x14ac:dyDescent="0.2">
      <c r="A628" t="s">
        <v>2008</v>
      </c>
      <c r="B628" s="1">
        <v>45671</v>
      </c>
      <c r="D628" t="s">
        <v>2008</v>
      </c>
      <c r="E628" t="s">
        <v>40</v>
      </c>
      <c r="F628" t="s">
        <v>2009</v>
      </c>
      <c r="G628" t="s">
        <v>2010</v>
      </c>
      <c r="H628" t="s">
        <v>43</v>
      </c>
      <c r="I628">
        <v>1</v>
      </c>
      <c r="J628">
        <v>0.19939999999999999</v>
      </c>
      <c r="K628">
        <v>0.185</v>
      </c>
      <c r="L628">
        <v>0.185</v>
      </c>
      <c r="M628">
        <v>0.185</v>
      </c>
      <c r="N628">
        <v>1</v>
      </c>
      <c r="O628" t="s">
        <v>88</v>
      </c>
      <c r="P628">
        <v>1</v>
      </c>
      <c r="W628" t="s">
        <v>36</v>
      </c>
      <c r="X628" t="s">
        <v>37</v>
      </c>
      <c r="Y628" t="s">
        <v>38</v>
      </c>
      <c r="AD628">
        <v>0</v>
      </c>
      <c r="AE628" t="b">
        <f>ISNUMBER(MATCH(G628,AUM!$C$6:$C$1451,0))</f>
        <v>0</v>
      </c>
      <c r="AF628" t="b">
        <f>ISNUMBER(MATCH(G628,AUM!$G$6:$G$240,0))</f>
        <v>0</v>
      </c>
    </row>
    <row r="629" spans="1:32" x14ac:dyDescent="0.2">
      <c r="A629" t="s">
        <v>2011</v>
      </c>
      <c r="B629" s="1">
        <v>45671</v>
      </c>
      <c r="D629" t="s">
        <v>2011</v>
      </c>
      <c r="E629" t="s">
        <v>40</v>
      </c>
      <c r="F629" t="s">
        <v>2012</v>
      </c>
      <c r="G629" t="s">
        <v>2013</v>
      </c>
      <c r="H629" t="s">
        <v>43</v>
      </c>
      <c r="I629">
        <v>1</v>
      </c>
      <c r="J629">
        <v>1.0455000000000001</v>
      </c>
      <c r="K629">
        <v>1.0455000000000001</v>
      </c>
      <c r="L629">
        <v>1.0455000000000001</v>
      </c>
      <c r="M629">
        <v>1.0455000000000001</v>
      </c>
      <c r="N629">
        <v>1</v>
      </c>
      <c r="O629" t="s">
        <v>88</v>
      </c>
      <c r="P629">
        <v>1</v>
      </c>
      <c r="W629" t="s">
        <v>36</v>
      </c>
      <c r="X629" t="s">
        <v>37</v>
      </c>
      <c r="Y629" t="s">
        <v>38</v>
      </c>
      <c r="AD629">
        <v>0</v>
      </c>
      <c r="AE629" t="b">
        <f>ISNUMBER(MATCH(G629,AUM!$C$6:$C$1451,0))</f>
        <v>0</v>
      </c>
      <c r="AF629" t="b">
        <f>ISNUMBER(MATCH(G629,AUM!$G$6:$G$240,0))</f>
        <v>0</v>
      </c>
    </row>
    <row r="630" spans="1:32" x14ac:dyDescent="0.2">
      <c r="A630" t="s">
        <v>2014</v>
      </c>
      <c r="B630" s="1">
        <v>45671</v>
      </c>
      <c r="D630" t="s">
        <v>2014</v>
      </c>
      <c r="E630" t="s">
        <v>40</v>
      </c>
      <c r="F630" t="s">
        <v>2015</v>
      </c>
      <c r="G630" t="s">
        <v>2016</v>
      </c>
      <c r="H630" t="s">
        <v>43</v>
      </c>
      <c r="I630">
        <v>1</v>
      </c>
      <c r="J630">
        <v>14.8894</v>
      </c>
      <c r="K630">
        <v>14.0464</v>
      </c>
      <c r="L630">
        <v>14.0464</v>
      </c>
      <c r="M630">
        <v>14.0464</v>
      </c>
      <c r="N630">
        <v>1</v>
      </c>
      <c r="O630" t="s">
        <v>88</v>
      </c>
      <c r="P630">
        <v>1</v>
      </c>
      <c r="W630" t="s">
        <v>36</v>
      </c>
      <c r="X630" t="s">
        <v>37</v>
      </c>
      <c r="Y630" t="s">
        <v>38</v>
      </c>
      <c r="AD630">
        <v>0</v>
      </c>
      <c r="AE630" t="b">
        <f>ISNUMBER(MATCH(G630,AUM!$C$6:$C$1451,0))</f>
        <v>0</v>
      </c>
      <c r="AF630" t="b">
        <f>ISNUMBER(MATCH(G630,AUM!$G$6:$G$240,0))</f>
        <v>0</v>
      </c>
    </row>
    <row r="631" spans="1:32" x14ac:dyDescent="0.2">
      <c r="A631" t="s">
        <v>2017</v>
      </c>
      <c r="B631" s="1">
        <v>45671</v>
      </c>
      <c r="D631" t="s">
        <v>2017</v>
      </c>
      <c r="E631" t="s">
        <v>40</v>
      </c>
      <c r="F631" t="s">
        <v>2018</v>
      </c>
      <c r="G631" t="s">
        <v>2019</v>
      </c>
      <c r="H631" t="s">
        <v>43</v>
      </c>
      <c r="I631">
        <v>1</v>
      </c>
      <c r="J631">
        <v>0.2392</v>
      </c>
      <c r="K631">
        <v>0.22259999999999999</v>
      </c>
      <c r="L631">
        <v>0.22259999999999999</v>
      </c>
      <c r="M631">
        <v>0.22259999999999999</v>
      </c>
      <c r="N631">
        <v>1</v>
      </c>
      <c r="O631" t="s">
        <v>88</v>
      </c>
      <c r="P631">
        <v>1</v>
      </c>
      <c r="W631" t="s">
        <v>36</v>
      </c>
      <c r="X631" t="s">
        <v>37</v>
      </c>
      <c r="Y631" t="s">
        <v>38</v>
      </c>
      <c r="AD631">
        <v>0</v>
      </c>
      <c r="AE631" t="b">
        <f>ISNUMBER(MATCH(G631,AUM!$C$6:$C$1451,0))</f>
        <v>0</v>
      </c>
      <c r="AF631" t="b">
        <f>ISNUMBER(MATCH(G631,AUM!$G$6:$G$240,0))</f>
        <v>0</v>
      </c>
    </row>
    <row r="632" spans="1:32" x14ac:dyDescent="0.2">
      <c r="A632" t="s">
        <v>2020</v>
      </c>
      <c r="B632" s="1">
        <v>45671</v>
      </c>
      <c r="D632" t="s">
        <v>2020</v>
      </c>
      <c r="E632" t="s">
        <v>40</v>
      </c>
      <c r="F632" t="s">
        <v>2021</v>
      </c>
      <c r="G632" t="s">
        <v>2022</v>
      </c>
      <c r="H632" t="s">
        <v>43</v>
      </c>
      <c r="I632">
        <v>1</v>
      </c>
      <c r="J632">
        <v>0.24560000000000001</v>
      </c>
      <c r="K632">
        <v>0.23139999999999999</v>
      </c>
      <c r="L632">
        <v>0.23139999999999999</v>
      </c>
      <c r="M632">
        <v>0.23139999999999999</v>
      </c>
      <c r="N632">
        <v>1</v>
      </c>
      <c r="O632" t="s">
        <v>88</v>
      </c>
      <c r="P632">
        <v>1</v>
      </c>
      <c r="W632" t="s">
        <v>36</v>
      </c>
      <c r="X632" t="s">
        <v>37</v>
      </c>
      <c r="Y632" t="s">
        <v>38</v>
      </c>
      <c r="AD632">
        <v>0</v>
      </c>
      <c r="AE632" t="b">
        <f>ISNUMBER(MATCH(G632,AUM!$C$6:$C$1451,0))</f>
        <v>0</v>
      </c>
      <c r="AF632" t="b">
        <f>ISNUMBER(MATCH(G632,AUM!$G$6:$G$240,0))</f>
        <v>0</v>
      </c>
    </row>
    <row r="633" spans="1:32" x14ac:dyDescent="0.2">
      <c r="A633" t="s">
        <v>2023</v>
      </c>
      <c r="B633" s="1">
        <v>45671</v>
      </c>
      <c r="D633" t="s">
        <v>2023</v>
      </c>
      <c r="E633" t="s">
        <v>40</v>
      </c>
      <c r="F633" t="s">
        <v>2024</v>
      </c>
      <c r="G633" t="s">
        <v>2025</v>
      </c>
      <c r="H633" t="s">
        <v>43</v>
      </c>
      <c r="I633">
        <v>1</v>
      </c>
      <c r="J633">
        <v>0.1837</v>
      </c>
      <c r="K633">
        <v>0.1736</v>
      </c>
      <c r="L633">
        <v>0.1736</v>
      </c>
      <c r="M633">
        <v>0.1736</v>
      </c>
      <c r="N633">
        <v>1</v>
      </c>
      <c r="O633" t="s">
        <v>88</v>
      </c>
      <c r="P633">
        <v>1</v>
      </c>
      <c r="W633" t="s">
        <v>36</v>
      </c>
      <c r="X633" t="s">
        <v>37</v>
      </c>
      <c r="Y633" t="s">
        <v>38</v>
      </c>
      <c r="AD633">
        <v>0</v>
      </c>
      <c r="AE633" t="b">
        <f>ISNUMBER(MATCH(G633,AUM!$C$6:$C$1451,0))</f>
        <v>0</v>
      </c>
      <c r="AF633" t="b">
        <f>ISNUMBER(MATCH(G633,AUM!$G$6:$G$240,0))</f>
        <v>0</v>
      </c>
    </row>
    <row r="634" spans="1:32" x14ac:dyDescent="0.2">
      <c r="A634" t="s">
        <v>2026</v>
      </c>
      <c r="B634" s="1">
        <v>45671</v>
      </c>
      <c r="D634" t="s">
        <v>2026</v>
      </c>
      <c r="E634" t="s">
        <v>40</v>
      </c>
      <c r="F634" t="s">
        <v>2027</v>
      </c>
      <c r="G634" t="s">
        <v>2028</v>
      </c>
      <c r="H634" t="s">
        <v>43</v>
      </c>
      <c r="I634">
        <v>1</v>
      </c>
      <c r="J634">
        <v>0.5766</v>
      </c>
      <c r="K634">
        <v>0.5403</v>
      </c>
      <c r="L634">
        <v>0.5403</v>
      </c>
      <c r="M634">
        <v>0.5403</v>
      </c>
      <c r="N634">
        <v>1</v>
      </c>
      <c r="O634" t="s">
        <v>88</v>
      </c>
      <c r="P634">
        <v>1</v>
      </c>
      <c r="W634" t="s">
        <v>36</v>
      </c>
      <c r="X634" t="s">
        <v>37</v>
      </c>
      <c r="Y634" t="s">
        <v>38</v>
      </c>
      <c r="AD634">
        <v>0</v>
      </c>
      <c r="AE634" t="b">
        <f>ISNUMBER(MATCH(G634,AUM!$C$6:$C$1451,0))</f>
        <v>0</v>
      </c>
      <c r="AF634" t="b">
        <f>ISNUMBER(MATCH(G634,AUM!$G$6:$G$240,0))</f>
        <v>0</v>
      </c>
    </row>
    <row r="635" spans="1:32" x14ac:dyDescent="0.2">
      <c r="A635" t="s">
        <v>2029</v>
      </c>
      <c r="B635" s="1">
        <v>45671</v>
      </c>
      <c r="D635" t="s">
        <v>2029</v>
      </c>
      <c r="E635" t="s">
        <v>40</v>
      </c>
      <c r="F635" t="s">
        <v>2030</v>
      </c>
      <c r="G635" t="s">
        <v>2031</v>
      </c>
      <c r="H635" t="s">
        <v>43</v>
      </c>
      <c r="I635">
        <v>1</v>
      </c>
      <c r="J635">
        <v>1452.2573</v>
      </c>
      <c r="K635">
        <v>1325.2864999999999</v>
      </c>
      <c r="L635">
        <v>1325.2864999999999</v>
      </c>
      <c r="M635">
        <v>1325.2864999999999</v>
      </c>
      <c r="N635">
        <v>1</v>
      </c>
      <c r="O635" t="s">
        <v>88</v>
      </c>
      <c r="P635">
        <v>1</v>
      </c>
      <c r="W635" t="s">
        <v>36</v>
      </c>
      <c r="X635" t="s">
        <v>37</v>
      </c>
      <c r="Y635" t="s">
        <v>38</v>
      </c>
      <c r="AD635">
        <v>0</v>
      </c>
      <c r="AE635" t="b">
        <f>ISNUMBER(MATCH(G635,AUM!$C$6:$C$1451,0))</f>
        <v>0</v>
      </c>
      <c r="AF635" t="b">
        <f>ISNUMBER(MATCH(G635,AUM!$G$6:$G$240,0))</f>
        <v>0</v>
      </c>
    </row>
    <row r="636" spans="1:32" x14ac:dyDescent="0.2">
      <c r="A636" t="s">
        <v>2032</v>
      </c>
      <c r="B636" s="1">
        <v>45671</v>
      </c>
      <c r="D636" t="s">
        <v>2032</v>
      </c>
      <c r="E636" t="s">
        <v>40</v>
      </c>
      <c r="F636" t="s">
        <v>2033</v>
      </c>
      <c r="G636" t="s">
        <v>2034</v>
      </c>
      <c r="H636" t="s">
        <v>43</v>
      </c>
      <c r="I636">
        <v>1</v>
      </c>
      <c r="J636">
        <v>0.81420000000000003</v>
      </c>
      <c r="K636">
        <v>0.78480000000000005</v>
      </c>
      <c r="L636">
        <v>0.78480000000000005</v>
      </c>
      <c r="M636">
        <v>0.78480000000000005</v>
      </c>
      <c r="N636">
        <v>1</v>
      </c>
      <c r="O636" t="s">
        <v>88</v>
      </c>
      <c r="P636">
        <v>1</v>
      </c>
      <c r="W636" t="s">
        <v>36</v>
      </c>
      <c r="X636" t="s">
        <v>37</v>
      </c>
      <c r="Y636" t="s">
        <v>38</v>
      </c>
      <c r="AD636">
        <v>0</v>
      </c>
      <c r="AE636" t="b">
        <f>ISNUMBER(MATCH(G636,AUM!$C$6:$C$1451,0))</f>
        <v>0</v>
      </c>
      <c r="AF636" t="b">
        <f>ISNUMBER(MATCH(G636,AUM!$G$6:$G$240,0))</f>
        <v>0</v>
      </c>
    </row>
    <row r="637" spans="1:32" x14ac:dyDescent="0.2">
      <c r="A637" t="s">
        <v>2035</v>
      </c>
      <c r="B637" s="1">
        <v>45671</v>
      </c>
      <c r="D637" t="s">
        <v>2035</v>
      </c>
      <c r="E637" t="s">
        <v>40</v>
      </c>
      <c r="F637" t="s">
        <v>2036</v>
      </c>
      <c r="G637" t="s">
        <v>2037</v>
      </c>
      <c r="H637" t="s">
        <v>43</v>
      </c>
      <c r="I637">
        <v>1</v>
      </c>
      <c r="J637">
        <v>1.2541</v>
      </c>
      <c r="K637">
        <v>1.2175</v>
      </c>
      <c r="L637">
        <v>1.2175</v>
      </c>
      <c r="M637">
        <v>1.2175</v>
      </c>
      <c r="N637">
        <v>1</v>
      </c>
      <c r="O637" t="s">
        <v>88</v>
      </c>
      <c r="P637">
        <v>1</v>
      </c>
      <c r="W637" t="s">
        <v>36</v>
      </c>
      <c r="X637" t="s">
        <v>37</v>
      </c>
      <c r="Y637" t="s">
        <v>38</v>
      </c>
      <c r="AD637">
        <v>0</v>
      </c>
      <c r="AE637" t="b">
        <f>ISNUMBER(MATCH(G637,AUM!$C$6:$C$1451,0))</f>
        <v>0</v>
      </c>
      <c r="AF637" t="b">
        <f>ISNUMBER(MATCH(G637,AUM!$G$6:$G$240,0))</f>
        <v>0</v>
      </c>
    </row>
    <row r="638" spans="1:32" x14ac:dyDescent="0.2">
      <c r="A638" t="s">
        <v>2038</v>
      </c>
      <c r="B638" s="1">
        <v>45671</v>
      </c>
      <c r="D638" t="s">
        <v>2038</v>
      </c>
      <c r="E638" t="s">
        <v>40</v>
      </c>
      <c r="F638" t="s">
        <v>2039</v>
      </c>
      <c r="G638" t="s">
        <v>2040</v>
      </c>
      <c r="H638" t="s">
        <v>43</v>
      </c>
      <c r="I638">
        <v>1</v>
      </c>
      <c r="J638">
        <v>0.49469999999999997</v>
      </c>
      <c r="K638">
        <v>0.46710000000000002</v>
      </c>
      <c r="L638">
        <v>0.46710000000000002</v>
      </c>
      <c r="M638">
        <v>0.46710000000000002</v>
      </c>
      <c r="N638">
        <v>1</v>
      </c>
      <c r="O638" t="s">
        <v>88</v>
      </c>
      <c r="P638">
        <v>1</v>
      </c>
      <c r="W638" t="s">
        <v>36</v>
      </c>
      <c r="X638" t="s">
        <v>37</v>
      </c>
      <c r="Y638" t="s">
        <v>38</v>
      </c>
      <c r="AD638">
        <v>0</v>
      </c>
      <c r="AE638" t="b">
        <f>ISNUMBER(MATCH(G638,AUM!$C$6:$C$1451,0))</f>
        <v>0</v>
      </c>
      <c r="AF638" t="b">
        <f>ISNUMBER(MATCH(G638,AUM!$G$6:$G$240,0))</f>
        <v>0</v>
      </c>
    </row>
    <row r="639" spans="1:32" x14ac:dyDescent="0.2">
      <c r="A639" t="s">
        <v>2041</v>
      </c>
      <c r="B639" s="1">
        <v>45671</v>
      </c>
      <c r="D639" t="s">
        <v>2041</v>
      </c>
      <c r="E639" t="s">
        <v>40</v>
      </c>
      <c r="F639" t="s">
        <v>2042</v>
      </c>
      <c r="G639" t="s">
        <v>2043</v>
      </c>
      <c r="H639" t="s">
        <v>43</v>
      </c>
      <c r="I639">
        <v>1</v>
      </c>
      <c r="J639">
        <v>280.86419999999998</v>
      </c>
      <c r="K639">
        <v>274.16300000000001</v>
      </c>
      <c r="L639">
        <v>274.16300000000001</v>
      </c>
      <c r="M639">
        <v>274.16300000000001</v>
      </c>
      <c r="N639">
        <v>1</v>
      </c>
      <c r="O639" t="s">
        <v>88</v>
      </c>
      <c r="P639">
        <v>1</v>
      </c>
      <c r="W639" t="s">
        <v>36</v>
      </c>
      <c r="X639" t="s">
        <v>37</v>
      </c>
      <c r="Y639" t="s">
        <v>38</v>
      </c>
      <c r="AD639">
        <v>0</v>
      </c>
      <c r="AE639" t="b">
        <f>ISNUMBER(MATCH(G639,AUM!$C$6:$C$1451,0))</f>
        <v>0</v>
      </c>
      <c r="AF639" t="b">
        <f>ISNUMBER(MATCH(G639,AUM!$G$6:$G$240,0))</f>
        <v>0</v>
      </c>
    </row>
    <row r="640" spans="1:32" x14ac:dyDescent="0.2">
      <c r="A640" t="s">
        <v>2044</v>
      </c>
      <c r="B640" s="1">
        <v>45671</v>
      </c>
      <c r="D640" t="s">
        <v>2044</v>
      </c>
      <c r="E640" t="s">
        <v>40</v>
      </c>
      <c r="F640" t="s">
        <v>2045</v>
      </c>
      <c r="G640" t="s">
        <v>2046</v>
      </c>
      <c r="H640" t="s">
        <v>43</v>
      </c>
      <c r="I640">
        <v>1</v>
      </c>
      <c r="J640">
        <v>6.4733000000000001</v>
      </c>
      <c r="K640">
        <v>6.1871999999999998</v>
      </c>
      <c r="L640">
        <v>6.1871999999999998</v>
      </c>
      <c r="M640">
        <v>6.1871999999999998</v>
      </c>
      <c r="N640">
        <v>1</v>
      </c>
      <c r="O640" t="s">
        <v>88</v>
      </c>
      <c r="P640">
        <v>1</v>
      </c>
      <c r="W640" t="s">
        <v>36</v>
      </c>
      <c r="X640" t="s">
        <v>37</v>
      </c>
      <c r="Y640" t="s">
        <v>38</v>
      </c>
      <c r="AD640">
        <v>0</v>
      </c>
      <c r="AE640" t="b">
        <f>ISNUMBER(MATCH(G640,AUM!$C$6:$C$1451,0))</f>
        <v>0</v>
      </c>
      <c r="AF640" t="b">
        <f>ISNUMBER(MATCH(G640,AUM!$G$6:$G$240,0))</f>
        <v>0</v>
      </c>
    </row>
    <row r="641" spans="1:32" x14ac:dyDescent="0.2">
      <c r="A641" t="s">
        <v>2047</v>
      </c>
      <c r="B641" s="1">
        <v>45671</v>
      </c>
      <c r="D641" t="s">
        <v>2047</v>
      </c>
      <c r="E641" t="s">
        <v>40</v>
      </c>
      <c r="F641" t="s">
        <v>2048</v>
      </c>
      <c r="G641" t="s">
        <v>2049</v>
      </c>
      <c r="H641" t="s">
        <v>43</v>
      </c>
      <c r="I641">
        <v>1</v>
      </c>
      <c r="J641">
        <v>0.7893</v>
      </c>
      <c r="K641">
        <v>0.74960000000000004</v>
      </c>
      <c r="L641">
        <v>0.74960000000000004</v>
      </c>
      <c r="M641">
        <v>0.74960000000000004</v>
      </c>
      <c r="N641">
        <v>1</v>
      </c>
      <c r="O641" t="s">
        <v>88</v>
      </c>
      <c r="P641">
        <v>1</v>
      </c>
      <c r="W641" t="s">
        <v>36</v>
      </c>
      <c r="X641" t="s">
        <v>37</v>
      </c>
      <c r="Y641" t="s">
        <v>38</v>
      </c>
      <c r="AD641">
        <v>0</v>
      </c>
      <c r="AE641" t="b">
        <f>ISNUMBER(MATCH(G641,AUM!$C$6:$C$1451,0))</f>
        <v>0</v>
      </c>
      <c r="AF641" t="b">
        <f>ISNUMBER(MATCH(G641,AUM!$G$6:$G$240,0))</f>
        <v>0</v>
      </c>
    </row>
    <row r="642" spans="1:32" x14ac:dyDescent="0.2">
      <c r="A642" t="s">
        <v>2050</v>
      </c>
      <c r="B642" s="1">
        <v>45671</v>
      </c>
      <c r="D642" t="s">
        <v>2050</v>
      </c>
      <c r="E642" t="s">
        <v>40</v>
      </c>
      <c r="F642" t="s">
        <v>2051</v>
      </c>
      <c r="G642" t="s">
        <v>2052</v>
      </c>
      <c r="H642" t="s">
        <v>43</v>
      </c>
      <c r="I642">
        <v>1</v>
      </c>
      <c r="J642">
        <v>0.67949999999999999</v>
      </c>
      <c r="K642">
        <v>0.65749999999999997</v>
      </c>
      <c r="L642">
        <v>0.65749999999999997</v>
      </c>
      <c r="M642">
        <v>0.65749999999999997</v>
      </c>
      <c r="N642">
        <v>1</v>
      </c>
      <c r="O642" t="s">
        <v>88</v>
      </c>
      <c r="P642">
        <v>1</v>
      </c>
      <c r="W642" t="s">
        <v>36</v>
      </c>
      <c r="X642" t="s">
        <v>37</v>
      </c>
      <c r="Y642" t="s">
        <v>38</v>
      </c>
      <c r="AD642">
        <v>0</v>
      </c>
      <c r="AE642" t="b">
        <f>ISNUMBER(MATCH(G642,AUM!$C$6:$C$1451,0))</f>
        <v>0</v>
      </c>
      <c r="AF642" t="b">
        <f>ISNUMBER(MATCH(G642,AUM!$G$6:$G$240,0))</f>
        <v>0</v>
      </c>
    </row>
    <row r="643" spans="1:32" x14ac:dyDescent="0.2">
      <c r="A643" t="s">
        <v>2053</v>
      </c>
      <c r="B643" s="1">
        <v>45671</v>
      </c>
      <c r="D643" t="s">
        <v>2053</v>
      </c>
      <c r="E643" t="s">
        <v>40</v>
      </c>
      <c r="F643" t="s">
        <v>2054</v>
      </c>
      <c r="G643" t="s">
        <v>2055</v>
      </c>
      <c r="H643" t="s">
        <v>43</v>
      </c>
      <c r="I643">
        <v>1</v>
      </c>
      <c r="J643">
        <v>0.36220000000000002</v>
      </c>
      <c r="K643">
        <v>0.34379999999999999</v>
      </c>
      <c r="L643">
        <v>0.34379999999999999</v>
      </c>
      <c r="M643">
        <v>0.34379999999999999</v>
      </c>
      <c r="N643">
        <v>1</v>
      </c>
      <c r="O643" t="s">
        <v>88</v>
      </c>
      <c r="P643">
        <v>1</v>
      </c>
      <c r="W643" t="s">
        <v>36</v>
      </c>
      <c r="X643" t="s">
        <v>37</v>
      </c>
      <c r="Y643" t="s">
        <v>38</v>
      </c>
      <c r="AD643">
        <v>0</v>
      </c>
      <c r="AE643" t="b">
        <f>ISNUMBER(MATCH(G643,AUM!$C$6:$C$1451,0))</f>
        <v>0</v>
      </c>
      <c r="AF643" t="b">
        <f>ISNUMBER(MATCH(G643,AUM!$G$6:$G$240,0))</f>
        <v>0</v>
      </c>
    </row>
    <row r="644" spans="1:32" x14ac:dyDescent="0.2">
      <c r="A644" t="s">
        <v>2056</v>
      </c>
      <c r="B644" s="1">
        <v>45671</v>
      </c>
      <c r="D644" t="s">
        <v>2056</v>
      </c>
      <c r="E644" t="s">
        <v>40</v>
      </c>
      <c r="F644" t="s">
        <v>2057</v>
      </c>
      <c r="G644" t="s">
        <v>2058</v>
      </c>
      <c r="H644" t="s">
        <v>43</v>
      </c>
      <c r="I644">
        <v>1</v>
      </c>
      <c r="J644">
        <v>10.356400000000001</v>
      </c>
      <c r="K644">
        <v>9.7703000000000007</v>
      </c>
      <c r="L644">
        <v>9.7703000000000007</v>
      </c>
      <c r="M644">
        <v>9.7703000000000007</v>
      </c>
      <c r="N644">
        <v>1</v>
      </c>
      <c r="O644" t="s">
        <v>88</v>
      </c>
      <c r="P644">
        <v>1</v>
      </c>
      <c r="W644" t="s">
        <v>36</v>
      </c>
      <c r="X644" t="s">
        <v>37</v>
      </c>
      <c r="Y644" t="s">
        <v>38</v>
      </c>
      <c r="AD644">
        <v>0</v>
      </c>
      <c r="AE644" t="b">
        <f>ISNUMBER(MATCH(G644,AUM!$C$6:$C$1451,0))</f>
        <v>0</v>
      </c>
      <c r="AF644" t="b">
        <f>ISNUMBER(MATCH(G644,AUM!$G$6:$G$240,0))</f>
        <v>0</v>
      </c>
    </row>
    <row r="645" spans="1:32" x14ac:dyDescent="0.2">
      <c r="A645" t="s">
        <v>2059</v>
      </c>
      <c r="B645" s="1">
        <v>45671</v>
      </c>
      <c r="D645" t="s">
        <v>2059</v>
      </c>
      <c r="E645" t="s">
        <v>40</v>
      </c>
      <c r="F645" t="s">
        <v>2060</v>
      </c>
      <c r="G645" t="s">
        <v>2061</v>
      </c>
      <c r="H645" t="s">
        <v>43</v>
      </c>
      <c r="I645">
        <v>1</v>
      </c>
      <c r="J645">
        <v>4.9774000000000003</v>
      </c>
      <c r="K645">
        <v>4.6426999999999996</v>
      </c>
      <c r="L645">
        <v>4.6426999999999996</v>
      </c>
      <c r="M645">
        <v>4.6426999999999996</v>
      </c>
      <c r="N645">
        <v>1</v>
      </c>
      <c r="O645" t="s">
        <v>88</v>
      </c>
      <c r="P645">
        <v>1</v>
      </c>
      <c r="W645" t="s">
        <v>36</v>
      </c>
      <c r="X645" t="s">
        <v>37</v>
      </c>
      <c r="Y645" t="s">
        <v>38</v>
      </c>
      <c r="AD645">
        <v>0</v>
      </c>
      <c r="AE645" t="b">
        <f>ISNUMBER(MATCH(G645,AUM!$C$6:$C$1451,0))</f>
        <v>0</v>
      </c>
      <c r="AF645" t="b">
        <f>ISNUMBER(MATCH(G645,AUM!$G$6:$G$240,0))</f>
        <v>0</v>
      </c>
    </row>
    <row r="646" spans="1:32" x14ac:dyDescent="0.2">
      <c r="A646" t="s">
        <v>2062</v>
      </c>
      <c r="B646" s="1">
        <v>45671</v>
      </c>
      <c r="D646" t="s">
        <v>2062</v>
      </c>
      <c r="E646" t="s">
        <v>40</v>
      </c>
      <c r="F646" t="s">
        <v>2063</v>
      </c>
      <c r="G646" t="s">
        <v>2064</v>
      </c>
      <c r="H646" t="s">
        <v>43</v>
      </c>
      <c r="I646">
        <v>1</v>
      </c>
      <c r="J646">
        <v>1.5942000000000001</v>
      </c>
      <c r="K646">
        <v>1.4923999999999999</v>
      </c>
      <c r="L646">
        <v>1.4923999999999999</v>
      </c>
      <c r="M646">
        <v>1.4923999999999999</v>
      </c>
      <c r="N646">
        <v>1</v>
      </c>
      <c r="O646" t="s">
        <v>88</v>
      </c>
      <c r="P646">
        <v>1</v>
      </c>
      <c r="W646" t="s">
        <v>36</v>
      </c>
      <c r="X646" t="s">
        <v>37</v>
      </c>
      <c r="Y646" t="s">
        <v>38</v>
      </c>
      <c r="AD646">
        <v>0</v>
      </c>
      <c r="AE646" t="b">
        <f>ISNUMBER(MATCH(G646,AUM!$C$6:$C$1451,0))</f>
        <v>0</v>
      </c>
      <c r="AF646" t="b">
        <f>ISNUMBER(MATCH(G646,AUM!$G$6:$G$240,0))</f>
        <v>0</v>
      </c>
    </row>
    <row r="647" spans="1:32" x14ac:dyDescent="0.2">
      <c r="A647" t="s">
        <v>2065</v>
      </c>
      <c r="B647" s="1">
        <v>45671</v>
      </c>
      <c r="D647" t="s">
        <v>2065</v>
      </c>
      <c r="E647" t="s">
        <v>40</v>
      </c>
      <c r="F647" t="s">
        <v>2066</v>
      </c>
      <c r="G647" t="s">
        <v>2067</v>
      </c>
      <c r="H647" t="s">
        <v>43</v>
      </c>
      <c r="I647">
        <v>1</v>
      </c>
      <c r="J647">
        <v>5.0940000000000003</v>
      </c>
      <c r="K647">
        <v>4.8651999999999997</v>
      </c>
      <c r="L647">
        <v>4.8651999999999997</v>
      </c>
      <c r="M647">
        <v>4.8651999999999997</v>
      </c>
      <c r="N647">
        <v>1</v>
      </c>
      <c r="O647" t="s">
        <v>88</v>
      </c>
      <c r="P647">
        <v>1</v>
      </c>
      <c r="W647" t="s">
        <v>36</v>
      </c>
      <c r="X647" t="s">
        <v>37</v>
      </c>
      <c r="Y647" t="s">
        <v>38</v>
      </c>
      <c r="AD647">
        <v>0</v>
      </c>
      <c r="AE647" t="b">
        <f>ISNUMBER(MATCH(G647,AUM!$C$6:$C$1451,0))</f>
        <v>0</v>
      </c>
      <c r="AF647" t="b">
        <f>ISNUMBER(MATCH(G647,AUM!$G$6:$G$240,0))</f>
        <v>0</v>
      </c>
    </row>
    <row r="648" spans="1:32" x14ac:dyDescent="0.2">
      <c r="A648" t="s">
        <v>2068</v>
      </c>
      <c r="B648" s="1">
        <v>45671</v>
      </c>
      <c r="D648" t="s">
        <v>2068</v>
      </c>
      <c r="E648" t="s">
        <v>40</v>
      </c>
      <c r="F648" t="s">
        <v>2069</v>
      </c>
      <c r="G648" t="s">
        <v>2070</v>
      </c>
      <c r="H648" t="s">
        <v>43</v>
      </c>
      <c r="I648">
        <v>1</v>
      </c>
      <c r="J648">
        <v>438.08670000000001</v>
      </c>
      <c r="K648">
        <v>417.40730000000002</v>
      </c>
      <c r="L648">
        <v>417.40730000000002</v>
      </c>
      <c r="M648">
        <v>417.40730000000002</v>
      </c>
      <c r="N648">
        <v>1</v>
      </c>
      <c r="O648" t="s">
        <v>88</v>
      </c>
      <c r="P648">
        <v>1</v>
      </c>
      <c r="W648" t="s">
        <v>36</v>
      </c>
      <c r="X648" t="s">
        <v>37</v>
      </c>
      <c r="Y648" t="s">
        <v>38</v>
      </c>
      <c r="AD648">
        <v>0</v>
      </c>
      <c r="AE648" t="b">
        <f>ISNUMBER(MATCH(G648,AUM!$C$6:$C$1451,0))</f>
        <v>0</v>
      </c>
      <c r="AF648" t="b">
        <f>ISNUMBER(MATCH(G648,AUM!$G$6:$G$240,0))</f>
        <v>0</v>
      </c>
    </row>
    <row r="649" spans="1:32" x14ac:dyDescent="0.2">
      <c r="A649" t="s">
        <v>2071</v>
      </c>
      <c r="B649" s="1">
        <v>45671</v>
      </c>
      <c r="D649" t="s">
        <v>2071</v>
      </c>
      <c r="E649" t="s">
        <v>40</v>
      </c>
      <c r="F649" t="s">
        <v>2072</v>
      </c>
      <c r="G649" t="s">
        <v>2073</v>
      </c>
      <c r="H649" t="s">
        <v>43</v>
      </c>
      <c r="I649">
        <v>1</v>
      </c>
      <c r="J649">
        <v>0.4012</v>
      </c>
      <c r="K649">
        <v>0.4143</v>
      </c>
      <c r="L649">
        <v>0.4143</v>
      </c>
      <c r="M649">
        <v>0.4143</v>
      </c>
      <c r="N649">
        <v>1</v>
      </c>
      <c r="O649" t="s">
        <v>88</v>
      </c>
      <c r="P649">
        <v>1</v>
      </c>
      <c r="W649" t="s">
        <v>36</v>
      </c>
      <c r="X649" t="s">
        <v>37</v>
      </c>
      <c r="Y649" t="s">
        <v>38</v>
      </c>
      <c r="AD649">
        <v>0</v>
      </c>
      <c r="AE649" t="b">
        <f>ISNUMBER(MATCH(G649,AUM!$C$6:$C$1451,0))</f>
        <v>0</v>
      </c>
      <c r="AF649" t="b">
        <f>ISNUMBER(MATCH(G649,AUM!$G$6:$G$240,0))</f>
        <v>0</v>
      </c>
    </row>
    <row r="650" spans="1:32" x14ac:dyDescent="0.2">
      <c r="A650" t="s">
        <v>2074</v>
      </c>
      <c r="B650" s="1">
        <v>45671</v>
      </c>
      <c r="D650" t="s">
        <v>2074</v>
      </c>
      <c r="E650" t="s">
        <v>40</v>
      </c>
      <c r="F650" t="s">
        <v>2075</v>
      </c>
      <c r="G650" t="s">
        <v>2076</v>
      </c>
      <c r="H650" t="s">
        <v>43</v>
      </c>
      <c r="I650">
        <v>1</v>
      </c>
      <c r="J650">
        <v>13.042899999999999</v>
      </c>
      <c r="K650">
        <v>12.6305</v>
      </c>
      <c r="L650">
        <v>12.6305</v>
      </c>
      <c r="M650">
        <v>12.6305</v>
      </c>
      <c r="N650">
        <v>1</v>
      </c>
      <c r="O650" t="s">
        <v>88</v>
      </c>
      <c r="P650">
        <v>1</v>
      </c>
      <c r="W650" t="s">
        <v>36</v>
      </c>
      <c r="X650" t="s">
        <v>37</v>
      </c>
      <c r="Y650" t="s">
        <v>38</v>
      </c>
      <c r="AD650">
        <v>0</v>
      </c>
      <c r="AE650" t="b">
        <f>ISNUMBER(MATCH(G650,AUM!$C$6:$C$1451,0))</f>
        <v>0</v>
      </c>
      <c r="AF650" t="b">
        <f>ISNUMBER(MATCH(G650,AUM!$G$6:$G$240,0))</f>
        <v>0</v>
      </c>
    </row>
    <row r="651" spans="1:32" x14ac:dyDescent="0.2">
      <c r="A651" t="s">
        <v>2077</v>
      </c>
      <c r="B651" s="1">
        <v>45671</v>
      </c>
      <c r="D651" t="s">
        <v>2077</v>
      </c>
      <c r="E651" t="s">
        <v>40</v>
      </c>
      <c r="F651" t="s">
        <v>2078</v>
      </c>
      <c r="G651" t="s">
        <v>2079</v>
      </c>
      <c r="H651" t="s">
        <v>43</v>
      </c>
      <c r="I651">
        <v>1</v>
      </c>
      <c r="J651">
        <v>19.8504</v>
      </c>
      <c r="K651">
        <v>18.8902</v>
      </c>
      <c r="L651">
        <v>18.8902</v>
      </c>
      <c r="M651">
        <v>18.8902</v>
      </c>
      <c r="N651">
        <v>1</v>
      </c>
      <c r="O651" t="s">
        <v>88</v>
      </c>
      <c r="P651">
        <v>1</v>
      </c>
      <c r="W651" t="s">
        <v>36</v>
      </c>
      <c r="X651" t="s">
        <v>37</v>
      </c>
      <c r="Y651" t="s">
        <v>38</v>
      </c>
      <c r="AD651">
        <v>0</v>
      </c>
      <c r="AE651" t="b">
        <f>ISNUMBER(MATCH(G651,AUM!$C$6:$C$1451,0))</f>
        <v>0</v>
      </c>
      <c r="AF651" t="b">
        <f>ISNUMBER(MATCH(G651,AUM!$G$6:$G$240,0))</f>
        <v>0</v>
      </c>
    </row>
    <row r="652" spans="1:32" x14ac:dyDescent="0.2">
      <c r="A652" t="s">
        <v>2080</v>
      </c>
      <c r="B652" s="1">
        <v>45671</v>
      </c>
      <c r="D652" t="s">
        <v>2080</v>
      </c>
      <c r="E652" t="s">
        <v>40</v>
      </c>
      <c r="F652" t="s">
        <v>2081</v>
      </c>
      <c r="G652" t="s">
        <v>2082</v>
      </c>
      <c r="H652" t="s">
        <v>43</v>
      </c>
      <c r="I652">
        <v>1</v>
      </c>
      <c r="J652">
        <v>104.06789999999999</v>
      </c>
      <c r="K652">
        <v>96.603200000000001</v>
      </c>
      <c r="L652">
        <v>96.603200000000001</v>
      </c>
      <c r="M652">
        <v>96.603200000000001</v>
      </c>
      <c r="N652">
        <v>1</v>
      </c>
      <c r="O652" t="s">
        <v>88</v>
      </c>
      <c r="P652">
        <v>1</v>
      </c>
      <c r="W652" t="s">
        <v>36</v>
      </c>
      <c r="X652" t="s">
        <v>37</v>
      </c>
      <c r="Y652" t="s">
        <v>38</v>
      </c>
      <c r="AD652">
        <v>0</v>
      </c>
      <c r="AE652" t="b">
        <f>ISNUMBER(MATCH(G652,AUM!$C$6:$C$1451,0))</f>
        <v>0</v>
      </c>
      <c r="AF652" t="b">
        <f>ISNUMBER(MATCH(G652,AUM!$G$6:$G$240,0))</f>
        <v>0</v>
      </c>
    </row>
    <row r="653" spans="1:32" x14ac:dyDescent="0.2">
      <c r="A653" t="s">
        <v>2083</v>
      </c>
      <c r="B653" s="1">
        <v>45671</v>
      </c>
      <c r="D653" t="s">
        <v>2083</v>
      </c>
      <c r="E653" t="s">
        <v>40</v>
      </c>
      <c r="F653" t="s">
        <v>2084</v>
      </c>
      <c r="G653" t="s">
        <v>2085</v>
      </c>
      <c r="H653" t="s">
        <v>43</v>
      </c>
      <c r="J653">
        <v>7638.24</v>
      </c>
      <c r="K653">
        <v>7677.21</v>
      </c>
      <c r="L653">
        <v>7677.2127047599997</v>
      </c>
      <c r="Q653" t="s">
        <v>2086</v>
      </c>
      <c r="T653">
        <v>2.4119379933399999E-2</v>
      </c>
      <c r="V653" t="s">
        <v>854</v>
      </c>
      <c r="W653" t="s">
        <v>36</v>
      </c>
      <c r="X653" t="s">
        <v>69</v>
      </c>
      <c r="Y653" t="s">
        <v>38</v>
      </c>
      <c r="AD653">
        <v>0</v>
      </c>
      <c r="AE653" t="b">
        <f>ISNUMBER(MATCH(G653,AUM!$C$6:$C$1451,0))</f>
        <v>1</v>
      </c>
      <c r="AF653" t="b">
        <f>ISNUMBER(MATCH(G653,AUM!$G$6:$G$240,0))</f>
        <v>0</v>
      </c>
    </row>
    <row r="654" spans="1:32" x14ac:dyDescent="0.2">
      <c r="A654" t="s">
        <v>2087</v>
      </c>
      <c r="B654" s="1">
        <v>45671</v>
      </c>
      <c r="D654" t="s">
        <v>2087</v>
      </c>
      <c r="E654" t="s">
        <v>40</v>
      </c>
      <c r="F654" t="s">
        <v>2088</v>
      </c>
      <c r="G654" t="s">
        <v>2089</v>
      </c>
      <c r="H654" t="s">
        <v>43</v>
      </c>
      <c r="J654">
        <v>6958.44</v>
      </c>
      <c r="K654">
        <v>6993.95</v>
      </c>
      <c r="L654">
        <v>6993.9470242799998</v>
      </c>
      <c r="Q654" t="s">
        <v>2086</v>
      </c>
      <c r="U654">
        <v>1.7610003324659999E-2</v>
      </c>
      <c r="V654" t="s">
        <v>854</v>
      </c>
      <c r="W654" t="s">
        <v>36</v>
      </c>
      <c r="X654" t="s">
        <v>69</v>
      </c>
      <c r="Y654" t="s">
        <v>38</v>
      </c>
      <c r="AD654">
        <v>0</v>
      </c>
      <c r="AE654" t="b">
        <f>ISNUMBER(MATCH(G654,AUM!$C$6:$C$1451,0))</f>
        <v>1</v>
      </c>
      <c r="AF654" t="b">
        <f>ISNUMBER(MATCH(G654,AUM!$G$6:$G$240,0))</f>
        <v>0</v>
      </c>
    </row>
    <row r="655" spans="1:32" x14ac:dyDescent="0.2">
      <c r="A655" t="s">
        <v>2086</v>
      </c>
      <c r="B655" s="1">
        <v>45671</v>
      </c>
      <c r="D655" t="s">
        <v>2086</v>
      </c>
      <c r="E655" t="s">
        <v>40</v>
      </c>
      <c r="F655" t="s">
        <v>2090</v>
      </c>
      <c r="G655" t="s">
        <v>2091</v>
      </c>
      <c r="H655" t="s">
        <v>43</v>
      </c>
      <c r="I655">
        <v>10193923072.802</v>
      </c>
      <c r="J655">
        <v>5457.64</v>
      </c>
      <c r="K655">
        <v>5485.48</v>
      </c>
      <c r="L655">
        <v>5485.4821617699999</v>
      </c>
      <c r="M655">
        <v>55918583174298.703</v>
      </c>
      <c r="N655">
        <v>800</v>
      </c>
      <c r="O655" t="s">
        <v>35</v>
      </c>
      <c r="P655">
        <v>1</v>
      </c>
      <c r="R655" t="s">
        <v>2083</v>
      </c>
      <c r="S655" t="s">
        <v>2087</v>
      </c>
      <c r="W655" t="s">
        <v>36</v>
      </c>
      <c r="X655" t="s">
        <v>37</v>
      </c>
      <c r="Y655" t="s">
        <v>38</v>
      </c>
      <c r="AD655">
        <v>0</v>
      </c>
      <c r="AE655" t="b">
        <f>ISNUMBER(MATCH(G655,AUM!$C$6:$C$1451,0))</f>
        <v>1</v>
      </c>
      <c r="AF655" t="b">
        <f>ISNUMBER(MATCH(G655,AUM!$G$6:$G$240,0))</f>
        <v>1</v>
      </c>
    </row>
    <row r="656" spans="1:32" x14ac:dyDescent="0.2">
      <c r="A656" t="s">
        <v>2092</v>
      </c>
      <c r="B656" s="1">
        <v>45671</v>
      </c>
      <c r="D656" t="s">
        <v>2092</v>
      </c>
      <c r="E656" t="s">
        <v>31</v>
      </c>
      <c r="F656" t="s">
        <v>2093</v>
      </c>
      <c r="G656" t="s">
        <v>2094</v>
      </c>
      <c r="H656" t="s">
        <v>34</v>
      </c>
      <c r="J656">
        <v>8262.99</v>
      </c>
      <c r="K656">
        <v>8200.86</v>
      </c>
      <c r="L656">
        <v>8200.8586953499998</v>
      </c>
      <c r="Q656" t="s">
        <v>2095</v>
      </c>
      <c r="T656">
        <v>0</v>
      </c>
      <c r="W656" t="s">
        <v>36</v>
      </c>
      <c r="X656" t="s">
        <v>69</v>
      </c>
      <c r="Y656" t="s">
        <v>38</v>
      </c>
      <c r="AD656">
        <v>0</v>
      </c>
      <c r="AE656" t="b">
        <f>ISNUMBER(MATCH(G656,AUM!$C$6:$C$1451,0))</f>
        <v>0</v>
      </c>
      <c r="AF656" t="b">
        <f>ISNUMBER(MATCH(G656,AUM!$G$6:$G$240,0))</f>
        <v>0</v>
      </c>
    </row>
    <row r="657" spans="1:32" x14ac:dyDescent="0.2">
      <c r="A657" t="s">
        <v>2096</v>
      </c>
      <c r="B657" s="1">
        <v>45671</v>
      </c>
      <c r="D657" t="s">
        <v>2096</v>
      </c>
      <c r="E657" t="s">
        <v>31</v>
      </c>
      <c r="F657" t="s">
        <v>2097</v>
      </c>
      <c r="G657" t="s">
        <v>2098</v>
      </c>
      <c r="H657" t="s">
        <v>34</v>
      </c>
      <c r="J657">
        <v>7884.43</v>
      </c>
      <c r="K657">
        <v>7825.14</v>
      </c>
      <c r="L657">
        <v>7825.1444179099999</v>
      </c>
      <c r="Q657" t="s">
        <v>2095</v>
      </c>
      <c r="U657">
        <v>0</v>
      </c>
      <c r="W657" t="s">
        <v>36</v>
      </c>
      <c r="X657" t="s">
        <v>69</v>
      </c>
      <c r="Y657" t="s">
        <v>38</v>
      </c>
      <c r="AD657">
        <v>0</v>
      </c>
      <c r="AE657" t="b">
        <f>ISNUMBER(MATCH(G657,AUM!$C$6:$C$1451,0))</f>
        <v>0</v>
      </c>
      <c r="AF657" t="b">
        <f>ISNUMBER(MATCH(G657,AUM!$G$6:$G$240,0))</f>
        <v>0</v>
      </c>
    </row>
    <row r="658" spans="1:32" x14ac:dyDescent="0.2">
      <c r="A658" t="s">
        <v>2095</v>
      </c>
      <c r="B658" s="1">
        <v>45671</v>
      </c>
      <c r="D658" t="s">
        <v>2095</v>
      </c>
      <c r="E658" t="s">
        <v>31</v>
      </c>
      <c r="F658" t="s">
        <v>2099</v>
      </c>
      <c r="G658" t="s">
        <v>2100</v>
      </c>
      <c r="H658" t="s">
        <v>34</v>
      </c>
      <c r="I658">
        <v>91242554.828995705</v>
      </c>
      <c r="J658">
        <v>6279.3</v>
      </c>
      <c r="K658">
        <v>6232.08</v>
      </c>
      <c r="L658">
        <v>6232.0822259099996</v>
      </c>
      <c r="M658">
        <v>568631104196.59802</v>
      </c>
      <c r="N658">
        <v>30</v>
      </c>
      <c r="O658" t="s">
        <v>35</v>
      </c>
      <c r="P658">
        <v>1</v>
      </c>
      <c r="R658" t="s">
        <v>2092</v>
      </c>
      <c r="S658" t="s">
        <v>2096</v>
      </c>
      <c r="W658" t="s">
        <v>36</v>
      </c>
      <c r="X658" t="s">
        <v>37</v>
      </c>
      <c r="Y658" t="s">
        <v>38</v>
      </c>
      <c r="AD658">
        <v>0</v>
      </c>
      <c r="AE658" t="b">
        <f>ISNUMBER(MATCH(G658,AUM!$C$6:$C$1451,0))</f>
        <v>0</v>
      </c>
      <c r="AF658" t="b">
        <f>ISNUMBER(MATCH(G658,AUM!$G$6:$G$240,0))</f>
        <v>0</v>
      </c>
    </row>
    <row r="659" spans="1:32" x14ac:dyDescent="0.2">
      <c r="A659" t="s">
        <v>2101</v>
      </c>
      <c r="B659" s="1">
        <v>45671</v>
      </c>
      <c r="D659" t="s">
        <v>2101</v>
      </c>
      <c r="E659" t="s">
        <v>31</v>
      </c>
      <c r="F659" t="s">
        <v>2102</v>
      </c>
      <c r="G659" t="s">
        <v>2103</v>
      </c>
      <c r="H659" t="s">
        <v>34</v>
      </c>
      <c r="J659">
        <v>8215.85</v>
      </c>
      <c r="K659">
        <v>8153.55</v>
      </c>
      <c r="L659">
        <v>8153.5490523099998</v>
      </c>
      <c r="Q659" t="s">
        <v>2104</v>
      </c>
      <c r="T659">
        <v>0</v>
      </c>
      <c r="W659" t="s">
        <v>36</v>
      </c>
      <c r="X659" t="s">
        <v>69</v>
      </c>
      <c r="Y659" t="s">
        <v>38</v>
      </c>
      <c r="AD659">
        <v>0</v>
      </c>
      <c r="AE659" t="b">
        <f>ISNUMBER(MATCH(G659,AUM!$C$6:$C$1451,0))</f>
        <v>0</v>
      </c>
      <c r="AF659" t="b">
        <f>ISNUMBER(MATCH(G659,AUM!$G$6:$G$240,0))</f>
        <v>0</v>
      </c>
    </row>
    <row r="660" spans="1:32" x14ac:dyDescent="0.2">
      <c r="A660" t="s">
        <v>2105</v>
      </c>
      <c r="B660" s="1">
        <v>45671</v>
      </c>
      <c r="D660" t="s">
        <v>2105</v>
      </c>
      <c r="E660" t="s">
        <v>31</v>
      </c>
      <c r="F660" t="s">
        <v>2106</v>
      </c>
      <c r="G660" t="s">
        <v>2107</v>
      </c>
      <c r="H660" t="s">
        <v>34</v>
      </c>
      <c r="J660">
        <v>7838.84</v>
      </c>
      <c r="K660">
        <v>7779.4</v>
      </c>
      <c r="L660">
        <v>7779.39688931</v>
      </c>
      <c r="Q660" t="s">
        <v>2104</v>
      </c>
      <c r="U660">
        <v>0</v>
      </c>
      <c r="W660" t="s">
        <v>36</v>
      </c>
      <c r="X660" t="s">
        <v>69</v>
      </c>
      <c r="Y660" t="s">
        <v>38</v>
      </c>
      <c r="AD660">
        <v>0</v>
      </c>
      <c r="AE660" t="b">
        <f>ISNUMBER(MATCH(G660,AUM!$C$6:$C$1451,0))</f>
        <v>0</v>
      </c>
      <c r="AF660" t="b">
        <f>ISNUMBER(MATCH(G660,AUM!$G$6:$G$240,0))</f>
        <v>0</v>
      </c>
    </row>
    <row r="661" spans="1:32" x14ac:dyDescent="0.2">
      <c r="A661" t="s">
        <v>2104</v>
      </c>
      <c r="B661" s="1">
        <v>45671</v>
      </c>
      <c r="D661" t="s">
        <v>2104</v>
      </c>
      <c r="E661" t="s">
        <v>31</v>
      </c>
      <c r="F661" t="s">
        <v>2108</v>
      </c>
      <c r="G661" t="s">
        <v>2109</v>
      </c>
      <c r="H661" t="s">
        <v>34</v>
      </c>
      <c r="I661">
        <v>93533984.692340195</v>
      </c>
      <c r="J661">
        <v>6241.1</v>
      </c>
      <c r="K661">
        <v>6193.78</v>
      </c>
      <c r="L661">
        <v>6193.7758712200002</v>
      </c>
      <c r="M661">
        <v>579328537526.50696</v>
      </c>
      <c r="N661">
        <v>51</v>
      </c>
      <c r="O661" t="s">
        <v>35</v>
      </c>
      <c r="P661">
        <v>1</v>
      </c>
      <c r="R661" t="s">
        <v>2101</v>
      </c>
      <c r="S661" t="s">
        <v>2105</v>
      </c>
      <c r="W661" t="s">
        <v>36</v>
      </c>
      <c r="X661" t="s">
        <v>37</v>
      </c>
      <c r="Y661" t="s">
        <v>38</v>
      </c>
      <c r="AD661">
        <v>0</v>
      </c>
      <c r="AE661" t="b">
        <f>ISNUMBER(MATCH(G661,AUM!$C$6:$C$1451,0))</f>
        <v>0</v>
      </c>
      <c r="AF661" t="b">
        <f>ISNUMBER(MATCH(G661,AUM!$G$6:$G$240,0))</f>
        <v>0</v>
      </c>
    </row>
    <row r="662" spans="1:32" x14ac:dyDescent="0.2">
      <c r="A662" t="s">
        <v>2110</v>
      </c>
      <c r="B662" s="1">
        <v>45671</v>
      </c>
      <c r="D662" t="s">
        <v>2110</v>
      </c>
      <c r="E662" t="s">
        <v>40</v>
      </c>
      <c r="F662" t="s">
        <v>2111</v>
      </c>
      <c r="G662" t="s">
        <v>2112</v>
      </c>
      <c r="H662" t="s">
        <v>43</v>
      </c>
      <c r="J662">
        <v>6940.75</v>
      </c>
      <c r="K662">
        <v>6969.73</v>
      </c>
      <c r="L662">
        <v>6969.7343975900003</v>
      </c>
      <c r="Q662" t="s">
        <v>2113</v>
      </c>
      <c r="T662">
        <v>1.9893257980040002E-2</v>
      </c>
      <c r="V662" t="s">
        <v>854</v>
      </c>
      <c r="W662" t="s">
        <v>36</v>
      </c>
      <c r="X662" t="s">
        <v>69</v>
      </c>
      <c r="Y662" t="s">
        <v>38</v>
      </c>
      <c r="AD662">
        <v>0</v>
      </c>
      <c r="AE662" t="b">
        <f>ISNUMBER(MATCH(G662,AUM!$C$6:$C$1451,0))</f>
        <v>1</v>
      </c>
      <c r="AF662" t="b">
        <f>ISNUMBER(MATCH(G662,AUM!$G$6:$G$240,0))</f>
        <v>0</v>
      </c>
    </row>
    <row r="663" spans="1:32" x14ac:dyDescent="0.2">
      <c r="A663" t="s">
        <v>2114</v>
      </c>
      <c r="B663" s="1">
        <v>45671</v>
      </c>
      <c r="D663" t="s">
        <v>2114</v>
      </c>
      <c r="E663" t="s">
        <v>40</v>
      </c>
      <c r="F663" t="s">
        <v>2115</v>
      </c>
      <c r="G663" t="s">
        <v>2116</v>
      </c>
      <c r="H663" t="s">
        <v>43</v>
      </c>
      <c r="J663">
        <v>6354.11</v>
      </c>
      <c r="K663">
        <v>6380.65</v>
      </c>
      <c r="L663">
        <v>6380.64760828</v>
      </c>
      <c r="Q663" t="s">
        <v>2113</v>
      </c>
      <c r="U663">
        <v>1.4524433884040001E-2</v>
      </c>
      <c r="V663" t="s">
        <v>854</v>
      </c>
      <c r="W663" t="s">
        <v>36</v>
      </c>
      <c r="X663" t="s">
        <v>69</v>
      </c>
      <c r="Y663" t="s">
        <v>38</v>
      </c>
      <c r="AD663">
        <v>0</v>
      </c>
      <c r="AE663" t="b">
        <f>ISNUMBER(MATCH(G663,AUM!$C$6:$C$1451,0))</f>
        <v>1</v>
      </c>
      <c r="AF663" t="b">
        <f>ISNUMBER(MATCH(G663,AUM!$G$6:$G$240,0))</f>
        <v>0</v>
      </c>
    </row>
    <row r="664" spans="1:32" x14ac:dyDescent="0.2">
      <c r="A664" t="s">
        <v>2113</v>
      </c>
      <c r="B664" s="1">
        <v>45671</v>
      </c>
      <c r="D664" t="s">
        <v>2113</v>
      </c>
      <c r="E664" t="s">
        <v>40</v>
      </c>
      <c r="F664" t="s">
        <v>2117</v>
      </c>
      <c r="G664" t="s">
        <v>2118</v>
      </c>
      <c r="H664" t="s">
        <v>43</v>
      </c>
      <c r="I664">
        <v>12359519182.4002</v>
      </c>
      <c r="J664">
        <v>4868.45</v>
      </c>
      <c r="K664">
        <v>4888.78</v>
      </c>
      <c r="L664">
        <v>4888.7774390599998</v>
      </c>
      <c r="M664">
        <v>60422938536545</v>
      </c>
      <c r="N664">
        <v>1000</v>
      </c>
      <c r="O664" t="s">
        <v>35</v>
      </c>
      <c r="P664">
        <v>1</v>
      </c>
      <c r="R664" t="s">
        <v>2110</v>
      </c>
      <c r="S664" t="s">
        <v>2114</v>
      </c>
      <c r="W664" t="s">
        <v>36</v>
      </c>
      <c r="X664" t="s">
        <v>37</v>
      </c>
      <c r="Y664" t="s">
        <v>38</v>
      </c>
      <c r="AD664">
        <v>0</v>
      </c>
      <c r="AE664" t="b">
        <f>ISNUMBER(MATCH(G664,AUM!$C$6:$C$1451,0))</f>
        <v>1</v>
      </c>
      <c r="AF664" t="b">
        <f>ISNUMBER(MATCH(G664,AUM!$G$6:$G$240,0))</f>
        <v>1</v>
      </c>
    </row>
    <row r="665" spans="1:32" x14ac:dyDescent="0.2">
      <c r="A665" t="s">
        <v>2119</v>
      </c>
      <c r="B665" s="1">
        <v>45671</v>
      </c>
      <c r="D665" t="s">
        <v>2119</v>
      </c>
      <c r="E665" t="s">
        <v>40</v>
      </c>
      <c r="F665" t="s">
        <v>2120</v>
      </c>
      <c r="G665" t="s">
        <v>2121</v>
      </c>
      <c r="H665" t="s">
        <v>43</v>
      </c>
      <c r="J665">
        <v>2626.01</v>
      </c>
      <c r="K665">
        <v>2589.3200000000002</v>
      </c>
      <c r="L665">
        <v>2589.3197228600002</v>
      </c>
      <c r="Q665" t="s">
        <v>2122</v>
      </c>
      <c r="T665">
        <v>0</v>
      </c>
      <c r="W665" t="s">
        <v>36</v>
      </c>
      <c r="X665" t="s">
        <v>69</v>
      </c>
      <c r="Y665" t="s">
        <v>38</v>
      </c>
      <c r="AD665">
        <v>0</v>
      </c>
      <c r="AE665" t="b">
        <f>ISNUMBER(MATCH(G665,AUM!$C$6:$C$1451,0))</f>
        <v>1</v>
      </c>
      <c r="AF665" t="b">
        <f>ISNUMBER(MATCH(G665,AUM!$G$6:$G$240,0))</f>
        <v>0</v>
      </c>
    </row>
    <row r="666" spans="1:32" x14ac:dyDescent="0.2">
      <c r="A666" t="s">
        <v>2123</v>
      </c>
      <c r="B666" s="1">
        <v>45671</v>
      </c>
      <c r="D666" t="s">
        <v>2123</v>
      </c>
      <c r="E666" t="s">
        <v>40</v>
      </c>
      <c r="F666" t="s">
        <v>2124</v>
      </c>
      <c r="G666" t="s">
        <v>2125</v>
      </c>
      <c r="H666" t="s">
        <v>43</v>
      </c>
      <c r="J666">
        <v>2561.2600000000002</v>
      </c>
      <c r="K666">
        <v>2525.4699999999998</v>
      </c>
      <c r="L666">
        <v>2525.4740950800001</v>
      </c>
      <c r="Q666" t="s">
        <v>2122</v>
      </c>
      <c r="U666">
        <v>0</v>
      </c>
      <c r="W666" t="s">
        <v>36</v>
      </c>
      <c r="X666" t="s">
        <v>69</v>
      </c>
      <c r="Y666" t="s">
        <v>38</v>
      </c>
      <c r="AD666">
        <v>0</v>
      </c>
      <c r="AE666" t="b">
        <f>ISNUMBER(MATCH(G666,AUM!$C$6:$C$1451,0))</f>
        <v>1</v>
      </c>
      <c r="AF666" t="b">
        <f>ISNUMBER(MATCH(G666,AUM!$G$6:$G$240,0))</f>
        <v>0</v>
      </c>
    </row>
    <row r="667" spans="1:32" x14ac:dyDescent="0.2">
      <c r="A667" t="s">
        <v>2122</v>
      </c>
      <c r="B667" s="1">
        <v>45671</v>
      </c>
      <c r="D667" t="s">
        <v>2122</v>
      </c>
      <c r="E667" t="s">
        <v>40</v>
      </c>
      <c r="F667" t="s">
        <v>2126</v>
      </c>
      <c r="G667" t="s">
        <v>2127</v>
      </c>
      <c r="H667" t="s">
        <v>43</v>
      </c>
      <c r="I667">
        <v>276343296.28681701</v>
      </c>
      <c r="J667">
        <v>2360.7600000000002</v>
      </c>
      <c r="K667">
        <v>2327.77</v>
      </c>
      <c r="L667">
        <v>2327.7740859599999</v>
      </c>
      <c r="M667">
        <v>643264763926.328</v>
      </c>
      <c r="N667">
        <v>115</v>
      </c>
      <c r="O667" t="s">
        <v>35</v>
      </c>
      <c r="P667">
        <v>1</v>
      </c>
      <c r="R667" t="s">
        <v>2119</v>
      </c>
      <c r="S667" t="s">
        <v>2123</v>
      </c>
      <c r="W667" t="s">
        <v>36</v>
      </c>
      <c r="X667" t="s">
        <v>37</v>
      </c>
      <c r="Y667" t="s">
        <v>38</v>
      </c>
      <c r="AD667">
        <v>0</v>
      </c>
      <c r="AE667" t="b">
        <f>ISNUMBER(MATCH(G667,AUM!$C$6:$C$1451,0))</f>
        <v>1</v>
      </c>
      <c r="AF667" t="b">
        <f>ISNUMBER(MATCH(G667,AUM!$G$6:$G$240,0))</f>
        <v>1</v>
      </c>
    </row>
    <row r="668" spans="1:32" x14ac:dyDescent="0.2">
      <c r="A668" t="s">
        <v>2128</v>
      </c>
      <c r="B668" s="1">
        <v>45671</v>
      </c>
      <c r="D668" t="s">
        <v>2128</v>
      </c>
      <c r="E668" t="s">
        <v>40</v>
      </c>
      <c r="F668" t="s">
        <v>2129</v>
      </c>
      <c r="G668" t="s">
        <v>2130</v>
      </c>
      <c r="H668" t="s">
        <v>43</v>
      </c>
      <c r="I668">
        <v>1</v>
      </c>
      <c r="J668">
        <v>36.788200000000003</v>
      </c>
      <c r="K668">
        <v>34.650300000000001</v>
      </c>
      <c r="L668">
        <v>34.650300000000001</v>
      </c>
      <c r="M668">
        <v>34.650300000000001</v>
      </c>
      <c r="N668">
        <v>1</v>
      </c>
      <c r="O668" t="s">
        <v>88</v>
      </c>
      <c r="P668">
        <v>1</v>
      </c>
      <c r="W668" t="s">
        <v>36</v>
      </c>
      <c r="X668" t="s">
        <v>37</v>
      </c>
      <c r="Y668" t="s">
        <v>38</v>
      </c>
      <c r="AD668">
        <v>0</v>
      </c>
      <c r="AE668" t="b">
        <f>ISNUMBER(MATCH(G668,AUM!$C$6:$C$1451,0))</f>
        <v>0</v>
      </c>
      <c r="AF668" t="b">
        <f>ISNUMBER(MATCH(G668,AUM!$G$6:$G$240,0))</f>
        <v>0</v>
      </c>
    </row>
    <row r="669" spans="1:32" x14ac:dyDescent="0.2">
      <c r="A669" t="s">
        <v>2131</v>
      </c>
      <c r="B669" s="1">
        <v>45671</v>
      </c>
      <c r="D669" t="s">
        <v>2131</v>
      </c>
      <c r="E669" t="s">
        <v>40</v>
      </c>
      <c r="F669" t="s">
        <v>2132</v>
      </c>
      <c r="G669" t="s">
        <v>2133</v>
      </c>
      <c r="H669" t="s">
        <v>43</v>
      </c>
      <c r="I669">
        <v>1</v>
      </c>
      <c r="J669">
        <v>0.45900000000000002</v>
      </c>
      <c r="K669">
        <v>0.43430000000000002</v>
      </c>
      <c r="L669">
        <v>0.43430000000000002</v>
      </c>
      <c r="M669">
        <v>0.43430000000000002</v>
      </c>
      <c r="N669">
        <v>1</v>
      </c>
      <c r="O669" t="s">
        <v>88</v>
      </c>
      <c r="P669">
        <v>1</v>
      </c>
      <c r="W669" t="s">
        <v>36</v>
      </c>
      <c r="X669" t="s">
        <v>37</v>
      </c>
      <c r="Y669" t="s">
        <v>38</v>
      </c>
      <c r="AD669">
        <v>0</v>
      </c>
      <c r="AE669" t="b">
        <f>ISNUMBER(MATCH(G669,AUM!$C$6:$C$1451,0))</f>
        <v>0</v>
      </c>
      <c r="AF669" t="b">
        <f>ISNUMBER(MATCH(G669,AUM!$G$6:$G$240,0))</f>
        <v>0</v>
      </c>
    </row>
    <row r="670" spans="1:32" x14ac:dyDescent="0.2">
      <c r="A670" t="s">
        <v>2134</v>
      </c>
      <c r="B670" s="1">
        <v>45671</v>
      </c>
      <c r="D670" t="s">
        <v>2134</v>
      </c>
      <c r="E670" t="s">
        <v>40</v>
      </c>
      <c r="F670" t="s">
        <v>2135</v>
      </c>
      <c r="G670" t="s">
        <v>2136</v>
      </c>
      <c r="H670" t="s">
        <v>43</v>
      </c>
      <c r="I670">
        <v>1</v>
      </c>
      <c r="J670">
        <v>6.7454000000000001</v>
      </c>
      <c r="K670">
        <v>6.3630000000000004</v>
      </c>
      <c r="L670">
        <v>6.3630000000000004</v>
      </c>
      <c r="M670">
        <v>6.3630000000000004</v>
      </c>
      <c r="N670">
        <v>1</v>
      </c>
      <c r="O670" t="s">
        <v>88</v>
      </c>
      <c r="P670">
        <v>1</v>
      </c>
      <c r="W670" t="s">
        <v>36</v>
      </c>
      <c r="X670" t="s">
        <v>37</v>
      </c>
      <c r="Y670" t="s">
        <v>38</v>
      </c>
      <c r="AD670">
        <v>0</v>
      </c>
      <c r="AE670" t="b">
        <f>ISNUMBER(MATCH(G670,AUM!$C$6:$C$1451,0))</f>
        <v>0</v>
      </c>
      <c r="AF670" t="b">
        <f>ISNUMBER(MATCH(G670,AUM!$G$6:$G$240,0))</f>
        <v>0</v>
      </c>
    </row>
    <row r="671" spans="1:32" x14ac:dyDescent="0.2">
      <c r="A671" t="s">
        <v>2137</v>
      </c>
      <c r="B671" s="1">
        <v>45671</v>
      </c>
      <c r="D671" t="s">
        <v>2137</v>
      </c>
      <c r="E671" t="s">
        <v>40</v>
      </c>
      <c r="F671" t="s">
        <v>2138</v>
      </c>
      <c r="G671" t="s">
        <v>2139</v>
      </c>
      <c r="H671" t="s">
        <v>43</v>
      </c>
      <c r="I671">
        <v>1</v>
      </c>
      <c r="J671">
        <v>2.3567</v>
      </c>
      <c r="K671">
        <v>2.5097</v>
      </c>
      <c r="L671">
        <v>2.5097</v>
      </c>
      <c r="M671">
        <v>2.5097</v>
      </c>
      <c r="N671">
        <v>1</v>
      </c>
      <c r="O671" t="s">
        <v>88</v>
      </c>
      <c r="P671">
        <v>1</v>
      </c>
      <c r="W671" t="s">
        <v>36</v>
      </c>
      <c r="X671" t="s">
        <v>37</v>
      </c>
      <c r="Y671" t="s">
        <v>38</v>
      </c>
      <c r="AD671">
        <v>0</v>
      </c>
      <c r="AE671" t="b">
        <f>ISNUMBER(MATCH(G671,AUM!$C$6:$C$1451,0))</f>
        <v>0</v>
      </c>
      <c r="AF671" t="b">
        <f>ISNUMBER(MATCH(G671,AUM!$G$6:$G$240,0))</f>
        <v>0</v>
      </c>
    </row>
    <row r="672" spans="1:32" x14ac:dyDescent="0.2">
      <c r="A672" t="s">
        <v>2140</v>
      </c>
      <c r="B672" s="1">
        <v>45671</v>
      </c>
      <c r="D672" t="s">
        <v>2140</v>
      </c>
      <c r="E672" t="s">
        <v>40</v>
      </c>
      <c r="F672" t="s">
        <v>2141</v>
      </c>
      <c r="G672" t="s">
        <v>2142</v>
      </c>
      <c r="H672" t="s">
        <v>43</v>
      </c>
      <c r="I672">
        <v>1</v>
      </c>
      <c r="J672">
        <v>0.93430000000000002</v>
      </c>
      <c r="K672">
        <v>0.93259999999999998</v>
      </c>
      <c r="L672">
        <v>0.93259999999999998</v>
      </c>
      <c r="M672">
        <v>0.93259999999999998</v>
      </c>
      <c r="N672">
        <v>1</v>
      </c>
      <c r="O672" t="s">
        <v>88</v>
      </c>
      <c r="P672">
        <v>1</v>
      </c>
      <c r="W672" t="s">
        <v>36</v>
      </c>
      <c r="X672" t="s">
        <v>37</v>
      </c>
      <c r="Y672" t="s">
        <v>38</v>
      </c>
      <c r="AD672">
        <v>0</v>
      </c>
      <c r="AE672" t="b">
        <f>ISNUMBER(MATCH(G672,AUM!$C$6:$C$1451,0))</f>
        <v>0</v>
      </c>
      <c r="AF672" t="b">
        <f>ISNUMBER(MATCH(G672,AUM!$G$6:$G$240,0))</f>
        <v>0</v>
      </c>
    </row>
    <row r="673" spans="1:32" x14ac:dyDescent="0.2">
      <c r="A673" t="s">
        <v>2143</v>
      </c>
      <c r="B673" s="1">
        <v>45671</v>
      </c>
      <c r="D673" t="s">
        <v>2143</v>
      </c>
      <c r="E673" t="s">
        <v>40</v>
      </c>
      <c r="F673" t="s">
        <v>2144</v>
      </c>
      <c r="G673" t="s">
        <v>2145</v>
      </c>
      <c r="H673" t="s">
        <v>43</v>
      </c>
      <c r="I673">
        <v>1</v>
      </c>
      <c r="J673">
        <v>188.32919999999999</v>
      </c>
      <c r="K673">
        <v>181.42080000000001</v>
      </c>
      <c r="L673">
        <v>181.42080000000001</v>
      </c>
      <c r="M673">
        <v>181.42080000000001</v>
      </c>
      <c r="N673">
        <v>1</v>
      </c>
      <c r="O673" t="s">
        <v>88</v>
      </c>
      <c r="P673">
        <v>1</v>
      </c>
      <c r="W673" t="s">
        <v>36</v>
      </c>
      <c r="X673" t="s">
        <v>37</v>
      </c>
      <c r="Y673" t="s">
        <v>38</v>
      </c>
      <c r="AD673">
        <v>0</v>
      </c>
      <c r="AE673" t="b">
        <f>ISNUMBER(MATCH(G673,AUM!$C$6:$C$1451,0))</f>
        <v>0</v>
      </c>
      <c r="AF673" t="b">
        <f>ISNUMBER(MATCH(G673,AUM!$G$6:$G$240,0))</f>
        <v>0</v>
      </c>
    </row>
    <row r="674" spans="1:32" x14ac:dyDescent="0.2">
      <c r="A674" t="s">
        <v>2146</v>
      </c>
      <c r="B674" s="1">
        <v>45671</v>
      </c>
      <c r="D674" t="s">
        <v>2146</v>
      </c>
      <c r="E674" t="s">
        <v>40</v>
      </c>
      <c r="F674" t="s">
        <v>2147</v>
      </c>
      <c r="G674" t="s">
        <v>2148</v>
      </c>
      <c r="H674" t="s">
        <v>43</v>
      </c>
      <c r="I674">
        <v>1</v>
      </c>
      <c r="J674">
        <v>3271.6329999999998</v>
      </c>
      <c r="K674">
        <v>3101.9569999999999</v>
      </c>
      <c r="L674">
        <v>3101.9569999999999</v>
      </c>
      <c r="M674">
        <v>3101.9569999999999</v>
      </c>
      <c r="N674">
        <v>1</v>
      </c>
      <c r="O674" t="s">
        <v>88</v>
      </c>
      <c r="P674">
        <v>1</v>
      </c>
      <c r="W674" t="s">
        <v>36</v>
      </c>
      <c r="X674" t="s">
        <v>37</v>
      </c>
      <c r="Y674" t="s">
        <v>38</v>
      </c>
      <c r="AD674">
        <v>0</v>
      </c>
      <c r="AE674" t="b">
        <f>ISNUMBER(MATCH(G674,AUM!$C$6:$C$1451,0))</f>
        <v>0</v>
      </c>
      <c r="AF674" t="b">
        <f>ISNUMBER(MATCH(G674,AUM!$G$6:$G$240,0))</f>
        <v>0</v>
      </c>
    </row>
    <row r="675" spans="1:32" x14ac:dyDescent="0.2">
      <c r="A675" t="s">
        <v>2149</v>
      </c>
      <c r="B675" s="1">
        <v>45671</v>
      </c>
      <c r="D675" t="s">
        <v>2149</v>
      </c>
      <c r="E675" t="s">
        <v>40</v>
      </c>
      <c r="F675" t="s">
        <v>2150</v>
      </c>
      <c r="G675" t="s">
        <v>2151</v>
      </c>
      <c r="H675" t="s">
        <v>43</v>
      </c>
      <c r="I675">
        <v>1</v>
      </c>
      <c r="J675">
        <v>94855.4</v>
      </c>
      <c r="K675">
        <v>93793.32</v>
      </c>
      <c r="L675">
        <v>93793.32</v>
      </c>
      <c r="M675">
        <v>93793.32</v>
      </c>
      <c r="N675">
        <v>1</v>
      </c>
      <c r="O675" t="s">
        <v>88</v>
      </c>
      <c r="P675">
        <v>1</v>
      </c>
      <c r="W675" t="s">
        <v>36</v>
      </c>
      <c r="X675" t="s">
        <v>37</v>
      </c>
      <c r="Y675" t="s">
        <v>38</v>
      </c>
      <c r="AD675">
        <v>0</v>
      </c>
      <c r="AE675" t="b">
        <f>ISNUMBER(MATCH(G675,AUM!$C$6:$C$1451,0))</f>
        <v>0</v>
      </c>
      <c r="AF675" t="b">
        <f>ISNUMBER(MATCH(G675,AUM!$G$6:$G$240,0))</f>
        <v>0</v>
      </c>
    </row>
    <row r="676" spans="1:32" x14ac:dyDescent="0.2">
      <c r="A676" t="s">
        <v>2152</v>
      </c>
      <c r="B676" s="1">
        <v>45671</v>
      </c>
      <c r="D676" t="s">
        <v>2152</v>
      </c>
      <c r="E676" t="s">
        <v>40</v>
      </c>
      <c r="F676" t="s">
        <v>2153</v>
      </c>
      <c r="G676" t="s">
        <v>2154</v>
      </c>
      <c r="H676" t="s">
        <v>43</v>
      </c>
      <c r="I676">
        <v>1</v>
      </c>
      <c r="J676">
        <v>36.511800000000001</v>
      </c>
      <c r="K676">
        <v>34.487000000000002</v>
      </c>
      <c r="L676">
        <v>34.487000000000002</v>
      </c>
      <c r="M676">
        <v>34.487000000000002</v>
      </c>
      <c r="N676">
        <v>1</v>
      </c>
      <c r="O676" t="s">
        <v>88</v>
      </c>
      <c r="P676">
        <v>1</v>
      </c>
      <c r="W676" t="s">
        <v>36</v>
      </c>
      <c r="X676" t="s">
        <v>37</v>
      </c>
      <c r="Y676" t="s">
        <v>38</v>
      </c>
      <c r="AD676">
        <v>0</v>
      </c>
      <c r="AE676" t="b">
        <f>ISNUMBER(MATCH(G676,AUM!$C$6:$C$1451,0))</f>
        <v>0</v>
      </c>
      <c r="AF676" t="b">
        <f>ISNUMBER(MATCH(G676,AUM!$G$6:$G$240,0))</f>
        <v>0</v>
      </c>
    </row>
    <row r="677" spans="1:32" x14ac:dyDescent="0.2">
      <c r="A677" t="s">
        <v>2155</v>
      </c>
      <c r="B677" s="1">
        <v>45671</v>
      </c>
      <c r="D677" t="s">
        <v>2155</v>
      </c>
      <c r="E677" t="s">
        <v>40</v>
      </c>
      <c r="F677" t="s">
        <v>2156</v>
      </c>
      <c r="G677" t="s">
        <v>2157</v>
      </c>
      <c r="H677" t="s">
        <v>43</v>
      </c>
      <c r="I677">
        <v>1</v>
      </c>
      <c r="J677">
        <v>0.45040000000000002</v>
      </c>
      <c r="K677">
        <v>0.4304</v>
      </c>
      <c r="L677">
        <v>0.4304</v>
      </c>
      <c r="M677">
        <v>0.4304</v>
      </c>
      <c r="N677">
        <v>1</v>
      </c>
      <c r="O677" t="s">
        <v>88</v>
      </c>
      <c r="P677">
        <v>1</v>
      </c>
      <c r="W677" t="s">
        <v>36</v>
      </c>
      <c r="X677" t="s">
        <v>37</v>
      </c>
      <c r="Y677" t="s">
        <v>38</v>
      </c>
      <c r="AD677">
        <v>0</v>
      </c>
      <c r="AE677" t="b">
        <f>ISNUMBER(MATCH(G677,AUM!$C$6:$C$1451,0))</f>
        <v>0</v>
      </c>
      <c r="AF677" t="b">
        <f>ISNUMBER(MATCH(G677,AUM!$G$6:$G$240,0))</f>
        <v>0</v>
      </c>
    </row>
    <row r="678" spans="1:32" x14ac:dyDescent="0.2">
      <c r="A678" t="s">
        <v>2158</v>
      </c>
      <c r="B678" s="1">
        <v>45671</v>
      </c>
      <c r="D678" t="s">
        <v>2158</v>
      </c>
      <c r="E678" t="s">
        <v>40</v>
      </c>
      <c r="F678" t="s">
        <v>2159</v>
      </c>
      <c r="G678" t="s">
        <v>2160</v>
      </c>
      <c r="H678" t="s">
        <v>43</v>
      </c>
      <c r="I678">
        <v>1</v>
      </c>
      <c r="J678">
        <v>6.5923999999999996</v>
      </c>
      <c r="K678">
        <v>6.2953999999999999</v>
      </c>
      <c r="L678">
        <v>6.2953999999999999</v>
      </c>
      <c r="M678">
        <v>6.2953999999999999</v>
      </c>
      <c r="N678">
        <v>1</v>
      </c>
      <c r="O678" t="s">
        <v>88</v>
      </c>
      <c r="P678">
        <v>1</v>
      </c>
      <c r="W678" t="s">
        <v>36</v>
      </c>
      <c r="X678" t="s">
        <v>37</v>
      </c>
      <c r="Y678" t="s">
        <v>38</v>
      </c>
      <c r="AD678">
        <v>0</v>
      </c>
      <c r="AE678" t="b">
        <f>ISNUMBER(MATCH(G678,AUM!$C$6:$C$1451,0))</f>
        <v>0</v>
      </c>
      <c r="AF678" t="b">
        <f>ISNUMBER(MATCH(G678,AUM!$G$6:$G$240,0))</f>
        <v>0</v>
      </c>
    </row>
    <row r="679" spans="1:32" x14ac:dyDescent="0.2">
      <c r="A679" t="s">
        <v>2161</v>
      </c>
      <c r="B679" s="1">
        <v>45671</v>
      </c>
      <c r="D679" t="s">
        <v>2161</v>
      </c>
      <c r="E679" t="s">
        <v>40</v>
      </c>
      <c r="F679" t="s">
        <v>2162</v>
      </c>
      <c r="G679" t="s">
        <v>2163</v>
      </c>
      <c r="H679" t="s">
        <v>43</v>
      </c>
      <c r="I679">
        <v>1</v>
      </c>
      <c r="J679">
        <v>2.2784</v>
      </c>
      <c r="K679">
        <v>2.4672000000000001</v>
      </c>
      <c r="L679">
        <v>2.4672000000000001</v>
      </c>
      <c r="M679">
        <v>2.4672000000000001</v>
      </c>
      <c r="N679">
        <v>1</v>
      </c>
      <c r="O679" t="s">
        <v>88</v>
      </c>
      <c r="P679">
        <v>1</v>
      </c>
      <c r="W679" t="s">
        <v>36</v>
      </c>
      <c r="X679" t="s">
        <v>37</v>
      </c>
      <c r="Y679" t="s">
        <v>38</v>
      </c>
      <c r="AD679">
        <v>0</v>
      </c>
      <c r="AE679" t="b">
        <f>ISNUMBER(MATCH(G679,AUM!$C$6:$C$1451,0))</f>
        <v>0</v>
      </c>
      <c r="AF679" t="b">
        <f>ISNUMBER(MATCH(G679,AUM!$G$6:$G$240,0))</f>
        <v>0</v>
      </c>
    </row>
    <row r="680" spans="1:32" x14ac:dyDescent="0.2">
      <c r="A680" t="s">
        <v>2164</v>
      </c>
      <c r="B680" s="1">
        <v>45671</v>
      </c>
      <c r="D680" t="s">
        <v>2164</v>
      </c>
      <c r="E680" t="s">
        <v>40</v>
      </c>
      <c r="F680" t="s">
        <v>2165</v>
      </c>
      <c r="G680" t="s">
        <v>2166</v>
      </c>
      <c r="H680" t="s">
        <v>43</v>
      </c>
      <c r="I680">
        <v>1</v>
      </c>
      <c r="J680">
        <v>0.92400000000000004</v>
      </c>
      <c r="K680">
        <v>0.93120000000000003</v>
      </c>
      <c r="L680">
        <v>0.93120000000000003</v>
      </c>
      <c r="M680">
        <v>0.93120000000000003</v>
      </c>
      <c r="N680">
        <v>1</v>
      </c>
      <c r="O680" t="s">
        <v>88</v>
      </c>
      <c r="P680">
        <v>1</v>
      </c>
      <c r="W680" t="s">
        <v>36</v>
      </c>
      <c r="X680" t="s">
        <v>37</v>
      </c>
      <c r="Y680" t="s">
        <v>38</v>
      </c>
      <c r="AD680">
        <v>0</v>
      </c>
      <c r="AE680" t="b">
        <f>ISNUMBER(MATCH(G680,AUM!$C$6:$C$1451,0))</f>
        <v>0</v>
      </c>
      <c r="AF680" t="b">
        <f>ISNUMBER(MATCH(G680,AUM!$G$6:$G$240,0))</f>
        <v>0</v>
      </c>
    </row>
    <row r="681" spans="1:32" x14ac:dyDescent="0.2">
      <c r="A681" t="s">
        <v>2167</v>
      </c>
      <c r="B681" s="1">
        <v>45671</v>
      </c>
      <c r="D681" t="s">
        <v>2167</v>
      </c>
      <c r="E681" t="s">
        <v>40</v>
      </c>
      <c r="F681" t="s">
        <v>2168</v>
      </c>
      <c r="G681" t="s">
        <v>2169</v>
      </c>
      <c r="H681" t="s">
        <v>43</v>
      </c>
      <c r="I681">
        <v>1</v>
      </c>
      <c r="J681">
        <v>185.91829999999999</v>
      </c>
      <c r="K681">
        <v>178.3776</v>
      </c>
      <c r="L681">
        <v>178.3776</v>
      </c>
      <c r="M681">
        <v>178.3776</v>
      </c>
      <c r="N681">
        <v>1</v>
      </c>
      <c r="O681" t="s">
        <v>88</v>
      </c>
      <c r="P681">
        <v>1</v>
      </c>
      <c r="W681" t="s">
        <v>36</v>
      </c>
      <c r="X681" t="s">
        <v>37</v>
      </c>
      <c r="Y681" t="s">
        <v>38</v>
      </c>
      <c r="AD681">
        <v>0</v>
      </c>
      <c r="AE681" t="b">
        <f>ISNUMBER(MATCH(G681,AUM!$C$6:$C$1451,0))</f>
        <v>0</v>
      </c>
      <c r="AF681" t="b">
        <f>ISNUMBER(MATCH(G681,AUM!$G$6:$G$240,0))</f>
        <v>0</v>
      </c>
    </row>
    <row r="682" spans="1:32" x14ac:dyDescent="0.2">
      <c r="A682" t="s">
        <v>2170</v>
      </c>
      <c r="B682" s="1">
        <v>45671</v>
      </c>
      <c r="D682" t="s">
        <v>2170</v>
      </c>
      <c r="E682" t="s">
        <v>40</v>
      </c>
      <c r="F682" t="s">
        <v>2171</v>
      </c>
      <c r="G682" t="s">
        <v>2172</v>
      </c>
      <c r="H682" t="s">
        <v>43</v>
      </c>
      <c r="I682">
        <v>1</v>
      </c>
      <c r="J682">
        <v>3236.9479999999999</v>
      </c>
      <c r="K682">
        <v>3054.848</v>
      </c>
      <c r="L682">
        <v>3054.848</v>
      </c>
      <c r="M682">
        <v>3054.848</v>
      </c>
      <c r="N682">
        <v>1</v>
      </c>
      <c r="O682" t="s">
        <v>88</v>
      </c>
      <c r="P682">
        <v>1</v>
      </c>
      <c r="W682" t="s">
        <v>36</v>
      </c>
      <c r="X682" t="s">
        <v>37</v>
      </c>
      <c r="Y682" t="s">
        <v>38</v>
      </c>
      <c r="AD682">
        <v>0</v>
      </c>
      <c r="AE682" t="b">
        <f>ISNUMBER(MATCH(G682,AUM!$C$6:$C$1451,0))</f>
        <v>0</v>
      </c>
      <c r="AF682" t="b">
        <f>ISNUMBER(MATCH(G682,AUM!$G$6:$G$240,0))</f>
        <v>0</v>
      </c>
    </row>
    <row r="683" spans="1:32" x14ac:dyDescent="0.2">
      <c r="A683" t="s">
        <v>2173</v>
      </c>
      <c r="B683" s="1">
        <v>45671</v>
      </c>
      <c r="D683" t="s">
        <v>2173</v>
      </c>
      <c r="E683" t="s">
        <v>40</v>
      </c>
      <c r="F683" t="s">
        <v>2174</v>
      </c>
      <c r="G683" t="s">
        <v>2175</v>
      </c>
      <c r="H683" t="s">
        <v>43</v>
      </c>
      <c r="I683">
        <v>1</v>
      </c>
      <c r="J683">
        <v>93463.85</v>
      </c>
      <c r="K683">
        <v>92366.15</v>
      </c>
      <c r="L683">
        <v>92366.15</v>
      </c>
      <c r="M683">
        <v>92366.15</v>
      </c>
      <c r="N683">
        <v>1</v>
      </c>
      <c r="O683" t="s">
        <v>88</v>
      </c>
      <c r="P683">
        <v>1</v>
      </c>
      <c r="W683" t="s">
        <v>36</v>
      </c>
      <c r="X683" t="s">
        <v>37</v>
      </c>
      <c r="Y683" t="s">
        <v>38</v>
      </c>
      <c r="AD683">
        <v>0</v>
      </c>
      <c r="AE683" t="b">
        <f>ISNUMBER(MATCH(G683,AUM!$C$6:$C$1451,0))</f>
        <v>0</v>
      </c>
      <c r="AF683" t="b">
        <f>ISNUMBER(MATCH(G683,AUM!$G$6:$G$240,0))</f>
        <v>0</v>
      </c>
    </row>
    <row r="684" spans="1:32" x14ac:dyDescent="0.2">
      <c r="A684" t="s">
        <v>2176</v>
      </c>
      <c r="B684" s="1">
        <v>45671</v>
      </c>
      <c r="D684" t="s">
        <v>2176</v>
      </c>
      <c r="E684" t="s">
        <v>40</v>
      </c>
      <c r="F684" t="s">
        <v>2177</v>
      </c>
      <c r="G684" t="s">
        <v>2178</v>
      </c>
      <c r="H684" t="s">
        <v>43</v>
      </c>
      <c r="J684">
        <v>1229.6500000000001</v>
      </c>
      <c r="K684">
        <v>1228.1300000000001</v>
      </c>
      <c r="L684">
        <v>1228.1340961599999</v>
      </c>
      <c r="Q684" t="s">
        <v>2179</v>
      </c>
      <c r="T684">
        <v>4.2427674456699998E-3</v>
      </c>
      <c r="V684" t="s">
        <v>854</v>
      </c>
      <c r="W684" t="s">
        <v>91</v>
      </c>
      <c r="X684" t="s">
        <v>69</v>
      </c>
      <c r="Y684" t="s">
        <v>38</v>
      </c>
      <c r="AD684">
        <v>0</v>
      </c>
      <c r="AE684" t="b">
        <f>ISNUMBER(MATCH(G684,AUM!$C$6:$C$1451,0))</f>
        <v>1</v>
      </c>
      <c r="AF684" t="b">
        <f>ISNUMBER(MATCH(G684,AUM!$G$6:$G$240,0))</f>
        <v>0</v>
      </c>
    </row>
    <row r="685" spans="1:32" x14ac:dyDescent="0.2">
      <c r="A685" t="s">
        <v>2180</v>
      </c>
      <c r="B685" s="1">
        <v>45671</v>
      </c>
      <c r="D685" t="s">
        <v>2180</v>
      </c>
      <c r="E685" t="s">
        <v>40</v>
      </c>
      <c r="F685" t="s">
        <v>2181</v>
      </c>
      <c r="G685" t="s">
        <v>2182</v>
      </c>
      <c r="H685" t="s">
        <v>43</v>
      </c>
      <c r="J685">
        <v>1211.8399999999999</v>
      </c>
      <c r="K685">
        <v>1210.3499999999999</v>
      </c>
      <c r="L685">
        <v>1210.34651635</v>
      </c>
      <c r="Q685" t="s">
        <v>2179</v>
      </c>
      <c r="U685">
        <v>3.0977176382900001E-3</v>
      </c>
      <c r="V685" t="s">
        <v>854</v>
      </c>
      <c r="W685" t="s">
        <v>91</v>
      </c>
      <c r="X685" t="s">
        <v>69</v>
      </c>
      <c r="Y685" t="s">
        <v>38</v>
      </c>
      <c r="AD685">
        <v>0</v>
      </c>
      <c r="AE685" t="b">
        <f>ISNUMBER(MATCH(G685,AUM!$C$6:$C$1451,0))</f>
        <v>1</v>
      </c>
      <c r="AF685" t="b">
        <f>ISNUMBER(MATCH(G685,AUM!$G$6:$G$240,0))</f>
        <v>0</v>
      </c>
    </row>
    <row r="686" spans="1:32" x14ac:dyDescent="0.2">
      <c r="A686" t="s">
        <v>2179</v>
      </c>
      <c r="B686" s="1">
        <v>45671</v>
      </c>
      <c r="D686" t="s">
        <v>2179</v>
      </c>
      <c r="E686" t="s">
        <v>40</v>
      </c>
      <c r="F686" t="s">
        <v>2183</v>
      </c>
      <c r="G686" t="s">
        <v>2184</v>
      </c>
      <c r="H686" t="s">
        <v>43</v>
      </c>
      <c r="I686">
        <v>59094575416.221802</v>
      </c>
      <c r="J686">
        <v>1154.72</v>
      </c>
      <c r="K686">
        <v>1153.3</v>
      </c>
      <c r="L686">
        <v>1153.3015367200001</v>
      </c>
      <c r="M686">
        <v>68153864639247.297</v>
      </c>
      <c r="N686">
        <v>1548</v>
      </c>
      <c r="O686" t="s">
        <v>88</v>
      </c>
      <c r="P686">
        <v>1</v>
      </c>
      <c r="R686" t="s">
        <v>2176</v>
      </c>
      <c r="S686" t="s">
        <v>2180</v>
      </c>
      <c r="W686" t="s">
        <v>91</v>
      </c>
      <c r="X686" t="s">
        <v>37</v>
      </c>
      <c r="Y686" t="s">
        <v>38</v>
      </c>
      <c r="AD686">
        <v>0</v>
      </c>
      <c r="AE686" t="b">
        <f>ISNUMBER(MATCH(G686,AUM!$C$6:$C$1451,0))</f>
        <v>1</v>
      </c>
      <c r="AF686" t="b">
        <f>ISNUMBER(MATCH(G686,AUM!$G$6:$G$240,0))</f>
        <v>0</v>
      </c>
    </row>
    <row r="687" spans="1:32" x14ac:dyDescent="0.2">
      <c r="A687" t="s">
        <v>2185</v>
      </c>
      <c r="B687" s="1">
        <v>45671</v>
      </c>
      <c r="D687" t="s">
        <v>2185</v>
      </c>
      <c r="E687" t="s">
        <v>40</v>
      </c>
      <c r="F687" t="s">
        <v>2186</v>
      </c>
      <c r="G687" t="s">
        <v>2187</v>
      </c>
      <c r="H687" t="s">
        <v>43</v>
      </c>
      <c r="J687">
        <v>6819.85</v>
      </c>
      <c r="K687">
        <v>6842.43</v>
      </c>
      <c r="L687">
        <v>6842.4327060599999</v>
      </c>
      <c r="Q687" t="s">
        <v>2188</v>
      </c>
      <c r="T687">
        <v>1.9188024044680001E-2</v>
      </c>
      <c r="V687" t="s">
        <v>854</v>
      </c>
      <c r="W687" t="s">
        <v>36</v>
      </c>
      <c r="X687" t="s">
        <v>69</v>
      </c>
      <c r="Y687" t="s">
        <v>38</v>
      </c>
      <c r="AD687">
        <v>0</v>
      </c>
      <c r="AE687" t="b">
        <f>ISNUMBER(MATCH(G687,AUM!$C$6:$C$1451,0))</f>
        <v>1</v>
      </c>
      <c r="AF687" t="b">
        <f>ISNUMBER(MATCH(G687,AUM!$G$6:$G$240,0))</f>
        <v>0</v>
      </c>
    </row>
    <row r="688" spans="1:32" x14ac:dyDescent="0.2">
      <c r="A688" t="s">
        <v>2189</v>
      </c>
      <c r="B688" s="1">
        <v>45671</v>
      </c>
      <c r="D688" t="s">
        <v>2189</v>
      </c>
      <c r="E688" t="s">
        <v>40</v>
      </c>
      <c r="F688" t="s">
        <v>2190</v>
      </c>
      <c r="G688" t="s">
        <v>2191</v>
      </c>
      <c r="H688" t="s">
        <v>43</v>
      </c>
      <c r="J688">
        <v>6269.66</v>
      </c>
      <c r="K688">
        <v>6290.42</v>
      </c>
      <c r="L688">
        <v>6290.42177558</v>
      </c>
      <c r="Q688" t="s">
        <v>2188</v>
      </c>
      <c r="U688">
        <v>1.400952960455E-2</v>
      </c>
      <c r="V688" t="s">
        <v>854</v>
      </c>
      <c r="W688" t="s">
        <v>36</v>
      </c>
      <c r="X688" t="s">
        <v>69</v>
      </c>
      <c r="Y688" t="s">
        <v>38</v>
      </c>
      <c r="AD688">
        <v>0</v>
      </c>
      <c r="AE688" t="b">
        <f>ISNUMBER(MATCH(G688,AUM!$C$6:$C$1451,0))</f>
        <v>1</v>
      </c>
      <c r="AF688" t="b">
        <f>ISNUMBER(MATCH(G688,AUM!$G$6:$G$240,0))</f>
        <v>0</v>
      </c>
    </row>
    <row r="689" spans="1:32" x14ac:dyDescent="0.2">
      <c r="A689" t="s">
        <v>2188</v>
      </c>
      <c r="B689" s="1">
        <v>45671</v>
      </c>
      <c r="D689" t="s">
        <v>2188</v>
      </c>
      <c r="E689" t="s">
        <v>40</v>
      </c>
      <c r="F689" t="s">
        <v>2192</v>
      </c>
      <c r="G689" t="s">
        <v>2193</v>
      </c>
      <c r="H689" t="s">
        <v>43</v>
      </c>
      <c r="I689">
        <v>12813779211.0462</v>
      </c>
      <c r="J689">
        <v>4842.29</v>
      </c>
      <c r="K689">
        <v>4858.32</v>
      </c>
      <c r="L689">
        <v>4858.3155029400004</v>
      </c>
      <c r="M689">
        <v>62253382192307.602</v>
      </c>
      <c r="N689">
        <v>1447</v>
      </c>
      <c r="O689" t="s">
        <v>35</v>
      </c>
      <c r="P689">
        <v>1</v>
      </c>
      <c r="R689" t="s">
        <v>2185</v>
      </c>
      <c r="S689" t="s">
        <v>2189</v>
      </c>
      <c r="W689" t="s">
        <v>36</v>
      </c>
      <c r="X689" t="s">
        <v>37</v>
      </c>
      <c r="Y689" t="s">
        <v>38</v>
      </c>
      <c r="AD689">
        <v>0</v>
      </c>
      <c r="AE689" t="b">
        <f>ISNUMBER(MATCH(G689,AUM!$C$6:$C$1451,0))</f>
        <v>1</v>
      </c>
      <c r="AF689" t="b">
        <f>ISNUMBER(MATCH(G689,AUM!$G$6:$G$240,0))</f>
        <v>1</v>
      </c>
    </row>
    <row r="690" spans="1:32" x14ac:dyDescent="0.2">
      <c r="A690" t="s">
        <v>2194</v>
      </c>
      <c r="B690" s="1">
        <v>45671</v>
      </c>
      <c r="D690" t="s">
        <v>2194</v>
      </c>
      <c r="E690" t="s">
        <v>40</v>
      </c>
      <c r="F690" t="s">
        <v>2195</v>
      </c>
      <c r="G690" t="s">
        <v>2196</v>
      </c>
      <c r="H690" t="s">
        <v>43</v>
      </c>
      <c r="J690">
        <v>1896.12</v>
      </c>
      <c r="K690">
        <v>1874.35</v>
      </c>
      <c r="L690">
        <v>1874.3518847600001</v>
      </c>
      <c r="Q690" t="s">
        <v>2197</v>
      </c>
      <c r="T690">
        <v>0</v>
      </c>
      <c r="W690" t="s">
        <v>36</v>
      </c>
      <c r="X690" t="s">
        <v>69</v>
      </c>
      <c r="Y690" t="s">
        <v>38</v>
      </c>
      <c r="AD690">
        <v>0</v>
      </c>
      <c r="AE690" t="b">
        <f>ISNUMBER(MATCH(G690,AUM!$C$6:$C$1451,0))</f>
        <v>0</v>
      </c>
      <c r="AF690" t="b">
        <f>ISNUMBER(MATCH(G690,AUM!$G$6:$G$240,0))</f>
        <v>0</v>
      </c>
    </row>
    <row r="691" spans="1:32" x14ac:dyDescent="0.2">
      <c r="A691" t="s">
        <v>2198</v>
      </c>
      <c r="B691" s="1">
        <v>45671</v>
      </c>
      <c r="D691" t="s">
        <v>2198</v>
      </c>
      <c r="E691" t="s">
        <v>40</v>
      </c>
      <c r="F691" t="s">
        <v>2199</v>
      </c>
      <c r="G691" t="s">
        <v>2200</v>
      </c>
      <c r="H691" t="s">
        <v>43</v>
      </c>
      <c r="J691">
        <v>1777.45</v>
      </c>
      <c r="K691">
        <v>1757.04</v>
      </c>
      <c r="L691">
        <v>1757.04236758</v>
      </c>
      <c r="Q691" t="s">
        <v>2197</v>
      </c>
      <c r="U691">
        <v>0</v>
      </c>
      <c r="W691" t="s">
        <v>36</v>
      </c>
      <c r="X691" t="s">
        <v>69</v>
      </c>
      <c r="Y691" t="s">
        <v>38</v>
      </c>
      <c r="AD691">
        <v>0</v>
      </c>
      <c r="AE691" t="b">
        <f>ISNUMBER(MATCH(G691,AUM!$C$6:$C$1451,0))</f>
        <v>0</v>
      </c>
      <c r="AF691" t="b">
        <f>ISNUMBER(MATCH(G691,AUM!$G$6:$G$240,0))</f>
        <v>0</v>
      </c>
    </row>
    <row r="692" spans="1:32" x14ac:dyDescent="0.2">
      <c r="A692" t="s">
        <v>2197</v>
      </c>
      <c r="B692" s="1">
        <v>45671</v>
      </c>
      <c r="D692" t="s">
        <v>2197</v>
      </c>
      <c r="E692" t="s">
        <v>40</v>
      </c>
      <c r="F692" t="s">
        <v>2201</v>
      </c>
      <c r="G692" t="s">
        <v>2202</v>
      </c>
      <c r="H692" t="s">
        <v>43</v>
      </c>
      <c r="I692">
        <v>331991933.02124</v>
      </c>
      <c r="J692">
        <v>1265.8800000000001</v>
      </c>
      <c r="K692">
        <v>1251.3399999999999</v>
      </c>
      <c r="L692">
        <v>1251.3393308100001</v>
      </c>
      <c r="M692">
        <v>415434563301.88599</v>
      </c>
      <c r="N692">
        <v>25</v>
      </c>
      <c r="O692" t="s">
        <v>35</v>
      </c>
      <c r="P692">
        <v>1</v>
      </c>
      <c r="R692" t="s">
        <v>2194</v>
      </c>
      <c r="S692" t="s">
        <v>2198</v>
      </c>
      <c r="W692" t="s">
        <v>36</v>
      </c>
      <c r="X692" t="s">
        <v>37</v>
      </c>
      <c r="Y692" t="s">
        <v>38</v>
      </c>
      <c r="AD692">
        <v>0</v>
      </c>
      <c r="AE692" t="b">
        <f>ISNUMBER(MATCH(G692,AUM!$C$6:$C$1451,0))</f>
        <v>0</v>
      </c>
      <c r="AF692" t="b">
        <f>ISNUMBER(MATCH(G692,AUM!$G$6:$G$240,0))</f>
        <v>1</v>
      </c>
    </row>
    <row r="693" spans="1:32" x14ac:dyDescent="0.2">
      <c r="A693" t="s">
        <v>2203</v>
      </c>
      <c r="B693" s="1">
        <v>45671</v>
      </c>
      <c r="D693" t="s">
        <v>2203</v>
      </c>
      <c r="E693" t="s">
        <v>40</v>
      </c>
      <c r="F693" t="s">
        <v>2204</v>
      </c>
      <c r="G693" t="s">
        <v>2205</v>
      </c>
      <c r="H693" t="s">
        <v>43</v>
      </c>
      <c r="I693">
        <v>1</v>
      </c>
      <c r="J693">
        <v>89315.04</v>
      </c>
      <c r="K693">
        <v>88574.45</v>
      </c>
      <c r="L693">
        <v>88574.45</v>
      </c>
      <c r="M693">
        <v>88574.45</v>
      </c>
      <c r="N693">
        <v>1</v>
      </c>
      <c r="O693" t="s">
        <v>35</v>
      </c>
      <c r="P693">
        <v>1</v>
      </c>
      <c r="W693" t="s">
        <v>36</v>
      </c>
      <c r="X693" t="s">
        <v>37</v>
      </c>
      <c r="Y693" t="s">
        <v>38</v>
      </c>
      <c r="AD693">
        <v>0</v>
      </c>
      <c r="AE693" t="b">
        <f>ISNUMBER(MATCH(G693,AUM!$C$6:$C$1451,0))</f>
        <v>0</v>
      </c>
      <c r="AF693" t="b">
        <f>ISNUMBER(MATCH(G693,AUM!$G$6:$G$240,0))</f>
        <v>0</v>
      </c>
    </row>
    <row r="694" spans="1:32" x14ac:dyDescent="0.2">
      <c r="A694" t="s">
        <v>2206</v>
      </c>
      <c r="B694" s="1">
        <v>45671</v>
      </c>
      <c r="D694" t="s">
        <v>2206</v>
      </c>
      <c r="E694" t="s">
        <v>40</v>
      </c>
      <c r="F694" t="s">
        <v>2207</v>
      </c>
      <c r="G694" t="s">
        <v>2208</v>
      </c>
      <c r="H694" t="s">
        <v>43</v>
      </c>
      <c r="I694">
        <v>1</v>
      </c>
      <c r="J694">
        <v>69311.05</v>
      </c>
      <c r="K694">
        <v>68736.34</v>
      </c>
      <c r="L694">
        <v>68736.34</v>
      </c>
      <c r="M694">
        <v>68736.34</v>
      </c>
      <c r="N694">
        <v>1</v>
      </c>
      <c r="O694" t="s">
        <v>35</v>
      </c>
      <c r="P694">
        <v>1</v>
      </c>
      <c r="W694" t="s">
        <v>36</v>
      </c>
      <c r="X694" t="s">
        <v>37</v>
      </c>
      <c r="Y694" t="s">
        <v>38</v>
      </c>
      <c r="AD694">
        <v>0</v>
      </c>
      <c r="AE694" t="b">
        <f>ISNUMBER(MATCH(G694,AUM!$C$6:$C$1451,0))</f>
        <v>0</v>
      </c>
      <c r="AF694" t="b">
        <f>ISNUMBER(MATCH(G694,AUM!$G$6:$G$240,0))</f>
        <v>0</v>
      </c>
    </row>
    <row r="695" spans="1:32" x14ac:dyDescent="0.2">
      <c r="A695" t="s">
        <v>2209</v>
      </c>
      <c r="B695" s="1">
        <v>45671</v>
      </c>
      <c r="D695" t="s">
        <v>2209</v>
      </c>
      <c r="E695" t="s">
        <v>2210</v>
      </c>
      <c r="F695" t="s">
        <v>2211</v>
      </c>
      <c r="G695" t="s">
        <v>2212</v>
      </c>
      <c r="H695" t="s">
        <v>2213</v>
      </c>
      <c r="I695">
        <v>8469218.5577067509</v>
      </c>
      <c r="J695">
        <v>9616.17</v>
      </c>
      <c r="K695">
        <v>9522.6200000000008</v>
      </c>
      <c r="L695">
        <v>9522.6211947899992</v>
      </c>
      <c r="M695">
        <v>80649160140.888</v>
      </c>
      <c r="N695">
        <v>26</v>
      </c>
      <c r="O695" t="s">
        <v>35</v>
      </c>
      <c r="P695">
        <v>1</v>
      </c>
      <c r="R695" t="s">
        <v>2214</v>
      </c>
      <c r="W695" t="s">
        <v>36</v>
      </c>
      <c r="X695" t="s">
        <v>37</v>
      </c>
      <c r="Y695" t="s">
        <v>38</v>
      </c>
      <c r="AD695">
        <v>0</v>
      </c>
      <c r="AE695" t="b">
        <f>ISNUMBER(MATCH(G695,AUM!$C$6:$C$1451,0))</f>
        <v>1</v>
      </c>
      <c r="AF695" t="b">
        <f>ISNUMBER(MATCH(G695,AUM!$G$6:$G$240,0))</f>
        <v>0</v>
      </c>
    </row>
    <row r="696" spans="1:32" x14ac:dyDescent="0.2">
      <c r="A696" t="s">
        <v>2215</v>
      </c>
      <c r="B696" s="1">
        <v>45671</v>
      </c>
      <c r="D696" t="s">
        <v>2215</v>
      </c>
      <c r="E696" t="s">
        <v>2210</v>
      </c>
      <c r="F696" t="s">
        <v>2216</v>
      </c>
      <c r="G696" t="s">
        <v>2217</v>
      </c>
      <c r="H696" t="s">
        <v>2213</v>
      </c>
      <c r="I696">
        <v>56669126.549086101</v>
      </c>
      <c r="J696">
        <v>403.53</v>
      </c>
      <c r="K696">
        <v>407.89</v>
      </c>
      <c r="L696">
        <v>407.88848274999998</v>
      </c>
      <c r="M696">
        <v>23114684046.935001</v>
      </c>
      <c r="N696">
        <v>4</v>
      </c>
      <c r="O696" t="s">
        <v>35</v>
      </c>
      <c r="P696">
        <v>1</v>
      </c>
      <c r="R696" t="s">
        <v>2218</v>
      </c>
      <c r="W696" t="s">
        <v>36</v>
      </c>
      <c r="X696" t="s">
        <v>37</v>
      </c>
      <c r="Y696" t="s">
        <v>38</v>
      </c>
      <c r="AD696">
        <v>0</v>
      </c>
      <c r="AE696" t="b">
        <f>ISNUMBER(MATCH(G696,AUM!$C$6:$C$1451,0))</f>
        <v>1</v>
      </c>
      <c r="AF696" t="b">
        <f>ISNUMBER(MATCH(G696,AUM!$G$6:$G$240,0))</f>
        <v>0</v>
      </c>
    </row>
    <row r="697" spans="1:32" x14ac:dyDescent="0.2">
      <c r="A697" t="s">
        <v>2218</v>
      </c>
      <c r="B697" s="1">
        <v>45671</v>
      </c>
      <c r="D697" t="s">
        <v>2218</v>
      </c>
      <c r="E697" t="s">
        <v>2210</v>
      </c>
      <c r="F697" t="s">
        <v>2219</v>
      </c>
      <c r="G697" t="s">
        <v>2220</v>
      </c>
      <c r="H697" t="s">
        <v>2213</v>
      </c>
      <c r="J697">
        <v>1138.76</v>
      </c>
      <c r="K697">
        <v>1151.07</v>
      </c>
      <c r="L697">
        <v>1151.0673769</v>
      </c>
      <c r="Q697" t="s">
        <v>2215</v>
      </c>
      <c r="T697">
        <v>0</v>
      </c>
      <c r="W697" t="s">
        <v>36</v>
      </c>
      <c r="X697" t="s">
        <v>69</v>
      </c>
      <c r="Y697" t="s">
        <v>38</v>
      </c>
      <c r="AD697">
        <v>0</v>
      </c>
      <c r="AE697" t="b">
        <f>ISNUMBER(MATCH(G697,AUM!$C$6:$C$1451,0))</f>
        <v>1</v>
      </c>
      <c r="AF697" t="b">
        <f>ISNUMBER(MATCH(G697,AUM!$G$6:$G$240,0))</f>
        <v>0</v>
      </c>
    </row>
    <row r="698" spans="1:32" x14ac:dyDescent="0.2">
      <c r="A698" t="s">
        <v>2214</v>
      </c>
      <c r="B698" s="1">
        <v>45671</v>
      </c>
      <c r="D698" t="s">
        <v>2214</v>
      </c>
      <c r="E698" t="s">
        <v>2210</v>
      </c>
      <c r="F698" t="s">
        <v>2221</v>
      </c>
      <c r="G698" t="s">
        <v>2222</v>
      </c>
      <c r="H698" t="s">
        <v>2213</v>
      </c>
      <c r="J698">
        <v>23253.439999999999</v>
      </c>
      <c r="K698">
        <v>23027.22</v>
      </c>
      <c r="L698">
        <v>23027.222154859999</v>
      </c>
      <c r="Q698" t="s">
        <v>2209</v>
      </c>
      <c r="T698">
        <v>0</v>
      </c>
      <c r="W698" t="s">
        <v>36</v>
      </c>
      <c r="X698" t="s">
        <v>69</v>
      </c>
      <c r="Y698" t="s">
        <v>38</v>
      </c>
      <c r="AD698">
        <v>0</v>
      </c>
      <c r="AE698" t="b">
        <f>ISNUMBER(MATCH(G698,AUM!$C$6:$C$1451,0))</f>
        <v>1</v>
      </c>
      <c r="AF698" t="b">
        <f>ISNUMBER(MATCH(G698,AUM!$G$6:$G$240,0))</f>
        <v>0</v>
      </c>
    </row>
    <row r="699" spans="1:32" x14ac:dyDescent="0.2">
      <c r="A699" t="s">
        <v>2223</v>
      </c>
      <c r="B699" s="1">
        <v>45671</v>
      </c>
      <c r="D699" t="s">
        <v>2223</v>
      </c>
      <c r="E699" t="s">
        <v>2210</v>
      </c>
      <c r="F699" t="s">
        <v>2224</v>
      </c>
      <c r="G699" t="s">
        <v>2225</v>
      </c>
      <c r="H699" t="s">
        <v>2213</v>
      </c>
      <c r="J699">
        <v>1414.91</v>
      </c>
      <c r="K699">
        <v>1422.33</v>
      </c>
      <c r="L699">
        <v>1422.33407833</v>
      </c>
      <c r="Q699" t="s">
        <v>2226</v>
      </c>
      <c r="T699">
        <v>0</v>
      </c>
      <c r="W699" t="s">
        <v>36</v>
      </c>
      <c r="X699" t="s">
        <v>69</v>
      </c>
      <c r="Y699" t="s">
        <v>38</v>
      </c>
      <c r="AD699">
        <v>0</v>
      </c>
      <c r="AE699" t="b">
        <f>ISNUMBER(MATCH(G699,AUM!$C$6:$C$1451,0))</f>
        <v>1</v>
      </c>
      <c r="AF699" t="b">
        <f>ISNUMBER(MATCH(G699,AUM!$G$6:$G$240,0))</f>
        <v>0</v>
      </c>
    </row>
    <row r="700" spans="1:32" x14ac:dyDescent="0.2">
      <c r="A700" t="s">
        <v>2226</v>
      </c>
      <c r="B700" s="1">
        <v>45671</v>
      </c>
      <c r="D700" t="s">
        <v>2226</v>
      </c>
      <c r="E700" t="s">
        <v>2210</v>
      </c>
      <c r="F700" t="s">
        <v>2227</v>
      </c>
      <c r="G700" t="s">
        <v>2228</v>
      </c>
      <c r="H700" t="s">
        <v>2213</v>
      </c>
      <c r="I700">
        <v>65796.361133926403</v>
      </c>
      <c r="J700">
        <v>922.94</v>
      </c>
      <c r="K700">
        <v>927.78</v>
      </c>
      <c r="L700">
        <v>927.77949572</v>
      </c>
      <c r="M700">
        <v>61044514.753049999</v>
      </c>
      <c r="N700">
        <v>4</v>
      </c>
      <c r="O700" t="s">
        <v>35</v>
      </c>
      <c r="P700">
        <v>1</v>
      </c>
      <c r="R700" t="s">
        <v>2223</v>
      </c>
      <c r="W700" t="s">
        <v>36</v>
      </c>
      <c r="X700" t="s">
        <v>37</v>
      </c>
      <c r="Y700" t="s">
        <v>38</v>
      </c>
      <c r="AD700">
        <v>0</v>
      </c>
      <c r="AE700" t="b">
        <f>ISNUMBER(MATCH(G700,AUM!$C$6:$C$1451,0))</f>
        <v>1</v>
      </c>
      <c r="AF700" t="b">
        <f>ISNUMBER(MATCH(G700,AUM!$G$6:$G$240,0))</f>
        <v>0</v>
      </c>
    </row>
    <row r="701" spans="1:32" x14ac:dyDescent="0.2">
      <c r="A701" t="s">
        <v>2229</v>
      </c>
      <c r="B701" s="1">
        <v>45671</v>
      </c>
      <c r="D701" t="s">
        <v>2229</v>
      </c>
      <c r="E701" t="s">
        <v>2210</v>
      </c>
      <c r="F701" t="s">
        <v>2230</v>
      </c>
      <c r="G701" t="s">
        <v>2231</v>
      </c>
      <c r="H701" t="s">
        <v>2213</v>
      </c>
      <c r="J701">
        <v>3151.23</v>
      </c>
      <c r="K701">
        <v>3123.89</v>
      </c>
      <c r="L701">
        <v>3123.8871245</v>
      </c>
      <c r="Q701" t="s">
        <v>2232</v>
      </c>
      <c r="T701">
        <v>0</v>
      </c>
      <c r="W701" t="s">
        <v>36</v>
      </c>
      <c r="X701" t="s">
        <v>69</v>
      </c>
      <c r="Y701" t="s">
        <v>38</v>
      </c>
      <c r="AD701">
        <v>0</v>
      </c>
      <c r="AE701" t="b">
        <f>ISNUMBER(MATCH(G701,AUM!$C$6:$C$1451,0))</f>
        <v>1</v>
      </c>
      <c r="AF701" t="b">
        <f>ISNUMBER(MATCH(G701,AUM!$G$6:$G$240,0))</f>
        <v>0</v>
      </c>
    </row>
    <row r="702" spans="1:32" x14ac:dyDescent="0.2">
      <c r="A702" t="s">
        <v>2232</v>
      </c>
      <c r="B702" s="1">
        <v>45671</v>
      </c>
      <c r="D702" t="s">
        <v>2232</v>
      </c>
      <c r="E702" t="s">
        <v>2210</v>
      </c>
      <c r="F702" t="s">
        <v>2233</v>
      </c>
      <c r="G702" t="s">
        <v>2234</v>
      </c>
      <c r="H702" t="s">
        <v>2213</v>
      </c>
      <c r="I702">
        <v>7247750.3890273003</v>
      </c>
      <c r="J702">
        <v>2085.59</v>
      </c>
      <c r="K702">
        <v>2067.5</v>
      </c>
      <c r="L702">
        <v>2067.5009656500001</v>
      </c>
      <c r="M702">
        <v>14984730928.1096</v>
      </c>
      <c r="N702">
        <v>20</v>
      </c>
      <c r="O702" t="s">
        <v>35</v>
      </c>
      <c r="P702">
        <v>1</v>
      </c>
      <c r="R702" t="s">
        <v>2229</v>
      </c>
      <c r="W702" t="s">
        <v>36</v>
      </c>
      <c r="X702" t="s">
        <v>37</v>
      </c>
      <c r="Y702" t="s">
        <v>38</v>
      </c>
      <c r="AD702">
        <v>0</v>
      </c>
      <c r="AE702" t="b">
        <f>ISNUMBER(MATCH(G702,AUM!$C$6:$C$1451,0))</f>
        <v>1</v>
      </c>
      <c r="AF702" t="b">
        <f>ISNUMBER(MATCH(G702,AUM!$G$6:$G$240,0))</f>
        <v>0</v>
      </c>
    </row>
    <row r="703" spans="1:32" x14ac:dyDescent="0.2">
      <c r="A703" t="s">
        <v>2235</v>
      </c>
      <c r="B703" s="1">
        <v>45671</v>
      </c>
      <c r="D703" t="s">
        <v>2235</v>
      </c>
      <c r="E703" t="s">
        <v>2210</v>
      </c>
      <c r="F703" t="s">
        <v>2236</v>
      </c>
      <c r="G703" t="s">
        <v>2237</v>
      </c>
      <c r="H703" t="s">
        <v>2213</v>
      </c>
      <c r="J703">
        <v>2436.83</v>
      </c>
      <c r="K703">
        <v>2417.98</v>
      </c>
      <c r="L703">
        <v>2417.9819254899999</v>
      </c>
      <c r="Q703" t="s">
        <v>2238</v>
      </c>
      <c r="T703">
        <v>0</v>
      </c>
      <c r="W703" t="s">
        <v>36</v>
      </c>
      <c r="X703" t="s">
        <v>69</v>
      </c>
      <c r="Y703" t="s">
        <v>38</v>
      </c>
      <c r="AD703">
        <v>0</v>
      </c>
      <c r="AE703" t="b">
        <f>ISNUMBER(MATCH(G703,AUM!$C$6:$C$1451,0))</f>
        <v>1</v>
      </c>
      <c r="AF703" t="b">
        <f>ISNUMBER(MATCH(G703,AUM!$G$6:$G$240,0))</f>
        <v>0</v>
      </c>
    </row>
    <row r="704" spans="1:32" x14ac:dyDescent="0.2">
      <c r="A704" t="s">
        <v>2238</v>
      </c>
      <c r="B704" s="1">
        <v>45671</v>
      </c>
      <c r="D704" t="s">
        <v>2238</v>
      </c>
      <c r="E704" t="s">
        <v>2210</v>
      </c>
      <c r="F704" t="s">
        <v>2239</v>
      </c>
      <c r="G704" t="s">
        <v>2240</v>
      </c>
      <c r="H704" t="s">
        <v>2213</v>
      </c>
      <c r="I704">
        <v>40353659.754392102</v>
      </c>
      <c r="J704">
        <v>1616.39</v>
      </c>
      <c r="K704">
        <v>1603.88</v>
      </c>
      <c r="L704">
        <v>1603.8829533000001</v>
      </c>
      <c r="M704">
        <v>64722546983.475197</v>
      </c>
      <c r="N704">
        <v>20</v>
      </c>
      <c r="O704" t="s">
        <v>35</v>
      </c>
      <c r="P704">
        <v>1</v>
      </c>
      <c r="R704" t="s">
        <v>2235</v>
      </c>
      <c r="W704" t="s">
        <v>36</v>
      </c>
      <c r="X704" t="s">
        <v>37</v>
      </c>
      <c r="Y704" t="s">
        <v>38</v>
      </c>
      <c r="AD704">
        <v>0</v>
      </c>
      <c r="AE704" t="b">
        <f>ISNUMBER(MATCH(G704,AUM!$C$6:$C$1451,0))</f>
        <v>1</v>
      </c>
      <c r="AF704" t="b">
        <f>ISNUMBER(MATCH(G704,AUM!$G$6:$G$240,0))</f>
        <v>0</v>
      </c>
    </row>
    <row r="705" spans="1:32" x14ac:dyDescent="0.2">
      <c r="A705" t="s">
        <v>2241</v>
      </c>
      <c r="B705" s="1">
        <v>45671</v>
      </c>
      <c r="D705" t="s">
        <v>2238</v>
      </c>
      <c r="E705" t="s">
        <v>2210</v>
      </c>
      <c r="F705" t="s">
        <v>2242</v>
      </c>
      <c r="G705" t="s">
        <v>2243</v>
      </c>
      <c r="H705" t="s">
        <v>2213</v>
      </c>
      <c r="I705">
        <v>40353659.754392102</v>
      </c>
      <c r="J705">
        <v>1616.39</v>
      </c>
      <c r="K705">
        <v>1603.88</v>
      </c>
      <c r="L705">
        <v>1603.8829533000001</v>
      </c>
      <c r="M705">
        <v>64722546983.475197</v>
      </c>
      <c r="N705">
        <v>20</v>
      </c>
      <c r="O705" t="s">
        <v>35</v>
      </c>
      <c r="P705">
        <v>1</v>
      </c>
      <c r="R705" t="s">
        <v>2235</v>
      </c>
      <c r="W705" t="s">
        <v>36</v>
      </c>
      <c r="X705" t="s">
        <v>37</v>
      </c>
      <c r="Y705" t="s">
        <v>38</v>
      </c>
      <c r="AD705">
        <v>0</v>
      </c>
      <c r="AE705" t="b">
        <f>ISNUMBER(MATCH(G705,AUM!$C$6:$C$1451,0))</f>
        <v>0</v>
      </c>
      <c r="AF705" t="b">
        <f>ISNUMBER(MATCH(G705,AUM!$G$6:$G$240,0))</f>
        <v>0</v>
      </c>
    </row>
    <row r="706" spans="1:32" x14ac:dyDescent="0.2">
      <c r="A706" t="s">
        <v>2244</v>
      </c>
      <c r="B706" s="1">
        <v>45671</v>
      </c>
      <c r="D706" t="s">
        <v>2235</v>
      </c>
      <c r="E706" t="s">
        <v>2210</v>
      </c>
      <c r="F706" t="s">
        <v>2245</v>
      </c>
      <c r="G706" t="s">
        <v>2246</v>
      </c>
      <c r="H706" t="s">
        <v>2213</v>
      </c>
      <c r="J706">
        <v>2436.83</v>
      </c>
      <c r="K706">
        <v>2417.98</v>
      </c>
      <c r="L706">
        <v>2417.9819254899999</v>
      </c>
      <c r="Q706" t="s">
        <v>2238</v>
      </c>
      <c r="T706">
        <v>0</v>
      </c>
      <c r="W706" t="s">
        <v>36</v>
      </c>
      <c r="X706" t="s">
        <v>69</v>
      </c>
      <c r="Y706" t="s">
        <v>38</v>
      </c>
      <c r="AD706">
        <v>0</v>
      </c>
      <c r="AE706" t="b">
        <f>ISNUMBER(MATCH(G706,AUM!$C$6:$C$1451,0))</f>
        <v>0</v>
      </c>
      <c r="AF706" t="b">
        <f>ISNUMBER(MATCH(G706,AUM!$G$6:$G$240,0))</f>
        <v>0</v>
      </c>
    </row>
    <row r="707" spans="1:32" x14ac:dyDescent="0.2">
      <c r="A707" t="s">
        <v>2247</v>
      </c>
      <c r="B707" s="1">
        <v>45671</v>
      </c>
      <c r="D707" t="s">
        <v>2248</v>
      </c>
      <c r="E707" t="s">
        <v>2210</v>
      </c>
      <c r="F707" t="s">
        <v>2249</v>
      </c>
      <c r="G707" t="s">
        <v>2250</v>
      </c>
      <c r="H707" t="s">
        <v>2213</v>
      </c>
      <c r="I707">
        <v>40353659.754392102</v>
      </c>
      <c r="J707">
        <v>1616.39</v>
      </c>
      <c r="K707">
        <v>1603.88</v>
      </c>
      <c r="L707">
        <v>1603.8829533000001</v>
      </c>
      <c r="M707">
        <v>64722546983.475197</v>
      </c>
      <c r="N707">
        <v>20</v>
      </c>
      <c r="O707" t="s">
        <v>35</v>
      </c>
      <c r="P707">
        <v>1</v>
      </c>
      <c r="R707" t="s">
        <v>2251</v>
      </c>
      <c r="W707" t="s">
        <v>36</v>
      </c>
      <c r="X707" t="s">
        <v>37</v>
      </c>
      <c r="Y707" t="s">
        <v>38</v>
      </c>
      <c r="AD707">
        <v>0</v>
      </c>
      <c r="AE707" t="b">
        <f>ISNUMBER(MATCH(G707,AUM!$C$6:$C$1451,0))</f>
        <v>0</v>
      </c>
      <c r="AF707" t="b">
        <f>ISNUMBER(MATCH(G707,AUM!$G$6:$G$240,0))</f>
        <v>0</v>
      </c>
    </row>
    <row r="708" spans="1:32" x14ac:dyDescent="0.2">
      <c r="A708" t="s">
        <v>2252</v>
      </c>
      <c r="B708" s="1">
        <v>45671</v>
      </c>
      <c r="D708" t="s">
        <v>2252</v>
      </c>
      <c r="E708" t="s">
        <v>2210</v>
      </c>
      <c r="F708" t="s">
        <v>2253</v>
      </c>
      <c r="G708" t="s">
        <v>2254</v>
      </c>
      <c r="H708" t="s">
        <v>2213</v>
      </c>
      <c r="J708">
        <v>58.89</v>
      </c>
      <c r="K708">
        <v>58.76</v>
      </c>
      <c r="L708">
        <v>58.755591440000003</v>
      </c>
      <c r="Q708" t="s">
        <v>2255</v>
      </c>
      <c r="T708">
        <v>0</v>
      </c>
      <c r="W708" t="s">
        <v>36</v>
      </c>
      <c r="X708" t="s">
        <v>69</v>
      </c>
      <c r="Y708" t="s">
        <v>38</v>
      </c>
      <c r="AD708">
        <v>0</v>
      </c>
      <c r="AE708" t="b">
        <f>ISNUMBER(MATCH(G708,AUM!$C$6:$C$1451,0))</f>
        <v>1</v>
      </c>
      <c r="AF708" t="b">
        <f>ISNUMBER(MATCH(G708,AUM!$G$6:$G$240,0))</f>
        <v>0</v>
      </c>
    </row>
    <row r="709" spans="1:32" x14ac:dyDescent="0.2">
      <c r="A709" t="s">
        <v>2255</v>
      </c>
      <c r="B709" s="1">
        <v>45671</v>
      </c>
      <c r="D709" t="s">
        <v>2255</v>
      </c>
      <c r="E709" t="s">
        <v>2210</v>
      </c>
      <c r="F709" t="s">
        <v>2256</v>
      </c>
      <c r="G709" t="s">
        <v>2257</v>
      </c>
      <c r="H709" t="s">
        <v>2213</v>
      </c>
      <c r="I709">
        <v>9664788.4040594697</v>
      </c>
      <c r="J709">
        <v>47.67</v>
      </c>
      <c r="K709">
        <v>47.56</v>
      </c>
      <c r="L709">
        <v>47.561778480000001</v>
      </c>
      <c r="M709">
        <v>459674525.12800002</v>
      </c>
      <c r="N709">
        <v>1</v>
      </c>
      <c r="O709" t="s">
        <v>35</v>
      </c>
      <c r="P709">
        <v>1</v>
      </c>
      <c r="R709" t="s">
        <v>2252</v>
      </c>
      <c r="W709" t="s">
        <v>36</v>
      </c>
      <c r="X709" t="s">
        <v>37</v>
      </c>
      <c r="Y709" t="s">
        <v>38</v>
      </c>
      <c r="AD709">
        <v>0</v>
      </c>
      <c r="AE709" t="b">
        <f>ISNUMBER(MATCH(G709,AUM!$C$6:$C$1451,0))</f>
        <v>1</v>
      </c>
      <c r="AF709" t="b">
        <f>ISNUMBER(MATCH(G709,AUM!$G$6:$G$240,0))</f>
        <v>0</v>
      </c>
    </row>
    <row r="710" spans="1:32" x14ac:dyDescent="0.2">
      <c r="A710" t="s">
        <v>2258</v>
      </c>
      <c r="B710" s="1">
        <v>45671</v>
      </c>
      <c r="D710" t="s">
        <v>2258</v>
      </c>
      <c r="E710" t="s">
        <v>2210</v>
      </c>
      <c r="F710" t="s">
        <v>2259</v>
      </c>
      <c r="G710" t="s">
        <v>2260</v>
      </c>
      <c r="H710" t="s">
        <v>2213</v>
      </c>
      <c r="J710">
        <v>853.04</v>
      </c>
      <c r="K710">
        <v>859.61</v>
      </c>
      <c r="L710">
        <v>859.60526134999998</v>
      </c>
      <c r="Q710" t="s">
        <v>2261</v>
      </c>
      <c r="T710">
        <v>0</v>
      </c>
      <c r="W710" t="s">
        <v>36</v>
      </c>
      <c r="X710" t="s">
        <v>69</v>
      </c>
      <c r="Y710" t="s">
        <v>38</v>
      </c>
      <c r="AD710">
        <v>0</v>
      </c>
      <c r="AE710" t="b">
        <f>ISNUMBER(MATCH(G710,AUM!$C$6:$C$1451,0))</f>
        <v>1</v>
      </c>
      <c r="AF710" t="b">
        <f>ISNUMBER(MATCH(G710,AUM!$G$6:$G$240,0))</f>
        <v>0</v>
      </c>
    </row>
    <row r="711" spans="1:32" x14ac:dyDescent="0.2">
      <c r="A711" t="s">
        <v>2261</v>
      </c>
      <c r="B711" s="1">
        <v>45671</v>
      </c>
      <c r="D711" t="s">
        <v>2261</v>
      </c>
      <c r="E711" t="s">
        <v>2210</v>
      </c>
      <c r="F711" t="s">
        <v>2262</v>
      </c>
      <c r="G711" t="s">
        <v>2263</v>
      </c>
      <c r="H711" t="s">
        <v>2213</v>
      </c>
      <c r="I711">
        <v>1297268.2854849999</v>
      </c>
      <c r="J711">
        <v>669.53</v>
      </c>
      <c r="K711">
        <v>674.68</v>
      </c>
      <c r="L711">
        <v>674.67811158999996</v>
      </c>
      <c r="M711">
        <v>875238517.074</v>
      </c>
      <c r="N711">
        <v>1</v>
      </c>
      <c r="O711" t="s">
        <v>35</v>
      </c>
      <c r="P711">
        <v>1</v>
      </c>
      <c r="R711" t="s">
        <v>2258</v>
      </c>
      <c r="W711" t="s">
        <v>36</v>
      </c>
      <c r="X711" t="s">
        <v>37</v>
      </c>
      <c r="Y711" t="s">
        <v>38</v>
      </c>
      <c r="AD711">
        <v>0</v>
      </c>
      <c r="AE711" t="b">
        <f>ISNUMBER(MATCH(G711,AUM!$C$6:$C$1451,0))</f>
        <v>1</v>
      </c>
      <c r="AF711" t="b">
        <f>ISNUMBER(MATCH(G711,AUM!$G$6:$G$240,0))</f>
        <v>0</v>
      </c>
    </row>
    <row r="712" spans="1:32" x14ac:dyDescent="0.2">
      <c r="A712" t="s">
        <v>2264</v>
      </c>
      <c r="B712" s="1">
        <v>45671</v>
      </c>
      <c r="D712" t="s">
        <v>2264</v>
      </c>
      <c r="E712" t="s">
        <v>2210</v>
      </c>
      <c r="F712" t="s">
        <v>2265</v>
      </c>
      <c r="G712" t="s">
        <v>2266</v>
      </c>
      <c r="H712" t="s">
        <v>2213</v>
      </c>
      <c r="I712">
        <v>78668.845321587403</v>
      </c>
      <c r="J712">
        <v>2103.9</v>
      </c>
      <c r="K712">
        <v>2112.89</v>
      </c>
      <c r="L712">
        <v>2112.8911514800002</v>
      </c>
      <c r="M712">
        <v>166218707.17699999</v>
      </c>
      <c r="N712">
        <v>2</v>
      </c>
      <c r="O712" t="s">
        <v>35</v>
      </c>
      <c r="P712">
        <v>1</v>
      </c>
      <c r="R712" t="s">
        <v>2267</v>
      </c>
      <c r="W712" t="s">
        <v>36</v>
      </c>
      <c r="X712" t="s">
        <v>37</v>
      </c>
      <c r="Y712" t="s">
        <v>38</v>
      </c>
      <c r="AD712">
        <v>0</v>
      </c>
      <c r="AE712" t="b">
        <f>ISNUMBER(MATCH(G712,AUM!$C$6:$C$1451,0))</f>
        <v>1</v>
      </c>
      <c r="AF712" t="b">
        <f>ISNUMBER(MATCH(G712,AUM!$G$6:$G$240,0))</f>
        <v>0</v>
      </c>
    </row>
    <row r="713" spans="1:32" x14ac:dyDescent="0.2">
      <c r="A713" t="s">
        <v>2268</v>
      </c>
      <c r="B713" s="1">
        <v>45671</v>
      </c>
      <c r="D713" t="s">
        <v>2268</v>
      </c>
      <c r="E713" t="s">
        <v>2210</v>
      </c>
      <c r="F713" t="s">
        <v>2269</v>
      </c>
      <c r="G713" t="s">
        <v>2270</v>
      </c>
      <c r="H713" t="s">
        <v>2213</v>
      </c>
      <c r="J713">
        <v>823.21</v>
      </c>
      <c r="K713">
        <v>816.77</v>
      </c>
      <c r="L713">
        <v>816.77125928999999</v>
      </c>
      <c r="Q713" t="s">
        <v>2271</v>
      </c>
      <c r="T713">
        <v>0</v>
      </c>
      <c r="W713" t="s">
        <v>36</v>
      </c>
      <c r="X713" t="s">
        <v>69</v>
      </c>
      <c r="Y713" t="s">
        <v>38</v>
      </c>
      <c r="AD713">
        <v>0</v>
      </c>
      <c r="AE713" t="b">
        <f>ISNUMBER(MATCH(G713,AUM!$C$6:$C$1451,0))</f>
        <v>1</v>
      </c>
      <c r="AF713" t="b">
        <f>ISNUMBER(MATCH(G713,AUM!$G$6:$G$240,0))</f>
        <v>0</v>
      </c>
    </row>
    <row r="714" spans="1:32" x14ac:dyDescent="0.2">
      <c r="A714" t="s">
        <v>2271</v>
      </c>
      <c r="B714" s="1">
        <v>45671</v>
      </c>
      <c r="D714" t="s">
        <v>2271</v>
      </c>
      <c r="E714" t="s">
        <v>2210</v>
      </c>
      <c r="F714" t="s">
        <v>2272</v>
      </c>
      <c r="G714" t="s">
        <v>2273</v>
      </c>
      <c r="H714" t="s">
        <v>2213</v>
      </c>
      <c r="I714">
        <v>25460357.352797199</v>
      </c>
      <c r="J714">
        <v>772.64</v>
      </c>
      <c r="K714">
        <v>766.6</v>
      </c>
      <c r="L714">
        <v>766.59858279000002</v>
      </c>
      <c r="M714">
        <v>19517873863.891998</v>
      </c>
      <c r="N714">
        <v>5</v>
      </c>
      <c r="O714" t="s">
        <v>35</v>
      </c>
      <c r="P714">
        <v>1</v>
      </c>
      <c r="R714" t="s">
        <v>2268</v>
      </c>
      <c r="W714" t="s">
        <v>36</v>
      </c>
      <c r="X714" t="s">
        <v>37</v>
      </c>
      <c r="Y714" t="s">
        <v>38</v>
      </c>
      <c r="AD714">
        <v>0</v>
      </c>
      <c r="AE714" t="b">
        <f>ISNUMBER(MATCH(G714,AUM!$C$6:$C$1451,0))</f>
        <v>1</v>
      </c>
      <c r="AF714" t="b">
        <f>ISNUMBER(MATCH(G714,AUM!$G$6:$G$240,0))</f>
        <v>0</v>
      </c>
    </row>
    <row r="715" spans="1:32" x14ac:dyDescent="0.2">
      <c r="A715" t="s">
        <v>2274</v>
      </c>
      <c r="B715" s="1">
        <v>45671</v>
      </c>
      <c r="D715" t="s">
        <v>2274</v>
      </c>
      <c r="E715" t="s">
        <v>2210</v>
      </c>
      <c r="F715" t="s">
        <v>2275</v>
      </c>
      <c r="G715" t="s">
        <v>2276</v>
      </c>
      <c r="H715" t="s">
        <v>2213</v>
      </c>
      <c r="J715">
        <v>1664.53</v>
      </c>
      <c r="K715">
        <v>1610.51</v>
      </c>
      <c r="L715">
        <v>1610.5132235999999</v>
      </c>
      <c r="Q715" t="s">
        <v>2277</v>
      </c>
      <c r="T715">
        <v>0</v>
      </c>
      <c r="W715" t="s">
        <v>36</v>
      </c>
      <c r="X715" t="s">
        <v>69</v>
      </c>
      <c r="Y715" t="s">
        <v>38</v>
      </c>
      <c r="AD715">
        <v>0</v>
      </c>
      <c r="AE715" t="b">
        <f>ISNUMBER(MATCH(G715,AUM!$C$6:$C$1451,0))</f>
        <v>1</v>
      </c>
      <c r="AF715" t="b">
        <f>ISNUMBER(MATCH(G715,AUM!$G$6:$G$240,0))</f>
        <v>0</v>
      </c>
    </row>
    <row r="716" spans="1:32" x14ac:dyDescent="0.2">
      <c r="A716" t="s">
        <v>2277</v>
      </c>
      <c r="B716" s="1">
        <v>45671</v>
      </c>
      <c r="D716" t="s">
        <v>2277</v>
      </c>
      <c r="E716" t="s">
        <v>2210</v>
      </c>
      <c r="F716" t="s">
        <v>2278</v>
      </c>
      <c r="G716" t="s">
        <v>2279</v>
      </c>
      <c r="H716" t="s">
        <v>2213</v>
      </c>
      <c r="I716">
        <v>14521873.812841101</v>
      </c>
      <c r="J716">
        <v>1620.81</v>
      </c>
      <c r="K716">
        <v>1568.22</v>
      </c>
      <c r="L716">
        <v>1568.2179489099999</v>
      </c>
      <c r="M716">
        <v>22773463165.130001</v>
      </c>
      <c r="N716">
        <v>4</v>
      </c>
      <c r="O716" t="s">
        <v>35</v>
      </c>
      <c r="P716">
        <v>1</v>
      </c>
      <c r="R716" t="s">
        <v>2274</v>
      </c>
      <c r="W716" t="s">
        <v>36</v>
      </c>
      <c r="X716" t="s">
        <v>37</v>
      </c>
      <c r="Y716" t="s">
        <v>38</v>
      </c>
      <c r="AD716">
        <v>0</v>
      </c>
      <c r="AE716" t="b">
        <f>ISNUMBER(MATCH(G716,AUM!$C$6:$C$1451,0))</f>
        <v>1</v>
      </c>
      <c r="AF716" t="b">
        <f>ISNUMBER(MATCH(G716,AUM!$G$6:$G$240,0))</f>
        <v>0</v>
      </c>
    </row>
    <row r="717" spans="1:32" x14ac:dyDescent="0.2">
      <c r="A717" t="s">
        <v>2280</v>
      </c>
      <c r="B717" s="1">
        <v>45671</v>
      </c>
      <c r="D717" t="s">
        <v>2280</v>
      </c>
      <c r="E717" t="s">
        <v>2210</v>
      </c>
      <c r="F717" t="s">
        <v>2281</v>
      </c>
      <c r="G717" t="s">
        <v>2282</v>
      </c>
      <c r="H717" t="s">
        <v>2213</v>
      </c>
      <c r="J717">
        <v>1795.47</v>
      </c>
      <c r="K717">
        <v>1795.47</v>
      </c>
      <c r="L717">
        <v>1795.46641841</v>
      </c>
      <c r="Q717" t="s">
        <v>2283</v>
      </c>
      <c r="T717">
        <v>0</v>
      </c>
      <c r="W717" t="s">
        <v>36</v>
      </c>
      <c r="X717" t="s">
        <v>69</v>
      </c>
      <c r="Y717" t="s">
        <v>38</v>
      </c>
      <c r="AD717">
        <v>0</v>
      </c>
      <c r="AE717" t="b">
        <f>ISNUMBER(MATCH(G717,AUM!$C$6:$C$1451,0))</f>
        <v>1</v>
      </c>
      <c r="AF717" t="b">
        <f>ISNUMBER(MATCH(G717,AUM!$G$6:$G$240,0))</f>
        <v>0</v>
      </c>
    </row>
    <row r="718" spans="1:32" x14ac:dyDescent="0.2">
      <c r="A718" t="s">
        <v>2283</v>
      </c>
      <c r="B718" s="1">
        <v>45671</v>
      </c>
      <c r="D718" t="s">
        <v>2283</v>
      </c>
      <c r="E718" t="s">
        <v>2210</v>
      </c>
      <c r="F718" t="s">
        <v>2284</v>
      </c>
      <c r="G718" t="s">
        <v>2285</v>
      </c>
      <c r="H718" t="s">
        <v>2213</v>
      </c>
      <c r="I718">
        <v>268713.17347872799</v>
      </c>
      <c r="J718">
        <v>1280.74</v>
      </c>
      <c r="K718">
        <v>1280.74</v>
      </c>
      <c r="L718">
        <v>1280.73801712</v>
      </c>
      <c r="M718">
        <v>344151176.97600001</v>
      </c>
      <c r="N718">
        <v>2</v>
      </c>
      <c r="O718" t="s">
        <v>35</v>
      </c>
      <c r="P718">
        <v>1</v>
      </c>
      <c r="R718" t="s">
        <v>2280</v>
      </c>
      <c r="W718" t="s">
        <v>36</v>
      </c>
      <c r="X718" t="s">
        <v>37</v>
      </c>
      <c r="Y718" t="s">
        <v>38</v>
      </c>
      <c r="AD718">
        <v>0</v>
      </c>
      <c r="AE718" t="b">
        <f>ISNUMBER(MATCH(G718,AUM!$C$6:$C$1451,0))</f>
        <v>1</v>
      </c>
      <c r="AF718" t="b">
        <f>ISNUMBER(MATCH(G718,AUM!$G$6:$G$240,0))</f>
        <v>0</v>
      </c>
    </row>
    <row r="719" spans="1:32" x14ac:dyDescent="0.2">
      <c r="A719" t="s">
        <v>2286</v>
      </c>
      <c r="B719" s="1">
        <v>45671</v>
      </c>
      <c r="D719" t="s">
        <v>2286</v>
      </c>
      <c r="E719" t="s">
        <v>2210</v>
      </c>
      <c r="F719" t="s">
        <v>2287</v>
      </c>
      <c r="G719" t="s">
        <v>2288</v>
      </c>
      <c r="H719" t="s">
        <v>2213</v>
      </c>
      <c r="J719">
        <v>625.02</v>
      </c>
      <c r="K719">
        <v>625.02</v>
      </c>
      <c r="L719">
        <v>625.02392199999997</v>
      </c>
      <c r="Q719" t="s">
        <v>2289</v>
      </c>
      <c r="T719">
        <v>0</v>
      </c>
      <c r="W719" t="s">
        <v>36</v>
      </c>
      <c r="X719" t="s">
        <v>69</v>
      </c>
      <c r="Y719" t="s">
        <v>38</v>
      </c>
      <c r="AD719">
        <v>0</v>
      </c>
      <c r="AE719" t="b">
        <f>ISNUMBER(MATCH(G719,AUM!$C$6:$C$1451,0))</f>
        <v>1</v>
      </c>
      <c r="AF719" t="b">
        <f>ISNUMBER(MATCH(G719,AUM!$G$6:$G$240,0))</f>
        <v>0</v>
      </c>
    </row>
    <row r="720" spans="1:32" x14ac:dyDescent="0.2">
      <c r="A720" t="s">
        <v>2289</v>
      </c>
      <c r="B720" s="1">
        <v>45671</v>
      </c>
      <c r="D720" t="s">
        <v>2289</v>
      </c>
      <c r="E720" t="s">
        <v>2210</v>
      </c>
      <c r="F720" t="s">
        <v>2290</v>
      </c>
      <c r="G720" t="s">
        <v>2291</v>
      </c>
      <c r="H720" t="s">
        <v>2213</v>
      </c>
      <c r="I720">
        <v>1061978.01812844</v>
      </c>
      <c r="J720">
        <v>625.02</v>
      </c>
      <c r="K720">
        <v>625.02</v>
      </c>
      <c r="L720">
        <v>625.02392199999997</v>
      </c>
      <c r="M720">
        <v>663761665.96599996</v>
      </c>
      <c r="N720">
        <v>2</v>
      </c>
      <c r="O720" t="s">
        <v>35</v>
      </c>
      <c r="P720">
        <v>1</v>
      </c>
      <c r="R720" t="s">
        <v>2286</v>
      </c>
      <c r="W720" t="s">
        <v>36</v>
      </c>
      <c r="X720" t="s">
        <v>37</v>
      </c>
      <c r="Y720" t="s">
        <v>38</v>
      </c>
      <c r="AD720">
        <v>0</v>
      </c>
      <c r="AE720" t="b">
        <f>ISNUMBER(MATCH(G720,AUM!$C$6:$C$1451,0))</f>
        <v>1</v>
      </c>
      <c r="AF720" t="b">
        <f>ISNUMBER(MATCH(G720,AUM!$G$6:$G$240,0))</f>
        <v>0</v>
      </c>
    </row>
    <row r="721" spans="1:32" x14ac:dyDescent="0.2">
      <c r="A721" t="s">
        <v>2292</v>
      </c>
      <c r="B721" s="1">
        <v>45671</v>
      </c>
      <c r="D721" t="s">
        <v>2292</v>
      </c>
      <c r="E721" t="s">
        <v>2210</v>
      </c>
      <c r="F721" t="s">
        <v>2293</v>
      </c>
      <c r="G721" t="s">
        <v>2294</v>
      </c>
      <c r="H721" t="s">
        <v>2213</v>
      </c>
      <c r="J721">
        <v>77.98</v>
      </c>
      <c r="K721">
        <v>77.98</v>
      </c>
      <c r="L721">
        <v>77.976110700000007</v>
      </c>
      <c r="Q721" t="s">
        <v>2295</v>
      </c>
      <c r="T721">
        <v>0</v>
      </c>
      <c r="W721" t="s">
        <v>36</v>
      </c>
      <c r="X721" t="s">
        <v>69</v>
      </c>
      <c r="Y721" t="s">
        <v>38</v>
      </c>
      <c r="AD721">
        <v>0</v>
      </c>
      <c r="AE721" t="b">
        <f>ISNUMBER(MATCH(G721,AUM!$C$6:$C$1451,0))</f>
        <v>1</v>
      </c>
      <c r="AF721" t="b">
        <f>ISNUMBER(MATCH(G721,AUM!$G$6:$G$240,0))</f>
        <v>0</v>
      </c>
    </row>
    <row r="722" spans="1:32" x14ac:dyDescent="0.2">
      <c r="A722" t="s">
        <v>2295</v>
      </c>
      <c r="B722" s="1">
        <v>45671</v>
      </c>
      <c r="D722" t="s">
        <v>2295</v>
      </c>
      <c r="E722" t="s">
        <v>2210</v>
      </c>
      <c r="F722" t="s">
        <v>2296</v>
      </c>
      <c r="G722" t="s">
        <v>2297</v>
      </c>
      <c r="H722" t="s">
        <v>2213</v>
      </c>
      <c r="I722">
        <v>149290.62370091901</v>
      </c>
      <c r="J722">
        <v>77.98</v>
      </c>
      <c r="K722">
        <v>77.98</v>
      </c>
      <c r="L722">
        <v>77.976110700000007</v>
      </c>
      <c r="M722">
        <v>11641102.199999999</v>
      </c>
      <c r="N722">
        <v>1</v>
      </c>
      <c r="O722" t="s">
        <v>35</v>
      </c>
      <c r="P722">
        <v>1</v>
      </c>
      <c r="R722" t="s">
        <v>2292</v>
      </c>
      <c r="W722" t="s">
        <v>36</v>
      </c>
      <c r="X722" t="s">
        <v>37</v>
      </c>
      <c r="Y722" t="s">
        <v>38</v>
      </c>
      <c r="AD722">
        <v>0</v>
      </c>
      <c r="AE722" t="b">
        <f>ISNUMBER(MATCH(G722,AUM!$C$6:$C$1451,0))</f>
        <v>1</v>
      </c>
      <c r="AF722" t="b">
        <f>ISNUMBER(MATCH(G722,AUM!$G$6:$G$240,0))</f>
        <v>0</v>
      </c>
    </row>
    <row r="723" spans="1:32" x14ac:dyDescent="0.2">
      <c r="A723" t="s">
        <v>2298</v>
      </c>
      <c r="B723" s="1">
        <v>45671</v>
      </c>
      <c r="D723" t="s">
        <v>2298</v>
      </c>
      <c r="E723" t="s">
        <v>2210</v>
      </c>
      <c r="F723" t="s">
        <v>2299</v>
      </c>
      <c r="G723" t="s">
        <v>2300</v>
      </c>
      <c r="H723" t="s">
        <v>2213</v>
      </c>
      <c r="J723">
        <v>1400.66</v>
      </c>
      <c r="K723">
        <v>1386.7</v>
      </c>
      <c r="L723">
        <v>1386.6977148000001</v>
      </c>
      <c r="Q723" t="s">
        <v>2301</v>
      </c>
      <c r="T723">
        <v>0</v>
      </c>
      <c r="W723" t="s">
        <v>36</v>
      </c>
      <c r="X723" t="s">
        <v>69</v>
      </c>
      <c r="Y723" t="s">
        <v>38</v>
      </c>
      <c r="AD723">
        <v>0</v>
      </c>
      <c r="AE723" t="b">
        <f>ISNUMBER(MATCH(G723,AUM!$C$6:$C$1451,0))</f>
        <v>1</v>
      </c>
      <c r="AF723" t="b">
        <f>ISNUMBER(MATCH(G723,AUM!$G$6:$G$240,0))</f>
        <v>0</v>
      </c>
    </row>
    <row r="724" spans="1:32" x14ac:dyDescent="0.2">
      <c r="A724" t="s">
        <v>2301</v>
      </c>
      <c r="B724" s="1">
        <v>45671</v>
      </c>
      <c r="D724" t="s">
        <v>2301</v>
      </c>
      <c r="E724" t="s">
        <v>2210</v>
      </c>
      <c r="F724" t="s">
        <v>2302</v>
      </c>
      <c r="G724" t="s">
        <v>2303</v>
      </c>
      <c r="H724" t="s">
        <v>2213</v>
      </c>
      <c r="I724">
        <v>10257735.519789901</v>
      </c>
      <c r="J724">
        <v>1252.77</v>
      </c>
      <c r="K724">
        <v>1240.28</v>
      </c>
      <c r="L724">
        <v>1240.2789432300001</v>
      </c>
      <c r="M724">
        <v>12722453370.41</v>
      </c>
      <c r="N724">
        <v>4</v>
      </c>
      <c r="O724" t="s">
        <v>35</v>
      </c>
      <c r="P724">
        <v>1</v>
      </c>
      <c r="R724" t="s">
        <v>2298</v>
      </c>
      <c r="W724" t="s">
        <v>36</v>
      </c>
      <c r="X724" t="s">
        <v>37</v>
      </c>
      <c r="Y724" t="s">
        <v>38</v>
      </c>
      <c r="AD724">
        <v>0</v>
      </c>
      <c r="AE724" t="b">
        <f>ISNUMBER(MATCH(G724,AUM!$C$6:$C$1451,0))</f>
        <v>1</v>
      </c>
      <c r="AF724" t="b">
        <f>ISNUMBER(MATCH(G724,AUM!$G$6:$G$240,0))</f>
        <v>0</v>
      </c>
    </row>
    <row r="725" spans="1:32" x14ac:dyDescent="0.2">
      <c r="A725" t="s">
        <v>2267</v>
      </c>
      <c r="B725" s="1">
        <v>45671</v>
      </c>
      <c r="D725" t="s">
        <v>2267</v>
      </c>
      <c r="E725" t="s">
        <v>2210</v>
      </c>
      <c r="F725" t="s">
        <v>2304</v>
      </c>
      <c r="G725" t="s">
        <v>2305</v>
      </c>
      <c r="H725" t="s">
        <v>2213</v>
      </c>
      <c r="J725">
        <v>2111.36</v>
      </c>
      <c r="K725">
        <v>2120.39</v>
      </c>
      <c r="L725">
        <v>2120.3852987999999</v>
      </c>
      <c r="Q725" t="s">
        <v>2264</v>
      </c>
      <c r="T725">
        <v>0</v>
      </c>
      <c r="W725" t="s">
        <v>36</v>
      </c>
      <c r="X725" t="s">
        <v>69</v>
      </c>
      <c r="Y725" t="s">
        <v>38</v>
      </c>
      <c r="AD725">
        <v>0</v>
      </c>
      <c r="AE725" t="b">
        <f>ISNUMBER(MATCH(G725,AUM!$C$6:$C$1451,0))</f>
        <v>1</v>
      </c>
      <c r="AF725" t="b">
        <f>ISNUMBER(MATCH(G725,AUM!$G$6:$G$240,0))</f>
        <v>0</v>
      </c>
    </row>
    <row r="726" spans="1:32" x14ac:dyDescent="0.2">
      <c r="A726" t="s">
        <v>2306</v>
      </c>
      <c r="B726" s="1">
        <v>45671</v>
      </c>
      <c r="D726" t="s">
        <v>2251</v>
      </c>
      <c r="E726" t="s">
        <v>2210</v>
      </c>
      <c r="F726" t="s">
        <v>2307</v>
      </c>
      <c r="G726" t="s">
        <v>2308</v>
      </c>
      <c r="H726" t="s">
        <v>2213</v>
      </c>
      <c r="J726">
        <v>2436.83</v>
      </c>
      <c r="K726">
        <v>2417.98</v>
      </c>
      <c r="L726">
        <v>2417.9819254899999</v>
      </c>
      <c r="Q726" t="s">
        <v>2248</v>
      </c>
      <c r="T726">
        <v>0</v>
      </c>
      <c r="W726" t="s">
        <v>36</v>
      </c>
      <c r="X726" t="s">
        <v>69</v>
      </c>
      <c r="Y726" t="s">
        <v>38</v>
      </c>
      <c r="AD726">
        <v>0</v>
      </c>
      <c r="AE726" t="b">
        <f>ISNUMBER(MATCH(G726,AUM!$C$6:$C$1451,0))</f>
        <v>0</v>
      </c>
      <c r="AF726" t="b">
        <f>ISNUMBER(MATCH(G726,AUM!$G$6:$G$240,0))</f>
        <v>0</v>
      </c>
    </row>
    <row r="727" spans="1:32" x14ac:dyDescent="0.2">
      <c r="A727" t="s">
        <v>2309</v>
      </c>
      <c r="B727" s="1">
        <v>45671</v>
      </c>
      <c r="D727" t="s">
        <v>2309</v>
      </c>
      <c r="E727" t="s">
        <v>31</v>
      </c>
      <c r="F727" t="s">
        <v>2310</v>
      </c>
      <c r="G727" t="s">
        <v>2311</v>
      </c>
      <c r="H727" t="s">
        <v>34</v>
      </c>
      <c r="I727">
        <v>242896831.009431</v>
      </c>
      <c r="J727">
        <v>1538.98</v>
      </c>
      <c r="K727">
        <v>1528.68</v>
      </c>
      <c r="L727">
        <v>1528.67921467</v>
      </c>
      <c r="M727">
        <v>371311336874.15601</v>
      </c>
      <c r="N727">
        <v>40</v>
      </c>
      <c r="O727" t="s">
        <v>35</v>
      </c>
      <c r="P727">
        <v>1</v>
      </c>
      <c r="R727" t="s">
        <v>2312</v>
      </c>
      <c r="S727" t="s">
        <v>2313</v>
      </c>
      <c r="W727" t="s">
        <v>36</v>
      </c>
      <c r="X727" t="s">
        <v>37</v>
      </c>
      <c r="Y727" t="s">
        <v>38</v>
      </c>
      <c r="AD727">
        <v>0</v>
      </c>
      <c r="AE727" t="b">
        <f>ISNUMBER(MATCH(G727,AUM!$C$6:$C$1451,0))</f>
        <v>1</v>
      </c>
      <c r="AF727" t="b">
        <f>ISNUMBER(MATCH(G727,AUM!$G$6:$G$240,0))</f>
        <v>1</v>
      </c>
    </row>
    <row r="728" spans="1:32" x14ac:dyDescent="0.2">
      <c r="A728" t="s">
        <v>2312</v>
      </c>
      <c r="B728" s="1">
        <v>45671</v>
      </c>
      <c r="D728" t="s">
        <v>2312</v>
      </c>
      <c r="E728" t="s">
        <v>31</v>
      </c>
      <c r="F728" t="s">
        <v>2314</v>
      </c>
      <c r="G728" t="s">
        <v>2315</v>
      </c>
      <c r="H728" t="s">
        <v>34</v>
      </c>
      <c r="J728">
        <v>2592.4699999999998</v>
      </c>
      <c r="K728">
        <v>2575.12</v>
      </c>
      <c r="L728">
        <v>2575.1188155200002</v>
      </c>
      <c r="Q728" t="s">
        <v>2309</v>
      </c>
      <c r="T728">
        <v>0</v>
      </c>
      <c r="W728" t="s">
        <v>36</v>
      </c>
      <c r="X728" t="s">
        <v>69</v>
      </c>
      <c r="Y728" t="s">
        <v>38</v>
      </c>
      <c r="AD728">
        <v>0</v>
      </c>
      <c r="AE728" t="b">
        <f>ISNUMBER(MATCH(G728,AUM!$C$6:$C$1451,0))</f>
        <v>1</v>
      </c>
      <c r="AF728" t="b">
        <f>ISNUMBER(MATCH(G728,AUM!$G$6:$G$240,0))</f>
        <v>0</v>
      </c>
    </row>
    <row r="729" spans="1:32" x14ac:dyDescent="0.2">
      <c r="A729" t="s">
        <v>2313</v>
      </c>
      <c r="B729" s="1">
        <v>45671</v>
      </c>
      <c r="D729" t="s">
        <v>2313</v>
      </c>
      <c r="E729" t="s">
        <v>31</v>
      </c>
      <c r="F729" t="s">
        <v>2316</v>
      </c>
      <c r="G729" t="s">
        <v>2317</v>
      </c>
      <c r="H729" t="s">
        <v>34</v>
      </c>
      <c r="J729">
        <v>2286.14</v>
      </c>
      <c r="K729">
        <v>2270.84</v>
      </c>
      <c r="L729">
        <v>2270.8391546799999</v>
      </c>
      <c r="Q729" t="s">
        <v>2309</v>
      </c>
      <c r="U729">
        <v>0</v>
      </c>
      <c r="W729" t="s">
        <v>36</v>
      </c>
      <c r="X729" t="s">
        <v>69</v>
      </c>
      <c r="Y729" t="s">
        <v>38</v>
      </c>
      <c r="AD729">
        <v>0</v>
      </c>
      <c r="AE729" t="b">
        <f>ISNUMBER(MATCH(G729,AUM!$C$6:$C$1451,0))</f>
        <v>1</v>
      </c>
      <c r="AF729" t="b">
        <f>ISNUMBER(MATCH(G729,AUM!$G$6:$G$240,0))</f>
        <v>0</v>
      </c>
    </row>
    <row r="730" spans="1:32" x14ac:dyDescent="0.2">
      <c r="A730" t="s">
        <v>2318</v>
      </c>
      <c r="B730" s="1">
        <v>45671</v>
      </c>
      <c r="D730" t="s">
        <v>2318</v>
      </c>
      <c r="E730" t="s">
        <v>31</v>
      </c>
      <c r="F730" t="s">
        <v>2319</v>
      </c>
      <c r="G730" t="s">
        <v>2320</v>
      </c>
      <c r="H730" t="s">
        <v>34</v>
      </c>
      <c r="J730">
        <v>2916.43</v>
      </c>
      <c r="K730">
        <v>2909.44</v>
      </c>
      <c r="L730">
        <v>2909.4398155600002</v>
      </c>
      <c r="Q730" t="s">
        <v>2321</v>
      </c>
      <c r="U730">
        <v>0</v>
      </c>
      <c r="W730" t="s">
        <v>36</v>
      </c>
      <c r="X730" t="s">
        <v>69</v>
      </c>
      <c r="Y730" t="s">
        <v>38</v>
      </c>
      <c r="AD730">
        <v>0</v>
      </c>
      <c r="AE730" t="b">
        <f>ISNUMBER(MATCH(G730,AUM!$C$6:$C$1451,0))</f>
        <v>0</v>
      </c>
      <c r="AF730" t="b">
        <f>ISNUMBER(MATCH(G730,AUM!$G$6:$G$240,0))</f>
        <v>0</v>
      </c>
    </row>
    <row r="731" spans="1:32" x14ac:dyDescent="0.2">
      <c r="A731" t="s">
        <v>2322</v>
      </c>
      <c r="B731" s="1">
        <v>45671</v>
      </c>
      <c r="D731" t="s">
        <v>2322</v>
      </c>
      <c r="E731" t="s">
        <v>31</v>
      </c>
      <c r="F731" t="s">
        <v>2323</v>
      </c>
      <c r="G731" t="s">
        <v>2324</v>
      </c>
      <c r="H731" t="s">
        <v>34</v>
      </c>
      <c r="J731">
        <v>7765.28</v>
      </c>
      <c r="K731">
        <v>7828.05</v>
      </c>
      <c r="L731">
        <v>7828.0523837199999</v>
      </c>
      <c r="Q731" t="s">
        <v>2325</v>
      </c>
      <c r="U731">
        <v>0</v>
      </c>
      <c r="W731" t="s">
        <v>36</v>
      </c>
      <c r="X731" t="s">
        <v>69</v>
      </c>
      <c r="Y731" t="s">
        <v>38</v>
      </c>
      <c r="AD731">
        <v>0</v>
      </c>
      <c r="AE731" t="b">
        <f>ISNUMBER(MATCH(G731,AUM!$C$6:$C$1451,0))</f>
        <v>0</v>
      </c>
      <c r="AF731" t="b">
        <f>ISNUMBER(MATCH(G731,AUM!$G$6:$G$240,0))</f>
        <v>0</v>
      </c>
    </row>
    <row r="732" spans="1:32" x14ac:dyDescent="0.2">
      <c r="A732" t="s">
        <v>2326</v>
      </c>
      <c r="B732" s="1">
        <v>45671</v>
      </c>
      <c r="D732" t="s">
        <v>2326</v>
      </c>
      <c r="E732" t="s">
        <v>31</v>
      </c>
      <c r="F732" t="s">
        <v>2327</v>
      </c>
      <c r="G732" t="s">
        <v>2328</v>
      </c>
      <c r="H732" t="s">
        <v>34</v>
      </c>
      <c r="J732">
        <v>3296.27</v>
      </c>
      <c r="K732">
        <v>3288.37</v>
      </c>
      <c r="L732">
        <v>3288.37362897</v>
      </c>
      <c r="Q732" t="s">
        <v>2321</v>
      </c>
      <c r="T732">
        <v>0</v>
      </c>
      <c r="W732" t="s">
        <v>36</v>
      </c>
      <c r="X732" t="s">
        <v>69</v>
      </c>
      <c r="Y732" t="s">
        <v>38</v>
      </c>
      <c r="AD732">
        <v>0</v>
      </c>
      <c r="AE732" t="b">
        <f>ISNUMBER(MATCH(G732,AUM!$C$6:$C$1451,0))</f>
        <v>0</v>
      </c>
      <c r="AF732" t="b">
        <f>ISNUMBER(MATCH(G732,AUM!$G$6:$G$240,0))</f>
        <v>0</v>
      </c>
    </row>
    <row r="733" spans="1:32" x14ac:dyDescent="0.2">
      <c r="A733" t="s">
        <v>2321</v>
      </c>
      <c r="B733" s="1">
        <v>45671</v>
      </c>
      <c r="D733" t="s">
        <v>2321</v>
      </c>
      <c r="E733" t="s">
        <v>31</v>
      </c>
      <c r="F733" t="s">
        <v>2329</v>
      </c>
      <c r="G733" t="s">
        <v>2330</v>
      </c>
      <c r="H733" t="s">
        <v>34</v>
      </c>
      <c r="I733">
        <v>993627.53632527904</v>
      </c>
      <c r="J733">
        <v>2000.67</v>
      </c>
      <c r="K733">
        <v>1995.88</v>
      </c>
      <c r="L733">
        <v>1995.8803024900001</v>
      </c>
      <c r="M733">
        <v>1983161627.7650001</v>
      </c>
      <c r="N733">
        <v>35</v>
      </c>
      <c r="O733" t="s">
        <v>35</v>
      </c>
      <c r="P733">
        <v>1</v>
      </c>
      <c r="R733" t="s">
        <v>2326</v>
      </c>
      <c r="S733" t="s">
        <v>2318</v>
      </c>
      <c r="W733" t="s">
        <v>36</v>
      </c>
      <c r="X733" t="s">
        <v>37</v>
      </c>
      <c r="Y733" t="s">
        <v>38</v>
      </c>
      <c r="AD733">
        <v>0</v>
      </c>
      <c r="AE733" t="b">
        <f>ISNUMBER(MATCH(G733,AUM!$C$6:$C$1451,0))</f>
        <v>0</v>
      </c>
      <c r="AF733" t="b">
        <f>ISNUMBER(MATCH(G733,AUM!$G$6:$G$240,0))</f>
        <v>0</v>
      </c>
    </row>
    <row r="734" spans="1:32" x14ac:dyDescent="0.2">
      <c r="A734" t="s">
        <v>2325</v>
      </c>
      <c r="B734" s="1">
        <v>45671</v>
      </c>
      <c r="D734" t="s">
        <v>2325</v>
      </c>
      <c r="E734" t="s">
        <v>31</v>
      </c>
      <c r="F734" t="s">
        <v>2331</v>
      </c>
      <c r="G734" t="s">
        <v>2332</v>
      </c>
      <c r="H734" t="s">
        <v>34</v>
      </c>
      <c r="I734">
        <v>1001274.56815964</v>
      </c>
      <c r="J734">
        <v>6182.85</v>
      </c>
      <c r="K734">
        <v>6232.83</v>
      </c>
      <c r="L734">
        <v>6232.8314740799997</v>
      </c>
      <c r="M734">
        <v>6240775642.6237497</v>
      </c>
      <c r="N734">
        <v>25</v>
      </c>
      <c r="O734" t="s">
        <v>35</v>
      </c>
      <c r="P734">
        <v>1</v>
      </c>
      <c r="R734" t="s">
        <v>2333</v>
      </c>
      <c r="S734" t="s">
        <v>2322</v>
      </c>
      <c r="W734" t="s">
        <v>36</v>
      </c>
      <c r="X734" t="s">
        <v>37</v>
      </c>
      <c r="Y734" t="s">
        <v>38</v>
      </c>
      <c r="AD734">
        <v>0</v>
      </c>
      <c r="AE734" t="b">
        <f>ISNUMBER(MATCH(G734,AUM!$C$6:$C$1451,0))</f>
        <v>0</v>
      </c>
      <c r="AF734" t="b">
        <f>ISNUMBER(MATCH(G734,AUM!$G$6:$G$240,0))</f>
        <v>0</v>
      </c>
    </row>
    <row r="735" spans="1:32" x14ac:dyDescent="0.2">
      <c r="A735" t="s">
        <v>2333</v>
      </c>
      <c r="B735" s="1">
        <v>45671</v>
      </c>
      <c r="D735" t="s">
        <v>2333</v>
      </c>
      <c r="E735" t="s">
        <v>31</v>
      </c>
      <c r="F735" t="s">
        <v>2334</v>
      </c>
      <c r="G735" t="s">
        <v>2335</v>
      </c>
      <c r="H735" t="s">
        <v>34</v>
      </c>
      <c r="J735">
        <v>8560.42</v>
      </c>
      <c r="K735">
        <v>8629.6200000000008</v>
      </c>
      <c r="L735">
        <v>8629.6196368599994</v>
      </c>
      <c r="Q735" t="s">
        <v>2325</v>
      </c>
      <c r="T735">
        <v>0</v>
      </c>
      <c r="W735" t="s">
        <v>36</v>
      </c>
      <c r="X735" t="s">
        <v>69</v>
      </c>
      <c r="Y735" t="s">
        <v>38</v>
      </c>
      <c r="AD735">
        <v>0</v>
      </c>
      <c r="AE735" t="b">
        <f>ISNUMBER(MATCH(G735,AUM!$C$6:$C$1451,0))</f>
        <v>0</v>
      </c>
      <c r="AF735" t="b">
        <f>ISNUMBER(MATCH(G735,AUM!$G$6:$G$240,0))</f>
        <v>0</v>
      </c>
    </row>
    <row r="736" spans="1:32" x14ac:dyDescent="0.2">
      <c r="A736" t="s">
        <v>2336</v>
      </c>
      <c r="B736" s="1">
        <v>45671</v>
      </c>
      <c r="D736" t="s">
        <v>2336</v>
      </c>
      <c r="E736" t="s">
        <v>31</v>
      </c>
      <c r="F736" t="s">
        <v>2337</v>
      </c>
      <c r="G736" t="s">
        <v>2338</v>
      </c>
      <c r="H736" t="s">
        <v>34</v>
      </c>
      <c r="J736">
        <v>6115.5</v>
      </c>
      <c r="K736">
        <v>6133.36</v>
      </c>
      <c r="L736">
        <v>6133.3640706899996</v>
      </c>
      <c r="Q736" t="s">
        <v>2339</v>
      </c>
      <c r="T736">
        <v>0</v>
      </c>
      <c r="W736" t="s">
        <v>91</v>
      </c>
      <c r="X736" t="s">
        <v>69</v>
      </c>
      <c r="Y736" t="s">
        <v>38</v>
      </c>
      <c r="AD736">
        <v>0</v>
      </c>
      <c r="AE736" t="b">
        <f>ISNUMBER(MATCH(G736,AUM!$C$6:$C$1451,0))</f>
        <v>0</v>
      </c>
      <c r="AF736" t="b">
        <f>ISNUMBER(MATCH(G736,AUM!$G$6:$G$240,0))</f>
        <v>0</v>
      </c>
    </row>
    <row r="737" spans="1:32" x14ac:dyDescent="0.2">
      <c r="A737" t="s">
        <v>2340</v>
      </c>
      <c r="B737" s="1">
        <v>45671</v>
      </c>
      <c r="D737" t="s">
        <v>2340</v>
      </c>
      <c r="E737" t="s">
        <v>31</v>
      </c>
      <c r="F737" t="s">
        <v>2341</v>
      </c>
      <c r="G737" t="s">
        <v>2342</v>
      </c>
      <c r="H737" t="s">
        <v>34</v>
      </c>
      <c r="I737">
        <v>1011730.73351732</v>
      </c>
      <c r="J737">
        <v>4953.3599999999997</v>
      </c>
      <c r="K737">
        <v>4961.9799999999996</v>
      </c>
      <c r="L737">
        <v>4961.9792253300002</v>
      </c>
      <c r="M737">
        <v>5020186881.3400002</v>
      </c>
      <c r="N737">
        <v>2</v>
      </c>
      <c r="O737" t="s">
        <v>35</v>
      </c>
      <c r="P737">
        <v>1</v>
      </c>
      <c r="R737" t="s">
        <v>2343</v>
      </c>
      <c r="W737" t="s">
        <v>36</v>
      </c>
      <c r="X737" t="s">
        <v>37</v>
      </c>
      <c r="Y737" t="s">
        <v>38</v>
      </c>
      <c r="AD737">
        <v>0</v>
      </c>
      <c r="AE737" t="b">
        <f>ISNUMBER(MATCH(G737,AUM!$C$6:$C$1451,0))</f>
        <v>0</v>
      </c>
      <c r="AF737" t="b">
        <f>ISNUMBER(MATCH(G737,AUM!$G$6:$G$240,0))</f>
        <v>0</v>
      </c>
    </row>
    <row r="738" spans="1:32" x14ac:dyDescent="0.2">
      <c r="A738" t="s">
        <v>2344</v>
      </c>
      <c r="B738" s="1">
        <v>45671</v>
      </c>
      <c r="D738" t="s">
        <v>2344</v>
      </c>
      <c r="E738" t="s">
        <v>31</v>
      </c>
      <c r="F738" t="s">
        <v>2345</v>
      </c>
      <c r="G738" t="s">
        <v>2346</v>
      </c>
      <c r="H738" t="s">
        <v>34</v>
      </c>
      <c r="J738">
        <v>5547.42</v>
      </c>
      <c r="K738">
        <v>5563.62</v>
      </c>
      <c r="L738">
        <v>5563.6205858000003</v>
      </c>
      <c r="Q738" t="s">
        <v>2339</v>
      </c>
      <c r="U738">
        <v>0</v>
      </c>
      <c r="W738" t="s">
        <v>91</v>
      </c>
      <c r="X738" t="s">
        <v>69</v>
      </c>
      <c r="Y738" t="s">
        <v>38</v>
      </c>
      <c r="AD738">
        <v>0</v>
      </c>
      <c r="AE738" t="b">
        <f>ISNUMBER(MATCH(G738,AUM!$C$6:$C$1451,0))</f>
        <v>0</v>
      </c>
      <c r="AF738" t="b">
        <f>ISNUMBER(MATCH(G738,AUM!$G$6:$G$240,0))</f>
        <v>0</v>
      </c>
    </row>
    <row r="739" spans="1:32" x14ac:dyDescent="0.2">
      <c r="A739" t="s">
        <v>2343</v>
      </c>
      <c r="B739" s="1">
        <v>45671</v>
      </c>
      <c r="D739" t="s">
        <v>2343</v>
      </c>
      <c r="E739" t="s">
        <v>31</v>
      </c>
      <c r="F739" t="s">
        <v>2347</v>
      </c>
      <c r="G739" t="s">
        <v>2348</v>
      </c>
      <c r="H739" t="s">
        <v>34</v>
      </c>
      <c r="J739">
        <v>4953.3599999999997</v>
      </c>
      <c r="K739">
        <v>4961.9799999999996</v>
      </c>
      <c r="L739">
        <v>4961.9792253300002</v>
      </c>
      <c r="Q739" t="s">
        <v>2340</v>
      </c>
      <c r="T739">
        <v>0</v>
      </c>
      <c r="W739" t="s">
        <v>36</v>
      </c>
      <c r="X739" t="s">
        <v>69</v>
      </c>
      <c r="Y739" t="s">
        <v>38</v>
      </c>
      <c r="AD739">
        <v>0</v>
      </c>
      <c r="AE739" t="b">
        <f>ISNUMBER(MATCH(G739,AUM!$C$6:$C$1451,0))</f>
        <v>0</v>
      </c>
      <c r="AF739" t="b">
        <f>ISNUMBER(MATCH(G739,AUM!$G$6:$G$240,0))</f>
        <v>0</v>
      </c>
    </row>
    <row r="740" spans="1:32" x14ac:dyDescent="0.2">
      <c r="A740" t="s">
        <v>2349</v>
      </c>
      <c r="B740" s="1">
        <v>45671</v>
      </c>
      <c r="D740" t="s">
        <v>2349</v>
      </c>
      <c r="E740" t="s">
        <v>31</v>
      </c>
      <c r="F740" t="s">
        <v>2350</v>
      </c>
      <c r="G740" t="s">
        <v>2351</v>
      </c>
      <c r="H740" t="s">
        <v>34</v>
      </c>
      <c r="J740">
        <v>1182.29</v>
      </c>
      <c r="K740">
        <v>1183.93</v>
      </c>
      <c r="L740">
        <v>1183.9311585299999</v>
      </c>
      <c r="Q740" t="s">
        <v>2343</v>
      </c>
      <c r="W740" t="s">
        <v>36</v>
      </c>
      <c r="X740" t="s">
        <v>878</v>
      </c>
      <c r="Y740" t="s">
        <v>38</v>
      </c>
      <c r="Z740" t="s">
        <v>879</v>
      </c>
      <c r="AA740">
        <v>50</v>
      </c>
      <c r="AB740">
        <v>1</v>
      </c>
      <c r="AC740">
        <v>365</v>
      </c>
      <c r="AD740">
        <v>0</v>
      </c>
      <c r="AE740" t="b">
        <f>ISNUMBER(MATCH(G740,AUM!$C$6:$C$1451,0))</f>
        <v>0</v>
      </c>
      <c r="AF740" t="b">
        <f>ISNUMBER(MATCH(G740,AUM!$G$6:$G$240,0))</f>
        <v>0</v>
      </c>
    </row>
    <row r="741" spans="1:32" x14ac:dyDescent="0.2">
      <c r="A741" t="s">
        <v>2339</v>
      </c>
      <c r="B741" s="1">
        <v>45671</v>
      </c>
      <c r="D741" t="s">
        <v>2339</v>
      </c>
      <c r="E741" t="s">
        <v>31</v>
      </c>
      <c r="F741" t="s">
        <v>2352</v>
      </c>
      <c r="G741" t="s">
        <v>2353</v>
      </c>
      <c r="H741" t="s">
        <v>34</v>
      </c>
      <c r="I741">
        <v>1001275.2318199601</v>
      </c>
      <c r="J741">
        <v>4416.87</v>
      </c>
      <c r="K741">
        <v>4429.7700000000004</v>
      </c>
      <c r="L741">
        <v>4429.77434902</v>
      </c>
      <c r="M741">
        <v>4435423338.2299995</v>
      </c>
      <c r="N741">
        <v>25</v>
      </c>
      <c r="O741" t="s">
        <v>88</v>
      </c>
      <c r="P741">
        <v>1</v>
      </c>
      <c r="R741" t="s">
        <v>2336</v>
      </c>
      <c r="S741" t="s">
        <v>2344</v>
      </c>
      <c r="W741" t="s">
        <v>91</v>
      </c>
      <c r="X741" t="s">
        <v>37</v>
      </c>
      <c r="Y741" t="s">
        <v>38</v>
      </c>
      <c r="AD741">
        <v>0</v>
      </c>
      <c r="AE741" t="b">
        <f>ISNUMBER(MATCH(G741,AUM!$C$6:$C$1451,0))</f>
        <v>0</v>
      </c>
      <c r="AF741" t="b">
        <f>ISNUMBER(MATCH(G741,AUM!$G$6:$G$240,0))</f>
        <v>0</v>
      </c>
    </row>
    <row r="742" spans="1:32" x14ac:dyDescent="0.2">
      <c r="A742" t="s">
        <v>2354</v>
      </c>
      <c r="B742" s="1">
        <v>45671</v>
      </c>
      <c r="D742" t="s">
        <v>2354</v>
      </c>
      <c r="E742" t="s">
        <v>31</v>
      </c>
      <c r="F742" t="s">
        <v>2355</v>
      </c>
      <c r="G742" t="s">
        <v>2356</v>
      </c>
      <c r="H742" t="s">
        <v>34</v>
      </c>
      <c r="J742">
        <v>3267.75</v>
      </c>
      <c r="K742">
        <v>3259.4</v>
      </c>
      <c r="L742">
        <v>3259.4008912499999</v>
      </c>
      <c r="Q742" t="s">
        <v>2357</v>
      </c>
      <c r="T742">
        <v>0.2688692658779</v>
      </c>
      <c r="V742" t="s">
        <v>79</v>
      </c>
      <c r="W742" t="s">
        <v>36</v>
      </c>
      <c r="X742" t="s">
        <v>69</v>
      </c>
      <c r="Y742" t="s">
        <v>38</v>
      </c>
      <c r="AD742">
        <v>0</v>
      </c>
      <c r="AE742" t="b">
        <f>ISNUMBER(MATCH(G742,AUM!$C$6:$C$1451,0))</f>
        <v>1</v>
      </c>
      <c r="AF742" t="b">
        <f>ISNUMBER(MATCH(G742,AUM!$G$6:$G$240,0))</f>
        <v>0</v>
      </c>
    </row>
    <row r="743" spans="1:32" x14ac:dyDescent="0.2">
      <c r="A743" t="s">
        <v>2358</v>
      </c>
      <c r="B743" s="1">
        <v>45671</v>
      </c>
      <c r="D743" t="s">
        <v>2358</v>
      </c>
      <c r="E743" t="s">
        <v>31</v>
      </c>
      <c r="F743" t="s">
        <v>2359</v>
      </c>
      <c r="G743" t="s">
        <v>2360</v>
      </c>
      <c r="H743" t="s">
        <v>34</v>
      </c>
      <c r="J743">
        <v>2888.34</v>
      </c>
      <c r="K743">
        <v>2880.96</v>
      </c>
      <c r="L743">
        <v>2880.9602794500001</v>
      </c>
      <c r="Q743" t="s">
        <v>2357</v>
      </c>
      <c r="U743">
        <v>0.20165194940841999</v>
      </c>
      <c r="V743" t="s">
        <v>79</v>
      </c>
      <c r="W743" t="s">
        <v>36</v>
      </c>
      <c r="X743" t="s">
        <v>69</v>
      </c>
      <c r="Y743" t="s">
        <v>38</v>
      </c>
      <c r="AD743">
        <v>0</v>
      </c>
      <c r="AE743" t="b">
        <f>ISNUMBER(MATCH(G743,AUM!$C$6:$C$1451,0))</f>
        <v>1</v>
      </c>
      <c r="AF743" t="b">
        <f>ISNUMBER(MATCH(G743,AUM!$G$6:$G$240,0))</f>
        <v>0</v>
      </c>
    </row>
    <row r="744" spans="1:32" x14ac:dyDescent="0.2">
      <c r="A744" t="s">
        <v>2357</v>
      </c>
      <c r="B744" s="1">
        <v>45671</v>
      </c>
      <c r="D744" t="s">
        <v>2357</v>
      </c>
      <c r="E744" t="s">
        <v>31</v>
      </c>
      <c r="F744" t="s">
        <v>2361</v>
      </c>
      <c r="G744" t="s">
        <v>2362</v>
      </c>
      <c r="H744" t="s">
        <v>34</v>
      </c>
      <c r="I744">
        <v>550843671.61272597</v>
      </c>
      <c r="J744">
        <v>2074.63</v>
      </c>
      <c r="K744">
        <v>2069.3200000000002</v>
      </c>
      <c r="L744">
        <v>2069.32224486</v>
      </c>
      <c r="M744">
        <v>1139873063109.27</v>
      </c>
      <c r="N744">
        <v>50</v>
      </c>
      <c r="O744" t="s">
        <v>35</v>
      </c>
      <c r="P744">
        <v>1</v>
      </c>
      <c r="R744" t="s">
        <v>2354</v>
      </c>
      <c r="S744" t="s">
        <v>2358</v>
      </c>
      <c r="W744" t="s">
        <v>36</v>
      </c>
      <c r="X744" t="s">
        <v>37</v>
      </c>
      <c r="Y744" t="s">
        <v>38</v>
      </c>
      <c r="AD744">
        <v>0</v>
      </c>
      <c r="AE744" t="b">
        <f>ISNUMBER(MATCH(G744,AUM!$C$6:$C$1451,0))</f>
        <v>1</v>
      </c>
      <c r="AF744" t="b">
        <f>ISNUMBER(MATCH(G744,AUM!$G$6:$G$240,0))</f>
        <v>1</v>
      </c>
    </row>
    <row r="745" spans="1:32" x14ac:dyDescent="0.2">
      <c r="A745" t="s">
        <v>2363</v>
      </c>
      <c r="B745" s="1">
        <v>45671</v>
      </c>
      <c r="D745" t="s">
        <v>2363</v>
      </c>
      <c r="E745" t="s">
        <v>31</v>
      </c>
      <c r="F745" t="s">
        <v>2364</v>
      </c>
      <c r="G745" t="s">
        <v>2365</v>
      </c>
      <c r="H745" t="s">
        <v>34</v>
      </c>
      <c r="J745">
        <v>1859.37</v>
      </c>
      <c r="K745">
        <v>1854.05</v>
      </c>
      <c r="L745">
        <v>1854.0476411</v>
      </c>
      <c r="Q745" t="s">
        <v>2354</v>
      </c>
      <c r="W745" t="s">
        <v>36</v>
      </c>
      <c r="X745" t="s">
        <v>878</v>
      </c>
      <c r="Y745" t="s">
        <v>38</v>
      </c>
      <c r="Z745" t="s">
        <v>910</v>
      </c>
      <c r="AA745">
        <v>3.7499999999999999E-2</v>
      </c>
      <c r="AB745">
        <v>1</v>
      </c>
      <c r="AC745">
        <v>365</v>
      </c>
      <c r="AD745">
        <v>0</v>
      </c>
      <c r="AE745" t="b">
        <f>ISNUMBER(MATCH(G745,AUM!$C$6:$C$1451,0))</f>
        <v>1</v>
      </c>
      <c r="AF745" t="b">
        <f>ISNUMBER(MATCH(G745,AUM!$G$6:$G$240,0))</f>
        <v>0</v>
      </c>
    </row>
    <row r="746" spans="1:32" x14ac:dyDescent="0.2">
      <c r="A746" t="s">
        <v>2366</v>
      </c>
      <c r="B746" s="1">
        <v>45671</v>
      </c>
      <c r="D746" t="s">
        <v>2366</v>
      </c>
      <c r="E746" t="s">
        <v>31</v>
      </c>
      <c r="F746" t="s">
        <v>2367</v>
      </c>
      <c r="G746" t="s">
        <v>2368</v>
      </c>
      <c r="H746" t="s">
        <v>34</v>
      </c>
      <c r="I746">
        <v>1009304.084593</v>
      </c>
      <c r="J746">
        <v>2548.5700000000002</v>
      </c>
      <c r="K746">
        <v>2535.56</v>
      </c>
      <c r="L746">
        <v>2535.5557782999999</v>
      </c>
      <c r="M746">
        <v>2559146803.7519999</v>
      </c>
      <c r="N746">
        <v>40</v>
      </c>
      <c r="O746" t="s">
        <v>35</v>
      </c>
      <c r="P746">
        <v>1</v>
      </c>
      <c r="R746" t="s">
        <v>2369</v>
      </c>
      <c r="S746" t="s">
        <v>2370</v>
      </c>
      <c r="W746" t="s">
        <v>36</v>
      </c>
      <c r="X746" t="s">
        <v>37</v>
      </c>
      <c r="Y746" t="s">
        <v>38</v>
      </c>
      <c r="AD746">
        <v>0</v>
      </c>
      <c r="AE746" t="b">
        <f>ISNUMBER(MATCH(G746,AUM!$C$6:$C$1451,0))</f>
        <v>0</v>
      </c>
      <c r="AF746" t="b">
        <f>ISNUMBER(MATCH(G746,AUM!$G$6:$G$240,0))</f>
        <v>0</v>
      </c>
    </row>
    <row r="747" spans="1:32" x14ac:dyDescent="0.2">
      <c r="A747" t="s">
        <v>2371</v>
      </c>
      <c r="B747" s="1">
        <v>45671</v>
      </c>
      <c r="D747" t="s">
        <v>2371</v>
      </c>
      <c r="E747" t="s">
        <v>31</v>
      </c>
      <c r="F747" t="s">
        <v>2372</v>
      </c>
      <c r="G747" t="s">
        <v>2373</v>
      </c>
      <c r="H747" t="s">
        <v>34</v>
      </c>
      <c r="J747">
        <v>1143.96</v>
      </c>
      <c r="K747">
        <v>1137.71</v>
      </c>
      <c r="L747">
        <v>1137.7120907000001</v>
      </c>
      <c r="Q747" t="s">
        <v>2369</v>
      </c>
      <c r="W747" t="s">
        <v>36</v>
      </c>
      <c r="X747" t="s">
        <v>878</v>
      </c>
      <c r="Y747" t="s">
        <v>38</v>
      </c>
      <c r="Z747" t="s">
        <v>879</v>
      </c>
      <c r="AA747">
        <v>50</v>
      </c>
      <c r="AB747">
        <v>1</v>
      </c>
      <c r="AC747">
        <v>365</v>
      </c>
      <c r="AD747">
        <v>0</v>
      </c>
      <c r="AE747" t="b">
        <f>ISNUMBER(MATCH(G747,AUM!$C$6:$C$1451,0))</f>
        <v>0</v>
      </c>
      <c r="AF747" t="b">
        <f>ISNUMBER(MATCH(G747,AUM!$G$6:$G$240,0))</f>
        <v>0</v>
      </c>
    </row>
    <row r="748" spans="1:32" x14ac:dyDescent="0.2">
      <c r="A748" t="s">
        <v>2369</v>
      </c>
      <c r="B748" s="1">
        <v>45671</v>
      </c>
      <c r="D748" t="s">
        <v>2369</v>
      </c>
      <c r="E748" t="s">
        <v>31</v>
      </c>
      <c r="F748" t="s">
        <v>2374</v>
      </c>
      <c r="G748" t="s">
        <v>2375</v>
      </c>
      <c r="H748" t="s">
        <v>34</v>
      </c>
      <c r="J748">
        <v>4134.43</v>
      </c>
      <c r="K748">
        <v>4113.33</v>
      </c>
      <c r="L748">
        <v>4113.3254276799998</v>
      </c>
      <c r="Q748" t="s">
        <v>2366</v>
      </c>
      <c r="T748">
        <v>0</v>
      </c>
      <c r="W748" t="s">
        <v>36</v>
      </c>
      <c r="X748" t="s">
        <v>69</v>
      </c>
      <c r="Y748" t="s">
        <v>38</v>
      </c>
      <c r="AD748">
        <v>0</v>
      </c>
      <c r="AE748" t="b">
        <f>ISNUMBER(MATCH(G748,AUM!$C$6:$C$1451,0))</f>
        <v>0</v>
      </c>
      <c r="AF748" t="b">
        <f>ISNUMBER(MATCH(G748,AUM!$G$6:$G$240,0))</f>
        <v>0</v>
      </c>
    </row>
    <row r="749" spans="1:32" x14ac:dyDescent="0.2">
      <c r="A749" t="s">
        <v>2370</v>
      </c>
      <c r="B749" s="1">
        <v>45671</v>
      </c>
      <c r="D749" t="s">
        <v>2370</v>
      </c>
      <c r="E749" t="s">
        <v>31</v>
      </c>
      <c r="F749" t="s">
        <v>2376</v>
      </c>
      <c r="G749" t="s">
        <v>2377</v>
      </c>
      <c r="H749" t="s">
        <v>34</v>
      </c>
      <c r="J749">
        <v>3673.02</v>
      </c>
      <c r="K749">
        <v>3654.27</v>
      </c>
      <c r="L749">
        <v>3654.27338229</v>
      </c>
      <c r="Q749" t="s">
        <v>2366</v>
      </c>
      <c r="U749">
        <v>0</v>
      </c>
      <c r="W749" t="s">
        <v>36</v>
      </c>
      <c r="X749" t="s">
        <v>69</v>
      </c>
      <c r="Y749" t="s">
        <v>38</v>
      </c>
      <c r="AD749">
        <v>0</v>
      </c>
      <c r="AE749" t="b">
        <f>ISNUMBER(MATCH(G749,AUM!$C$6:$C$1451,0))</f>
        <v>0</v>
      </c>
      <c r="AF749" t="b">
        <f>ISNUMBER(MATCH(G749,AUM!$G$6:$G$240,0))</f>
        <v>0</v>
      </c>
    </row>
    <row r="750" spans="1:32" x14ac:dyDescent="0.2">
      <c r="A750" t="s">
        <v>2378</v>
      </c>
      <c r="B750" s="1">
        <v>45671</v>
      </c>
      <c r="D750" t="s">
        <v>2378</v>
      </c>
      <c r="E750" t="s">
        <v>31</v>
      </c>
      <c r="F750" t="s">
        <v>2379</v>
      </c>
      <c r="G750" t="s">
        <v>2380</v>
      </c>
      <c r="H750" t="s">
        <v>34</v>
      </c>
      <c r="J750">
        <v>3912.91</v>
      </c>
      <c r="K750">
        <v>3944.33</v>
      </c>
      <c r="L750">
        <v>3944.3301108300002</v>
      </c>
      <c r="Q750" t="s">
        <v>2381</v>
      </c>
      <c r="U750">
        <v>0.41310261392660003</v>
      </c>
      <c r="V750" t="s">
        <v>79</v>
      </c>
      <c r="W750" t="s">
        <v>36</v>
      </c>
      <c r="X750" t="s">
        <v>69</v>
      </c>
      <c r="Y750" t="s">
        <v>38</v>
      </c>
      <c r="AD750">
        <v>0</v>
      </c>
      <c r="AE750" t="b">
        <f>ISNUMBER(MATCH(G750,AUM!$C$6:$C$1451,0))</f>
        <v>0</v>
      </c>
      <c r="AF750" t="b">
        <f>ISNUMBER(MATCH(G750,AUM!$G$6:$G$240,0))</f>
        <v>0</v>
      </c>
    </row>
    <row r="751" spans="1:32" x14ac:dyDescent="0.2">
      <c r="A751" t="s">
        <v>2382</v>
      </c>
      <c r="B751" s="1">
        <v>45671</v>
      </c>
      <c r="D751" t="s">
        <v>2382</v>
      </c>
      <c r="E751" t="s">
        <v>31</v>
      </c>
      <c r="F751" t="s">
        <v>2383</v>
      </c>
      <c r="G751" t="s">
        <v>2384</v>
      </c>
      <c r="H751" t="s">
        <v>34</v>
      </c>
      <c r="J751">
        <v>1509.86</v>
      </c>
      <c r="K751">
        <v>1521.36</v>
      </c>
      <c r="L751">
        <v>1521.36133378</v>
      </c>
      <c r="Q751" t="s">
        <v>2378</v>
      </c>
      <c r="W751" t="s">
        <v>36</v>
      </c>
      <c r="X751" t="s">
        <v>878</v>
      </c>
      <c r="Y751" t="s">
        <v>38</v>
      </c>
      <c r="Z751" t="s">
        <v>910</v>
      </c>
      <c r="AA751">
        <v>0.05</v>
      </c>
      <c r="AB751">
        <v>1</v>
      </c>
      <c r="AC751">
        <v>365</v>
      </c>
      <c r="AD751">
        <v>0</v>
      </c>
      <c r="AE751" t="b">
        <f>ISNUMBER(MATCH(G751,AUM!$C$6:$C$1451,0))</f>
        <v>0</v>
      </c>
      <c r="AF751" t="b">
        <f>ISNUMBER(MATCH(G751,AUM!$G$6:$G$240,0))</f>
        <v>0</v>
      </c>
    </row>
    <row r="752" spans="1:32" x14ac:dyDescent="0.2">
      <c r="A752" t="s">
        <v>2385</v>
      </c>
      <c r="B752" s="1">
        <v>45671</v>
      </c>
      <c r="D752" t="s">
        <v>2385</v>
      </c>
      <c r="E752" t="s">
        <v>31</v>
      </c>
      <c r="F752" t="s">
        <v>2386</v>
      </c>
      <c r="G752" t="s">
        <v>2387</v>
      </c>
      <c r="H752" t="s">
        <v>34</v>
      </c>
      <c r="J752">
        <v>4424.78</v>
      </c>
      <c r="K752">
        <v>4460.32</v>
      </c>
      <c r="L752">
        <v>4460.3168290800004</v>
      </c>
      <c r="Q752" t="s">
        <v>2381</v>
      </c>
      <c r="T752">
        <v>0.55080348523545997</v>
      </c>
      <c r="V752" t="s">
        <v>79</v>
      </c>
      <c r="W752" t="s">
        <v>36</v>
      </c>
      <c r="X752" t="s">
        <v>69</v>
      </c>
      <c r="Y752" t="s">
        <v>38</v>
      </c>
      <c r="AD752">
        <v>0</v>
      </c>
      <c r="AE752" t="b">
        <f>ISNUMBER(MATCH(G752,AUM!$C$6:$C$1451,0))</f>
        <v>0</v>
      </c>
      <c r="AF752" t="b">
        <f>ISNUMBER(MATCH(G752,AUM!$G$6:$G$240,0))</f>
        <v>0</v>
      </c>
    </row>
    <row r="753" spans="1:32" x14ac:dyDescent="0.2">
      <c r="A753" t="s">
        <v>2381</v>
      </c>
      <c r="B753" s="1">
        <v>45671</v>
      </c>
      <c r="D753" t="s">
        <v>2381</v>
      </c>
      <c r="E753" t="s">
        <v>31</v>
      </c>
      <c r="F753" t="s">
        <v>2388</v>
      </c>
      <c r="G753" t="s">
        <v>2389</v>
      </c>
      <c r="H753" t="s">
        <v>34</v>
      </c>
      <c r="I753">
        <v>1018657.31615722</v>
      </c>
      <c r="J753">
        <v>2596.39</v>
      </c>
      <c r="K753">
        <v>2617.2399999999998</v>
      </c>
      <c r="L753">
        <v>2617.2445526299998</v>
      </c>
      <c r="M753">
        <v>2666075311.71211</v>
      </c>
      <c r="N753">
        <v>40</v>
      </c>
      <c r="O753" t="s">
        <v>35</v>
      </c>
      <c r="P753">
        <v>1</v>
      </c>
      <c r="R753" t="s">
        <v>2385</v>
      </c>
      <c r="S753" t="s">
        <v>2378</v>
      </c>
      <c r="W753" t="s">
        <v>36</v>
      </c>
      <c r="X753" t="s">
        <v>37</v>
      </c>
      <c r="Y753" t="s">
        <v>38</v>
      </c>
      <c r="AD753">
        <v>0</v>
      </c>
      <c r="AE753" t="b">
        <f>ISNUMBER(MATCH(G753,AUM!$C$6:$C$1451,0))</f>
        <v>0</v>
      </c>
      <c r="AF753" t="b">
        <f>ISNUMBER(MATCH(G753,AUM!$G$6:$G$240,0))</f>
        <v>0</v>
      </c>
    </row>
    <row r="754" spans="1:32" x14ac:dyDescent="0.2">
      <c r="A754" t="s">
        <v>2390</v>
      </c>
      <c r="B754" s="1">
        <v>45671</v>
      </c>
      <c r="D754" t="s">
        <v>2390</v>
      </c>
      <c r="E754" t="s">
        <v>31</v>
      </c>
      <c r="F754" t="s">
        <v>2391</v>
      </c>
      <c r="G754" t="s">
        <v>2392</v>
      </c>
      <c r="H754" t="s">
        <v>34</v>
      </c>
      <c r="J754">
        <v>4907.2299999999996</v>
      </c>
      <c r="K754">
        <v>4882.9799999999996</v>
      </c>
      <c r="L754">
        <v>4882.9829911899997</v>
      </c>
      <c r="Q754" t="s">
        <v>2393</v>
      </c>
      <c r="T754">
        <v>0</v>
      </c>
      <c r="W754" t="s">
        <v>36</v>
      </c>
      <c r="X754" t="s">
        <v>69</v>
      </c>
      <c r="Y754" t="s">
        <v>38</v>
      </c>
      <c r="AD754">
        <v>0</v>
      </c>
      <c r="AE754" t="b">
        <f>ISNUMBER(MATCH(G754,AUM!$C$6:$C$1451,0))</f>
        <v>0</v>
      </c>
      <c r="AF754" t="b">
        <f>ISNUMBER(MATCH(G754,AUM!$G$6:$G$240,0))</f>
        <v>0</v>
      </c>
    </row>
    <row r="755" spans="1:32" x14ac:dyDescent="0.2">
      <c r="A755" t="s">
        <v>2393</v>
      </c>
      <c r="B755" s="1">
        <v>45671</v>
      </c>
      <c r="D755" t="s">
        <v>2393</v>
      </c>
      <c r="E755" t="s">
        <v>31</v>
      </c>
      <c r="F755" t="s">
        <v>2394</v>
      </c>
      <c r="G755" t="s">
        <v>2395</v>
      </c>
      <c r="H755" t="s">
        <v>34</v>
      </c>
      <c r="I755">
        <v>892278127.18910098</v>
      </c>
      <c r="J755">
        <v>2821.47</v>
      </c>
      <c r="K755">
        <v>2807.53</v>
      </c>
      <c r="L755">
        <v>2807.5285155699999</v>
      </c>
      <c r="M755">
        <v>2505096285904.7202</v>
      </c>
      <c r="N755">
        <v>40</v>
      </c>
      <c r="O755" t="s">
        <v>35</v>
      </c>
      <c r="P755">
        <v>1</v>
      </c>
      <c r="R755" t="s">
        <v>2390</v>
      </c>
      <c r="S755" t="s">
        <v>2396</v>
      </c>
      <c r="W755" t="s">
        <v>36</v>
      </c>
      <c r="X755" t="s">
        <v>37</v>
      </c>
      <c r="Y755" t="s">
        <v>38</v>
      </c>
      <c r="AD755">
        <v>0</v>
      </c>
      <c r="AE755" t="b">
        <f>ISNUMBER(MATCH(G755,AUM!$C$6:$C$1451,0))</f>
        <v>0</v>
      </c>
      <c r="AF755" t="b">
        <f>ISNUMBER(MATCH(G755,AUM!$G$6:$G$240,0))</f>
        <v>0</v>
      </c>
    </row>
    <row r="756" spans="1:32" x14ac:dyDescent="0.2">
      <c r="A756" t="s">
        <v>2397</v>
      </c>
      <c r="B756" s="1">
        <v>45671</v>
      </c>
      <c r="D756" t="s">
        <v>2397</v>
      </c>
      <c r="E756" t="s">
        <v>31</v>
      </c>
      <c r="F756" t="s">
        <v>2398</v>
      </c>
      <c r="G756" t="s">
        <v>2399</v>
      </c>
      <c r="H756" t="s">
        <v>34</v>
      </c>
      <c r="J756">
        <v>1921.9</v>
      </c>
      <c r="K756">
        <v>1911.61</v>
      </c>
      <c r="L756">
        <v>1911.61390033</v>
      </c>
      <c r="Q756" t="s">
        <v>2396</v>
      </c>
      <c r="W756" t="s">
        <v>36</v>
      </c>
      <c r="X756" t="s">
        <v>878</v>
      </c>
      <c r="Y756" t="s">
        <v>38</v>
      </c>
      <c r="Z756" t="s">
        <v>910</v>
      </c>
      <c r="AA756">
        <v>0.05</v>
      </c>
      <c r="AB756">
        <v>1</v>
      </c>
      <c r="AC756">
        <v>365</v>
      </c>
      <c r="AD756">
        <v>0</v>
      </c>
      <c r="AE756" t="b">
        <f>ISNUMBER(MATCH(G756,AUM!$C$6:$C$1451,0))</f>
        <v>0</v>
      </c>
      <c r="AF756" t="b">
        <f>ISNUMBER(MATCH(G756,AUM!$G$6:$G$240,0))</f>
        <v>0</v>
      </c>
    </row>
    <row r="757" spans="1:32" x14ac:dyDescent="0.2">
      <c r="A757" t="s">
        <v>2396</v>
      </c>
      <c r="B757" s="1">
        <v>45671</v>
      </c>
      <c r="D757" t="s">
        <v>2396</v>
      </c>
      <c r="E757" t="s">
        <v>31</v>
      </c>
      <c r="F757" t="s">
        <v>2400</v>
      </c>
      <c r="G757" t="s">
        <v>2401</v>
      </c>
      <c r="H757" t="s">
        <v>34</v>
      </c>
      <c r="J757">
        <v>4284.92</v>
      </c>
      <c r="K757">
        <v>4263.75</v>
      </c>
      <c r="L757">
        <v>4263.74848191</v>
      </c>
      <c r="Q757" t="s">
        <v>2393</v>
      </c>
      <c r="U757">
        <v>0</v>
      </c>
      <c r="W757" t="s">
        <v>36</v>
      </c>
      <c r="X757" t="s">
        <v>69</v>
      </c>
      <c r="Y757" t="s">
        <v>38</v>
      </c>
      <c r="AD757">
        <v>0</v>
      </c>
      <c r="AE757" t="b">
        <f>ISNUMBER(MATCH(G757,AUM!$C$6:$C$1451,0))</f>
        <v>0</v>
      </c>
      <c r="AF757" t="b">
        <f>ISNUMBER(MATCH(G757,AUM!$G$6:$G$240,0))</f>
        <v>0</v>
      </c>
    </row>
    <row r="758" spans="1:32" x14ac:dyDescent="0.2">
      <c r="A758" t="s">
        <v>2402</v>
      </c>
      <c r="B758" s="1">
        <v>45671</v>
      </c>
      <c r="D758" t="s">
        <v>2402</v>
      </c>
      <c r="E758" t="s">
        <v>31</v>
      </c>
      <c r="F758" t="s">
        <v>2403</v>
      </c>
      <c r="G758" t="s">
        <v>2404</v>
      </c>
      <c r="H758" t="s">
        <v>34</v>
      </c>
      <c r="I758">
        <v>974380.57533750602</v>
      </c>
      <c r="J758">
        <v>1798.07</v>
      </c>
      <c r="K758">
        <v>1791.23</v>
      </c>
      <c r="L758">
        <v>1791.2258658000001</v>
      </c>
      <c r="M758">
        <v>1745335689.6728001</v>
      </c>
      <c r="N758">
        <v>50</v>
      </c>
      <c r="O758" t="s">
        <v>35</v>
      </c>
      <c r="P758">
        <v>1</v>
      </c>
      <c r="R758" t="s">
        <v>2405</v>
      </c>
      <c r="S758" t="s">
        <v>2406</v>
      </c>
      <c r="W758" t="s">
        <v>36</v>
      </c>
      <c r="X758" t="s">
        <v>37</v>
      </c>
      <c r="Y758" t="s">
        <v>38</v>
      </c>
      <c r="AD758">
        <v>0</v>
      </c>
      <c r="AE758" t="b">
        <f>ISNUMBER(MATCH(G758,AUM!$C$6:$C$1451,0))</f>
        <v>0</v>
      </c>
      <c r="AF758" t="b">
        <f>ISNUMBER(MATCH(G758,AUM!$G$6:$G$240,0))</f>
        <v>0</v>
      </c>
    </row>
    <row r="759" spans="1:32" x14ac:dyDescent="0.2">
      <c r="A759" t="s">
        <v>2406</v>
      </c>
      <c r="B759" s="1">
        <v>45671</v>
      </c>
      <c r="D759" t="s">
        <v>2406</v>
      </c>
      <c r="E759" t="s">
        <v>31</v>
      </c>
      <c r="F759" t="s">
        <v>2407</v>
      </c>
      <c r="G759" t="s">
        <v>2408</v>
      </c>
      <c r="H759" t="s">
        <v>34</v>
      </c>
      <c r="J759">
        <v>2586.31</v>
      </c>
      <c r="K759">
        <v>2576.46</v>
      </c>
      <c r="L759">
        <v>2576.4649305500002</v>
      </c>
      <c r="Q759" t="s">
        <v>2402</v>
      </c>
      <c r="U759">
        <v>0.22544322573744999</v>
      </c>
      <c r="V759" t="s">
        <v>79</v>
      </c>
      <c r="W759" t="s">
        <v>36</v>
      </c>
      <c r="X759" t="s">
        <v>69</v>
      </c>
      <c r="Y759" t="s">
        <v>38</v>
      </c>
      <c r="AD759">
        <v>0</v>
      </c>
      <c r="AE759" t="b">
        <f>ISNUMBER(MATCH(G759,AUM!$C$6:$C$1451,0))</f>
        <v>0</v>
      </c>
      <c r="AF759" t="b">
        <f>ISNUMBER(MATCH(G759,AUM!$G$6:$G$240,0))</f>
        <v>0</v>
      </c>
    </row>
    <row r="760" spans="1:32" x14ac:dyDescent="0.2">
      <c r="A760" t="s">
        <v>2405</v>
      </c>
      <c r="B760" s="1">
        <v>45671</v>
      </c>
      <c r="D760" t="s">
        <v>2405</v>
      </c>
      <c r="E760" t="s">
        <v>31</v>
      </c>
      <c r="F760" t="s">
        <v>2409</v>
      </c>
      <c r="G760" t="s">
        <v>2410</v>
      </c>
      <c r="H760" t="s">
        <v>34</v>
      </c>
      <c r="J760">
        <v>2906.24</v>
      </c>
      <c r="K760">
        <v>2895.17</v>
      </c>
      <c r="L760">
        <v>2895.1702532700001</v>
      </c>
      <c r="Q760" t="s">
        <v>2402</v>
      </c>
      <c r="T760">
        <v>0.30059096764992999</v>
      </c>
      <c r="V760" t="s">
        <v>79</v>
      </c>
      <c r="W760" t="s">
        <v>36</v>
      </c>
      <c r="X760" t="s">
        <v>69</v>
      </c>
      <c r="Y760" t="s">
        <v>38</v>
      </c>
      <c r="AD760">
        <v>0</v>
      </c>
      <c r="AE760" t="b">
        <f>ISNUMBER(MATCH(G760,AUM!$C$6:$C$1451,0))</f>
        <v>0</v>
      </c>
      <c r="AF760" t="b">
        <f>ISNUMBER(MATCH(G760,AUM!$G$6:$G$240,0))</f>
        <v>0</v>
      </c>
    </row>
    <row r="761" spans="1:32" x14ac:dyDescent="0.2">
      <c r="A761" t="s">
        <v>2411</v>
      </c>
      <c r="B761" s="1">
        <v>45671</v>
      </c>
      <c r="D761" t="s">
        <v>2411</v>
      </c>
      <c r="E761" t="s">
        <v>31</v>
      </c>
      <c r="F761" t="s">
        <v>2412</v>
      </c>
      <c r="G761" t="s">
        <v>2413</v>
      </c>
      <c r="H761" t="s">
        <v>34</v>
      </c>
      <c r="J761">
        <v>1219.25</v>
      </c>
      <c r="K761">
        <v>1214.1099999999999</v>
      </c>
      <c r="L761">
        <v>1214.11020205</v>
      </c>
      <c r="Q761" t="s">
        <v>2406</v>
      </c>
      <c r="W761" t="s">
        <v>36</v>
      </c>
      <c r="X761" t="s">
        <v>878</v>
      </c>
      <c r="Y761" t="s">
        <v>38</v>
      </c>
      <c r="Z761" t="s">
        <v>910</v>
      </c>
      <c r="AA761">
        <v>0.05</v>
      </c>
      <c r="AB761">
        <v>1</v>
      </c>
      <c r="AC761">
        <v>365</v>
      </c>
      <c r="AD761">
        <v>0</v>
      </c>
      <c r="AE761" t="b">
        <f>ISNUMBER(MATCH(G761,AUM!$C$6:$C$1451,0))</f>
        <v>0</v>
      </c>
      <c r="AF761" t="b">
        <f>ISNUMBER(MATCH(G761,AUM!$G$6:$G$240,0))</f>
        <v>0</v>
      </c>
    </row>
    <row r="762" spans="1:32" x14ac:dyDescent="0.2">
      <c r="A762" t="s">
        <v>2414</v>
      </c>
      <c r="B762" s="1">
        <v>45671</v>
      </c>
      <c r="D762" t="s">
        <v>2414</v>
      </c>
      <c r="E762" t="s">
        <v>31</v>
      </c>
      <c r="F762" t="s">
        <v>2415</v>
      </c>
      <c r="G762" t="s">
        <v>2416</v>
      </c>
      <c r="H762" t="s">
        <v>34</v>
      </c>
      <c r="J762">
        <v>3402.64</v>
      </c>
      <c r="K762">
        <v>3391.58</v>
      </c>
      <c r="L762">
        <v>3391.57647309</v>
      </c>
      <c r="Q762" t="s">
        <v>2417</v>
      </c>
      <c r="T762">
        <v>0.24457187879983999</v>
      </c>
      <c r="V762" t="s">
        <v>79</v>
      </c>
      <c r="W762" t="s">
        <v>36</v>
      </c>
      <c r="X762" t="s">
        <v>69</v>
      </c>
      <c r="Y762" t="s">
        <v>38</v>
      </c>
      <c r="AD762">
        <v>0</v>
      </c>
      <c r="AE762" t="b">
        <f>ISNUMBER(MATCH(G762,AUM!$C$6:$C$1451,0))</f>
        <v>1</v>
      </c>
      <c r="AF762" t="b">
        <f>ISNUMBER(MATCH(G762,AUM!$G$6:$G$240,0))</f>
        <v>0</v>
      </c>
    </row>
    <row r="763" spans="1:32" x14ac:dyDescent="0.2">
      <c r="A763" t="s">
        <v>2418</v>
      </c>
      <c r="B763" s="1">
        <v>45671</v>
      </c>
      <c r="D763" t="s">
        <v>2418</v>
      </c>
      <c r="E763" t="s">
        <v>31</v>
      </c>
      <c r="F763" t="s">
        <v>2419</v>
      </c>
      <c r="G763" t="s">
        <v>2420</v>
      </c>
      <c r="H763" t="s">
        <v>34</v>
      </c>
      <c r="J763">
        <v>3026.39</v>
      </c>
      <c r="K763">
        <v>3016.55</v>
      </c>
      <c r="L763">
        <v>3016.5538540299999</v>
      </c>
      <c r="Q763" t="s">
        <v>2417</v>
      </c>
      <c r="U763">
        <v>0.18342890909987999</v>
      </c>
      <c r="V763" t="s">
        <v>79</v>
      </c>
      <c r="W763" t="s">
        <v>36</v>
      </c>
      <c r="X763" t="s">
        <v>69</v>
      </c>
      <c r="Y763" t="s">
        <v>38</v>
      </c>
      <c r="AD763">
        <v>0</v>
      </c>
      <c r="AE763" t="b">
        <f>ISNUMBER(MATCH(G763,AUM!$C$6:$C$1451,0))</f>
        <v>1</v>
      </c>
      <c r="AF763" t="b">
        <f>ISNUMBER(MATCH(G763,AUM!$G$6:$G$240,0))</f>
        <v>0</v>
      </c>
    </row>
    <row r="764" spans="1:32" x14ac:dyDescent="0.2">
      <c r="A764" t="s">
        <v>2417</v>
      </c>
      <c r="B764" s="1">
        <v>45671</v>
      </c>
      <c r="D764" t="s">
        <v>2417</v>
      </c>
      <c r="E764" t="s">
        <v>31</v>
      </c>
      <c r="F764" t="s">
        <v>2421</v>
      </c>
      <c r="G764" t="s">
        <v>2422</v>
      </c>
      <c r="H764" t="s">
        <v>34</v>
      </c>
      <c r="I764">
        <v>977651.23763753695</v>
      </c>
      <c r="J764">
        <v>2213.8200000000002</v>
      </c>
      <c r="K764">
        <v>2206.62</v>
      </c>
      <c r="L764">
        <v>2206.61753886</v>
      </c>
      <c r="M764">
        <v>2157302367.862</v>
      </c>
      <c r="N764">
        <v>50</v>
      </c>
      <c r="O764" t="s">
        <v>35</v>
      </c>
      <c r="P764">
        <v>1</v>
      </c>
      <c r="R764" t="s">
        <v>2414</v>
      </c>
      <c r="S764" t="s">
        <v>2418</v>
      </c>
      <c r="W764" t="s">
        <v>36</v>
      </c>
      <c r="X764" t="s">
        <v>37</v>
      </c>
      <c r="Y764" t="s">
        <v>38</v>
      </c>
      <c r="AD764">
        <v>0</v>
      </c>
      <c r="AE764" t="b">
        <f>ISNUMBER(MATCH(G764,AUM!$C$6:$C$1451,0))</f>
        <v>1</v>
      </c>
      <c r="AF764" t="b">
        <f>ISNUMBER(MATCH(G764,AUM!$G$6:$G$240,0))</f>
        <v>1</v>
      </c>
    </row>
    <row r="765" spans="1:32" x14ac:dyDescent="0.2">
      <c r="A765" t="s">
        <v>2423</v>
      </c>
      <c r="B765" s="1">
        <v>45671</v>
      </c>
      <c r="D765" t="s">
        <v>2423</v>
      </c>
      <c r="E765" t="s">
        <v>31</v>
      </c>
      <c r="F765" t="s">
        <v>2424</v>
      </c>
      <c r="G765" t="s">
        <v>2425</v>
      </c>
      <c r="H765" t="s">
        <v>34</v>
      </c>
      <c r="J765">
        <v>1441.34</v>
      </c>
      <c r="K765">
        <v>1440.03</v>
      </c>
      <c r="L765">
        <v>1440.0252223099999</v>
      </c>
      <c r="Q765" t="s">
        <v>2426</v>
      </c>
      <c r="W765" t="s">
        <v>36</v>
      </c>
      <c r="X765" t="s">
        <v>878</v>
      </c>
      <c r="Y765" t="s">
        <v>38</v>
      </c>
      <c r="Z765" t="s">
        <v>910</v>
      </c>
      <c r="AA765">
        <v>0.05</v>
      </c>
      <c r="AB765">
        <v>1</v>
      </c>
      <c r="AC765">
        <v>365</v>
      </c>
      <c r="AD765">
        <v>0</v>
      </c>
      <c r="AE765" t="b">
        <f>ISNUMBER(MATCH(G765,AUM!$C$6:$C$1451,0))</f>
        <v>0</v>
      </c>
      <c r="AF765" t="b">
        <f>ISNUMBER(MATCH(G765,AUM!$G$6:$G$240,0))</f>
        <v>0</v>
      </c>
    </row>
    <row r="766" spans="1:32" x14ac:dyDescent="0.2">
      <c r="A766" t="s">
        <v>2427</v>
      </c>
      <c r="B766" s="1">
        <v>45671</v>
      </c>
      <c r="D766" t="s">
        <v>2427</v>
      </c>
      <c r="E766" t="s">
        <v>31</v>
      </c>
      <c r="F766" t="s">
        <v>2428</v>
      </c>
      <c r="G766" t="s">
        <v>2429</v>
      </c>
      <c r="H766" t="s">
        <v>34</v>
      </c>
      <c r="J766">
        <v>1788.48</v>
      </c>
      <c r="K766">
        <v>1776.1</v>
      </c>
      <c r="L766">
        <v>1776.1010384799999</v>
      </c>
      <c r="Q766" t="s">
        <v>2430</v>
      </c>
      <c r="W766" t="s">
        <v>36</v>
      </c>
      <c r="X766" t="s">
        <v>878</v>
      </c>
      <c r="Y766" t="s">
        <v>38</v>
      </c>
      <c r="Z766" t="s">
        <v>910</v>
      </c>
      <c r="AA766">
        <v>0.05</v>
      </c>
      <c r="AB766">
        <v>1</v>
      </c>
      <c r="AC766">
        <v>365</v>
      </c>
      <c r="AD766">
        <v>0</v>
      </c>
      <c r="AE766" t="b">
        <f>ISNUMBER(MATCH(G766,AUM!$C$6:$C$1451,0))</f>
        <v>1</v>
      </c>
      <c r="AF766" t="b">
        <f>ISNUMBER(MATCH(G766,AUM!$G$6:$G$240,0))</f>
        <v>0</v>
      </c>
    </row>
    <row r="767" spans="1:32" x14ac:dyDescent="0.2">
      <c r="A767" t="s">
        <v>2431</v>
      </c>
      <c r="B767" s="1">
        <v>45671</v>
      </c>
      <c r="D767" t="s">
        <v>2431</v>
      </c>
      <c r="E767" t="s">
        <v>31</v>
      </c>
      <c r="F767" t="s">
        <v>2432</v>
      </c>
      <c r="G767" t="s">
        <v>2433</v>
      </c>
      <c r="H767" t="s">
        <v>34</v>
      </c>
      <c r="I767">
        <v>986129.53052529902</v>
      </c>
      <c r="J767">
        <v>2741.53</v>
      </c>
      <c r="K767">
        <v>2723.68</v>
      </c>
      <c r="L767">
        <v>2723.6827610099999</v>
      </c>
      <c r="M767">
        <v>2685904002.4190001</v>
      </c>
      <c r="N767">
        <v>50</v>
      </c>
      <c r="O767" t="s">
        <v>35</v>
      </c>
      <c r="P767">
        <v>1</v>
      </c>
      <c r="R767" t="s">
        <v>2434</v>
      </c>
      <c r="S767" t="s">
        <v>2430</v>
      </c>
      <c r="W767" t="s">
        <v>36</v>
      </c>
      <c r="X767" t="s">
        <v>37</v>
      </c>
      <c r="Y767" t="s">
        <v>38</v>
      </c>
      <c r="AD767">
        <v>0</v>
      </c>
      <c r="AE767" t="b">
        <f>ISNUMBER(MATCH(G767,AUM!$C$6:$C$1451,0))</f>
        <v>1</v>
      </c>
      <c r="AF767" t="b">
        <f>ISNUMBER(MATCH(G767,AUM!$G$6:$G$240,0))</f>
        <v>1</v>
      </c>
    </row>
    <row r="768" spans="1:32" x14ac:dyDescent="0.2">
      <c r="A768" t="s">
        <v>2426</v>
      </c>
      <c r="B768" s="1">
        <v>45671</v>
      </c>
      <c r="D768" t="s">
        <v>2426</v>
      </c>
      <c r="E768" t="s">
        <v>31</v>
      </c>
      <c r="F768" t="s">
        <v>2435</v>
      </c>
      <c r="G768" t="s">
        <v>2436</v>
      </c>
      <c r="H768" t="s">
        <v>34</v>
      </c>
      <c r="J768">
        <v>3056.9</v>
      </c>
      <c r="K768">
        <v>3055.38</v>
      </c>
      <c r="L768">
        <v>3055.3757735700001</v>
      </c>
      <c r="Q768" t="s">
        <v>2437</v>
      </c>
      <c r="U768">
        <v>0</v>
      </c>
      <c r="W768" t="s">
        <v>36</v>
      </c>
      <c r="X768" t="s">
        <v>69</v>
      </c>
      <c r="Y768" t="s">
        <v>38</v>
      </c>
      <c r="AD768">
        <v>0</v>
      </c>
      <c r="AE768" t="b">
        <f>ISNUMBER(MATCH(G768,AUM!$C$6:$C$1451,0))</f>
        <v>0</v>
      </c>
      <c r="AF768" t="b">
        <f>ISNUMBER(MATCH(G768,AUM!$G$6:$G$240,0))</f>
        <v>0</v>
      </c>
    </row>
    <row r="769" spans="1:32" x14ac:dyDescent="0.2">
      <c r="A769" t="s">
        <v>2438</v>
      </c>
      <c r="B769" s="1">
        <v>45671</v>
      </c>
      <c r="D769" t="s">
        <v>2438</v>
      </c>
      <c r="E769" t="s">
        <v>31</v>
      </c>
      <c r="F769" t="s">
        <v>2439</v>
      </c>
      <c r="G769" t="s">
        <v>2440</v>
      </c>
      <c r="H769" t="s">
        <v>34</v>
      </c>
      <c r="J769">
        <v>3475.73</v>
      </c>
      <c r="K769">
        <v>3474</v>
      </c>
      <c r="L769">
        <v>3473.99690461</v>
      </c>
      <c r="Q769" t="s">
        <v>2437</v>
      </c>
      <c r="T769">
        <v>0</v>
      </c>
      <c r="W769" t="s">
        <v>36</v>
      </c>
      <c r="X769" t="s">
        <v>69</v>
      </c>
      <c r="Y769" t="s">
        <v>38</v>
      </c>
      <c r="AD769">
        <v>0</v>
      </c>
      <c r="AE769" t="b">
        <f>ISNUMBER(MATCH(G769,AUM!$C$6:$C$1451,0))</f>
        <v>0</v>
      </c>
      <c r="AF769" t="b">
        <f>ISNUMBER(MATCH(G769,AUM!$G$6:$G$240,0))</f>
        <v>0</v>
      </c>
    </row>
    <row r="770" spans="1:32" x14ac:dyDescent="0.2">
      <c r="A770" t="s">
        <v>2441</v>
      </c>
      <c r="B770" s="1">
        <v>45671</v>
      </c>
      <c r="D770" t="s">
        <v>2441</v>
      </c>
      <c r="E770" t="s">
        <v>31</v>
      </c>
      <c r="F770" t="s">
        <v>2442</v>
      </c>
      <c r="G770" t="s">
        <v>2443</v>
      </c>
      <c r="H770" t="s">
        <v>34</v>
      </c>
      <c r="I770">
        <v>984147.86467086803</v>
      </c>
      <c r="J770">
        <v>2382.5500000000002</v>
      </c>
      <c r="K770">
        <v>2367.87</v>
      </c>
      <c r="L770">
        <v>2367.8682871599999</v>
      </c>
      <c r="M770">
        <v>2330332518.6269999</v>
      </c>
      <c r="N770">
        <v>50</v>
      </c>
      <c r="O770" t="s">
        <v>35</v>
      </c>
      <c r="P770">
        <v>1</v>
      </c>
      <c r="R770" t="s">
        <v>2444</v>
      </c>
      <c r="S770" t="s">
        <v>2445</v>
      </c>
      <c r="W770" t="s">
        <v>36</v>
      </c>
      <c r="X770" t="s">
        <v>37</v>
      </c>
      <c r="Y770" t="s">
        <v>38</v>
      </c>
      <c r="AD770">
        <v>0</v>
      </c>
      <c r="AE770" t="b">
        <f>ISNUMBER(MATCH(G770,AUM!$C$6:$C$1451,0))</f>
        <v>1</v>
      </c>
      <c r="AF770" t="b">
        <f>ISNUMBER(MATCH(G770,AUM!$G$6:$G$240,0))</f>
        <v>1</v>
      </c>
    </row>
    <row r="771" spans="1:32" x14ac:dyDescent="0.2">
      <c r="A771" t="s">
        <v>2430</v>
      </c>
      <c r="B771" s="1">
        <v>45671</v>
      </c>
      <c r="D771" t="s">
        <v>2430</v>
      </c>
      <c r="E771" t="s">
        <v>31</v>
      </c>
      <c r="F771" t="s">
        <v>2446</v>
      </c>
      <c r="G771" t="s">
        <v>2447</v>
      </c>
      <c r="H771" t="s">
        <v>34</v>
      </c>
      <c r="J771">
        <v>3792.94</v>
      </c>
      <c r="K771">
        <v>3768.25</v>
      </c>
      <c r="L771">
        <v>3768.2486370299998</v>
      </c>
      <c r="Q771" t="s">
        <v>2431</v>
      </c>
      <c r="U771">
        <v>0.13884281502762</v>
      </c>
      <c r="V771" t="s">
        <v>79</v>
      </c>
      <c r="W771" t="s">
        <v>36</v>
      </c>
      <c r="X771" t="s">
        <v>69</v>
      </c>
      <c r="Y771" t="s">
        <v>38</v>
      </c>
      <c r="AD771">
        <v>0</v>
      </c>
      <c r="AE771" t="b">
        <f>ISNUMBER(MATCH(G771,AUM!$C$6:$C$1451,0))</f>
        <v>1</v>
      </c>
      <c r="AF771" t="b">
        <f>ISNUMBER(MATCH(G771,AUM!$G$6:$G$240,0))</f>
        <v>0</v>
      </c>
    </row>
    <row r="772" spans="1:32" x14ac:dyDescent="0.2">
      <c r="A772" t="s">
        <v>2437</v>
      </c>
      <c r="B772" s="1">
        <v>45671</v>
      </c>
      <c r="D772" t="s">
        <v>2437</v>
      </c>
      <c r="E772" t="s">
        <v>31</v>
      </c>
      <c r="F772" t="s">
        <v>2448</v>
      </c>
      <c r="G772" t="s">
        <v>2449</v>
      </c>
      <c r="H772" t="s">
        <v>34</v>
      </c>
      <c r="I772">
        <v>1002108.55777365</v>
      </c>
      <c r="J772">
        <v>2046.8</v>
      </c>
      <c r="K772">
        <v>2045.78</v>
      </c>
      <c r="L772">
        <v>2045.77808845</v>
      </c>
      <c r="M772">
        <v>2050091729.7449999</v>
      </c>
      <c r="N772">
        <v>40</v>
      </c>
      <c r="O772" t="s">
        <v>35</v>
      </c>
      <c r="P772">
        <v>1</v>
      </c>
      <c r="R772" t="s">
        <v>2438</v>
      </c>
      <c r="S772" t="s">
        <v>2426</v>
      </c>
      <c r="W772" t="s">
        <v>36</v>
      </c>
      <c r="X772" t="s">
        <v>37</v>
      </c>
      <c r="Y772" t="s">
        <v>38</v>
      </c>
      <c r="AD772">
        <v>0</v>
      </c>
      <c r="AE772" t="b">
        <f>ISNUMBER(MATCH(G772,AUM!$C$6:$C$1451,0))</f>
        <v>0</v>
      </c>
      <c r="AF772" t="b">
        <f>ISNUMBER(MATCH(G772,AUM!$G$6:$G$240,0))</f>
        <v>0</v>
      </c>
    </row>
    <row r="773" spans="1:32" x14ac:dyDescent="0.2">
      <c r="A773" t="s">
        <v>2434</v>
      </c>
      <c r="B773" s="1">
        <v>45671</v>
      </c>
      <c r="D773" t="s">
        <v>2434</v>
      </c>
      <c r="E773" t="s">
        <v>31</v>
      </c>
      <c r="F773" t="s">
        <v>2450</v>
      </c>
      <c r="G773" t="s">
        <v>2451</v>
      </c>
      <c r="H773" t="s">
        <v>34</v>
      </c>
      <c r="J773">
        <v>4219.29</v>
      </c>
      <c r="K773">
        <v>4191.83</v>
      </c>
      <c r="L773">
        <v>4191.83013931</v>
      </c>
      <c r="Q773" t="s">
        <v>2431</v>
      </c>
      <c r="T773">
        <v>0.18512375337015999</v>
      </c>
      <c r="V773" t="s">
        <v>79</v>
      </c>
      <c r="W773" t="s">
        <v>36</v>
      </c>
      <c r="X773" t="s">
        <v>69</v>
      </c>
      <c r="Y773" t="s">
        <v>38</v>
      </c>
      <c r="AD773">
        <v>0</v>
      </c>
      <c r="AE773" t="b">
        <f>ISNUMBER(MATCH(G773,AUM!$C$6:$C$1451,0))</f>
        <v>1</v>
      </c>
      <c r="AF773" t="b">
        <f>ISNUMBER(MATCH(G773,AUM!$G$6:$G$240,0))</f>
        <v>0</v>
      </c>
    </row>
    <row r="774" spans="1:32" x14ac:dyDescent="0.2">
      <c r="A774" t="s">
        <v>2445</v>
      </c>
      <c r="B774" s="1">
        <v>45671</v>
      </c>
      <c r="D774" t="s">
        <v>2445</v>
      </c>
      <c r="E774" t="s">
        <v>31</v>
      </c>
      <c r="F774" t="s">
        <v>2452</v>
      </c>
      <c r="G774" t="s">
        <v>2453</v>
      </c>
      <c r="H774" t="s">
        <v>34</v>
      </c>
      <c r="J774">
        <v>3347.29</v>
      </c>
      <c r="K774">
        <v>3326.67</v>
      </c>
      <c r="L774">
        <v>3326.6703393900002</v>
      </c>
      <c r="Q774" t="s">
        <v>2441</v>
      </c>
      <c r="U774">
        <v>0</v>
      </c>
      <c r="W774" t="s">
        <v>36</v>
      </c>
      <c r="X774" t="s">
        <v>69</v>
      </c>
      <c r="Y774" t="s">
        <v>38</v>
      </c>
      <c r="AD774">
        <v>0</v>
      </c>
      <c r="AE774" t="b">
        <f>ISNUMBER(MATCH(G774,AUM!$C$6:$C$1451,0))</f>
        <v>1</v>
      </c>
      <c r="AF774" t="b">
        <f>ISNUMBER(MATCH(G774,AUM!$G$6:$G$240,0))</f>
        <v>0</v>
      </c>
    </row>
    <row r="775" spans="1:32" x14ac:dyDescent="0.2">
      <c r="A775" t="s">
        <v>2444</v>
      </c>
      <c r="B775" s="1">
        <v>45671</v>
      </c>
      <c r="D775" t="s">
        <v>2444</v>
      </c>
      <c r="E775" t="s">
        <v>31</v>
      </c>
      <c r="F775" t="s">
        <v>2454</v>
      </c>
      <c r="G775" t="s">
        <v>2455</v>
      </c>
      <c r="H775" t="s">
        <v>34</v>
      </c>
      <c r="J775">
        <v>3737.17</v>
      </c>
      <c r="K775">
        <v>3714.14</v>
      </c>
      <c r="L775">
        <v>3714.1445963199999</v>
      </c>
      <c r="Q775" t="s">
        <v>2441</v>
      </c>
      <c r="T775">
        <v>0</v>
      </c>
      <c r="W775" t="s">
        <v>36</v>
      </c>
      <c r="X775" t="s">
        <v>69</v>
      </c>
      <c r="Y775" t="s">
        <v>38</v>
      </c>
      <c r="AD775">
        <v>0</v>
      </c>
      <c r="AE775" t="b">
        <f>ISNUMBER(MATCH(G775,AUM!$C$6:$C$1451,0))</f>
        <v>1</v>
      </c>
      <c r="AF775" t="b">
        <f>ISNUMBER(MATCH(G775,AUM!$G$6:$G$240,0))</f>
        <v>0</v>
      </c>
    </row>
    <row r="776" spans="1:32" x14ac:dyDescent="0.2">
      <c r="A776" t="s">
        <v>2456</v>
      </c>
      <c r="B776" s="1">
        <v>45671</v>
      </c>
      <c r="D776" t="s">
        <v>2456</v>
      </c>
      <c r="E776" t="s">
        <v>31</v>
      </c>
      <c r="F776" t="s">
        <v>2457</v>
      </c>
      <c r="G776" t="s">
        <v>2458</v>
      </c>
      <c r="H776" t="s">
        <v>34</v>
      </c>
      <c r="J776">
        <v>1578.3</v>
      </c>
      <c r="K776">
        <v>1567.93</v>
      </c>
      <c r="L776">
        <v>1567.9253635800001</v>
      </c>
      <c r="Q776" t="s">
        <v>2445</v>
      </c>
      <c r="W776" t="s">
        <v>36</v>
      </c>
      <c r="X776" t="s">
        <v>878</v>
      </c>
      <c r="Y776" t="s">
        <v>38</v>
      </c>
      <c r="Z776" t="s">
        <v>910</v>
      </c>
      <c r="AA776">
        <v>0.05</v>
      </c>
      <c r="AB776">
        <v>1</v>
      </c>
      <c r="AC776">
        <v>365</v>
      </c>
      <c r="AD776">
        <v>0</v>
      </c>
      <c r="AE776" t="b">
        <f>ISNUMBER(MATCH(G776,AUM!$C$6:$C$1451,0))</f>
        <v>1</v>
      </c>
      <c r="AF776" t="b">
        <f>ISNUMBER(MATCH(G776,AUM!$G$6:$G$240,0))</f>
        <v>0</v>
      </c>
    </row>
    <row r="777" spans="1:32" x14ac:dyDescent="0.2">
      <c r="A777" t="s">
        <v>2459</v>
      </c>
      <c r="B777" s="1">
        <v>45671</v>
      </c>
      <c r="D777" t="s">
        <v>2459</v>
      </c>
      <c r="E777" t="s">
        <v>31</v>
      </c>
      <c r="F777" t="s">
        <v>2460</v>
      </c>
      <c r="G777" t="s">
        <v>2461</v>
      </c>
      <c r="H777" t="s">
        <v>34</v>
      </c>
      <c r="J777">
        <v>2018.65</v>
      </c>
      <c r="K777">
        <v>2022.12</v>
      </c>
      <c r="L777">
        <v>2022.12335697</v>
      </c>
      <c r="Q777" t="s">
        <v>2462</v>
      </c>
      <c r="W777" t="s">
        <v>36</v>
      </c>
      <c r="X777" t="s">
        <v>878</v>
      </c>
      <c r="Y777" t="s">
        <v>38</v>
      </c>
      <c r="Z777" t="s">
        <v>910</v>
      </c>
      <c r="AA777">
        <v>0.05</v>
      </c>
      <c r="AB777">
        <v>1</v>
      </c>
      <c r="AC777">
        <v>365</v>
      </c>
      <c r="AD777">
        <v>0</v>
      </c>
      <c r="AE777" t="b">
        <f>ISNUMBER(MATCH(G777,AUM!$C$6:$C$1451,0))</f>
        <v>0</v>
      </c>
      <c r="AF777" t="b">
        <f>ISNUMBER(MATCH(G777,AUM!$G$6:$G$240,0))</f>
        <v>0</v>
      </c>
    </row>
    <row r="778" spans="1:32" x14ac:dyDescent="0.2">
      <c r="A778" t="s">
        <v>2463</v>
      </c>
      <c r="B778" s="1">
        <v>45671</v>
      </c>
      <c r="D778" t="s">
        <v>2463</v>
      </c>
      <c r="E778" t="s">
        <v>31</v>
      </c>
      <c r="F778" t="s">
        <v>2464</v>
      </c>
      <c r="G778" t="s">
        <v>2465</v>
      </c>
      <c r="H778" t="s">
        <v>34</v>
      </c>
      <c r="J778">
        <v>4741.3999999999996</v>
      </c>
      <c r="K778">
        <v>4751.51</v>
      </c>
      <c r="L778">
        <v>4751.5081874300004</v>
      </c>
      <c r="Q778" t="s">
        <v>2466</v>
      </c>
      <c r="T778">
        <v>0</v>
      </c>
      <c r="W778" t="s">
        <v>36</v>
      </c>
      <c r="X778" t="s">
        <v>69</v>
      </c>
      <c r="Y778" t="s">
        <v>38</v>
      </c>
      <c r="AD778">
        <v>0</v>
      </c>
      <c r="AE778" t="b">
        <f>ISNUMBER(MATCH(G778,AUM!$C$6:$C$1451,0))</f>
        <v>0</v>
      </c>
      <c r="AF778" t="b">
        <f>ISNUMBER(MATCH(G778,AUM!$G$6:$G$240,0))</f>
        <v>0</v>
      </c>
    </row>
    <row r="779" spans="1:32" x14ac:dyDescent="0.2">
      <c r="A779" t="s">
        <v>2462</v>
      </c>
      <c r="B779" s="1">
        <v>45671</v>
      </c>
      <c r="D779" t="s">
        <v>2462</v>
      </c>
      <c r="E779" t="s">
        <v>31</v>
      </c>
      <c r="F779" t="s">
        <v>2467</v>
      </c>
      <c r="G779" t="s">
        <v>2468</v>
      </c>
      <c r="H779" t="s">
        <v>34</v>
      </c>
      <c r="J779">
        <v>4280.99</v>
      </c>
      <c r="K779">
        <v>4290.12</v>
      </c>
      <c r="L779">
        <v>4290.1214356199998</v>
      </c>
      <c r="Q779" t="s">
        <v>2466</v>
      </c>
      <c r="U779">
        <v>0</v>
      </c>
      <c r="W779" t="s">
        <v>36</v>
      </c>
      <c r="X779" t="s">
        <v>69</v>
      </c>
      <c r="Y779" t="s">
        <v>38</v>
      </c>
      <c r="AD779">
        <v>0</v>
      </c>
      <c r="AE779" t="b">
        <f>ISNUMBER(MATCH(G779,AUM!$C$6:$C$1451,0))</f>
        <v>0</v>
      </c>
      <c r="AF779" t="b">
        <f>ISNUMBER(MATCH(G779,AUM!$G$6:$G$240,0))</f>
        <v>0</v>
      </c>
    </row>
    <row r="780" spans="1:32" x14ac:dyDescent="0.2">
      <c r="A780" t="s">
        <v>2466</v>
      </c>
      <c r="B780" s="1">
        <v>45671</v>
      </c>
      <c r="D780" t="s">
        <v>2466</v>
      </c>
      <c r="E780" t="s">
        <v>31</v>
      </c>
      <c r="F780" t="s">
        <v>2469</v>
      </c>
      <c r="G780" t="s">
        <v>2470</v>
      </c>
      <c r="H780" t="s">
        <v>34</v>
      </c>
      <c r="I780">
        <v>971615.58819322498</v>
      </c>
      <c r="J780">
        <v>3000.3</v>
      </c>
      <c r="K780">
        <v>3006.69</v>
      </c>
      <c r="L780">
        <v>3006.6935581299999</v>
      </c>
      <c r="M780">
        <v>2921350329.9956799</v>
      </c>
      <c r="N780">
        <v>50</v>
      </c>
      <c r="O780" t="s">
        <v>35</v>
      </c>
      <c r="P780">
        <v>1</v>
      </c>
      <c r="R780" t="s">
        <v>2463</v>
      </c>
      <c r="S780" t="s">
        <v>2462</v>
      </c>
      <c r="W780" t="s">
        <v>36</v>
      </c>
      <c r="X780" t="s">
        <v>37</v>
      </c>
      <c r="Y780" t="s">
        <v>38</v>
      </c>
      <c r="AD780">
        <v>0</v>
      </c>
      <c r="AE780" t="b">
        <f>ISNUMBER(MATCH(G780,AUM!$C$6:$C$1451,0))</f>
        <v>0</v>
      </c>
      <c r="AF780" t="b">
        <f>ISNUMBER(MATCH(G780,AUM!$G$6:$G$240,0))</f>
        <v>0</v>
      </c>
    </row>
    <row r="781" spans="1:32" x14ac:dyDescent="0.2">
      <c r="A781" t="s">
        <v>2471</v>
      </c>
      <c r="B781" s="1">
        <v>45671</v>
      </c>
      <c r="D781" t="s">
        <v>2471</v>
      </c>
      <c r="E781" t="s">
        <v>31</v>
      </c>
      <c r="F781" t="s">
        <v>2472</v>
      </c>
      <c r="G781" t="s">
        <v>2473</v>
      </c>
      <c r="H781" t="s">
        <v>34</v>
      </c>
      <c r="J781">
        <v>1528.35</v>
      </c>
      <c r="K781">
        <v>1521.45</v>
      </c>
      <c r="L781">
        <v>1521.44715307</v>
      </c>
      <c r="Q781" t="s">
        <v>2474</v>
      </c>
      <c r="W781" t="s">
        <v>36</v>
      </c>
      <c r="X781" t="s">
        <v>878</v>
      </c>
      <c r="Y781" t="s">
        <v>38</v>
      </c>
      <c r="Z781" t="s">
        <v>910</v>
      </c>
      <c r="AA781">
        <v>0.05</v>
      </c>
      <c r="AB781">
        <v>1</v>
      </c>
      <c r="AC781">
        <v>365</v>
      </c>
      <c r="AD781">
        <v>0</v>
      </c>
      <c r="AE781" t="b">
        <f>ISNUMBER(MATCH(G781,AUM!$C$6:$C$1451,0))</f>
        <v>1</v>
      </c>
      <c r="AF781" t="b">
        <f>ISNUMBER(MATCH(G781,AUM!$G$6:$G$240,0))</f>
        <v>0</v>
      </c>
    </row>
    <row r="782" spans="1:32" x14ac:dyDescent="0.2">
      <c r="A782" t="s">
        <v>2475</v>
      </c>
      <c r="B782" s="1">
        <v>45671</v>
      </c>
      <c r="D782" t="s">
        <v>2475</v>
      </c>
      <c r="E782" t="s">
        <v>31</v>
      </c>
      <c r="F782" t="s">
        <v>2476</v>
      </c>
      <c r="G782" t="s">
        <v>2477</v>
      </c>
      <c r="H782" t="s">
        <v>34</v>
      </c>
      <c r="J782">
        <v>1647.7</v>
      </c>
      <c r="K782">
        <v>1640.33</v>
      </c>
      <c r="L782">
        <v>1640.3281463599999</v>
      </c>
      <c r="Q782" t="s">
        <v>2474</v>
      </c>
      <c r="W782" t="s">
        <v>36</v>
      </c>
      <c r="X782" t="s">
        <v>878</v>
      </c>
      <c r="Y782" t="s">
        <v>38</v>
      </c>
      <c r="Z782" t="s">
        <v>910</v>
      </c>
      <c r="AA782">
        <v>4.4999999999999998E-2</v>
      </c>
      <c r="AB782">
        <v>1</v>
      </c>
      <c r="AC782">
        <v>365</v>
      </c>
      <c r="AD782">
        <v>0</v>
      </c>
      <c r="AE782" t="b">
        <f>ISNUMBER(MATCH(G782,AUM!$C$6:$C$1451,0))</f>
        <v>1</v>
      </c>
      <c r="AF782" t="b">
        <f>ISNUMBER(MATCH(G782,AUM!$G$6:$G$240,0))</f>
        <v>0</v>
      </c>
    </row>
    <row r="783" spans="1:32" x14ac:dyDescent="0.2">
      <c r="A783" t="s">
        <v>2478</v>
      </c>
      <c r="B783" s="1">
        <v>45671</v>
      </c>
      <c r="D783" t="s">
        <v>2478</v>
      </c>
      <c r="E783" t="s">
        <v>31</v>
      </c>
      <c r="F783" t="s">
        <v>2479</v>
      </c>
      <c r="G783" t="s">
        <v>2480</v>
      </c>
      <c r="H783" t="s">
        <v>34</v>
      </c>
      <c r="J783">
        <v>1776.37</v>
      </c>
      <c r="K783">
        <v>1768.49</v>
      </c>
      <c r="L783">
        <v>1768.4946985500001</v>
      </c>
      <c r="Q783" t="s">
        <v>2474</v>
      </c>
      <c r="W783" t="s">
        <v>36</v>
      </c>
      <c r="X783" t="s">
        <v>878</v>
      </c>
      <c r="Y783" t="s">
        <v>38</v>
      </c>
      <c r="Z783" t="s">
        <v>910</v>
      </c>
      <c r="AA783">
        <v>0.04</v>
      </c>
      <c r="AB783">
        <v>1</v>
      </c>
      <c r="AC783">
        <v>365</v>
      </c>
      <c r="AD783">
        <v>0</v>
      </c>
      <c r="AE783" t="b">
        <f>ISNUMBER(MATCH(G783,AUM!$C$6:$C$1451,0))</f>
        <v>1</v>
      </c>
      <c r="AF783" t="b">
        <f>ISNUMBER(MATCH(G783,AUM!$G$6:$G$240,0))</f>
        <v>0</v>
      </c>
    </row>
    <row r="784" spans="1:32" x14ac:dyDescent="0.2">
      <c r="A784" t="s">
        <v>2481</v>
      </c>
      <c r="B784" s="1">
        <v>45671</v>
      </c>
      <c r="D784" t="s">
        <v>2481</v>
      </c>
      <c r="E784" t="s">
        <v>31</v>
      </c>
      <c r="F784" t="s">
        <v>2482</v>
      </c>
      <c r="G784" t="s">
        <v>2483</v>
      </c>
      <c r="H784" t="s">
        <v>34</v>
      </c>
      <c r="J784">
        <v>2064.63</v>
      </c>
      <c r="K784">
        <v>2055.64</v>
      </c>
      <c r="L784">
        <v>2055.6410981099998</v>
      </c>
      <c r="Q784" t="s">
        <v>2474</v>
      </c>
      <c r="W784" t="s">
        <v>36</v>
      </c>
      <c r="X784" t="s">
        <v>878</v>
      </c>
      <c r="Y784" t="s">
        <v>38</v>
      </c>
      <c r="Z784" t="s">
        <v>910</v>
      </c>
      <c r="AA784">
        <v>0.03</v>
      </c>
      <c r="AB784">
        <v>1</v>
      </c>
      <c r="AC784">
        <v>365</v>
      </c>
      <c r="AD784">
        <v>0</v>
      </c>
      <c r="AE784" t="b">
        <f>ISNUMBER(MATCH(G784,AUM!$C$6:$C$1451,0))</f>
        <v>1</v>
      </c>
      <c r="AF784" t="b">
        <f>ISNUMBER(MATCH(G784,AUM!$G$6:$G$240,0))</f>
        <v>0</v>
      </c>
    </row>
    <row r="785" spans="1:32" x14ac:dyDescent="0.2">
      <c r="A785" t="s">
        <v>2484</v>
      </c>
      <c r="B785" s="1">
        <v>45671</v>
      </c>
      <c r="D785" t="s">
        <v>2484</v>
      </c>
      <c r="E785" t="s">
        <v>31</v>
      </c>
      <c r="F785" t="s">
        <v>2485</v>
      </c>
      <c r="G785" t="s">
        <v>2486</v>
      </c>
      <c r="H785" t="s">
        <v>34</v>
      </c>
      <c r="J785">
        <v>1915.09</v>
      </c>
      <c r="K785">
        <v>1906.67</v>
      </c>
      <c r="L785">
        <v>1906.6718166600001</v>
      </c>
      <c r="Q785" t="s">
        <v>2474</v>
      </c>
      <c r="W785" t="s">
        <v>36</v>
      </c>
      <c r="X785" t="s">
        <v>878</v>
      </c>
      <c r="Y785" t="s">
        <v>38</v>
      </c>
      <c r="Z785" t="s">
        <v>910</v>
      </c>
      <c r="AA785">
        <v>3.5000000000000003E-2</v>
      </c>
      <c r="AB785">
        <v>1</v>
      </c>
      <c r="AC785">
        <v>365</v>
      </c>
      <c r="AD785">
        <v>0</v>
      </c>
      <c r="AE785" t="b">
        <f>ISNUMBER(MATCH(G785,AUM!$C$6:$C$1451,0))</f>
        <v>1</v>
      </c>
      <c r="AF785" t="b">
        <f>ISNUMBER(MATCH(G785,AUM!$G$6:$G$240,0))</f>
        <v>0</v>
      </c>
    </row>
    <row r="786" spans="1:32" x14ac:dyDescent="0.2">
      <c r="A786" t="s">
        <v>2474</v>
      </c>
      <c r="B786" s="1">
        <v>45671</v>
      </c>
      <c r="D786" t="s">
        <v>2474</v>
      </c>
      <c r="E786" t="s">
        <v>31</v>
      </c>
      <c r="F786" t="s">
        <v>2487</v>
      </c>
      <c r="G786" t="s">
        <v>2488</v>
      </c>
      <c r="H786" t="s">
        <v>34</v>
      </c>
      <c r="J786">
        <v>3241.49</v>
      </c>
      <c r="K786">
        <v>3228.18</v>
      </c>
      <c r="L786">
        <v>3228.17983336</v>
      </c>
      <c r="Q786" t="s">
        <v>2489</v>
      </c>
      <c r="U786">
        <v>0.18166515734068001</v>
      </c>
      <c r="V786" t="s">
        <v>79</v>
      </c>
      <c r="W786" t="s">
        <v>36</v>
      </c>
      <c r="X786" t="s">
        <v>69</v>
      </c>
      <c r="Y786" t="s">
        <v>38</v>
      </c>
      <c r="AD786">
        <v>0</v>
      </c>
      <c r="AE786" t="b">
        <f>ISNUMBER(MATCH(G786,AUM!$C$6:$C$1451,0))</f>
        <v>1</v>
      </c>
      <c r="AF786" t="b">
        <f>ISNUMBER(MATCH(G786,AUM!$G$6:$G$240,0))</f>
        <v>0</v>
      </c>
    </row>
    <row r="787" spans="1:32" x14ac:dyDescent="0.2">
      <c r="A787" t="s">
        <v>2490</v>
      </c>
      <c r="B787" s="1">
        <v>45671</v>
      </c>
      <c r="D787" t="s">
        <v>2490</v>
      </c>
      <c r="E787" t="s">
        <v>31</v>
      </c>
      <c r="F787" t="s">
        <v>2491</v>
      </c>
      <c r="G787" t="s">
        <v>2492</v>
      </c>
      <c r="H787" t="s">
        <v>34</v>
      </c>
      <c r="J787">
        <v>3692.01</v>
      </c>
      <c r="K787">
        <v>3676.85</v>
      </c>
      <c r="L787">
        <v>3676.8528498199998</v>
      </c>
      <c r="Q787" t="s">
        <v>2489</v>
      </c>
      <c r="T787">
        <v>0.24222020978757</v>
      </c>
      <c r="V787" t="s">
        <v>79</v>
      </c>
      <c r="W787" t="s">
        <v>36</v>
      </c>
      <c r="X787" t="s">
        <v>69</v>
      </c>
      <c r="Y787" t="s">
        <v>38</v>
      </c>
      <c r="AD787">
        <v>0</v>
      </c>
      <c r="AE787" t="b">
        <f>ISNUMBER(MATCH(G787,AUM!$C$6:$C$1451,0))</f>
        <v>1</v>
      </c>
      <c r="AF787" t="b">
        <f>ISNUMBER(MATCH(G787,AUM!$G$6:$G$240,0))</f>
        <v>0</v>
      </c>
    </row>
    <row r="788" spans="1:32" x14ac:dyDescent="0.2">
      <c r="A788" t="s">
        <v>2489</v>
      </c>
      <c r="B788" s="1">
        <v>45671</v>
      </c>
      <c r="D788" t="s">
        <v>2489</v>
      </c>
      <c r="E788" t="s">
        <v>31</v>
      </c>
      <c r="F788" t="s">
        <v>2493</v>
      </c>
      <c r="G788" t="s">
        <v>2494</v>
      </c>
      <c r="H788" t="s">
        <v>34</v>
      </c>
      <c r="I788">
        <v>611447466.45991397</v>
      </c>
      <c r="J788">
        <v>2335.2199999999998</v>
      </c>
      <c r="K788">
        <v>2325.63</v>
      </c>
      <c r="L788">
        <v>2325.6322270000001</v>
      </c>
      <c r="M788">
        <v>1422001933117.3301</v>
      </c>
      <c r="N788">
        <v>40</v>
      </c>
      <c r="O788" t="s">
        <v>35</v>
      </c>
      <c r="P788">
        <v>1</v>
      </c>
      <c r="R788" t="s">
        <v>2490</v>
      </c>
      <c r="S788" t="s">
        <v>2474</v>
      </c>
      <c r="W788" t="s">
        <v>36</v>
      </c>
      <c r="X788" t="s">
        <v>37</v>
      </c>
      <c r="Y788" t="s">
        <v>38</v>
      </c>
      <c r="AD788">
        <v>0</v>
      </c>
      <c r="AE788" t="b">
        <f>ISNUMBER(MATCH(G788,AUM!$C$6:$C$1451,0))</f>
        <v>1</v>
      </c>
      <c r="AF788" t="b">
        <f>ISNUMBER(MATCH(G788,AUM!$G$6:$G$240,0))</f>
        <v>1</v>
      </c>
    </row>
    <row r="789" spans="1:32" x14ac:dyDescent="0.2">
      <c r="A789" t="s">
        <v>2495</v>
      </c>
      <c r="B789" s="1">
        <v>45671</v>
      </c>
      <c r="D789" t="s">
        <v>2489</v>
      </c>
      <c r="E789" t="s">
        <v>31</v>
      </c>
      <c r="F789" t="s">
        <v>2496</v>
      </c>
      <c r="G789" t="s">
        <v>2497</v>
      </c>
      <c r="H789" t="s">
        <v>34</v>
      </c>
      <c r="I789">
        <v>608731148.54930103</v>
      </c>
      <c r="J789">
        <v>2345.64</v>
      </c>
      <c r="K789">
        <v>2336.0100000000002</v>
      </c>
      <c r="L789">
        <v>2336.00980746</v>
      </c>
      <c r="M789">
        <v>1422001933117.3301</v>
      </c>
      <c r="N789">
        <v>40</v>
      </c>
      <c r="O789" t="s">
        <v>35</v>
      </c>
      <c r="P789">
        <v>1</v>
      </c>
      <c r="R789" t="s">
        <v>2490</v>
      </c>
      <c r="S789" t="s">
        <v>2474</v>
      </c>
      <c r="W789" t="s">
        <v>36</v>
      </c>
      <c r="X789" t="s">
        <v>37</v>
      </c>
      <c r="Y789" t="s">
        <v>38</v>
      </c>
      <c r="AD789">
        <v>0</v>
      </c>
      <c r="AE789" t="b">
        <f>ISNUMBER(MATCH(G789,AUM!$C$6:$C$1451,0))</f>
        <v>0</v>
      </c>
      <c r="AF789" t="b">
        <f>ISNUMBER(MATCH(G789,AUM!$G$6:$G$240,0))</f>
        <v>0</v>
      </c>
    </row>
    <row r="790" spans="1:32" x14ac:dyDescent="0.2">
      <c r="A790" t="s">
        <v>2498</v>
      </c>
      <c r="B790" s="1">
        <v>45671</v>
      </c>
      <c r="D790" t="s">
        <v>2474</v>
      </c>
      <c r="E790" t="s">
        <v>31</v>
      </c>
      <c r="F790" t="s">
        <v>2499</v>
      </c>
      <c r="G790" t="s">
        <v>2500</v>
      </c>
      <c r="H790" t="s">
        <v>34</v>
      </c>
      <c r="J790">
        <v>3255.79</v>
      </c>
      <c r="K790">
        <v>3242.42</v>
      </c>
      <c r="L790">
        <v>3242.4189625700001</v>
      </c>
      <c r="Q790" t="s">
        <v>2489</v>
      </c>
      <c r="U790">
        <v>0.18247579488040999</v>
      </c>
      <c r="V790" t="s">
        <v>79</v>
      </c>
      <c r="W790" t="s">
        <v>36</v>
      </c>
      <c r="X790" t="s">
        <v>69</v>
      </c>
      <c r="Y790" t="s">
        <v>38</v>
      </c>
      <c r="AD790">
        <v>0</v>
      </c>
      <c r="AE790" t="b">
        <f>ISNUMBER(MATCH(G790,AUM!$C$6:$C$1451,0))</f>
        <v>0</v>
      </c>
      <c r="AF790" t="b">
        <f>ISNUMBER(MATCH(G790,AUM!$G$6:$G$240,0))</f>
        <v>0</v>
      </c>
    </row>
    <row r="791" spans="1:32" x14ac:dyDescent="0.2">
      <c r="A791" t="s">
        <v>2501</v>
      </c>
      <c r="B791" s="1">
        <v>45671</v>
      </c>
      <c r="D791" t="s">
        <v>2490</v>
      </c>
      <c r="E791" t="s">
        <v>31</v>
      </c>
      <c r="F791" t="s">
        <v>2502</v>
      </c>
      <c r="G791" t="s">
        <v>2503</v>
      </c>
      <c r="H791" t="s">
        <v>34</v>
      </c>
      <c r="J791">
        <v>3708.23</v>
      </c>
      <c r="K791">
        <v>3693.01</v>
      </c>
      <c r="L791">
        <v>3693.0077968199998</v>
      </c>
      <c r="Q791" t="s">
        <v>2489</v>
      </c>
      <c r="T791">
        <v>0.24330105984055</v>
      </c>
      <c r="V791" t="s">
        <v>79</v>
      </c>
      <c r="W791" t="s">
        <v>36</v>
      </c>
      <c r="X791" t="s">
        <v>69</v>
      </c>
      <c r="Y791" t="s">
        <v>38</v>
      </c>
      <c r="AD791">
        <v>0</v>
      </c>
      <c r="AE791" t="b">
        <f>ISNUMBER(MATCH(G791,AUM!$C$6:$C$1451,0))</f>
        <v>0</v>
      </c>
      <c r="AF791" t="b">
        <f>ISNUMBER(MATCH(G791,AUM!$G$6:$G$240,0))</f>
        <v>0</v>
      </c>
    </row>
    <row r="792" spans="1:32" x14ac:dyDescent="0.2">
      <c r="A792" t="s">
        <v>2504</v>
      </c>
      <c r="B792" s="1">
        <v>45671</v>
      </c>
      <c r="D792" t="s">
        <v>2504</v>
      </c>
      <c r="E792" t="s">
        <v>31</v>
      </c>
      <c r="F792" t="s">
        <v>2505</v>
      </c>
      <c r="G792" t="s">
        <v>2506</v>
      </c>
      <c r="H792" t="s">
        <v>34</v>
      </c>
      <c r="J792">
        <v>4802.46</v>
      </c>
      <c r="K792">
        <v>4788.8</v>
      </c>
      <c r="L792">
        <v>4788.8014105000002</v>
      </c>
      <c r="Q792" t="s">
        <v>2507</v>
      </c>
      <c r="T792">
        <v>0</v>
      </c>
      <c r="W792" t="s">
        <v>36</v>
      </c>
      <c r="X792" t="s">
        <v>69</v>
      </c>
      <c r="Y792" t="s">
        <v>38</v>
      </c>
      <c r="AD792">
        <v>0</v>
      </c>
      <c r="AE792" t="b">
        <f>ISNUMBER(MATCH(G792,AUM!$C$6:$C$1451,0))</f>
        <v>0</v>
      </c>
      <c r="AF792" t="b">
        <f>ISNUMBER(MATCH(G792,AUM!$G$6:$G$240,0))</f>
        <v>0</v>
      </c>
    </row>
    <row r="793" spans="1:32" x14ac:dyDescent="0.2">
      <c r="A793" t="s">
        <v>2508</v>
      </c>
      <c r="B793" s="1">
        <v>45671</v>
      </c>
      <c r="D793" t="s">
        <v>2508</v>
      </c>
      <c r="E793" t="s">
        <v>31</v>
      </c>
      <c r="F793" t="s">
        <v>2509</v>
      </c>
      <c r="G793" t="s">
        <v>2510</v>
      </c>
      <c r="H793" t="s">
        <v>34</v>
      </c>
      <c r="J793">
        <v>4252.7299999999996</v>
      </c>
      <c r="K793">
        <v>4240.63</v>
      </c>
      <c r="L793">
        <v>4240.6319953900002</v>
      </c>
      <c r="Q793" t="s">
        <v>2507</v>
      </c>
      <c r="U793">
        <v>0</v>
      </c>
      <c r="W793" t="s">
        <v>36</v>
      </c>
      <c r="X793" t="s">
        <v>69</v>
      </c>
      <c r="Y793" t="s">
        <v>38</v>
      </c>
      <c r="AD793">
        <v>0</v>
      </c>
      <c r="AE793" t="b">
        <f>ISNUMBER(MATCH(G793,AUM!$C$6:$C$1451,0))</f>
        <v>0</v>
      </c>
      <c r="AF793" t="b">
        <f>ISNUMBER(MATCH(G793,AUM!$G$6:$G$240,0))</f>
        <v>0</v>
      </c>
    </row>
    <row r="794" spans="1:32" x14ac:dyDescent="0.2">
      <c r="A794" t="s">
        <v>2507</v>
      </c>
      <c r="B794" s="1">
        <v>45671</v>
      </c>
      <c r="D794" t="s">
        <v>2507</v>
      </c>
      <c r="E794" t="s">
        <v>31</v>
      </c>
      <c r="F794" t="s">
        <v>2511</v>
      </c>
      <c r="G794" t="s">
        <v>2512</v>
      </c>
      <c r="H794" t="s">
        <v>34</v>
      </c>
      <c r="I794">
        <v>945424.14427969803</v>
      </c>
      <c r="J794">
        <v>2937.56</v>
      </c>
      <c r="K794">
        <v>2929.21</v>
      </c>
      <c r="L794">
        <v>2929.2059858500002</v>
      </c>
      <c r="M794">
        <v>2769342062.59027</v>
      </c>
      <c r="N794">
        <v>50</v>
      </c>
      <c r="O794" t="s">
        <v>35</v>
      </c>
      <c r="P794">
        <v>1</v>
      </c>
      <c r="R794" t="s">
        <v>2504</v>
      </c>
      <c r="S794" t="s">
        <v>2508</v>
      </c>
      <c r="W794" t="s">
        <v>36</v>
      </c>
      <c r="X794" t="s">
        <v>37</v>
      </c>
      <c r="Y794" t="s">
        <v>38</v>
      </c>
      <c r="AD794">
        <v>0</v>
      </c>
      <c r="AE794" t="b">
        <f>ISNUMBER(MATCH(G794,AUM!$C$6:$C$1451,0))</f>
        <v>0</v>
      </c>
      <c r="AF794" t="b">
        <f>ISNUMBER(MATCH(G794,AUM!$G$6:$G$240,0))</f>
        <v>0</v>
      </c>
    </row>
    <row r="795" spans="1:32" x14ac:dyDescent="0.2">
      <c r="A795" t="s">
        <v>2513</v>
      </c>
      <c r="B795" s="1">
        <v>45671</v>
      </c>
      <c r="D795" t="s">
        <v>2513</v>
      </c>
      <c r="E795" t="s">
        <v>31</v>
      </c>
      <c r="F795" t="s">
        <v>2514</v>
      </c>
      <c r="G795" t="s">
        <v>2515</v>
      </c>
      <c r="H795" t="s">
        <v>34</v>
      </c>
      <c r="J795">
        <v>5635.72</v>
      </c>
      <c r="K795">
        <v>5635.6</v>
      </c>
      <c r="L795">
        <v>5635.6010792099996</v>
      </c>
      <c r="Q795" t="s">
        <v>2516</v>
      </c>
      <c r="T795">
        <v>3.4393876891419997E-2</v>
      </c>
      <c r="V795" t="s">
        <v>79</v>
      </c>
      <c r="W795" t="s">
        <v>36</v>
      </c>
      <c r="X795" t="s">
        <v>69</v>
      </c>
      <c r="Y795" t="s">
        <v>38</v>
      </c>
      <c r="AD795">
        <v>0</v>
      </c>
      <c r="AE795" t="b">
        <f>ISNUMBER(MATCH(G795,AUM!$C$6:$C$1451,0))</f>
        <v>1</v>
      </c>
      <c r="AF795" t="b">
        <f>ISNUMBER(MATCH(G795,AUM!$G$6:$G$240,0))</f>
        <v>0</v>
      </c>
    </row>
    <row r="796" spans="1:32" x14ac:dyDescent="0.2">
      <c r="A796" t="s">
        <v>2517</v>
      </c>
      <c r="B796" s="1">
        <v>45671</v>
      </c>
      <c r="D796" t="s">
        <v>2517</v>
      </c>
      <c r="E796" t="s">
        <v>31</v>
      </c>
      <c r="F796" t="s">
        <v>2518</v>
      </c>
      <c r="G796" t="s">
        <v>2519</v>
      </c>
      <c r="H796" t="s">
        <v>34</v>
      </c>
      <c r="J796">
        <v>5010.92</v>
      </c>
      <c r="K796">
        <v>5010.8100000000004</v>
      </c>
      <c r="L796">
        <v>5010.8123001399999</v>
      </c>
      <c r="Q796" t="s">
        <v>2516</v>
      </c>
      <c r="U796">
        <v>2.5795407668570001E-2</v>
      </c>
      <c r="V796" t="s">
        <v>79</v>
      </c>
      <c r="W796" t="s">
        <v>36</v>
      </c>
      <c r="X796" t="s">
        <v>69</v>
      </c>
      <c r="Y796" t="s">
        <v>38</v>
      </c>
      <c r="AD796">
        <v>0</v>
      </c>
      <c r="AE796" t="b">
        <f>ISNUMBER(MATCH(G796,AUM!$C$6:$C$1451,0))</f>
        <v>1</v>
      </c>
      <c r="AF796" t="b">
        <f>ISNUMBER(MATCH(G796,AUM!$G$6:$G$240,0))</f>
        <v>0</v>
      </c>
    </row>
    <row r="797" spans="1:32" x14ac:dyDescent="0.2">
      <c r="A797" t="s">
        <v>2516</v>
      </c>
      <c r="B797" s="1">
        <v>45671</v>
      </c>
      <c r="D797" t="s">
        <v>2516</v>
      </c>
      <c r="E797" t="s">
        <v>31</v>
      </c>
      <c r="F797" t="s">
        <v>2520</v>
      </c>
      <c r="G797" t="s">
        <v>2521</v>
      </c>
      <c r="H797" t="s">
        <v>34</v>
      </c>
      <c r="I797">
        <v>480684.696796857</v>
      </c>
      <c r="J797">
        <v>3461.57</v>
      </c>
      <c r="K797">
        <v>3461.5</v>
      </c>
      <c r="L797">
        <v>3461.4977102600001</v>
      </c>
      <c r="M797">
        <v>1663888977.3189299</v>
      </c>
      <c r="N797">
        <v>298</v>
      </c>
      <c r="O797" t="s">
        <v>35</v>
      </c>
      <c r="P797">
        <v>1</v>
      </c>
      <c r="R797" t="s">
        <v>2513</v>
      </c>
      <c r="S797" t="s">
        <v>2517</v>
      </c>
      <c r="W797" t="s">
        <v>36</v>
      </c>
      <c r="X797" t="s">
        <v>37</v>
      </c>
      <c r="Y797" t="s">
        <v>38</v>
      </c>
      <c r="AD797">
        <v>0</v>
      </c>
      <c r="AE797" t="b">
        <f>ISNUMBER(MATCH(G797,AUM!$C$6:$C$1451,0))</f>
        <v>1</v>
      </c>
      <c r="AF797" t="b">
        <f>ISNUMBER(MATCH(G797,AUM!$G$6:$G$240,0))</f>
        <v>0</v>
      </c>
    </row>
    <row r="798" spans="1:32" x14ac:dyDescent="0.2">
      <c r="A798" t="s">
        <v>2522</v>
      </c>
      <c r="B798" s="1">
        <v>45671</v>
      </c>
      <c r="D798" t="s">
        <v>2522</v>
      </c>
      <c r="E798" t="s">
        <v>31</v>
      </c>
      <c r="F798" t="s">
        <v>2523</v>
      </c>
      <c r="G798" t="s">
        <v>2524</v>
      </c>
      <c r="H798" t="s">
        <v>34</v>
      </c>
      <c r="J798">
        <v>2656.46</v>
      </c>
      <c r="K798">
        <v>2641.15</v>
      </c>
      <c r="L798">
        <v>2641.1549372200002</v>
      </c>
      <c r="Q798" t="s">
        <v>2525</v>
      </c>
      <c r="T798">
        <v>7.8240795123740006E-2</v>
      </c>
      <c r="V798" t="s">
        <v>79</v>
      </c>
      <c r="W798" t="s">
        <v>36</v>
      </c>
      <c r="X798" t="s">
        <v>69</v>
      </c>
      <c r="Y798" t="s">
        <v>38</v>
      </c>
      <c r="AD798">
        <v>0</v>
      </c>
      <c r="AE798" t="b">
        <f>ISNUMBER(MATCH(G798,AUM!$C$6:$C$1451,0))</f>
        <v>1</v>
      </c>
      <c r="AF798" t="b">
        <f>ISNUMBER(MATCH(G798,AUM!$G$6:$G$240,0))</f>
        <v>0</v>
      </c>
    </row>
    <row r="799" spans="1:32" x14ac:dyDescent="0.2">
      <c r="A799" t="s">
        <v>2526</v>
      </c>
      <c r="B799" s="1">
        <v>45671</v>
      </c>
      <c r="D799" t="s">
        <v>2526</v>
      </c>
      <c r="E799" t="s">
        <v>31</v>
      </c>
      <c r="F799" t="s">
        <v>2527</v>
      </c>
      <c r="G799" t="s">
        <v>2528</v>
      </c>
      <c r="H799" t="s">
        <v>34</v>
      </c>
      <c r="J799">
        <v>2304.36</v>
      </c>
      <c r="K799">
        <v>2291.08</v>
      </c>
      <c r="L799">
        <v>2291.0769121600001</v>
      </c>
      <c r="Q799" t="s">
        <v>2525</v>
      </c>
      <c r="U799">
        <v>5.8680596342799998E-2</v>
      </c>
      <c r="V799" t="s">
        <v>79</v>
      </c>
      <c r="W799" t="s">
        <v>36</v>
      </c>
      <c r="X799" t="s">
        <v>69</v>
      </c>
      <c r="Y799" t="s">
        <v>38</v>
      </c>
      <c r="AD799">
        <v>0</v>
      </c>
      <c r="AE799" t="b">
        <f>ISNUMBER(MATCH(G799,AUM!$C$6:$C$1451,0))</f>
        <v>1</v>
      </c>
      <c r="AF799" t="b">
        <f>ISNUMBER(MATCH(G799,AUM!$G$6:$G$240,0))</f>
        <v>0</v>
      </c>
    </row>
    <row r="800" spans="1:32" x14ac:dyDescent="0.2">
      <c r="A800" t="s">
        <v>2525</v>
      </c>
      <c r="B800" s="1">
        <v>45671</v>
      </c>
      <c r="D800" t="s">
        <v>2525</v>
      </c>
      <c r="E800" t="s">
        <v>31</v>
      </c>
      <c r="F800" t="s">
        <v>2529</v>
      </c>
      <c r="G800" t="s">
        <v>2530</v>
      </c>
      <c r="H800" t="s">
        <v>34</v>
      </c>
      <c r="I800">
        <v>763770.35669811303</v>
      </c>
      <c r="J800">
        <v>1452.25</v>
      </c>
      <c r="K800">
        <v>1443.88</v>
      </c>
      <c r="L800">
        <v>1443.8783593799999</v>
      </c>
      <c r="M800">
        <v>1102791489.5739999</v>
      </c>
      <c r="N800">
        <v>99</v>
      </c>
      <c r="O800" t="s">
        <v>35</v>
      </c>
      <c r="P800">
        <v>1</v>
      </c>
      <c r="R800" t="s">
        <v>2522</v>
      </c>
      <c r="S800" t="s">
        <v>2526</v>
      </c>
      <c r="W800" t="s">
        <v>36</v>
      </c>
      <c r="X800" t="s">
        <v>37</v>
      </c>
      <c r="Y800" t="s">
        <v>38</v>
      </c>
      <c r="AD800">
        <v>0</v>
      </c>
      <c r="AE800" t="b">
        <f>ISNUMBER(MATCH(G800,AUM!$C$6:$C$1451,0))</f>
        <v>1</v>
      </c>
      <c r="AF800" t="b">
        <f>ISNUMBER(MATCH(G800,AUM!$G$6:$G$240,0))</f>
        <v>0</v>
      </c>
    </row>
    <row r="801" spans="1:32" x14ac:dyDescent="0.2">
      <c r="A801" t="s">
        <v>2531</v>
      </c>
      <c r="B801" s="1">
        <v>45671</v>
      </c>
      <c r="D801" t="s">
        <v>2531</v>
      </c>
      <c r="E801" t="s">
        <v>31</v>
      </c>
      <c r="F801" t="s">
        <v>2532</v>
      </c>
      <c r="G801" t="s">
        <v>2533</v>
      </c>
      <c r="H801" t="s">
        <v>34</v>
      </c>
      <c r="J801">
        <v>724.65</v>
      </c>
      <c r="K801">
        <v>711.21</v>
      </c>
      <c r="L801">
        <v>711.20958142999996</v>
      </c>
      <c r="Q801" t="s">
        <v>2534</v>
      </c>
      <c r="U801">
        <v>0</v>
      </c>
      <c r="W801" t="s">
        <v>36</v>
      </c>
      <c r="X801" t="s">
        <v>69</v>
      </c>
      <c r="Y801" t="s">
        <v>38</v>
      </c>
      <c r="AD801">
        <v>0</v>
      </c>
      <c r="AE801" t="b">
        <f>ISNUMBER(MATCH(G801,AUM!$C$6:$C$1451,0))</f>
        <v>1</v>
      </c>
      <c r="AF801" t="b">
        <f>ISNUMBER(MATCH(G801,AUM!$G$6:$G$240,0))</f>
        <v>0</v>
      </c>
    </row>
    <row r="802" spans="1:32" x14ac:dyDescent="0.2">
      <c r="A802" t="s">
        <v>2534</v>
      </c>
      <c r="B802" s="1">
        <v>45671</v>
      </c>
      <c r="D802" t="s">
        <v>2534</v>
      </c>
      <c r="E802" t="s">
        <v>31</v>
      </c>
      <c r="F802" t="s">
        <v>2535</v>
      </c>
      <c r="G802" t="s">
        <v>2536</v>
      </c>
      <c r="H802" t="s">
        <v>34</v>
      </c>
      <c r="I802">
        <v>89284994.297511607</v>
      </c>
      <c r="J802">
        <v>596.20000000000005</v>
      </c>
      <c r="K802">
        <v>585.14</v>
      </c>
      <c r="L802">
        <v>585.14017346000003</v>
      </c>
      <c r="M802">
        <v>52244237050.718002</v>
      </c>
      <c r="N802">
        <v>41</v>
      </c>
      <c r="O802" t="s">
        <v>35</v>
      </c>
      <c r="P802">
        <v>1</v>
      </c>
      <c r="S802" t="s">
        <v>2531</v>
      </c>
      <c r="W802" t="s">
        <v>36</v>
      </c>
      <c r="X802" t="s">
        <v>37</v>
      </c>
      <c r="Y802" t="s">
        <v>38</v>
      </c>
      <c r="AD802">
        <v>0</v>
      </c>
      <c r="AE802" t="b">
        <f>ISNUMBER(MATCH(G802,AUM!$C$6:$C$1451,0))</f>
        <v>1</v>
      </c>
      <c r="AF802" t="b">
        <f>ISNUMBER(MATCH(G802,AUM!$G$6:$G$240,0))</f>
        <v>0</v>
      </c>
    </row>
    <row r="803" spans="1:32" x14ac:dyDescent="0.2">
      <c r="A803" t="s">
        <v>2537</v>
      </c>
      <c r="B803" s="1">
        <v>45671</v>
      </c>
      <c r="D803" t="s">
        <v>2537</v>
      </c>
      <c r="E803" t="s">
        <v>31</v>
      </c>
      <c r="F803" t="s">
        <v>2538</v>
      </c>
      <c r="G803" t="s">
        <v>2539</v>
      </c>
      <c r="H803" t="s">
        <v>34</v>
      </c>
      <c r="J803">
        <v>3022.57</v>
      </c>
      <c r="K803">
        <v>3019.6</v>
      </c>
      <c r="L803">
        <v>3019.6030129800001</v>
      </c>
      <c r="Q803" t="s">
        <v>2540</v>
      </c>
      <c r="T803">
        <v>0.44838053739381001</v>
      </c>
      <c r="V803" t="s">
        <v>79</v>
      </c>
      <c r="W803" t="s">
        <v>36</v>
      </c>
      <c r="X803" t="s">
        <v>69</v>
      </c>
      <c r="Y803" t="s">
        <v>38</v>
      </c>
      <c r="AD803">
        <v>0</v>
      </c>
      <c r="AE803" t="b">
        <f>ISNUMBER(MATCH(G803,AUM!$C$6:$C$1451,0))</f>
        <v>1</v>
      </c>
      <c r="AF803" t="b">
        <f>ISNUMBER(MATCH(G803,AUM!$G$6:$G$240,0))</f>
        <v>0</v>
      </c>
    </row>
    <row r="804" spans="1:32" x14ac:dyDescent="0.2">
      <c r="A804" t="s">
        <v>2541</v>
      </c>
      <c r="B804" s="1">
        <v>45671</v>
      </c>
      <c r="D804" t="s">
        <v>2541</v>
      </c>
      <c r="E804" t="s">
        <v>31</v>
      </c>
      <c r="F804" t="s">
        <v>2542</v>
      </c>
      <c r="G804" t="s">
        <v>2543</v>
      </c>
      <c r="H804" t="s">
        <v>34</v>
      </c>
      <c r="J804">
        <v>2562.5300000000002</v>
      </c>
      <c r="K804">
        <v>2560.0100000000002</v>
      </c>
      <c r="L804">
        <v>2560.0092994800002</v>
      </c>
      <c r="Q804" t="s">
        <v>2540</v>
      </c>
      <c r="U804">
        <v>0.33628540304535998</v>
      </c>
      <c r="V804" t="s">
        <v>79</v>
      </c>
      <c r="W804" t="s">
        <v>36</v>
      </c>
      <c r="X804" t="s">
        <v>69</v>
      </c>
      <c r="Y804" t="s">
        <v>38</v>
      </c>
      <c r="AD804">
        <v>0</v>
      </c>
      <c r="AE804" t="b">
        <f>ISNUMBER(MATCH(G804,AUM!$C$6:$C$1451,0))</f>
        <v>1</v>
      </c>
      <c r="AF804" t="b">
        <f>ISNUMBER(MATCH(G804,AUM!$G$6:$G$240,0))</f>
        <v>0</v>
      </c>
    </row>
    <row r="805" spans="1:32" x14ac:dyDescent="0.2">
      <c r="A805" t="s">
        <v>2540</v>
      </c>
      <c r="B805" s="1">
        <v>45671</v>
      </c>
      <c r="D805" t="s">
        <v>2540</v>
      </c>
      <c r="E805" t="s">
        <v>31</v>
      </c>
      <c r="F805" t="s">
        <v>2544</v>
      </c>
      <c r="G805" t="s">
        <v>2545</v>
      </c>
      <c r="H805" t="s">
        <v>34</v>
      </c>
      <c r="I805">
        <v>976344.78638288297</v>
      </c>
      <c r="J805">
        <v>1685.41</v>
      </c>
      <c r="K805">
        <v>1683.75</v>
      </c>
      <c r="L805">
        <v>1683.75195721</v>
      </c>
      <c r="M805">
        <v>1643922444.98</v>
      </c>
      <c r="N805">
        <v>35</v>
      </c>
      <c r="O805" t="s">
        <v>35</v>
      </c>
      <c r="P805">
        <v>1</v>
      </c>
      <c r="R805" t="s">
        <v>2537</v>
      </c>
      <c r="S805" t="s">
        <v>2541</v>
      </c>
      <c r="W805" t="s">
        <v>36</v>
      </c>
      <c r="X805" t="s">
        <v>37</v>
      </c>
      <c r="Y805" t="s">
        <v>38</v>
      </c>
      <c r="AD805">
        <v>0</v>
      </c>
      <c r="AE805" t="b">
        <f>ISNUMBER(MATCH(G805,AUM!$C$6:$C$1451,0))</f>
        <v>1</v>
      </c>
      <c r="AF805" t="b">
        <f>ISNUMBER(MATCH(G805,AUM!$G$6:$G$240,0))</f>
        <v>0</v>
      </c>
    </row>
    <row r="806" spans="1:32" x14ac:dyDescent="0.2">
      <c r="A806" t="s">
        <v>2546</v>
      </c>
      <c r="B806" s="1">
        <v>45671</v>
      </c>
      <c r="D806" t="s">
        <v>2546</v>
      </c>
      <c r="E806" t="s">
        <v>31</v>
      </c>
      <c r="F806" t="s">
        <v>2547</v>
      </c>
      <c r="G806" t="s">
        <v>2548</v>
      </c>
      <c r="H806" t="s">
        <v>34</v>
      </c>
      <c r="J806">
        <v>4930.1499999999996</v>
      </c>
      <c r="K806">
        <v>4903.88</v>
      </c>
      <c r="L806">
        <v>4903.8764086399997</v>
      </c>
      <c r="Q806" t="s">
        <v>2549</v>
      </c>
      <c r="T806">
        <v>0</v>
      </c>
      <c r="W806" t="s">
        <v>36</v>
      </c>
      <c r="X806" t="s">
        <v>69</v>
      </c>
      <c r="Y806" t="s">
        <v>38</v>
      </c>
      <c r="AD806">
        <v>0</v>
      </c>
      <c r="AE806" t="b">
        <f>ISNUMBER(MATCH(G806,AUM!$C$6:$C$1451,0))</f>
        <v>0</v>
      </c>
      <c r="AF806" t="b">
        <f>ISNUMBER(MATCH(G806,AUM!$G$6:$G$240,0))</f>
        <v>0</v>
      </c>
    </row>
    <row r="807" spans="1:32" x14ac:dyDescent="0.2">
      <c r="A807" t="s">
        <v>2550</v>
      </c>
      <c r="B807" s="1">
        <v>45671</v>
      </c>
      <c r="D807" t="s">
        <v>2550</v>
      </c>
      <c r="E807" t="s">
        <v>31</v>
      </c>
      <c r="F807" t="s">
        <v>2551</v>
      </c>
      <c r="G807" t="s">
        <v>2552</v>
      </c>
      <c r="H807" t="s">
        <v>34</v>
      </c>
      <c r="J807">
        <v>4303.6099999999997</v>
      </c>
      <c r="K807">
        <v>4280.67</v>
      </c>
      <c r="L807">
        <v>4280.6737097300002</v>
      </c>
      <c r="Q807" t="s">
        <v>2549</v>
      </c>
      <c r="U807">
        <v>0</v>
      </c>
      <c r="W807" t="s">
        <v>36</v>
      </c>
      <c r="X807" t="s">
        <v>69</v>
      </c>
      <c r="Y807" t="s">
        <v>38</v>
      </c>
      <c r="AD807">
        <v>0</v>
      </c>
      <c r="AE807" t="b">
        <f>ISNUMBER(MATCH(G807,AUM!$C$6:$C$1451,0))</f>
        <v>0</v>
      </c>
      <c r="AF807" t="b">
        <f>ISNUMBER(MATCH(G807,AUM!$G$6:$G$240,0))</f>
        <v>0</v>
      </c>
    </row>
    <row r="808" spans="1:32" x14ac:dyDescent="0.2">
      <c r="A808" t="s">
        <v>2549</v>
      </c>
      <c r="B808" s="1">
        <v>45671</v>
      </c>
      <c r="D808" t="s">
        <v>2549</v>
      </c>
      <c r="E808" t="s">
        <v>31</v>
      </c>
      <c r="F808" t="s">
        <v>2553</v>
      </c>
      <c r="G808" t="s">
        <v>2554</v>
      </c>
      <c r="H808" t="s">
        <v>34</v>
      </c>
      <c r="I808">
        <v>1019203.11658922</v>
      </c>
      <c r="J808">
        <v>2868.15</v>
      </c>
      <c r="K808">
        <v>2852.86</v>
      </c>
      <c r="L808">
        <v>2852.8612367699998</v>
      </c>
      <c r="M808">
        <v>2907645063.7160001</v>
      </c>
      <c r="N808">
        <v>40</v>
      </c>
      <c r="O808" t="s">
        <v>35</v>
      </c>
      <c r="P808">
        <v>1</v>
      </c>
      <c r="R808" t="s">
        <v>2546</v>
      </c>
      <c r="S808" t="s">
        <v>2550</v>
      </c>
      <c r="W808" t="s">
        <v>36</v>
      </c>
      <c r="X808" t="s">
        <v>37</v>
      </c>
      <c r="Y808" t="s">
        <v>38</v>
      </c>
      <c r="AD808">
        <v>0</v>
      </c>
      <c r="AE808" t="b">
        <f>ISNUMBER(MATCH(G808,AUM!$C$6:$C$1451,0))</f>
        <v>0</v>
      </c>
      <c r="AF808" t="b">
        <f>ISNUMBER(MATCH(G808,AUM!$G$6:$G$240,0))</f>
        <v>0</v>
      </c>
    </row>
    <row r="809" spans="1:32" x14ac:dyDescent="0.2">
      <c r="A809" t="s">
        <v>2555</v>
      </c>
      <c r="B809" s="1">
        <v>45671</v>
      </c>
      <c r="D809" t="s">
        <v>2555</v>
      </c>
      <c r="E809" t="s">
        <v>31</v>
      </c>
      <c r="F809" t="s">
        <v>2556</v>
      </c>
      <c r="G809" t="s">
        <v>2557</v>
      </c>
      <c r="H809" t="s">
        <v>34</v>
      </c>
      <c r="J809">
        <v>5158.6099999999997</v>
      </c>
      <c r="K809">
        <v>5144.6899999999996</v>
      </c>
      <c r="L809">
        <v>5144.6899757199999</v>
      </c>
      <c r="Q809" t="s">
        <v>2558</v>
      </c>
      <c r="T809">
        <v>0</v>
      </c>
      <c r="W809" t="s">
        <v>36</v>
      </c>
      <c r="X809" t="s">
        <v>69</v>
      </c>
      <c r="Y809" t="s">
        <v>38</v>
      </c>
      <c r="AD809">
        <v>0</v>
      </c>
      <c r="AE809" t="b">
        <f>ISNUMBER(MATCH(G809,AUM!$C$6:$C$1451,0))</f>
        <v>0</v>
      </c>
      <c r="AF809" t="b">
        <f>ISNUMBER(MATCH(G809,AUM!$G$6:$G$240,0))</f>
        <v>0</v>
      </c>
    </row>
    <row r="810" spans="1:32" x14ac:dyDescent="0.2">
      <c r="A810" t="s">
        <v>2559</v>
      </c>
      <c r="B810" s="1">
        <v>45671</v>
      </c>
      <c r="D810" t="s">
        <v>2559</v>
      </c>
      <c r="E810" t="s">
        <v>31</v>
      </c>
      <c r="F810" t="s">
        <v>2560</v>
      </c>
      <c r="G810" t="s">
        <v>2561</v>
      </c>
      <c r="H810" t="s">
        <v>34</v>
      </c>
      <c r="J810">
        <v>4502.9399999999996</v>
      </c>
      <c r="K810">
        <v>4490.79</v>
      </c>
      <c r="L810">
        <v>4490.7873742900001</v>
      </c>
      <c r="Q810" t="s">
        <v>2558</v>
      </c>
      <c r="U810">
        <v>0</v>
      </c>
      <c r="W810" t="s">
        <v>36</v>
      </c>
      <c r="X810" t="s">
        <v>69</v>
      </c>
      <c r="Y810" t="s">
        <v>38</v>
      </c>
      <c r="AD810">
        <v>0</v>
      </c>
      <c r="AE810" t="b">
        <f>ISNUMBER(MATCH(G810,AUM!$C$6:$C$1451,0))</f>
        <v>0</v>
      </c>
      <c r="AF810" t="b">
        <f>ISNUMBER(MATCH(G810,AUM!$G$6:$G$240,0))</f>
        <v>0</v>
      </c>
    </row>
    <row r="811" spans="1:32" x14ac:dyDescent="0.2">
      <c r="A811" t="s">
        <v>2558</v>
      </c>
      <c r="B811" s="1">
        <v>45671</v>
      </c>
      <c r="D811" t="s">
        <v>2558</v>
      </c>
      <c r="E811" t="s">
        <v>31</v>
      </c>
      <c r="F811" t="s">
        <v>2562</v>
      </c>
      <c r="G811" t="s">
        <v>2563</v>
      </c>
      <c r="H811" t="s">
        <v>34</v>
      </c>
      <c r="I811">
        <v>1044648.87462535</v>
      </c>
      <c r="J811">
        <v>3180.41</v>
      </c>
      <c r="K811">
        <v>3171.83</v>
      </c>
      <c r="L811">
        <v>3171.8307648800001</v>
      </c>
      <c r="M811">
        <v>3313449439.0300002</v>
      </c>
      <c r="N811">
        <v>30</v>
      </c>
      <c r="O811" t="s">
        <v>35</v>
      </c>
      <c r="P811">
        <v>1</v>
      </c>
      <c r="R811" t="s">
        <v>2555</v>
      </c>
      <c r="S811" t="s">
        <v>2559</v>
      </c>
      <c r="W811" t="s">
        <v>36</v>
      </c>
      <c r="X811" t="s">
        <v>37</v>
      </c>
      <c r="Y811" t="s">
        <v>38</v>
      </c>
      <c r="AD811">
        <v>0</v>
      </c>
      <c r="AE811" t="b">
        <f>ISNUMBER(MATCH(G811,AUM!$C$6:$C$1451,0))</f>
        <v>0</v>
      </c>
      <c r="AF811" t="b">
        <f>ISNUMBER(MATCH(G811,AUM!$G$6:$G$240,0))</f>
        <v>0</v>
      </c>
    </row>
    <row r="812" spans="1:32" x14ac:dyDescent="0.2">
      <c r="A812" t="s">
        <v>2564</v>
      </c>
      <c r="B812" s="1">
        <v>45671</v>
      </c>
      <c r="D812" t="s">
        <v>2564</v>
      </c>
      <c r="E812" t="s">
        <v>31</v>
      </c>
      <c r="F812" t="s">
        <v>2565</v>
      </c>
      <c r="G812" t="s">
        <v>2566</v>
      </c>
      <c r="H812" t="s">
        <v>34</v>
      </c>
      <c r="J812">
        <v>3126.1</v>
      </c>
      <c r="K812">
        <v>3118.13</v>
      </c>
      <c r="L812">
        <v>3118.1288961</v>
      </c>
      <c r="Q812" t="s">
        <v>2567</v>
      </c>
      <c r="T812">
        <v>0.15291697831115</v>
      </c>
      <c r="V812" t="s">
        <v>79</v>
      </c>
      <c r="W812" t="s">
        <v>36</v>
      </c>
      <c r="X812" t="s">
        <v>69</v>
      </c>
      <c r="Y812" t="s">
        <v>38</v>
      </c>
      <c r="AD812">
        <v>0</v>
      </c>
      <c r="AE812" t="b">
        <f>ISNUMBER(MATCH(G812,AUM!$C$6:$C$1451,0))</f>
        <v>1</v>
      </c>
      <c r="AF812" t="b">
        <f>ISNUMBER(MATCH(G812,AUM!$G$6:$G$240,0))</f>
        <v>0</v>
      </c>
    </row>
    <row r="813" spans="1:32" x14ac:dyDescent="0.2">
      <c r="A813" t="s">
        <v>2568</v>
      </c>
      <c r="B813" s="1">
        <v>45671</v>
      </c>
      <c r="D813" t="s">
        <v>2568</v>
      </c>
      <c r="E813" t="s">
        <v>31</v>
      </c>
      <c r="F813" t="s">
        <v>2569</v>
      </c>
      <c r="G813" t="s">
        <v>2570</v>
      </c>
      <c r="H813" t="s">
        <v>34</v>
      </c>
      <c r="J813">
        <v>2818.09</v>
      </c>
      <c r="K813">
        <v>2810.91</v>
      </c>
      <c r="L813">
        <v>2810.9063548899999</v>
      </c>
      <c r="Q813" t="s">
        <v>2567</v>
      </c>
      <c r="U813">
        <v>0.11468773373336</v>
      </c>
      <c r="V813" t="s">
        <v>79</v>
      </c>
      <c r="W813" t="s">
        <v>36</v>
      </c>
      <c r="X813" t="s">
        <v>69</v>
      </c>
      <c r="Y813" t="s">
        <v>38</v>
      </c>
      <c r="AD813">
        <v>0</v>
      </c>
      <c r="AE813" t="b">
        <f>ISNUMBER(MATCH(G813,AUM!$C$6:$C$1451,0))</f>
        <v>1</v>
      </c>
      <c r="AF813" t="b">
        <f>ISNUMBER(MATCH(G813,AUM!$G$6:$G$240,0))</f>
        <v>0</v>
      </c>
    </row>
    <row r="814" spans="1:32" x14ac:dyDescent="0.2">
      <c r="A814" t="s">
        <v>2567</v>
      </c>
      <c r="B814" s="1">
        <v>45671</v>
      </c>
      <c r="D814" t="s">
        <v>2567</v>
      </c>
      <c r="E814" t="s">
        <v>31</v>
      </c>
      <c r="F814" t="s">
        <v>2571</v>
      </c>
      <c r="G814" t="s">
        <v>2572</v>
      </c>
      <c r="H814" t="s">
        <v>34</v>
      </c>
      <c r="I814">
        <v>968531651.85254502</v>
      </c>
      <c r="J814">
        <v>2042.69</v>
      </c>
      <c r="K814">
        <v>2037.49</v>
      </c>
      <c r="L814">
        <v>2037.4855060299999</v>
      </c>
      <c r="M814">
        <v>1973369202779.28</v>
      </c>
      <c r="N814">
        <v>80</v>
      </c>
      <c r="O814" t="s">
        <v>35</v>
      </c>
      <c r="P814">
        <v>1</v>
      </c>
      <c r="R814" t="s">
        <v>2564</v>
      </c>
      <c r="S814" t="s">
        <v>2568</v>
      </c>
      <c r="W814" t="s">
        <v>36</v>
      </c>
      <c r="X814" t="s">
        <v>37</v>
      </c>
      <c r="Y814" t="s">
        <v>38</v>
      </c>
      <c r="AD814">
        <v>0</v>
      </c>
      <c r="AE814" t="b">
        <f>ISNUMBER(MATCH(G814,AUM!$C$6:$C$1451,0))</f>
        <v>1</v>
      </c>
      <c r="AF814" t="b">
        <f>ISNUMBER(MATCH(G814,AUM!$G$6:$G$240,0))</f>
        <v>1</v>
      </c>
    </row>
    <row r="815" spans="1:32" x14ac:dyDescent="0.2">
      <c r="A815" t="s">
        <v>2573</v>
      </c>
      <c r="B815" s="1">
        <v>45671</v>
      </c>
      <c r="D815" t="s">
        <v>2573</v>
      </c>
      <c r="E815" t="s">
        <v>31</v>
      </c>
      <c r="F815" t="s">
        <v>2574</v>
      </c>
      <c r="G815" t="s">
        <v>2575</v>
      </c>
      <c r="H815" t="s">
        <v>34</v>
      </c>
      <c r="J815">
        <v>3676.5</v>
      </c>
      <c r="K815">
        <v>3675</v>
      </c>
      <c r="L815">
        <v>3674.9985583600001</v>
      </c>
      <c r="Q815" t="s">
        <v>2576</v>
      </c>
      <c r="T815">
        <v>0</v>
      </c>
      <c r="W815" t="s">
        <v>36</v>
      </c>
      <c r="X815" t="s">
        <v>69</v>
      </c>
      <c r="Y815" t="s">
        <v>38</v>
      </c>
      <c r="AD815">
        <v>0</v>
      </c>
      <c r="AE815" t="b">
        <f>ISNUMBER(MATCH(G815,AUM!$C$6:$C$1451,0))</f>
        <v>1</v>
      </c>
      <c r="AF815" t="b">
        <f>ISNUMBER(MATCH(G815,AUM!$G$6:$G$240,0))</f>
        <v>0</v>
      </c>
    </row>
    <row r="816" spans="1:32" x14ac:dyDescent="0.2">
      <c r="A816" t="s">
        <v>2577</v>
      </c>
      <c r="B816" s="1">
        <v>45671</v>
      </c>
      <c r="D816" t="s">
        <v>2577</v>
      </c>
      <c r="E816" t="s">
        <v>31</v>
      </c>
      <c r="F816" t="s">
        <v>2578</v>
      </c>
      <c r="G816" t="s">
        <v>2579</v>
      </c>
      <c r="H816" t="s">
        <v>34</v>
      </c>
      <c r="J816">
        <v>3119.28</v>
      </c>
      <c r="K816">
        <v>3118</v>
      </c>
      <c r="L816">
        <v>3118.0018879200002</v>
      </c>
      <c r="Q816" t="s">
        <v>2576</v>
      </c>
      <c r="U816">
        <v>0</v>
      </c>
      <c r="W816" t="s">
        <v>36</v>
      </c>
      <c r="X816" t="s">
        <v>69</v>
      </c>
      <c r="Y816" t="s">
        <v>38</v>
      </c>
      <c r="AD816">
        <v>0</v>
      </c>
      <c r="AE816" t="b">
        <f>ISNUMBER(MATCH(G816,AUM!$C$6:$C$1451,0))</f>
        <v>1</v>
      </c>
      <c r="AF816" t="b">
        <f>ISNUMBER(MATCH(G816,AUM!$G$6:$G$240,0))</f>
        <v>0</v>
      </c>
    </row>
    <row r="817" spans="1:32" x14ac:dyDescent="0.2">
      <c r="A817" t="s">
        <v>2576</v>
      </c>
      <c r="B817" s="1">
        <v>45671</v>
      </c>
      <c r="D817" t="s">
        <v>2576</v>
      </c>
      <c r="E817" t="s">
        <v>31</v>
      </c>
      <c r="F817" t="s">
        <v>2580</v>
      </c>
      <c r="G817" t="s">
        <v>2581</v>
      </c>
      <c r="H817" t="s">
        <v>34</v>
      </c>
      <c r="I817">
        <v>1006269.11732056</v>
      </c>
      <c r="J817">
        <v>1893.03</v>
      </c>
      <c r="K817">
        <v>1892.25</v>
      </c>
      <c r="L817">
        <v>1892.2537640600001</v>
      </c>
      <c r="M817">
        <v>1904116524.9059999</v>
      </c>
      <c r="N817">
        <v>50</v>
      </c>
      <c r="O817" t="s">
        <v>35</v>
      </c>
      <c r="P817">
        <v>1</v>
      </c>
      <c r="R817" t="s">
        <v>2573</v>
      </c>
      <c r="S817" t="s">
        <v>2577</v>
      </c>
      <c r="W817" t="s">
        <v>36</v>
      </c>
      <c r="X817" t="s">
        <v>37</v>
      </c>
      <c r="Y817" t="s">
        <v>38</v>
      </c>
      <c r="AD817">
        <v>0</v>
      </c>
      <c r="AE817" t="b">
        <f>ISNUMBER(MATCH(G817,AUM!$C$6:$C$1451,0))</f>
        <v>0</v>
      </c>
      <c r="AF817" t="b">
        <f>ISNUMBER(MATCH(G817,AUM!$G$6:$G$240,0))</f>
        <v>1</v>
      </c>
    </row>
    <row r="818" spans="1:32" x14ac:dyDescent="0.2">
      <c r="A818" t="s">
        <v>2582</v>
      </c>
      <c r="B818" s="1">
        <v>45671</v>
      </c>
      <c r="D818" t="s">
        <v>2582</v>
      </c>
      <c r="E818" t="s">
        <v>31</v>
      </c>
      <c r="F818" t="s">
        <v>2583</v>
      </c>
      <c r="G818" t="s">
        <v>2584</v>
      </c>
      <c r="H818" t="s">
        <v>34</v>
      </c>
      <c r="J818">
        <v>2691.34</v>
      </c>
      <c r="K818">
        <v>2669.32</v>
      </c>
      <c r="L818">
        <v>2669.3221285999998</v>
      </c>
      <c r="Q818" t="s">
        <v>2585</v>
      </c>
      <c r="T818">
        <v>0.31444428321262002</v>
      </c>
      <c r="V818" t="s">
        <v>79</v>
      </c>
      <c r="W818" t="s">
        <v>36</v>
      </c>
      <c r="X818" t="s">
        <v>69</v>
      </c>
      <c r="Y818" t="s">
        <v>38</v>
      </c>
      <c r="AD818">
        <v>0</v>
      </c>
      <c r="AE818" t="b">
        <f>ISNUMBER(MATCH(G818,AUM!$C$6:$C$1451,0))</f>
        <v>0</v>
      </c>
      <c r="AF818" t="b">
        <f>ISNUMBER(MATCH(G818,AUM!$G$6:$G$240,0))</f>
        <v>0</v>
      </c>
    </row>
    <row r="819" spans="1:32" x14ac:dyDescent="0.2">
      <c r="A819" t="s">
        <v>2586</v>
      </c>
      <c r="B819" s="1">
        <v>45671</v>
      </c>
      <c r="D819" t="s">
        <v>2586</v>
      </c>
      <c r="E819" t="s">
        <v>31</v>
      </c>
      <c r="F819" t="s">
        <v>2587</v>
      </c>
      <c r="G819" t="s">
        <v>2588</v>
      </c>
      <c r="H819" t="s">
        <v>34</v>
      </c>
      <c r="J819">
        <v>2282.15</v>
      </c>
      <c r="K819">
        <v>2263.48</v>
      </c>
      <c r="L819">
        <v>2263.4771295599999</v>
      </c>
      <c r="Q819" t="s">
        <v>2585</v>
      </c>
      <c r="U819">
        <v>0.23583321240946001</v>
      </c>
      <c r="V819" t="s">
        <v>79</v>
      </c>
      <c r="W819" t="s">
        <v>36</v>
      </c>
      <c r="X819" t="s">
        <v>69</v>
      </c>
      <c r="Y819" t="s">
        <v>38</v>
      </c>
      <c r="AD819">
        <v>0</v>
      </c>
      <c r="AE819" t="b">
        <f>ISNUMBER(MATCH(G819,AUM!$C$6:$C$1451,0))</f>
        <v>0</v>
      </c>
      <c r="AF819" t="b">
        <f>ISNUMBER(MATCH(G819,AUM!$G$6:$G$240,0))</f>
        <v>0</v>
      </c>
    </row>
    <row r="820" spans="1:32" x14ac:dyDescent="0.2">
      <c r="A820" t="s">
        <v>2585</v>
      </c>
      <c r="B820" s="1">
        <v>45671</v>
      </c>
      <c r="D820" t="s">
        <v>2585</v>
      </c>
      <c r="E820" t="s">
        <v>31</v>
      </c>
      <c r="F820" t="s">
        <v>2589</v>
      </c>
      <c r="G820" t="s">
        <v>2590</v>
      </c>
      <c r="H820" t="s">
        <v>34</v>
      </c>
      <c r="I820">
        <v>978545.37807559199</v>
      </c>
      <c r="J820">
        <v>1499.54</v>
      </c>
      <c r="K820">
        <v>1487.27</v>
      </c>
      <c r="L820">
        <v>1487.2698835399999</v>
      </c>
      <c r="M820">
        <v>1455361070.4890001</v>
      </c>
      <c r="N820">
        <v>40</v>
      </c>
      <c r="O820" t="s">
        <v>35</v>
      </c>
      <c r="P820">
        <v>1</v>
      </c>
      <c r="R820" t="s">
        <v>2582</v>
      </c>
      <c r="S820" t="s">
        <v>2586</v>
      </c>
      <c r="W820" t="s">
        <v>36</v>
      </c>
      <c r="X820" t="s">
        <v>37</v>
      </c>
      <c r="Y820" t="s">
        <v>38</v>
      </c>
      <c r="AD820">
        <v>0</v>
      </c>
      <c r="AE820" t="b">
        <f>ISNUMBER(MATCH(G820,AUM!$C$6:$C$1451,0))</f>
        <v>0</v>
      </c>
      <c r="AF820" t="b">
        <f>ISNUMBER(MATCH(G820,AUM!$G$6:$G$240,0))</f>
        <v>0</v>
      </c>
    </row>
    <row r="821" spans="1:32" x14ac:dyDescent="0.2">
      <c r="A821" t="s">
        <v>2591</v>
      </c>
      <c r="B821" s="1">
        <v>45671</v>
      </c>
      <c r="D821" t="s">
        <v>2591</v>
      </c>
      <c r="E821" t="s">
        <v>31</v>
      </c>
      <c r="F821" t="s">
        <v>2592</v>
      </c>
      <c r="G821" t="s">
        <v>2593</v>
      </c>
      <c r="H821" t="s">
        <v>34</v>
      </c>
      <c r="J821">
        <v>1318.52</v>
      </c>
      <c r="K821">
        <v>1307.79</v>
      </c>
      <c r="L821">
        <v>1307.7942792199999</v>
      </c>
      <c r="Q821" t="s">
        <v>2594</v>
      </c>
      <c r="T821">
        <v>0</v>
      </c>
      <c r="W821" t="s">
        <v>36</v>
      </c>
      <c r="X821" t="s">
        <v>69</v>
      </c>
      <c r="Y821" t="s">
        <v>38</v>
      </c>
      <c r="AD821">
        <v>0</v>
      </c>
      <c r="AE821" t="b">
        <f>ISNUMBER(MATCH(G821,AUM!$C$6:$C$1451,0))</f>
        <v>1</v>
      </c>
      <c r="AF821" t="b">
        <f>ISNUMBER(MATCH(G821,AUM!$G$6:$G$240,0))</f>
        <v>0</v>
      </c>
    </row>
    <row r="822" spans="1:32" x14ac:dyDescent="0.2">
      <c r="A822" t="s">
        <v>2595</v>
      </c>
      <c r="B822" s="1">
        <v>45671</v>
      </c>
      <c r="D822" t="s">
        <v>2595</v>
      </c>
      <c r="E822" t="s">
        <v>31</v>
      </c>
      <c r="F822" t="s">
        <v>2596</v>
      </c>
      <c r="G822" t="s">
        <v>2597</v>
      </c>
      <c r="H822" t="s">
        <v>34</v>
      </c>
      <c r="J822">
        <v>1220.48</v>
      </c>
      <c r="K822">
        <v>1210.55</v>
      </c>
      <c r="L822">
        <v>1210.5467883700001</v>
      </c>
      <c r="Q822" t="s">
        <v>2594</v>
      </c>
      <c r="U822">
        <v>0</v>
      </c>
      <c r="W822" t="s">
        <v>36</v>
      </c>
      <c r="X822" t="s">
        <v>69</v>
      </c>
      <c r="Y822" t="s">
        <v>38</v>
      </c>
      <c r="AD822">
        <v>0</v>
      </c>
      <c r="AE822" t="b">
        <f>ISNUMBER(MATCH(G822,AUM!$C$6:$C$1451,0))</f>
        <v>1</v>
      </c>
      <c r="AF822" t="b">
        <f>ISNUMBER(MATCH(G822,AUM!$G$6:$G$240,0))</f>
        <v>0</v>
      </c>
    </row>
    <row r="823" spans="1:32" x14ac:dyDescent="0.2">
      <c r="A823" t="s">
        <v>2594</v>
      </c>
      <c r="B823" s="1">
        <v>45671</v>
      </c>
      <c r="D823" t="s">
        <v>2594</v>
      </c>
      <c r="E823" t="s">
        <v>31</v>
      </c>
      <c r="F823" t="s">
        <v>2598</v>
      </c>
      <c r="G823" t="s">
        <v>2599</v>
      </c>
      <c r="H823" t="s">
        <v>34</v>
      </c>
      <c r="I823">
        <v>30217015.984785199</v>
      </c>
      <c r="J823">
        <v>991.08</v>
      </c>
      <c r="K823">
        <v>983.02</v>
      </c>
      <c r="L823">
        <v>983.01688504000003</v>
      </c>
      <c r="M823">
        <v>29703836928.620701</v>
      </c>
      <c r="N823">
        <v>121</v>
      </c>
      <c r="O823" t="s">
        <v>35</v>
      </c>
      <c r="P823">
        <v>1</v>
      </c>
      <c r="R823" t="s">
        <v>2591</v>
      </c>
      <c r="S823" t="s">
        <v>2595</v>
      </c>
      <c r="W823" t="s">
        <v>36</v>
      </c>
      <c r="X823" t="s">
        <v>37</v>
      </c>
      <c r="Y823" t="s">
        <v>38</v>
      </c>
      <c r="AD823">
        <v>0</v>
      </c>
      <c r="AE823" t="b">
        <f>ISNUMBER(MATCH(G823,AUM!$C$6:$C$1451,0))</f>
        <v>1</v>
      </c>
      <c r="AF823" t="b">
        <f>ISNUMBER(MATCH(G823,AUM!$G$6:$G$240,0))</f>
        <v>0</v>
      </c>
    </row>
    <row r="824" spans="1:32" x14ac:dyDescent="0.2">
      <c r="A824" t="s">
        <v>2600</v>
      </c>
      <c r="B824" s="1">
        <v>45671</v>
      </c>
      <c r="D824" t="s">
        <v>2600</v>
      </c>
      <c r="E824" t="s">
        <v>31</v>
      </c>
      <c r="F824" t="s">
        <v>2601</v>
      </c>
      <c r="G824" t="s">
        <v>2602</v>
      </c>
      <c r="H824" t="s">
        <v>34</v>
      </c>
      <c r="J824">
        <v>2451.1999999999998</v>
      </c>
      <c r="K824">
        <v>2441.14</v>
      </c>
      <c r="L824">
        <v>2441.1409086499998</v>
      </c>
      <c r="Q824" t="s">
        <v>2603</v>
      </c>
      <c r="T824">
        <v>0.25706917020527997</v>
      </c>
      <c r="V824" t="s">
        <v>79</v>
      </c>
      <c r="W824" t="s">
        <v>36</v>
      </c>
      <c r="X824" t="s">
        <v>69</v>
      </c>
      <c r="Y824" t="s">
        <v>38</v>
      </c>
      <c r="AD824">
        <v>0</v>
      </c>
      <c r="AE824" t="b">
        <f>ISNUMBER(MATCH(G824,AUM!$C$6:$C$1451,0))</f>
        <v>1</v>
      </c>
      <c r="AF824" t="b">
        <f>ISNUMBER(MATCH(G824,AUM!$G$6:$G$240,0))</f>
        <v>0</v>
      </c>
    </row>
    <row r="825" spans="1:32" x14ac:dyDescent="0.2">
      <c r="A825" t="s">
        <v>2604</v>
      </c>
      <c r="B825" s="1">
        <v>45671</v>
      </c>
      <c r="D825" t="s">
        <v>2604</v>
      </c>
      <c r="E825" t="s">
        <v>31</v>
      </c>
      <c r="F825" t="s">
        <v>2605</v>
      </c>
      <c r="G825" t="s">
        <v>2606</v>
      </c>
      <c r="H825" t="s">
        <v>34</v>
      </c>
      <c r="J825">
        <v>2124.59</v>
      </c>
      <c r="K825">
        <v>2115.87</v>
      </c>
      <c r="L825">
        <v>2115.8702296199999</v>
      </c>
      <c r="Q825" t="s">
        <v>2603</v>
      </c>
      <c r="U825">
        <v>0.19280187765396001</v>
      </c>
      <c r="V825" t="s">
        <v>79</v>
      </c>
      <c r="W825" t="s">
        <v>36</v>
      </c>
      <c r="X825" t="s">
        <v>69</v>
      </c>
      <c r="Y825" t="s">
        <v>38</v>
      </c>
      <c r="AD825">
        <v>0</v>
      </c>
      <c r="AE825" t="b">
        <f>ISNUMBER(MATCH(G825,AUM!$C$6:$C$1451,0))</f>
        <v>1</v>
      </c>
      <c r="AF825" t="b">
        <f>ISNUMBER(MATCH(G825,AUM!$G$6:$G$240,0))</f>
        <v>0</v>
      </c>
    </row>
    <row r="826" spans="1:32" x14ac:dyDescent="0.2">
      <c r="A826" t="s">
        <v>2603</v>
      </c>
      <c r="B826" s="1">
        <v>45671</v>
      </c>
      <c r="D826" t="s">
        <v>2603</v>
      </c>
      <c r="E826" t="s">
        <v>31</v>
      </c>
      <c r="F826" t="s">
        <v>2607</v>
      </c>
      <c r="G826" t="s">
        <v>2608</v>
      </c>
      <c r="H826" t="s">
        <v>34</v>
      </c>
      <c r="I826">
        <v>965911.236270439</v>
      </c>
      <c r="J826">
        <v>1470.05</v>
      </c>
      <c r="K826">
        <v>1464.01</v>
      </c>
      <c r="L826">
        <v>1464.0148409799999</v>
      </c>
      <c r="M826">
        <v>1414108384.97</v>
      </c>
      <c r="N826">
        <v>60</v>
      </c>
      <c r="O826" t="s">
        <v>35</v>
      </c>
      <c r="P826">
        <v>1</v>
      </c>
      <c r="R826" t="s">
        <v>2600</v>
      </c>
      <c r="S826" t="s">
        <v>2604</v>
      </c>
      <c r="W826" t="s">
        <v>36</v>
      </c>
      <c r="X826" t="s">
        <v>37</v>
      </c>
      <c r="Y826" t="s">
        <v>38</v>
      </c>
      <c r="AD826">
        <v>0</v>
      </c>
      <c r="AE826" t="b">
        <f>ISNUMBER(MATCH(G826,AUM!$C$6:$C$1451,0))</f>
        <v>1</v>
      </c>
      <c r="AF826" t="b">
        <f>ISNUMBER(MATCH(G826,AUM!$G$6:$G$240,0))</f>
        <v>0</v>
      </c>
    </row>
    <row r="827" spans="1:32" x14ac:dyDescent="0.2">
      <c r="A827" t="s">
        <v>2609</v>
      </c>
      <c r="B827" s="1">
        <v>45671</v>
      </c>
      <c r="D827" t="s">
        <v>2609</v>
      </c>
      <c r="E827" t="s">
        <v>31</v>
      </c>
      <c r="F827" t="s">
        <v>2610</v>
      </c>
      <c r="G827" t="s">
        <v>2611</v>
      </c>
      <c r="H827" t="s">
        <v>34</v>
      </c>
      <c r="J827">
        <v>2260.19</v>
      </c>
      <c r="K827">
        <v>2248.27</v>
      </c>
      <c r="L827">
        <v>2248.2654984199999</v>
      </c>
      <c r="Q827" t="s">
        <v>2612</v>
      </c>
      <c r="T827">
        <v>0.33631556004918001</v>
      </c>
      <c r="V827" t="s">
        <v>79</v>
      </c>
      <c r="W827" t="s">
        <v>36</v>
      </c>
      <c r="X827" t="s">
        <v>69</v>
      </c>
      <c r="Y827" t="s">
        <v>38</v>
      </c>
      <c r="AD827">
        <v>0</v>
      </c>
      <c r="AE827" t="b">
        <f>ISNUMBER(MATCH(G827,AUM!$C$6:$C$1451,0))</f>
        <v>1</v>
      </c>
      <c r="AF827" t="b">
        <f>ISNUMBER(MATCH(G827,AUM!$G$6:$G$240,0))</f>
        <v>0</v>
      </c>
    </row>
    <row r="828" spans="1:32" x14ac:dyDescent="0.2">
      <c r="A828" t="s">
        <v>2613</v>
      </c>
      <c r="B828" s="1">
        <v>45671</v>
      </c>
      <c r="D828" t="s">
        <v>2613</v>
      </c>
      <c r="E828" t="s">
        <v>31</v>
      </c>
      <c r="F828" t="s">
        <v>2614</v>
      </c>
      <c r="G828" t="s">
        <v>2615</v>
      </c>
      <c r="H828" t="s">
        <v>34</v>
      </c>
      <c r="J828">
        <v>1950.19</v>
      </c>
      <c r="K828">
        <v>1939.91</v>
      </c>
      <c r="L828">
        <v>1939.90934713</v>
      </c>
      <c r="Q828" t="s">
        <v>2612</v>
      </c>
      <c r="U828">
        <v>0.25223667003688999</v>
      </c>
      <c r="V828" t="s">
        <v>79</v>
      </c>
      <c r="W828" t="s">
        <v>36</v>
      </c>
      <c r="X828" t="s">
        <v>69</v>
      </c>
      <c r="Y828" t="s">
        <v>38</v>
      </c>
      <c r="AD828">
        <v>0</v>
      </c>
      <c r="AE828" t="b">
        <f>ISNUMBER(MATCH(G828,AUM!$C$6:$C$1451,0))</f>
        <v>1</v>
      </c>
      <c r="AF828" t="b">
        <f>ISNUMBER(MATCH(G828,AUM!$G$6:$G$240,0))</f>
        <v>0</v>
      </c>
    </row>
    <row r="829" spans="1:32" x14ac:dyDescent="0.2">
      <c r="A829" t="s">
        <v>2612</v>
      </c>
      <c r="B829" s="1">
        <v>45671</v>
      </c>
      <c r="D829" t="s">
        <v>2612</v>
      </c>
      <c r="E829" t="s">
        <v>31</v>
      </c>
      <c r="F829" t="s">
        <v>2616</v>
      </c>
      <c r="G829" t="s">
        <v>2617</v>
      </c>
      <c r="H829" t="s">
        <v>34</v>
      </c>
      <c r="I829">
        <v>987518.98351485701</v>
      </c>
      <c r="J829">
        <v>1342.17</v>
      </c>
      <c r="K829">
        <v>1335.09</v>
      </c>
      <c r="L829">
        <v>1335.0921555499999</v>
      </c>
      <c r="M829">
        <v>1318428848.3429999</v>
      </c>
      <c r="N829">
        <v>40</v>
      </c>
      <c r="O829" t="s">
        <v>35</v>
      </c>
      <c r="P829">
        <v>1</v>
      </c>
      <c r="R829" t="s">
        <v>2609</v>
      </c>
      <c r="S829" t="s">
        <v>2613</v>
      </c>
      <c r="W829" t="s">
        <v>36</v>
      </c>
      <c r="X829" t="s">
        <v>37</v>
      </c>
      <c r="Y829" t="s">
        <v>38</v>
      </c>
      <c r="AD829">
        <v>0</v>
      </c>
      <c r="AE829" t="b">
        <f>ISNUMBER(MATCH(G829,AUM!$C$6:$C$1451,0))</f>
        <v>1</v>
      </c>
      <c r="AF829" t="b">
        <f>ISNUMBER(MATCH(G829,AUM!$G$6:$G$240,0))</f>
        <v>0</v>
      </c>
    </row>
    <row r="830" spans="1:32" x14ac:dyDescent="0.2">
      <c r="A830" t="s">
        <v>2618</v>
      </c>
      <c r="B830" s="1">
        <v>45671</v>
      </c>
      <c r="D830" t="s">
        <v>2618</v>
      </c>
      <c r="E830" t="s">
        <v>40</v>
      </c>
      <c r="F830" t="s">
        <v>2619</v>
      </c>
      <c r="G830" t="s">
        <v>2620</v>
      </c>
      <c r="H830" t="s">
        <v>43</v>
      </c>
      <c r="J830">
        <v>1270.6099999999999</v>
      </c>
      <c r="K830">
        <v>1267.08</v>
      </c>
      <c r="L830">
        <v>1267.07667464</v>
      </c>
      <c r="Q830" t="s">
        <v>2621</v>
      </c>
      <c r="T830">
        <v>0.17298121823661</v>
      </c>
      <c r="V830" t="s">
        <v>79</v>
      </c>
      <c r="W830" t="s">
        <v>36</v>
      </c>
      <c r="X830" t="s">
        <v>69</v>
      </c>
      <c r="Y830" t="s">
        <v>38</v>
      </c>
      <c r="AD830">
        <v>0</v>
      </c>
      <c r="AE830" t="b">
        <f>ISNUMBER(MATCH(G830,AUM!$C$6:$C$1451,0))</f>
        <v>1</v>
      </c>
      <c r="AF830" t="b">
        <f>ISNUMBER(MATCH(G830,AUM!$G$6:$G$240,0))</f>
        <v>0</v>
      </c>
    </row>
    <row r="831" spans="1:32" x14ac:dyDescent="0.2">
      <c r="A831" t="s">
        <v>2622</v>
      </c>
      <c r="B831" s="1">
        <v>45671</v>
      </c>
      <c r="D831" t="s">
        <v>2622</v>
      </c>
      <c r="E831" t="s">
        <v>40</v>
      </c>
      <c r="F831" t="s">
        <v>2623</v>
      </c>
      <c r="G831" t="s">
        <v>2624</v>
      </c>
      <c r="H831" t="s">
        <v>43</v>
      </c>
      <c r="J831">
        <v>1200.5999999999999</v>
      </c>
      <c r="K831">
        <v>1197.26</v>
      </c>
      <c r="L831">
        <v>1197.2590461499999</v>
      </c>
      <c r="Q831" t="s">
        <v>2621</v>
      </c>
      <c r="U831">
        <v>0.12973591367746001</v>
      </c>
      <c r="V831" t="s">
        <v>79</v>
      </c>
      <c r="W831" t="s">
        <v>36</v>
      </c>
      <c r="X831" t="s">
        <v>69</v>
      </c>
      <c r="Y831" t="s">
        <v>38</v>
      </c>
      <c r="AD831">
        <v>0</v>
      </c>
      <c r="AE831" t="b">
        <f>ISNUMBER(MATCH(G831,AUM!$C$6:$C$1451,0))</f>
        <v>1</v>
      </c>
      <c r="AF831" t="b">
        <f>ISNUMBER(MATCH(G831,AUM!$G$6:$G$240,0))</f>
        <v>0</v>
      </c>
    </row>
    <row r="832" spans="1:32" x14ac:dyDescent="0.2">
      <c r="A832" t="s">
        <v>2621</v>
      </c>
      <c r="B832" s="1">
        <v>45671</v>
      </c>
      <c r="D832" t="s">
        <v>2621</v>
      </c>
      <c r="E832" t="s">
        <v>40</v>
      </c>
      <c r="F832" t="s">
        <v>2625</v>
      </c>
      <c r="G832" t="s">
        <v>2626</v>
      </c>
      <c r="H832" t="s">
        <v>43</v>
      </c>
      <c r="I832">
        <v>1557937.92382344</v>
      </c>
      <c r="J832">
        <v>1029.32</v>
      </c>
      <c r="K832">
        <v>1026.45</v>
      </c>
      <c r="L832">
        <v>1026.4511319799999</v>
      </c>
      <c r="M832">
        <v>1599147145.467</v>
      </c>
      <c r="N832">
        <v>50</v>
      </c>
      <c r="O832" t="s">
        <v>35</v>
      </c>
      <c r="P832">
        <v>1</v>
      </c>
      <c r="R832" t="s">
        <v>2618</v>
      </c>
      <c r="S832" t="s">
        <v>2622</v>
      </c>
      <c r="W832" t="s">
        <v>36</v>
      </c>
      <c r="X832" t="s">
        <v>37</v>
      </c>
      <c r="Y832" t="s">
        <v>38</v>
      </c>
      <c r="AD832">
        <v>0</v>
      </c>
      <c r="AE832" t="b">
        <f>ISNUMBER(MATCH(G832,AUM!$C$6:$C$1451,0))</f>
        <v>1</v>
      </c>
      <c r="AF832" t="b">
        <f>ISNUMBER(MATCH(G832,AUM!$G$6:$G$240,0))</f>
        <v>1</v>
      </c>
    </row>
    <row r="833" spans="1:32" x14ac:dyDescent="0.2">
      <c r="A833" t="s">
        <v>2627</v>
      </c>
      <c r="B833" s="1">
        <v>45671</v>
      </c>
      <c r="D833" t="s">
        <v>2627</v>
      </c>
      <c r="E833" t="s">
        <v>31</v>
      </c>
      <c r="F833" t="s">
        <v>2628</v>
      </c>
      <c r="G833" t="s">
        <v>2629</v>
      </c>
      <c r="H833" t="s">
        <v>34</v>
      </c>
      <c r="J833">
        <v>4628.24</v>
      </c>
      <c r="K833">
        <v>4608.12</v>
      </c>
      <c r="L833">
        <v>4608.11862836</v>
      </c>
      <c r="Q833" t="s">
        <v>2630</v>
      </c>
      <c r="T833">
        <v>0</v>
      </c>
      <c r="W833" t="s">
        <v>36</v>
      </c>
      <c r="X833" t="s">
        <v>69</v>
      </c>
      <c r="Y833" t="s">
        <v>38</v>
      </c>
      <c r="AD833">
        <v>0</v>
      </c>
      <c r="AE833" t="b">
        <f>ISNUMBER(MATCH(G833,AUM!$C$6:$C$1451,0))</f>
        <v>1</v>
      </c>
      <c r="AF833" t="b">
        <f>ISNUMBER(MATCH(G833,AUM!$G$6:$G$240,0))</f>
        <v>0</v>
      </c>
    </row>
    <row r="834" spans="1:32" x14ac:dyDescent="0.2">
      <c r="A834" t="s">
        <v>2631</v>
      </c>
      <c r="B834" s="1">
        <v>45671</v>
      </c>
      <c r="D834" t="s">
        <v>2631</v>
      </c>
      <c r="E834" t="s">
        <v>31</v>
      </c>
      <c r="F834" t="s">
        <v>2632</v>
      </c>
      <c r="G834" t="s">
        <v>2633</v>
      </c>
      <c r="H834" t="s">
        <v>34</v>
      </c>
      <c r="J834">
        <v>4037.3</v>
      </c>
      <c r="K834">
        <v>4019.75</v>
      </c>
      <c r="L834">
        <v>4019.7500890199999</v>
      </c>
      <c r="Q834" t="s">
        <v>2630</v>
      </c>
      <c r="U834">
        <v>0</v>
      </c>
      <c r="W834" t="s">
        <v>36</v>
      </c>
      <c r="X834" t="s">
        <v>69</v>
      </c>
      <c r="Y834" t="s">
        <v>38</v>
      </c>
      <c r="AD834">
        <v>0</v>
      </c>
      <c r="AE834" t="b">
        <f>ISNUMBER(MATCH(G834,AUM!$C$6:$C$1451,0))</f>
        <v>1</v>
      </c>
      <c r="AF834" t="b">
        <f>ISNUMBER(MATCH(G834,AUM!$G$6:$G$240,0))</f>
        <v>0</v>
      </c>
    </row>
    <row r="835" spans="1:32" x14ac:dyDescent="0.2">
      <c r="A835" t="s">
        <v>2630</v>
      </c>
      <c r="B835" s="1">
        <v>45671</v>
      </c>
      <c r="D835" t="s">
        <v>2630</v>
      </c>
      <c r="E835" t="s">
        <v>31</v>
      </c>
      <c r="F835" t="s">
        <v>2634</v>
      </c>
      <c r="G835" t="s">
        <v>2635</v>
      </c>
      <c r="H835" t="s">
        <v>34</v>
      </c>
      <c r="I835">
        <v>1015489.0176391701</v>
      </c>
      <c r="J835">
        <v>2749.82</v>
      </c>
      <c r="K835">
        <v>2737.86</v>
      </c>
      <c r="L835">
        <v>2737.8643939899998</v>
      </c>
      <c r="M835">
        <v>2780271223.8800001</v>
      </c>
      <c r="N835">
        <v>20</v>
      </c>
      <c r="O835" t="s">
        <v>35</v>
      </c>
      <c r="P835">
        <v>1</v>
      </c>
      <c r="R835" t="s">
        <v>2627</v>
      </c>
      <c r="S835" t="s">
        <v>2631</v>
      </c>
      <c r="W835" t="s">
        <v>36</v>
      </c>
      <c r="X835" t="s">
        <v>37</v>
      </c>
      <c r="Y835" t="s">
        <v>38</v>
      </c>
      <c r="AD835">
        <v>0</v>
      </c>
      <c r="AE835" t="b">
        <f>ISNUMBER(MATCH(G835,AUM!$C$6:$C$1451,0))</f>
        <v>1</v>
      </c>
      <c r="AF835" t="b">
        <f>ISNUMBER(MATCH(G835,AUM!$G$6:$G$240,0))</f>
        <v>1</v>
      </c>
    </row>
    <row r="836" spans="1:32" x14ac:dyDescent="0.2">
      <c r="A836" t="s">
        <v>2636</v>
      </c>
      <c r="B836" s="1">
        <v>45671</v>
      </c>
      <c r="D836" t="s">
        <v>2636</v>
      </c>
      <c r="E836" t="s">
        <v>31</v>
      </c>
      <c r="F836" t="s">
        <v>2637</v>
      </c>
      <c r="G836" t="s">
        <v>2638</v>
      </c>
      <c r="H836" t="s">
        <v>34</v>
      </c>
      <c r="J836">
        <v>5227.72</v>
      </c>
      <c r="K836">
        <v>5228.2</v>
      </c>
      <c r="L836">
        <v>5228.1987289500003</v>
      </c>
      <c r="Q836" t="s">
        <v>2639</v>
      </c>
      <c r="T836">
        <v>0</v>
      </c>
      <c r="W836" t="s">
        <v>36</v>
      </c>
      <c r="X836" t="s">
        <v>69</v>
      </c>
      <c r="Y836" t="s">
        <v>38</v>
      </c>
      <c r="AD836">
        <v>0</v>
      </c>
      <c r="AE836" t="b">
        <f>ISNUMBER(MATCH(G836,AUM!$C$6:$C$1451,0))</f>
        <v>1</v>
      </c>
      <c r="AF836" t="b">
        <f>ISNUMBER(MATCH(G836,AUM!$G$6:$G$240,0))</f>
        <v>0</v>
      </c>
    </row>
    <row r="837" spans="1:32" x14ac:dyDescent="0.2">
      <c r="A837" t="s">
        <v>2640</v>
      </c>
      <c r="B837" s="1">
        <v>45671</v>
      </c>
      <c r="D837" t="s">
        <v>2640</v>
      </c>
      <c r="E837" t="s">
        <v>31</v>
      </c>
      <c r="F837" t="s">
        <v>2641</v>
      </c>
      <c r="G837" t="s">
        <v>2642</v>
      </c>
      <c r="H837" t="s">
        <v>34</v>
      </c>
      <c r="J837">
        <v>4622.59</v>
      </c>
      <c r="K837">
        <v>4623.01</v>
      </c>
      <c r="L837">
        <v>4623.0086749599996</v>
      </c>
      <c r="Q837" t="s">
        <v>2639</v>
      </c>
      <c r="U837">
        <v>0</v>
      </c>
      <c r="W837" t="s">
        <v>36</v>
      </c>
      <c r="X837" t="s">
        <v>69</v>
      </c>
      <c r="Y837" t="s">
        <v>38</v>
      </c>
      <c r="AD837">
        <v>0</v>
      </c>
      <c r="AE837" t="b">
        <f>ISNUMBER(MATCH(G837,AUM!$C$6:$C$1451,0))</f>
        <v>1</v>
      </c>
      <c r="AF837" t="b">
        <f>ISNUMBER(MATCH(G837,AUM!$G$6:$G$240,0))</f>
        <v>0</v>
      </c>
    </row>
    <row r="838" spans="1:32" x14ac:dyDescent="0.2">
      <c r="A838" t="s">
        <v>2639</v>
      </c>
      <c r="B838" s="1">
        <v>45671</v>
      </c>
      <c r="D838" t="s">
        <v>2639</v>
      </c>
      <c r="E838" t="s">
        <v>31</v>
      </c>
      <c r="F838" t="s">
        <v>2643</v>
      </c>
      <c r="G838" t="s">
        <v>2644</v>
      </c>
      <c r="H838" t="s">
        <v>34</v>
      </c>
      <c r="I838">
        <v>958206.47558640805</v>
      </c>
      <c r="J838">
        <v>3341.98</v>
      </c>
      <c r="K838">
        <v>3342.29</v>
      </c>
      <c r="L838">
        <v>3342.2856035999998</v>
      </c>
      <c r="M838">
        <v>3202599708.6259999</v>
      </c>
      <c r="N838">
        <v>40</v>
      </c>
      <c r="O838" t="s">
        <v>35</v>
      </c>
      <c r="P838">
        <v>1</v>
      </c>
      <c r="R838" t="s">
        <v>2636</v>
      </c>
      <c r="S838" t="s">
        <v>2640</v>
      </c>
      <c r="W838" t="s">
        <v>36</v>
      </c>
      <c r="X838" t="s">
        <v>37</v>
      </c>
      <c r="Y838" t="s">
        <v>38</v>
      </c>
      <c r="AD838">
        <v>0</v>
      </c>
      <c r="AE838" t="b">
        <f>ISNUMBER(MATCH(G838,AUM!$C$6:$C$1451,0))</f>
        <v>1</v>
      </c>
      <c r="AF838" t="b">
        <f>ISNUMBER(MATCH(G838,AUM!$G$6:$G$240,0))</f>
        <v>0</v>
      </c>
    </row>
    <row r="839" spans="1:32" x14ac:dyDescent="0.2">
      <c r="A839" t="s">
        <v>2645</v>
      </c>
      <c r="B839" s="1">
        <v>45671</v>
      </c>
      <c r="D839" t="s">
        <v>2645</v>
      </c>
      <c r="E839" t="s">
        <v>31</v>
      </c>
      <c r="F839" t="s">
        <v>2646</v>
      </c>
      <c r="G839" t="s">
        <v>2647</v>
      </c>
      <c r="H839" t="s">
        <v>34</v>
      </c>
      <c r="J839">
        <v>3357.06</v>
      </c>
      <c r="K839">
        <v>3348.76</v>
      </c>
      <c r="L839">
        <v>3348.75990925</v>
      </c>
      <c r="Q839" t="s">
        <v>2648</v>
      </c>
      <c r="T839">
        <v>0.89229479023031</v>
      </c>
      <c r="V839" t="s">
        <v>79</v>
      </c>
      <c r="W839" t="s">
        <v>36</v>
      </c>
      <c r="X839" t="s">
        <v>69</v>
      </c>
      <c r="Y839" t="s">
        <v>38</v>
      </c>
      <c r="AD839">
        <v>0</v>
      </c>
      <c r="AE839" t="b">
        <f>ISNUMBER(MATCH(G839,AUM!$C$6:$C$1451,0))</f>
        <v>1</v>
      </c>
      <c r="AF839" t="b">
        <f>ISNUMBER(MATCH(G839,AUM!$G$6:$G$240,0))</f>
        <v>0</v>
      </c>
    </row>
    <row r="840" spans="1:32" x14ac:dyDescent="0.2">
      <c r="A840" t="s">
        <v>2649</v>
      </c>
      <c r="B840" s="1">
        <v>45671</v>
      </c>
      <c r="D840" t="s">
        <v>2649</v>
      </c>
      <c r="E840" t="s">
        <v>31</v>
      </c>
      <c r="F840" t="s">
        <v>2650</v>
      </c>
      <c r="G840" t="s">
        <v>2651</v>
      </c>
      <c r="H840" t="s">
        <v>34</v>
      </c>
      <c r="J840">
        <v>2959.41</v>
      </c>
      <c r="K840">
        <v>2952.09</v>
      </c>
      <c r="L840">
        <v>2952.0934381100001</v>
      </c>
      <c r="Q840" t="s">
        <v>2648</v>
      </c>
      <c r="U840">
        <v>0.66922109267273</v>
      </c>
      <c r="V840" t="s">
        <v>79</v>
      </c>
      <c r="W840" t="s">
        <v>36</v>
      </c>
      <c r="X840" t="s">
        <v>69</v>
      </c>
      <c r="Y840" t="s">
        <v>38</v>
      </c>
      <c r="AD840">
        <v>0</v>
      </c>
      <c r="AE840" t="b">
        <f>ISNUMBER(MATCH(G840,AUM!$C$6:$C$1451,0))</f>
        <v>1</v>
      </c>
      <c r="AF840" t="b">
        <f>ISNUMBER(MATCH(G840,AUM!$G$6:$G$240,0))</f>
        <v>0</v>
      </c>
    </row>
    <row r="841" spans="1:32" x14ac:dyDescent="0.2">
      <c r="A841" t="s">
        <v>2648</v>
      </c>
      <c r="B841" s="1">
        <v>45671</v>
      </c>
      <c r="D841" t="s">
        <v>2648</v>
      </c>
      <c r="E841" t="s">
        <v>31</v>
      </c>
      <c r="F841" t="s">
        <v>2652</v>
      </c>
      <c r="G841" t="s">
        <v>2653</v>
      </c>
      <c r="H841" t="s">
        <v>34</v>
      </c>
      <c r="I841">
        <v>948121.64013827394</v>
      </c>
      <c r="J841">
        <v>2131.31</v>
      </c>
      <c r="K841">
        <v>2126.04</v>
      </c>
      <c r="L841">
        <v>2126.0408098799999</v>
      </c>
      <c r="M841">
        <v>2015745299.6689999</v>
      </c>
      <c r="N841">
        <v>20</v>
      </c>
      <c r="O841" t="s">
        <v>35</v>
      </c>
      <c r="P841">
        <v>1</v>
      </c>
      <c r="R841" t="s">
        <v>2645</v>
      </c>
      <c r="S841" t="s">
        <v>2649</v>
      </c>
      <c r="W841" t="s">
        <v>36</v>
      </c>
      <c r="X841" t="s">
        <v>37</v>
      </c>
      <c r="Y841" t="s">
        <v>38</v>
      </c>
      <c r="AD841">
        <v>0</v>
      </c>
      <c r="AE841" t="b">
        <f>ISNUMBER(MATCH(G841,AUM!$C$6:$C$1451,0))</f>
        <v>1</v>
      </c>
      <c r="AF841" t="b">
        <f>ISNUMBER(MATCH(G841,AUM!$G$6:$G$240,0))</f>
        <v>0</v>
      </c>
    </row>
    <row r="842" spans="1:32" x14ac:dyDescent="0.2">
      <c r="A842" t="s">
        <v>2654</v>
      </c>
      <c r="B842" s="1">
        <v>45671</v>
      </c>
      <c r="D842" t="s">
        <v>2654</v>
      </c>
      <c r="E842" t="s">
        <v>31</v>
      </c>
      <c r="F842" t="s">
        <v>2655</v>
      </c>
      <c r="G842" t="s">
        <v>2656</v>
      </c>
      <c r="H842" t="s">
        <v>34</v>
      </c>
      <c r="J842">
        <v>6940.72</v>
      </c>
      <c r="K842">
        <v>6925.14</v>
      </c>
      <c r="L842">
        <v>6925.1391181400004</v>
      </c>
      <c r="Q842" t="s">
        <v>530</v>
      </c>
      <c r="W842" t="s">
        <v>36</v>
      </c>
      <c r="X842" t="s">
        <v>878</v>
      </c>
      <c r="Y842" t="s">
        <v>38</v>
      </c>
      <c r="Z842" t="s">
        <v>910</v>
      </c>
      <c r="AA842">
        <v>0.05</v>
      </c>
      <c r="AB842">
        <v>1</v>
      </c>
      <c r="AC842">
        <v>365</v>
      </c>
      <c r="AD842">
        <v>0</v>
      </c>
      <c r="AE842" t="b">
        <f>ISNUMBER(MATCH(G842,AUM!$C$6:$C$1451,0))</f>
        <v>1</v>
      </c>
      <c r="AF842" t="b">
        <f>ISNUMBER(MATCH(G842,AUM!$G$6:$G$240,0))</f>
        <v>0</v>
      </c>
    </row>
    <row r="843" spans="1:32" x14ac:dyDescent="0.2">
      <c r="A843" t="s">
        <v>2657</v>
      </c>
      <c r="B843" s="1">
        <v>45671</v>
      </c>
      <c r="D843" t="s">
        <v>2657</v>
      </c>
      <c r="E843" t="s">
        <v>31</v>
      </c>
      <c r="F843" t="s">
        <v>2658</v>
      </c>
      <c r="G843" t="s">
        <v>2659</v>
      </c>
      <c r="H843" t="s">
        <v>34</v>
      </c>
      <c r="J843">
        <v>1522.09</v>
      </c>
      <c r="K843">
        <v>1515.1</v>
      </c>
      <c r="L843">
        <v>1515.0989456</v>
      </c>
      <c r="Q843" t="s">
        <v>2660</v>
      </c>
      <c r="W843" t="s">
        <v>36</v>
      </c>
      <c r="X843" t="s">
        <v>878</v>
      </c>
      <c r="Y843" t="s">
        <v>38</v>
      </c>
      <c r="Z843" t="s">
        <v>910</v>
      </c>
      <c r="AA843">
        <v>0.05</v>
      </c>
      <c r="AB843">
        <v>1</v>
      </c>
      <c r="AC843">
        <v>365</v>
      </c>
      <c r="AD843">
        <v>0</v>
      </c>
      <c r="AE843" t="b">
        <f>ISNUMBER(MATCH(G843,AUM!$C$6:$C$1451,0))</f>
        <v>0</v>
      </c>
      <c r="AF843" t="b">
        <f>ISNUMBER(MATCH(G843,AUM!$G$6:$G$240,0))</f>
        <v>0</v>
      </c>
    </row>
    <row r="844" spans="1:32" x14ac:dyDescent="0.2">
      <c r="A844" t="s">
        <v>2661</v>
      </c>
      <c r="B844" s="1">
        <v>45671</v>
      </c>
      <c r="D844" t="s">
        <v>2661</v>
      </c>
      <c r="E844" t="s">
        <v>31</v>
      </c>
      <c r="F844" t="s">
        <v>2662</v>
      </c>
      <c r="G844" t="s">
        <v>2663</v>
      </c>
      <c r="H844" t="s">
        <v>34</v>
      </c>
      <c r="J844">
        <v>3918.76</v>
      </c>
      <c r="K844">
        <v>3902.38</v>
      </c>
      <c r="L844">
        <v>3902.3778703500002</v>
      </c>
      <c r="Q844" t="s">
        <v>2664</v>
      </c>
      <c r="T844">
        <v>0.49486404311374999</v>
      </c>
      <c r="V844" t="s">
        <v>79</v>
      </c>
      <c r="W844" t="s">
        <v>36</v>
      </c>
      <c r="X844" t="s">
        <v>69</v>
      </c>
      <c r="Y844" t="s">
        <v>38</v>
      </c>
      <c r="AD844">
        <v>0</v>
      </c>
      <c r="AE844" t="b">
        <f>ISNUMBER(MATCH(G844,AUM!$C$6:$C$1451,0))</f>
        <v>0</v>
      </c>
      <c r="AF844" t="b">
        <f>ISNUMBER(MATCH(G844,AUM!$G$6:$G$240,0))</f>
        <v>0</v>
      </c>
    </row>
    <row r="845" spans="1:32" x14ac:dyDescent="0.2">
      <c r="A845" t="s">
        <v>2660</v>
      </c>
      <c r="B845" s="1">
        <v>45671</v>
      </c>
      <c r="D845" t="s">
        <v>2660</v>
      </c>
      <c r="E845" t="s">
        <v>31</v>
      </c>
      <c r="F845" t="s">
        <v>2665</v>
      </c>
      <c r="G845" t="s">
        <v>2666</v>
      </c>
      <c r="H845" t="s">
        <v>34</v>
      </c>
      <c r="J845">
        <v>3394.37</v>
      </c>
      <c r="K845">
        <v>3380.18</v>
      </c>
      <c r="L845">
        <v>3380.1794469500001</v>
      </c>
      <c r="Q845" t="s">
        <v>2664</v>
      </c>
      <c r="U845">
        <v>0.37114803233531002</v>
      </c>
      <c r="V845" t="s">
        <v>79</v>
      </c>
      <c r="W845" t="s">
        <v>36</v>
      </c>
      <c r="X845" t="s">
        <v>69</v>
      </c>
      <c r="Y845" t="s">
        <v>38</v>
      </c>
      <c r="AD845">
        <v>0</v>
      </c>
      <c r="AE845" t="b">
        <f>ISNUMBER(MATCH(G845,AUM!$C$6:$C$1451,0))</f>
        <v>0</v>
      </c>
      <c r="AF845" t="b">
        <f>ISNUMBER(MATCH(G845,AUM!$G$6:$G$240,0))</f>
        <v>0</v>
      </c>
    </row>
    <row r="846" spans="1:32" x14ac:dyDescent="0.2">
      <c r="A846" t="s">
        <v>2664</v>
      </c>
      <c r="B846" s="1">
        <v>45671</v>
      </c>
      <c r="D846" t="s">
        <v>2664</v>
      </c>
      <c r="E846" t="s">
        <v>31</v>
      </c>
      <c r="F846" t="s">
        <v>2667</v>
      </c>
      <c r="G846" t="s">
        <v>2668</v>
      </c>
      <c r="H846" t="s">
        <v>34</v>
      </c>
      <c r="I846">
        <v>601615.74505740998</v>
      </c>
      <c r="J846">
        <v>2357.2199999999998</v>
      </c>
      <c r="K846">
        <v>2347.36</v>
      </c>
      <c r="L846">
        <v>2347.3642492700001</v>
      </c>
      <c r="M846">
        <v>1412211291.7479999</v>
      </c>
      <c r="N846">
        <v>40</v>
      </c>
      <c r="O846" t="s">
        <v>35</v>
      </c>
      <c r="P846">
        <v>1</v>
      </c>
      <c r="R846" t="s">
        <v>2661</v>
      </c>
      <c r="S846" t="s">
        <v>2660</v>
      </c>
      <c r="W846" t="s">
        <v>36</v>
      </c>
      <c r="X846" t="s">
        <v>37</v>
      </c>
      <c r="Y846" t="s">
        <v>38</v>
      </c>
      <c r="AD846">
        <v>0</v>
      </c>
      <c r="AE846" t="b">
        <f>ISNUMBER(MATCH(G846,AUM!$C$6:$C$1451,0))</f>
        <v>0</v>
      </c>
      <c r="AF846" t="b">
        <f>ISNUMBER(MATCH(G846,AUM!$G$6:$G$240,0))</f>
        <v>0</v>
      </c>
    </row>
    <row r="847" spans="1:32" x14ac:dyDescent="0.2">
      <c r="A847" t="s">
        <v>2669</v>
      </c>
      <c r="B847" s="1">
        <v>45671</v>
      </c>
      <c r="D847" t="s">
        <v>2669</v>
      </c>
      <c r="E847" t="s">
        <v>31</v>
      </c>
      <c r="F847" t="s">
        <v>2670</v>
      </c>
      <c r="G847" t="s">
        <v>2671</v>
      </c>
      <c r="H847" t="s">
        <v>34</v>
      </c>
      <c r="J847">
        <v>1633.56</v>
      </c>
      <c r="K847">
        <v>1626.27</v>
      </c>
      <c r="L847">
        <v>1626.26528616</v>
      </c>
      <c r="Q847" t="s">
        <v>2672</v>
      </c>
      <c r="W847" t="s">
        <v>36</v>
      </c>
      <c r="X847" t="s">
        <v>878</v>
      </c>
      <c r="Y847" t="s">
        <v>38</v>
      </c>
      <c r="Z847" t="s">
        <v>910</v>
      </c>
      <c r="AA847">
        <v>0.05</v>
      </c>
      <c r="AB847">
        <v>1</v>
      </c>
      <c r="AC847">
        <v>365</v>
      </c>
      <c r="AD847">
        <v>0</v>
      </c>
      <c r="AE847" t="b">
        <f>ISNUMBER(MATCH(G847,AUM!$C$6:$C$1451,0))</f>
        <v>0</v>
      </c>
      <c r="AF847" t="b">
        <f>ISNUMBER(MATCH(G847,AUM!$G$6:$G$240,0))</f>
        <v>0</v>
      </c>
    </row>
    <row r="848" spans="1:32" x14ac:dyDescent="0.2">
      <c r="A848" t="s">
        <v>2673</v>
      </c>
      <c r="B848" s="1">
        <v>45671</v>
      </c>
      <c r="D848" t="s">
        <v>2673</v>
      </c>
      <c r="E848" t="s">
        <v>31</v>
      </c>
      <c r="F848" t="s">
        <v>2674</v>
      </c>
      <c r="G848" t="s">
        <v>2675</v>
      </c>
      <c r="H848" t="s">
        <v>34</v>
      </c>
      <c r="J848">
        <v>4208.45</v>
      </c>
      <c r="K848">
        <v>4191.3900000000003</v>
      </c>
      <c r="L848">
        <v>4191.3947764300001</v>
      </c>
      <c r="Q848" t="s">
        <v>2676</v>
      </c>
      <c r="T848">
        <v>0.52965912811530003</v>
      </c>
      <c r="V848" t="s">
        <v>79</v>
      </c>
      <c r="W848" t="s">
        <v>36</v>
      </c>
      <c r="X848" t="s">
        <v>69</v>
      </c>
      <c r="Y848" t="s">
        <v>38</v>
      </c>
      <c r="AD848">
        <v>0</v>
      </c>
      <c r="AE848" t="b">
        <f>ISNUMBER(MATCH(G848,AUM!$C$6:$C$1451,0))</f>
        <v>1</v>
      </c>
      <c r="AF848" t="b">
        <f>ISNUMBER(MATCH(G848,AUM!$G$6:$G$240,0))</f>
        <v>0</v>
      </c>
    </row>
    <row r="849" spans="1:32" x14ac:dyDescent="0.2">
      <c r="A849" t="s">
        <v>2672</v>
      </c>
      <c r="B849" s="1">
        <v>45671</v>
      </c>
      <c r="D849" t="s">
        <v>2672</v>
      </c>
      <c r="E849" t="s">
        <v>31</v>
      </c>
      <c r="F849" t="s">
        <v>2677</v>
      </c>
      <c r="G849" t="s">
        <v>2678</v>
      </c>
      <c r="H849" t="s">
        <v>34</v>
      </c>
      <c r="J849">
        <v>3642.95</v>
      </c>
      <c r="K849">
        <v>3628.18</v>
      </c>
      <c r="L849">
        <v>3628.1803024800001</v>
      </c>
      <c r="Q849" t="s">
        <v>2676</v>
      </c>
      <c r="U849">
        <v>0.39724434608648002</v>
      </c>
      <c r="V849" t="s">
        <v>79</v>
      </c>
      <c r="W849" t="s">
        <v>36</v>
      </c>
      <c r="X849" t="s">
        <v>69</v>
      </c>
      <c r="Y849" t="s">
        <v>38</v>
      </c>
      <c r="AD849">
        <v>0</v>
      </c>
      <c r="AE849" t="b">
        <f>ISNUMBER(MATCH(G849,AUM!$C$6:$C$1451,0))</f>
        <v>1</v>
      </c>
      <c r="AF849" t="b">
        <f>ISNUMBER(MATCH(G849,AUM!$G$6:$G$240,0))</f>
        <v>0</v>
      </c>
    </row>
    <row r="850" spans="1:32" x14ac:dyDescent="0.2">
      <c r="A850" t="s">
        <v>2676</v>
      </c>
      <c r="B850" s="1">
        <v>45671</v>
      </c>
      <c r="D850" t="s">
        <v>2676</v>
      </c>
      <c r="E850" t="s">
        <v>31</v>
      </c>
      <c r="F850" t="s">
        <v>2679</v>
      </c>
      <c r="G850" t="s">
        <v>2680</v>
      </c>
      <c r="H850" t="s">
        <v>34</v>
      </c>
      <c r="I850">
        <v>471937.49098492903</v>
      </c>
      <c r="J850">
        <v>2532.7199999999998</v>
      </c>
      <c r="K850">
        <v>2522.46</v>
      </c>
      <c r="L850">
        <v>2522.4584813800002</v>
      </c>
      <c r="M850">
        <v>1190442726.8139999</v>
      </c>
      <c r="N850">
        <v>40</v>
      </c>
      <c r="O850" t="s">
        <v>35</v>
      </c>
      <c r="P850">
        <v>1</v>
      </c>
      <c r="R850" t="s">
        <v>2673</v>
      </c>
      <c r="S850" t="s">
        <v>2672</v>
      </c>
      <c r="W850" t="s">
        <v>36</v>
      </c>
      <c r="X850" t="s">
        <v>37</v>
      </c>
      <c r="Y850" t="s">
        <v>38</v>
      </c>
      <c r="AD850">
        <v>0</v>
      </c>
      <c r="AE850" t="b">
        <f>ISNUMBER(MATCH(G850,AUM!$C$6:$C$1451,0))</f>
        <v>1</v>
      </c>
      <c r="AF850" t="b">
        <f>ISNUMBER(MATCH(G850,AUM!$G$6:$G$240,0))</f>
        <v>1</v>
      </c>
    </row>
    <row r="851" spans="1:32" x14ac:dyDescent="0.2">
      <c r="A851" t="s">
        <v>2681</v>
      </c>
      <c r="B851" s="1">
        <v>45671</v>
      </c>
      <c r="D851" t="s">
        <v>2681</v>
      </c>
      <c r="E851" t="s">
        <v>31</v>
      </c>
      <c r="F851" t="s">
        <v>2682</v>
      </c>
      <c r="G851" t="s">
        <v>2683</v>
      </c>
      <c r="H851" t="s">
        <v>34</v>
      </c>
      <c r="I851">
        <v>1</v>
      </c>
      <c r="J851">
        <v>8445.7690000000002</v>
      </c>
      <c r="K851">
        <v>8422.7659999999996</v>
      </c>
      <c r="L851">
        <v>8422.7664028700001</v>
      </c>
      <c r="M851">
        <v>8422.7664028700001</v>
      </c>
      <c r="N851">
        <v>3</v>
      </c>
      <c r="O851" t="s">
        <v>35</v>
      </c>
      <c r="P851">
        <v>1</v>
      </c>
      <c r="W851" t="s">
        <v>36</v>
      </c>
      <c r="X851" t="s">
        <v>37</v>
      </c>
      <c r="Y851" t="s">
        <v>38</v>
      </c>
      <c r="AD851">
        <v>0</v>
      </c>
      <c r="AE851" t="b">
        <f>ISNUMBER(MATCH(G851,AUM!$C$6:$C$1451,0))</f>
        <v>1</v>
      </c>
      <c r="AF851" t="b">
        <f>ISNUMBER(MATCH(G851,AUM!$G$6:$G$240,0))</f>
        <v>0</v>
      </c>
    </row>
    <row r="852" spans="1:32" x14ac:dyDescent="0.2">
      <c r="A852" t="s">
        <v>2684</v>
      </c>
      <c r="B852" s="1">
        <v>45671</v>
      </c>
      <c r="D852" t="s">
        <v>2684</v>
      </c>
      <c r="E852" t="s">
        <v>31</v>
      </c>
      <c r="F852" t="s">
        <v>2685</v>
      </c>
      <c r="G852" t="s">
        <v>2686</v>
      </c>
      <c r="H852" t="s">
        <v>34</v>
      </c>
      <c r="J852">
        <v>1630.29</v>
      </c>
      <c r="K852">
        <v>1624.05</v>
      </c>
      <c r="L852">
        <v>1624.0522722000001</v>
      </c>
      <c r="Q852" t="s">
        <v>372</v>
      </c>
      <c r="W852" t="s">
        <v>36</v>
      </c>
      <c r="X852" t="s">
        <v>878</v>
      </c>
      <c r="Y852" t="s">
        <v>38</v>
      </c>
      <c r="Z852" t="s">
        <v>910</v>
      </c>
      <c r="AA852">
        <v>0.05</v>
      </c>
      <c r="AB852">
        <v>1</v>
      </c>
      <c r="AC852">
        <v>365</v>
      </c>
      <c r="AD852">
        <v>0</v>
      </c>
      <c r="AE852" t="b">
        <f>ISNUMBER(MATCH(G852,AUM!$C$6:$C$1451,0))</f>
        <v>1</v>
      </c>
      <c r="AF852" t="b">
        <f>ISNUMBER(MATCH(G852,AUM!$G$6:$G$240,0))</f>
        <v>0</v>
      </c>
    </row>
    <row r="853" spans="1:32" x14ac:dyDescent="0.2">
      <c r="A853" t="s">
        <v>2687</v>
      </c>
      <c r="B853" s="1">
        <v>45671</v>
      </c>
      <c r="D853" t="s">
        <v>2687</v>
      </c>
      <c r="E853" t="s">
        <v>31</v>
      </c>
      <c r="F853" t="s">
        <v>2688</v>
      </c>
      <c r="G853" t="s">
        <v>2689</v>
      </c>
      <c r="H853" t="s">
        <v>34</v>
      </c>
      <c r="J853">
        <v>2409.21</v>
      </c>
      <c r="K853">
        <v>2399.92</v>
      </c>
      <c r="L853">
        <v>2399.9218693399998</v>
      </c>
      <c r="Q853" t="s">
        <v>2690</v>
      </c>
      <c r="T853">
        <v>0.44511083421572001</v>
      </c>
      <c r="V853" t="s">
        <v>79</v>
      </c>
      <c r="W853" t="s">
        <v>36</v>
      </c>
      <c r="X853" t="s">
        <v>69</v>
      </c>
      <c r="Y853" t="s">
        <v>38</v>
      </c>
      <c r="AD853">
        <v>0</v>
      </c>
      <c r="AE853" t="b">
        <f>ISNUMBER(MATCH(G853,AUM!$C$6:$C$1451,0))</f>
        <v>1</v>
      </c>
      <c r="AF853" t="b">
        <f>ISNUMBER(MATCH(G853,AUM!$G$6:$G$240,0))</f>
        <v>0</v>
      </c>
    </row>
    <row r="854" spans="1:32" x14ac:dyDescent="0.2">
      <c r="A854" t="s">
        <v>2691</v>
      </c>
      <c r="B854" s="1">
        <v>45671</v>
      </c>
      <c r="D854" t="s">
        <v>2691</v>
      </c>
      <c r="E854" t="s">
        <v>31</v>
      </c>
      <c r="F854" t="s">
        <v>2692</v>
      </c>
      <c r="G854" t="s">
        <v>2693</v>
      </c>
      <c r="H854" t="s">
        <v>34</v>
      </c>
      <c r="J854">
        <v>2031.99</v>
      </c>
      <c r="K854">
        <v>2024.16</v>
      </c>
      <c r="L854">
        <v>2024.1593541899999</v>
      </c>
      <c r="Q854" t="s">
        <v>2690</v>
      </c>
      <c r="U854">
        <v>0.33383312566179002</v>
      </c>
      <c r="V854" t="s">
        <v>79</v>
      </c>
      <c r="W854" t="s">
        <v>36</v>
      </c>
      <c r="X854" t="s">
        <v>69</v>
      </c>
      <c r="Y854" t="s">
        <v>38</v>
      </c>
      <c r="AD854">
        <v>0</v>
      </c>
      <c r="AE854" t="b">
        <f>ISNUMBER(MATCH(G854,AUM!$C$6:$C$1451,0))</f>
        <v>1</v>
      </c>
      <c r="AF854" t="b">
        <f>ISNUMBER(MATCH(G854,AUM!$G$6:$G$240,0))</f>
        <v>0</v>
      </c>
    </row>
    <row r="855" spans="1:32" x14ac:dyDescent="0.2">
      <c r="A855" t="s">
        <v>2690</v>
      </c>
      <c r="B855" s="1">
        <v>45671</v>
      </c>
      <c r="D855" t="s">
        <v>2690</v>
      </c>
      <c r="E855" t="s">
        <v>31</v>
      </c>
      <c r="F855" t="s">
        <v>2694</v>
      </c>
      <c r="G855" t="s">
        <v>2695</v>
      </c>
      <c r="H855" t="s">
        <v>34</v>
      </c>
      <c r="I855">
        <v>99408.948510462695</v>
      </c>
      <c r="J855">
        <v>1333.39</v>
      </c>
      <c r="K855">
        <v>1328.25</v>
      </c>
      <c r="L855">
        <v>1328.2464607300001</v>
      </c>
      <c r="M855">
        <v>132039584.024</v>
      </c>
      <c r="N855">
        <v>40</v>
      </c>
      <c r="O855" t="s">
        <v>35</v>
      </c>
      <c r="P855">
        <v>1</v>
      </c>
      <c r="R855" t="s">
        <v>2687</v>
      </c>
      <c r="S855" t="s">
        <v>2691</v>
      </c>
      <c r="W855" t="s">
        <v>36</v>
      </c>
      <c r="X855" t="s">
        <v>37</v>
      </c>
      <c r="Y855" t="s">
        <v>38</v>
      </c>
      <c r="AD855">
        <v>0</v>
      </c>
      <c r="AE855" t="b">
        <f>ISNUMBER(MATCH(G855,AUM!$C$6:$C$1451,0))</f>
        <v>1</v>
      </c>
      <c r="AF855" t="b">
        <f>ISNUMBER(MATCH(G855,AUM!$G$6:$G$240,0))</f>
        <v>0</v>
      </c>
    </row>
    <row r="856" spans="1:32" x14ac:dyDescent="0.2">
      <c r="A856" t="s">
        <v>2696</v>
      </c>
      <c r="B856" s="1">
        <v>45671</v>
      </c>
      <c r="D856" t="s">
        <v>2696</v>
      </c>
      <c r="E856" t="s">
        <v>31</v>
      </c>
      <c r="F856" t="s">
        <v>2697</v>
      </c>
      <c r="G856" t="s">
        <v>2698</v>
      </c>
      <c r="H856" t="s">
        <v>34</v>
      </c>
      <c r="I856">
        <v>1</v>
      </c>
      <c r="J856">
        <v>597344.38</v>
      </c>
      <c r="K856">
        <v>592048.42000000004</v>
      </c>
      <c r="L856">
        <v>592048.42269749998</v>
      </c>
      <c r="M856">
        <v>592048.42269749998</v>
      </c>
      <c r="N856">
        <v>1</v>
      </c>
      <c r="O856" t="s">
        <v>2699</v>
      </c>
      <c r="P856">
        <v>1</v>
      </c>
      <c r="W856" t="s">
        <v>36</v>
      </c>
      <c r="X856" t="s">
        <v>37</v>
      </c>
      <c r="Y856" t="s">
        <v>38</v>
      </c>
      <c r="AD856">
        <v>0</v>
      </c>
      <c r="AE856" t="b">
        <f>ISNUMBER(MATCH(G856,AUM!$C$6:$C$1451,0))</f>
        <v>1</v>
      </c>
      <c r="AF856" t="b">
        <f>ISNUMBER(MATCH(G856,AUM!$G$6:$G$240,0))</f>
        <v>0</v>
      </c>
    </row>
    <row r="857" spans="1:32" x14ac:dyDescent="0.2">
      <c r="A857" t="s">
        <v>2700</v>
      </c>
      <c r="B857" s="1">
        <v>45671</v>
      </c>
      <c r="D857" t="s">
        <v>2700</v>
      </c>
      <c r="E857" t="s">
        <v>31</v>
      </c>
      <c r="F857" t="s">
        <v>2701</v>
      </c>
      <c r="G857" t="s">
        <v>2702</v>
      </c>
      <c r="H857" t="s">
        <v>34</v>
      </c>
      <c r="I857">
        <v>1</v>
      </c>
      <c r="J857">
        <v>1347.11</v>
      </c>
      <c r="K857">
        <v>1342.64</v>
      </c>
      <c r="L857">
        <v>1342.6361901600001</v>
      </c>
      <c r="M857">
        <v>1342.6361901600001</v>
      </c>
      <c r="N857">
        <v>1</v>
      </c>
      <c r="O857" t="s">
        <v>2699</v>
      </c>
      <c r="P857">
        <v>1</v>
      </c>
      <c r="W857" t="s">
        <v>36</v>
      </c>
      <c r="X857" t="s">
        <v>37</v>
      </c>
      <c r="Y857" t="s">
        <v>38</v>
      </c>
      <c r="AD857">
        <v>0</v>
      </c>
      <c r="AE857" t="b">
        <f>ISNUMBER(MATCH(G857,AUM!$C$6:$C$1451,0))</f>
        <v>1</v>
      </c>
      <c r="AF857" t="b">
        <f>ISNUMBER(MATCH(G857,AUM!$G$6:$G$240,0))</f>
        <v>0</v>
      </c>
    </row>
    <row r="858" spans="1:32" x14ac:dyDescent="0.2">
      <c r="A858" t="s">
        <v>2703</v>
      </c>
      <c r="B858" s="1">
        <v>45671</v>
      </c>
      <c r="D858" t="s">
        <v>2703</v>
      </c>
      <c r="E858" t="s">
        <v>31</v>
      </c>
      <c r="F858" t="s">
        <v>2704</v>
      </c>
      <c r="G858" t="s">
        <v>2705</v>
      </c>
      <c r="H858" t="s">
        <v>34</v>
      </c>
      <c r="I858">
        <v>606869.12</v>
      </c>
      <c r="J858">
        <v>0.98</v>
      </c>
      <c r="K858">
        <v>0.98</v>
      </c>
      <c r="L858">
        <v>0.97557843</v>
      </c>
      <c r="M858">
        <v>592048.42269749998</v>
      </c>
      <c r="N858">
        <v>1</v>
      </c>
      <c r="O858" t="s">
        <v>2699</v>
      </c>
      <c r="P858">
        <v>1</v>
      </c>
      <c r="W858" t="s">
        <v>36</v>
      </c>
      <c r="X858" t="s">
        <v>37</v>
      </c>
      <c r="Y858" t="s">
        <v>38</v>
      </c>
      <c r="AD858">
        <v>0</v>
      </c>
      <c r="AE858" t="b">
        <f>ISNUMBER(MATCH(G858,AUM!$C$6:$C$1451,0))</f>
        <v>0</v>
      </c>
      <c r="AF858" t="b">
        <f>ISNUMBER(MATCH(G858,AUM!$G$6:$G$240,0))</f>
        <v>0</v>
      </c>
    </row>
    <row r="859" spans="1:32" x14ac:dyDescent="0.2">
      <c r="A859" t="s">
        <v>2706</v>
      </c>
      <c r="B859" s="1">
        <v>45671</v>
      </c>
      <c r="D859" t="s">
        <v>2706</v>
      </c>
      <c r="E859" t="s">
        <v>31</v>
      </c>
      <c r="F859" t="s">
        <v>2707</v>
      </c>
      <c r="G859" t="s">
        <v>2708</v>
      </c>
      <c r="H859" t="s">
        <v>34</v>
      </c>
      <c r="I859">
        <v>1</v>
      </c>
      <c r="J859">
        <v>0.99</v>
      </c>
      <c r="K859">
        <v>0.99</v>
      </c>
      <c r="L859">
        <v>0.98613759000000001</v>
      </c>
      <c r="M859">
        <v>0.98613759000000001</v>
      </c>
      <c r="N859">
        <v>3</v>
      </c>
      <c r="O859" t="s">
        <v>2699</v>
      </c>
      <c r="P859">
        <v>1</v>
      </c>
      <c r="W859" t="s">
        <v>36</v>
      </c>
      <c r="X859" t="s">
        <v>37</v>
      </c>
      <c r="Y859" t="s">
        <v>38</v>
      </c>
      <c r="AD859">
        <v>0</v>
      </c>
      <c r="AE859" t="b">
        <f>ISNUMBER(MATCH(G859,AUM!$C$6:$C$1451,0))</f>
        <v>0</v>
      </c>
      <c r="AF859" t="b">
        <f>ISNUMBER(MATCH(G859,AUM!$G$6:$G$240,0))</f>
        <v>0</v>
      </c>
    </row>
    <row r="860" spans="1:32" x14ac:dyDescent="0.2">
      <c r="A860" t="s">
        <v>2709</v>
      </c>
      <c r="B860" s="1">
        <v>45671</v>
      </c>
      <c r="D860" t="s">
        <v>2709</v>
      </c>
      <c r="E860" t="s">
        <v>31</v>
      </c>
      <c r="F860" t="s">
        <v>2710</v>
      </c>
      <c r="G860" t="s">
        <v>2711</v>
      </c>
      <c r="H860" t="s">
        <v>34</v>
      </c>
      <c r="I860">
        <v>162.34245000000001</v>
      </c>
      <c r="J860">
        <v>0.99</v>
      </c>
      <c r="K860">
        <v>0.99</v>
      </c>
      <c r="L860">
        <v>0.98944083999999999</v>
      </c>
      <c r="M860">
        <v>160.62825000000001</v>
      </c>
      <c r="N860">
        <v>1</v>
      </c>
      <c r="O860" t="s">
        <v>2699</v>
      </c>
      <c r="P860">
        <v>1</v>
      </c>
      <c r="W860" t="s">
        <v>36</v>
      </c>
      <c r="X860" t="s">
        <v>37</v>
      </c>
      <c r="Y860" t="s">
        <v>38</v>
      </c>
      <c r="AD860">
        <v>0</v>
      </c>
      <c r="AE860" t="b">
        <f>ISNUMBER(MATCH(G860,AUM!$C$6:$C$1451,0))</f>
        <v>0</v>
      </c>
      <c r="AF860" t="b">
        <f>ISNUMBER(MATCH(G860,AUM!$G$6:$G$240,0))</f>
        <v>0</v>
      </c>
    </row>
    <row r="861" spans="1:32" x14ac:dyDescent="0.2">
      <c r="A861" t="s">
        <v>2712</v>
      </c>
      <c r="B861" s="1">
        <v>45671</v>
      </c>
      <c r="D861" t="s">
        <v>2712</v>
      </c>
      <c r="E861" t="s">
        <v>31</v>
      </c>
      <c r="F861" t="s">
        <v>2713</v>
      </c>
      <c r="G861" t="s">
        <v>2714</v>
      </c>
      <c r="H861" t="s">
        <v>34</v>
      </c>
      <c r="J861">
        <v>944.92</v>
      </c>
      <c r="K861">
        <v>941.7</v>
      </c>
      <c r="L861">
        <v>941.69549508</v>
      </c>
      <c r="Q861" t="s">
        <v>2715</v>
      </c>
      <c r="W861" t="s">
        <v>36</v>
      </c>
      <c r="X861" t="s">
        <v>878</v>
      </c>
      <c r="Y861" t="s">
        <v>38</v>
      </c>
      <c r="Z861" t="s">
        <v>879</v>
      </c>
      <c r="AA861">
        <v>50</v>
      </c>
      <c r="AB861">
        <v>1</v>
      </c>
      <c r="AC861">
        <v>365</v>
      </c>
      <c r="AD861">
        <v>0</v>
      </c>
      <c r="AE861" t="b">
        <f>ISNUMBER(MATCH(G861,AUM!$C$6:$C$1451,0))</f>
        <v>1</v>
      </c>
      <c r="AF861" t="b">
        <f>ISNUMBER(MATCH(G861,AUM!$G$6:$G$240,0))</f>
        <v>0</v>
      </c>
    </row>
    <row r="862" spans="1:32" x14ac:dyDescent="0.2">
      <c r="A862" t="s">
        <v>2715</v>
      </c>
      <c r="B862" s="1">
        <v>45671</v>
      </c>
      <c r="D862" t="s">
        <v>2715</v>
      </c>
      <c r="E862" t="s">
        <v>31</v>
      </c>
      <c r="F862" t="s">
        <v>2716</v>
      </c>
      <c r="G862" t="s">
        <v>2717</v>
      </c>
      <c r="H862" t="s">
        <v>34</v>
      </c>
      <c r="J862">
        <v>1568.01</v>
      </c>
      <c r="K862">
        <v>1563.35</v>
      </c>
      <c r="L862">
        <v>1563.34798591</v>
      </c>
      <c r="Q862" t="s">
        <v>2718</v>
      </c>
      <c r="T862">
        <v>0.1242500093314</v>
      </c>
      <c r="V862" t="s">
        <v>79</v>
      </c>
      <c r="W862" t="s">
        <v>36</v>
      </c>
      <c r="X862" t="s">
        <v>69</v>
      </c>
      <c r="Y862" t="s">
        <v>38</v>
      </c>
      <c r="AD862">
        <v>0</v>
      </c>
      <c r="AE862" t="b">
        <f>ISNUMBER(MATCH(G862,AUM!$C$6:$C$1451,0))</f>
        <v>1</v>
      </c>
      <c r="AF862" t="b">
        <f>ISNUMBER(MATCH(G862,AUM!$G$6:$G$240,0))</f>
        <v>0</v>
      </c>
    </row>
    <row r="863" spans="1:32" x14ac:dyDescent="0.2">
      <c r="A863" t="s">
        <v>2719</v>
      </c>
      <c r="B863" s="1">
        <v>45671</v>
      </c>
      <c r="D863" t="s">
        <v>2719</v>
      </c>
      <c r="E863" t="s">
        <v>31</v>
      </c>
      <c r="F863" t="s">
        <v>2720</v>
      </c>
      <c r="G863" t="s">
        <v>2721</v>
      </c>
      <c r="H863" t="s">
        <v>34</v>
      </c>
      <c r="J863">
        <v>1455.64</v>
      </c>
      <c r="K863">
        <v>1451.31</v>
      </c>
      <c r="L863">
        <v>1451.3082640099999</v>
      </c>
      <c r="Q863" t="s">
        <v>2718</v>
      </c>
      <c r="U863">
        <v>9.3187506998549996E-2</v>
      </c>
      <c r="V863" t="s">
        <v>79</v>
      </c>
      <c r="W863" t="s">
        <v>36</v>
      </c>
      <c r="X863" t="s">
        <v>69</v>
      </c>
      <c r="Y863" t="s">
        <v>38</v>
      </c>
      <c r="AD863">
        <v>0</v>
      </c>
      <c r="AE863" t="b">
        <f>ISNUMBER(MATCH(G863,AUM!$C$6:$C$1451,0))</f>
        <v>1</v>
      </c>
      <c r="AF863" t="b">
        <f>ISNUMBER(MATCH(G863,AUM!$G$6:$G$240,0))</f>
        <v>0</v>
      </c>
    </row>
    <row r="864" spans="1:32" x14ac:dyDescent="0.2">
      <c r="A864" t="s">
        <v>2718</v>
      </c>
      <c r="B864" s="1">
        <v>45671</v>
      </c>
      <c r="D864" t="s">
        <v>2718</v>
      </c>
      <c r="E864" t="s">
        <v>31</v>
      </c>
      <c r="F864" t="s">
        <v>2722</v>
      </c>
      <c r="G864" t="s">
        <v>2723</v>
      </c>
      <c r="H864" t="s">
        <v>34</v>
      </c>
      <c r="I864">
        <v>1021374748.24261</v>
      </c>
      <c r="J864">
        <v>1191.73</v>
      </c>
      <c r="K864">
        <v>1188.18</v>
      </c>
      <c r="L864">
        <v>1188.18289706</v>
      </c>
      <c r="M864">
        <v>1213580007349.6699</v>
      </c>
      <c r="N864">
        <v>80</v>
      </c>
      <c r="O864" t="s">
        <v>35</v>
      </c>
      <c r="P864">
        <v>1</v>
      </c>
      <c r="R864" t="s">
        <v>2715</v>
      </c>
      <c r="S864" t="s">
        <v>2719</v>
      </c>
      <c r="W864" t="s">
        <v>36</v>
      </c>
      <c r="X864" t="s">
        <v>37</v>
      </c>
      <c r="Y864" t="s">
        <v>38</v>
      </c>
      <c r="AD864">
        <v>0</v>
      </c>
      <c r="AE864" t="b">
        <f>ISNUMBER(MATCH(G864,AUM!$C$6:$C$1451,0))</f>
        <v>1</v>
      </c>
      <c r="AF864" t="b">
        <f>ISNUMBER(MATCH(G864,AUM!$G$6:$G$240,0))</f>
        <v>1</v>
      </c>
    </row>
    <row r="865" spans="1:32" x14ac:dyDescent="0.2">
      <c r="A865" t="s">
        <v>2724</v>
      </c>
      <c r="B865" s="1">
        <v>45671</v>
      </c>
      <c r="D865" t="s">
        <v>2724</v>
      </c>
      <c r="E865" t="s">
        <v>31</v>
      </c>
      <c r="F865" t="s">
        <v>2725</v>
      </c>
      <c r="G865" t="s">
        <v>2726</v>
      </c>
      <c r="H865" t="s">
        <v>34</v>
      </c>
      <c r="J865">
        <v>1658.68</v>
      </c>
      <c r="K865">
        <v>1652.33</v>
      </c>
      <c r="L865">
        <v>1652.3296095999999</v>
      </c>
      <c r="Q865" t="s">
        <v>2727</v>
      </c>
      <c r="W865" t="s">
        <v>36</v>
      </c>
      <c r="X865" t="s">
        <v>878</v>
      </c>
      <c r="Y865" t="s">
        <v>38</v>
      </c>
      <c r="Z865" t="s">
        <v>910</v>
      </c>
      <c r="AA865">
        <v>0.05</v>
      </c>
      <c r="AB865">
        <v>1</v>
      </c>
      <c r="AC865">
        <v>365</v>
      </c>
      <c r="AD865">
        <v>0</v>
      </c>
      <c r="AE865" t="b">
        <f>ISNUMBER(MATCH(G865,AUM!$C$6:$C$1451,0))</f>
        <v>1</v>
      </c>
      <c r="AF865" t="b">
        <f>ISNUMBER(MATCH(G865,AUM!$G$6:$G$240,0))</f>
        <v>0</v>
      </c>
    </row>
    <row r="866" spans="1:32" x14ac:dyDescent="0.2">
      <c r="A866" t="s">
        <v>2728</v>
      </c>
      <c r="B866" s="1">
        <v>45671</v>
      </c>
      <c r="D866" t="s">
        <v>2728</v>
      </c>
      <c r="E866" t="s">
        <v>31</v>
      </c>
      <c r="F866" t="s">
        <v>2729</v>
      </c>
      <c r="G866" t="s">
        <v>2730</v>
      </c>
      <c r="H866" t="s">
        <v>34</v>
      </c>
      <c r="J866">
        <v>4165.3100000000004</v>
      </c>
      <c r="K866">
        <v>4151.08</v>
      </c>
      <c r="L866">
        <v>4151.07936832</v>
      </c>
      <c r="Q866" t="s">
        <v>2731</v>
      </c>
      <c r="T866">
        <v>0.36655554883502001</v>
      </c>
      <c r="V866" t="s">
        <v>79</v>
      </c>
      <c r="W866" t="s">
        <v>36</v>
      </c>
      <c r="X866" t="s">
        <v>69</v>
      </c>
      <c r="Y866" t="s">
        <v>38</v>
      </c>
      <c r="AD866">
        <v>0</v>
      </c>
      <c r="AE866" t="b">
        <f>ISNUMBER(MATCH(G866,AUM!$C$6:$C$1451,0))</f>
        <v>1</v>
      </c>
      <c r="AF866" t="b">
        <f>ISNUMBER(MATCH(G866,AUM!$G$6:$G$240,0))</f>
        <v>0</v>
      </c>
    </row>
    <row r="867" spans="1:32" x14ac:dyDescent="0.2">
      <c r="A867" t="s">
        <v>2727</v>
      </c>
      <c r="B867" s="1">
        <v>45671</v>
      </c>
      <c r="D867" t="s">
        <v>2727</v>
      </c>
      <c r="E867" t="s">
        <v>31</v>
      </c>
      <c r="F867" t="s">
        <v>2732</v>
      </c>
      <c r="G867" t="s">
        <v>2733</v>
      </c>
      <c r="H867" t="s">
        <v>34</v>
      </c>
      <c r="J867">
        <v>3698.46</v>
      </c>
      <c r="K867">
        <v>3685.83</v>
      </c>
      <c r="L867">
        <v>3685.8287810900001</v>
      </c>
      <c r="Q867" t="s">
        <v>2731</v>
      </c>
      <c r="U867">
        <v>0.27491666162625999</v>
      </c>
      <c r="V867" t="s">
        <v>79</v>
      </c>
      <c r="W867" t="s">
        <v>36</v>
      </c>
      <c r="X867" t="s">
        <v>69</v>
      </c>
      <c r="Y867" t="s">
        <v>38</v>
      </c>
      <c r="AD867">
        <v>0</v>
      </c>
      <c r="AE867" t="b">
        <f>ISNUMBER(MATCH(G867,AUM!$C$6:$C$1451,0))</f>
        <v>1</v>
      </c>
      <c r="AF867" t="b">
        <f>ISNUMBER(MATCH(G867,AUM!$G$6:$G$240,0))</f>
        <v>0</v>
      </c>
    </row>
    <row r="868" spans="1:32" x14ac:dyDescent="0.2">
      <c r="A868" t="s">
        <v>2731</v>
      </c>
      <c r="B868" s="1">
        <v>45671</v>
      </c>
      <c r="D868" t="s">
        <v>2731</v>
      </c>
      <c r="E868" t="s">
        <v>31</v>
      </c>
      <c r="F868" t="s">
        <v>2734</v>
      </c>
      <c r="G868" t="s">
        <v>2735</v>
      </c>
      <c r="H868" t="s">
        <v>34</v>
      </c>
      <c r="I868">
        <v>23482765.510867499</v>
      </c>
      <c r="J868">
        <v>2618.9699999999998</v>
      </c>
      <c r="K868">
        <v>2610.02</v>
      </c>
      <c r="L868">
        <v>2610.02392366</v>
      </c>
      <c r="M868">
        <v>61290579777.057999</v>
      </c>
      <c r="N868">
        <v>60</v>
      </c>
      <c r="O868" t="s">
        <v>35</v>
      </c>
      <c r="P868">
        <v>1</v>
      </c>
      <c r="R868" t="s">
        <v>2728</v>
      </c>
      <c r="S868" t="s">
        <v>2727</v>
      </c>
      <c r="W868" t="s">
        <v>36</v>
      </c>
      <c r="X868" t="s">
        <v>37</v>
      </c>
      <c r="Y868" t="s">
        <v>38</v>
      </c>
      <c r="AD868">
        <v>0</v>
      </c>
      <c r="AE868" t="b">
        <f>ISNUMBER(MATCH(G868,AUM!$C$6:$C$1451,0))</f>
        <v>1</v>
      </c>
      <c r="AF868" t="b">
        <f>ISNUMBER(MATCH(G868,AUM!$G$6:$G$240,0))</f>
        <v>0</v>
      </c>
    </row>
    <row r="869" spans="1:32" x14ac:dyDescent="0.2">
      <c r="A869" t="s">
        <v>2736</v>
      </c>
      <c r="B869" s="1">
        <v>45671</v>
      </c>
      <c r="D869" t="s">
        <v>2736</v>
      </c>
      <c r="E869" t="s">
        <v>31</v>
      </c>
      <c r="F869" t="s">
        <v>2737</v>
      </c>
      <c r="G869" t="s">
        <v>2738</v>
      </c>
      <c r="H869" t="s">
        <v>34</v>
      </c>
      <c r="J869">
        <v>1563.1</v>
      </c>
      <c r="K869">
        <v>1555.98</v>
      </c>
      <c r="L869">
        <v>1555.98085636</v>
      </c>
      <c r="Q869" t="s">
        <v>2739</v>
      </c>
      <c r="T869">
        <v>0</v>
      </c>
      <c r="W869" t="s">
        <v>36</v>
      </c>
      <c r="X869" t="s">
        <v>69</v>
      </c>
      <c r="Y869" t="s">
        <v>38</v>
      </c>
      <c r="AD869">
        <v>0</v>
      </c>
      <c r="AE869" t="b">
        <f>ISNUMBER(MATCH(G869,AUM!$C$6:$C$1451,0))</f>
        <v>0</v>
      </c>
      <c r="AF869" t="b">
        <f>ISNUMBER(MATCH(G869,AUM!$G$6:$G$240,0))</f>
        <v>0</v>
      </c>
    </row>
    <row r="870" spans="1:32" x14ac:dyDescent="0.2">
      <c r="A870" t="s">
        <v>2739</v>
      </c>
      <c r="B870" s="1">
        <v>45671</v>
      </c>
      <c r="D870" t="s">
        <v>2739</v>
      </c>
      <c r="E870" t="s">
        <v>31</v>
      </c>
      <c r="F870" t="s">
        <v>2740</v>
      </c>
      <c r="G870" t="s">
        <v>2741</v>
      </c>
      <c r="H870" t="s">
        <v>34</v>
      </c>
      <c r="I870">
        <v>30429760.9421231</v>
      </c>
      <c r="J870">
        <v>1328.73</v>
      </c>
      <c r="K870">
        <v>1322.68</v>
      </c>
      <c r="L870">
        <v>1322.6755208500001</v>
      </c>
      <c r="M870">
        <v>40248699903.590302</v>
      </c>
      <c r="N870">
        <v>143</v>
      </c>
      <c r="O870" t="s">
        <v>35</v>
      </c>
      <c r="P870">
        <v>1</v>
      </c>
      <c r="R870" t="s">
        <v>2736</v>
      </c>
      <c r="W870" t="s">
        <v>36</v>
      </c>
      <c r="X870" t="s">
        <v>37</v>
      </c>
      <c r="Y870" t="s">
        <v>38</v>
      </c>
      <c r="AD870">
        <v>0</v>
      </c>
      <c r="AE870" t="b">
        <f>ISNUMBER(MATCH(G870,AUM!$C$6:$C$1451,0))</f>
        <v>0</v>
      </c>
      <c r="AF870" t="b">
        <f>ISNUMBER(MATCH(G870,AUM!$G$6:$G$240,0))</f>
        <v>0</v>
      </c>
    </row>
    <row r="871" spans="1:32" x14ac:dyDescent="0.2">
      <c r="A871" t="s">
        <v>2742</v>
      </c>
      <c r="B871" s="1">
        <v>45671</v>
      </c>
      <c r="D871" t="s">
        <v>2743</v>
      </c>
      <c r="E871" t="s">
        <v>31</v>
      </c>
      <c r="F871" t="s">
        <v>2744</v>
      </c>
      <c r="G871" t="s">
        <v>2745</v>
      </c>
      <c r="H871" t="s">
        <v>34</v>
      </c>
      <c r="I871">
        <v>611447466.45991397</v>
      </c>
      <c r="J871">
        <v>2335.2199999999998</v>
      </c>
      <c r="K871">
        <v>2325.63</v>
      </c>
      <c r="L871">
        <v>2325.6322270000001</v>
      </c>
      <c r="M871">
        <v>1422001933117.3301</v>
      </c>
      <c r="N871">
        <v>40</v>
      </c>
      <c r="O871" t="s">
        <v>35</v>
      </c>
      <c r="P871">
        <v>1</v>
      </c>
      <c r="R871" t="s">
        <v>2746</v>
      </c>
      <c r="S871" t="s">
        <v>2747</v>
      </c>
      <c r="W871" t="s">
        <v>36</v>
      </c>
      <c r="X871" t="s">
        <v>37</v>
      </c>
      <c r="Y871" t="s">
        <v>38</v>
      </c>
      <c r="AD871">
        <v>0</v>
      </c>
      <c r="AE871" t="b">
        <f>ISNUMBER(MATCH(G871,AUM!$C$6:$C$1451,0))</f>
        <v>0</v>
      </c>
      <c r="AF871" t="b">
        <f>ISNUMBER(MATCH(G871,AUM!$G$6:$G$240,0))</f>
        <v>0</v>
      </c>
    </row>
    <row r="872" spans="1:32" x14ac:dyDescent="0.2">
      <c r="A872" t="s">
        <v>2748</v>
      </c>
      <c r="B872" s="1">
        <v>45671</v>
      </c>
      <c r="D872" t="s">
        <v>2747</v>
      </c>
      <c r="E872" t="s">
        <v>31</v>
      </c>
      <c r="F872" t="s">
        <v>2749</v>
      </c>
      <c r="G872" t="s">
        <v>2750</v>
      </c>
      <c r="H872" t="s">
        <v>34</v>
      </c>
      <c r="J872">
        <v>3241.49</v>
      </c>
      <c r="K872">
        <v>3228.18</v>
      </c>
      <c r="L872">
        <v>3228.17983336</v>
      </c>
      <c r="Q872" t="s">
        <v>2743</v>
      </c>
      <c r="U872">
        <v>0.18166515734068001</v>
      </c>
      <c r="V872" t="s">
        <v>79</v>
      </c>
      <c r="W872" t="s">
        <v>36</v>
      </c>
      <c r="X872" t="s">
        <v>69</v>
      </c>
      <c r="Y872" t="s">
        <v>38</v>
      </c>
      <c r="AD872">
        <v>0</v>
      </c>
      <c r="AE872" t="b">
        <f>ISNUMBER(MATCH(G872,AUM!$C$6:$C$1451,0))</f>
        <v>0</v>
      </c>
      <c r="AF872" t="b">
        <f>ISNUMBER(MATCH(G872,AUM!$G$6:$G$240,0))</f>
        <v>0</v>
      </c>
    </row>
    <row r="873" spans="1:32" x14ac:dyDescent="0.2">
      <c r="A873" t="s">
        <v>2751</v>
      </c>
      <c r="B873" s="1">
        <v>45671</v>
      </c>
      <c r="D873" t="s">
        <v>2746</v>
      </c>
      <c r="E873" t="s">
        <v>31</v>
      </c>
      <c r="F873" t="s">
        <v>2752</v>
      </c>
      <c r="G873" t="s">
        <v>2753</v>
      </c>
      <c r="H873" t="s">
        <v>34</v>
      </c>
      <c r="J873">
        <v>3692.01</v>
      </c>
      <c r="K873">
        <v>3676.85</v>
      </c>
      <c r="L873">
        <v>3676.8528498199998</v>
      </c>
      <c r="Q873" t="s">
        <v>2743</v>
      </c>
      <c r="T873">
        <v>0.24222020978757</v>
      </c>
      <c r="V873" t="s">
        <v>79</v>
      </c>
      <c r="W873" t="s">
        <v>36</v>
      </c>
      <c r="X873" t="s">
        <v>69</v>
      </c>
      <c r="Y873" t="s">
        <v>38</v>
      </c>
      <c r="AD873">
        <v>0</v>
      </c>
      <c r="AE873" t="b">
        <f>ISNUMBER(MATCH(G873,AUM!$C$6:$C$1451,0))</f>
        <v>0</v>
      </c>
      <c r="AF873" t="b">
        <f>ISNUMBER(MATCH(G873,AUM!$G$6:$G$240,0))</f>
        <v>0</v>
      </c>
    </row>
    <row r="874" spans="1:32" x14ac:dyDescent="0.2">
      <c r="A874" t="s">
        <v>2754</v>
      </c>
      <c r="B874" s="1">
        <v>45671</v>
      </c>
      <c r="D874" t="s">
        <v>2754</v>
      </c>
      <c r="E874" t="s">
        <v>31</v>
      </c>
      <c r="F874" t="s">
        <v>2755</v>
      </c>
      <c r="G874" t="s">
        <v>2756</v>
      </c>
      <c r="H874" t="s">
        <v>34</v>
      </c>
      <c r="I874">
        <v>339329418.25769299</v>
      </c>
      <c r="J874">
        <v>5496.6</v>
      </c>
      <c r="K874">
        <v>5480.17</v>
      </c>
      <c r="L874">
        <v>5480.16894366</v>
      </c>
      <c r="M874">
        <v>1859582539604.6101</v>
      </c>
      <c r="N874">
        <v>203</v>
      </c>
      <c r="O874" t="s">
        <v>35</v>
      </c>
      <c r="P874">
        <v>1</v>
      </c>
      <c r="R874" t="s">
        <v>2757</v>
      </c>
      <c r="S874" t="s">
        <v>2758</v>
      </c>
      <c r="W874" t="s">
        <v>36</v>
      </c>
      <c r="X874" t="s">
        <v>37</v>
      </c>
      <c r="Y874" t="s">
        <v>38</v>
      </c>
      <c r="AD874">
        <v>0</v>
      </c>
      <c r="AE874" t="b">
        <f>ISNUMBER(MATCH(G874,AUM!$C$6:$C$1451,0))</f>
        <v>1</v>
      </c>
      <c r="AF874" t="b">
        <f>ISNUMBER(MATCH(G874,AUM!$G$6:$G$240,0))</f>
        <v>0</v>
      </c>
    </row>
    <row r="875" spans="1:32" x14ac:dyDescent="0.2">
      <c r="A875" t="s">
        <v>2759</v>
      </c>
      <c r="B875" s="1">
        <v>45671</v>
      </c>
      <c r="D875" t="s">
        <v>2759</v>
      </c>
      <c r="E875" t="s">
        <v>31</v>
      </c>
      <c r="F875" t="s">
        <v>2760</v>
      </c>
      <c r="G875" t="s">
        <v>2761</v>
      </c>
      <c r="H875" t="s">
        <v>34</v>
      </c>
      <c r="I875">
        <v>330097360.94581503</v>
      </c>
      <c r="J875">
        <v>5619.26</v>
      </c>
      <c r="K875">
        <v>5602.76</v>
      </c>
      <c r="L875">
        <v>5602.7601262199996</v>
      </c>
      <c r="M875">
        <v>1849456331677.24</v>
      </c>
      <c r="N875">
        <v>120</v>
      </c>
      <c r="O875" t="s">
        <v>35</v>
      </c>
      <c r="P875">
        <v>1</v>
      </c>
      <c r="R875" t="s">
        <v>2762</v>
      </c>
      <c r="S875" t="s">
        <v>2763</v>
      </c>
      <c r="W875" t="s">
        <v>36</v>
      </c>
      <c r="X875" t="s">
        <v>37</v>
      </c>
      <c r="Y875" t="s">
        <v>38</v>
      </c>
      <c r="AD875">
        <v>0</v>
      </c>
      <c r="AE875" t="b">
        <f>ISNUMBER(MATCH(G875,AUM!$C$6:$C$1451,0))</f>
        <v>1</v>
      </c>
      <c r="AF875" t="b">
        <f>ISNUMBER(MATCH(G875,AUM!$G$6:$G$240,0))</f>
        <v>0</v>
      </c>
    </row>
    <row r="876" spans="1:32" x14ac:dyDescent="0.2">
      <c r="A876" t="s">
        <v>290</v>
      </c>
      <c r="B876" s="1">
        <v>45671</v>
      </c>
      <c r="D876" t="s">
        <v>290</v>
      </c>
      <c r="E876" t="s">
        <v>31</v>
      </c>
      <c r="F876" t="s">
        <v>2764</v>
      </c>
      <c r="G876" t="s">
        <v>2765</v>
      </c>
      <c r="H876" t="s">
        <v>34</v>
      </c>
      <c r="I876">
        <v>169172680.87577599</v>
      </c>
      <c r="J876">
        <v>3282.33</v>
      </c>
      <c r="K876">
        <v>3266.09</v>
      </c>
      <c r="L876">
        <v>3266.0871905399999</v>
      </c>
      <c r="M876">
        <v>552532725997.61401</v>
      </c>
      <c r="N876">
        <v>149</v>
      </c>
      <c r="O876" t="s">
        <v>35</v>
      </c>
      <c r="P876">
        <v>1</v>
      </c>
      <c r="R876" t="s">
        <v>287</v>
      </c>
      <c r="W876" t="s">
        <v>36</v>
      </c>
      <c r="X876" t="s">
        <v>37</v>
      </c>
      <c r="Y876" t="s">
        <v>38</v>
      </c>
      <c r="AD876">
        <v>0</v>
      </c>
      <c r="AE876" t="b">
        <f>ISNUMBER(MATCH(G876,AUM!$C$6:$C$1451,0))</f>
        <v>1</v>
      </c>
      <c r="AF876" t="b">
        <f>ISNUMBER(MATCH(G876,AUM!$G$6:$G$240,0))</f>
        <v>0</v>
      </c>
    </row>
    <row r="877" spans="1:32" x14ac:dyDescent="0.2">
      <c r="A877" t="s">
        <v>294</v>
      </c>
      <c r="B877" s="1">
        <v>45671</v>
      </c>
      <c r="D877" t="s">
        <v>294</v>
      </c>
      <c r="E877" t="s">
        <v>31</v>
      </c>
      <c r="F877" t="s">
        <v>2766</v>
      </c>
      <c r="G877" t="s">
        <v>2767</v>
      </c>
      <c r="H877" t="s">
        <v>34</v>
      </c>
      <c r="I877">
        <v>2431693380.5940499</v>
      </c>
      <c r="J877">
        <v>1477.33</v>
      </c>
      <c r="K877">
        <v>1470.57</v>
      </c>
      <c r="L877">
        <v>1470.57142813</v>
      </c>
      <c r="M877">
        <v>3575978807477.7002</v>
      </c>
      <c r="N877">
        <v>101</v>
      </c>
      <c r="O877" t="s">
        <v>35</v>
      </c>
      <c r="P877">
        <v>1</v>
      </c>
      <c r="R877" t="s">
        <v>291</v>
      </c>
      <c r="W877" t="s">
        <v>36</v>
      </c>
      <c r="X877" t="s">
        <v>37</v>
      </c>
      <c r="Y877" t="s">
        <v>38</v>
      </c>
      <c r="AD877">
        <v>0</v>
      </c>
      <c r="AE877" t="b">
        <f>ISNUMBER(MATCH(G877,AUM!$C$6:$C$1451,0))</f>
        <v>1</v>
      </c>
      <c r="AF877" t="b">
        <f>ISNUMBER(MATCH(G877,AUM!$G$6:$G$240,0))</f>
        <v>0</v>
      </c>
    </row>
    <row r="878" spans="1:32" x14ac:dyDescent="0.2">
      <c r="A878" t="s">
        <v>431</v>
      </c>
      <c r="B878" s="1">
        <v>45671</v>
      </c>
      <c r="D878" t="s">
        <v>431</v>
      </c>
      <c r="E878" t="s">
        <v>31</v>
      </c>
      <c r="F878" t="s">
        <v>2768</v>
      </c>
      <c r="G878" t="s">
        <v>2769</v>
      </c>
      <c r="H878" t="s">
        <v>34</v>
      </c>
      <c r="I878">
        <v>226148107.58078501</v>
      </c>
      <c r="J878">
        <v>7431.04</v>
      </c>
      <c r="K878">
        <v>7408.64</v>
      </c>
      <c r="L878">
        <v>7408.6400661999996</v>
      </c>
      <c r="M878">
        <v>1675449930718.9199</v>
      </c>
      <c r="N878">
        <v>40</v>
      </c>
      <c r="O878" t="s">
        <v>35</v>
      </c>
      <c r="P878">
        <v>1</v>
      </c>
      <c r="R878" t="s">
        <v>446</v>
      </c>
      <c r="S878" t="s">
        <v>442</v>
      </c>
      <c r="W878" t="s">
        <v>36</v>
      </c>
      <c r="X878" t="s">
        <v>37</v>
      </c>
      <c r="Y878" t="s">
        <v>38</v>
      </c>
      <c r="AD878">
        <v>0</v>
      </c>
      <c r="AE878" t="b">
        <f>ISNUMBER(MATCH(G878,AUM!$C$6:$C$1451,0))</f>
        <v>1</v>
      </c>
      <c r="AF878" t="b">
        <f>ISNUMBER(MATCH(G878,AUM!$G$6:$G$240,0))</f>
        <v>0</v>
      </c>
    </row>
    <row r="879" spans="1:32" x14ac:dyDescent="0.2">
      <c r="A879" t="s">
        <v>2770</v>
      </c>
      <c r="B879" s="1">
        <v>45671</v>
      </c>
      <c r="D879" t="s">
        <v>431</v>
      </c>
      <c r="E879" t="s">
        <v>31</v>
      </c>
      <c r="F879" t="s">
        <v>2771</v>
      </c>
      <c r="G879" t="s">
        <v>2772</v>
      </c>
      <c r="H879" t="s">
        <v>34</v>
      </c>
      <c r="I879">
        <v>228518002.20057499</v>
      </c>
      <c r="J879">
        <v>7353.97</v>
      </c>
      <c r="K879">
        <v>7331.81</v>
      </c>
      <c r="L879">
        <v>7331.8071862400002</v>
      </c>
      <c r="M879">
        <v>1675449930718.9199</v>
      </c>
      <c r="N879">
        <v>40</v>
      </c>
      <c r="O879" t="s">
        <v>35</v>
      </c>
      <c r="P879">
        <v>1</v>
      </c>
      <c r="R879" t="s">
        <v>446</v>
      </c>
      <c r="S879" t="s">
        <v>442</v>
      </c>
      <c r="W879" t="s">
        <v>36</v>
      </c>
      <c r="X879" t="s">
        <v>37</v>
      </c>
      <c r="Y879" t="s">
        <v>38</v>
      </c>
      <c r="AD879">
        <v>0</v>
      </c>
      <c r="AE879" t="b">
        <f>ISNUMBER(MATCH(G879,AUM!$C$6:$C$1451,0))</f>
        <v>0</v>
      </c>
      <c r="AF879" t="b">
        <f>ISNUMBER(MATCH(G879,AUM!$G$6:$G$240,0))</f>
        <v>0</v>
      </c>
    </row>
    <row r="880" spans="1:32" x14ac:dyDescent="0.2">
      <c r="A880" t="s">
        <v>2773</v>
      </c>
      <c r="B880" s="1">
        <v>45671</v>
      </c>
      <c r="D880" t="s">
        <v>537</v>
      </c>
      <c r="E880" t="s">
        <v>31</v>
      </c>
      <c r="F880" t="s">
        <v>2774</v>
      </c>
      <c r="G880" t="s">
        <v>2775</v>
      </c>
      <c r="H880" t="s">
        <v>34</v>
      </c>
      <c r="I880">
        <v>226148107.58078501</v>
      </c>
      <c r="J880">
        <v>7431.04</v>
      </c>
      <c r="K880">
        <v>7408.64</v>
      </c>
      <c r="L880">
        <v>7408.6400661999996</v>
      </c>
      <c r="M880">
        <v>1675449930718.9199</v>
      </c>
      <c r="N880">
        <v>40</v>
      </c>
      <c r="O880" t="s">
        <v>35</v>
      </c>
      <c r="P880">
        <v>1</v>
      </c>
      <c r="R880" t="s">
        <v>539</v>
      </c>
      <c r="S880" t="s">
        <v>534</v>
      </c>
      <c r="W880" t="s">
        <v>36</v>
      </c>
      <c r="X880" t="s">
        <v>37</v>
      </c>
      <c r="Y880" t="s">
        <v>38</v>
      </c>
      <c r="AD880">
        <v>0</v>
      </c>
      <c r="AE880" t="b">
        <f>ISNUMBER(MATCH(G880,AUM!$C$6:$C$1451,0))</f>
        <v>0</v>
      </c>
      <c r="AF880" t="b">
        <f>ISNUMBER(MATCH(G880,AUM!$G$6:$G$240,0))</f>
        <v>0</v>
      </c>
    </row>
    <row r="881" spans="1:32" x14ac:dyDescent="0.2">
      <c r="A881" t="s">
        <v>2776</v>
      </c>
      <c r="B881" s="1">
        <v>45671</v>
      </c>
      <c r="D881" t="s">
        <v>2776</v>
      </c>
      <c r="E881" t="s">
        <v>31</v>
      </c>
      <c r="F881" t="s">
        <v>2777</v>
      </c>
      <c r="G881" t="s">
        <v>2778</v>
      </c>
      <c r="H881" t="s">
        <v>34</v>
      </c>
      <c r="J881">
        <v>15.73</v>
      </c>
      <c r="K881">
        <v>15.782</v>
      </c>
      <c r="L881">
        <v>15.78248973</v>
      </c>
      <c r="Q881" t="s">
        <v>2779</v>
      </c>
      <c r="T881">
        <v>0</v>
      </c>
      <c r="W881" t="s">
        <v>36</v>
      </c>
      <c r="X881" t="s">
        <v>69</v>
      </c>
      <c r="Y881" t="s">
        <v>38</v>
      </c>
      <c r="AD881">
        <v>0</v>
      </c>
      <c r="AE881" t="b">
        <f>ISNUMBER(MATCH(G881,AUM!$C$6:$C$1451,0))</f>
        <v>0</v>
      </c>
      <c r="AF881" t="b">
        <f>ISNUMBER(MATCH(G881,AUM!$G$6:$G$240,0))</f>
        <v>0</v>
      </c>
    </row>
    <row r="882" spans="1:32" x14ac:dyDescent="0.2">
      <c r="A882" t="s">
        <v>2779</v>
      </c>
      <c r="B882" s="1">
        <v>45671</v>
      </c>
      <c r="D882" t="s">
        <v>2779</v>
      </c>
      <c r="E882" t="s">
        <v>31</v>
      </c>
      <c r="F882" t="s">
        <v>2780</v>
      </c>
      <c r="G882" t="s">
        <v>2781</v>
      </c>
      <c r="H882" t="s">
        <v>34</v>
      </c>
      <c r="I882">
        <v>100</v>
      </c>
      <c r="J882">
        <v>13.375</v>
      </c>
      <c r="K882">
        <v>13.42</v>
      </c>
      <c r="L882">
        <v>13.42</v>
      </c>
      <c r="M882">
        <v>1342</v>
      </c>
      <c r="N882">
        <v>1</v>
      </c>
      <c r="O882" t="s">
        <v>35</v>
      </c>
      <c r="P882">
        <v>1</v>
      </c>
      <c r="R882" t="s">
        <v>2776</v>
      </c>
      <c r="W882" t="s">
        <v>36</v>
      </c>
      <c r="X882" t="s">
        <v>37</v>
      </c>
      <c r="Y882" t="s">
        <v>38</v>
      </c>
      <c r="AD882">
        <v>0</v>
      </c>
      <c r="AE882" t="b">
        <f>ISNUMBER(MATCH(G882,AUM!$C$6:$C$1451,0))</f>
        <v>0</v>
      </c>
      <c r="AF882" t="b">
        <f>ISNUMBER(MATCH(G882,AUM!$G$6:$G$240,0))</f>
        <v>0</v>
      </c>
    </row>
    <row r="883" spans="1:32" x14ac:dyDescent="0.2">
      <c r="A883" t="s">
        <v>2782</v>
      </c>
      <c r="B883" s="1">
        <v>45671</v>
      </c>
      <c r="D883" t="s">
        <v>2782</v>
      </c>
      <c r="E883" t="s">
        <v>31</v>
      </c>
      <c r="F883" t="s">
        <v>2783</v>
      </c>
      <c r="G883" t="s">
        <v>2784</v>
      </c>
      <c r="H883" t="s">
        <v>34</v>
      </c>
      <c r="J883">
        <v>2573.4499999999998</v>
      </c>
      <c r="K883">
        <v>2572.46</v>
      </c>
      <c r="L883">
        <v>2572.4584958099999</v>
      </c>
      <c r="Q883" t="s">
        <v>2785</v>
      </c>
      <c r="W883" t="s">
        <v>36</v>
      </c>
      <c r="X883" t="s">
        <v>878</v>
      </c>
      <c r="Y883" t="s">
        <v>38</v>
      </c>
      <c r="Z883" t="s">
        <v>910</v>
      </c>
      <c r="AA883">
        <v>0.05</v>
      </c>
      <c r="AB883">
        <v>1</v>
      </c>
      <c r="AC883">
        <v>365</v>
      </c>
      <c r="AD883">
        <v>0</v>
      </c>
      <c r="AE883" t="b">
        <f>ISNUMBER(MATCH(G883,AUM!$C$6:$C$1451,0))</f>
        <v>1</v>
      </c>
      <c r="AF883" t="b">
        <f>ISNUMBER(MATCH(G883,AUM!$G$6:$G$240,0))</f>
        <v>0</v>
      </c>
    </row>
    <row r="884" spans="1:32" x14ac:dyDescent="0.2">
      <c r="A884" t="s">
        <v>2786</v>
      </c>
      <c r="B884" s="1">
        <v>45671</v>
      </c>
      <c r="D884" t="s">
        <v>2786</v>
      </c>
      <c r="E884" t="s">
        <v>31</v>
      </c>
      <c r="F884" t="s">
        <v>2787</v>
      </c>
      <c r="G884" t="s">
        <v>2788</v>
      </c>
      <c r="H884" t="s">
        <v>34</v>
      </c>
      <c r="J884">
        <v>6043.21</v>
      </c>
      <c r="K884">
        <v>6043.37</v>
      </c>
      <c r="L884">
        <v>6043.3654566100004</v>
      </c>
      <c r="Q884" t="s">
        <v>2789</v>
      </c>
      <c r="T884">
        <v>0</v>
      </c>
      <c r="W884" t="s">
        <v>36</v>
      </c>
      <c r="X884" t="s">
        <v>69</v>
      </c>
      <c r="Y884" t="s">
        <v>38</v>
      </c>
      <c r="AD884">
        <v>0</v>
      </c>
      <c r="AE884" t="b">
        <f>ISNUMBER(MATCH(G884,AUM!$C$6:$C$1451,0))</f>
        <v>1</v>
      </c>
      <c r="AF884" t="b">
        <f>ISNUMBER(MATCH(G884,AUM!$G$6:$G$240,0))</f>
        <v>0</v>
      </c>
    </row>
    <row r="885" spans="1:32" x14ac:dyDescent="0.2">
      <c r="A885" t="s">
        <v>2785</v>
      </c>
      <c r="B885" s="1">
        <v>45671</v>
      </c>
      <c r="D885" t="s">
        <v>2785</v>
      </c>
      <c r="E885" t="s">
        <v>31</v>
      </c>
      <c r="F885" t="s">
        <v>2790</v>
      </c>
      <c r="G885" t="s">
        <v>2791</v>
      </c>
      <c r="H885" t="s">
        <v>34</v>
      </c>
      <c r="J885">
        <v>5458</v>
      </c>
      <c r="K885">
        <v>5458.14</v>
      </c>
      <c r="L885">
        <v>5458.1423165300002</v>
      </c>
      <c r="Q885" t="s">
        <v>2789</v>
      </c>
      <c r="U885">
        <v>0</v>
      </c>
      <c r="W885" t="s">
        <v>36</v>
      </c>
      <c r="X885" t="s">
        <v>69</v>
      </c>
      <c r="Y885" t="s">
        <v>38</v>
      </c>
      <c r="AD885">
        <v>0</v>
      </c>
      <c r="AE885" t="b">
        <f>ISNUMBER(MATCH(G885,AUM!$C$6:$C$1451,0))</f>
        <v>1</v>
      </c>
      <c r="AF885" t="b">
        <f>ISNUMBER(MATCH(G885,AUM!$G$6:$G$240,0))</f>
        <v>0</v>
      </c>
    </row>
    <row r="886" spans="1:32" x14ac:dyDescent="0.2">
      <c r="A886" t="s">
        <v>2789</v>
      </c>
      <c r="B886" s="1">
        <v>45671</v>
      </c>
      <c r="D886" t="s">
        <v>2789</v>
      </c>
      <c r="E886" t="s">
        <v>31</v>
      </c>
      <c r="F886" t="s">
        <v>2792</v>
      </c>
      <c r="G886" t="s">
        <v>2793</v>
      </c>
      <c r="H886" t="s">
        <v>34</v>
      </c>
      <c r="I886">
        <v>376736981.64546102</v>
      </c>
      <c r="J886">
        <v>4174.26</v>
      </c>
      <c r="K886">
        <v>4174.3599999999997</v>
      </c>
      <c r="L886">
        <v>4174.3629830700002</v>
      </c>
      <c r="M886">
        <v>1572636910533.96</v>
      </c>
      <c r="N886">
        <v>40</v>
      </c>
      <c r="O886" t="s">
        <v>35</v>
      </c>
      <c r="P886">
        <v>1</v>
      </c>
      <c r="R886" t="s">
        <v>2786</v>
      </c>
      <c r="S886" t="s">
        <v>2785</v>
      </c>
      <c r="W886" t="s">
        <v>36</v>
      </c>
      <c r="X886" t="s">
        <v>37</v>
      </c>
      <c r="Y886" t="s">
        <v>38</v>
      </c>
      <c r="AD886">
        <v>0</v>
      </c>
      <c r="AE886" t="b">
        <f>ISNUMBER(MATCH(G886,AUM!$C$6:$C$1451,0))</f>
        <v>1</v>
      </c>
      <c r="AF886" t="b">
        <f>ISNUMBER(MATCH(G886,AUM!$G$6:$G$240,0))</f>
        <v>1</v>
      </c>
    </row>
    <row r="887" spans="1:32" x14ac:dyDescent="0.2">
      <c r="A887" t="s">
        <v>2794</v>
      </c>
      <c r="B887" s="1">
        <v>45671</v>
      </c>
      <c r="D887" t="s">
        <v>2794</v>
      </c>
      <c r="E887" t="s">
        <v>31</v>
      </c>
      <c r="F887" t="s">
        <v>2795</v>
      </c>
      <c r="G887" t="s">
        <v>2796</v>
      </c>
      <c r="H887" t="s">
        <v>34</v>
      </c>
      <c r="J887">
        <v>9.5719999999999992</v>
      </c>
      <c r="K887">
        <v>9.6780000000000008</v>
      </c>
      <c r="L887">
        <v>9.67840831</v>
      </c>
      <c r="Q887" t="s">
        <v>2797</v>
      </c>
      <c r="W887" t="s">
        <v>36</v>
      </c>
      <c r="X887" t="s">
        <v>878</v>
      </c>
      <c r="Y887" t="s">
        <v>38</v>
      </c>
      <c r="Z887" t="s">
        <v>879</v>
      </c>
      <c r="AA887">
        <v>0.74</v>
      </c>
      <c r="AB887">
        <v>1</v>
      </c>
      <c r="AC887">
        <v>365</v>
      </c>
      <c r="AD887">
        <v>0</v>
      </c>
      <c r="AE887" t="b">
        <f>ISNUMBER(MATCH(G887,AUM!$C$6:$C$1451,0))</f>
        <v>1</v>
      </c>
      <c r="AF887" t="b">
        <f>ISNUMBER(MATCH(G887,AUM!$G$6:$G$240,0))</f>
        <v>0</v>
      </c>
    </row>
    <row r="888" spans="1:32" x14ac:dyDescent="0.2">
      <c r="A888" t="s">
        <v>2797</v>
      </c>
      <c r="B888" s="1">
        <v>45671</v>
      </c>
      <c r="D888" t="s">
        <v>2797</v>
      </c>
      <c r="E888" t="s">
        <v>31</v>
      </c>
      <c r="F888" t="s">
        <v>2798</v>
      </c>
      <c r="G888" t="s">
        <v>2799</v>
      </c>
      <c r="H888" t="s">
        <v>34</v>
      </c>
      <c r="J888">
        <v>10.012</v>
      </c>
      <c r="K888">
        <v>10.130000000000001</v>
      </c>
      <c r="L888">
        <v>10.12970904</v>
      </c>
      <c r="Q888" t="s">
        <v>2800</v>
      </c>
      <c r="T888">
        <v>0</v>
      </c>
      <c r="W888" t="s">
        <v>36</v>
      </c>
      <c r="X888" t="s">
        <v>69</v>
      </c>
      <c r="Y888" t="s">
        <v>38</v>
      </c>
      <c r="AD888">
        <v>0</v>
      </c>
      <c r="AE888" t="b">
        <f>ISNUMBER(MATCH(G888,AUM!$C$6:$C$1451,0))</f>
        <v>1</v>
      </c>
      <c r="AF888" t="b">
        <f>ISNUMBER(MATCH(G888,AUM!$G$6:$G$240,0))</f>
        <v>0</v>
      </c>
    </row>
    <row r="889" spans="1:32" x14ac:dyDescent="0.2">
      <c r="A889" t="s">
        <v>2800</v>
      </c>
      <c r="B889" s="1">
        <v>45671</v>
      </c>
      <c r="D889" t="s">
        <v>2800</v>
      </c>
      <c r="E889" t="s">
        <v>31</v>
      </c>
      <c r="F889" t="s">
        <v>2801</v>
      </c>
      <c r="G889" t="s">
        <v>2802</v>
      </c>
      <c r="H889" t="s">
        <v>34</v>
      </c>
      <c r="I889">
        <v>100</v>
      </c>
      <c r="J889">
        <v>9.7119999999999997</v>
      </c>
      <c r="K889">
        <v>9.8260000000000005</v>
      </c>
      <c r="L889">
        <v>9.8260000000000005</v>
      </c>
      <c r="M889">
        <v>982.6</v>
      </c>
      <c r="N889">
        <v>1</v>
      </c>
      <c r="O889" t="s">
        <v>35</v>
      </c>
      <c r="P889">
        <v>1</v>
      </c>
      <c r="R889" t="s">
        <v>2797</v>
      </c>
      <c r="W889" t="s">
        <v>36</v>
      </c>
      <c r="X889" t="s">
        <v>37</v>
      </c>
      <c r="Y889" t="s">
        <v>38</v>
      </c>
      <c r="AD889">
        <v>0</v>
      </c>
      <c r="AE889" t="b">
        <f>ISNUMBER(MATCH(G889,AUM!$C$6:$C$1451,0))</f>
        <v>1</v>
      </c>
      <c r="AF889" t="b">
        <f>ISNUMBER(MATCH(G889,AUM!$G$6:$G$240,0))</f>
        <v>0</v>
      </c>
    </row>
    <row r="890" spans="1:32" x14ac:dyDescent="0.2">
      <c r="A890" t="s">
        <v>2803</v>
      </c>
      <c r="B890" s="1">
        <v>45671</v>
      </c>
      <c r="D890" t="s">
        <v>2803</v>
      </c>
      <c r="E890" t="s">
        <v>31</v>
      </c>
      <c r="F890" t="s">
        <v>2804</v>
      </c>
      <c r="G890" t="s">
        <v>2805</v>
      </c>
      <c r="H890" t="s">
        <v>34</v>
      </c>
      <c r="J890">
        <v>27.291</v>
      </c>
      <c r="K890">
        <v>27.699000000000002</v>
      </c>
      <c r="L890">
        <v>27.698935410000001</v>
      </c>
      <c r="Q890" t="s">
        <v>2806</v>
      </c>
      <c r="W890" t="s">
        <v>36</v>
      </c>
      <c r="X890" t="s">
        <v>878</v>
      </c>
      <c r="Y890" t="s">
        <v>38</v>
      </c>
      <c r="Z890" t="s">
        <v>879</v>
      </c>
      <c r="AA890">
        <v>1.8</v>
      </c>
      <c r="AB890">
        <v>1</v>
      </c>
      <c r="AC890">
        <v>365</v>
      </c>
      <c r="AD890">
        <v>0</v>
      </c>
      <c r="AE890" t="b">
        <f>ISNUMBER(MATCH(G890,AUM!$C$6:$C$1451,0))</f>
        <v>1</v>
      </c>
      <c r="AF890" t="b">
        <f>ISNUMBER(MATCH(G890,AUM!$G$6:$G$240,0))</f>
        <v>0</v>
      </c>
    </row>
    <row r="891" spans="1:32" x14ac:dyDescent="0.2">
      <c r="A891" t="s">
        <v>2806</v>
      </c>
      <c r="B891" s="1">
        <v>45671</v>
      </c>
      <c r="D891" t="s">
        <v>2806</v>
      </c>
      <c r="E891" t="s">
        <v>31</v>
      </c>
      <c r="F891" t="s">
        <v>2807</v>
      </c>
      <c r="G891" t="s">
        <v>2808</v>
      </c>
      <c r="H891" t="s">
        <v>34</v>
      </c>
      <c r="J891">
        <v>28.43</v>
      </c>
      <c r="K891">
        <v>28.87</v>
      </c>
      <c r="L891">
        <v>28.87</v>
      </c>
      <c r="Q891" t="s">
        <v>2809</v>
      </c>
      <c r="T891">
        <v>0</v>
      </c>
      <c r="W891" t="s">
        <v>36</v>
      </c>
      <c r="X891" t="s">
        <v>69</v>
      </c>
      <c r="Y891" t="s">
        <v>38</v>
      </c>
      <c r="AD891">
        <v>0</v>
      </c>
      <c r="AE891" t="b">
        <f>ISNUMBER(MATCH(G891,AUM!$C$6:$C$1451,0))</f>
        <v>1</v>
      </c>
      <c r="AF891" t="b">
        <f>ISNUMBER(MATCH(G891,AUM!$G$6:$G$240,0))</f>
        <v>0</v>
      </c>
    </row>
    <row r="892" spans="1:32" x14ac:dyDescent="0.2">
      <c r="A892" t="s">
        <v>2809</v>
      </c>
      <c r="B892" s="1">
        <v>45671</v>
      </c>
      <c r="D892" t="s">
        <v>2809</v>
      </c>
      <c r="E892" t="s">
        <v>31</v>
      </c>
      <c r="F892" t="s">
        <v>2810</v>
      </c>
      <c r="G892" t="s">
        <v>2811</v>
      </c>
      <c r="H892" t="s">
        <v>34</v>
      </c>
      <c r="I892">
        <v>100</v>
      </c>
      <c r="J892">
        <v>28.43</v>
      </c>
      <c r="K892">
        <v>28.87</v>
      </c>
      <c r="L892">
        <v>28.87</v>
      </c>
      <c r="M892">
        <v>2887</v>
      </c>
      <c r="N892">
        <v>1</v>
      </c>
      <c r="O892" t="s">
        <v>35</v>
      </c>
      <c r="P892">
        <v>1</v>
      </c>
      <c r="R892" t="s">
        <v>2806</v>
      </c>
      <c r="W892" t="s">
        <v>36</v>
      </c>
      <c r="X892" t="s">
        <v>37</v>
      </c>
      <c r="Y892" t="s">
        <v>38</v>
      </c>
      <c r="AD892">
        <v>0</v>
      </c>
      <c r="AE892" t="b">
        <f>ISNUMBER(MATCH(G892,AUM!$C$6:$C$1451,0))</f>
        <v>1</v>
      </c>
      <c r="AF892" t="b">
        <f>ISNUMBER(MATCH(G892,AUM!$G$6:$G$240,0))</f>
        <v>0</v>
      </c>
    </row>
    <row r="893" spans="1:32" x14ac:dyDescent="0.2">
      <c r="A893" t="s">
        <v>2812</v>
      </c>
      <c r="B893" s="1">
        <v>45671</v>
      </c>
      <c r="D893" t="s">
        <v>2812</v>
      </c>
      <c r="E893" t="s">
        <v>31</v>
      </c>
      <c r="F893" t="s">
        <v>2813</v>
      </c>
      <c r="G893" t="s">
        <v>2814</v>
      </c>
      <c r="H893" t="s">
        <v>34</v>
      </c>
      <c r="J893">
        <v>44.558</v>
      </c>
      <c r="K893">
        <v>44.572000000000003</v>
      </c>
      <c r="L893">
        <v>44.57208438</v>
      </c>
      <c r="Q893" t="s">
        <v>2815</v>
      </c>
      <c r="W893" t="s">
        <v>36</v>
      </c>
      <c r="X893" t="s">
        <v>878</v>
      </c>
      <c r="Y893" t="s">
        <v>38</v>
      </c>
      <c r="Z893" t="s">
        <v>879</v>
      </c>
      <c r="AA893">
        <v>1.85</v>
      </c>
      <c r="AB893">
        <v>1</v>
      </c>
      <c r="AC893">
        <v>365</v>
      </c>
      <c r="AD893">
        <v>0</v>
      </c>
      <c r="AE893" t="b">
        <f>ISNUMBER(MATCH(G893,AUM!$C$6:$C$1451,0))</f>
        <v>1</v>
      </c>
      <c r="AF893" t="b">
        <f>ISNUMBER(MATCH(G893,AUM!$G$6:$G$240,0))</f>
        <v>0</v>
      </c>
    </row>
    <row r="894" spans="1:32" x14ac:dyDescent="0.2">
      <c r="A894" t="s">
        <v>2815</v>
      </c>
      <c r="B894" s="1">
        <v>45671</v>
      </c>
      <c r="D894" t="s">
        <v>2815</v>
      </c>
      <c r="E894" t="s">
        <v>31</v>
      </c>
      <c r="F894" t="s">
        <v>2816</v>
      </c>
      <c r="G894" t="s">
        <v>2817</v>
      </c>
      <c r="H894" t="s">
        <v>34</v>
      </c>
      <c r="J894">
        <v>45.79</v>
      </c>
      <c r="K894">
        <v>45.82</v>
      </c>
      <c r="L894">
        <v>45.82</v>
      </c>
      <c r="Q894" t="s">
        <v>2818</v>
      </c>
      <c r="T894">
        <v>0</v>
      </c>
      <c r="W894" t="s">
        <v>36</v>
      </c>
      <c r="X894" t="s">
        <v>69</v>
      </c>
      <c r="Y894" t="s">
        <v>38</v>
      </c>
      <c r="AD894">
        <v>0</v>
      </c>
      <c r="AE894" t="b">
        <f>ISNUMBER(MATCH(G894,AUM!$C$6:$C$1451,0))</f>
        <v>1</v>
      </c>
      <c r="AF894" t="b">
        <f>ISNUMBER(MATCH(G894,AUM!$G$6:$G$240,0))</f>
        <v>0</v>
      </c>
    </row>
    <row r="895" spans="1:32" x14ac:dyDescent="0.2">
      <c r="A895" t="s">
        <v>2818</v>
      </c>
      <c r="B895" s="1">
        <v>45671</v>
      </c>
      <c r="D895" t="s">
        <v>2818</v>
      </c>
      <c r="E895" t="s">
        <v>31</v>
      </c>
      <c r="F895" t="s">
        <v>2819</v>
      </c>
      <c r="G895" t="s">
        <v>2820</v>
      </c>
      <c r="H895" t="s">
        <v>34</v>
      </c>
      <c r="I895">
        <v>100</v>
      </c>
      <c r="J895">
        <v>45.79</v>
      </c>
      <c r="K895">
        <v>45.82</v>
      </c>
      <c r="L895">
        <v>45.82</v>
      </c>
      <c r="M895">
        <v>4582</v>
      </c>
      <c r="N895">
        <v>1</v>
      </c>
      <c r="O895" t="s">
        <v>35</v>
      </c>
      <c r="P895">
        <v>1</v>
      </c>
      <c r="R895" t="s">
        <v>2815</v>
      </c>
      <c r="W895" t="s">
        <v>36</v>
      </c>
      <c r="X895" t="s">
        <v>37</v>
      </c>
      <c r="Y895" t="s">
        <v>38</v>
      </c>
      <c r="AD895">
        <v>0</v>
      </c>
      <c r="AE895" t="b">
        <f>ISNUMBER(MATCH(G895,AUM!$C$6:$C$1451,0))</f>
        <v>1</v>
      </c>
      <c r="AF895" t="b">
        <f>ISNUMBER(MATCH(G895,AUM!$G$6:$G$240,0))</f>
        <v>0</v>
      </c>
    </row>
    <row r="896" spans="1:32" x14ac:dyDescent="0.2">
      <c r="A896" t="s">
        <v>2821</v>
      </c>
      <c r="B896" s="1">
        <v>45671</v>
      </c>
      <c r="D896" t="s">
        <v>2821</v>
      </c>
      <c r="E896" t="s">
        <v>31</v>
      </c>
      <c r="F896" t="s">
        <v>2822</v>
      </c>
      <c r="G896" t="s">
        <v>2823</v>
      </c>
      <c r="H896" t="s">
        <v>34</v>
      </c>
      <c r="J896">
        <v>26.367000000000001</v>
      </c>
      <c r="K896">
        <v>26.337</v>
      </c>
      <c r="L896">
        <v>26.337126399999999</v>
      </c>
      <c r="Q896" t="s">
        <v>2824</v>
      </c>
      <c r="W896" t="s">
        <v>36</v>
      </c>
      <c r="X896" t="s">
        <v>878</v>
      </c>
      <c r="Y896" t="s">
        <v>38</v>
      </c>
      <c r="Z896" t="s">
        <v>879</v>
      </c>
      <c r="AA896">
        <v>1.25</v>
      </c>
      <c r="AB896">
        <v>1</v>
      </c>
      <c r="AC896">
        <v>365</v>
      </c>
      <c r="AD896">
        <v>0</v>
      </c>
      <c r="AE896" t="b">
        <f>ISNUMBER(MATCH(G896,AUM!$C$6:$C$1451,0))</f>
        <v>0</v>
      </c>
      <c r="AF896" t="b">
        <f>ISNUMBER(MATCH(G896,AUM!$G$6:$G$240,0))</f>
        <v>0</v>
      </c>
    </row>
    <row r="897" spans="1:32" x14ac:dyDescent="0.2">
      <c r="A897" t="s">
        <v>2824</v>
      </c>
      <c r="B897" s="1">
        <v>45671</v>
      </c>
      <c r="D897" t="s">
        <v>2824</v>
      </c>
      <c r="E897" t="s">
        <v>31</v>
      </c>
      <c r="F897" t="s">
        <v>2825</v>
      </c>
      <c r="G897" t="s">
        <v>2826</v>
      </c>
      <c r="H897" t="s">
        <v>34</v>
      </c>
      <c r="J897">
        <v>27.254999999999999</v>
      </c>
      <c r="K897">
        <v>27.234999999999999</v>
      </c>
      <c r="L897">
        <v>27.234999999999999</v>
      </c>
      <c r="Q897" t="s">
        <v>2827</v>
      </c>
      <c r="T897">
        <v>0</v>
      </c>
      <c r="W897" t="s">
        <v>36</v>
      </c>
      <c r="X897" t="s">
        <v>69</v>
      </c>
      <c r="Y897" t="s">
        <v>38</v>
      </c>
      <c r="AD897">
        <v>0</v>
      </c>
      <c r="AE897" t="b">
        <f>ISNUMBER(MATCH(G897,AUM!$C$6:$C$1451,0))</f>
        <v>1</v>
      </c>
      <c r="AF897" t="b">
        <f>ISNUMBER(MATCH(G897,AUM!$G$6:$G$240,0))</f>
        <v>0</v>
      </c>
    </row>
    <row r="898" spans="1:32" x14ac:dyDescent="0.2">
      <c r="A898" t="s">
        <v>2827</v>
      </c>
      <c r="B898" s="1">
        <v>45671</v>
      </c>
      <c r="D898" t="s">
        <v>2827</v>
      </c>
      <c r="E898" t="s">
        <v>31</v>
      </c>
      <c r="F898" t="s">
        <v>2828</v>
      </c>
      <c r="G898" t="s">
        <v>2829</v>
      </c>
      <c r="H898" t="s">
        <v>34</v>
      </c>
      <c r="I898">
        <v>100</v>
      </c>
      <c r="J898">
        <v>27.254999999999999</v>
      </c>
      <c r="K898">
        <v>27.234999999999999</v>
      </c>
      <c r="L898">
        <v>27.234999999999999</v>
      </c>
      <c r="M898">
        <v>2723.5</v>
      </c>
      <c r="N898">
        <v>1</v>
      </c>
      <c r="O898" t="s">
        <v>35</v>
      </c>
      <c r="P898">
        <v>1</v>
      </c>
      <c r="R898" t="s">
        <v>2824</v>
      </c>
      <c r="W898" t="s">
        <v>36</v>
      </c>
      <c r="X898" t="s">
        <v>37</v>
      </c>
      <c r="Y898" t="s">
        <v>38</v>
      </c>
      <c r="AD898">
        <v>0</v>
      </c>
      <c r="AE898" t="b">
        <f>ISNUMBER(MATCH(G898,AUM!$C$6:$C$1451,0))</f>
        <v>1</v>
      </c>
      <c r="AF898" t="b">
        <f>ISNUMBER(MATCH(G898,AUM!$G$6:$G$240,0))</f>
        <v>0</v>
      </c>
    </row>
    <row r="899" spans="1:32" x14ac:dyDescent="0.2">
      <c r="A899" t="s">
        <v>2830</v>
      </c>
      <c r="B899" s="1">
        <v>45671</v>
      </c>
      <c r="D899" t="s">
        <v>2830</v>
      </c>
      <c r="E899" t="s">
        <v>31</v>
      </c>
      <c r="F899" t="s">
        <v>2831</v>
      </c>
      <c r="G899" t="s">
        <v>2832</v>
      </c>
      <c r="H899" t="s">
        <v>34</v>
      </c>
      <c r="J899">
        <v>1462.24</v>
      </c>
      <c r="K899">
        <v>1457.23</v>
      </c>
      <c r="L899">
        <v>1457.2278315000001</v>
      </c>
      <c r="Q899" t="s">
        <v>446</v>
      </c>
      <c r="W899" t="s">
        <v>36</v>
      </c>
      <c r="X899" t="s">
        <v>878</v>
      </c>
      <c r="Y899" t="s">
        <v>38</v>
      </c>
      <c r="Z899" t="s">
        <v>910</v>
      </c>
      <c r="AA899">
        <v>0.05</v>
      </c>
      <c r="AB899">
        <v>1</v>
      </c>
      <c r="AC899">
        <v>365</v>
      </c>
      <c r="AD899">
        <v>0</v>
      </c>
      <c r="AE899" t="b">
        <f>ISNUMBER(MATCH(G899,AUM!$C$6:$C$1451,0))</f>
        <v>1</v>
      </c>
      <c r="AF899" t="b">
        <f>ISNUMBER(MATCH(G899,AUM!$G$6:$G$240,0))</f>
        <v>0</v>
      </c>
    </row>
    <row r="900" spans="1:32" x14ac:dyDescent="0.2">
      <c r="A900" t="s">
        <v>2833</v>
      </c>
      <c r="B900" s="1">
        <v>45671</v>
      </c>
      <c r="D900" t="s">
        <v>2833</v>
      </c>
      <c r="E900" t="s">
        <v>31</v>
      </c>
      <c r="F900" t="s">
        <v>2834</v>
      </c>
      <c r="G900" t="s">
        <v>2835</v>
      </c>
      <c r="H900" t="s">
        <v>34</v>
      </c>
      <c r="J900">
        <v>3014.67</v>
      </c>
      <c r="K900">
        <v>3013.63</v>
      </c>
      <c r="L900">
        <v>3013.6270621899998</v>
      </c>
      <c r="Q900" t="s">
        <v>2836</v>
      </c>
      <c r="W900" t="s">
        <v>36</v>
      </c>
      <c r="X900" t="s">
        <v>878</v>
      </c>
      <c r="Y900" t="s">
        <v>38</v>
      </c>
      <c r="Z900" t="s">
        <v>910</v>
      </c>
      <c r="AA900">
        <v>0.05</v>
      </c>
      <c r="AB900">
        <v>1</v>
      </c>
      <c r="AC900">
        <v>365</v>
      </c>
      <c r="AD900">
        <v>0</v>
      </c>
      <c r="AE900" t="b">
        <f>ISNUMBER(MATCH(G900,AUM!$C$6:$C$1451,0))</f>
        <v>1</v>
      </c>
      <c r="AF900" t="b">
        <f>ISNUMBER(MATCH(G900,AUM!$G$6:$G$240,0))</f>
        <v>0</v>
      </c>
    </row>
    <row r="901" spans="1:32" x14ac:dyDescent="0.2">
      <c r="A901" t="s">
        <v>2837</v>
      </c>
      <c r="B901" s="1">
        <v>45671</v>
      </c>
      <c r="D901" t="s">
        <v>2837</v>
      </c>
      <c r="E901" t="s">
        <v>31</v>
      </c>
      <c r="F901" t="s">
        <v>2838</v>
      </c>
      <c r="G901" t="s">
        <v>2839</v>
      </c>
      <c r="H901" t="s">
        <v>34</v>
      </c>
      <c r="J901">
        <v>7066.19</v>
      </c>
      <c r="K901">
        <v>7066.64</v>
      </c>
      <c r="L901">
        <v>7066.6431626900003</v>
      </c>
      <c r="Q901" t="s">
        <v>2840</v>
      </c>
      <c r="T901">
        <v>0</v>
      </c>
      <c r="W901" t="s">
        <v>36</v>
      </c>
      <c r="X901" t="s">
        <v>69</v>
      </c>
      <c r="Y901" t="s">
        <v>38</v>
      </c>
      <c r="AD901">
        <v>0</v>
      </c>
      <c r="AE901" t="b">
        <f>ISNUMBER(MATCH(G901,AUM!$C$6:$C$1451,0))</f>
        <v>1</v>
      </c>
      <c r="AF901" t="b">
        <f>ISNUMBER(MATCH(G901,AUM!$G$6:$G$240,0))</f>
        <v>0</v>
      </c>
    </row>
    <row r="902" spans="1:32" x14ac:dyDescent="0.2">
      <c r="A902" t="s">
        <v>2836</v>
      </c>
      <c r="B902" s="1">
        <v>45671</v>
      </c>
      <c r="D902" t="s">
        <v>2836</v>
      </c>
      <c r="E902" t="s">
        <v>31</v>
      </c>
      <c r="F902" t="s">
        <v>2841</v>
      </c>
      <c r="G902" t="s">
        <v>2842</v>
      </c>
      <c r="H902" t="s">
        <v>34</v>
      </c>
      <c r="J902">
        <v>6393.34</v>
      </c>
      <c r="K902">
        <v>6393.76</v>
      </c>
      <c r="L902">
        <v>6393.7554980799996</v>
      </c>
      <c r="Q902" t="s">
        <v>2840</v>
      </c>
      <c r="U902">
        <v>0</v>
      </c>
      <c r="W902" t="s">
        <v>36</v>
      </c>
      <c r="X902" t="s">
        <v>69</v>
      </c>
      <c r="Y902" t="s">
        <v>38</v>
      </c>
      <c r="AD902">
        <v>0</v>
      </c>
      <c r="AE902" t="b">
        <f>ISNUMBER(MATCH(G902,AUM!$C$6:$C$1451,0))</f>
        <v>1</v>
      </c>
      <c r="AF902" t="b">
        <f>ISNUMBER(MATCH(G902,AUM!$G$6:$G$240,0))</f>
        <v>0</v>
      </c>
    </row>
    <row r="903" spans="1:32" x14ac:dyDescent="0.2">
      <c r="A903" t="s">
        <v>2840</v>
      </c>
      <c r="B903" s="1">
        <v>45671</v>
      </c>
      <c r="D903" t="s">
        <v>2840</v>
      </c>
      <c r="E903" t="s">
        <v>31</v>
      </c>
      <c r="F903" t="s">
        <v>2843</v>
      </c>
      <c r="G903" t="s">
        <v>2844</v>
      </c>
      <c r="H903" t="s">
        <v>34</v>
      </c>
      <c r="I903">
        <v>322767226.47749901</v>
      </c>
      <c r="J903">
        <v>4874.3999999999996</v>
      </c>
      <c r="K903">
        <v>4874.72</v>
      </c>
      <c r="L903">
        <v>4874.7200537199997</v>
      </c>
      <c r="M903">
        <v>1573399871594.4399</v>
      </c>
      <c r="N903">
        <v>40</v>
      </c>
      <c r="O903" t="s">
        <v>35</v>
      </c>
      <c r="P903">
        <v>1</v>
      </c>
      <c r="R903" t="s">
        <v>2837</v>
      </c>
      <c r="S903" t="s">
        <v>2836</v>
      </c>
      <c r="W903" t="s">
        <v>36</v>
      </c>
      <c r="X903" t="s">
        <v>37</v>
      </c>
      <c r="Y903" t="s">
        <v>38</v>
      </c>
      <c r="AD903">
        <v>0</v>
      </c>
      <c r="AE903" t="b">
        <f>ISNUMBER(MATCH(G903,AUM!$C$6:$C$1451,0))</f>
        <v>1</v>
      </c>
      <c r="AF903" t="b">
        <f>ISNUMBER(MATCH(G903,AUM!$G$6:$G$240,0))</f>
        <v>1</v>
      </c>
    </row>
    <row r="904" spans="1:32" x14ac:dyDescent="0.2">
      <c r="A904" t="s">
        <v>2845</v>
      </c>
      <c r="B904" s="1">
        <v>45671</v>
      </c>
      <c r="D904" t="s">
        <v>2845</v>
      </c>
      <c r="E904" t="s">
        <v>31</v>
      </c>
      <c r="F904" t="s">
        <v>2846</v>
      </c>
      <c r="G904" t="s">
        <v>2847</v>
      </c>
      <c r="H904" t="s">
        <v>34</v>
      </c>
      <c r="J904">
        <v>12.28</v>
      </c>
      <c r="K904">
        <v>12.05</v>
      </c>
      <c r="L904">
        <v>12.05</v>
      </c>
      <c r="Q904" t="s">
        <v>2848</v>
      </c>
      <c r="T904">
        <v>0</v>
      </c>
      <c r="W904" t="s">
        <v>36</v>
      </c>
      <c r="X904" t="s">
        <v>69</v>
      </c>
      <c r="Y904" t="s">
        <v>38</v>
      </c>
      <c r="AD904">
        <v>0</v>
      </c>
      <c r="AE904" t="b">
        <f>ISNUMBER(MATCH(G904,AUM!$C$6:$C$1451,0))</f>
        <v>0</v>
      </c>
      <c r="AF904" t="b">
        <f>ISNUMBER(MATCH(G904,AUM!$G$6:$G$240,0))</f>
        <v>0</v>
      </c>
    </row>
    <row r="905" spans="1:32" x14ac:dyDescent="0.2">
      <c r="A905" t="s">
        <v>2848</v>
      </c>
      <c r="B905" s="1">
        <v>45671</v>
      </c>
      <c r="D905" t="s">
        <v>2848</v>
      </c>
      <c r="E905" t="s">
        <v>31</v>
      </c>
      <c r="F905" t="s">
        <v>2849</v>
      </c>
      <c r="G905" t="s">
        <v>2850</v>
      </c>
      <c r="H905" t="s">
        <v>34</v>
      </c>
      <c r="I905">
        <v>100</v>
      </c>
      <c r="J905">
        <v>12.28</v>
      </c>
      <c r="K905">
        <v>12.05</v>
      </c>
      <c r="L905">
        <v>12.05</v>
      </c>
      <c r="M905">
        <v>1205</v>
      </c>
      <c r="N905">
        <v>1</v>
      </c>
      <c r="O905" t="s">
        <v>35</v>
      </c>
      <c r="P905">
        <v>1</v>
      </c>
      <c r="R905" t="s">
        <v>2845</v>
      </c>
      <c r="W905" t="s">
        <v>36</v>
      </c>
      <c r="X905" t="s">
        <v>37</v>
      </c>
      <c r="Y905" t="s">
        <v>38</v>
      </c>
      <c r="AD905">
        <v>0</v>
      </c>
      <c r="AE905" t="b">
        <f>ISNUMBER(MATCH(G905,AUM!$C$6:$C$1451,0))</f>
        <v>1</v>
      </c>
      <c r="AF905" t="b">
        <f>ISNUMBER(MATCH(G905,AUM!$G$6:$G$240,0))</f>
        <v>0</v>
      </c>
    </row>
    <row r="906" spans="1:32" x14ac:dyDescent="0.2">
      <c r="A906" t="s">
        <v>2851</v>
      </c>
      <c r="B906" s="1">
        <v>45671</v>
      </c>
      <c r="D906" t="s">
        <v>2851</v>
      </c>
      <c r="E906" t="s">
        <v>31</v>
      </c>
      <c r="F906" t="s">
        <v>2852</v>
      </c>
      <c r="G906" t="s">
        <v>2853</v>
      </c>
      <c r="H906" t="s">
        <v>34</v>
      </c>
      <c r="J906">
        <v>22.917999999999999</v>
      </c>
      <c r="K906">
        <v>22.6</v>
      </c>
      <c r="L906">
        <v>22.600335789999999</v>
      </c>
      <c r="Q906" t="s">
        <v>2854</v>
      </c>
      <c r="W906" t="s">
        <v>36</v>
      </c>
      <c r="X906" t="s">
        <v>878</v>
      </c>
      <c r="Y906" t="s">
        <v>38</v>
      </c>
      <c r="Z906" t="s">
        <v>879</v>
      </c>
      <c r="AA906">
        <v>1.8</v>
      </c>
      <c r="AB906">
        <v>1</v>
      </c>
      <c r="AC906">
        <v>365</v>
      </c>
      <c r="AD906">
        <v>0</v>
      </c>
      <c r="AE906" t="b">
        <f>ISNUMBER(MATCH(G906,AUM!$C$6:$C$1451,0))</f>
        <v>0</v>
      </c>
      <c r="AF906" t="b">
        <f>ISNUMBER(MATCH(G906,AUM!$G$6:$G$240,0))</f>
        <v>0</v>
      </c>
    </row>
    <row r="907" spans="1:32" x14ac:dyDescent="0.2">
      <c r="A907" t="s">
        <v>2854</v>
      </c>
      <c r="B907" s="1">
        <v>45671</v>
      </c>
      <c r="D907" t="s">
        <v>2854</v>
      </c>
      <c r="E907" t="s">
        <v>31</v>
      </c>
      <c r="F907" t="s">
        <v>2855</v>
      </c>
      <c r="G907" t="s">
        <v>2856</v>
      </c>
      <c r="H907" t="s">
        <v>34</v>
      </c>
      <c r="J907">
        <v>24.2</v>
      </c>
      <c r="K907">
        <v>23.88</v>
      </c>
      <c r="L907">
        <v>23.88</v>
      </c>
      <c r="Q907" t="s">
        <v>2857</v>
      </c>
      <c r="T907">
        <v>0</v>
      </c>
      <c r="W907" t="s">
        <v>36</v>
      </c>
      <c r="X907" t="s">
        <v>69</v>
      </c>
      <c r="Y907" t="s">
        <v>38</v>
      </c>
      <c r="AD907">
        <v>0</v>
      </c>
      <c r="AE907" t="b">
        <f>ISNUMBER(MATCH(G907,AUM!$C$6:$C$1451,0))</f>
        <v>1</v>
      </c>
      <c r="AF907" t="b">
        <f>ISNUMBER(MATCH(G907,AUM!$G$6:$G$240,0))</f>
        <v>0</v>
      </c>
    </row>
    <row r="908" spans="1:32" x14ac:dyDescent="0.2">
      <c r="A908" t="s">
        <v>2857</v>
      </c>
      <c r="B908" s="1">
        <v>45671</v>
      </c>
      <c r="D908" t="s">
        <v>2857</v>
      </c>
      <c r="E908" t="s">
        <v>31</v>
      </c>
      <c r="F908" t="s">
        <v>2858</v>
      </c>
      <c r="G908" t="s">
        <v>2859</v>
      </c>
      <c r="H908" t="s">
        <v>34</v>
      </c>
      <c r="I908">
        <v>100</v>
      </c>
      <c r="J908">
        <v>24.2</v>
      </c>
      <c r="K908">
        <v>23.88</v>
      </c>
      <c r="L908">
        <v>23.88</v>
      </c>
      <c r="M908">
        <v>2388</v>
      </c>
      <c r="N908">
        <v>1</v>
      </c>
      <c r="O908" t="s">
        <v>35</v>
      </c>
      <c r="P908">
        <v>1</v>
      </c>
      <c r="R908" t="s">
        <v>2854</v>
      </c>
      <c r="W908" t="s">
        <v>36</v>
      </c>
      <c r="X908" t="s">
        <v>37</v>
      </c>
      <c r="Y908" t="s">
        <v>38</v>
      </c>
      <c r="AD908">
        <v>0</v>
      </c>
      <c r="AE908" t="b">
        <f>ISNUMBER(MATCH(G908,AUM!$C$6:$C$1451,0))</f>
        <v>1</v>
      </c>
      <c r="AF908" t="b">
        <f>ISNUMBER(MATCH(G908,AUM!$G$6:$G$240,0))</f>
        <v>0</v>
      </c>
    </row>
    <row r="909" spans="1:32" x14ac:dyDescent="0.2">
      <c r="A909" t="s">
        <v>2860</v>
      </c>
      <c r="B909" s="1">
        <v>45671</v>
      </c>
      <c r="D909" t="s">
        <v>2860</v>
      </c>
      <c r="E909" t="s">
        <v>31</v>
      </c>
      <c r="F909" t="s">
        <v>2861</v>
      </c>
      <c r="G909" t="s">
        <v>2862</v>
      </c>
      <c r="H909" t="s">
        <v>34</v>
      </c>
      <c r="J909">
        <v>2459.1799999999998</v>
      </c>
      <c r="K909">
        <v>2459.0300000000002</v>
      </c>
      <c r="L909">
        <v>2459.0338354800001</v>
      </c>
      <c r="Q909" t="s">
        <v>2863</v>
      </c>
      <c r="W909" t="s">
        <v>36</v>
      </c>
      <c r="X909" t="s">
        <v>878</v>
      </c>
      <c r="Y909" t="s">
        <v>38</v>
      </c>
      <c r="Z909" t="s">
        <v>910</v>
      </c>
      <c r="AA909">
        <v>0.05</v>
      </c>
      <c r="AB909">
        <v>1</v>
      </c>
      <c r="AC909">
        <v>365</v>
      </c>
      <c r="AD909">
        <v>0</v>
      </c>
      <c r="AE909" t="b">
        <f>ISNUMBER(MATCH(G909,AUM!$C$6:$C$1451,0))</f>
        <v>1</v>
      </c>
      <c r="AF909" t="b">
        <f>ISNUMBER(MATCH(G909,AUM!$G$6:$G$240,0))</f>
        <v>0</v>
      </c>
    </row>
    <row r="910" spans="1:32" x14ac:dyDescent="0.2">
      <c r="A910" t="s">
        <v>2864</v>
      </c>
      <c r="B910" s="1">
        <v>45671</v>
      </c>
      <c r="D910" t="s">
        <v>2864</v>
      </c>
      <c r="E910" t="s">
        <v>31</v>
      </c>
      <c r="F910" t="s">
        <v>2865</v>
      </c>
      <c r="G910" t="s">
        <v>2866</v>
      </c>
      <c r="H910" t="s">
        <v>34</v>
      </c>
      <c r="J910">
        <v>5829.8</v>
      </c>
      <c r="K910">
        <v>5831.85</v>
      </c>
      <c r="L910">
        <v>5831.8537598100002</v>
      </c>
      <c r="Q910" t="s">
        <v>2867</v>
      </c>
      <c r="T910">
        <v>0</v>
      </c>
      <c r="W910" t="s">
        <v>36</v>
      </c>
      <c r="X910" t="s">
        <v>69</v>
      </c>
      <c r="Y910" t="s">
        <v>38</v>
      </c>
      <c r="AD910">
        <v>0</v>
      </c>
      <c r="AE910" t="b">
        <f>ISNUMBER(MATCH(G910,AUM!$C$6:$C$1451,0))</f>
        <v>1</v>
      </c>
      <c r="AF910" t="b">
        <f>ISNUMBER(MATCH(G910,AUM!$G$6:$G$240,0))</f>
        <v>0</v>
      </c>
    </row>
    <row r="911" spans="1:32" x14ac:dyDescent="0.2">
      <c r="A911" t="s">
        <v>2863</v>
      </c>
      <c r="B911" s="1">
        <v>45671</v>
      </c>
      <c r="D911" t="s">
        <v>2863</v>
      </c>
      <c r="E911" t="s">
        <v>31</v>
      </c>
      <c r="F911" t="s">
        <v>2868</v>
      </c>
      <c r="G911" t="s">
        <v>2869</v>
      </c>
      <c r="H911" t="s">
        <v>34</v>
      </c>
      <c r="J911">
        <v>5215.54</v>
      </c>
      <c r="K911">
        <v>5217.38</v>
      </c>
      <c r="L911">
        <v>5217.3756734600001</v>
      </c>
      <c r="Q911" t="s">
        <v>2867</v>
      </c>
      <c r="U911">
        <v>0</v>
      </c>
      <c r="W911" t="s">
        <v>36</v>
      </c>
      <c r="X911" t="s">
        <v>69</v>
      </c>
      <c r="Y911" t="s">
        <v>38</v>
      </c>
      <c r="AD911">
        <v>0</v>
      </c>
      <c r="AE911" t="b">
        <f>ISNUMBER(MATCH(G911,AUM!$C$6:$C$1451,0))</f>
        <v>1</v>
      </c>
      <c r="AF911" t="b">
        <f>ISNUMBER(MATCH(G911,AUM!$G$6:$G$240,0))</f>
        <v>0</v>
      </c>
    </row>
    <row r="912" spans="1:32" x14ac:dyDescent="0.2">
      <c r="A912" t="s">
        <v>2867</v>
      </c>
      <c r="B912" s="1">
        <v>45671</v>
      </c>
      <c r="D912" t="s">
        <v>2867</v>
      </c>
      <c r="E912" t="s">
        <v>31</v>
      </c>
      <c r="F912" t="s">
        <v>2870</v>
      </c>
      <c r="G912" t="s">
        <v>2871</v>
      </c>
      <c r="H912" t="s">
        <v>34</v>
      </c>
      <c r="I912">
        <v>164892619.898206</v>
      </c>
      <c r="J912">
        <v>3917.86</v>
      </c>
      <c r="K912">
        <v>3919.24</v>
      </c>
      <c r="L912">
        <v>3919.2409585099999</v>
      </c>
      <c r="M912">
        <v>646253909661.04297</v>
      </c>
      <c r="N912">
        <v>40</v>
      </c>
      <c r="O912" t="s">
        <v>35</v>
      </c>
      <c r="P912">
        <v>1</v>
      </c>
      <c r="R912" t="s">
        <v>2864</v>
      </c>
      <c r="S912" t="s">
        <v>2863</v>
      </c>
      <c r="W912" t="s">
        <v>36</v>
      </c>
      <c r="X912" t="s">
        <v>37</v>
      </c>
      <c r="Y912" t="s">
        <v>38</v>
      </c>
      <c r="AD912">
        <v>0</v>
      </c>
      <c r="AE912" t="b">
        <f>ISNUMBER(MATCH(G912,AUM!$C$6:$C$1451,0))</f>
        <v>1</v>
      </c>
      <c r="AF912" t="b">
        <f>ISNUMBER(MATCH(G912,AUM!$G$6:$G$240,0))</f>
        <v>1</v>
      </c>
    </row>
    <row r="913" spans="1:32" x14ac:dyDescent="0.2">
      <c r="A913" t="s">
        <v>2872</v>
      </c>
      <c r="B913" s="1">
        <v>45671</v>
      </c>
      <c r="D913" t="s">
        <v>2872</v>
      </c>
      <c r="E913" t="s">
        <v>31</v>
      </c>
      <c r="F913" t="s">
        <v>2873</v>
      </c>
      <c r="G913" t="s">
        <v>2874</v>
      </c>
      <c r="H913" t="s">
        <v>34</v>
      </c>
      <c r="J913">
        <v>13.102</v>
      </c>
      <c r="K913">
        <v>12.856999999999999</v>
      </c>
      <c r="L913">
        <v>12.856629180000001</v>
      </c>
      <c r="Q913" t="s">
        <v>2875</v>
      </c>
      <c r="T913">
        <v>0</v>
      </c>
      <c r="W913" t="s">
        <v>36</v>
      </c>
      <c r="X913" t="s">
        <v>69</v>
      </c>
      <c r="Y913" t="s">
        <v>38</v>
      </c>
      <c r="AD913">
        <v>0</v>
      </c>
      <c r="AE913" t="b">
        <f>ISNUMBER(MATCH(G913,AUM!$C$6:$C$1451,0))</f>
        <v>1</v>
      </c>
      <c r="AF913" t="b">
        <f>ISNUMBER(MATCH(G913,AUM!$G$6:$G$240,0))</f>
        <v>0</v>
      </c>
    </row>
    <row r="914" spans="1:32" x14ac:dyDescent="0.2">
      <c r="A914" t="s">
        <v>2875</v>
      </c>
      <c r="B914" s="1">
        <v>45671</v>
      </c>
      <c r="D914" t="s">
        <v>2875</v>
      </c>
      <c r="E914" t="s">
        <v>31</v>
      </c>
      <c r="F914" t="s">
        <v>2876</v>
      </c>
      <c r="G914" t="s">
        <v>2877</v>
      </c>
      <c r="H914" t="s">
        <v>34</v>
      </c>
      <c r="I914">
        <v>100</v>
      </c>
      <c r="J914">
        <v>12.28</v>
      </c>
      <c r="K914">
        <v>12.05</v>
      </c>
      <c r="L914">
        <v>12.05</v>
      </c>
      <c r="M914">
        <v>1205</v>
      </c>
      <c r="N914">
        <v>1</v>
      </c>
      <c r="O914" t="s">
        <v>35</v>
      </c>
      <c r="P914">
        <v>1</v>
      </c>
      <c r="R914" t="s">
        <v>2872</v>
      </c>
      <c r="W914" t="s">
        <v>36</v>
      </c>
      <c r="X914" t="s">
        <v>37</v>
      </c>
      <c r="Y914" t="s">
        <v>38</v>
      </c>
      <c r="AD914">
        <v>0</v>
      </c>
      <c r="AE914" t="b">
        <f>ISNUMBER(MATCH(G914,AUM!$C$6:$C$1451,0))</f>
        <v>1</v>
      </c>
      <c r="AF914" t="b">
        <f>ISNUMBER(MATCH(G914,AUM!$G$6:$G$240,0))</f>
        <v>0</v>
      </c>
    </row>
    <row r="915" spans="1:32" x14ac:dyDescent="0.2">
      <c r="A915" t="s">
        <v>2878</v>
      </c>
      <c r="B915" s="1">
        <v>45671</v>
      </c>
      <c r="D915" t="s">
        <v>2878</v>
      </c>
      <c r="E915" t="s">
        <v>31</v>
      </c>
      <c r="F915" t="s">
        <v>2879</v>
      </c>
      <c r="G915" t="s">
        <v>2880</v>
      </c>
      <c r="H915" t="s">
        <v>34</v>
      </c>
      <c r="J915">
        <v>28.164000000000001</v>
      </c>
      <c r="K915">
        <v>28.143000000000001</v>
      </c>
      <c r="L915">
        <v>28.1430015</v>
      </c>
      <c r="Q915" t="s">
        <v>2881</v>
      </c>
      <c r="T915">
        <v>0</v>
      </c>
      <c r="W915" t="s">
        <v>36</v>
      </c>
      <c r="X915" t="s">
        <v>69</v>
      </c>
      <c r="Y915" t="s">
        <v>38</v>
      </c>
      <c r="AD915">
        <v>0</v>
      </c>
      <c r="AE915" t="b">
        <f>ISNUMBER(MATCH(G915,AUM!$C$6:$C$1451,0))</f>
        <v>1</v>
      </c>
      <c r="AF915" t="b">
        <f>ISNUMBER(MATCH(G915,AUM!$G$6:$G$240,0))</f>
        <v>0</v>
      </c>
    </row>
    <row r="916" spans="1:32" x14ac:dyDescent="0.2">
      <c r="A916" t="s">
        <v>2881</v>
      </c>
      <c r="B916" s="1">
        <v>45671</v>
      </c>
      <c r="D916" t="s">
        <v>2881</v>
      </c>
      <c r="E916" t="s">
        <v>31</v>
      </c>
      <c r="F916" t="s">
        <v>2882</v>
      </c>
      <c r="G916" t="s">
        <v>2883</v>
      </c>
      <c r="H916" t="s">
        <v>34</v>
      </c>
      <c r="I916">
        <v>100</v>
      </c>
      <c r="J916">
        <v>27.254999999999999</v>
      </c>
      <c r="K916">
        <v>27.234999999999999</v>
      </c>
      <c r="L916">
        <v>27.234999999999999</v>
      </c>
      <c r="M916">
        <v>2723.5</v>
      </c>
      <c r="N916">
        <v>1</v>
      </c>
      <c r="O916" t="s">
        <v>35</v>
      </c>
      <c r="P916">
        <v>1</v>
      </c>
      <c r="R916" t="s">
        <v>2878</v>
      </c>
      <c r="W916" t="s">
        <v>36</v>
      </c>
      <c r="X916" t="s">
        <v>37</v>
      </c>
      <c r="Y916" t="s">
        <v>38</v>
      </c>
      <c r="AD916">
        <v>0</v>
      </c>
      <c r="AE916" t="b">
        <f>ISNUMBER(MATCH(G916,AUM!$C$6:$C$1451,0))</f>
        <v>1</v>
      </c>
      <c r="AF916" t="b">
        <f>ISNUMBER(MATCH(G916,AUM!$G$6:$G$240,0))</f>
        <v>0</v>
      </c>
    </row>
    <row r="917" spans="1:32" x14ac:dyDescent="0.2">
      <c r="A917" t="s">
        <v>2884</v>
      </c>
      <c r="B917" s="1">
        <v>45671</v>
      </c>
      <c r="D917" t="s">
        <v>2884</v>
      </c>
      <c r="E917" t="s">
        <v>31</v>
      </c>
      <c r="F917" t="s">
        <v>2885</v>
      </c>
      <c r="G917" t="s">
        <v>2886</v>
      </c>
      <c r="H917" t="s">
        <v>34</v>
      </c>
      <c r="J917">
        <v>4162</v>
      </c>
      <c r="K917">
        <v>4180.07</v>
      </c>
      <c r="L917">
        <v>4180.0671052400003</v>
      </c>
      <c r="Q917" t="s">
        <v>2887</v>
      </c>
      <c r="W917" t="s">
        <v>36</v>
      </c>
      <c r="X917" t="s">
        <v>878</v>
      </c>
      <c r="Y917" t="s">
        <v>38</v>
      </c>
      <c r="Z917" t="s">
        <v>910</v>
      </c>
      <c r="AA917">
        <v>0.05</v>
      </c>
      <c r="AB917">
        <v>1</v>
      </c>
      <c r="AC917">
        <v>365</v>
      </c>
      <c r="AD917">
        <v>0</v>
      </c>
      <c r="AE917" t="b">
        <f>ISNUMBER(MATCH(G917,AUM!$C$6:$C$1451,0))</f>
        <v>0</v>
      </c>
      <c r="AF917" t="b">
        <f>ISNUMBER(MATCH(G917,AUM!$G$6:$G$240,0))</f>
        <v>0</v>
      </c>
    </row>
    <row r="918" spans="1:32" x14ac:dyDescent="0.2">
      <c r="A918" t="s">
        <v>2888</v>
      </c>
      <c r="B918" s="1">
        <v>45671</v>
      </c>
      <c r="D918" t="s">
        <v>2888</v>
      </c>
      <c r="E918" t="s">
        <v>31</v>
      </c>
      <c r="F918" t="s">
        <v>2889</v>
      </c>
      <c r="G918" t="s">
        <v>2890</v>
      </c>
      <c r="H918" t="s">
        <v>34</v>
      </c>
      <c r="J918">
        <v>9584.44</v>
      </c>
      <c r="K918">
        <v>9629.98</v>
      </c>
      <c r="L918">
        <v>9629.9849661000007</v>
      </c>
      <c r="Q918" t="s">
        <v>2891</v>
      </c>
      <c r="T918">
        <v>0</v>
      </c>
      <c r="W918" t="s">
        <v>36</v>
      </c>
      <c r="X918" t="s">
        <v>69</v>
      </c>
      <c r="Y918" t="s">
        <v>38</v>
      </c>
      <c r="AD918">
        <v>0</v>
      </c>
      <c r="AE918" t="b">
        <f>ISNUMBER(MATCH(G918,AUM!$C$6:$C$1451,0))</f>
        <v>1</v>
      </c>
      <c r="AF918" t="b">
        <f>ISNUMBER(MATCH(G918,AUM!$G$6:$G$240,0))</f>
        <v>0</v>
      </c>
    </row>
    <row r="919" spans="1:32" x14ac:dyDescent="0.2">
      <c r="A919" t="s">
        <v>2887</v>
      </c>
      <c r="B919" s="1">
        <v>45671</v>
      </c>
      <c r="D919" t="s">
        <v>2887</v>
      </c>
      <c r="E919" t="s">
        <v>31</v>
      </c>
      <c r="F919" t="s">
        <v>2892</v>
      </c>
      <c r="G919" t="s">
        <v>2893</v>
      </c>
      <c r="H919" t="s">
        <v>34</v>
      </c>
      <c r="J919">
        <v>8826.0400000000009</v>
      </c>
      <c r="K919">
        <v>8867.98</v>
      </c>
      <c r="L919">
        <v>8867.9761849400002</v>
      </c>
      <c r="Q919" t="s">
        <v>2891</v>
      </c>
      <c r="U919">
        <v>0</v>
      </c>
      <c r="W919" t="s">
        <v>36</v>
      </c>
      <c r="X919" t="s">
        <v>69</v>
      </c>
      <c r="Y919" t="s">
        <v>38</v>
      </c>
      <c r="AD919">
        <v>0</v>
      </c>
      <c r="AE919" t="b">
        <f>ISNUMBER(MATCH(G919,AUM!$C$6:$C$1451,0))</f>
        <v>1</v>
      </c>
      <c r="AF919" t="b">
        <f>ISNUMBER(MATCH(G919,AUM!$G$6:$G$240,0))</f>
        <v>0</v>
      </c>
    </row>
    <row r="920" spans="1:32" x14ac:dyDescent="0.2">
      <c r="A920" t="s">
        <v>2891</v>
      </c>
      <c r="B920" s="1">
        <v>45671</v>
      </c>
      <c r="D920" t="s">
        <v>2891</v>
      </c>
      <c r="E920" t="s">
        <v>31</v>
      </c>
      <c r="F920" t="s">
        <v>2894</v>
      </c>
      <c r="G920" t="s">
        <v>2895</v>
      </c>
      <c r="H920" t="s">
        <v>34</v>
      </c>
      <c r="I920">
        <v>687022538.49920595</v>
      </c>
      <c r="J920">
        <v>7165.64</v>
      </c>
      <c r="K920">
        <v>7199.69</v>
      </c>
      <c r="L920">
        <v>7199.6851261700003</v>
      </c>
      <c r="M920">
        <v>4946345951775.3701</v>
      </c>
      <c r="N920">
        <v>40</v>
      </c>
      <c r="O920" t="s">
        <v>35</v>
      </c>
      <c r="P920">
        <v>1</v>
      </c>
      <c r="R920" t="s">
        <v>2888</v>
      </c>
      <c r="S920" t="s">
        <v>2887</v>
      </c>
      <c r="W920" t="s">
        <v>36</v>
      </c>
      <c r="X920" t="s">
        <v>37</v>
      </c>
      <c r="Y920" t="s">
        <v>38</v>
      </c>
      <c r="AD920">
        <v>0</v>
      </c>
      <c r="AE920" t="b">
        <f>ISNUMBER(MATCH(G920,AUM!$C$6:$C$1451,0))</f>
        <v>1</v>
      </c>
      <c r="AF920" t="b">
        <f>ISNUMBER(MATCH(G920,AUM!$G$6:$G$240,0))</f>
        <v>1</v>
      </c>
    </row>
    <row r="921" spans="1:32" x14ac:dyDescent="0.2">
      <c r="A921" t="s">
        <v>2896</v>
      </c>
      <c r="B921" s="1">
        <v>45671</v>
      </c>
      <c r="D921" t="s">
        <v>2896</v>
      </c>
      <c r="E921" t="s">
        <v>31</v>
      </c>
      <c r="F921" t="s">
        <v>2897</v>
      </c>
      <c r="G921" t="s">
        <v>2898</v>
      </c>
      <c r="H921" t="s">
        <v>34</v>
      </c>
      <c r="J921">
        <v>3579.2</v>
      </c>
      <c r="K921">
        <v>3585.63</v>
      </c>
      <c r="L921">
        <v>3585.6283588000001</v>
      </c>
      <c r="Q921" t="s">
        <v>2899</v>
      </c>
      <c r="W921" t="s">
        <v>36</v>
      </c>
      <c r="X921" t="s">
        <v>878</v>
      </c>
      <c r="Y921" t="s">
        <v>38</v>
      </c>
      <c r="Z921" t="s">
        <v>910</v>
      </c>
      <c r="AA921">
        <v>3.5000000000000003E-2</v>
      </c>
      <c r="AB921">
        <v>1</v>
      </c>
      <c r="AC921">
        <v>365</v>
      </c>
      <c r="AD921">
        <v>0</v>
      </c>
      <c r="AE921" t="b">
        <f>ISNUMBER(MATCH(G921,AUM!$C$6:$C$1451,0))</f>
        <v>0</v>
      </c>
      <c r="AF921" t="b">
        <f>ISNUMBER(MATCH(G921,AUM!$G$6:$G$240,0))</f>
        <v>0</v>
      </c>
    </row>
    <row r="922" spans="1:32" x14ac:dyDescent="0.2">
      <c r="A922" t="s">
        <v>2900</v>
      </c>
      <c r="B922" s="1">
        <v>45671</v>
      </c>
      <c r="D922" t="s">
        <v>2900</v>
      </c>
      <c r="E922" t="s">
        <v>31</v>
      </c>
      <c r="F922" t="s">
        <v>2901</v>
      </c>
      <c r="G922" t="s">
        <v>2902</v>
      </c>
      <c r="H922" t="s">
        <v>34</v>
      </c>
      <c r="J922">
        <v>3858.63</v>
      </c>
      <c r="K922">
        <v>3865.73</v>
      </c>
      <c r="L922">
        <v>3865.7264471100002</v>
      </c>
      <c r="Q922" t="s">
        <v>2899</v>
      </c>
      <c r="W922" t="s">
        <v>36</v>
      </c>
      <c r="X922" t="s">
        <v>878</v>
      </c>
      <c r="Y922" t="s">
        <v>38</v>
      </c>
      <c r="Z922" t="s">
        <v>910</v>
      </c>
      <c r="AA922">
        <v>0.03</v>
      </c>
      <c r="AB922">
        <v>1</v>
      </c>
      <c r="AC922">
        <v>365</v>
      </c>
      <c r="AD922">
        <v>0</v>
      </c>
      <c r="AE922" t="b">
        <f>ISNUMBER(MATCH(G922,AUM!$C$6:$C$1451,0))</f>
        <v>0</v>
      </c>
      <c r="AF922" t="b">
        <f>ISNUMBER(MATCH(G922,AUM!$G$6:$G$240,0))</f>
        <v>0</v>
      </c>
    </row>
    <row r="923" spans="1:32" x14ac:dyDescent="0.2">
      <c r="A923" t="s">
        <v>2903</v>
      </c>
      <c r="B923" s="1">
        <v>45671</v>
      </c>
      <c r="D923" t="s">
        <v>2903</v>
      </c>
      <c r="E923" t="s">
        <v>31</v>
      </c>
      <c r="F923" t="s">
        <v>2904</v>
      </c>
      <c r="G923" t="s">
        <v>2905</v>
      </c>
      <c r="H923" t="s">
        <v>34</v>
      </c>
      <c r="J923">
        <v>6713.09</v>
      </c>
      <c r="K923">
        <v>6727.08</v>
      </c>
      <c r="L923">
        <v>6727.0813274499997</v>
      </c>
      <c r="Q923" t="s">
        <v>2906</v>
      </c>
      <c r="T923">
        <v>0</v>
      </c>
      <c r="W923" t="s">
        <v>36</v>
      </c>
      <c r="X923" t="s">
        <v>69</v>
      </c>
      <c r="Y923" t="s">
        <v>38</v>
      </c>
      <c r="AD923">
        <v>0</v>
      </c>
      <c r="AE923" t="b">
        <f>ISNUMBER(MATCH(G923,AUM!$C$6:$C$1451,0))</f>
        <v>0</v>
      </c>
      <c r="AF923" t="b">
        <f>ISNUMBER(MATCH(G923,AUM!$G$6:$G$240,0))</f>
        <v>0</v>
      </c>
    </row>
    <row r="924" spans="1:32" x14ac:dyDescent="0.2">
      <c r="A924" t="s">
        <v>2899</v>
      </c>
      <c r="B924" s="1">
        <v>45671</v>
      </c>
      <c r="D924" t="s">
        <v>2899</v>
      </c>
      <c r="E924" t="s">
        <v>31</v>
      </c>
      <c r="F924" t="s">
        <v>2907</v>
      </c>
      <c r="G924" t="s">
        <v>2908</v>
      </c>
      <c r="H924" t="s">
        <v>34</v>
      </c>
      <c r="J924">
        <v>6057.67</v>
      </c>
      <c r="K924">
        <v>6070.3</v>
      </c>
      <c r="L924">
        <v>6070.3012654000004</v>
      </c>
      <c r="Q924" t="s">
        <v>2906</v>
      </c>
      <c r="U924">
        <v>0</v>
      </c>
      <c r="W924" t="s">
        <v>36</v>
      </c>
      <c r="X924" t="s">
        <v>69</v>
      </c>
      <c r="Y924" t="s">
        <v>38</v>
      </c>
      <c r="AD924">
        <v>0</v>
      </c>
      <c r="AE924" t="b">
        <f>ISNUMBER(MATCH(G924,AUM!$C$6:$C$1451,0))</f>
        <v>0</v>
      </c>
      <c r="AF924" t="b">
        <f>ISNUMBER(MATCH(G924,AUM!$G$6:$G$240,0))</f>
        <v>0</v>
      </c>
    </row>
    <row r="925" spans="1:32" x14ac:dyDescent="0.2">
      <c r="A925" t="s">
        <v>2906</v>
      </c>
      <c r="B925" s="1">
        <v>45671</v>
      </c>
      <c r="D925" t="s">
        <v>2906</v>
      </c>
      <c r="E925" t="s">
        <v>31</v>
      </c>
      <c r="F925" t="s">
        <v>2909</v>
      </c>
      <c r="G925" t="s">
        <v>2910</v>
      </c>
      <c r="H925" t="s">
        <v>34</v>
      </c>
      <c r="I925">
        <v>985489.43844998104</v>
      </c>
      <c r="J925">
        <v>4511.83</v>
      </c>
      <c r="K925">
        <v>4521.24</v>
      </c>
      <c r="L925">
        <v>4521.2394455200001</v>
      </c>
      <c r="M925">
        <v>4455633722.2631903</v>
      </c>
      <c r="N925">
        <v>40</v>
      </c>
      <c r="O925" t="s">
        <v>35</v>
      </c>
      <c r="P925">
        <v>1</v>
      </c>
      <c r="R925" t="s">
        <v>2903</v>
      </c>
      <c r="S925" t="s">
        <v>2899</v>
      </c>
      <c r="W925" t="s">
        <v>36</v>
      </c>
      <c r="X925" t="s">
        <v>37</v>
      </c>
      <c r="Y925" t="s">
        <v>38</v>
      </c>
      <c r="AD925">
        <v>0</v>
      </c>
      <c r="AE925" t="b">
        <f>ISNUMBER(MATCH(G925,AUM!$C$6:$C$1451,0))</f>
        <v>0</v>
      </c>
      <c r="AF925" t="b">
        <f>ISNUMBER(MATCH(G925,AUM!$G$6:$G$240,0))</f>
        <v>0</v>
      </c>
    </row>
    <row r="926" spans="1:32" x14ac:dyDescent="0.2">
      <c r="A926" t="s">
        <v>2911</v>
      </c>
      <c r="B926" s="1">
        <v>45671</v>
      </c>
      <c r="D926" t="s">
        <v>2911</v>
      </c>
      <c r="E926" t="s">
        <v>31</v>
      </c>
      <c r="F926" t="s">
        <v>2912</v>
      </c>
      <c r="G926" t="s">
        <v>2913</v>
      </c>
      <c r="H926" t="s">
        <v>34</v>
      </c>
      <c r="J926">
        <v>76.131</v>
      </c>
      <c r="K926">
        <v>73.591999999999999</v>
      </c>
      <c r="L926">
        <v>73.592495549999995</v>
      </c>
      <c r="Q926" t="s">
        <v>2914</v>
      </c>
      <c r="T926">
        <v>0</v>
      </c>
      <c r="W926" t="s">
        <v>36</v>
      </c>
      <c r="X926" t="s">
        <v>69</v>
      </c>
      <c r="Y926" t="s">
        <v>38</v>
      </c>
      <c r="AD926">
        <v>0</v>
      </c>
      <c r="AE926" t="b">
        <f>ISNUMBER(MATCH(G926,AUM!$C$6:$C$1451,0))</f>
        <v>1</v>
      </c>
      <c r="AF926" t="b">
        <f>ISNUMBER(MATCH(G926,AUM!$G$6:$G$240,0))</f>
        <v>0</v>
      </c>
    </row>
    <row r="927" spans="1:32" x14ac:dyDescent="0.2">
      <c r="A927" t="s">
        <v>2914</v>
      </c>
      <c r="B927" s="1">
        <v>45671</v>
      </c>
      <c r="D927" t="s">
        <v>2914</v>
      </c>
      <c r="E927" t="s">
        <v>31</v>
      </c>
      <c r="F927" t="s">
        <v>2915</v>
      </c>
      <c r="G927" t="s">
        <v>2916</v>
      </c>
      <c r="H927" t="s">
        <v>34</v>
      </c>
      <c r="I927">
        <v>100</v>
      </c>
      <c r="J927">
        <v>73.78</v>
      </c>
      <c r="K927">
        <v>71.319999999999993</v>
      </c>
      <c r="L927">
        <v>71.319999999999993</v>
      </c>
      <c r="M927">
        <v>7132</v>
      </c>
      <c r="N927">
        <v>1</v>
      </c>
      <c r="O927" t="s">
        <v>35</v>
      </c>
      <c r="P927">
        <v>1</v>
      </c>
      <c r="R927" t="s">
        <v>2911</v>
      </c>
      <c r="W927" t="s">
        <v>36</v>
      </c>
      <c r="X927" t="s">
        <v>37</v>
      </c>
      <c r="Y927" t="s">
        <v>38</v>
      </c>
      <c r="AD927">
        <v>0</v>
      </c>
      <c r="AE927" t="b">
        <f>ISNUMBER(MATCH(G927,AUM!$C$6:$C$1451,0))</f>
        <v>1</v>
      </c>
      <c r="AF927" t="b">
        <f>ISNUMBER(MATCH(G927,AUM!$G$6:$G$240,0))</f>
        <v>0</v>
      </c>
    </row>
    <row r="928" spans="1:32" x14ac:dyDescent="0.2">
      <c r="A928" t="s">
        <v>2917</v>
      </c>
      <c r="B928" s="1">
        <v>45671</v>
      </c>
      <c r="D928" t="s">
        <v>2917</v>
      </c>
      <c r="E928" t="s">
        <v>31</v>
      </c>
      <c r="F928" t="s">
        <v>2918</v>
      </c>
      <c r="G928" t="s">
        <v>2919</v>
      </c>
      <c r="H928" t="s">
        <v>34</v>
      </c>
      <c r="J928">
        <v>1423.25</v>
      </c>
      <c r="K928">
        <v>1430.67</v>
      </c>
      <c r="L928">
        <v>1430.6741841999999</v>
      </c>
      <c r="Q928" t="s">
        <v>2920</v>
      </c>
      <c r="T928">
        <v>0</v>
      </c>
      <c r="W928" t="s">
        <v>36</v>
      </c>
      <c r="X928" t="s">
        <v>69</v>
      </c>
      <c r="Y928" t="s">
        <v>38</v>
      </c>
      <c r="AD928">
        <v>0</v>
      </c>
      <c r="AE928" t="b">
        <f>ISNUMBER(MATCH(G928,AUM!$C$6:$C$1451,0))</f>
        <v>1</v>
      </c>
      <c r="AF928" t="b">
        <f>ISNUMBER(MATCH(G928,AUM!$G$6:$G$240,0))</f>
        <v>0</v>
      </c>
    </row>
    <row r="929" spans="1:32" x14ac:dyDescent="0.2">
      <c r="A929" t="s">
        <v>2921</v>
      </c>
      <c r="B929" s="1">
        <v>45671</v>
      </c>
      <c r="D929" t="s">
        <v>2921</v>
      </c>
      <c r="E929" t="s">
        <v>31</v>
      </c>
      <c r="F929" t="s">
        <v>2922</v>
      </c>
      <c r="G929" t="s">
        <v>2923</v>
      </c>
      <c r="H929" t="s">
        <v>34</v>
      </c>
      <c r="J929">
        <v>1414.63</v>
      </c>
      <c r="K929">
        <v>1422</v>
      </c>
      <c r="L929">
        <v>1422.00316247</v>
      </c>
      <c r="Q929" t="s">
        <v>2920</v>
      </c>
      <c r="U929">
        <v>0</v>
      </c>
      <c r="W929" t="s">
        <v>36</v>
      </c>
      <c r="X929" t="s">
        <v>69</v>
      </c>
      <c r="Y929" t="s">
        <v>38</v>
      </c>
      <c r="AD929">
        <v>0</v>
      </c>
      <c r="AE929" t="b">
        <f>ISNUMBER(MATCH(G929,AUM!$C$6:$C$1451,0))</f>
        <v>1</v>
      </c>
      <c r="AF929" t="b">
        <f>ISNUMBER(MATCH(G929,AUM!$G$6:$G$240,0))</f>
        <v>0</v>
      </c>
    </row>
    <row r="930" spans="1:32" x14ac:dyDescent="0.2">
      <c r="A930" t="s">
        <v>2920</v>
      </c>
      <c r="B930" s="1">
        <v>45671</v>
      </c>
      <c r="D930" t="s">
        <v>2920</v>
      </c>
      <c r="E930" t="s">
        <v>31</v>
      </c>
      <c r="F930" t="s">
        <v>2924</v>
      </c>
      <c r="G930" t="s">
        <v>2925</v>
      </c>
      <c r="H930" t="s">
        <v>34</v>
      </c>
      <c r="I930">
        <v>20385612049.495201</v>
      </c>
      <c r="J930">
        <v>1390.39</v>
      </c>
      <c r="K930">
        <v>1397.64</v>
      </c>
      <c r="L930">
        <v>1397.6386109</v>
      </c>
      <c r="M930">
        <v>28491718507186.898</v>
      </c>
      <c r="N930">
        <v>309</v>
      </c>
      <c r="O930" t="s">
        <v>35</v>
      </c>
      <c r="P930">
        <v>1</v>
      </c>
      <c r="R930" t="s">
        <v>2917</v>
      </c>
      <c r="S930" t="s">
        <v>2921</v>
      </c>
      <c r="W930" t="s">
        <v>36</v>
      </c>
      <c r="X930" t="s">
        <v>37</v>
      </c>
      <c r="Y930" t="s">
        <v>38</v>
      </c>
      <c r="AD930">
        <v>0</v>
      </c>
      <c r="AE930" t="b">
        <f>ISNUMBER(MATCH(G930,AUM!$C$6:$C$1451,0))</f>
        <v>1</v>
      </c>
      <c r="AF930" t="b">
        <f>ISNUMBER(MATCH(G930,AUM!$G$6:$G$240,0))</f>
        <v>1</v>
      </c>
    </row>
    <row r="931" spans="1:32" x14ac:dyDescent="0.2">
      <c r="A931" t="s">
        <v>2926</v>
      </c>
      <c r="B931" s="1">
        <v>45671</v>
      </c>
      <c r="D931" t="s">
        <v>2926</v>
      </c>
      <c r="E931" t="s">
        <v>31</v>
      </c>
      <c r="F931" t="s">
        <v>2927</v>
      </c>
      <c r="G931" t="s">
        <v>2928</v>
      </c>
      <c r="H931" t="s">
        <v>34</v>
      </c>
      <c r="J931">
        <v>17.11</v>
      </c>
      <c r="K931">
        <v>17.28</v>
      </c>
      <c r="L931">
        <v>17.279511939999999</v>
      </c>
      <c r="Q931" t="s">
        <v>2929</v>
      </c>
      <c r="T931">
        <v>0</v>
      </c>
      <c r="W931" t="s">
        <v>36</v>
      </c>
      <c r="X931" t="s">
        <v>69</v>
      </c>
      <c r="Y931" t="s">
        <v>38</v>
      </c>
      <c r="AD931">
        <v>0</v>
      </c>
      <c r="AE931" t="b">
        <f>ISNUMBER(MATCH(G931,AUM!$C$6:$C$1451,0))</f>
        <v>1</v>
      </c>
      <c r="AF931" t="b">
        <f>ISNUMBER(MATCH(G931,AUM!$G$6:$G$240,0))</f>
        <v>0</v>
      </c>
    </row>
    <row r="932" spans="1:32" x14ac:dyDescent="0.2">
      <c r="A932" t="s">
        <v>2929</v>
      </c>
      <c r="B932" s="1">
        <v>45671</v>
      </c>
      <c r="D932" t="s">
        <v>2929</v>
      </c>
      <c r="E932" t="s">
        <v>31</v>
      </c>
      <c r="F932" t="s">
        <v>2930</v>
      </c>
      <c r="G932" t="s">
        <v>2931</v>
      </c>
      <c r="H932" t="s">
        <v>34</v>
      </c>
      <c r="I932">
        <v>100</v>
      </c>
      <c r="J932">
        <v>15.64</v>
      </c>
      <c r="K932">
        <v>15.795</v>
      </c>
      <c r="L932">
        <v>15.795</v>
      </c>
      <c r="M932">
        <v>1579.5</v>
      </c>
      <c r="N932">
        <v>1</v>
      </c>
      <c r="O932" t="s">
        <v>35</v>
      </c>
      <c r="P932">
        <v>1</v>
      </c>
      <c r="R932" t="s">
        <v>2926</v>
      </c>
      <c r="W932" t="s">
        <v>36</v>
      </c>
      <c r="X932" t="s">
        <v>37</v>
      </c>
      <c r="Y932" t="s">
        <v>38</v>
      </c>
      <c r="AD932">
        <v>0</v>
      </c>
      <c r="AE932" t="b">
        <f>ISNUMBER(MATCH(G932,AUM!$C$6:$C$1451,0))</f>
        <v>0</v>
      </c>
      <c r="AF932" t="b">
        <f>ISNUMBER(MATCH(G932,AUM!$G$6:$G$240,0))</f>
        <v>0</v>
      </c>
    </row>
    <row r="933" spans="1:32" x14ac:dyDescent="0.2">
      <c r="A933" t="s">
        <v>2932</v>
      </c>
      <c r="B933" s="1">
        <v>45671</v>
      </c>
      <c r="D933" t="s">
        <v>2932</v>
      </c>
      <c r="E933" t="s">
        <v>31</v>
      </c>
      <c r="F933" t="s">
        <v>2933</v>
      </c>
      <c r="G933" t="s">
        <v>2934</v>
      </c>
      <c r="H933" t="s">
        <v>34</v>
      </c>
      <c r="J933">
        <v>14.327999999999999</v>
      </c>
      <c r="K933">
        <v>14.375999999999999</v>
      </c>
      <c r="L933">
        <v>14.37597019</v>
      </c>
      <c r="Q933" t="s">
        <v>2935</v>
      </c>
      <c r="T933">
        <v>0</v>
      </c>
      <c r="W933" t="s">
        <v>36</v>
      </c>
      <c r="X933" t="s">
        <v>69</v>
      </c>
      <c r="Y933" t="s">
        <v>38</v>
      </c>
      <c r="AD933">
        <v>0</v>
      </c>
      <c r="AE933" t="b">
        <f>ISNUMBER(MATCH(G933,AUM!$C$6:$C$1451,0))</f>
        <v>0</v>
      </c>
      <c r="AF933" t="b">
        <f>ISNUMBER(MATCH(G933,AUM!$G$6:$G$240,0))</f>
        <v>0</v>
      </c>
    </row>
    <row r="934" spans="1:32" x14ac:dyDescent="0.2">
      <c r="A934" t="s">
        <v>2935</v>
      </c>
      <c r="B934" s="1">
        <v>45671</v>
      </c>
      <c r="D934" t="s">
        <v>2935</v>
      </c>
      <c r="E934" t="s">
        <v>31</v>
      </c>
      <c r="F934" t="s">
        <v>2936</v>
      </c>
      <c r="G934" t="s">
        <v>2937</v>
      </c>
      <c r="H934" t="s">
        <v>34</v>
      </c>
      <c r="I934">
        <v>100</v>
      </c>
      <c r="J934">
        <v>13.375</v>
      </c>
      <c r="K934">
        <v>13.42</v>
      </c>
      <c r="L934">
        <v>13.42</v>
      </c>
      <c r="M934">
        <v>1342</v>
      </c>
      <c r="N934">
        <v>1</v>
      </c>
      <c r="O934" t="s">
        <v>35</v>
      </c>
      <c r="P934">
        <v>1</v>
      </c>
      <c r="R934" t="s">
        <v>2932</v>
      </c>
      <c r="W934" t="s">
        <v>36</v>
      </c>
      <c r="X934" t="s">
        <v>37</v>
      </c>
      <c r="Y934" t="s">
        <v>38</v>
      </c>
      <c r="AD934">
        <v>0</v>
      </c>
      <c r="AE934" t="b">
        <f>ISNUMBER(MATCH(G934,AUM!$C$6:$C$1451,0))</f>
        <v>0</v>
      </c>
      <c r="AF934" t="b">
        <f>ISNUMBER(MATCH(G934,AUM!$G$6:$G$240,0))</f>
        <v>0</v>
      </c>
    </row>
    <row r="935" spans="1:32" x14ac:dyDescent="0.2">
      <c r="A935" t="s">
        <v>2938</v>
      </c>
      <c r="B935" s="1">
        <v>45671</v>
      </c>
      <c r="D935" t="s">
        <v>2938</v>
      </c>
      <c r="E935" t="s">
        <v>31</v>
      </c>
      <c r="F935" t="s">
        <v>2939</v>
      </c>
      <c r="G935" t="s">
        <v>2940</v>
      </c>
      <c r="H935" t="s">
        <v>34</v>
      </c>
      <c r="J935">
        <v>28.164000000000001</v>
      </c>
      <c r="K935">
        <v>28.143000000000001</v>
      </c>
      <c r="L935">
        <v>28.1430015</v>
      </c>
      <c r="Q935" t="s">
        <v>2941</v>
      </c>
      <c r="T935">
        <v>0</v>
      </c>
      <c r="W935" t="s">
        <v>36</v>
      </c>
      <c r="X935" t="s">
        <v>69</v>
      </c>
      <c r="Y935" t="s">
        <v>38</v>
      </c>
      <c r="AD935">
        <v>0</v>
      </c>
      <c r="AE935" t="b">
        <f>ISNUMBER(MATCH(G935,AUM!$C$6:$C$1451,0))</f>
        <v>1</v>
      </c>
      <c r="AF935" t="b">
        <f>ISNUMBER(MATCH(G935,AUM!$G$6:$G$240,0))</f>
        <v>0</v>
      </c>
    </row>
    <row r="936" spans="1:32" x14ac:dyDescent="0.2">
      <c r="A936" t="s">
        <v>2941</v>
      </c>
      <c r="B936" s="1">
        <v>45671</v>
      </c>
      <c r="D936" t="s">
        <v>2941</v>
      </c>
      <c r="E936" t="s">
        <v>31</v>
      </c>
      <c r="F936" t="s">
        <v>2942</v>
      </c>
      <c r="G936" t="s">
        <v>2943</v>
      </c>
      <c r="H936" t="s">
        <v>34</v>
      </c>
      <c r="I936">
        <v>100</v>
      </c>
      <c r="J936">
        <v>27.254999999999999</v>
      </c>
      <c r="K936">
        <v>27.234999999999999</v>
      </c>
      <c r="L936">
        <v>27.234999999999999</v>
      </c>
      <c r="M936">
        <v>2723.5</v>
      </c>
      <c r="N936">
        <v>1</v>
      </c>
      <c r="O936" t="s">
        <v>35</v>
      </c>
      <c r="P936">
        <v>1</v>
      </c>
      <c r="R936" t="s">
        <v>2938</v>
      </c>
      <c r="W936" t="s">
        <v>36</v>
      </c>
      <c r="X936" t="s">
        <v>37</v>
      </c>
      <c r="Y936" t="s">
        <v>38</v>
      </c>
      <c r="AD936">
        <v>0</v>
      </c>
      <c r="AE936" t="b">
        <f>ISNUMBER(MATCH(G936,AUM!$C$6:$C$1451,0))</f>
        <v>1</v>
      </c>
      <c r="AF936" t="b">
        <f>ISNUMBER(MATCH(G936,AUM!$G$6:$G$240,0))</f>
        <v>0</v>
      </c>
    </row>
    <row r="937" spans="1:32" x14ac:dyDescent="0.2">
      <c r="A937" t="s">
        <v>2944</v>
      </c>
      <c r="B937" s="1">
        <v>45671</v>
      </c>
      <c r="D937" t="s">
        <v>2944</v>
      </c>
      <c r="E937" t="s">
        <v>31</v>
      </c>
      <c r="F937" t="s">
        <v>2945</v>
      </c>
      <c r="G937" t="s">
        <v>2946</v>
      </c>
      <c r="H937" t="s">
        <v>34</v>
      </c>
      <c r="J937">
        <v>63.344999999999999</v>
      </c>
      <c r="K937">
        <v>63.654000000000003</v>
      </c>
      <c r="L937">
        <v>63.654398579999999</v>
      </c>
      <c r="Q937" t="s">
        <v>2947</v>
      </c>
      <c r="T937">
        <v>0</v>
      </c>
      <c r="W937" t="s">
        <v>36</v>
      </c>
      <c r="X937" t="s">
        <v>69</v>
      </c>
      <c r="Y937" t="s">
        <v>38</v>
      </c>
      <c r="AD937">
        <v>0</v>
      </c>
      <c r="AE937" t="b">
        <f>ISNUMBER(MATCH(G937,AUM!$C$6:$C$1451,0))</f>
        <v>1</v>
      </c>
      <c r="AF937" t="b">
        <f>ISNUMBER(MATCH(G937,AUM!$G$6:$G$240,0))</f>
        <v>0</v>
      </c>
    </row>
    <row r="938" spans="1:32" x14ac:dyDescent="0.2">
      <c r="A938" t="s">
        <v>2947</v>
      </c>
      <c r="B938" s="1">
        <v>45671</v>
      </c>
      <c r="D938" t="s">
        <v>2947</v>
      </c>
      <c r="E938" t="s">
        <v>31</v>
      </c>
      <c r="F938" t="s">
        <v>2948</v>
      </c>
      <c r="G938" t="s">
        <v>2949</v>
      </c>
      <c r="H938" t="s">
        <v>34</v>
      </c>
      <c r="I938">
        <v>100</v>
      </c>
      <c r="J938">
        <v>59.35</v>
      </c>
      <c r="K938">
        <v>59.64</v>
      </c>
      <c r="L938">
        <v>59.64</v>
      </c>
      <c r="M938">
        <v>5964</v>
      </c>
      <c r="N938">
        <v>1</v>
      </c>
      <c r="O938" t="s">
        <v>35</v>
      </c>
      <c r="P938">
        <v>1</v>
      </c>
      <c r="R938" t="s">
        <v>2944</v>
      </c>
      <c r="W938" t="s">
        <v>36</v>
      </c>
      <c r="X938" t="s">
        <v>37</v>
      </c>
      <c r="Y938" t="s">
        <v>38</v>
      </c>
      <c r="AD938">
        <v>0</v>
      </c>
      <c r="AE938" t="b">
        <f>ISNUMBER(MATCH(G938,AUM!$C$6:$C$1451,0))</f>
        <v>1</v>
      </c>
      <c r="AF938" t="b">
        <f>ISNUMBER(MATCH(G938,AUM!$G$6:$G$240,0))</f>
        <v>0</v>
      </c>
    </row>
    <row r="939" spans="1:32" x14ac:dyDescent="0.2">
      <c r="A939" t="s">
        <v>2950</v>
      </c>
      <c r="B939" s="1">
        <v>45671</v>
      </c>
      <c r="D939" t="s">
        <v>2950</v>
      </c>
      <c r="E939" t="s">
        <v>31</v>
      </c>
      <c r="F939" t="s">
        <v>2951</v>
      </c>
      <c r="G939" t="s">
        <v>2952</v>
      </c>
      <c r="H939" t="s">
        <v>34</v>
      </c>
      <c r="J939">
        <v>1744.44</v>
      </c>
      <c r="K939">
        <v>1740.81</v>
      </c>
      <c r="L939">
        <v>1740.8060170199999</v>
      </c>
      <c r="Q939" t="s">
        <v>2953</v>
      </c>
      <c r="T939">
        <v>0</v>
      </c>
      <c r="W939" t="s">
        <v>36</v>
      </c>
      <c r="X939" t="s">
        <v>69</v>
      </c>
      <c r="Y939" t="s">
        <v>38</v>
      </c>
      <c r="AD939">
        <v>0</v>
      </c>
      <c r="AE939" t="b">
        <f>ISNUMBER(MATCH(G939,AUM!$C$6:$C$1451,0))</f>
        <v>1</v>
      </c>
      <c r="AF939" t="b">
        <f>ISNUMBER(MATCH(G939,AUM!$G$6:$G$240,0))</f>
        <v>0</v>
      </c>
    </row>
    <row r="940" spans="1:32" x14ac:dyDescent="0.2">
      <c r="A940" t="s">
        <v>2954</v>
      </c>
      <c r="B940" s="1">
        <v>45671</v>
      </c>
      <c r="D940" t="s">
        <v>2954</v>
      </c>
      <c r="E940" t="s">
        <v>31</v>
      </c>
      <c r="F940" t="s">
        <v>2955</v>
      </c>
      <c r="G940" t="s">
        <v>2956</v>
      </c>
      <c r="H940" t="s">
        <v>34</v>
      </c>
      <c r="J940">
        <v>1646.97</v>
      </c>
      <c r="K940">
        <v>1643.54</v>
      </c>
      <c r="L940">
        <v>1643.5353535700001</v>
      </c>
      <c r="Q940" t="s">
        <v>2953</v>
      </c>
      <c r="U940">
        <v>0</v>
      </c>
      <c r="W940" t="s">
        <v>36</v>
      </c>
      <c r="X940" t="s">
        <v>69</v>
      </c>
      <c r="Y940" t="s">
        <v>38</v>
      </c>
      <c r="AD940">
        <v>0</v>
      </c>
      <c r="AE940" t="b">
        <f>ISNUMBER(MATCH(G940,AUM!$C$6:$C$1451,0))</f>
        <v>1</v>
      </c>
      <c r="AF940" t="b">
        <f>ISNUMBER(MATCH(G940,AUM!$G$6:$G$240,0))</f>
        <v>0</v>
      </c>
    </row>
    <row r="941" spans="1:32" x14ac:dyDescent="0.2">
      <c r="A941" t="s">
        <v>2953</v>
      </c>
      <c r="B941" s="1">
        <v>45671</v>
      </c>
      <c r="D941" t="s">
        <v>2953</v>
      </c>
      <c r="E941" t="s">
        <v>31</v>
      </c>
      <c r="F941" t="s">
        <v>2957</v>
      </c>
      <c r="G941" t="s">
        <v>2958</v>
      </c>
      <c r="H941" t="s">
        <v>34</v>
      </c>
      <c r="I941">
        <v>506140026.822698</v>
      </c>
      <c r="J941">
        <v>1392.13</v>
      </c>
      <c r="K941">
        <v>1389.23</v>
      </c>
      <c r="L941">
        <v>1389.22594454</v>
      </c>
      <c r="M941">
        <v>703142856832.63</v>
      </c>
      <c r="N941">
        <v>31</v>
      </c>
      <c r="O941" t="s">
        <v>35</v>
      </c>
      <c r="P941">
        <v>1</v>
      </c>
      <c r="R941" t="s">
        <v>2950</v>
      </c>
      <c r="S941" t="s">
        <v>2954</v>
      </c>
      <c r="W941" t="s">
        <v>36</v>
      </c>
      <c r="X941" t="s">
        <v>37</v>
      </c>
      <c r="Y941" t="s">
        <v>38</v>
      </c>
      <c r="AD941">
        <v>0</v>
      </c>
      <c r="AE941" t="b">
        <f>ISNUMBER(MATCH(G941,AUM!$C$6:$C$1451,0))</f>
        <v>1</v>
      </c>
      <c r="AF941" t="b">
        <f>ISNUMBER(MATCH(G941,AUM!$G$6:$G$240,0))</f>
        <v>1</v>
      </c>
    </row>
    <row r="942" spans="1:32" x14ac:dyDescent="0.2">
      <c r="A942" t="s">
        <v>2959</v>
      </c>
      <c r="B942" s="1">
        <v>45671</v>
      </c>
      <c r="D942" t="s">
        <v>2959</v>
      </c>
      <c r="E942" t="s">
        <v>31</v>
      </c>
      <c r="F942" t="s">
        <v>2960</v>
      </c>
      <c r="G942" t="s">
        <v>2961</v>
      </c>
      <c r="H942" t="s">
        <v>34</v>
      </c>
      <c r="J942">
        <v>63.344999999999999</v>
      </c>
      <c r="K942">
        <v>63.654000000000003</v>
      </c>
      <c r="L942">
        <v>63.654398579999999</v>
      </c>
      <c r="Q942" t="s">
        <v>2962</v>
      </c>
      <c r="T942">
        <v>0</v>
      </c>
      <c r="W942" t="s">
        <v>36</v>
      </c>
      <c r="X942" t="s">
        <v>69</v>
      </c>
      <c r="Y942" t="s">
        <v>38</v>
      </c>
      <c r="AD942">
        <v>0</v>
      </c>
      <c r="AE942" t="b">
        <f>ISNUMBER(MATCH(G942,AUM!$C$6:$C$1451,0))</f>
        <v>1</v>
      </c>
      <c r="AF942" t="b">
        <f>ISNUMBER(MATCH(G942,AUM!$G$6:$G$240,0))</f>
        <v>0</v>
      </c>
    </row>
    <row r="943" spans="1:32" x14ac:dyDescent="0.2">
      <c r="A943" t="s">
        <v>2962</v>
      </c>
      <c r="B943" s="1">
        <v>45671</v>
      </c>
      <c r="D943" t="s">
        <v>2962</v>
      </c>
      <c r="E943" t="s">
        <v>31</v>
      </c>
      <c r="F943" t="s">
        <v>2963</v>
      </c>
      <c r="G943" t="s">
        <v>2964</v>
      </c>
      <c r="H943" t="s">
        <v>34</v>
      </c>
      <c r="I943">
        <v>100</v>
      </c>
      <c r="J943">
        <v>59.35</v>
      </c>
      <c r="K943">
        <v>59.64</v>
      </c>
      <c r="L943">
        <v>59.64</v>
      </c>
      <c r="M943">
        <v>5964</v>
      </c>
      <c r="N943">
        <v>1</v>
      </c>
      <c r="O943" t="s">
        <v>35</v>
      </c>
      <c r="P943">
        <v>1</v>
      </c>
      <c r="R943" t="s">
        <v>2959</v>
      </c>
      <c r="W943" t="s">
        <v>36</v>
      </c>
      <c r="X943" t="s">
        <v>37</v>
      </c>
      <c r="Y943" t="s">
        <v>38</v>
      </c>
      <c r="AD943">
        <v>0</v>
      </c>
      <c r="AE943" t="b">
        <f>ISNUMBER(MATCH(G943,AUM!$C$6:$C$1451,0))</f>
        <v>1</v>
      </c>
      <c r="AF943" t="b">
        <f>ISNUMBER(MATCH(G943,AUM!$G$6:$G$240,0))</f>
        <v>0</v>
      </c>
    </row>
    <row r="944" spans="1:32" x14ac:dyDescent="0.2">
      <c r="A944" t="s">
        <v>2965</v>
      </c>
      <c r="B944" s="1">
        <v>45671</v>
      </c>
      <c r="D944" t="s">
        <v>2965</v>
      </c>
      <c r="E944" t="s">
        <v>31</v>
      </c>
      <c r="F944" t="s">
        <v>2966</v>
      </c>
      <c r="G944" t="s">
        <v>2967</v>
      </c>
      <c r="H944" t="s">
        <v>34</v>
      </c>
      <c r="J944">
        <v>28.164000000000001</v>
      </c>
      <c r="K944">
        <v>28.143000000000001</v>
      </c>
      <c r="L944">
        <v>28.1430015</v>
      </c>
      <c r="Q944" t="s">
        <v>2968</v>
      </c>
      <c r="T944">
        <v>0</v>
      </c>
      <c r="W944" t="s">
        <v>36</v>
      </c>
      <c r="X944" t="s">
        <v>69</v>
      </c>
      <c r="Y944" t="s">
        <v>38</v>
      </c>
      <c r="AD944">
        <v>0</v>
      </c>
      <c r="AE944" t="b">
        <f>ISNUMBER(MATCH(G944,AUM!$C$6:$C$1451,0))</f>
        <v>1</v>
      </c>
      <c r="AF944" t="b">
        <f>ISNUMBER(MATCH(G944,AUM!$G$6:$G$240,0))</f>
        <v>0</v>
      </c>
    </row>
    <row r="945" spans="1:32" x14ac:dyDescent="0.2">
      <c r="A945" t="s">
        <v>2968</v>
      </c>
      <c r="B945" s="1">
        <v>45671</v>
      </c>
      <c r="D945" t="s">
        <v>2968</v>
      </c>
      <c r="E945" t="s">
        <v>31</v>
      </c>
      <c r="F945" t="s">
        <v>2969</v>
      </c>
      <c r="G945" t="s">
        <v>2970</v>
      </c>
      <c r="H945" t="s">
        <v>34</v>
      </c>
      <c r="I945">
        <v>100</v>
      </c>
      <c r="J945">
        <v>27.254999999999999</v>
      </c>
      <c r="K945">
        <v>27.234999999999999</v>
      </c>
      <c r="L945">
        <v>27.234999999999999</v>
      </c>
      <c r="M945">
        <v>2723.5</v>
      </c>
      <c r="N945">
        <v>1</v>
      </c>
      <c r="O945" t="s">
        <v>35</v>
      </c>
      <c r="P945">
        <v>1</v>
      </c>
      <c r="R945" t="s">
        <v>2965</v>
      </c>
      <c r="W945" t="s">
        <v>36</v>
      </c>
      <c r="X945" t="s">
        <v>37</v>
      </c>
      <c r="Y945" t="s">
        <v>38</v>
      </c>
      <c r="AD945">
        <v>0</v>
      </c>
      <c r="AE945" t="b">
        <f>ISNUMBER(MATCH(G945,AUM!$C$6:$C$1451,0))</f>
        <v>1</v>
      </c>
      <c r="AF945" t="b">
        <f>ISNUMBER(MATCH(G945,AUM!$G$6:$G$240,0))</f>
        <v>0</v>
      </c>
    </row>
    <row r="946" spans="1:32" x14ac:dyDescent="0.2">
      <c r="A946" t="s">
        <v>2971</v>
      </c>
      <c r="B946" s="1">
        <v>45671</v>
      </c>
      <c r="D946" t="s">
        <v>2971</v>
      </c>
      <c r="E946" t="s">
        <v>31</v>
      </c>
      <c r="F946" t="s">
        <v>2972</v>
      </c>
      <c r="G946" t="s">
        <v>2973</v>
      </c>
      <c r="H946" t="s">
        <v>34</v>
      </c>
      <c r="J946">
        <v>99.488</v>
      </c>
      <c r="K946">
        <v>98.822000000000003</v>
      </c>
      <c r="L946">
        <v>98.821657860000002</v>
      </c>
      <c r="Q946" t="s">
        <v>2974</v>
      </c>
      <c r="T946">
        <v>0</v>
      </c>
      <c r="W946" t="s">
        <v>36</v>
      </c>
      <c r="X946" t="s">
        <v>69</v>
      </c>
      <c r="Y946" t="s">
        <v>38</v>
      </c>
      <c r="AD946">
        <v>0</v>
      </c>
      <c r="AE946" t="b">
        <f>ISNUMBER(MATCH(G946,AUM!$C$6:$C$1451,0))</f>
        <v>1</v>
      </c>
      <c r="AF946" t="b">
        <f>ISNUMBER(MATCH(G946,AUM!$G$6:$G$240,0))</f>
        <v>0</v>
      </c>
    </row>
    <row r="947" spans="1:32" x14ac:dyDescent="0.2">
      <c r="A947" t="s">
        <v>2974</v>
      </c>
      <c r="B947" s="1">
        <v>45671</v>
      </c>
      <c r="D947" t="s">
        <v>2974</v>
      </c>
      <c r="E947" t="s">
        <v>31</v>
      </c>
      <c r="F947" t="s">
        <v>2975</v>
      </c>
      <c r="G947" t="s">
        <v>2976</v>
      </c>
      <c r="H947" t="s">
        <v>34</v>
      </c>
      <c r="I947">
        <v>100</v>
      </c>
      <c r="J947">
        <v>95.61</v>
      </c>
      <c r="K947">
        <v>94.97</v>
      </c>
      <c r="L947">
        <v>94.97</v>
      </c>
      <c r="M947">
        <v>9497</v>
      </c>
      <c r="N947">
        <v>1</v>
      </c>
      <c r="O947" t="s">
        <v>35</v>
      </c>
      <c r="P947">
        <v>1</v>
      </c>
      <c r="R947" t="s">
        <v>2971</v>
      </c>
      <c r="W947" t="s">
        <v>36</v>
      </c>
      <c r="X947" t="s">
        <v>37</v>
      </c>
      <c r="Y947" t="s">
        <v>38</v>
      </c>
      <c r="AD947">
        <v>0</v>
      </c>
      <c r="AE947" t="b">
        <f>ISNUMBER(MATCH(G947,AUM!$C$6:$C$1451,0))</f>
        <v>1</v>
      </c>
      <c r="AF947" t="b">
        <f>ISNUMBER(MATCH(G947,AUM!$G$6:$G$240,0))</f>
        <v>0</v>
      </c>
    </row>
    <row r="948" spans="1:32" x14ac:dyDescent="0.2">
      <c r="A948" t="s">
        <v>2977</v>
      </c>
      <c r="B948" s="1">
        <v>45671</v>
      </c>
      <c r="D948" t="s">
        <v>2977</v>
      </c>
      <c r="E948" t="s">
        <v>31</v>
      </c>
      <c r="F948" t="s">
        <v>2978</v>
      </c>
      <c r="G948" t="s">
        <v>2979</v>
      </c>
      <c r="H948" t="s">
        <v>34</v>
      </c>
      <c r="J948">
        <v>17.11</v>
      </c>
      <c r="K948">
        <v>17.28</v>
      </c>
      <c r="L948">
        <v>17.279511939999999</v>
      </c>
      <c r="Q948" t="s">
        <v>2980</v>
      </c>
      <c r="T948">
        <v>0</v>
      </c>
      <c r="W948" t="s">
        <v>36</v>
      </c>
      <c r="X948" t="s">
        <v>69</v>
      </c>
      <c r="Y948" t="s">
        <v>38</v>
      </c>
      <c r="AD948">
        <v>0</v>
      </c>
      <c r="AE948" t="b">
        <f>ISNUMBER(MATCH(G948,AUM!$C$6:$C$1451,0))</f>
        <v>1</v>
      </c>
      <c r="AF948" t="b">
        <f>ISNUMBER(MATCH(G948,AUM!$G$6:$G$240,0))</f>
        <v>0</v>
      </c>
    </row>
    <row r="949" spans="1:32" x14ac:dyDescent="0.2">
      <c r="A949" t="s">
        <v>2980</v>
      </c>
      <c r="B949" s="1">
        <v>45671</v>
      </c>
      <c r="D949" t="s">
        <v>2980</v>
      </c>
      <c r="E949" t="s">
        <v>31</v>
      </c>
      <c r="F949" t="s">
        <v>2981</v>
      </c>
      <c r="G949" t="s">
        <v>2982</v>
      </c>
      <c r="H949" t="s">
        <v>34</v>
      </c>
      <c r="I949">
        <v>100</v>
      </c>
      <c r="J949">
        <v>15.64</v>
      </c>
      <c r="K949">
        <v>15.795</v>
      </c>
      <c r="L949">
        <v>15.795</v>
      </c>
      <c r="M949">
        <v>1579.5</v>
      </c>
      <c r="N949">
        <v>1</v>
      </c>
      <c r="O949" t="s">
        <v>35</v>
      </c>
      <c r="P949">
        <v>1</v>
      </c>
      <c r="R949" t="s">
        <v>2977</v>
      </c>
      <c r="W949" t="s">
        <v>36</v>
      </c>
      <c r="X949" t="s">
        <v>37</v>
      </c>
      <c r="Y949" t="s">
        <v>38</v>
      </c>
      <c r="AD949">
        <v>0</v>
      </c>
      <c r="AE949" t="b">
        <f>ISNUMBER(MATCH(G949,AUM!$C$6:$C$1451,0))</f>
        <v>1</v>
      </c>
      <c r="AF949" t="b">
        <f>ISNUMBER(MATCH(G949,AUM!$G$6:$G$240,0))</f>
        <v>0</v>
      </c>
    </row>
    <row r="950" spans="1:32" x14ac:dyDescent="0.2">
      <c r="A950" t="s">
        <v>2983</v>
      </c>
      <c r="B950" s="1">
        <v>45671</v>
      </c>
      <c r="D950" t="s">
        <v>2983</v>
      </c>
      <c r="E950" t="s">
        <v>31</v>
      </c>
      <c r="F950" t="s">
        <v>2984</v>
      </c>
      <c r="G950" t="s">
        <v>2985</v>
      </c>
      <c r="H950" t="s">
        <v>34</v>
      </c>
      <c r="J950">
        <v>9440.34</v>
      </c>
      <c r="K950">
        <v>9440.9500000000007</v>
      </c>
      <c r="L950">
        <v>9440.9530608799996</v>
      </c>
      <c r="Q950" t="s">
        <v>2986</v>
      </c>
      <c r="T950">
        <v>0</v>
      </c>
      <c r="W950" t="s">
        <v>36</v>
      </c>
      <c r="X950" t="s">
        <v>69</v>
      </c>
      <c r="Y950" t="s">
        <v>38</v>
      </c>
      <c r="AD950">
        <v>0</v>
      </c>
      <c r="AE950" t="b">
        <f>ISNUMBER(MATCH(G950,AUM!$C$6:$C$1451,0))</f>
        <v>1</v>
      </c>
      <c r="AF950" t="b">
        <f>ISNUMBER(MATCH(G950,AUM!$G$6:$G$240,0))</f>
        <v>0</v>
      </c>
    </row>
    <row r="951" spans="1:32" x14ac:dyDescent="0.2">
      <c r="A951" t="s">
        <v>2987</v>
      </c>
      <c r="B951" s="1">
        <v>45671</v>
      </c>
      <c r="D951" t="s">
        <v>2987</v>
      </c>
      <c r="E951" t="s">
        <v>31</v>
      </c>
      <c r="F951" t="s">
        <v>2988</v>
      </c>
      <c r="G951" t="s">
        <v>2989</v>
      </c>
      <c r="H951" t="s">
        <v>34</v>
      </c>
      <c r="J951">
        <v>8593.2900000000009</v>
      </c>
      <c r="K951">
        <v>8593.85</v>
      </c>
      <c r="L951">
        <v>8593.8503146799994</v>
      </c>
      <c r="Q951" t="s">
        <v>2986</v>
      </c>
      <c r="U951">
        <v>0</v>
      </c>
      <c r="W951" t="s">
        <v>36</v>
      </c>
      <c r="X951" t="s">
        <v>69</v>
      </c>
      <c r="Y951" t="s">
        <v>38</v>
      </c>
      <c r="AD951">
        <v>0</v>
      </c>
      <c r="AE951" t="b">
        <f>ISNUMBER(MATCH(G951,AUM!$C$6:$C$1451,0))</f>
        <v>1</v>
      </c>
      <c r="AF951" t="b">
        <f>ISNUMBER(MATCH(G951,AUM!$G$6:$G$240,0))</f>
        <v>0</v>
      </c>
    </row>
    <row r="952" spans="1:32" x14ac:dyDescent="0.2">
      <c r="A952" t="s">
        <v>2986</v>
      </c>
      <c r="B952" s="1">
        <v>45671</v>
      </c>
      <c r="D952" t="s">
        <v>2986</v>
      </c>
      <c r="E952" t="s">
        <v>31</v>
      </c>
      <c r="F952" t="s">
        <v>2990</v>
      </c>
      <c r="G952" t="s">
        <v>2991</v>
      </c>
      <c r="H952" t="s">
        <v>34</v>
      </c>
      <c r="I952">
        <v>1949708141.06705</v>
      </c>
      <c r="J952">
        <v>6589.72</v>
      </c>
      <c r="K952">
        <v>6590.15</v>
      </c>
      <c r="L952">
        <v>6590.1519496399997</v>
      </c>
      <c r="M952">
        <v>12848872907091.6</v>
      </c>
      <c r="N952">
        <v>50</v>
      </c>
      <c r="O952" t="s">
        <v>35</v>
      </c>
      <c r="P952">
        <v>1</v>
      </c>
      <c r="R952" t="s">
        <v>2983</v>
      </c>
      <c r="S952" t="s">
        <v>2987</v>
      </c>
      <c r="W952" t="s">
        <v>36</v>
      </c>
      <c r="X952" t="s">
        <v>37</v>
      </c>
      <c r="Y952" t="s">
        <v>38</v>
      </c>
      <c r="AD952">
        <v>0</v>
      </c>
      <c r="AE952" t="b">
        <f>ISNUMBER(MATCH(G952,AUM!$C$6:$C$1451,0))</f>
        <v>1</v>
      </c>
      <c r="AF952" t="b">
        <f>ISNUMBER(MATCH(G952,AUM!$G$6:$G$240,0))</f>
        <v>1</v>
      </c>
    </row>
    <row r="953" spans="1:32" x14ac:dyDescent="0.2">
      <c r="A953" t="s">
        <v>2992</v>
      </c>
      <c r="B953" s="1">
        <v>45671</v>
      </c>
      <c r="D953" t="s">
        <v>2992</v>
      </c>
      <c r="E953" t="s">
        <v>31</v>
      </c>
      <c r="F953" t="s">
        <v>2993</v>
      </c>
      <c r="G953" t="s">
        <v>2994</v>
      </c>
      <c r="H953" t="s">
        <v>34</v>
      </c>
      <c r="I953">
        <v>100</v>
      </c>
      <c r="J953">
        <v>1271.4000000000001</v>
      </c>
      <c r="K953">
        <v>1267.55</v>
      </c>
      <c r="L953">
        <v>1267.54855251</v>
      </c>
      <c r="M953">
        <v>126752.00647507</v>
      </c>
      <c r="N953">
        <v>2</v>
      </c>
      <c r="O953" t="s">
        <v>35</v>
      </c>
      <c r="P953">
        <v>1</v>
      </c>
      <c r="W953" t="s">
        <v>36</v>
      </c>
      <c r="X953" t="s">
        <v>37</v>
      </c>
      <c r="Y953" t="s">
        <v>38</v>
      </c>
      <c r="AD953">
        <v>0</v>
      </c>
      <c r="AE953" t="b">
        <f>ISNUMBER(MATCH(G953,AUM!$C$6:$C$1451,0))</f>
        <v>1</v>
      </c>
      <c r="AF953" t="b">
        <f>ISNUMBER(MATCH(G953,AUM!$G$6:$G$240,0))</f>
        <v>1</v>
      </c>
    </row>
    <row r="954" spans="1:32" x14ac:dyDescent="0.2">
      <c r="A954" t="s">
        <v>2995</v>
      </c>
      <c r="B954" s="1">
        <v>45671</v>
      </c>
      <c r="D954" t="s">
        <v>2995</v>
      </c>
      <c r="E954" t="s">
        <v>31</v>
      </c>
      <c r="F954" t="s">
        <v>2996</v>
      </c>
      <c r="G954" t="s">
        <v>2997</v>
      </c>
      <c r="H954" t="s">
        <v>34</v>
      </c>
      <c r="J954">
        <v>17.11</v>
      </c>
      <c r="K954">
        <v>17.28</v>
      </c>
      <c r="L954">
        <v>17.279511939999999</v>
      </c>
      <c r="Q954" t="s">
        <v>2998</v>
      </c>
      <c r="T954">
        <v>0</v>
      </c>
      <c r="W954" t="s">
        <v>36</v>
      </c>
      <c r="X954" t="s">
        <v>69</v>
      </c>
      <c r="Y954" t="s">
        <v>38</v>
      </c>
      <c r="AD954">
        <v>0</v>
      </c>
      <c r="AE954" t="b">
        <f>ISNUMBER(MATCH(G954,AUM!$C$6:$C$1451,0))</f>
        <v>1</v>
      </c>
      <c r="AF954" t="b">
        <f>ISNUMBER(MATCH(G954,AUM!$G$6:$G$240,0))</f>
        <v>0</v>
      </c>
    </row>
    <row r="955" spans="1:32" x14ac:dyDescent="0.2">
      <c r="A955" t="s">
        <v>2998</v>
      </c>
      <c r="B955" s="1">
        <v>45671</v>
      </c>
      <c r="D955" t="s">
        <v>2998</v>
      </c>
      <c r="E955" t="s">
        <v>31</v>
      </c>
      <c r="F955" t="s">
        <v>2999</v>
      </c>
      <c r="G955" t="s">
        <v>3000</v>
      </c>
      <c r="H955" t="s">
        <v>34</v>
      </c>
      <c r="I955">
        <v>100</v>
      </c>
      <c r="J955">
        <v>15.64</v>
      </c>
      <c r="K955">
        <v>15.795</v>
      </c>
      <c r="L955">
        <v>15.795</v>
      </c>
      <c r="M955">
        <v>1579.5</v>
      </c>
      <c r="N955">
        <v>1</v>
      </c>
      <c r="O955" t="s">
        <v>35</v>
      </c>
      <c r="P955">
        <v>1</v>
      </c>
      <c r="R955" t="s">
        <v>2995</v>
      </c>
      <c r="W955" t="s">
        <v>36</v>
      </c>
      <c r="X955" t="s">
        <v>37</v>
      </c>
      <c r="Y955" t="s">
        <v>38</v>
      </c>
      <c r="AD955">
        <v>0</v>
      </c>
      <c r="AE955" t="b">
        <f>ISNUMBER(MATCH(G955,AUM!$C$6:$C$1451,0))</f>
        <v>1</v>
      </c>
      <c r="AF955" t="b">
        <f>ISNUMBER(MATCH(G955,AUM!$G$6:$G$240,0))</f>
        <v>0</v>
      </c>
    </row>
    <row r="956" spans="1:32" x14ac:dyDescent="0.2">
      <c r="A956" t="s">
        <v>3001</v>
      </c>
      <c r="B956" s="1">
        <v>45671</v>
      </c>
      <c r="D956" t="s">
        <v>3001</v>
      </c>
      <c r="E956" t="s">
        <v>31</v>
      </c>
      <c r="F956" t="s">
        <v>3002</v>
      </c>
      <c r="G956" t="s">
        <v>3003</v>
      </c>
      <c r="H956" t="s">
        <v>34</v>
      </c>
      <c r="J956">
        <v>30.009</v>
      </c>
      <c r="K956">
        <v>29.907</v>
      </c>
      <c r="L956">
        <v>29.907171009999999</v>
      </c>
      <c r="Q956" t="s">
        <v>3004</v>
      </c>
      <c r="T956">
        <v>0</v>
      </c>
      <c r="W956" t="s">
        <v>36</v>
      </c>
      <c r="X956" t="s">
        <v>69</v>
      </c>
      <c r="Y956" t="s">
        <v>38</v>
      </c>
      <c r="AD956">
        <v>0</v>
      </c>
      <c r="AE956" t="b">
        <f>ISNUMBER(MATCH(G956,AUM!$C$6:$C$1451,0))</f>
        <v>0</v>
      </c>
      <c r="AF956" t="b">
        <f>ISNUMBER(MATCH(G956,AUM!$G$6:$G$240,0))</f>
        <v>0</v>
      </c>
    </row>
    <row r="957" spans="1:32" x14ac:dyDescent="0.2">
      <c r="A957" t="s">
        <v>3004</v>
      </c>
      <c r="B957" s="1">
        <v>45671</v>
      </c>
      <c r="D957" t="s">
        <v>3004</v>
      </c>
      <c r="E957" t="s">
        <v>31</v>
      </c>
      <c r="F957" t="s">
        <v>3005</v>
      </c>
      <c r="G957" t="s">
        <v>3006</v>
      </c>
      <c r="H957" t="s">
        <v>34</v>
      </c>
      <c r="I957">
        <v>100</v>
      </c>
      <c r="J957">
        <v>26.47</v>
      </c>
      <c r="K957">
        <v>26.38</v>
      </c>
      <c r="L957">
        <v>26.38</v>
      </c>
      <c r="M957">
        <v>2638</v>
      </c>
      <c r="N957">
        <v>1</v>
      </c>
      <c r="O957" t="s">
        <v>35</v>
      </c>
      <c r="P957">
        <v>1</v>
      </c>
      <c r="R957" t="s">
        <v>3001</v>
      </c>
      <c r="W957" t="s">
        <v>36</v>
      </c>
      <c r="X957" t="s">
        <v>37</v>
      </c>
      <c r="Y957" t="s">
        <v>38</v>
      </c>
      <c r="AD957">
        <v>0</v>
      </c>
      <c r="AE957" t="b">
        <f>ISNUMBER(MATCH(G957,AUM!$C$6:$C$1451,0))</f>
        <v>0</v>
      </c>
      <c r="AF957" t="b">
        <f>ISNUMBER(MATCH(G957,AUM!$G$6:$G$240,0))</f>
        <v>0</v>
      </c>
    </row>
    <row r="958" spans="1:32" x14ac:dyDescent="0.2">
      <c r="A958" t="s">
        <v>3007</v>
      </c>
      <c r="B958" s="1">
        <v>45671</v>
      </c>
      <c r="D958" t="s">
        <v>3007</v>
      </c>
      <c r="E958" t="s">
        <v>31</v>
      </c>
      <c r="F958" t="s">
        <v>3008</v>
      </c>
      <c r="G958" t="s">
        <v>3009</v>
      </c>
      <c r="H958" t="s">
        <v>34</v>
      </c>
      <c r="J958">
        <v>243.36099999999999</v>
      </c>
      <c r="K958">
        <v>242.934</v>
      </c>
      <c r="L958">
        <v>242.93379490999999</v>
      </c>
      <c r="Q958" t="s">
        <v>3010</v>
      </c>
      <c r="T958">
        <v>2</v>
      </c>
      <c r="V958" t="s">
        <v>79</v>
      </c>
      <c r="W958" t="s">
        <v>36</v>
      </c>
      <c r="X958" t="s">
        <v>69</v>
      </c>
      <c r="Y958" t="s">
        <v>38</v>
      </c>
      <c r="AD958">
        <v>0</v>
      </c>
      <c r="AE958" t="b">
        <f>ISNUMBER(MATCH(G958,AUM!$C$6:$C$1451,0))</f>
        <v>0</v>
      </c>
      <c r="AF958" t="b">
        <f>ISNUMBER(MATCH(G958,AUM!$G$6:$G$240,0))</f>
        <v>0</v>
      </c>
    </row>
    <row r="959" spans="1:32" x14ac:dyDescent="0.2">
      <c r="A959" t="s">
        <v>3010</v>
      </c>
      <c r="B959" s="1">
        <v>45671</v>
      </c>
      <c r="D959" t="s">
        <v>3010</v>
      </c>
      <c r="E959" t="s">
        <v>31</v>
      </c>
      <c r="F959" t="s">
        <v>3011</v>
      </c>
      <c r="G959" t="s">
        <v>3012</v>
      </c>
      <c r="H959" t="s">
        <v>34</v>
      </c>
      <c r="I959">
        <v>100</v>
      </c>
      <c r="J959">
        <v>227.8</v>
      </c>
      <c r="K959">
        <v>227.4</v>
      </c>
      <c r="L959">
        <v>227.4</v>
      </c>
      <c r="M959">
        <v>22740</v>
      </c>
      <c r="N959">
        <v>1</v>
      </c>
      <c r="O959" t="s">
        <v>35</v>
      </c>
      <c r="P959">
        <v>1</v>
      </c>
      <c r="R959" t="s">
        <v>3007</v>
      </c>
      <c r="W959" t="s">
        <v>36</v>
      </c>
      <c r="X959" t="s">
        <v>37</v>
      </c>
      <c r="Y959" t="s">
        <v>38</v>
      </c>
      <c r="AD959">
        <v>0</v>
      </c>
      <c r="AE959" t="b">
        <f>ISNUMBER(MATCH(G959,AUM!$C$6:$C$1451,0))</f>
        <v>0</v>
      </c>
      <c r="AF959" t="b">
        <f>ISNUMBER(MATCH(G959,AUM!$G$6:$G$240,0))</f>
        <v>0</v>
      </c>
    </row>
    <row r="960" spans="1:32" x14ac:dyDescent="0.2">
      <c r="A960" t="s">
        <v>3013</v>
      </c>
      <c r="B960" s="1">
        <v>45671</v>
      </c>
      <c r="D960" t="s">
        <v>3013</v>
      </c>
      <c r="E960" t="s">
        <v>31</v>
      </c>
      <c r="F960" t="s">
        <v>3014</v>
      </c>
      <c r="G960" t="s">
        <v>3015</v>
      </c>
      <c r="H960" t="s">
        <v>34</v>
      </c>
      <c r="J960">
        <v>16572.580000000002</v>
      </c>
      <c r="K960">
        <v>16556.59</v>
      </c>
      <c r="L960">
        <v>16556.59028059</v>
      </c>
      <c r="Q960" t="s">
        <v>3016</v>
      </c>
      <c r="T960">
        <v>4.6741538460520003E-2</v>
      </c>
      <c r="V960" t="s">
        <v>1894</v>
      </c>
      <c r="W960" t="s">
        <v>36</v>
      </c>
      <c r="X960" t="s">
        <v>69</v>
      </c>
      <c r="Y960" t="s">
        <v>38</v>
      </c>
      <c r="AD960">
        <v>0</v>
      </c>
      <c r="AE960" t="b">
        <f>ISNUMBER(MATCH(G960,AUM!$C$6:$C$1451,0))</f>
        <v>1</v>
      </c>
      <c r="AF960" t="b">
        <f>ISNUMBER(MATCH(G960,AUM!$G$6:$G$240,0))</f>
        <v>0</v>
      </c>
    </row>
    <row r="961" spans="1:32" x14ac:dyDescent="0.2">
      <c r="A961" t="s">
        <v>3017</v>
      </c>
      <c r="B961" s="1">
        <v>45671</v>
      </c>
      <c r="D961" t="s">
        <v>3017</v>
      </c>
      <c r="E961" t="s">
        <v>31</v>
      </c>
      <c r="F961" t="s">
        <v>3018</v>
      </c>
      <c r="G961" t="s">
        <v>3019</v>
      </c>
      <c r="H961" t="s">
        <v>34</v>
      </c>
      <c r="J961">
        <v>15587.52</v>
      </c>
      <c r="K961">
        <v>15572.48</v>
      </c>
      <c r="L961">
        <v>15572.480438320001</v>
      </c>
      <c r="Q961" t="s">
        <v>3016</v>
      </c>
      <c r="U961">
        <v>3.2719076922360001E-2</v>
      </c>
      <c r="V961" t="s">
        <v>1894</v>
      </c>
      <c r="W961" t="s">
        <v>36</v>
      </c>
      <c r="X961" t="s">
        <v>69</v>
      </c>
      <c r="Y961" t="s">
        <v>38</v>
      </c>
      <c r="AD961">
        <v>0</v>
      </c>
      <c r="AE961" t="b">
        <f>ISNUMBER(MATCH(G961,AUM!$C$6:$C$1451,0))</f>
        <v>1</v>
      </c>
      <c r="AF961" t="b">
        <f>ISNUMBER(MATCH(G961,AUM!$G$6:$G$240,0))</f>
        <v>0</v>
      </c>
    </row>
    <row r="962" spans="1:32" x14ac:dyDescent="0.2">
      <c r="A962" t="s">
        <v>3016</v>
      </c>
      <c r="B962" s="1">
        <v>45671</v>
      </c>
      <c r="D962" t="s">
        <v>3016</v>
      </c>
      <c r="E962" t="s">
        <v>31</v>
      </c>
      <c r="F962" t="s">
        <v>3020</v>
      </c>
      <c r="G962" t="s">
        <v>3021</v>
      </c>
      <c r="H962" t="s">
        <v>34</v>
      </c>
      <c r="I962">
        <v>1036459.04713619</v>
      </c>
      <c r="J962">
        <v>12810.41</v>
      </c>
      <c r="K962">
        <v>12798.05</v>
      </c>
      <c r="L962">
        <v>12798.05270099</v>
      </c>
      <c r="M962">
        <v>13264657507.6689</v>
      </c>
      <c r="N962">
        <v>100</v>
      </c>
      <c r="O962" t="s">
        <v>35</v>
      </c>
      <c r="P962">
        <v>1</v>
      </c>
      <c r="R962" t="s">
        <v>3013</v>
      </c>
      <c r="S962" t="s">
        <v>3017</v>
      </c>
      <c r="W962" t="s">
        <v>36</v>
      </c>
      <c r="X962" t="s">
        <v>37</v>
      </c>
      <c r="Y962" t="s">
        <v>38</v>
      </c>
      <c r="AD962">
        <v>0</v>
      </c>
      <c r="AE962" t="b">
        <f>ISNUMBER(MATCH(G962,AUM!$C$6:$C$1451,0))</f>
        <v>1</v>
      </c>
      <c r="AF962" t="b">
        <f>ISNUMBER(MATCH(G962,AUM!$G$6:$G$240,0))</f>
        <v>1</v>
      </c>
    </row>
    <row r="963" spans="1:32" x14ac:dyDescent="0.2">
      <c r="A963" t="s">
        <v>3022</v>
      </c>
      <c r="B963" s="1">
        <v>45671</v>
      </c>
      <c r="D963" t="s">
        <v>3022</v>
      </c>
      <c r="E963" t="s">
        <v>31</v>
      </c>
      <c r="F963" t="s">
        <v>3023</v>
      </c>
      <c r="G963" t="s">
        <v>3024</v>
      </c>
      <c r="H963" t="s">
        <v>34</v>
      </c>
      <c r="J963">
        <v>76.131</v>
      </c>
      <c r="K963">
        <v>73.591999999999999</v>
      </c>
      <c r="L963">
        <v>73.592495549999995</v>
      </c>
      <c r="Q963" t="s">
        <v>3025</v>
      </c>
      <c r="T963">
        <v>0</v>
      </c>
      <c r="W963" t="s">
        <v>36</v>
      </c>
      <c r="X963" t="s">
        <v>69</v>
      </c>
      <c r="Y963" t="s">
        <v>38</v>
      </c>
      <c r="AD963">
        <v>0</v>
      </c>
      <c r="AE963" t="b">
        <f>ISNUMBER(MATCH(G963,AUM!$C$6:$C$1451,0))</f>
        <v>0</v>
      </c>
      <c r="AF963" t="b">
        <f>ISNUMBER(MATCH(G963,AUM!$G$6:$G$240,0))</f>
        <v>0</v>
      </c>
    </row>
    <row r="964" spans="1:32" x14ac:dyDescent="0.2">
      <c r="A964" t="s">
        <v>3025</v>
      </c>
      <c r="B964" s="1">
        <v>45671</v>
      </c>
      <c r="D964" t="s">
        <v>3025</v>
      </c>
      <c r="E964" t="s">
        <v>31</v>
      </c>
      <c r="F964" t="s">
        <v>3026</v>
      </c>
      <c r="G964" t="s">
        <v>3027</v>
      </c>
      <c r="H964" t="s">
        <v>34</v>
      </c>
      <c r="I964">
        <v>100</v>
      </c>
      <c r="J964">
        <v>73.78</v>
      </c>
      <c r="K964">
        <v>71.319999999999993</v>
      </c>
      <c r="L964">
        <v>71.319999999999993</v>
      </c>
      <c r="M964">
        <v>7132</v>
      </c>
      <c r="N964">
        <v>1</v>
      </c>
      <c r="O964" t="s">
        <v>35</v>
      </c>
      <c r="P964">
        <v>1</v>
      </c>
      <c r="R964" t="s">
        <v>3022</v>
      </c>
      <c r="W964" t="s">
        <v>36</v>
      </c>
      <c r="X964" t="s">
        <v>37</v>
      </c>
      <c r="Y964" t="s">
        <v>38</v>
      </c>
      <c r="AD964">
        <v>0</v>
      </c>
      <c r="AE964" t="b">
        <f>ISNUMBER(MATCH(G964,AUM!$C$6:$C$1451,0))</f>
        <v>0</v>
      </c>
      <c r="AF964" t="b">
        <f>ISNUMBER(MATCH(G964,AUM!$G$6:$G$240,0))</f>
        <v>0</v>
      </c>
    </row>
    <row r="965" spans="1:32" x14ac:dyDescent="0.2">
      <c r="A965" t="s">
        <v>3028</v>
      </c>
      <c r="B965" s="1">
        <v>45671</v>
      </c>
      <c r="D965" t="s">
        <v>3028</v>
      </c>
      <c r="E965" t="s">
        <v>31</v>
      </c>
      <c r="F965" t="s">
        <v>3029</v>
      </c>
      <c r="G965" t="s">
        <v>3030</v>
      </c>
      <c r="H965" t="s">
        <v>34</v>
      </c>
      <c r="J965">
        <v>33.552999999999997</v>
      </c>
      <c r="K965">
        <v>33.51</v>
      </c>
      <c r="L965">
        <v>33.509733330000003</v>
      </c>
      <c r="Q965" t="s">
        <v>3031</v>
      </c>
      <c r="T965">
        <v>0</v>
      </c>
      <c r="W965" t="s">
        <v>36</v>
      </c>
      <c r="X965" t="s">
        <v>69</v>
      </c>
      <c r="Y965" t="s">
        <v>38</v>
      </c>
      <c r="AD965">
        <v>0</v>
      </c>
      <c r="AE965" t="b">
        <f>ISNUMBER(MATCH(G965,AUM!$C$6:$C$1451,0))</f>
        <v>1</v>
      </c>
      <c r="AF965" t="b">
        <f>ISNUMBER(MATCH(G965,AUM!$G$6:$G$240,0))</f>
        <v>0</v>
      </c>
    </row>
    <row r="966" spans="1:32" x14ac:dyDescent="0.2">
      <c r="A966" t="s">
        <v>3031</v>
      </c>
      <c r="B966" s="1">
        <v>45671</v>
      </c>
      <c r="D966" t="s">
        <v>3031</v>
      </c>
      <c r="E966" t="s">
        <v>31</v>
      </c>
      <c r="F966" t="s">
        <v>3032</v>
      </c>
      <c r="G966" t="s">
        <v>3033</v>
      </c>
      <c r="H966" t="s">
        <v>34</v>
      </c>
      <c r="I966">
        <v>100</v>
      </c>
      <c r="J966">
        <v>30.94</v>
      </c>
      <c r="K966">
        <v>30.9</v>
      </c>
      <c r="L966">
        <v>30.9</v>
      </c>
      <c r="M966">
        <v>3090</v>
      </c>
      <c r="N966">
        <v>1</v>
      </c>
      <c r="O966" t="s">
        <v>35</v>
      </c>
      <c r="P966">
        <v>1</v>
      </c>
      <c r="R966" t="s">
        <v>3028</v>
      </c>
      <c r="W966" t="s">
        <v>36</v>
      </c>
      <c r="X966" t="s">
        <v>37</v>
      </c>
      <c r="Y966" t="s">
        <v>38</v>
      </c>
      <c r="AD966">
        <v>0</v>
      </c>
      <c r="AE966" t="b">
        <f>ISNUMBER(MATCH(G966,AUM!$C$6:$C$1451,0))</f>
        <v>1</v>
      </c>
      <c r="AF966" t="b">
        <f>ISNUMBER(MATCH(G966,AUM!$G$6:$G$240,0))</f>
        <v>0</v>
      </c>
    </row>
    <row r="967" spans="1:32" x14ac:dyDescent="0.2">
      <c r="A967" t="s">
        <v>3034</v>
      </c>
      <c r="B967" s="1">
        <v>45671</v>
      </c>
      <c r="D967" t="s">
        <v>3034</v>
      </c>
      <c r="E967" t="s">
        <v>31</v>
      </c>
      <c r="F967" t="s">
        <v>3035</v>
      </c>
      <c r="G967" t="s">
        <v>3036</v>
      </c>
      <c r="H967" t="s">
        <v>34</v>
      </c>
      <c r="J967">
        <v>89.491</v>
      </c>
      <c r="K967">
        <v>89.108000000000004</v>
      </c>
      <c r="L967">
        <v>89.107966189999999</v>
      </c>
      <c r="Q967" t="s">
        <v>3037</v>
      </c>
      <c r="T967">
        <v>0</v>
      </c>
      <c r="W967" t="s">
        <v>36</v>
      </c>
      <c r="X967" t="s">
        <v>69</v>
      </c>
      <c r="Y967" t="s">
        <v>38</v>
      </c>
      <c r="AD967">
        <v>0</v>
      </c>
      <c r="AE967" t="b">
        <f>ISNUMBER(MATCH(G967,AUM!$C$6:$C$1451,0))</f>
        <v>1</v>
      </c>
      <c r="AF967" t="b">
        <f>ISNUMBER(MATCH(G967,AUM!$G$6:$G$240,0))</f>
        <v>0</v>
      </c>
    </row>
    <row r="968" spans="1:32" x14ac:dyDescent="0.2">
      <c r="A968" t="s">
        <v>3037</v>
      </c>
      <c r="B968" s="1">
        <v>45671</v>
      </c>
      <c r="D968" t="s">
        <v>3037</v>
      </c>
      <c r="E968" t="s">
        <v>31</v>
      </c>
      <c r="F968" t="s">
        <v>3038</v>
      </c>
      <c r="G968" t="s">
        <v>3039</v>
      </c>
      <c r="H968" t="s">
        <v>34</v>
      </c>
      <c r="I968">
        <v>100</v>
      </c>
      <c r="J968">
        <v>84.06</v>
      </c>
      <c r="K968">
        <v>83.7</v>
      </c>
      <c r="L968">
        <v>83.7</v>
      </c>
      <c r="M968">
        <v>8370</v>
      </c>
      <c r="N968">
        <v>1</v>
      </c>
      <c r="O968" t="s">
        <v>35</v>
      </c>
      <c r="P968">
        <v>1</v>
      </c>
      <c r="R968" t="s">
        <v>3034</v>
      </c>
      <c r="W968" t="s">
        <v>36</v>
      </c>
      <c r="X968" t="s">
        <v>37</v>
      </c>
      <c r="Y968" t="s">
        <v>38</v>
      </c>
      <c r="AD968">
        <v>0</v>
      </c>
      <c r="AE968" t="b">
        <f>ISNUMBER(MATCH(G968,AUM!$C$6:$C$1451,0))</f>
        <v>1</v>
      </c>
      <c r="AF968" t="b">
        <f>ISNUMBER(MATCH(G968,AUM!$G$6:$G$240,0))</f>
        <v>0</v>
      </c>
    </row>
    <row r="969" spans="1:32" x14ac:dyDescent="0.2">
      <c r="A969" t="s">
        <v>3040</v>
      </c>
      <c r="B969" s="1">
        <v>45671</v>
      </c>
      <c r="D969" t="s">
        <v>3040</v>
      </c>
      <c r="E969" t="s">
        <v>31</v>
      </c>
      <c r="F969" t="s">
        <v>3041</v>
      </c>
      <c r="G969" t="s">
        <v>3042</v>
      </c>
      <c r="H969" t="s">
        <v>34</v>
      </c>
      <c r="J969">
        <v>89.491</v>
      </c>
      <c r="K969">
        <v>89.108000000000004</v>
      </c>
      <c r="L969">
        <v>89.107966189999999</v>
      </c>
      <c r="Q969" t="s">
        <v>3043</v>
      </c>
      <c r="T969">
        <v>0</v>
      </c>
      <c r="W969" t="s">
        <v>36</v>
      </c>
      <c r="X969" t="s">
        <v>69</v>
      </c>
      <c r="Y969" t="s">
        <v>38</v>
      </c>
      <c r="AD969">
        <v>0</v>
      </c>
      <c r="AE969" t="b">
        <f>ISNUMBER(MATCH(G969,AUM!$C$6:$C$1451,0))</f>
        <v>1</v>
      </c>
      <c r="AF969" t="b">
        <f>ISNUMBER(MATCH(G969,AUM!$G$6:$G$240,0))</f>
        <v>0</v>
      </c>
    </row>
    <row r="970" spans="1:32" x14ac:dyDescent="0.2">
      <c r="A970" t="s">
        <v>3043</v>
      </c>
      <c r="B970" s="1">
        <v>45671</v>
      </c>
      <c r="D970" t="s">
        <v>3043</v>
      </c>
      <c r="E970" t="s">
        <v>31</v>
      </c>
      <c r="F970" t="s">
        <v>3044</v>
      </c>
      <c r="G970" t="s">
        <v>3045</v>
      </c>
      <c r="H970" t="s">
        <v>34</v>
      </c>
      <c r="I970">
        <v>100</v>
      </c>
      <c r="J970">
        <v>84.06</v>
      </c>
      <c r="K970">
        <v>83.7</v>
      </c>
      <c r="L970">
        <v>83.7</v>
      </c>
      <c r="M970">
        <v>8370</v>
      </c>
      <c r="N970">
        <v>1</v>
      </c>
      <c r="O970" t="s">
        <v>35</v>
      </c>
      <c r="P970">
        <v>1</v>
      </c>
      <c r="R970" t="s">
        <v>3040</v>
      </c>
      <c r="W970" t="s">
        <v>36</v>
      </c>
      <c r="X970" t="s">
        <v>37</v>
      </c>
      <c r="Y970" t="s">
        <v>38</v>
      </c>
      <c r="AD970">
        <v>0</v>
      </c>
      <c r="AE970" t="b">
        <f>ISNUMBER(MATCH(G970,AUM!$C$6:$C$1451,0))</f>
        <v>1</v>
      </c>
      <c r="AF970" t="b">
        <f>ISNUMBER(MATCH(G970,AUM!$G$6:$G$240,0))</f>
        <v>0</v>
      </c>
    </row>
    <row r="971" spans="1:32" x14ac:dyDescent="0.2">
      <c r="A971" t="s">
        <v>3046</v>
      </c>
      <c r="B971" s="1">
        <v>45671</v>
      </c>
      <c r="D971" t="s">
        <v>3046</v>
      </c>
      <c r="E971" t="s">
        <v>31</v>
      </c>
      <c r="F971" t="s">
        <v>3047</v>
      </c>
      <c r="G971" t="s">
        <v>3048</v>
      </c>
      <c r="H971" t="s">
        <v>34</v>
      </c>
      <c r="J971">
        <v>18.760000000000002</v>
      </c>
      <c r="K971">
        <v>18.946000000000002</v>
      </c>
      <c r="L971">
        <v>18.946039670000001</v>
      </c>
      <c r="Q971" t="s">
        <v>3049</v>
      </c>
      <c r="T971">
        <v>0</v>
      </c>
      <c r="W971" t="s">
        <v>36</v>
      </c>
      <c r="X971" t="s">
        <v>69</v>
      </c>
      <c r="Y971" t="s">
        <v>38</v>
      </c>
      <c r="AD971">
        <v>0</v>
      </c>
      <c r="AE971" t="b">
        <f>ISNUMBER(MATCH(G971,AUM!$C$6:$C$1451,0))</f>
        <v>1</v>
      </c>
      <c r="AF971" t="b">
        <f>ISNUMBER(MATCH(G971,AUM!$G$6:$G$240,0))</f>
        <v>0</v>
      </c>
    </row>
    <row r="972" spans="1:32" x14ac:dyDescent="0.2">
      <c r="A972" t="s">
        <v>3049</v>
      </c>
      <c r="B972" s="1">
        <v>45671</v>
      </c>
      <c r="D972" t="s">
        <v>3049</v>
      </c>
      <c r="E972" t="s">
        <v>31</v>
      </c>
      <c r="F972" t="s">
        <v>3050</v>
      </c>
      <c r="G972" t="s">
        <v>3051</v>
      </c>
      <c r="H972" t="s">
        <v>34</v>
      </c>
      <c r="I972">
        <v>100</v>
      </c>
      <c r="J972">
        <v>15.64</v>
      </c>
      <c r="K972">
        <v>15.795</v>
      </c>
      <c r="L972">
        <v>15.795</v>
      </c>
      <c r="M972">
        <v>1579.5</v>
      </c>
      <c r="N972">
        <v>1</v>
      </c>
      <c r="O972" t="s">
        <v>35</v>
      </c>
      <c r="P972">
        <v>1</v>
      </c>
      <c r="R972" t="s">
        <v>3046</v>
      </c>
      <c r="W972" t="s">
        <v>36</v>
      </c>
      <c r="X972" t="s">
        <v>37</v>
      </c>
      <c r="Y972" t="s">
        <v>38</v>
      </c>
      <c r="AD972">
        <v>0</v>
      </c>
      <c r="AE972" t="b">
        <f>ISNUMBER(MATCH(G972,AUM!$C$6:$C$1451,0))</f>
        <v>1</v>
      </c>
      <c r="AF972" t="b">
        <f>ISNUMBER(MATCH(G972,AUM!$G$6:$G$240,0))</f>
        <v>0</v>
      </c>
    </row>
    <row r="973" spans="1:32" x14ac:dyDescent="0.2">
      <c r="A973" t="s">
        <v>3052</v>
      </c>
      <c r="B973" s="1">
        <v>45671</v>
      </c>
      <c r="D973" t="s">
        <v>3052</v>
      </c>
      <c r="E973" t="s">
        <v>31</v>
      </c>
      <c r="F973" t="s">
        <v>3053</v>
      </c>
      <c r="G973" t="s">
        <v>3054</v>
      </c>
      <c r="H973" t="s">
        <v>34</v>
      </c>
      <c r="J973">
        <v>67.656000000000006</v>
      </c>
      <c r="K973">
        <v>67.986000000000004</v>
      </c>
      <c r="L973">
        <v>67.986140910000003</v>
      </c>
      <c r="Q973" t="s">
        <v>3055</v>
      </c>
      <c r="T973">
        <v>0</v>
      </c>
      <c r="W973" t="s">
        <v>36</v>
      </c>
      <c r="X973" t="s">
        <v>69</v>
      </c>
      <c r="Y973" t="s">
        <v>38</v>
      </c>
      <c r="AD973">
        <v>0</v>
      </c>
      <c r="AE973" t="b">
        <f>ISNUMBER(MATCH(G973,AUM!$C$6:$C$1451,0))</f>
        <v>0</v>
      </c>
      <c r="AF973" t="b">
        <f>ISNUMBER(MATCH(G973,AUM!$G$6:$G$240,0))</f>
        <v>0</v>
      </c>
    </row>
    <row r="974" spans="1:32" x14ac:dyDescent="0.2">
      <c r="A974" t="s">
        <v>3055</v>
      </c>
      <c r="B974" s="1">
        <v>45671</v>
      </c>
      <c r="D974" t="s">
        <v>3055</v>
      </c>
      <c r="E974" t="s">
        <v>31</v>
      </c>
      <c r="F974" t="s">
        <v>3056</v>
      </c>
      <c r="G974" t="s">
        <v>3057</v>
      </c>
      <c r="H974" t="s">
        <v>34</v>
      </c>
      <c r="I974">
        <v>100</v>
      </c>
      <c r="J974">
        <v>59.35</v>
      </c>
      <c r="K974">
        <v>59.64</v>
      </c>
      <c r="L974">
        <v>59.64</v>
      </c>
      <c r="M974">
        <v>5964</v>
      </c>
      <c r="N974">
        <v>1</v>
      </c>
      <c r="O974" t="s">
        <v>35</v>
      </c>
      <c r="P974">
        <v>1</v>
      </c>
      <c r="R974" t="s">
        <v>3052</v>
      </c>
      <c r="W974" t="s">
        <v>36</v>
      </c>
      <c r="X974" t="s">
        <v>37</v>
      </c>
      <c r="Y974" t="s">
        <v>38</v>
      </c>
      <c r="AD974">
        <v>0</v>
      </c>
      <c r="AE974" t="b">
        <f>ISNUMBER(MATCH(G974,AUM!$C$6:$C$1451,0))</f>
        <v>0</v>
      </c>
      <c r="AF974" t="b">
        <f>ISNUMBER(MATCH(G974,AUM!$G$6:$G$240,0))</f>
        <v>0</v>
      </c>
    </row>
    <row r="975" spans="1:32" x14ac:dyDescent="0.2">
      <c r="A975" t="s">
        <v>3058</v>
      </c>
      <c r="B975" s="1">
        <v>45671</v>
      </c>
      <c r="D975" t="s">
        <v>3058</v>
      </c>
      <c r="E975" t="s">
        <v>31</v>
      </c>
      <c r="F975" t="s">
        <v>3059</v>
      </c>
      <c r="G975" t="s">
        <v>3060</v>
      </c>
      <c r="H975" t="s">
        <v>34</v>
      </c>
      <c r="J975">
        <v>30.31</v>
      </c>
      <c r="K975">
        <v>30.286999999999999</v>
      </c>
      <c r="L975">
        <v>30.28747048</v>
      </c>
      <c r="Q975" t="s">
        <v>3061</v>
      </c>
      <c r="T975">
        <v>0</v>
      </c>
      <c r="W975" t="s">
        <v>36</v>
      </c>
      <c r="X975" t="s">
        <v>69</v>
      </c>
      <c r="Y975" t="s">
        <v>38</v>
      </c>
      <c r="AD975">
        <v>0</v>
      </c>
      <c r="AE975" t="b">
        <f>ISNUMBER(MATCH(G975,AUM!$C$6:$C$1451,0))</f>
        <v>0</v>
      </c>
      <c r="AF975" t="b">
        <f>ISNUMBER(MATCH(G975,AUM!$G$6:$G$240,0))</f>
        <v>0</v>
      </c>
    </row>
    <row r="976" spans="1:32" x14ac:dyDescent="0.2">
      <c r="A976" t="s">
        <v>3061</v>
      </c>
      <c r="B976" s="1">
        <v>45671</v>
      </c>
      <c r="D976" t="s">
        <v>3061</v>
      </c>
      <c r="E976" t="s">
        <v>31</v>
      </c>
      <c r="F976" t="s">
        <v>3062</v>
      </c>
      <c r="G976" t="s">
        <v>3063</v>
      </c>
      <c r="H976" t="s">
        <v>34</v>
      </c>
      <c r="I976">
        <v>100</v>
      </c>
      <c r="J976">
        <v>27.254999999999999</v>
      </c>
      <c r="K976">
        <v>27.234999999999999</v>
      </c>
      <c r="L976">
        <v>27.234999999999999</v>
      </c>
      <c r="M976">
        <v>2723.5</v>
      </c>
      <c r="N976">
        <v>1</v>
      </c>
      <c r="O976" t="s">
        <v>35</v>
      </c>
      <c r="P976">
        <v>1</v>
      </c>
      <c r="R976" t="s">
        <v>3058</v>
      </c>
      <c r="W976" t="s">
        <v>36</v>
      </c>
      <c r="X976" t="s">
        <v>37</v>
      </c>
      <c r="Y976" t="s">
        <v>38</v>
      </c>
      <c r="AD976">
        <v>0</v>
      </c>
      <c r="AE976" t="b">
        <f>ISNUMBER(MATCH(G976,AUM!$C$6:$C$1451,0))</f>
        <v>0</v>
      </c>
      <c r="AF976" t="b">
        <f>ISNUMBER(MATCH(G976,AUM!$G$6:$G$240,0))</f>
        <v>0</v>
      </c>
    </row>
    <row r="977" spans="1:32" x14ac:dyDescent="0.2">
      <c r="A977" t="s">
        <v>3064</v>
      </c>
      <c r="B977" s="1">
        <v>45671</v>
      </c>
      <c r="D977" t="s">
        <v>3064</v>
      </c>
      <c r="E977" t="s">
        <v>31</v>
      </c>
      <c r="F977" t="s">
        <v>3065</v>
      </c>
      <c r="G977" t="s">
        <v>3066</v>
      </c>
      <c r="H977" t="s">
        <v>34</v>
      </c>
      <c r="J977">
        <v>14.273</v>
      </c>
      <c r="K977">
        <v>13.999000000000001</v>
      </c>
      <c r="L977">
        <v>13.9990544</v>
      </c>
      <c r="Q977" t="s">
        <v>3067</v>
      </c>
      <c r="T977">
        <v>0</v>
      </c>
      <c r="W977" t="s">
        <v>36</v>
      </c>
      <c r="X977" t="s">
        <v>69</v>
      </c>
      <c r="Y977" t="s">
        <v>38</v>
      </c>
      <c r="AD977">
        <v>0</v>
      </c>
      <c r="AE977" t="b">
        <f>ISNUMBER(MATCH(G977,AUM!$C$6:$C$1451,0))</f>
        <v>1</v>
      </c>
      <c r="AF977" t="b">
        <f>ISNUMBER(MATCH(G977,AUM!$G$6:$G$240,0))</f>
        <v>0</v>
      </c>
    </row>
    <row r="978" spans="1:32" x14ac:dyDescent="0.2">
      <c r="A978" t="s">
        <v>3067</v>
      </c>
      <c r="B978" s="1">
        <v>45671</v>
      </c>
      <c r="D978" t="s">
        <v>3067</v>
      </c>
      <c r="E978" t="s">
        <v>31</v>
      </c>
      <c r="F978" t="s">
        <v>3068</v>
      </c>
      <c r="G978" t="s">
        <v>3069</v>
      </c>
      <c r="H978" t="s">
        <v>34</v>
      </c>
      <c r="I978">
        <v>100</v>
      </c>
      <c r="J978">
        <v>12.276</v>
      </c>
      <c r="K978">
        <v>12.04</v>
      </c>
      <c r="L978">
        <v>12.04</v>
      </c>
      <c r="M978">
        <v>1204</v>
      </c>
      <c r="N978">
        <v>1</v>
      </c>
      <c r="O978" t="s">
        <v>35</v>
      </c>
      <c r="P978">
        <v>1</v>
      </c>
      <c r="R978" t="s">
        <v>3064</v>
      </c>
      <c r="W978" t="s">
        <v>36</v>
      </c>
      <c r="X978" t="s">
        <v>37</v>
      </c>
      <c r="Y978" t="s">
        <v>38</v>
      </c>
      <c r="AD978">
        <v>0</v>
      </c>
      <c r="AE978" t="b">
        <f>ISNUMBER(MATCH(G978,AUM!$C$6:$C$1451,0))</f>
        <v>1</v>
      </c>
      <c r="AF978" t="b">
        <f>ISNUMBER(MATCH(G978,AUM!$G$6:$G$240,0))</f>
        <v>0</v>
      </c>
    </row>
    <row r="979" spans="1:32" x14ac:dyDescent="0.2">
      <c r="A979" t="s">
        <v>3070</v>
      </c>
      <c r="B979" s="1">
        <v>45671</v>
      </c>
      <c r="D979" t="s">
        <v>3070</v>
      </c>
      <c r="E979" t="s">
        <v>31</v>
      </c>
      <c r="F979" t="s">
        <v>3071</v>
      </c>
      <c r="G979" t="s">
        <v>3072</v>
      </c>
      <c r="H979" t="s">
        <v>34</v>
      </c>
      <c r="J979">
        <v>18.760000000000002</v>
      </c>
      <c r="K979">
        <v>18.946000000000002</v>
      </c>
      <c r="L979">
        <v>18.946039670000001</v>
      </c>
      <c r="Q979" t="s">
        <v>3073</v>
      </c>
      <c r="T979">
        <v>0</v>
      </c>
      <c r="W979" t="s">
        <v>36</v>
      </c>
      <c r="X979" t="s">
        <v>69</v>
      </c>
      <c r="Y979" t="s">
        <v>38</v>
      </c>
      <c r="AD979">
        <v>0</v>
      </c>
      <c r="AE979" t="b">
        <f>ISNUMBER(MATCH(G979,AUM!$C$6:$C$1451,0))</f>
        <v>1</v>
      </c>
      <c r="AF979" t="b">
        <f>ISNUMBER(MATCH(G979,AUM!$G$6:$G$240,0))</f>
        <v>0</v>
      </c>
    </row>
    <row r="980" spans="1:32" x14ac:dyDescent="0.2">
      <c r="A980" t="s">
        <v>3073</v>
      </c>
      <c r="B980" s="1">
        <v>45671</v>
      </c>
      <c r="D980" t="s">
        <v>3073</v>
      </c>
      <c r="E980" t="s">
        <v>31</v>
      </c>
      <c r="F980" t="s">
        <v>3074</v>
      </c>
      <c r="G980" t="s">
        <v>3075</v>
      </c>
      <c r="H980" t="s">
        <v>34</v>
      </c>
      <c r="I980">
        <v>100</v>
      </c>
      <c r="J980">
        <v>15.64</v>
      </c>
      <c r="K980">
        <v>15.795</v>
      </c>
      <c r="L980">
        <v>15.795</v>
      </c>
      <c r="M980">
        <v>1579.5</v>
      </c>
      <c r="N980">
        <v>1</v>
      </c>
      <c r="O980" t="s">
        <v>35</v>
      </c>
      <c r="P980">
        <v>1</v>
      </c>
      <c r="R980" t="s">
        <v>3070</v>
      </c>
      <c r="W980" t="s">
        <v>36</v>
      </c>
      <c r="X980" t="s">
        <v>37</v>
      </c>
      <c r="Y980" t="s">
        <v>38</v>
      </c>
      <c r="AD980">
        <v>0</v>
      </c>
      <c r="AE980" t="b">
        <f>ISNUMBER(MATCH(G980,AUM!$C$6:$C$1451,0))</f>
        <v>0</v>
      </c>
      <c r="AF980" t="b">
        <f>ISNUMBER(MATCH(G980,AUM!$G$6:$G$240,0))</f>
        <v>0</v>
      </c>
    </row>
    <row r="981" spans="1:32" x14ac:dyDescent="0.2">
      <c r="A981" t="s">
        <v>3076</v>
      </c>
      <c r="B981" s="1">
        <v>45671</v>
      </c>
      <c r="D981" t="s">
        <v>3076</v>
      </c>
      <c r="E981" t="s">
        <v>31</v>
      </c>
      <c r="F981" t="s">
        <v>3077</v>
      </c>
      <c r="G981" t="s">
        <v>3078</v>
      </c>
      <c r="H981" t="s">
        <v>34</v>
      </c>
      <c r="J981">
        <v>16.271000000000001</v>
      </c>
      <c r="K981">
        <v>16.422000000000001</v>
      </c>
      <c r="L981">
        <v>16.422352740000001</v>
      </c>
      <c r="Q981" t="s">
        <v>3079</v>
      </c>
      <c r="T981">
        <v>0</v>
      </c>
      <c r="W981" t="s">
        <v>36</v>
      </c>
      <c r="X981" t="s">
        <v>69</v>
      </c>
      <c r="Y981" t="s">
        <v>38</v>
      </c>
      <c r="AD981">
        <v>0</v>
      </c>
      <c r="AE981" t="b">
        <f>ISNUMBER(MATCH(G981,AUM!$C$6:$C$1451,0))</f>
        <v>1</v>
      </c>
      <c r="AF981" t="b">
        <f>ISNUMBER(MATCH(G981,AUM!$G$6:$G$240,0))</f>
        <v>0</v>
      </c>
    </row>
    <row r="982" spans="1:32" x14ac:dyDescent="0.2">
      <c r="A982" t="s">
        <v>3079</v>
      </c>
      <c r="B982" s="1">
        <v>45671</v>
      </c>
      <c r="D982" t="s">
        <v>3079</v>
      </c>
      <c r="E982" t="s">
        <v>31</v>
      </c>
      <c r="F982" t="s">
        <v>3080</v>
      </c>
      <c r="G982" t="s">
        <v>3081</v>
      </c>
      <c r="H982" t="s">
        <v>34</v>
      </c>
      <c r="I982">
        <v>100</v>
      </c>
      <c r="J982">
        <v>13.744</v>
      </c>
      <c r="K982">
        <v>13.872</v>
      </c>
      <c r="L982">
        <v>13.872</v>
      </c>
      <c r="M982">
        <v>1387.2</v>
      </c>
      <c r="N982">
        <v>1</v>
      </c>
      <c r="O982" t="s">
        <v>35</v>
      </c>
      <c r="P982">
        <v>1</v>
      </c>
      <c r="R982" t="s">
        <v>3076</v>
      </c>
      <c r="W982" t="s">
        <v>36</v>
      </c>
      <c r="X982" t="s">
        <v>37</v>
      </c>
      <c r="Y982" t="s">
        <v>38</v>
      </c>
      <c r="AD982">
        <v>0</v>
      </c>
      <c r="AE982" t="b">
        <f>ISNUMBER(MATCH(G982,AUM!$C$6:$C$1451,0))</f>
        <v>1</v>
      </c>
      <c r="AF982" t="b">
        <f>ISNUMBER(MATCH(G982,AUM!$G$6:$G$240,0))</f>
        <v>0</v>
      </c>
    </row>
    <row r="983" spans="1:32" x14ac:dyDescent="0.2">
      <c r="A983" t="s">
        <v>3082</v>
      </c>
      <c r="B983" s="1">
        <v>45671</v>
      </c>
      <c r="D983" t="s">
        <v>3082</v>
      </c>
      <c r="E983" t="s">
        <v>31</v>
      </c>
      <c r="F983" t="s">
        <v>3083</v>
      </c>
      <c r="G983" t="s">
        <v>3084</v>
      </c>
      <c r="H983" t="s">
        <v>34</v>
      </c>
      <c r="J983">
        <v>76.131</v>
      </c>
      <c r="K983">
        <v>73.591999999999999</v>
      </c>
      <c r="L983">
        <v>73.592495549999995</v>
      </c>
      <c r="Q983" t="s">
        <v>3085</v>
      </c>
      <c r="T983">
        <v>0</v>
      </c>
      <c r="W983" t="s">
        <v>36</v>
      </c>
      <c r="X983" t="s">
        <v>69</v>
      </c>
      <c r="Y983" t="s">
        <v>38</v>
      </c>
      <c r="AD983">
        <v>0</v>
      </c>
      <c r="AE983" t="b">
        <f>ISNUMBER(MATCH(G983,AUM!$C$6:$C$1451,0))</f>
        <v>1</v>
      </c>
      <c r="AF983" t="b">
        <f>ISNUMBER(MATCH(G983,AUM!$G$6:$G$240,0))</f>
        <v>0</v>
      </c>
    </row>
    <row r="984" spans="1:32" x14ac:dyDescent="0.2">
      <c r="A984" t="s">
        <v>3085</v>
      </c>
      <c r="B984" s="1">
        <v>45671</v>
      </c>
      <c r="D984" t="s">
        <v>3085</v>
      </c>
      <c r="E984" t="s">
        <v>31</v>
      </c>
      <c r="F984" t="s">
        <v>3086</v>
      </c>
      <c r="G984" t="s">
        <v>3087</v>
      </c>
      <c r="H984" t="s">
        <v>34</v>
      </c>
      <c r="I984">
        <v>100</v>
      </c>
      <c r="J984">
        <v>73.78</v>
      </c>
      <c r="K984">
        <v>71.319999999999993</v>
      </c>
      <c r="L984">
        <v>71.319999999999993</v>
      </c>
      <c r="M984">
        <v>7132</v>
      </c>
      <c r="N984">
        <v>1</v>
      </c>
      <c r="O984" t="s">
        <v>35</v>
      </c>
      <c r="P984">
        <v>1</v>
      </c>
      <c r="R984" t="s">
        <v>3082</v>
      </c>
      <c r="W984" t="s">
        <v>36</v>
      </c>
      <c r="X984" t="s">
        <v>37</v>
      </c>
      <c r="Y984" t="s">
        <v>38</v>
      </c>
      <c r="AD984">
        <v>0</v>
      </c>
      <c r="AE984" t="b">
        <f>ISNUMBER(MATCH(G984,AUM!$C$6:$C$1451,0))</f>
        <v>1</v>
      </c>
      <c r="AF984" t="b">
        <f>ISNUMBER(MATCH(G984,AUM!$G$6:$G$240,0))</f>
        <v>0</v>
      </c>
    </row>
    <row r="985" spans="1:32" x14ac:dyDescent="0.2">
      <c r="A985" t="s">
        <v>3088</v>
      </c>
      <c r="B985" s="1">
        <v>45671</v>
      </c>
      <c r="D985" t="s">
        <v>3088</v>
      </c>
      <c r="E985" t="s">
        <v>31</v>
      </c>
      <c r="F985" t="s">
        <v>3089</v>
      </c>
      <c r="G985" t="s">
        <v>3090</v>
      </c>
      <c r="H985" t="s">
        <v>34</v>
      </c>
      <c r="J985">
        <v>15.73</v>
      </c>
      <c r="K985">
        <v>15.782</v>
      </c>
      <c r="L985">
        <v>15.78248973</v>
      </c>
      <c r="Q985" t="s">
        <v>3091</v>
      </c>
      <c r="T985">
        <v>0</v>
      </c>
      <c r="W985" t="s">
        <v>36</v>
      </c>
      <c r="X985" t="s">
        <v>69</v>
      </c>
      <c r="Y985" t="s">
        <v>38</v>
      </c>
      <c r="AD985">
        <v>0</v>
      </c>
      <c r="AE985" t="b">
        <f>ISNUMBER(MATCH(G985,AUM!$C$6:$C$1451,0))</f>
        <v>0</v>
      </c>
      <c r="AF985" t="b">
        <f>ISNUMBER(MATCH(G985,AUM!$G$6:$G$240,0))</f>
        <v>0</v>
      </c>
    </row>
    <row r="986" spans="1:32" x14ac:dyDescent="0.2">
      <c r="A986" t="s">
        <v>3091</v>
      </c>
      <c r="B986" s="1">
        <v>45671</v>
      </c>
      <c r="D986" t="s">
        <v>3091</v>
      </c>
      <c r="E986" t="s">
        <v>31</v>
      </c>
      <c r="F986" t="s">
        <v>3092</v>
      </c>
      <c r="G986" t="s">
        <v>3093</v>
      </c>
      <c r="H986" t="s">
        <v>34</v>
      </c>
      <c r="I986">
        <v>100</v>
      </c>
      <c r="J986">
        <v>13.375</v>
      </c>
      <c r="K986">
        <v>13.42</v>
      </c>
      <c r="L986">
        <v>13.42</v>
      </c>
      <c r="M986">
        <v>1342</v>
      </c>
      <c r="N986">
        <v>1</v>
      </c>
      <c r="O986" t="s">
        <v>35</v>
      </c>
      <c r="P986">
        <v>1</v>
      </c>
      <c r="R986" t="s">
        <v>3088</v>
      </c>
      <c r="W986" t="s">
        <v>36</v>
      </c>
      <c r="X986" t="s">
        <v>37</v>
      </c>
      <c r="Y986" t="s">
        <v>38</v>
      </c>
      <c r="AD986">
        <v>0</v>
      </c>
      <c r="AE986" t="b">
        <f>ISNUMBER(MATCH(G986,AUM!$C$6:$C$1451,0))</f>
        <v>0</v>
      </c>
      <c r="AF986" t="b">
        <f>ISNUMBER(MATCH(G986,AUM!$G$6:$G$240,0))</f>
        <v>0</v>
      </c>
    </row>
    <row r="987" spans="1:32" x14ac:dyDescent="0.2">
      <c r="A987" t="s">
        <v>3094</v>
      </c>
      <c r="B987" s="1">
        <v>45671</v>
      </c>
      <c r="D987" t="s">
        <v>3094</v>
      </c>
      <c r="E987" t="s">
        <v>31</v>
      </c>
      <c r="F987" t="s">
        <v>3095</v>
      </c>
      <c r="G987" t="s">
        <v>3096</v>
      </c>
      <c r="H987" t="s">
        <v>34</v>
      </c>
      <c r="J987">
        <v>14.273</v>
      </c>
      <c r="K987">
        <v>13.999000000000001</v>
      </c>
      <c r="L987">
        <v>13.9990544</v>
      </c>
      <c r="Q987" t="s">
        <v>3097</v>
      </c>
      <c r="T987">
        <v>0</v>
      </c>
      <c r="W987" t="s">
        <v>36</v>
      </c>
      <c r="X987" t="s">
        <v>69</v>
      </c>
      <c r="Y987" t="s">
        <v>38</v>
      </c>
      <c r="AD987">
        <v>0</v>
      </c>
      <c r="AE987" t="b">
        <f>ISNUMBER(MATCH(G987,AUM!$C$6:$C$1451,0))</f>
        <v>0</v>
      </c>
      <c r="AF987" t="b">
        <f>ISNUMBER(MATCH(G987,AUM!$G$6:$G$240,0))</f>
        <v>0</v>
      </c>
    </row>
    <row r="988" spans="1:32" x14ac:dyDescent="0.2">
      <c r="A988" t="s">
        <v>3097</v>
      </c>
      <c r="B988" s="1">
        <v>45671</v>
      </c>
      <c r="D988" t="s">
        <v>3097</v>
      </c>
      <c r="E988" t="s">
        <v>31</v>
      </c>
      <c r="F988" t="s">
        <v>3098</v>
      </c>
      <c r="G988" t="s">
        <v>3099</v>
      </c>
      <c r="H988" t="s">
        <v>34</v>
      </c>
      <c r="I988">
        <v>100</v>
      </c>
      <c r="J988">
        <v>12.276</v>
      </c>
      <c r="K988">
        <v>12.04</v>
      </c>
      <c r="L988">
        <v>12.04</v>
      </c>
      <c r="M988">
        <v>1204</v>
      </c>
      <c r="N988">
        <v>1</v>
      </c>
      <c r="O988" t="s">
        <v>35</v>
      </c>
      <c r="P988">
        <v>1</v>
      </c>
      <c r="R988" t="s">
        <v>3094</v>
      </c>
      <c r="W988" t="s">
        <v>36</v>
      </c>
      <c r="X988" t="s">
        <v>37</v>
      </c>
      <c r="Y988" t="s">
        <v>38</v>
      </c>
      <c r="AD988">
        <v>0</v>
      </c>
      <c r="AE988" t="b">
        <f>ISNUMBER(MATCH(G988,AUM!$C$6:$C$1451,0))</f>
        <v>0</v>
      </c>
      <c r="AF988" t="b">
        <f>ISNUMBER(MATCH(G988,AUM!$G$6:$G$240,0))</f>
        <v>0</v>
      </c>
    </row>
    <row r="989" spans="1:32" x14ac:dyDescent="0.2">
      <c r="A989" t="s">
        <v>3100</v>
      </c>
      <c r="B989" s="1">
        <v>45671</v>
      </c>
      <c r="D989" t="s">
        <v>3100</v>
      </c>
      <c r="E989" t="s">
        <v>31</v>
      </c>
      <c r="F989" t="s">
        <v>3101</v>
      </c>
      <c r="G989" t="s">
        <v>3102</v>
      </c>
      <c r="H989" t="s">
        <v>34</v>
      </c>
      <c r="J989">
        <v>14.276999999999999</v>
      </c>
      <c r="K989">
        <v>14.009</v>
      </c>
      <c r="L989">
        <v>14.0094587</v>
      </c>
      <c r="Q989" t="s">
        <v>3103</v>
      </c>
      <c r="T989">
        <v>0</v>
      </c>
      <c r="W989" t="s">
        <v>36</v>
      </c>
      <c r="X989" t="s">
        <v>69</v>
      </c>
      <c r="Y989" t="s">
        <v>38</v>
      </c>
      <c r="AD989">
        <v>0</v>
      </c>
      <c r="AE989" t="b">
        <f>ISNUMBER(MATCH(G989,AUM!$C$6:$C$1451,0))</f>
        <v>0</v>
      </c>
      <c r="AF989" t="b">
        <f>ISNUMBER(MATCH(G989,AUM!$G$6:$G$240,0))</f>
        <v>0</v>
      </c>
    </row>
    <row r="990" spans="1:32" x14ac:dyDescent="0.2">
      <c r="A990" t="s">
        <v>3103</v>
      </c>
      <c r="B990" s="1">
        <v>45671</v>
      </c>
      <c r="D990" t="s">
        <v>3103</v>
      </c>
      <c r="E990" t="s">
        <v>31</v>
      </c>
      <c r="F990" t="s">
        <v>3104</v>
      </c>
      <c r="G990" t="s">
        <v>3105</v>
      </c>
      <c r="H990" t="s">
        <v>34</v>
      </c>
      <c r="I990">
        <v>100</v>
      </c>
      <c r="J990">
        <v>12.28</v>
      </c>
      <c r="K990">
        <v>12.05</v>
      </c>
      <c r="L990">
        <v>12.05</v>
      </c>
      <c r="M990">
        <v>1205</v>
      </c>
      <c r="N990">
        <v>1</v>
      </c>
      <c r="O990" t="s">
        <v>35</v>
      </c>
      <c r="P990">
        <v>1</v>
      </c>
      <c r="R990" t="s">
        <v>3100</v>
      </c>
      <c r="W990" t="s">
        <v>36</v>
      </c>
      <c r="X990" t="s">
        <v>37</v>
      </c>
      <c r="Y990" t="s">
        <v>38</v>
      </c>
      <c r="AD990">
        <v>0</v>
      </c>
      <c r="AE990" t="b">
        <f>ISNUMBER(MATCH(G990,AUM!$C$6:$C$1451,0))</f>
        <v>0</v>
      </c>
      <c r="AF990" t="b">
        <f>ISNUMBER(MATCH(G990,AUM!$G$6:$G$240,0))</f>
        <v>0</v>
      </c>
    </row>
    <row r="991" spans="1:32" x14ac:dyDescent="0.2">
      <c r="A991" t="s">
        <v>3106</v>
      </c>
      <c r="B991" s="1">
        <v>45671</v>
      </c>
      <c r="D991" t="s">
        <v>3106</v>
      </c>
      <c r="E991" t="s">
        <v>31</v>
      </c>
      <c r="F991" t="s">
        <v>3107</v>
      </c>
      <c r="G991" t="s">
        <v>3108</v>
      </c>
      <c r="H991" t="s">
        <v>34</v>
      </c>
      <c r="J991">
        <v>32.533999999999999</v>
      </c>
      <c r="K991">
        <v>32.183</v>
      </c>
      <c r="L991">
        <v>32.18338542</v>
      </c>
      <c r="Q991" t="s">
        <v>3109</v>
      </c>
      <c r="T991">
        <v>0</v>
      </c>
      <c r="W991" t="s">
        <v>36</v>
      </c>
      <c r="X991" t="s">
        <v>69</v>
      </c>
      <c r="Y991" t="s">
        <v>38</v>
      </c>
      <c r="AD991">
        <v>0</v>
      </c>
      <c r="AE991" t="b">
        <f>ISNUMBER(MATCH(G991,AUM!$C$6:$C$1451,0))</f>
        <v>1</v>
      </c>
      <c r="AF991" t="b">
        <f>ISNUMBER(MATCH(G991,AUM!$G$6:$G$240,0))</f>
        <v>0</v>
      </c>
    </row>
    <row r="992" spans="1:32" x14ac:dyDescent="0.2">
      <c r="A992" t="s">
        <v>3109</v>
      </c>
      <c r="B992" s="1">
        <v>45671</v>
      </c>
      <c r="D992" t="s">
        <v>3109</v>
      </c>
      <c r="E992" t="s">
        <v>31</v>
      </c>
      <c r="F992" t="s">
        <v>3110</v>
      </c>
      <c r="G992" t="s">
        <v>3111</v>
      </c>
      <c r="H992" t="s">
        <v>34</v>
      </c>
      <c r="I992">
        <v>100</v>
      </c>
      <c r="J992">
        <v>27.86</v>
      </c>
      <c r="K992">
        <v>27.56</v>
      </c>
      <c r="L992">
        <v>27.56</v>
      </c>
      <c r="M992">
        <v>2756</v>
      </c>
      <c r="N992">
        <v>1</v>
      </c>
      <c r="O992" t="s">
        <v>35</v>
      </c>
      <c r="P992">
        <v>1</v>
      </c>
      <c r="R992" t="s">
        <v>3106</v>
      </c>
      <c r="W992" t="s">
        <v>36</v>
      </c>
      <c r="X992" t="s">
        <v>37</v>
      </c>
      <c r="Y992" t="s">
        <v>38</v>
      </c>
      <c r="AD992">
        <v>0</v>
      </c>
      <c r="AE992" t="b">
        <f>ISNUMBER(MATCH(G992,AUM!$C$6:$C$1451,0))</f>
        <v>1</v>
      </c>
      <c r="AF992" t="b">
        <f>ISNUMBER(MATCH(G992,AUM!$G$6:$G$240,0))</f>
        <v>0</v>
      </c>
    </row>
    <row r="993" spans="1:32" x14ac:dyDescent="0.2">
      <c r="A993" t="s">
        <v>3112</v>
      </c>
      <c r="B993" s="1">
        <v>45671</v>
      </c>
      <c r="D993" t="s">
        <v>3112</v>
      </c>
      <c r="E993" t="s">
        <v>31</v>
      </c>
      <c r="F993" t="s">
        <v>3113</v>
      </c>
      <c r="G993" t="s">
        <v>3114</v>
      </c>
      <c r="H993" t="s">
        <v>34</v>
      </c>
      <c r="J993">
        <v>14.276999999999999</v>
      </c>
      <c r="K993">
        <v>14.009</v>
      </c>
      <c r="L993">
        <v>14.0094587</v>
      </c>
      <c r="Q993" t="s">
        <v>3115</v>
      </c>
      <c r="T993">
        <v>0</v>
      </c>
      <c r="W993" t="s">
        <v>36</v>
      </c>
      <c r="X993" t="s">
        <v>69</v>
      </c>
      <c r="Y993" t="s">
        <v>38</v>
      </c>
      <c r="AD993">
        <v>0</v>
      </c>
      <c r="AE993" t="b">
        <f>ISNUMBER(MATCH(G993,AUM!$C$6:$C$1451,0))</f>
        <v>0</v>
      </c>
      <c r="AF993" t="b">
        <f>ISNUMBER(MATCH(G993,AUM!$G$6:$G$240,0))</f>
        <v>0</v>
      </c>
    </row>
    <row r="994" spans="1:32" x14ac:dyDescent="0.2">
      <c r="A994" t="s">
        <v>3115</v>
      </c>
      <c r="B994" s="1">
        <v>45671</v>
      </c>
      <c r="D994" t="s">
        <v>3115</v>
      </c>
      <c r="E994" t="s">
        <v>31</v>
      </c>
      <c r="F994" t="s">
        <v>3116</v>
      </c>
      <c r="G994" t="s">
        <v>3117</v>
      </c>
      <c r="H994" t="s">
        <v>34</v>
      </c>
      <c r="I994">
        <v>100</v>
      </c>
      <c r="J994">
        <v>12.28</v>
      </c>
      <c r="K994">
        <v>12.05</v>
      </c>
      <c r="L994">
        <v>12.05</v>
      </c>
      <c r="M994">
        <v>1205</v>
      </c>
      <c r="N994">
        <v>1</v>
      </c>
      <c r="O994" t="s">
        <v>35</v>
      </c>
      <c r="P994">
        <v>1</v>
      </c>
      <c r="R994" t="s">
        <v>3112</v>
      </c>
      <c r="W994" t="s">
        <v>36</v>
      </c>
      <c r="X994" t="s">
        <v>37</v>
      </c>
      <c r="Y994" t="s">
        <v>38</v>
      </c>
      <c r="AD994">
        <v>0</v>
      </c>
      <c r="AE994" t="b">
        <f>ISNUMBER(MATCH(G994,AUM!$C$6:$C$1451,0))</f>
        <v>0</v>
      </c>
      <c r="AF994" t="b">
        <f>ISNUMBER(MATCH(G994,AUM!$G$6:$G$240,0))</f>
        <v>0</v>
      </c>
    </row>
    <row r="995" spans="1:32" x14ac:dyDescent="0.2">
      <c r="A995" t="s">
        <v>3118</v>
      </c>
      <c r="B995" s="1">
        <v>45671</v>
      </c>
      <c r="D995" t="s">
        <v>3118</v>
      </c>
      <c r="E995" t="s">
        <v>31</v>
      </c>
      <c r="F995" t="s">
        <v>3119</v>
      </c>
      <c r="G995" t="s">
        <v>3120</v>
      </c>
      <c r="H995" t="s">
        <v>34</v>
      </c>
      <c r="J995">
        <v>67.656000000000006</v>
      </c>
      <c r="K995">
        <v>67.986000000000004</v>
      </c>
      <c r="L995">
        <v>67.986140910000003</v>
      </c>
      <c r="Q995" t="s">
        <v>3121</v>
      </c>
      <c r="T995">
        <v>0</v>
      </c>
      <c r="W995" t="s">
        <v>36</v>
      </c>
      <c r="X995" t="s">
        <v>69</v>
      </c>
      <c r="Y995" t="s">
        <v>38</v>
      </c>
      <c r="AD995">
        <v>0</v>
      </c>
      <c r="AE995" t="b">
        <f>ISNUMBER(MATCH(G995,AUM!$C$6:$C$1451,0))</f>
        <v>0</v>
      </c>
      <c r="AF995" t="b">
        <f>ISNUMBER(MATCH(G995,AUM!$G$6:$G$240,0))</f>
        <v>0</v>
      </c>
    </row>
    <row r="996" spans="1:32" x14ac:dyDescent="0.2">
      <c r="A996" t="s">
        <v>3121</v>
      </c>
      <c r="B996" s="1">
        <v>45671</v>
      </c>
      <c r="D996" t="s">
        <v>3121</v>
      </c>
      <c r="E996" t="s">
        <v>31</v>
      </c>
      <c r="F996" t="s">
        <v>3122</v>
      </c>
      <c r="G996" t="s">
        <v>3123</v>
      </c>
      <c r="H996" t="s">
        <v>34</v>
      </c>
      <c r="I996">
        <v>100</v>
      </c>
      <c r="J996">
        <v>59.35</v>
      </c>
      <c r="K996">
        <v>59.64</v>
      </c>
      <c r="L996">
        <v>59.64</v>
      </c>
      <c r="M996">
        <v>5964</v>
      </c>
      <c r="N996">
        <v>1</v>
      </c>
      <c r="O996" t="s">
        <v>35</v>
      </c>
      <c r="P996">
        <v>1</v>
      </c>
      <c r="R996" t="s">
        <v>3118</v>
      </c>
      <c r="W996" t="s">
        <v>36</v>
      </c>
      <c r="X996" t="s">
        <v>37</v>
      </c>
      <c r="Y996" t="s">
        <v>38</v>
      </c>
      <c r="AD996">
        <v>0</v>
      </c>
      <c r="AE996" t="b">
        <f>ISNUMBER(MATCH(G996,AUM!$C$6:$C$1451,0))</f>
        <v>0</v>
      </c>
      <c r="AF996" t="b">
        <f>ISNUMBER(MATCH(G996,AUM!$G$6:$G$240,0))</f>
        <v>0</v>
      </c>
    </row>
    <row r="997" spans="1:32" x14ac:dyDescent="0.2">
      <c r="A997" t="s">
        <v>3124</v>
      </c>
      <c r="B997" s="1">
        <v>45671</v>
      </c>
      <c r="D997" t="s">
        <v>3124</v>
      </c>
      <c r="E997" t="s">
        <v>31</v>
      </c>
      <c r="F997" t="s">
        <v>3125</v>
      </c>
      <c r="G997" t="s">
        <v>3126</v>
      </c>
      <c r="H997" t="s">
        <v>34</v>
      </c>
      <c r="J997">
        <v>15.73</v>
      </c>
      <c r="K997">
        <v>15.782</v>
      </c>
      <c r="L997">
        <v>15.78248973</v>
      </c>
      <c r="Q997" t="s">
        <v>3127</v>
      </c>
      <c r="T997">
        <v>0</v>
      </c>
      <c r="W997" t="s">
        <v>36</v>
      </c>
      <c r="X997" t="s">
        <v>69</v>
      </c>
      <c r="Y997" t="s">
        <v>38</v>
      </c>
      <c r="AD997">
        <v>0</v>
      </c>
      <c r="AE997" t="b">
        <f>ISNUMBER(MATCH(G997,AUM!$C$6:$C$1451,0))</f>
        <v>0</v>
      </c>
      <c r="AF997" t="b">
        <f>ISNUMBER(MATCH(G997,AUM!$G$6:$G$240,0))</f>
        <v>0</v>
      </c>
    </row>
    <row r="998" spans="1:32" x14ac:dyDescent="0.2">
      <c r="A998" t="s">
        <v>3127</v>
      </c>
      <c r="B998" s="1">
        <v>45671</v>
      </c>
      <c r="D998" t="s">
        <v>3127</v>
      </c>
      <c r="E998" t="s">
        <v>31</v>
      </c>
      <c r="F998" t="s">
        <v>3128</v>
      </c>
      <c r="G998" t="s">
        <v>3129</v>
      </c>
      <c r="H998" t="s">
        <v>34</v>
      </c>
      <c r="I998">
        <v>100</v>
      </c>
      <c r="J998">
        <v>13.375</v>
      </c>
      <c r="K998">
        <v>13.42</v>
      </c>
      <c r="L998">
        <v>13.42</v>
      </c>
      <c r="M998">
        <v>1342</v>
      </c>
      <c r="N998">
        <v>1</v>
      </c>
      <c r="O998" t="s">
        <v>35</v>
      </c>
      <c r="P998">
        <v>1</v>
      </c>
      <c r="R998" t="s">
        <v>3124</v>
      </c>
      <c r="W998" t="s">
        <v>36</v>
      </c>
      <c r="X998" t="s">
        <v>37</v>
      </c>
      <c r="Y998" t="s">
        <v>38</v>
      </c>
      <c r="AD998">
        <v>0</v>
      </c>
      <c r="AE998" t="b">
        <f>ISNUMBER(MATCH(G998,AUM!$C$6:$C$1451,0))</f>
        <v>0</v>
      </c>
      <c r="AF998" t="b">
        <f>ISNUMBER(MATCH(G998,AUM!$G$6:$G$240,0))</f>
        <v>0</v>
      </c>
    </row>
    <row r="999" spans="1:32" x14ac:dyDescent="0.2">
      <c r="A999" t="s">
        <v>3130</v>
      </c>
      <c r="B999" s="1">
        <v>45671</v>
      </c>
      <c r="D999" t="s">
        <v>3130</v>
      </c>
      <c r="E999" t="s">
        <v>31</v>
      </c>
      <c r="F999" t="s">
        <v>3131</v>
      </c>
      <c r="G999" t="s">
        <v>3132</v>
      </c>
      <c r="H999" t="s">
        <v>34</v>
      </c>
      <c r="J999">
        <v>72.418999999999997</v>
      </c>
      <c r="K999">
        <v>72.772999999999996</v>
      </c>
      <c r="L999">
        <v>72.773346129999993</v>
      </c>
      <c r="Q999" t="s">
        <v>3133</v>
      </c>
      <c r="T999">
        <v>0</v>
      </c>
      <c r="W999" t="s">
        <v>36</v>
      </c>
      <c r="X999" t="s">
        <v>69</v>
      </c>
      <c r="Y999" t="s">
        <v>38</v>
      </c>
      <c r="AD999">
        <v>0</v>
      </c>
      <c r="AE999" t="b">
        <f>ISNUMBER(MATCH(G999,AUM!$C$6:$C$1451,0))</f>
        <v>1</v>
      </c>
      <c r="AF999" t="b">
        <f>ISNUMBER(MATCH(G999,AUM!$G$6:$G$240,0))</f>
        <v>0</v>
      </c>
    </row>
    <row r="1000" spans="1:32" x14ac:dyDescent="0.2">
      <c r="A1000" t="s">
        <v>3133</v>
      </c>
      <c r="B1000" s="1">
        <v>45671</v>
      </c>
      <c r="D1000" t="s">
        <v>3133</v>
      </c>
      <c r="E1000" t="s">
        <v>31</v>
      </c>
      <c r="F1000" t="s">
        <v>3134</v>
      </c>
      <c r="G1000" t="s">
        <v>3135</v>
      </c>
      <c r="H1000" t="s">
        <v>34</v>
      </c>
      <c r="I1000">
        <v>100</v>
      </c>
      <c r="J1000">
        <v>59.35</v>
      </c>
      <c r="K1000">
        <v>59.64</v>
      </c>
      <c r="L1000">
        <v>59.64</v>
      </c>
      <c r="M1000">
        <v>5964</v>
      </c>
      <c r="N1000">
        <v>1</v>
      </c>
      <c r="O1000" t="s">
        <v>35</v>
      </c>
      <c r="P1000">
        <v>1</v>
      </c>
      <c r="R1000" t="s">
        <v>3130</v>
      </c>
      <c r="W1000" t="s">
        <v>36</v>
      </c>
      <c r="X1000" t="s">
        <v>37</v>
      </c>
      <c r="Y1000" t="s">
        <v>38</v>
      </c>
      <c r="AD1000">
        <v>0</v>
      </c>
      <c r="AE1000" t="b">
        <f>ISNUMBER(MATCH(G1000,AUM!$C$6:$C$1451,0))</f>
        <v>1</v>
      </c>
      <c r="AF1000" t="b">
        <f>ISNUMBER(MATCH(G1000,AUM!$G$6:$G$240,0))</f>
        <v>0</v>
      </c>
    </row>
    <row r="1001" spans="1:32" x14ac:dyDescent="0.2">
      <c r="A1001" t="s">
        <v>3136</v>
      </c>
      <c r="B1001" s="1">
        <v>45671</v>
      </c>
      <c r="D1001" t="s">
        <v>3136</v>
      </c>
      <c r="E1001" t="s">
        <v>31</v>
      </c>
      <c r="F1001" t="s">
        <v>3137</v>
      </c>
      <c r="G1001" t="s">
        <v>3138</v>
      </c>
      <c r="H1001" t="s">
        <v>34</v>
      </c>
      <c r="I1001">
        <v>67.2577</v>
      </c>
      <c r="J1001">
        <v>192.31</v>
      </c>
      <c r="K1001">
        <v>191.73</v>
      </c>
      <c r="L1001">
        <v>191.73044078999999</v>
      </c>
      <c r="M1001">
        <v>12895.34846739</v>
      </c>
      <c r="N1001">
        <v>1</v>
      </c>
      <c r="O1001" t="s">
        <v>35</v>
      </c>
      <c r="P1001">
        <v>1</v>
      </c>
      <c r="W1001" t="s">
        <v>36</v>
      </c>
      <c r="X1001" t="s">
        <v>37</v>
      </c>
      <c r="Y1001" t="s">
        <v>38</v>
      </c>
      <c r="AD1001">
        <v>0</v>
      </c>
      <c r="AE1001" t="b">
        <f>ISNUMBER(MATCH(G1001,AUM!$C$6:$C$1451,0))</f>
        <v>1</v>
      </c>
      <c r="AF1001" t="b">
        <f>ISNUMBER(MATCH(G1001,AUM!$G$6:$G$240,0))</f>
        <v>0</v>
      </c>
    </row>
    <row r="1002" spans="1:32" x14ac:dyDescent="0.2">
      <c r="A1002" t="s">
        <v>3139</v>
      </c>
      <c r="B1002" s="1">
        <v>45671</v>
      </c>
      <c r="D1002" t="s">
        <v>3139</v>
      </c>
      <c r="E1002" t="s">
        <v>31</v>
      </c>
      <c r="F1002" t="s">
        <v>3140</v>
      </c>
      <c r="G1002" t="s">
        <v>3141</v>
      </c>
      <c r="H1002" t="s">
        <v>34</v>
      </c>
      <c r="I1002">
        <v>47.549199999999999</v>
      </c>
      <c r="J1002">
        <v>116.91</v>
      </c>
      <c r="K1002">
        <v>116.55</v>
      </c>
      <c r="L1002">
        <v>116.55263187</v>
      </c>
      <c r="M1002">
        <v>5541.9844031499997</v>
      </c>
      <c r="N1002">
        <v>1</v>
      </c>
      <c r="O1002" t="s">
        <v>35</v>
      </c>
      <c r="P1002">
        <v>1</v>
      </c>
      <c r="W1002" t="s">
        <v>36</v>
      </c>
      <c r="X1002" t="s">
        <v>37</v>
      </c>
      <c r="Y1002" t="s">
        <v>38</v>
      </c>
      <c r="AD1002">
        <v>0</v>
      </c>
      <c r="AE1002" t="b">
        <f>ISNUMBER(MATCH(G1002,AUM!$C$6:$C$1451,0))</f>
        <v>1</v>
      </c>
      <c r="AF1002" t="b">
        <f>ISNUMBER(MATCH(G1002,AUM!$G$6:$G$240,0))</f>
        <v>1</v>
      </c>
    </row>
    <row r="1003" spans="1:32" x14ac:dyDescent="0.2">
      <c r="A1003" t="s">
        <v>3142</v>
      </c>
      <c r="B1003" s="1">
        <v>45671</v>
      </c>
      <c r="D1003" t="s">
        <v>3142</v>
      </c>
      <c r="E1003" t="s">
        <v>31</v>
      </c>
      <c r="F1003" t="s">
        <v>3143</v>
      </c>
      <c r="G1003" t="s">
        <v>3144</v>
      </c>
      <c r="H1003" t="s">
        <v>34</v>
      </c>
      <c r="J1003">
        <v>19.158000000000001</v>
      </c>
      <c r="K1003">
        <v>19.765999999999998</v>
      </c>
      <c r="L1003">
        <v>19.765790819999999</v>
      </c>
      <c r="Q1003" t="s">
        <v>3145</v>
      </c>
      <c r="T1003">
        <v>0</v>
      </c>
      <c r="W1003" t="s">
        <v>36</v>
      </c>
      <c r="X1003" t="s">
        <v>69</v>
      </c>
      <c r="Y1003" t="s">
        <v>38</v>
      </c>
      <c r="AD1003">
        <v>0</v>
      </c>
      <c r="AE1003" t="b">
        <f>ISNUMBER(MATCH(G1003,AUM!$C$6:$C$1451,0))</f>
        <v>1</v>
      </c>
      <c r="AF1003" t="b">
        <f>ISNUMBER(MATCH(G1003,AUM!$G$6:$G$240,0))</f>
        <v>0</v>
      </c>
    </row>
    <row r="1004" spans="1:32" x14ac:dyDescent="0.2">
      <c r="A1004" t="s">
        <v>3145</v>
      </c>
      <c r="B1004" s="1">
        <v>45671</v>
      </c>
      <c r="D1004" t="s">
        <v>3145</v>
      </c>
      <c r="E1004" t="s">
        <v>31</v>
      </c>
      <c r="F1004" t="s">
        <v>3146</v>
      </c>
      <c r="G1004" t="s">
        <v>3147</v>
      </c>
      <c r="H1004" t="s">
        <v>34</v>
      </c>
      <c r="I1004">
        <v>95.669753601580098</v>
      </c>
      <c r="J1004">
        <v>15.742000000000001</v>
      </c>
      <c r="K1004">
        <v>16.241</v>
      </c>
      <c r="L1004">
        <v>16.24128778</v>
      </c>
      <c r="M1004">
        <v>1553.8</v>
      </c>
      <c r="N1004">
        <v>1</v>
      </c>
      <c r="O1004" t="s">
        <v>35</v>
      </c>
      <c r="P1004">
        <v>1</v>
      </c>
      <c r="R1004" t="s">
        <v>3142</v>
      </c>
      <c r="W1004" t="s">
        <v>36</v>
      </c>
      <c r="X1004" t="s">
        <v>37</v>
      </c>
      <c r="Y1004" t="s">
        <v>38</v>
      </c>
      <c r="AD1004">
        <v>0</v>
      </c>
      <c r="AE1004" t="b">
        <f>ISNUMBER(MATCH(G1004,AUM!$C$6:$C$1451,0))</f>
        <v>1</v>
      </c>
      <c r="AF1004" t="b">
        <f>ISNUMBER(MATCH(G1004,AUM!$G$6:$G$240,0))</f>
        <v>0</v>
      </c>
    </row>
    <row r="1005" spans="1:32" x14ac:dyDescent="0.2">
      <c r="A1005" t="s">
        <v>3148</v>
      </c>
      <c r="B1005" s="1">
        <v>45671</v>
      </c>
      <c r="D1005" t="s">
        <v>3148</v>
      </c>
      <c r="E1005" t="s">
        <v>31</v>
      </c>
      <c r="F1005" t="s">
        <v>3149</v>
      </c>
      <c r="G1005" t="s">
        <v>3150</v>
      </c>
      <c r="H1005" t="s">
        <v>34</v>
      </c>
      <c r="J1005">
        <v>247.58</v>
      </c>
      <c r="K1005">
        <v>247.14500000000001</v>
      </c>
      <c r="L1005">
        <v>247.14512331</v>
      </c>
      <c r="Q1005" t="s">
        <v>3151</v>
      </c>
      <c r="T1005">
        <v>2</v>
      </c>
      <c r="V1005" t="s">
        <v>79</v>
      </c>
      <c r="W1005" t="s">
        <v>36</v>
      </c>
      <c r="X1005" t="s">
        <v>69</v>
      </c>
      <c r="Y1005" t="s">
        <v>38</v>
      </c>
      <c r="AD1005">
        <v>0</v>
      </c>
      <c r="AE1005" t="b">
        <f>ISNUMBER(MATCH(G1005,AUM!$C$6:$C$1451,0))</f>
        <v>1</v>
      </c>
      <c r="AF1005" t="b">
        <f>ISNUMBER(MATCH(G1005,AUM!$G$6:$G$240,0))</f>
        <v>0</v>
      </c>
    </row>
    <row r="1006" spans="1:32" x14ac:dyDescent="0.2">
      <c r="A1006" t="s">
        <v>3151</v>
      </c>
      <c r="B1006" s="1">
        <v>45671</v>
      </c>
      <c r="D1006" t="s">
        <v>3151</v>
      </c>
      <c r="E1006" t="s">
        <v>31</v>
      </c>
      <c r="F1006" t="s">
        <v>3152</v>
      </c>
      <c r="G1006" t="s">
        <v>3153</v>
      </c>
      <c r="H1006" t="s">
        <v>34</v>
      </c>
      <c r="I1006">
        <v>100</v>
      </c>
      <c r="J1006">
        <v>227.8</v>
      </c>
      <c r="K1006">
        <v>227.4</v>
      </c>
      <c r="L1006">
        <v>227.4</v>
      </c>
      <c r="M1006">
        <v>22740</v>
      </c>
      <c r="N1006">
        <v>1</v>
      </c>
      <c r="O1006" t="s">
        <v>35</v>
      </c>
      <c r="P1006">
        <v>1</v>
      </c>
      <c r="R1006" t="s">
        <v>3148</v>
      </c>
      <c r="W1006" t="s">
        <v>36</v>
      </c>
      <c r="X1006" t="s">
        <v>37</v>
      </c>
      <c r="Y1006" t="s">
        <v>38</v>
      </c>
      <c r="AD1006">
        <v>0</v>
      </c>
      <c r="AE1006" t="b">
        <f>ISNUMBER(MATCH(G1006,AUM!$C$6:$C$1451,0))</f>
        <v>1</v>
      </c>
      <c r="AF1006" t="b">
        <f>ISNUMBER(MATCH(G1006,AUM!$G$6:$G$240,0))</f>
        <v>0</v>
      </c>
    </row>
    <row r="1007" spans="1:32" x14ac:dyDescent="0.2">
      <c r="A1007" t="s">
        <v>3154</v>
      </c>
      <c r="B1007" s="1">
        <v>45671</v>
      </c>
      <c r="D1007" t="s">
        <v>3154</v>
      </c>
      <c r="E1007" t="s">
        <v>31</v>
      </c>
      <c r="F1007" t="s">
        <v>3155</v>
      </c>
      <c r="G1007" t="s">
        <v>3156</v>
      </c>
      <c r="H1007" t="s">
        <v>34</v>
      </c>
      <c r="J1007">
        <v>15.37</v>
      </c>
      <c r="K1007">
        <v>15.571999999999999</v>
      </c>
      <c r="L1007">
        <v>15.57172652</v>
      </c>
      <c r="Q1007" t="s">
        <v>3157</v>
      </c>
      <c r="T1007">
        <v>0</v>
      </c>
      <c r="W1007" t="s">
        <v>36</v>
      </c>
      <c r="X1007" t="s">
        <v>69</v>
      </c>
      <c r="Y1007" t="s">
        <v>38</v>
      </c>
      <c r="AD1007">
        <v>0</v>
      </c>
      <c r="AE1007" t="b">
        <f>ISNUMBER(MATCH(G1007,AUM!$C$6:$C$1451,0))</f>
        <v>1</v>
      </c>
      <c r="AF1007" t="b">
        <f>ISNUMBER(MATCH(G1007,AUM!$G$6:$G$240,0))</f>
        <v>0</v>
      </c>
    </row>
    <row r="1008" spans="1:32" x14ac:dyDescent="0.2">
      <c r="A1008" t="s">
        <v>3157</v>
      </c>
      <c r="B1008" s="1">
        <v>45671</v>
      </c>
      <c r="D1008" t="s">
        <v>3157</v>
      </c>
      <c r="E1008" t="s">
        <v>31</v>
      </c>
      <c r="F1008" t="s">
        <v>3158</v>
      </c>
      <c r="G1008" t="s">
        <v>3159</v>
      </c>
      <c r="H1008" t="s">
        <v>34</v>
      </c>
      <c r="I1008">
        <v>100</v>
      </c>
      <c r="J1008">
        <v>13.695</v>
      </c>
      <c r="K1008">
        <v>13.875</v>
      </c>
      <c r="L1008">
        <v>13.875</v>
      </c>
      <c r="M1008">
        <v>1387.5</v>
      </c>
      <c r="N1008">
        <v>1</v>
      </c>
      <c r="O1008" t="s">
        <v>35</v>
      </c>
      <c r="P1008">
        <v>1</v>
      </c>
      <c r="R1008" t="s">
        <v>3154</v>
      </c>
      <c r="W1008" t="s">
        <v>36</v>
      </c>
      <c r="X1008" t="s">
        <v>37</v>
      </c>
      <c r="Y1008" t="s">
        <v>38</v>
      </c>
      <c r="AD1008">
        <v>0</v>
      </c>
      <c r="AE1008" t="b">
        <f>ISNUMBER(MATCH(G1008,AUM!$C$6:$C$1451,0))</f>
        <v>1</v>
      </c>
      <c r="AF1008" t="b">
        <f>ISNUMBER(MATCH(G1008,AUM!$G$6:$G$240,0))</f>
        <v>0</v>
      </c>
    </row>
    <row r="1009" spans="1:32" x14ac:dyDescent="0.2">
      <c r="A1009" t="s">
        <v>3160</v>
      </c>
      <c r="B1009" s="1">
        <v>45671</v>
      </c>
      <c r="D1009" t="s">
        <v>3160</v>
      </c>
      <c r="E1009" t="s">
        <v>31</v>
      </c>
      <c r="F1009" t="s">
        <v>3161</v>
      </c>
      <c r="G1009" t="s">
        <v>3162</v>
      </c>
      <c r="H1009" t="s">
        <v>34</v>
      </c>
      <c r="J1009">
        <v>15.387</v>
      </c>
      <c r="K1009">
        <v>15.099</v>
      </c>
      <c r="L1009">
        <v>15.09896097</v>
      </c>
      <c r="Q1009" t="s">
        <v>3163</v>
      </c>
      <c r="T1009">
        <v>0</v>
      </c>
      <c r="W1009" t="s">
        <v>36</v>
      </c>
      <c r="X1009" t="s">
        <v>69</v>
      </c>
      <c r="Y1009" t="s">
        <v>38</v>
      </c>
      <c r="AD1009">
        <v>0</v>
      </c>
      <c r="AE1009" t="b">
        <f>ISNUMBER(MATCH(G1009,AUM!$C$6:$C$1451,0))</f>
        <v>1</v>
      </c>
      <c r="AF1009" t="b">
        <f>ISNUMBER(MATCH(G1009,AUM!$G$6:$G$240,0))</f>
        <v>0</v>
      </c>
    </row>
    <row r="1010" spans="1:32" x14ac:dyDescent="0.2">
      <c r="A1010" t="s">
        <v>3163</v>
      </c>
      <c r="B1010" s="1">
        <v>45671</v>
      </c>
      <c r="D1010" t="s">
        <v>3163</v>
      </c>
      <c r="E1010" t="s">
        <v>31</v>
      </c>
      <c r="F1010" t="s">
        <v>3164</v>
      </c>
      <c r="G1010" t="s">
        <v>3165</v>
      </c>
      <c r="H1010" t="s">
        <v>34</v>
      </c>
      <c r="I1010">
        <v>100</v>
      </c>
      <c r="J1010">
        <v>12.28</v>
      </c>
      <c r="K1010">
        <v>12.05</v>
      </c>
      <c r="L1010">
        <v>12.05</v>
      </c>
      <c r="M1010">
        <v>1205</v>
      </c>
      <c r="N1010">
        <v>1</v>
      </c>
      <c r="O1010" t="s">
        <v>35</v>
      </c>
      <c r="P1010">
        <v>1</v>
      </c>
      <c r="R1010" t="s">
        <v>3160</v>
      </c>
      <c r="W1010" t="s">
        <v>36</v>
      </c>
      <c r="X1010" t="s">
        <v>37</v>
      </c>
      <c r="Y1010" t="s">
        <v>38</v>
      </c>
      <c r="AD1010">
        <v>0</v>
      </c>
      <c r="AE1010" t="b">
        <f>ISNUMBER(MATCH(G1010,AUM!$C$6:$C$1451,0))</f>
        <v>1</v>
      </c>
      <c r="AF1010" t="b">
        <f>ISNUMBER(MATCH(G1010,AUM!$G$6:$G$240,0))</f>
        <v>0</v>
      </c>
    </row>
    <row r="1011" spans="1:32" x14ac:dyDescent="0.2">
      <c r="A1011" t="s">
        <v>3166</v>
      </c>
      <c r="B1011" s="1">
        <v>45671</v>
      </c>
      <c r="D1011" t="s">
        <v>3166</v>
      </c>
      <c r="E1011" t="s">
        <v>31</v>
      </c>
      <c r="F1011" t="s">
        <v>3167</v>
      </c>
      <c r="G1011" t="s">
        <v>3168</v>
      </c>
      <c r="H1011" t="s">
        <v>34</v>
      </c>
      <c r="J1011">
        <v>22.763000000000002</v>
      </c>
      <c r="K1011">
        <v>22.888999999999999</v>
      </c>
      <c r="L1011">
        <v>22.889292940000001</v>
      </c>
      <c r="Q1011" t="s">
        <v>3169</v>
      </c>
      <c r="T1011">
        <v>0</v>
      </c>
      <c r="W1011" t="s">
        <v>36</v>
      </c>
      <c r="X1011" t="s">
        <v>69</v>
      </c>
      <c r="Y1011" t="s">
        <v>38</v>
      </c>
      <c r="AD1011">
        <v>0</v>
      </c>
      <c r="AE1011" t="b">
        <f>ISNUMBER(MATCH(G1011,AUM!$C$6:$C$1451,0))</f>
        <v>1</v>
      </c>
      <c r="AF1011" t="b">
        <f>ISNUMBER(MATCH(G1011,AUM!$G$6:$G$240,0))</f>
        <v>0</v>
      </c>
    </row>
    <row r="1012" spans="1:32" x14ac:dyDescent="0.2">
      <c r="A1012" t="s">
        <v>3169</v>
      </c>
      <c r="B1012" s="1">
        <v>45671</v>
      </c>
      <c r="D1012" t="s">
        <v>3169</v>
      </c>
      <c r="E1012" t="s">
        <v>31</v>
      </c>
      <c r="F1012" t="s">
        <v>3170</v>
      </c>
      <c r="G1012" t="s">
        <v>3171</v>
      </c>
      <c r="H1012" t="s">
        <v>34</v>
      </c>
      <c r="I1012">
        <v>100</v>
      </c>
      <c r="J1012">
        <v>21.63</v>
      </c>
      <c r="K1012">
        <v>21.75</v>
      </c>
      <c r="L1012">
        <v>21.75</v>
      </c>
      <c r="M1012">
        <v>2175</v>
      </c>
      <c r="N1012">
        <v>1</v>
      </c>
      <c r="O1012" t="s">
        <v>35</v>
      </c>
      <c r="P1012">
        <v>1</v>
      </c>
      <c r="R1012" t="s">
        <v>3166</v>
      </c>
      <c r="W1012" t="s">
        <v>36</v>
      </c>
      <c r="X1012" t="s">
        <v>37</v>
      </c>
      <c r="Y1012" t="s">
        <v>38</v>
      </c>
      <c r="AD1012">
        <v>0</v>
      </c>
      <c r="AE1012" t="b">
        <f>ISNUMBER(MATCH(G1012,AUM!$C$6:$C$1451,0))</f>
        <v>1</v>
      </c>
      <c r="AF1012" t="b">
        <f>ISNUMBER(MATCH(G1012,AUM!$G$6:$G$240,0))</f>
        <v>0</v>
      </c>
    </row>
    <row r="1013" spans="1:32" x14ac:dyDescent="0.2">
      <c r="A1013" t="s">
        <v>3172</v>
      </c>
      <c r="B1013" s="1">
        <v>45671</v>
      </c>
      <c r="D1013" t="s">
        <v>3172</v>
      </c>
      <c r="E1013" t="s">
        <v>31</v>
      </c>
      <c r="F1013" t="s">
        <v>3173</v>
      </c>
      <c r="G1013" t="s">
        <v>3174</v>
      </c>
      <c r="H1013" t="s">
        <v>34</v>
      </c>
      <c r="J1013">
        <v>16.780999999999999</v>
      </c>
      <c r="K1013">
        <v>16.937000000000001</v>
      </c>
      <c r="L1013">
        <v>16.937273009999998</v>
      </c>
      <c r="Q1013" t="s">
        <v>3175</v>
      </c>
      <c r="T1013">
        <v>0</v>
      </c>
      <c r="W1013" t="s">
        <v>36</v>
      </c>
      <c r="X1013" t="s">
        <v>69</v>
      </c>
      <c r="Y1013" t="s">
        <v>38</v>
      </c>
      <c r="AD1013">
        <v>0</v>
      </c>
      <c r="AE1013" t="b">
        <f>ISNUMBER(MATCH(G1013,AUM!$C$6:$C$1451,0))</f>
        <v>1</v>
      </c>
      <c r="AF1013" t="b">
        <f>ISNUMBER(MATCH(G1013,AUM!$G$6:$G$240,0))</f>
        <v>0</v>
      </c>
    </row>
    <row r="1014" spans="1:32" x14ac:dyDescent="0.2">
      <c r="A1014" t="s">
        <v>3175</v>
      </c>
      <c r="B1014" s="1">
        <v>45671</v>
      </c>
      <c r="D1014" t="s">
        <v>3175</v>
      </c>
      <c r="E1014" t="s">
        <v>31</v>
      </c>
      <c r="F1014" t="s">
        <v>3176</v>
      </c>
      <c r="G1014" t="s">
        <v>3177</v>
      </c>
      <c r="H1014" t="s">
        <v>34</v>
      </c>
      <c r="I1014">
        <v>100</v>
      </c>
      <c r="J1014">
        <v>13.744</v>
      </c>
      <c r="K1014">
        <v>13.872</v>
      </c>
      <c r="L1014">
        <v>13.872</v>
      </c>
      <c r="M1014">
        <v>1387.2</v>
      </c>
      <c r="N1014">
        <v>1</v>
      </c>
      <c r="O1014" t="s">
        <v>35</v>
      </c>
      <c r="P1014">
        <v>1</v>
      </c>
      <c r="R1014" t="s">
        <v>3172</v>
      </c>
      <c r="W1014" t="s">
        <v>36</v>
      </c>
      <c r="X1014" t="s">
        <v>37</v>
      </c>
      <c r="Y1014" t="s">
        <v>38</v>
      </c>
      <c r="AD1014">
        <v>0</v>
      </c>
      <c r="AE1014" t="b">
        <f>ISNUMBER(MATCH(G1014,AUM!$C$6:$C$1451,0))</f>
        <v>1</v>
      </c>
      <c r="AF1014" t="b">
        <f>ISNUMBER(MATCH(G1014,AUM!$G$6:$G$240,0))</f>
        <v>0</v>
      </c>
    </row>
    <row r="1015" spans="1:32" x14ac:dyDescent="0.2">
      <c r="A1015" t="s">
        <v>3178</v>
      </c>
      <c r="B1015" s="1">
        <v>45671</v>
      </c>
      <c r="D1015" t="s">
        <v>3178</v>
      </c>
      <c r="E1015" t="s">
        <v>31</v>
      </c>
      <c r="F1015" t="s">
        <v>3179</v>
      </c>
      <c r="G1015" t="s">
        <v>3180</v>
      </c>
      <c r="H1015" t="s">
        <v>34</v>
      </c>
      <c r="J1015">
        <v>107.361</v>
      </c>
      <c r="K1015">
        <v>106.642</v>
      </c>
      <c r="L1015">
        <v>106.64195305</v>
      </c>
      <c r="Q1015" t="s">
        <v>3181</v>
      </c>
      <c r="T1015">
        <v>0</v>
      </c>
      <c r="W1015" t="s">
        <v>36</v>
      </c>
      <c r="X1015" t="s">
        <v>69</v>
      </c>
      <c r="Y1015" t="s">
        <v>38</v>
      </c>
      <c r="AD1015">
        <v>0</v>
      </c>
      <c r="AE1015" t="b">
        <f>ISNUMBER(MATCH(G1015,AUM!$C$6:$C$1451,0))</f>
        <v>1</v>
      </c>
      <c r="AF1015" t="b">
        <f>ISNUMBER(MATCH(G1015,AUM!$G$6:$G$240,0))</f>
        <v>0</v>
      </c>
    </row>
    <row r="1016" spans="1:32" x14ac:dyDescent="0.2">
      <c r="A1016" t="s">
        <v>3181</v>
      </c>
      <c r="B1016" s="1">
        <v>45671</v>
      </c>
      <c r="D1016" t="s">
        <v>3181</v>
      </c>
      <c r="E1016" t="s">
        <v>31</v>
      </c>
      <c r="F1016" t="s">
        <v>3182</v>
      </c>
      <c r="G1016" t="s">
        <v>3183</v>
      </c>
      <c r="H1016" t="s">
        <v>34</v>
      </c>
      <c r="I1016">
        <v>99.446093966465597</v>
      </c>
      <c r="J1016">
        <v>96.143000000000001</v>
      </c>
      <c r="K1016">
        <v>95.498999999999995</v>
      </c>
      <c r="L1016">
        <v>95.498974579999995</v>
      </c>
      <c r="M1016">
        <v>9497</v>
      </c>
      <c r="N1016">
        <v>1</v>
      </c>
      <c r="O1016" t="s">
        <v>35</v>
      </c>
      <c r="P1016">
        <v>1</v>
      </c>
      <c r="R1016" t="s">
        <v>3178</v>
      </c>
      <c r="W1016" t="s">
        <v>36</v>
      </c>
      <c r="X1016" t="s">
        <v>37</v>
      </c>
      <c r="Y1016" t="s">
        <v>38</v>
      </c>
      <c r="AD1016">
        <v>0</v>
      </c>
      <c r="AE1016" t="b">
        <f>ISNUMBER(MATCH(G1016,AUM!$C$6:$C$1451,0))</f>
        <v>1</v>
      </c>
      <c r="AF1016" t="b">
        <f>ISNUMBER(MATCH(G1016,AUM!$G$6:$G$240,0))</f>
        <v>0</v>
      </c>
    </row>
    <row r="1017" spans="1:32" x14ac:dyDescent="0.2">
      <c r="A1017" t="s">
        <v>3184</v>
      </c>
      <c r="B1017" s="1">
        <v>45671</v>
      </c>
      <c r="D1017" t="s">
        <v>3184</v>
      </c>
      <c r="E1017" t="s">
        <v>31</v>
      </c>
      <c r="F1017" t="s">
        <v>3185</v>
      </c>
      <c r="G1017" t="s">
        <v>3186</v>
      </c>
      <c r="H1017" t="s">
        <v>34</v>
      </c>
      <c r="J1017">
        <v>226.00700000000001</v>
      </c>
      <c r="K1017">
        <v>224.46899999999999</v>
      </c>
      <c r="L1017">
        <v>224.46915433999999</v>
      </c>
      <c r="Q1017" t="s">
        <v>3187</v>
      </c>
      <c r="T1017">
        <v>0</v>
      </c>
      <c r="W1017" t="s">
        <v>36</v>
      </c>
      <c r="X1017" t="s">
        <v>69</v>
      </c>
      <c r="Y1017" t="s">
        <v>38</v>
      </c>
      <c r="AD1017">
        <v>0</v>
      </c>
      <c r="AE1017" t="b">
        <f>ISNUMBER(MATCH(G1017,AUM!$C$6:$C$1451,0))</f>
        <v>1</v>
      </c>
      <c r="AF1017" t="b">
        <f>ISNUMBER(MATCH(G1017,AUM!$G$6:$G$240,0))</f>
        <v>0</v>
      </c>
    </row>
    <row r="1018" spans="1:32" x14ac:dyDescent="0.2">
      <c r="A1018" t="s">
        <v>3187</v>
      </c>
      <c r="B1018" s="1">
        <v>45671</v>
      </c>
      <c r="D1018" t="s">
        <v>3187</v>
      </c>
      <c r="E1018" t="s">
        <v>31</v>
      </c>
      <c r="F1018" t="s">
        <v>3188</v>
      </c>
      <c r="G1018" t="s">
        <v>3189</v>
      </c>
      <c r="H1018" t="s">
        <v>34</v>
      </c>
      <c r="I1018">
        <v>100</v>
      </c>
      <c r="J1018">
        <v>220.4</v>
      </c>
      <c r="K1018">
        <v>218.9</v>
      </c>
      <c r="L1018">
        <v>218.9</v>
      </c>
      <c r="M1018">
        <v>21890</v>
      </c>
      <c r="N1018">
        <v>1</v>
      </c>
      <c r="O1018" t="s">
        <v>35</v>
      </c>
      <c r="P1018">
        <v>1</v>
      </c>
      <c r="R1018" t="s">
        <v>3184</v>
      </c>
      <c r="W1018" t="s">
        <v>36</v>
      </c>
      <c r="X1018" t="s">
        <v>37</v>
      </c>
      <c r="Y1018" t="s">
        <v>38</v>
      </c>
      <c r="AD1018">
        <v>0</v>
      </c>
      <c r="AE1018" t="b">
        <f>ISNUMBER(MATCH(G1018,AUM!$C$6:$C$1451,0))</f>
        <v>1</v>
      </c>
      <c r="AF1018" t="b">
        <f>ISNUMBER(MATCH(G1018,AUM!$G$6:$G$240,0))</f>
        <v>0</v>
      </c>
    </row>
    <row r="1019" spans="1:32" x14ac:dyDescent="0.2">
      <c r="A1019" t="s">
        <v>3190</v>
      </c>
      <c r="B1019" s="1">
        <v>45671</v>
      </c>
      <c r="D1019" t="s">
        <v>3190</v>
      </c>
      <c r="E1019" t="s">
        <v>31</v>
      </c>
      <c r="F1019" t="s">
        <v>3191</v>
      </c>
      <c r="G1019" t="s">
        <v>3192</v>
      </c>
      <c r="H1019" t="s">
        <v>34</v>
      </c>
      <c r="J1019">
        <v>35.189</v>
      </c>
      <c r="K1019">
        <v>35.628999999999998</v>
      </c>
      <c r="L1019">
        <v>35.628854879999999</v>
      </c>
      <c r="Q1019" t="s">
        <v>3193</v>
      </c>
      <c r="T1019">
        <v>0</v>
      </c>
      <c r="W1019" t="s">
        <v>36</v>
      </c>
      <c r="X1019" t="s">
        <v>69</v>
      </c>
      <c r="Y1019" t="s">
        <v>38</v>
      </c>
      <c r="AD1019">
        <v>0</v>
      </c>
      <c r="AE1019" t="b">
        <f>ISNUMBER(MATCH(G1019,AUM!$C$6:$C$1451,0))</f>
        <v>1</v>
      </c>
      <c r="AF1019" t="b">
        <f>ISNUMBER(MATCH(G1019,AUM!$G$6:$G$240,0))</f>
        <v>0</v>
      </c>
    </row>
    <row r="1020" spans="1:32" x14ac:dyDescent="0.2">
      <c r="A1020" t="s">
        <v>3193</v>
      </c>
      <c r="B1020" s="1">
        <v>45671</v>
      </c>
      <c r="D1020" t="s">
        <v>3193</v>
      </c>
      <c r="E1020" t="s">
        <v>31</v>
      </c>
      <c r="F1020" t="s">
        <v>3194</v>
      </c>
      <c r="G1020" t="s">
        <v>3195</v>
      </c>
      <c r="H1020" t="s">
        <v>34</v>
      </c>
      <c r="I1020">
        <v>100</v>
      </c>
      <c r="J1020">
        <v>31.62</v>
      </c>
      <c r="K1020">
        <v>32.015000000000001</v>
      </c>
      <c r="L1020">
        <v>32.015000000000001</v>
      </c>
      <c r="M1020">
        <v>3201.5</v>
      </c>
      <c r="N1020">
        <v>1</v>
      </c>
      <c r="O1020" t="s">
        <v>35</v>
      </c>
      <c r="P1020">
        <v>1</v>
      </c>
      <c r="R1020" t="s">
        <v>3190</v>
      </c>
      <c r="W1020" t="s">
        <v>36</v>
      </c>
      <c r="X1020" t="s">
        <v>37</v>
      </c>
      <c r="Y1020" t="s">
        <v>38</v>
      </c>
      <c r="AD1020">
        <v>0</v>
      </c>
      <c r="AE1020" t="b">
        <f>ISNUMBER(MATCH(G1020,AUM!$C$6:$C$1451,0))</f>
        <v>1</v>
      </c>
      <c r="AF1020" t="b">
        <f>ISNUMBER(MATCH(G1020,AUM!$G$6:$G$240,0))</f>
        <v>0</v>
      </c>
    </row>
    <row r="1021" spans="1:32" x14ac:dyDescent="0.2">
      <c r="A1021" t="s">
        <v>3196</v>
      </c>
      <c r="B1021" s="1">
        <v>45671</v>
      </c>
      <c r="D1021" t="s">
        <v>3196</v>
      </c>
      <c r="E1021" t="s">
        <v>31</v>
      </c>
      <c r="F1021" t="s">
        <v>3197</v>
      </c>
      <c r="G1021" t="s">
        <v>3198</v>
      </c>
      <c r="H1021" t="s">
        <v>34</v>
      </c>
      <c r="J1021">
        <v>40.686999999999998</v>
      </c>
      <c r="K1021">
        <v>40.255000000000003</v>
      </c>
      <c r="L1021">
        <v>40.254612190000003</v>
      </c>
      <c r="Q1021" t="s">
        <v>3199</v>
      </c>
      <c r="T1021">
        <v>0</v>
      </c>
      <c r="W1021" t="s">
        <v>36</v>
      </c>
      <c r="X1021" t="s">
        <v>69</v>
      </c>
      <c r="Y1021" t="s">
        <v>38</v>
      </c>
      <c r="AD1021">
        <v>0</v>
      </c>
      <c r="AE1021" t="b">
        <f>ISNUMBER(MATCH(G1021,AUM!$C$6:$C$1451,0))</f>
        <v>1</v>
      </c>
      <c r="AF1021" t="b">
        <f>ISNUMBER(MATCH(G1021,AUM!$G$6:$G$240,0))</f>
        <v>0</v>
      </c>
    </row>
    <row r="1022" spans="1:32" x14ac:dyDescent="0.2">
      <c r="A1022" t="s">
        <v>3199</v>
      </c>
      <c r="B1022" s="1">
        <v>45671</v>
      </c>
      <c r="D1022" t="s">
        <v>3199</v>
      </c>
      <c r="E1022" t="s">
        <v>31</v>
      </c>
      <c r="F1022" t="s">
        <v>3200</v>
      </c>
      <c r="G1022" t="s">
        <v>3201</v>
      </c>
      <c r="H1022" t="s">
        <v>34</v>
      </c>
      <c r="I1022">
        <v>100</v>
      </c>
      <c r="J1022">
        <v>33.840000000000003</v>
      </c>
      <c r="K1022">
        <v>33.479999999999997</v>
      </c>
      <c r="L1022">
        <v>33.479999999999997</v>
      </c>
      <c r="M1022">
        <v>3348</v>
      </c>
      <c r="N1022">
        <v>1</v>
      </c>
      <c r="O1022" t="s">
        <v>35</v>
      </c>
      <c r="P1022">
        <v>1</v>
      </c>
      <c r="R1022" t="s">
        <v>3196</v>
      </c>
      <c r="W1022" t="s">
        <v>36</v>
      </c>
      <c r="X1022" t="s">
        <v>37</v>
      </c>
      <c r="Y1022" t="s">
        <v>38</v>
      </c>
      <c r="AD1022">
        <v>0</v>
      </c>
      <c r="AE1022" t="b">
        <f>ISNUMBER(MATCH(G1022,AUM!$C$6:$C$1451,0))</f>
        <v>1</v>
      </c>
      <c r="AF1022" t="b">
        <f>ISNUMBER(MATCH(G1022,AUM!$G$6:$G$240,0))</f>
        <v>0</v>
      </c>
    </row>
    <row r="1023" spans="1:32" x14ac:dyDescent="0.2">
      <c r="A1023" t="s">
        <v>3202</v>
      </c>
      <c r="B1023" s="1">
        <v>45671</v>
      </c>
      <c r="D1023" t="s">
        <v>3202</v>
      </c>
      <c r="E1023" t="s">
        <v>31</v>
      </c>
      <c r="F1023" t="s">
        <v>3203</v>
      </c>
      <c r="G1023" t="s">
        <v>3204</v>
      </c>
      <c r="H1023" t="s">
        <v>34</v>
      </c>
      <c r="J1023">
        <v>17.324999999999999</v>
      </c>
      <c r="K1023">
        <v>17.384</v>
      </c>
      <c r="L1023">
        <v>17.383611909999999</v>
      </c>
      <c r="Q1023" t="s">
        <v>3205</v>
      </c>
      <c r="T1023">
        <v>0</v>
      </c>
      <c r="W1023" t="s">
        <v>36</v>
      </c>
      <c r="X1023" t="s">
        <v>69</v>
      </c>
      <c r="Y1023" t="s">
        <v>38</v>
      </c>
      <c r="AD1023">
        <v>0</v>
      </c>
      <c r="AE1023" t="b">
        <f>ISNUMBER(MATCH(G1023,AUM!$C$6:$C$1451,0))</f>
        <v>1</v>
      </c>
      <c r="AF1023" t="b">
        <f>ISNUMBER(MATCH(G1023,AUM!$G$6:$G$240,0))</f>
        <v>0</v>
      </c>
    </row>
    <row r="1024" spans="1:32" x14ac:dyDescent="0.2">
      <c r="A1024" t="s">
        <v>3205</v>
      </c>
      <c r="B1024" s="1">
        <v>45671</v>
      </c>
      <c r="D1024" t="s">
        <v>3205</v>
      </c>
      <c r="E1024" t="s">
        <v>31</v>
      </c>
      <c r="F1024" t="s">
        <v>3206</v>
      </c>
      <c r="G1024" t="s">
        <v>3207</v>
      </c>
      <c r="H1024" t="s">
        <v>34</v>
      </c>
      <c r="I1024">
        <v>100</v>
      </c>
      <c r="J1024">
        <v>13.375</v>
      </c>
      <c r="K1024">
        <v>13.42</v>
      </c>
      <c r="L1024">
        <v>13.42</v>
      </c>
      <c r="M1024">
        <v>1342</v>
      </c>
      <c r="N1024">
        <v>1</v>
      </c>
      <c r="O1024" t="s">
        <v>35</v>
      </c>
      <c r="P1024">
        <v>1</v>
      </c>
      <c r="R1024" t="s">
        <v>3202</v>
      </c>
      <c r="W1024" t="s">
        <v>36</v>
      </c>
      <c r="X1024" t="s">
        <v>37</v>
      </c>
      <c r="Y1024" t="s">
        <v>38</v>
      </c>
      <c r="AD1024">
        <v>0</v>
      </c>
      <c r="AE1024" t="b">
        <f>ISNUMBER(MATCH(G1024,AUM!$C$6:$C$1451,0))</f>
        <v>1</v>
      </c>
      <c r="AF1024" t="b">
        <f>ISNUMBER(MATCH(G1024,AUM!$G$6:$G$240,0))</f>
        <v>0</v>
      </c>
    </row>
    <row r="1025" spans="1:32" x14ac:dyDescent="0.2">
      <c r="A1025" t="s">
        <v>3208</v>
      </c>
      <c r="B1025" s="1">
        <v>45671</v>
      </c>
      <c r="D1025" t="s">
        <v>3208</v>
      </c>
      <c r="E1025" t="s">
        <v>31</v>
      </c>
      <c r="F1025" t="s">
        <v>3209</v>
      </c>
      <c r="G1025" t="s">
        <v>3210</v>
      </c>
      <c r="H1025" t="s">
        <v>34</v>
      </c>
      <c r="J1025">
        <v>17.324999999999999</v>
      </c>
      <c r="K1025">
        <v>17.384</v>
      </c>
      <c r="L1025">
        <v>17.383611909999999</v>
      </c>
      <c r="Q1025" t="s">
        <v>3211</v>
      </c>
      <c r="T1025">
        <v>0</v>
      </c>
      <c r="W1025" t="s">
        <v>36</v>
      </c>
      <c r="X1025" t="s">
        <v>69</v>
      </c>
      <c r="Y1025" t="s">
        <v>38</v>
      </c>
      <c r="AD1025">
        <v>0</v>
      </c>
      <c r="AE1025" t="b">
        <f>ISNUMBER(MATCH(G1025,AUM!$C$6:$C$1451,0))</f>
        <v>1</v>
      </c>
      <c r="AF1025" t="b">
        <f>ISNUMBER(MATCH(G1025,AUM!$G$6:$G$240,0))</f>
        <v>0</v>
      </c>
    </row>
    <row r="1026" spans="1:32" x14ac:dyDescent="0.2">
      <c r="A1026" t="s">
        <v>3211</v>
      </c>
      <c r="B1026" s="1">
        <v>45671</v>
      </c>
      <c r="D1026" t="s">
        <v>3211</v>
      </c>
      <c r="E1026" t="s">
        <v>31</v>
      </c>
      <c r="F1026" t="s">
        <v>3212</v>
      </c>
      <c r="G1026" t="s">
        <v>3213</v>
      </c>
      <c r="H1026" t="s">
        <v>34</v>
      </c>
      <c r="I1026">
        <v>100</v>
      </c>
      <c r="J1026">
        <v>13.375</v>
      </c>
      <c r="K1026">
        <v>13.42</v>
      </c>
      <c r="L1026">
        <v>13.42</v>
      </c>
      <c r="M1026">
        <v>1342</v>
      </c>
      <c r="N1026">
        <v>1</v>
      </c>
      <c r="O1026" t="s">
        <v>35</v>
      </c>
      <c r="P1026">
        <v>1</v>
      </c>
      <c r="R1026" t="s">
        <v>3208</v>
      </c>
      <c r="W1026" t="s">
        <v>36</v>
      </c>
      <c r="X1026" t="s">
        <v>37</v>
      </c>
      <c r="Y1026" t="s">
        <v>38</v>
      </c>
      <c r="AD1026">
        <v>0</v>
      </c>
      <c r="AE1026" t="b">
        <f>ISNUMBER(MATCH(G1026,AUM!$C$6:$C$1451,0))</f>
        <v>1</v>
      </c>
      <c r="AF1026" t="b">
        <f>ISNUMBER(MATCH(G1026,AUM!$G$6:$G$240,0))</f>
        <v>0</v>
      </c>
    </row>
    <row r="1027" spans="1:32" x14ac:dyDescent="0.2">
      <c r="A1027" t="s">
        <v>3214</v>
      </c>
      <c r="B1027" s="1">
        <v>45671</v>
      </c>
      <c r="D1027" t="s">
        <v>3214</v>
      </c>
      <c r="E1027" t="s">
        <v>31</v>
      </c>
      <c r="F1027" t="s">
        <v>3215</v>
      </c>
      <c r="G1027" t="s">
        <v>3216</v>
      </c>
      <c r="H1027" t="s">
        <v>34</v>
      </c>
      <c r="J1027">
        <v>33.558</v>
      </c>
      <c r="K1027">
        <v>34.078000000000003</v>
      </c>
      <c r="L1027">
        <v>34.077607030000003</v>
      </c>
      <c r="Q1027" t="s">
        <v>3217</v>
      </c>
      <c r="T1027">
        <v>0</v>
      </c>
      <c r="W1027" t="s">
        <v>36</v>
      </c>
      <c r="X1027" t="s">
        <v>69</v>
      </c>
      <c r="Y1027" t="s">
        <v>38</v>
      </c>
      <c r="AD1027">
        <v>0</v>
      </c>
      <c r="AE1027" t="b">
        <f>ISNUMBER(MATCH(G1027,AUM!$C$6:$C$1451,0))</f>
        <v>1</v>
      </c>
      <c r="AF1027" t="b">
        <f>ISNUMBER(MATCH(G1027,AUM!$G$6:$G$240,0))</f>
        <v>0</v>
      </c>
    </row>
    <row r="1028" spans="1:32" x14ac:dyDescent="0.2">
      <c r="A1028" t="s">
        <v>3217</v>
      </c>
      <c r="B1028" s="1">
        <v>45671</v>
      </c>
      <c r="D1028" t="s">
        <v>3217</v>
      </c>
      <c r="E1028" t="s">
        <v>31</v>
      </c>
      <c r="F1028" t="s">
        <v>3218</v>
      </c>
      <c r="G1028" t="s">
        <v>3219</v>
      </c>
      <c r="H1028" t="s">
        <v>34</v>
      </c>
      <c r="I1028">
        <v>100</v>
      </c>
      <c r="J1028">
        <v>28.43</v>
      </c>
      <c r="K1028">
        <v>28.87</v>
      </c>
      <c r="L1028">
        <v>28.87</v>
      </c>
      <c r="M1028">
        <v>2887</v>
      </c>
      <c r="N1028">
        <v>1</v>
      </c>
      <c r="O1028" t="s">
        <v>35</v>
      </c>
      <c r="P1028">
        <v>1</v>
      </c>
      <c r="R1028" t="s">
        <v>3214</v>
      </c>
      <c r="W1028" t="s">
        <v>36</v>
      </c>
      <c r="X1028" t="s">
        <v>37</v>
      </c>
      <c r="Y1028" t="s">
        <v>38</v>
      </c>
      <c r="AD1028">
        <v>0</v>
      </c>
      <c r="AE1028" t="b">
        <f>ISNUMBER(MATCH(G1028,AUM!$C$6:$C$1451,0))</f>
        <v>1</v>
      </c>
      <c r="AF1028" t="b">
        <f>ISNUMBER(MATCH(G1028,AUM!$G$6:$G$240,0))</f>
        <v>0</v>
      </c>
    </row>
    <row r="1029" spans="1:32" x14ac:dyDescent="0.2">
      <c r="A1029" t="s">
        <v>3220</v>
      </c>
      <c r="B1029" s="1">
        <v>45671</v>
      </c>
      <c r="D1029" t="s">
        <v>3220</v>
      </c>
      <c r="E1029" t="s">
        <v>31</v>
      </c>
      <c r="F1029" t="s">
        <v>3221</v>
      </c>
      <c r="G1029" t="s">
        <v>3222</v>
      </c>
      <c r="H1029" t="s">
        <v>34</v>
      </c>
      <c r="J1029">
        <v>11.853999999999999</v>
      </c>
      <c r="K1029">
        <v>11.994</v>
      </c>
      <c r="L1029">
        <v>11.99358271</v>
      </c>
      <c r="Q1029" t="s">
        <v>3223</v>
      </c>
      <c r="T1029">
        <v>0</v>
      </c>
      <c r="W1029" t="s">
        <v>36</v>
      </c>
      <c r="X1029" t="s">
        <v>69</v>
      </c>
      <c r="Y1029" t="s">
        <v>38</v>
      </c>
      <c r="AD1029">
        <v>0</v>
      </c>
      <c r="AE1029" t="b">
        <f>ISNUMBER(MATCH(G1029,AUM!$C$6:$C$1451,0))</f>
        <v>1</v>
      </c>
      <c r="AF1029" t="b">
        <f>ISNUMBER(MATCH(G1029,AUM!$G$6:$G$240,0))</f>
        <v>0</v>
      </c>
    </row>
    <row r="1030" spans="1:32" x14ac:dyDescent="0.2">
      <c r="A1030" t="s">
        <v>3223</v>
      </c>
      <c r="B1030" s="1">
        <v>45671</v>
      </c>
      <c r="D1030" t="s">
        <v>3223</v>
      </c>
      <c r="E1030" t="s">
        <v>31</v>
      </c>
      <c r="F1030" t="s">
        <v>3224</v>
      </c>
      <c r="G1030" t="s">
        <v>3225</v>
      </c>
      <c r="H1030" t="s">
        <v>34</v>
      </c>
      <c r="I1030">
        <v>100</v>
      </c>
      <c r="J1030">
        <v>9.7119999999999997</v>
      </c>
      <c r="K1030">
        <v>9.8260000000000005</v>
      </c>
      <c r="L1030">
        <v>9.8260000000000005</v>
      </c>
      <c r="M1030">
        <v>982.6</v>
      </c>
      <c r="N1030">
        <v>1</v>
      </c>
      <c r="O1030" t="s">
        <v>35</v>
      </c>
      <c r="P1030">
        <v>1</v>
      </c>
      <c r="R1030" t="s">
        <v>3220</v>
      </c>
      <c r="W1030" t="s">
        <v>36</v>
      </c>
      <c r="X1030" t="s">
        <v>37</v>
      </c>
      <c r="Y1030" t="s">
        <v>38</v>
      </c>
      <c r="AD1030">
        <v>0</v>
      </c>
      <c r="AE1030" t="b">
        <f>ISNUMBER(MATCH(G1030,AUM!$C$6:$C$1451,0))</f>
        <v>1</v>
      </c>
      <c r="AF1030" t="b">
        <f>ISNUMBER(MATCH(G1030,AUM!$G$6:$G$240,0))</f>
        <v>0</v>
      </c>
    </row>
    <row r="1031" spans="1:32" x14ac:dyDescent="0.2">
      <c r="A1031" t="s">
        <v>3226</v>
      </c>
      <c r="B1031" s="1">
        <v>45671</v>
      </c>
      <c r="D1031" t="s">
        <v>3226</v>
      </c>
      <c r="E1031" t="s">
        <v>31</v>
      </c>
      <c r="F1031" t="s">
        <v>3227</v>
      </c>
      <c r="G1031" t="s">
        <v>3228</v>
      </c>
      <c r="H1031" t="s">
        <v>34</v>
      </c>
      <c r="J1031">
        <v>20.14</v>
      </c>
      <c r="K1031">
        <v>20.338999999999999</v>
      </c>
      <c r="L1031">
        <v>20.3391308</v>
      </c>
      <c r="Q1031" t="s">
        <v>3229</v>
      </c>
      <c r="T1031">
        <v>0</v>
      </c>
      <c r="W1031" t="s">
        <v>36</v>
      </c>
      <c r="X1031" t="s">
        <v>69</v>
      </c>
      <c r="Y1031" t="s">
        <v>38</v>
      </c>
      <c r="AD1031">
        <v>0</v>
      </c>
      <c r="AE1031" t="b">
        <f>ISNUMBER(MATCH(G1031,AUM!$C$6:$C$1451,0))</f>
        <v>0</v>
      </c>
      <c r="AF1031" t="b">
        <f>ISNUMBER(MATCH(G1031,AUM!$G$6:$G$240,0))</f>
        <v>0</v>
      </c>
    </row>
    <row r="1032" spans="1:32" x14ac:dyDescent="0.2">
      <c r="A1032" t="s">
        <v>3229</v>
      </c>
      <c r="B1032" s="1">
        <v>45671</v>
      </c>
      <c r="D1032" t="s">
        <v>3229</v>
      </c>
      <c r="E1032" t="s">
        <v>31</v>
      </c>
      <c r="F1032" t="s">
        <v>3230</v>
      </c>
      <c r="G1032" t="s">
        <v>3231</v>
      </c>
      <c r="H1032" t="s">
        <v>34</v>
      </c>
      <c r="I1032">
        <v>100</v>
      </c>
      <c r="J1032">
        <v>15.64</v>
      </c>
      <c r="K1032">
        <v>15.795</v>
      </c>
      <c r="L1032">
        <v>15.795</v>
      </c>
      <c r="M1032">
        <v>1579.5</v>
      </c>
      <c r="N1032">
        <v>1</v>
      </c>
      <c r="O1032" t="s">
        <v>35</v>
      </c>
      <c r="P1032">
        <v>1</v>
      </c>
      <c r="R1032" t="s">
        <v>3226</v>
      </c>
      <c r="W1032" t="s">
        <v>36</v>
      </c>
      <c r="X1032" t="s">
        <v>37</v>
      </c>
      <c r="Y1032" t="s">
        <v>38</v>
      </c>
      <c r="AD1032">
        <v>0</v>
      </c>
      <c r="AE1032" t="b">
        <f>ISNUMBER(MATCH(G1032,AUM!$C$6:$C$1451,0))</f>
        <v>1</v>
      </c>
      <c r="AF1032" t="b">
        <f>ISNUMBER(MATCH(G1032,AUM!$G$6:$G$240,0))</f>
        <v>0</v>
      </c>
    </row>
    <row r="1033" spans="1:32" x14ac:dyDescent="0.2">
      <c r="A1033" t="s">
        <v>3232</v>
      </c>
      <c r="B1033" s="1">
        <v>45671</v>
      </c>
      <c r="D1033" t="s">
        <v>3232</v>
      </c>
      <c r="E1033" t="s">
        <v>31</v>
      </c>
      <c r="F1033" t="s">
        <v>3233</v>
      </c>
      <c r="G1033" t="s">
        <v>3234</v>
      </c>
      <c r="H1033" t="s">
        <v>34</v>
      </c>
      <c r="J1033">
        <v>11.853999999999999</v>
      </c>
      <c r="K1033">
        <v>11.994</v>
      </c>
      <c r="L1033">
        <v>11.99358271</v>
      </c>
      <c r="Q1033" t="s">
        <v>3235</v>
      </c>
      <c r="T1033">
        <v>0</v>
      </c>
      <c r="W1033" t="s">
        <v>36</v>
      </c>
      <c r="X1033" t="s">
        <v>69</v>
      </c>
      <c r="Y1033" t="s">
        <v>38</v>
      </c>
      <c r="AD1033">
        <v>0</v>
      </c>
      <c r="AE1033" t="b">
        <f>ISNUMBER(MATCH(G1033,AUM!$C$6:$C$1451,0))</f>
        <v>1</v>
      </c>
      <c r="AF1033" t="b">
        <f>ISNUMBER(MATCH(G1033,AUM!$G$6:$G$240,0))</f>
        <v>0</v>
      </c>
    </row>
    <row r="1034" spans="1:32" x14ac:dyDescent="0.2">
      <c r="A1034" t="s">
        <v>3235</v>
      </c>
      <c r="B1034" s="1">
        <v>45671</v>
      </c>
      <c r="D1034" t="s">
        <v>3235</v>
      </c>
      <c r="E1034" t="s">
        <v>31</v>
      </c>
      <c r="F1034" t="s">
        <v>3236</v>
      </c>
      <c r="G1034" t="s">
        <v>3237</v>
      </c>
      <c r="H1034" t="s">
        <v>34</v>
      </c>
      <c r="I1034">
        <v>100</v>
      </c>
      <c r="J1034">
        <v>9.7119999999999997</v>
      </c>
      <c r="K1034">
        <v>9.8260000000000005</v>
      </c>
      <c r="L1034">
        <v>9.8260000000000005</v>
      </c>
      <c r="M1034">
        <v>982.6</v>
      </c>
      <c r="N1034">
        <v>1</v>
      </c>
      <c r="O1034" t="s">
        <v>35</v>
      </c>
      <c r="P1034">
        <v>1</v>
      </c>
      <c r="R1034" t="s">
        <v>3232</v>
      </c>
      <c r="W1034" t="s">
        <v>36</v>
      </c>
      <c r="X1034" t="s">
        <v>37</v>
      </c>
      <c r="Y1034" t="s">
        <v>38</v>
      </c>
      <c r="AD1034">
        <v>0</v>
      </c>
      <c r="AE1034" t="b">
        <f>ISNUMBER(MATCH(G1034,AUM!$C$6:$C$1451,0))</f>
        <v>1</v>
      </c>
      <c r="AF1034" t="b">
        <f>ISNUMBER(MATCH(G1034,AUM!$G$6:$G$240,0))</f>
        <v>0</v>
      </c>
    </row>
    <row r="1035" spans="1:32" x14ac:dyDescent="0.2">
      <c r="A1035" t="s">
        <v>3238</v>
      </c>
      <c r="B1035" s="1">
        <v>45671</v>
      </c>
      <c r="D1035" t="s">
        <v>3238</v>
      </c>
      <c r="E1035" t="s">
        <v>31</v>
      </c>
      <c r="F1035" t="s">
        <v>3239</v>
      </c>
      <c r="G1035" t="s">
        <v>3240</v>
      </c>
      <c r="H1035" t="s">
        <v>34</v>
      </c>
      <c r="J1035">
        <v>107.361</v>
      </c>
      <c r="K1035">
        <v>106.642</v>
      </c>
      <c r="L1035">
        <v>106.64195305</v>
      </c>
      <c r="Q1035" t="s">
        <v>3241</v>
      </c>
      <c r="T1035">
        <v>0</v>
      </c>
      <c r="W1035" t="s">
        <v>36</v>
      </c>
      <c r="X1035" t="s">
        <v>69</v>
      </c>
      <c r="Y1035" t="s">
        <v>38</v>
      </c>
      <c r="AD1035">
        <v>0</v>
      </c>
      <c r="AE1035" t="b">
        <f>ISNUMBER(MATCH(G1035,AUM!$C$6:$C$1451,0))</f>
        <v>0</v>
      </c>
      <c r="AF1035" t="b">
        <f>ISNUMBER(MATCH(G1035,AUM!$G$6:$G$240,0))</f>
        <v>0</v>
      </c>
    </row>
    <row r="1036" spans="1:32" x14ac:dyDescent="0.2">
      <c r="A1036" t="s">
        <v>3241</v>
      </c>
      <c r="B1036" s="1">
        <v>45671</v>
      </c>
      <c r="D1036" t="s">
        <v>3241</v>
      </c>
      <c r="E1036" t="s">
        <v>31</v>
      </c>
      <c r="F1036" t="s">
        <v>3242</v>
      </c>
      <c r="G1036" t="s">
        <v>3243</v>
      </c>
      <c r="H1036" t="s">
        <v>34</v>
      </c>
      <c r="I1036">
        <v>99.446093966465597</v>
      </c>
      <c r="J1036">
        <v>96.143000000000001</v>
      </c>
      <c r="K1036">
        <v>95.498999999999995</v>
      </c>
      <c r="L1036">
        <v>95.498974579999995</v>
      </c>
      <c r="M1036">
        <v>9497</v>
      </c>
      <c r="N1036">
        <v>1</v>
      </c>
      <c r="O1036" t="s">
        <v>35</v>
      </c>
      <c r="P1036">
        <v>1</v>
      </c>
      <c r="R1036" t="s">
        <v>3238</v>
      </c>
      <c r="W1036" t="s">
        <v>36</v>
      </c>
      <c r="X1036" t="s">
        <v>37</v>
      </c>
      <c r="Y1036" t="s">
        <v>38</v>
      </c>
      <c r="AD1036">
        <v>0</v>
      </c>
      <c r="AE1036" t="b">
        <f>ISNUMBER(MATCH(G1036,AUM!$C$6:$C$1451,0))</f>
        <v>0</v>
      </c>
      <c r="AF1036" t="b">
        <f>ISNUMBER(MATCH(G1036,AUM!$G$6:$G$240,0))</f>
        <v>0</v>
      </c>
    </row>
    <row r="1037" spans="1:32" x14ac:dyDescent="0.2">
      <c r="A1037" t="s">
        <v>3244</v>
      </c>
      <c r="B1037" s="1">
        <v>45671</v>
      </c>
      <c r="D1037" t="s">
        <v>3244</v>
      </c>
      <c r="E1037" t="s">
        <v>31</v>
      </c>
      <c r="F1037" t="s">
        <v>3245</v>
      </c>
      <c r="G1037" t="s">
        <v>3246</v>
      </c>
      <c r="H1037" t="s">
        <v>34</v>
      </c>
      <c r="J1037">
        <v>32.320999999999998</v>
      </c>
      <c r="K1037">
        <v>32.296999999999997</v>
      </c>
      <c r="L1037">
        <v>32.296892540000002</v>
      </c>
      <c r="Q1037" t="s">
        <v>3247</v>
      </c>
      <c r="T1037">
        <v>0</v>
      </c>
      <c r="W1037" t="s">
        <v>36</v>
      </c>
      <c r="X1037" t="s">
        <v>69</v>
      </c>
      <c r="Y1037" t="s">
        <v>38</v>
      </c>
      <c r="AD1037">
        <v>0</v>
      </c>
      <c r="AE1037" t="b">
        <f>ISNUMBER(MATCH(G1037,AUM!$C$6:$C$1451,0))</f>
        <v>0</v>
      </c>
      <c r="AF1037" t="b">
        <f>ISNUMBER(MATCH(G1037,AUM!$G$6:$G$240,0))</f>
        <v>0</v>
      </c>
    </row>
    <row r="1038" spans="1:32" x14ac:dyDescent="0.2">
      <c r="A1038" t="s">
        <v>3247</v>
      </c>
      <c r="B1038" s="1">
        <v>45671</v>
      </c>
      <c r="D1038" t="s">
        <v>3247</v>
      </c>
      <c r="E1038" t="s">
        <v>31</v>
      </c>
      <c r="F1038" t="s">
        <v>3248</v>
      </c>
      <c r="G1038" t="s">
        <v>3249</v>
      </c>
      <c r="H1038" t="s">
        <v>34</v>
      </c>
      <c r="I1038">
        <v>100</v>
      </c>
      <c r="J1038">
        <v>27.254999999999999</v>
      </c>
      <c r="K1038">
        <v>27.234999999999999</v>
      </c>
      <c r="L1038">
        <v>27.234999999999999</v>
      </c>
      <c r="M1038">
        <v>2723.5</v>
      </c>
      <c r="N1038">
        <v>1</v>
      </c>
      <c r="O1038" t="s">
        <v>35</v>
      </c>
      <c r="P1038">
        <v>1</v>
      </c>
      <c r="R1038" t="s">
        <v>3244</v>
      </c>
      <c r="W1038" t="s">
        <v>36</v>
      </c>
      <c r="X1038" t="s">
        <v>37</v>
      </c>
      <c r="Y1038" t="s">
        <v>38</v>
      </c>
      <c r="AD1038">
        <v>0</v>
      </c>
      <c r="AE1038" t="b">
        <f>ISNUMBER(MATCH(G1038,AUM!$C$6:$C$1451,0))</f>
        <v>0</v>
      </c>
      <c r="AF1038" t="b">
        <f>ISNUMBER(MATCH(G1038,AUM!$G$6:$G$240,0))</f>
        <v>0</v>
      </c>
    </row>
    <row r="1039" spans="1:32" x14ac:dyDescent="0.2">
      <c r="A1039" t="s">
        <v>3250</v>
      </c>
      <c r="B1039" s="1">
        <v>45671</v>
      </c>
      <c r="D1039" t="s">
        <v>3250</v>
      </c>
      <c r="E1039" t="s">
        <v>31</v>
      </c>
      <c r="F1039" t="s">
        <v>3251</v>
      </c>
      <c r="G1039" t="s">
        <v>3252</v>
      </c>
      <c r="H1039" t="s">
        <v>34</v>
      </c>
      <c r="J1039">
        <v>72.418999999999997</v>
      </c>
      <c r="K1039">
        <v>72.772999999999996</v>
      </c>
      <c r="L1039">
        <v>72.773346129999993</v>
      </c>
      <c r="Q1039" t="s">
        <v>3253</v>
      </c>
      <c r="T1039">
        <v>0</v>
      </c>
      <c r="W1039" t="s">
        <v>36</v>
      </c>
      <c r="X1039" t="s">
        <v>69</v>
      </c>
      <c r="Y1039" t="s">
        <v>38</v>
      </c>
      <c r="AD1039">
        <v>0</v>
      </c>
      <c r="AE1039" t="b">
        <f>ISNUMBER(MATCH(G1039,AUM!$C$6:$C$1451,0))</f>
        <v>0</v>
      </c>
      <c r="AF1039" t="b">
        <f>ISNUMBER(MATCH(G1039,AUM!$G$6:$G$240,0))</f>
        <v>0</v>
      </c>
    </row>
    <row r="1040" spans="1:32" x14ac:dyDescent="0.2">
      <c r="A1040" t="s">
        <v>3253</v>
      </c>
      <c r="B1040" s="1">
        <v>45671</v>
      </c>
      <c r="D1040" t="s">
        <v>3253</v>
      </c>
      <c r="E1040" t="s">
        <v>31</v>
      </c>
      <c r="F1040" t="s">
        <v>3254</v>
      </c>
      <c r="G1040" t="s">
        <v>3255</v>
      </c>
      <c r="H1040" t="s">
        <v>34</v>
      </c>
      <c r="I1040">
        <v>100</v>
      </c>
      <c r="J1040">
        <v>59.35</v>
      </c>
      <c r="K1040">
        <v>59.64</v>
      </c>
      <c r="L1040">
        <v>59.64</v>
      </c>
      <c r="M1040">
        <v>5964</v>
      </c>
      <c r="N1040">
        <v>1</v>
      </c>
      <c r="O1040" t="s">
        <v>35</v>
      </c>
      <c r="P1040">
        <v>1</v>
      </c>
      <c r="R1040" t="s">
        <v>3250</v>
      </c>
      <c r="W1040" t="s">
        <v>36</v>
      </c>
      <c r="X1040" t="s">
        <v>37</v>
      </c>
      <c r="Y1040" t="s">
        <v>38</v>
      </c>
      <c r="AD1040">
        <v>0</v>
      </c>
      <c r="AE1040" t="b">
        <f>ISNUMBER(MATCH(G1040,AUM!$C$6:$C$1451,0))</f>
        <v>0</v>
      </c>
      <c r="AF1040" t="b">
        <f>ISNUMBER(MATCH(G1040,AUM!$G$6:$G$240,0))</f>
        <v>0</v>
      </c>
    </row>
    <row r="1041" spans="1:32" x14ac:dyDescent="0.2">
      <c r="A1041" t="s">
        <v>3256</v>
      </c>
      <c r="B1041" s="1">
        <v>45671</v>
      </c>
      <c r="D1041" t="s">
        <v>3256</v>
      </c>
      <c r="E1041" t="s">
        <v>31</v>
      </c>
      <c r="F1041" t="s">
        <v>3257</v>
      </c>
      <c r="G1041" t="s">
        <v>3258</v>
      </c>
      <c r="H1041" t="s">
        <v>34</v>
      </c>
      <c r="J1041">
        <v>40.686999999999998</v>
      </c>
      <c r="K1041">
        <v>40.255000000000003</v>
      </c>
      <c r="L1041">
        <v>40.254612190000003</v>
      </c>
      <c r="Q1041" t="s">
        <v>3259</v>
      </c>
      <c r="T1041">
        <v>0</v>
      </c>
      <c r="W1041" t="s">
        <v>36</v>
      </c>
      <c r="X1041" t="s">
        <v>69</v>
      </c>
      <c r="Y1041" t="s">
        <v>38</v>
      </c>
      <c r="AD1041">
        <v>0</v>
      </c>
      <c r="AE1041" t="b">
        <f>ISNUMBER(MATCH(G1041,AUM!$C$6:$C$1451,0))</f>
        <v>0</v>
      </c>
      <c r="AF1041" t="b">
        <f>ISNUMBER(MATCH(G1041,AUM!$G$6:$G$240,0))</f>
        <v>0</v>
      </c>
    </row>
    <row r="1042" spans="1:32" x14ac:dyDescent="0.2">
      <c r="A1042" t="s">
        <v>3259</v>
      </c>
      <c r="B1042" s="1">
        <v>45671</v>
      </c>
      <c r="D1042" t="s">
        <v>3259</v>
      </c>
      <c r="E1042" t="s">
        <v>31</v>
      </c>
      <c r="F1042" t="s">
        <v>3260</v>
      </c>
      <c r="G1042" t="s">
        <v>3261</v>
      </c>
      <c r="H1042" t="s">
        <v>34</v>
      </c>
      <c r="I1042">
        <v>100</v>
      </c>
      <c r="J1042">
        <v>33.840000000000003</v>
      </c>
      <c r="K1042">
        <v>33.479999999999997</v>
      </c>
      <c r="L1042">
        <v>33.479999999999997</v>
      </c>
      <c r="M1042">
        <v>3348</v>
      </c>
      <c r="N1042">
        <v>1</v>
      </c>
      <c r="O1042" t="s">
        <v>35</v>
      </c>
      <c r="P1042">
        <v>1</v>
      </c>
      <c r="R1042" t="s">
        <v>3256</v>
      </c>
      <c r="W1042" t="s">
        <v>36</v>
      </c>
      <c r="X1042" t="s">
        <v>37</v>
      </c>
      <c r="Y1042" t="s">
        <v>38</v>
      </c>
      <c r="AD1042">
        <v>0</v>
      </c>
      <c r="AE1042" t="b">
        <f>ISNUMBER(MATCH(G1042,AUM!$C$6:$C$1451,0))</f>
        <v>0</v>
      </c>
      <c r="AF1042" t="b">
        <f>ISNUMBER(MATCH(G1042,AUM!$G$6:$G$240,0))</f>
        <v>0</v>
      </c>
    </row>
    <row r="1043" spans="1:32" x14ac:dyDescent="0.2">
      <c r="A1043" t="s">
        <v>3262</v>
      </c>
      <c r="B1043" s="1">
        <v>45671</v>
      </c>
      <c r="D1043" t="s">
        <v>3262</v>
      </c>
      <c r="E1043" t="s">
        <v>40</v>
      </c>
      <c r="F1043" t="s">
        <v>3263</v>
      </c>
      <c r="G1043" t="s">
        <v>3264</v>
      </c>
      <c r="H1043" t="s">
        <v>43</v>
      </c>
      <c r="J1043">
        <v>0</v>
      </c>
      <c r="K1043">
        <v>0</v>
      </c>
      <c r="L1043">
        <v>0</v>
      </c>
      <c r="Q1043" t="s">
        <v>926</v>
      </c>
      <c r="T1043">
        <v>0</v>
      </c>
      <c r="W1043" t="s">
        <v>36</v>
      </c>
      <c r="X1043" t="s">
        <v>427</v>
      </c>
      <c r="Y1043" t="s">
        <v>38</v>
      </c>
      <c r="AD1043">
        <v>0</v>
      </c>
      <c r="AE1043" t="b">
        <f>ISNUMBER(MATCH(G1043,AUM!$C$6:$C$1451,0))</f>
        <v>1</v>
      </c>
      <c r="AF1043" t="b">
        <f>ISNUMBER(MATCH(G1043,AUM!$G$6:$G$240,0))</f>
        <v>1</v>
      </c>
    </row>
    <row r="1044" spans="1:32" x14ac:dyDescent="0.2">
      <c r="A1044" t="s">
        <v>3265</v>
      </c>
      <c r="B1044" s="1">
        <v>45671</v>
      </c>
      <c r="D1044" t="s">
        <v>3265</v>
      </c>
      <c r="E1044" t="s">
        <v>31</v>
      </c>
      <c r="F1044" t="s">
        <v>3266</v>
      </c>
      <c r="G1044" t="s">
        <v>3267</v>
      </c>
      <c r="H1044" t="s">
        <v>34</v>
      </c>
      <c r="J1044">
        <v>28.216000000000001</v>
      </c>
      <c r="K1044">
        <v>28.638000000000002</v>
      </c>
      <c r="L1044">
        <v>28.638286480000001</v>
      </c>
      <c r="Q1044" t="s">
        <v>3268</v>
      </c>
      <c r="W1044" t="s">
        <v>36</v>
      </c>
      <c r="X1044" t="s">
        <v>878</v>
      </c>
      <c r="Y1044" t="s">
        <v>38</v>
      </c>
      <c r="Z1044" t="s">
        <v>879</v>
      </c>
      <c r="AA1044">
        <v>1.7</v>
      </c>
      <c r="AB1044">
        <v>1</v>
      </c>
      <c r="AC1044">
        <v>365</v>
      </c>
      <c r="AD1044">
        <v>0</v>
      </c>
      <c r="AE1044" t="b">
        <f>ISNUMBER(MATCH(G1044,AUM!$C$6:$C$1451,0))</f>
        <v>0</v>
      </c>
      <c r="AF1044" t="b">
        <f>ISNUMBER(MATCH(G1044,AUM!$G$6:$G$240,0))</f>
        <v>0</v>
      </c>
    </row>
    <row r="1045" spans="1:32" x14ac:dyDescent="0.2">
      <c r="A1045" t="s">
        <v>3268</v>
      </c>
      <c r="B1045" s="1">
        <v>45671</v>
      </c>
      <c r="D1045" t="s">
        <v>3268</v>
      </c>
      <c r="E1045" t="s">
        <v>31</v>
      </c>
      <c r="F1045" t="s">
        <v>3269</v>
      </c>
      <c r="G1045" t="s">
        <v>3270</v>
      </c>
      <c r="H1045" t="s">
        <v>34</v>
      </c>
      <c r="J1045">
        <v>33.558</v>
      </c>
      <c r="K1045">
        <v>34.078000000000003</v>
      </c>
      <c r="L1045">
        <v>34.077607030000003</v>
      </c>
      <c r="Q1045" t="s">
        <v>3271</v>
      </c>
      <c r="T1045">
        <v>0</v>
      </c>
      <c r="W1045" t="s">
        <v>36</v>
      </c>
      <c r="X1045" t="s">
        <v>69</v>
      </c>
      <c r="Y1045" t="s">
        <v>38</v>
      </c>
      <c r="AD1045">
        <v>0</v>
      </c>
      <c r="AE1045" t="b">
        <f>ISNUMBER(MATCH(G1045,AUM!$C$6:$C$1451,0))</f>
        <v>0</v>
      </c>
      <c r="AF1045" t="b">
        <f>ISNUMBER(MATCH(G1045,AUM!$G$6:$G$240,0))</f>
        <v>0</v>
      </c>
    </row>
    <row r="1046" spans="1:32" x14ac:dyDescent="0.2">
      <c r="A1046" t="s">
        <v>3271</v>
      </c>
      <c r="B1046" s="1">
        <v>45671</v>
      </c>
      <c r="D1046" t="s">
        <v>3271</v>
      </c>
      <c r="E1046" t="s">
        <v>31</v>
      </c>
      <c r="F1046" t="s">
        <v>3272</v>
      </c>
      <c r="G1046" t="s">
        <v>3273</v>
      </c>
      <c r="H1046" t="s">
        <v>34</v>
      </c>
      <c r="I1046">
        <v>100</v>
      </c>
      <c r="J1046">
        <v>28.43</v>
      </c>
      <c r="K1046">
        <v>28.87</v>
      </c>
      <c r="L1046">
        <v>28.87</v>
      </c>
      <c r="M1046">
        <v>2887</v>
      </c>
      <c r="N1046">
        <v>1</v>
      </c>
      <c r="O1046" t="s">
        <v>35</v>
      </c>
      <c r="P1046">
        <v>1</v>
      </c>
      <c r="R1046" t="s">
        <v>3268</v>
      </c>
      <c r="W1046" t="s">
        <v>36</v>
      </c>
      <c r="X1046" t="s">
        <v>37</v>
      </c>
      <c r="Y1046" t="s">
        <v>38</v>
      </c>
      <c r="AD1046">
        <v>0</v>
      </c>
      <c r="AE1046" t="b">
        <f>ISNUMBER(MATCH(G1046,AUM!$C$6:$C$1451,0))</f>
        <v>0</v>
      </c>
      <c r="AF1046" t="b">
        <f>ISNUMBER(MATCH(G1046,AUM!$G$6:$G$240,0))</f>
        <v>0</v>
      </c>
    </row>
    <row r="1047" spans="1:32" x14ac:dyDescent="0.2">
      <c r="A1047" t="s">
        <v>3274</v>
      </c>
      <c r="B1047" s="1">
        <v>45671</v>
      </c>
      <c r="D1047" t="s">
        <v>3274</v>
      </c>
      <c r="E1047" t="s">
        <v>31</v>
      </c>
      <c r="F1047" t="s">
        <v>3275</v>
      </c>
      <c r="G1047" t="s">
        <v>3276</v>
      </c>
      <c r="H1047" t="s">
        <v>34</v>
      </c>
      <c r="J1047">
        <v>57.561</v>
      </c>
      <c r="K1047">
        <v>58.238</v>
      </c>
      <c r="L1047">
        <v>58.238246050000001</v>
      </c>
      <c r="Q1047" t="s">
        <v>3277</v>
      </c>
      <c r="W1047" t="s">
        <v>36</v>
      </c>
      <c r="X1047" t="s">
        <v>878</v>
      </c>
      <c r="Y1047" t="s">
        <v>38</v>
      </c>
      <c r="Z1047" t="s">
        <v>879</v>
      </c>
      <c r="AA1047">
        <v>2.54</v>
      </c>
      <c r="AB1047">
        <v>1</v>
      </c>
      <c r="AC1047">
        <v>365</v>
      </c>
      <c r="AD1047">
        <v>0</v>
      </c>
      <c r="AE1047" t="b">
        <f>ISNUMBER(MATCH(G1047,AUM!$C$6:$C$1451,0))</f>
        <v>0</v>
      </c>
      <c r="AF1047" t="b">
        <f>ISNUMBER(MATCH(G1047,AUM!$G$6:$G$240,0))</f>
        <v>0</v>
      </c>
    </row>
    <row r="1048" spans="1:32" x14ac:dyDescent="0.2">
      <c r="A1048" t="s">
        <v>3277</v>
      </c>
      <c r="B1048" s="1">
        <v>45671</v>
      </c>
      <c r="D1048" t="s">
        <v>3277</v>
      </c>
      <c r="E1048" t="s">
        <v>31</v>
      </c>
      <c r="F1048" t="s">
        <v>3278</v>
      </c>
      <c r="G1048" t="s">
        <v>3279</v>
      </c>
      <c r="H1048" t="s">
        <v>34</v>
      </c>
      <c r="J1048">
        <v>66.557000000000002</v>
      </c>
      <c r="K1048">
        <v>67.364000000000004</v>
      </c>
      <c r="L1048">
        <v>67.364373139999998</v>
      </c>
      <c r="Q1048" t="s">
        <v>3280</v>
      </c>
      <c r="T1048">
        <v>0</v>
      </c>
      <c r="W1048" t="s">
        <v>36</v>
      </c>
      <c r="X1048" t="s">
        <v>69</v>
      </c>
      <c r="Y1048" t="s">
        <v>38</v>
      </c>
      <c r="AD1048">
        <v>0</v>
      </c>
      <c r="AE1048" t="b">
        <f>ISNUMBER(MATCH(G1048,AUM!$C$6:$C$1451,0))</f>
        <v>0</v>
      </c>
      <c r="AF1048" t="b">
        <f>ISNUMBER(MATCH(G1048,AUM!$G$6:$G$240,0))</f>
        <v>0</v>
      </c>
    </row>
    <row r="1049" spans="1:32" x14ac:dyDescent="0.2">
      <c r="A1049" t="s">
        <v>3280</v>
      </c>
      <c r="B1049" s="1">
        <v>45671</v>
      </c>
      <c r="D1049" t="s">
        <v>3280</v>
      </c>
      <c r="E1049" t="s">
        <v>31</v>
      </c>
      <c r="F1049" t="s">
        <v>3281</v>
      </c>
      <c r="G1049" t="s">
        <v>3282</v>
      </c>
      <c r="H1049" t="s">
        <v>34</v>
      </c>
      <c r="I1049">
        <v>98.298162014976199</v>
      </c>
      <c r="J1049">
        <v>56.207000000000001</v>
      </c>
      <c r="K1049">
        <v>56.887999999999998</v>
      </c>
      <c r="L1049">
        <v>56.88814404</v>
      </c>
      <c r="M1049">
        <v>5592</v>
      </c>
      <c r="N1049">
        <v>1</v>
      </c>
      <c r="O1049" t="s">
        <v>35</v>
      </c>
      <c r="P1049">
        <v>1</v>
      </c>
      <c r="R1049" t="s">
        <v>3277</v>
      </c>
      <c r="W1049" t="s">
        <v>36</v>
      </c>
      <c r="X1049" t="s">
        <v>37</v>
      </c>
      <c r="Y1049" t="s">
        <v>38</v>
      </c>
      <c r="AD1049">
        <v>0</v>
      </c>
      <c r="AE1049" t="b">
        <f>ISNUMBER(MATCH(G1049,AUM!$C$6:$C$1451,0))</f>
        <v>0</v>
      </c>
      <c r="AF1049" t="b">
        <f>ISNUMBER(MATCH(G1049,AUM!$G$6:$G$240,0))</f>
        <v>0</v>
      </c>
    </row>
    <row r="1050" spans="1:32" x14ac:dyDescent="0.2">
      <c r="A1050" t="s">
        <v>3283</v>
      </c>
      <c r="B1050" s="1">
        <v>45671</v>
      </c>
      <c r="D1050" t="s">
        <v>3283</v>
      </c>
      <c r="E1050" t="s">
        <v>31</v>
      </c>
      <c r="F1050" t="s">
        <v>3284</v>
      </c>
      <c r="G1050" t="s">
        <v>3285</v>
      </c>
      <c r="H1050" t="s">
        <v>34</v>
      </c>
      <c r="J1050">
        <v>12.25</v>
      </c>
      <c r="K1050">
        <v>12.394</v>
      </c>
      <c r="L1050">
        <v>12.393546410000001</v>
      </c>
      <c r="Q1050" t="s">
        <v>3286</v>
      </c>
      <c r="T1050">
        <v>0</v>
      </c>
      <c r="W1050" t="s">
        <v>36</v>
      </c>
      <c r="X1050" t="s">
        <v>69</v>
      </c>
      <c r="Y1050" t="s">
        <v>38</v>
      </c>
      <c r="AD1050">
        <v>0</v>
      </c>
      <c r="AE1050" t="b">
        <f>ISNUMBER(MATCH(G1050,AUM!$C$6:$C$1451,0))</f>
        <v>0</v>
      </c>
      <c r="AF1050" t="b">
        <f>ISNUMBER(MATCH(G1050,AUM!$G$6:$G$240,0))</f>
        <v>0</v>
      </c>
    </row>
    <row r="1051" spans="1:32" x14ac:dyDescent="0.2">
      <c r="A1051" t="s">
        <v>3286</v>
      </c>
      <c r="B1051" s="1">
        <v>45671</v>
      </c>
      <c r="D1051" t="s">
        <v>3286</v>
      </c>
      <c r="E1051" t="s">
        <v>31</v>
      </c>
      <c r="F1051" t="s">
        <v>3287</v>
      </c>
      <c r="G1051" t="s">
        <v>3288</v>
      </c>
      <c r="H1051" t="s">
        <v>34</v>
      </c>
      <c r="I1051">
        <v>100</v>
      </c>
      <c r="J1051">
        <v>9.7119999999999997</v>
      </c>
      <c r="K1051">
        <v>9.8260000000000005</v>
      </c>
      <c r="L1051">
        <v>9.8260000000000005</v>
      </c>
      <c r="M1051">
        <v>982.6</v>
      </c>
      <c r="N1051">
        <v>1</v>
      </c>
      <c r="O1051" t="s">
        <v>35</v>
      </c>
      <c r="P1051">
        <v>1</v>
      </c>
      <c r="R1051" t="s">
        <v>3283</v>
      </c>
      <c r="W1051" t="s">
        <v>36</v>
      </c>
      <c r="X1051" t="s">
        <v>37</v>
      </c>
      <c r="Y1051" t="s">
        <v>38</v>
      </c>
      <c r="AD1051">
        <v>0</v>
      </c>
      <c r="AE1051" t="b">
        <f>ISNUMBER(MATCH(G1051,AUM!$C$6:$C$1451,0))</f>
        <v>0</v>
      </c>
      <c r="AF1051" t="b">
        <f>ISNUMBER(MATCH(G1051,AUM!$G$6:$G$240,0))</f>
        <v>0</v>
      </c>
    </row>
    <row r="1052" spans="1:32" x14ac:dyDescent="0.2">
      <c r="A1052" t="s">
        <v>3289</v>
      </c>
      <c r="B1052" s="1">
        <v>45671</v>
      </c>
      <c r="D1052" t="s">
        <v>3289</v>
      </c>
      <c r="E1052" t="s">
        <v>31</v>
      </c>
      <c r="F1052" t="s">
        <v>3290</v>
      </c>
      <c r="G1052" t="s">
        <v>3291</v>
      </c>
      <c r="H1052" t="s">
        <v>34</v>
      </c>
      <c r="J1052">
        <v>66.557000000000002</v>
      </c>
      <c r="K1052">
        <v>67.364000000000004</v>
      </c>
      <c r="L1052">
        <v>67.364373139999998</v>
      </c>
      <c r="Q1052" t="s">
        <v>3292</v>
      </c>
      <c r="T1052">
        <v>0</v>
      </c>
      <c r="W1052" t="s">
        <v>36</v>
      </c>
      <c r="X1052" t="s">
        <v>69</v>
      </c>
      <c r="Y1052" t="s">
        <v>38</v>
      </c>
      <c r="AD1052">
        <v>0</v>
      </c>
      <c r="AE1052" t="b">
        <f>ISNUMBER(MATCH(G1052,AUM!$C$6:$C$1451,0))</f>
        <v>0</v>
      </c>
      <c r="AF1052" t="b">
        <f>ISNUMBER(MATCH(G1052,AUM!$G$6:$G$240,0))</f>
        <v>0</v>
      </c>
    </row>
    <row r="1053" spans="1:32" x14ac:dyDescent="0.2">
      <c r="A1053" t="s">
        <v>3292</v>
      </c>
      <c r="B1053" s="1">
        <v>45671</v>
      </c>
      <c r="D1053" t="s">
        <v>3292</v>
      </c>
      <c r="E1053" t="s">
        <v>31</v>
      </c>
      <c r="F1053" t="s">
        <v>3293</v>
      </c>
      <c r="G1053" t="s">
        <v>3294</v>
      </c>
      <c r="H1053" t="s">
        <v>34</v>
      </c>
      <c r="I1053">
        <v>98.298162014976199</v>
      </c>
      <c r="J1053">
        <v>56.207000000000001</v>
      </c>
      <c r="K1053">
        <v>56.887999999999998</v>
      </c>
      <c r="L1053">
        <v>56.88814404</v>
      </c>
      <c r="M1053">
        <v>5592</v>
      </c>
      <c r="N1053">
        <v>1</v>
      </c>
      <c r="O1053" t="s">
        <v>35</v>
      </c>
      <c r="P1053">
        <v>1</v>
      </c>
      <c r="R1053" t="s">
        <v>3289</v>
      </c>
      <c r="W1053" t="s">
        <v>36</v>
      </c>
      <c r="X1053" t="s">
        <v>37</v>
      </c>
      <c r="Y1053" t="s">
        <v>38</v>
      </c>
      <c r="AD1053">
        <v>0</v>
      </c>
      <c r="AE1053" t="b">
        <f>ISNUMBER(MATCH(G1053,AUM!$C$6:$C$1451,0))</f>
        <v>0</v>
      </c>
      <c r="AF1053" t="b">
        <f>ISNUMBER(MATCH(G1053,AUM!$G$6:$G$240,0))</f>
        <v>0</v>
      </c>
    </row>
    <row r="1054" spans="1:32" x14ac:dyDescent="0.2">
      <c r="A1054" t="s">
        <v>3295</v>
      </c>
      <c r="B1054" s="1">
        <v>45671</v>
      </c>
      <c r="D1054" t="s">
        <v>3295</v>
      </c>
      <c r="E1054" t="s">
        <v>31</v>
      </c>
      <c r="F1054" t="s">
        <v>3296</v>
      </c>
      <c r="G1054" t="s">
        <v>3297</v>
      </c>
      <c r="H1054" t="s">
        <v>34</v>
      </c>
      <c r="J1054">
        <v>2119.14</v>
      </c>
      <c r="K1054">
        <v>2104.62</v>
      </c>
      <c r="L1054">
        <v>2104.6195550100001</v>
      </c>
      <c r="Q1054" t="s">
        <v>3298</v>
      </c>
      <c r="W1054" t="s">
        <v>36</v>
      </c>
      <c r="X1054" t="s">
        <v>878</v>
      </c>
      <c r="Y1054" t="s">
        <v>38</v>
      </c>
      <c r="Z1054" t="s">
        <v>910</v>
      </c>
      <c r="AA1054">
        <v>0.05</v>
      </c>
      <c r="AB1054">
        <v>1</v>
      </c>
      <c r="AC1054">
        <v>365</v>
      </c>
      <c r="AD1054">
        <v>0</v>
      </c>
      <c r="AE1054" t="b">
        <f>ISNUMBER(MATCH(G1054,AUM!$C$6:$C$1451,0))</f>
        <v>0</v>
      </c>
      <c r="AF1054" t="b">
        <f>ISNUMBER(MATCH(G1054,AUM!$G$6:$G$240,0))</f>
        <v>0</v>
      </c>
    </row>
    <row r="1055" spans="1:32" x14ac:dyDescent="0.2">
      <c r="A1055" t="s">
        <v>3299</v>
      </c>
      <c r="B1055" s="1">
        <v>45671</v>
      </c>
      <c r="D1055" t="s">
        <v>3299</v>
      </c>
      <c r="E1055" t="s">
        <v>31</v>
      </c>
      <c r="F1055" t="s">
        <v>3300</v>
      </c>
      <c r="G1055" t="s">
        <v>3301</v>
      </c>
      <c r="H1055" t="s">
        <v>34</v>
      </c>
      <c r="J1055">
        <v>917.42</v>
      </c>
      <c r="K1055">
        <v>910.88</v>
      </c>
      <c r="L1055">
        <v>910.87686494000002</v>
      </c>
      <c r="Q1055" t="s">
        <v>3302</v>
      </c>
      <c r="W1055" t="s">
        <v>36</v>
      </c>
      <c r="X1055" t="s">
        <v>878</v>
      </c>
      <c r="Y1055" t="s">
        <v>38</v>
      </c>
      <c r="Z1055" t="s">
        <v>879</v>
      </c>
      <c r="AA1055">
        <v>50</v>
      </c>
      <c r="AB1055">
        <v>1</v>
      </c>
      <c r="AC1055">
        <v>365</v>
      </c>
      <c r="AD1055">
        <v>0</v>
      </c>
      <c r="AE1055" t="b">
        <f>ISNUMBER(MATCH(G1055,AUM!$C$6:$C$1451,0))</f>
        <v>0</v>
      </c>
      <c r="AF1055" t="b">
        <f>ISNUMBER(MATCH(G1055,AUM!$G$6:$G$240,0))</f>
        <v>0</v>
      </c>
    </row>
    <row r="1056" spans="1:32" x14ac:dyDescent="0.2">
      <c r="A1056" t="s">
        <v>3303</v>
      </c>
      <c r="B1056" s="1">
        <v>45671</v>
      </c>
      <c r="D1056" t="s">
        <v>3303</v>
      </c>
      <c r="E1056" t="s">
        <v>31</v>
      </c>
      <c r="F1056" t="s">
        <v>3304</v>
      </c>
      <c r="G1056" t="s">
        <v>3305</v>
      </c>
      <c r="H1056" t="s">
        <v>34</v>
      </c>
      <c r="J1056">
        <v>921.54</v>
      </c>
      <c r="K1056">
        <v>914.97</v>
      </c>
      <c r="L1056">
        <v>914.96750743999996</v>
      </c>
      <c r="Q1056" t="s">
        <v>3306</v>
      </c>
      <c r="W1056" t="s">
        <v>36</v>
      </c>
      <c r="X1056" t="s">
        <v>878</v>
      </c>
      <c r="Y1056" t="s">
        <v>38</v>
      </c>
      <c r="Z1056" t="s">
        <v>879</v>
      </c>
      <c r="AA1056">
        <v>50</v>
      </c>
      <c r="AB1056">
        <v>1</v>
      </c>
      <c r="AC1056">
        <v>365</v>
      </c>
      <c r="AD1056">
        <v>0</v>
      </c>
      <c r="AE1056" t="b">
        <f>ISNUMBER(MATCH(G1056,AUM!$C$6:$C$1451,0))</f>
        <v>0</v>
      </c>
      <c r="AF1056" t="b">
        <f>ISNUMBER(MATCH(G1056,AUM!$G$6:$G$240,0))</f>
        <v>0</v>
      </c>
    </row>
    <row r="1057" spans="1:32" x14ac:dyDescent="0.2">
      <c r="A1057" t="s">
        <v>3307</v>
      </c>
      <c r="B1057" s="1">
        <v>45671</v>
      </c>
      <c r="D1057" t="s">
        <v>3307</v>
      </c>
      <c r="E1057" t="s">
        <v>31</v>
      </c>
      <c r="F1057" t="s">
        <v>3308</v>
      </c>
      <c r="G1057" t="s">
        <v>3309</v>
      </c>
      <c r="H1057" t="s">
        <v>34</v>
      </c>
      <c r="J1057">
        <v>1755.37</v>
      </c>
      <c r="K1057">
        <v>1743.12</v>
      </c>
      <c r="L1057">
        <v>1743.12195447</v>
      </c>
      <c r="Q1057" t="s">
        <v>3302</v>
      </c>
      <c r="W1057" t="s">
        <v>36</v>
      </c>
      <c r="X1057" t="s">
        <v>878</v>
      </c>
      <c r="Y1057" t="s">
        <v>38</v>
      </c>
      <c r="Z1057" t="s">
        <v>910</v>
      </c>
      <c r="AA1057">
        <v>3.5000000000000003E-2</v>
      </c>
      <c r="AB1057">
        <v>1</v>
      </c>
      <c r="AC1057">
        <v>365</v>
      </c>
      <c r="AD1057">
        <v>0</v>
      </c>
      <c r="AE1057" t="b">
        <f>ISNUMBER(MATCH(G1057,AUM!$C$6:$C$1451,0))</f>
        <v>0</v>
      </c>
      <c r="AF1057" t="b">
        <f>ISNUMBER(MATCH(G1057,AUM!$G$6:$G$240,0))</f>
        <v>0</v>
      </c>
    </row>
    <row r="1058" spans="1:32" x14ac:dyDescent="0.2">
      <c r="A1058" t="s">
        <v>3310</v>
      </c>
      <c r="B1058" s="1">
        <v>45671</v>
      </c>
      <c r="D1058" t="s">
        <v>3310</v>
      </c>
      <c r="E1058" t="s">
        <v>31</v>
      </c>
      <c r="F1058" t="s">
        <v>3311</v>
      </c>
      <c r="G1058" t="s">
        <v>3312</v>
      </c>
      <c r="H1058" t="s">
        <v>34</v>
      </c>
      <c r="J1058">
        <v>1510.05</v>
      </c>
      <c r="K1058">
        <v>1499.33</v>
      </c>
      <c r="L1058">
        <v>1499.3257521</v>
      </c>
      <c r="Q1058" t="s">
        <v>3302</v>
      </c>
      <c r="W1058" t="s">
        <v>36</v>
      </c>
      <c r="X1058" t="s">
        <v>878</v>
      </c>
      <c r="Y1058" t="s">
        <v>38</v>
      </c>
      <c r="Z1058" t="s">
        <v>910</v>
      </c>
      <c r="AA1058">
        <v>0.05</v>
      </c>
      <c r="AB1058">
        <v>1</v>
      </c>
      <c r="AC1058">
        <v>365</v>
      </c>
      <c r="AD1058">
        <v>0</v>
      </c>
      <c r="AE1058" t="b">
        <f>ISNUMBER(MATCH(G1058,AUM!$C$6:$C$1451,0))</f>
        <v>1</v>
      </c>
      <c r="AF1058" t="b">
        <f>ISNUMBER(MATCH(G1058,AUM!$G$6:$G$240,0))</f>
        <v>0</v>
      </c>
    </row>
    <row r="1059" spans="1:32" x14ac:dyDescent="0.2">
      <c r="A1059" t="s">
        <v>3306</v>
      </c>
      <c r="B1059" s="1">
        <v>45671</v>
      </c>
      <c r="D1059" t="s">
        <v>3306</v>
      </c>
      <c r="E1059" t="s">
        <v>31</v>
      </c>
      <c r="F1059" t="s">
        <v>3313</v>
      </c>
      <c r="G1059" t="s">
        <v>3314</v>
      </c>
      <c r="H1059" t="s">
        <v>34</v>
      </c>
      <c r="J1059">
        <v>2659.19</v>
      </c>
      <c r="K1059">
        <v>2641.4</v>
      </c>
      <c r="L1059">
        <v>2641.40409821</v>
      </c>
      <c r="Q1059" t="s">
        <v>3315</v>
      </c>
      <c r="T1059">
        <v>0</v>
      </c>
      <c r="W1059" t="s">
        <v>36</v>
      </c>
      <c r="X1059" t="s">
        <v>69</v>
      </c>
      <c r="Y1059" t="s">
        <v>38</v>
      </c>
      <c r="AD1059">
        <v>0</v>
      </c>
      <c r="AE1059" t="b">
        <f>ISNUMBER(MATCH(G1059,AUM!$C$6:$C$1451,0))</f>
        <v>1</v>
      </c>
      <c r="AF1059" t="b">
        <f>ISNUMBER(MATCH(G1059,AUM!$G$6:$G$240,0))</f>
        <v>0</v>
      </c>
    </row>
    <row r="1060" spans="1:32" x14ac:dyDescent="0.2">
      <c r="A1060" t="s">
        <v>3302</v>
      </c>
      <c r="B1060" s="1">
        <v>45671</v>
      </c>
      <c r="D1060" t="s">
        <v>3302</v>
      </c>
      <c r="E1060" t="s">
        <v>31</v>
      </c>
      <c r="F1060" t="s">
        <v>3316</v>
      </c>
      <c r="G1060" t="s">
        <v>3317</v>
      </c>
      <c r="H1060" t="s">
        <v>34</v>
      </c>
      <c r="J1060">
        <v>2494</v>
      </c>
      <c r="K1060">
        <v>2477.3200000000002</v>
      </c>
      <c r="L1060">
        <v>2477.3176724300001</v>
      </c>
      <c r="Q1060" t="s">
        <v>3315</v>
      </c>
      <c r="U1060">
        <v>0</v>
      </c>
      <c r="W1060" t="s">
        <v>36</v>
      </c>
      <c r="X1060" t="s">
        <v>69</v>
      </c>
      <c r="Y1060" t="s">
        <v>38</v>
      </c>
      <c r="AD1060">
        <v>0</v>
      </c>
      <c r="AE1060" t="b">
        <f>ISNUMBER(MATCH(G1060,AUM!$C$6:$C$1451,0))</f>
        <v>1</v>
      </c>
      <c r="AF1060" t="b">
        <f>ISNUMBER(MATCH(G1060,AUM!$G$6:$G$240,0))</f>
        <v>0</v>
      </c>
    </row>
    <row r="1061" spans="1:32" x14ac:dyDescent="0.2">
      <c r="A1061" t="s">
        <v>3315</v>
      </c>
      <c r="B1061" s="1">
        <v>45671</v>
      </c>
      <c r="D1061" t="s">
        <v>3315</v>
      </c>
      <c r="E1061" t="s">
        <v>31</v>
      </c>
      <c r="F1061" t="s">
        <v>3318</v>
      </c>
      <c r="G1061" t="s">
        <v>3319</v>
      </c>
      <c r="H1061" t="s">
        <v>34</v>
      </c>
      <c r="I1061">
        <v>859746177.100793</v>
      </c>
      <c r="J1061">
        <v>2040.11</v>
      </c>
      <c r="K1061">
        <v>2026.47</v>
      </c>
      <c r="L1061">
        <v>2026.4650553500001</v>
      </c>
      <c r="M1061">
        <v>1742245584367.27</v>
      </c>
      <c r="N1061">
        <v>40</v>
      </c>
      <c r="O1061" t="s">
        <v>35</v>
      </c>
      <c r="P1061">
        <v>1</v>
      </c>
      <c r="R1061" t="s">
        <v>3306</v>
      </c>
      <c r="S1061" t="s">
        <v>3302</v>
      </c>
      <c r="W1061" t="s">
        <v>36</v>
      </c>
      <c r="X1061" t="s">
        <v>37</v>
      </c>
      <c r="Y1061" t="s">
        <v>38</v>
      </c>
      <c r="AD1061">
        <v>0</v>
      </c>
      <c r="AE1061" t="b">
        <f>ISNUMBER(MATCH(G1061,AUM!$C$6:$C$1451,0))</f>
        <v>1</v>
      </c>
      <c r="AF1061" t="b">
        <f>ISNUMBER(MATCH(G1061,AUM!$G$6:$G$240,0))</f>
        <v>1</v>
      </c>
    </row>
    <row r="1062" spans="1:32" x14ac:dyDescent="0.2">
      <c r="A1062" t="s">
        <v>3320</v>
      </c>
      <c r="B1062" s="1">
        <v>45671</v>
      </c>
      <c r="D1062" t="s">
        <v>3320</v>
      </c>
      <c r="E1062" t="s">
        <v>31</v>
      </c>
      <c r="F1062" t="s">
        <v>3321</v>
      </c>
      <c r="G1062" t="s">
        <v>3322</v>
      </c>
      <c r="H1062" t="s">
        <v>34</v>
      </c>
      <c r="J1062">
        <v>2655.41</v>
      </c>
      <c r="K1062">
        <v>2637.55</v>
      </c>
      <c r="L1062">
        <v>2637.5455784199999</v>
      </c>
      <c r="Q1062" t="s">
        <v>3298</v>
      </c>
      <c r="W1062" t="s">
        <v>36</v>
      </c>
      <c r="X1062" t="s">
        <v>878</v>
      </c>
      <c r="Y1062" t="s">
        <v>38</v>
      </c>
      <c r="Z1062" t="s">
        <v>910</v>
      </c>
      <c r="AA1062">
        <v>3.5000000000000003E-2</v>
      </c>
      <c r="AB1062">
        <v>1</v>
      </c>
      <c r="AC1062">
        <v>365</v>
      </c>
      <c r="AD1062">
        <v>0</v>
      </c>
      <c r="AE1062" t="b">
        <f>ISNUMBER(MATCH(G1062,AUM!$C$6:$C$1451,0))</f>
        <v>0</v>
      </c>
      <c r="AF1062" t="b">
        <f>ISNUMBER(MATCH(G1062,AUM!$G$6:$G$240,0))</f>
        <v>0</v>
      </c>
    </row>
    <row r="1063" spans="1:32" x14ac:dyDescent="0.2">
      <c r="A1063" t="s">
        <v>3323</v>
      </c>
      <c r="B1063" s="1">
        <v>45671</v>
      </c>
      <c r="D1063" t="s">
        <v>3323</v>
      </c>
      <c r="E1063" t="s">
        <v>31</v>
      </c>
      <c r="F1063" t="s">
        <v>3324</v>
      </c>
      <c r="G1063" t="s">
        <v>3325</v>
      </c>
      <c r="H1063" t="s">
        <v>34</v>
      </c>
      <c r="J1063">
        <v>5003.0200000000004</v>
      </c>
      <c r="K1063">
        <v>4970.8100000000004</v>
      </c>
      <c r="L1063">
        <v>4970.8057505200004</v>
      </c>
      <c r="Q1063" t="s">
        <v>3326</v>
      </c>
      <c r="T1063">
        <v>0</v>
      </c>
      <c r="W1063" t="s">
        <v>36</v>
      </c>
      <c r="X1063" t="s">
        <v>69</v>
      </c>
      <c r="Y1063" t="s">
        <v>38</v>
      </c>
      <c r="AD1063">
        <v>0</v>
      </c>
      <c r="AE1063" t="b">
        <f>ISNUMBER(MATCH(G1063,AUM!$C$6:$C$1451,0))</f>
        <v>0</v>
      </c>
      <c r="AF1063" t="b">
        <f>ISNUMBER(MATCH(G1063,AUM!$G$6:$G$240,0))</f>
        <v>0</v>
      </c>
    </row>
    <row r="1064" spans="1:32" x14ac:dyDescent="0.2">
      <c r="A1064" t="s">
        <v>3298</v>
      </c>
      <c r="B1064" s="1">
        <v>45671</v>
      </c>
      <c r="D1064" t="s">
        <v>3298</v>
      </c>
      <c r="E1064" t="s">
        <v>31</v>
      </c>
      <c r="F1064" t="s">
        <v>3327</v>
      </c>
      <c r="G1064" t="s">
        <v>3328</v>
      </c>
      <c r="H1064" t="s">
        <v>34</v>
      </c>
      <c r="J1064">
        <v>4494.7299999999996</v>
      </c>
      <c r="K1064">
        <v>4465.78</v>
      </c>
      <c r="L1064">
        <v>4465.7842446000004</v>
      </c>
      <c r="Q1064" t="s">
        <v>3326</v>
      </c>
      <c r="U1064">
        <v>0</v>
      </c>
      <c r="W1064" t="s">
        <v>36</v>
      </c>
      <c r="X1064" t="s">
        <v>69</v>
      </c>
      <c r="Y1064" t="s">
        <v>38</v>
      </c>
      <c r="AD1064">
        <v>0</v>
      </c>
      <c r="AE1064" t="b">
        <f>ISNUMBER(MATCH(G1064,AUM!$C$6:$C$1451,0))</f>
        <v>0</v>
      </c>
      <c r="AF1064" t="b">
        <f>ISNUMBER(MATCH(G1064,AUM!$G$6:$G$240,0))</f>
        <v>0</v>
      </c>
    </row>
    <row r="1065" spans="1:32" x14ac:dyDescent="0.2">
      <c r="A1065" t="s">
        <v>3326</v>
      </c>
      <c r="B1065" s="1">
        <v>45671</v>
      </c>
      <c r="D1065" t="s">
        <v>3326</v>
      </c>
      <c r="E1065" t="s">
        <v>31</v>
      </c>
      <c r="F1065" t="s">
        <v>3329</v>
      </c>
      <c r="G1065" t="s">
        <v>3330</v>
      </c>
      <c r="H1065" t="s">
        <v>34</v>
      </c>
      <c r="I1065">
        <v>1031239.11791561</v>
      </c>
      <c r="J1065">
        <v>3189.13</v>
      </c>
      <c r="K1065">
        <v>3168.6</v>
      </c>
      <c r="L1065">
        <v>3168.5970156799999</v>
      </c>
      <c r="M1065">
        <v>3267581191.4749999</v>
      </c>
      <c r="N1065">
        <v>40</v>
      </c>
      <c r="O1065" t="s">
        <v>35</v>
      </c>
      <c r="P1065">
        <v>1</v>
      </c>
      <c r="R1065" t="s">
        <v>3323</v>
      </c>
      <c r="S1065" t="s">
        <v>3298</v>
      </c>
      <c r="W1065" t="s">
        <v>36</v>
      </c>
      <c r="X1065" t="s">
        <v>37</v>
      </c>
      <c r="Y1065" t="s">
        <v>38</v>
      </c>
      <c r="AD1065">
        <v>0</v>
      </c>
      <c r="AE1065" t="b">
        <f>ISNUMBER(MATCH(G1065,AUM!$C$6:$C$1451,0))</f>
        <v>0</v>
      </c>
      <c r="AF1065" t="b">
        <f>ISNUMBER(MATCH(G1065,AUM!$G$6:$G$240,0))</f>
        <v>0</v>
      </c>
    </row>
    <row r="1066" spans="1:32" x14ac:dyDescent="0.2">
      <c r="A1066" t="s">
        <v>3331</v>
      </c>
      <c r="B1066" s="1">
        <v>45671</v>
      </c>
      <c r="D1066" t="s">
        <v>3331</v>
      </c>
      <c r="E1066" t="s">
        <v>31</v>
      </c>
      <c r="F1066" t="s">
        <v>3332</v>
      </c>
      <c r="G1066" t="s">
        <v>3333</v>
      </c>
      <c r="H1066" t="s">
        <v>34</v>
      </c>
      <c r="J1066">
        <v>907.41</v>
      </c>
      <c r="K1066">
        <v>902.37</v>
      </c>
      <c r="L1066">
        <v>902.37124437</v>
      </c>
      <c r="Q1066" t="s">
        <v>3334</v>
      </c>
      <c r="W1066" t="s">
        <v>36</v>
      </c>
      <c r="X1066" t="s">
        <v>878</v>
      </c>
      <c r="Y1066" t="s">
        <v>38</v>
      </c>
      <c r="Z1066" t="s">
        <v>879</v>
      </c>
      <c r="AA1066">
        <v>50</v>
      </c>
      <c r="AB1066">
        <v>1</v>
      </c>
      <c r="AC1066">
        <v>365</v>
      </c>
      <c r="AD1066">
        <v>0</v>
      </c>
      <c r="AE1066" t="b">
        <f>ISNUMBER(MATCH(G1066,AUM!$C$6:$C$1451,0))</f>
        <v>0</v>
      </c>
      <c r="AF1066" t="b">
        <f>ISNUMBER(MATCH(G1066,AUM!$G$6:$G$240,0))</f>
        <v>0</v>
      </c>
    </row>
    <row r="1067" spans="1:32" x14ac:dyDescent="0.2">
      <c r="A1067" t="s">
        <v>3335</v>
      </c>
      <c r="B1067" s="1">
        <v>45671</v>
      </c>
      <c r="D1067" t="s">
        <v>3335</v>
      </c>
      <c r="E1067" t="s">
        <v>31</v>
      </c>
      <c r="F1067" t="s">
        <v>3336</v>
      </c>
      <c r="G1067" t="s">
        <v>3337</v>
      </c>
      <c r="H1067" t="s">
        <v>34</v>
      </c>
      <c r="J1067">
        <v>3141.91</v>
      </c>
      <c r="K1067">
        <v>3125.88</v>
      </c>
      <c r="L1067">
        <v>3125.8810377200002</v>
      </c>
      <c r="Q1067" t="s">
        <v>3338</v>
      </c>
      <c r="U1067">
        <v>0.21271967139895001</v>
      </c>
      <c r="V1067" t="s">
        <v>79</v>
      </c>
      <c r="W1067" t="s">
        <v>36</v>
      </c>
      <c r="X1067" t="s">
        <v>69</v>
      </c>
      <c r="Y1067" t="s">
        <v>38</v>
      </c>
      <c r="AD1067">
        <v>0</v>
      </c>
      <c r="AE1067" t="b">
        <f>ISNUMBER(MATCH(G1067,AUM!$C$6:$C$1451,0))</f>
        <v>0</v>
      </c>
      <c r="AF1067" t="b">
        <f>ISNUMBER(MATCH(G1067,AUM!$G$6:$G$240,0))</f>
        <v>0</v>
      </c>
    </row>
    <row r="1068" spans="1:32" x14ac:dyDescent="0.2">
      <c r="A1068" t="s">
        <v>3334</v>
      </c>
      <c r="B1068" s="1">
        <v>45671</v>
      </c>
      <c r="D1068" t="s">
        <v>3334</v>
      </c>
      <c r="E1068" t="s">
        <v>31</v>
      </c>
      <c r="F1068" t="s">
        <v>3339</v>
      </c>
      <c r="G1068" t="s">
        <v>3340</v>
      </c>
      <c r="H1068" t="s">
        <v>34</v>
      </c>
      <c r="J1068">
        <v>3563.61</v>
      </c>
      <c r="K1068">
        <v>3545.43</v>
      </c>
      <c r="L1068">
        <v>3545.4319595400002</v>
      </c>
      <c r="Q1068" t="s">
        <v>3338</v>
      </c>
      <c r="T1068">
        <v>0.28362622853192998</v>
      </c>
      <c r="V1068" t="s">
        <v>79</v>
      </c>
      <c r="W1068" t="s">
        <v>36</v>
      </c>
      <c r="X1068" t="s">
        <v>69</v>
      </c>
      <c r="Y1068" t="s">
        <v>38</v>
      </c>
      <c r="AD1068">
        <v>0</v>
      </c>
      <c r="AE1068" t="b">
        <f>ISNUMBER(MATCH(G1068,AUM!$C$6:$C$1451,0))</f>
        <v>0</v>
      </c>
      <c r="AF1068" t="b">
        <f>ISNUMBER(MATCH(G1068,AUM!$G$6:$G$240,0))</f>
        <v>0</v>
      </c>
    </row>
    <row r="1069" spans="1:32" x14ac:dyDescent="0.2">
      <c r="A1069" t="s">
        <v>3338</v>
      </c>
      <c r="B1069" s="1">
        <v>45671</v>
      </c>
      <c r="D1069" t="s">
        <v>3338</v>
      </c>
      <c r="E1069" t="s">
        <v>31</v>
      </c>
      <c r="F1069" t="s">
        <v>3341</v>
      </c>
      <c r="G1069" t="s">
        <v>3342</v>
      </c>
      <c r="H1069" t="s">
        <v>34</v>
      </c>
      <c r="I1069">
        <v>522183489.04683298</v>
      </c>
      <c r="J1069">
        <v>2237.7199999999998</v>
      </c>
      <c r="K1069">
        <v>2226.3000000000002</v>
      </c>
      <c r="L1069">
        <v>2226.3024863599999</v>
      </c>
      <c r="M1069">
        <v>1162538400000.8601</v>
      </c>
      <c r="N1069">
        <v>60</v>
      </c>
      <c r="O1069" t="s">
        <v>35</v>
      </c>
      <c r="P1069">
        <v>1</v>
      </c>
      <c r="R1069" t="s">
        <v>3334</v>
      </c>
      <c r="S1069" t="s">
        <v>3335</v>
      </c>
      <c r="W1069" t="s">
        <v>36</v>
      </c>
      <c r="X1069" t="s">
        <v>37</v>
      </c>
      <c r="Y1069" t="s">
        <v>38</v>
      </c>
      <c r="AD1069">
        <v>0</v>
      </c>
      <c r="AE1069" t="b">
        <f>ISNUMBER(MATCH(G1069,AUM!$C$6:$C$1451,0))</f>
        <v>0</v>
      </c>
      <c r="AF1069" t="b">
        <f>ISNUMBER(MATCH(G1069,AUM!$G$6:$G$240,0))</f>
        <v>0</v>
      </c>
    </row>
    <row r="1070" spans="1:32" x14ac:dyDescent="0.2">
      <c r="A1070" t="s">
        <v>3343</v>
      </c>
      <c r="B1070" s="1">
        <v>45671</v>
      </c>
      <c r="D1070" t="s">
        <v>3343</v>
      </c>
      <c r="E1070" t="s">
        <v>31</v>
      </c>
      <c r="F1070" t="s">
        <v>3344</v>
      </c>
      <c r="G1070" t="s">
        <v>3345</v>
      </c>
      <c r="H1070" t="s">
        <v>34</v>
      </c>
      <c r="J1070">
        <v>6076.31</v>
      </c>
      <c r="K1070">
        <v>6109.73</v>
      </c>
      <c r="L1070">
        <v>6109.7262524999996</v>
      </c>
      <c r="Q1070" t="s">
        <v>3346</v>
      </c>
      <c r="T1070">
        <v>2.1323225864049999E-2</v>
      </c>
      <c r="V1070" t="s">
        <v>854</v>
      </c>
      <c r="W1070" t="s">
        <v>36</v>
      </c>
      <c r="X1070" t="s">
        <v>69</v>
      </c>
      <c r="Y1070" t="s">
        <v>38</v>
      </c>
      <c r="AD1070">
        <v>0</v>
      </c>
      <c r="AE1070" t="b">
        <f>ISNUMBER(MATCH(G1070,AUM!$C$6:$C$1451,0))</f>
        <v>1</v>
      </c>
      <c r="AF1070" t="b">
        <f>ISNUMBER(MATCH(G1070,AUM!$G$6:$G$240,0))</f>
        <v>0</v>
      </c>
    </row>
    <row r="1071" spans="1:32" x14ac:dyDescent="0.2">
      <c r="A1071" t="s">
        <v>3347</v>
      </c>
      <c r="B1071" s="1">
        <v>45671</v>
      </c>
      <c r="D1071" t="s">
        <v>3347</v>
      </c>
      <c r="E1071" t="s">
        <v>31</v>
      </c>
      <c r="F1071" t="s">
        <v>3348</v>
      </c>
      <c r="G1071" t="s">
        <v>3349</v>
      </c>
      <c r="H1071" t="s">
        <v>34</v>
      </c>
      <c r="J1071">
        <v>5550.86</v>
      </c>
      <c r="K1071">
        <v>5581.38</v>
      </c>
      <c r="L1071">
        <v>5581.38349217</v>
      </c>
      <c r="Q1071" t="s">
        <v>3346</v>
      </c>
      <c r="U1071">
        <v>1.557158307608E-2</v>
      </c>
      <c r="V1071" t="s">
        <v>854</v>
      </c>
      <c r="W1071" t="s">
        <v>36</v>
      </c>
      <c r="X1071" t="s">
        <v>69</v>
      </c>
      <c r="Y1071" t="s">
        <v>38</v>
      </c>
      <c r="AD1071">
        <v>0</v>
      </c>
      <c r="AE1071" t="b">
        <f>ISNUMBER(MATCH(G1071,AUM!$C$6:$C$1451,0))</f>
        <v>1</v>
      </c>
      <c r="AF1071" t="b">
        <f>ISNUMBER(MATCH(G1071,AUM!$G$6:$G$240,0))</f>
        <v>0</v>
      </c>
    </row>
    <row r="1072" spans="1:32" x14ac:dyDescent="0.2">
      <c r="A1072" t="s">
        <v>3346</v>
      </c>
      <c r="B1072" s="1">
        <v>45671</v>
      </c>
      <c r="D1072" t="s">
        <v>3346</v>
      </c>
      <c r="E1072" t="s">
        <v>31</v>
      </c>
      <c r="F1072" t="s">
        <v>3350</v>
      </c>
      <c r="G1072" t="s">
        <v>3351</v>
      </c>
      <c r="H1072" t="s">
        <v>34</v>
      </c>
      <c r="I1072">
        <v>11475221028.1688</v>
      </c>
      <c r="J1072">
        <v>4152.42</v>
      </c>
      <c r="K1072">
        <v>4175.25</v>
      </c>
      <c r="L1072">
        <v>4175.2482563800004</v>
      </c>
      <c r="M1072">
        <v>47911896589425.703</v>
      </c>
      <c r="N1072">
        <v>977</v>
      </c>
      <c r="O1072" t="s">
        <v>35</v>
      </c>
      <c r="P1072">
        <v>1</v>
      </c>
      <c r="R1072" t="s">
        <v>3343</v>
      </c>
      <c r="S1072" t="s">
        <v>3347</v>
      </c>
      <c r="W1072" t="s">
        <v>36</v>
      </c>
      <c r="X1072" t="s">
        <v>37</v>
      </c>
      <c r="Y1072" t="s">
        <v>38</v>
      </c>
      <c r="AD1072">
        <v>0</v>
      </c>
      <c r="AE1072" t="b">
        <f>ISNUMBER(MATCH(G1072,AUM!$C$6:$C$1451,0))</f>
        <v>1</v>
      </c>
      <c r="AF1072" t="b">
        <f>ISNUMBER(MATCH(G1072,AUM!$G$6:$G$240,0))</f>
        <v>1</v>
      </c>
    </row>
    <row r="1073" spans="1:32" x14ac:dyDescent="0.2">
      <c r="A1073" t="s">
        <v>3352</v>
      </c>
      <c r="B1073" s="1">
        <v>45671</v>
      </c>
      <c r="D1073" t="s">
        <v>3352</v>
      </c>
      <c r="E1073" t="s">
        <v>31</v>
      </c>
      <c r="F1073" t="s">
        <v>3353</v>
      </c>
      <c r="G1073" t="s">
        <v>3354</v>
      </c>
      <c r="H1073" t="s">
        <v>34</v>
      </c>
      <c r="J1073">
        <v>7400.5</v>
      </c>
      <c r="K1073">
        <v>7417.58</v>
      </c>
      <c r="L1073">
        <v>7417.5826496199998</v>
      </c>
      <c r="Q1073" t="s">
        <v>3355</v>
      </c>
      <c r="T1073">
        <v>5.6874565847159997E-2</v>
      </c>
      <c r="V1073" t="s">
        <v>79</v>
      </c>
      <c r="W1073" t="s">
        <v>36</v>
      </c>
      <c r="X1073" t="s">
        <v>69</v>
      </c>
      <c r="Y1073" t="s">
        <v>38</v>
      </c>
      <c r="AD1073">
        <v>0</v>
      </c>
      <c r="AE1073" t="b">
        <f>ISNUMBER(MATCH(G1073,AUM!$C$6:$C$1451,0))</f>
        <v>1</v>
      </c>
      <c r="AF1073" t="b">
        <f>ISNUMBER(MATCH(G1073,AUM!$G$6:$G$240,0))</f>
        <v>0</v>
      </c>
    </row>
    <row r="1074" spans="1:32" x14ac:dyDescent="0.2">
      <c r="A1074" t="s">
        <v>3356</v>
      </c>
      <c r="B1074" s="1">
        <v>45671</v>
      </c>
      <c r="D1074" t="s">
        <v>3356</v>
      </c>
      <c r="E1074" t="s">
        <v>31</v>
      </c>
      <c r="F1074" t="s">
        <v>3357</v>
      </c>
      <c r="G1074" t="s">
        <v>3358</v>
      </c>
      <c r="H1074" t="s">
        <v>34</v>
      </c>
      <c r="J1074">
        <v>6808.02</v>
      </c>
      <c r="K1074">
        <v>6823.74</v>
      </c>
      <c r="L1074">
        <v>6823.7425035799997</v>
      </c>
      <c r="Q1074" t="s">
        <v>3355</v>
      </c>
      <c r="U1074">
        <v>4.2655924385369998E-2</v>
      </c>
      <c r="V1074" t="s">
        <v>79</v>
      </c>
      <c r="W1074" t="s">
        <v>36</v>
      </c>
      <c r="X1074" t="s">
        <v>69</v>
      </c>
      <c r="Y1074" t="s">
        <v>38</v>
      </c>
      <c r="AD1074">
        <v>0</v>
      </c>
      <c r="AE1074" t="b">
        <f>ISNUMBER(MATCH(G1074,AUM!$C$6:$C$1451,0))</f>
        <v>1</v>
      </c>
      <c r="AF1074" t="b">
        <f>ISNUMBER(MATCH(G1074,AUM!$G$6:$G$240,0))</f>
        <v>0</v>
      </c>
    </row>
    <row r="1075" spans="1:32" x14ac:dyDescent="0.2">
      <c r="A1075" t="s">
        <v>3355</v>
      </c>
      <c r="B1075" s="1">
        <v>45671</v>
      </c>
      <c r="D1075" t="s">
        <v>3355</v>
      </c>
      <c r="E1075" t="s">
        <v>31</v>
      </c>
      <c r="F1075" t="s">
        <v>3359</v>
      </c>
      <c r="G1075" t="s">
        <v>3360</v>
      </c>
      <c r="H1075" t="s">
        <v>34</v>
      </c>
      <c r="I1075">
        <v>2604062666.5704098</v>
      </c>
      <c r="J1075">
        <v>5324.2</v>
      </c>
      <c r="K1075">
        <v>5336.49</v>
      </c>
      <c r="L1075">
        <v>5336.4925214699997</v>
      </c>
      <c r="M1075">
        <v>13896560945594</v>
      </c>
      <c r="N1075">
        <v>271</v>
      </c>
      <c r="O1075" t="s">
        <v>35</v>
      </c>
      <c r="P1075">
        <v>1</v>
      </c>
      <c r="R1075" t="s">
        <v>3352</v>
      </c>
      <c r="S1075" t="s">
        <v>3356</v>
      </c>
      <c r="W1075" t="s">
        <v>36</v>
      </c>
      <c r="X1075" t="s">
        <v>37</v>
      </c>
      <c r="Y1075" t="s">
        <v>38</v>
      </c>
      <c r="AD1075">
        <v>0</v>
      </c>
      <c r="AE1075" t="b">
        <f>ISNUMBER(MATCH(G1075,AUM!$C$6:$C$1451,0))</f>
        <v>1</v>
      </c>
      <c r="AF1075" t="b">
        <f>ISNUMBER(MATCH(G1075,AUM!$G$6:$G$240,0))</f>
        <v>1</v>
      </c>
    </row>
    <row r="1076" spans="1:32" x14ac:dyDescent="0.2">
      <c r="A1076" t="s">
        <v>3361</v>
      </c>
      <c r="B1076" s="1">
        <v>45671</v>
      </c>
      <c r="D1076" t="s">
        <v>3361</v>
      </c>
      <c r="E1076" t="s">
        <v>31</v>
      </c>
      <c r="F1076" t="s">
        <v>3362</v>
      </c>
      <c r="G1076" t="s">
        <v>3363</v>
      </c>
      <c r="H1076" t="s">
        <v>34</v>
      </c>
      <c r="J1076">
        <v>2008.32</v>
      </c>
      <c r="K1076">
        <v>1996.06</v>
      </c>
      <c r="L1076">
        <v>1996.0565544599999</v>
      </c>
      <c r="Q1076" t="s">
        <v>3364</v>
      </c>
      <c r="W1076" t="s">
        <v>36</v>
      </c>
      <c r="X1076" t="s">
        <v>878</v>
      </c>
      <c r="Y1076" t="s">
        <v>38</v>
      </c>
      <c r="Z1076" t="s">
        <v>910</v>
      </c>
      <c r="AA1076">
        <v>3.5000000000000003E-2</v>
      </c>
      <c r="AB1076">
        <v>1</v>
      </c>
      <c r="AC1076">
        <v>365</v>
      </c>
      <c r="AD1076">
        <v>0</v>
      </c>
      <c r="AE1076" t="b">
        <f>ISNUMBER(MATCH(G1076,AUM!$C$6:$C$1451,0))</f>
        <v>0</v>
      </c>
      <c r="AF1076" t="b">
        <f>ISNUMBER(MATCH(G1076,AUM!$G$6:$G$240,0))</f>
        <v>0</v>
      </c>
    </row>
    <row r="1077" spans="1:32" x14ac:dyDescent="0.2">
      <c r="A1077" t="s">
        <v>3365</v>
      </c>
      <c r="B1077" s="1">
        <v>45671</v>
      </c>
      <c r="D1077" t="s">
        <v>3365</v>
      </c>
      <c r="E1077" t="s">
        <v>31</v>
      </c>
      <c r="F1077" t="s">
        <v>3366</v>
      </c>
      <c r="G1077" t="s">
        <v>3367</v>
      </c>
      <c r="H1077" t="s">
        <v>34</v>
      </c>
      <c r="J1077">
        <v>1258.54</v>
      </c>
      <c r="K1077">
        <v>1263.1099999999999</v>
      </c>
      <c r="L1077">
        <v>1263.1102454100001</v>
      </c>
      <c r="Q1077" t="s">
        <v>3368</v>
      </c>
      <c r="W1077" t="s">
        <v>36</v>
      </c>
      <c r="X1077" t="s">
        <v>878</v>
      </c>
      <c r="Y1077" t="s">
        <v>38</v>
      </c>
      <c r="Z1077" t="s">
        <v>879</v>
      </c>
      <c r="AA1077">
        <v>50</v>
      </c>
      <c r="AB1077">
        <v>1</v>
      </c>
      <c r="AC1077">
        <v>365</v>
      </c>
      <c r="AD1077">
        <v>0</v>
      </c>
      <c r="AE1077" t="b">
        <f>ISNUMBER(MATCH(G1077,AUM!$C$6:$C$1451,0))</f>
        <v>0</v>
      </c>
      <c r="AF1077" t="b">
        <f>ISNUMBER(MATCH(G1077,AUM!$G$6:$G$240,0))</f>
        <v>0</v>
      </c>
    </row>
    <row r="1078" spans="1:32" x14ac:dyDescent="0.2">
      <c r="A1078" t="s">
        <v>3369</v>
      </c>
      <c r="B1078" s="1">
        <v>45671</v>
      </c>
      <c r="D1078" t="s">
        <v>3369</v>
      </c>
      <c r="E1078" t="s">
        <v>31</v>
      </c>
      <c r="F1078" t="s">
        <v>3370</v>
      </c>
      <c r="G1078" t="s">
        <v>3371</v>
      </c>
      <c r="H1078" t="s">
        <v>34</v>
      </c>
      <c r="J1078">
        <v>2149.54</v>
      </c>
      <c r="K1078">
        <v>2133.65</v>
      </c>
      <c r="L1078">
        <v>2133.64801304</v>
      </c>
      <c r="Q1078" t="s">
        <v>3372</v>
      </c>
      <c r="W1078" t="s">
        <v>36</v>
      </c>
      <c r="X1078" t="s">
        <v>878</v>
      </c>
      <c r="Y1078" t="s">
        <v>38</v>
      </c>
      <c r="Z1078" t="s">
        <v>910</v>
      </c>
      <c r="AA1078">
        <v>0.05</v>
      </c>
      <c r="AB1078">
        <v>1</v>
      </c>
      <c r="AC1078">
        <v>365</v>
      </c>
      <c r="AD1078">
        <v>0</v>
      </c>
      <c r="AE1078" t="b">
        <f>ISNUMBER(MATCH(G1078,AUM!$C$6:$C$1451,0))</f>
        <v>0</v>
      </c>
      <c r="AF1078" t="b">
        <f>ISNUMBER(MATCH(G1078,AUM!$G$6:$G$240,0))</f>
        <v>0</v>
      </c>
    </row>
    <row r="1079" spans="1:32" x14ac:dyDescent="0.2">
      <c r="A1079" t="s">
        <v>3373</v>
      </c>
      <c r="B1079" s="1">
        <v>45671</v>
      </c>
      <c r="D1079" t="s">
        <v>3373</v>
      </c>
      <c r="E1079" t="s">
        <v>31</v>
      </c>
      <c r="F1079" t="s">
        <v>3374</v>
      </c>
      <c r="G1079" t="s">
        <v>3375</v>
      </c>
      <c r="H1079" t="s">
        <v>34</v>
      </c>
      <c r="J1079">
        <v>2498.37</v>
      </c>
      <c r="K1079">
        <v>2480.1</v>
      </c>
      <c r="L1079">
        <v>2480.10311241</v>
      </c>
      <c r="Q1079" t="s">
        <v>3372</v>
      </c>
      <c r="W1079" t="s">
        <v>36</v>
      </c>
      <c r="X1079" t="s">
        <v>878</v>
      </c>
      <c r="Y1079" t="s">
        <v>38</v>
      </c>
      <c r="Z1079" t="s">
        <v>910</v>
      </c>
      <c r="AA1079">
        <v>0.04</v>
      </c>
      <c r="AB1079">
        <v>1</v>
      </c>
      <c r="AC1079">
        <v>365</v>
      </c>
      <c r="AD1079">
        <v>0</v>
      </c>
      <c r="AE1079" t="b">
        <f>ISNUMBER(MATCH(G1079,AUM!$C$6:$C$1451,0))</f>
        <v>0</v>
      </c>
      <c r="AF1079" t="b">
        <f>ISNUMBER(MATCH(G1079,AUM!$G$6:$G$240,0))</f>
        <v>0</v>
      </c>
    </row>
    <row r="1080" spans="1:32" x14ac:dyDescent="0.2">
      <c r="A1080" t="s">
        <v>3376</v>
      </c>
      <c r="B1080" s="1">
        <v>45671</v>
      </c>
      <c r="D1080" t="s">
        <v>3376</v>
      </c>
      <c r="E1080" t="s">
        <v>31</v>
      </c>
      <c r="F1080" t="s">
        <v>3377</v>
      </c>
      <c r="G1080" t="s">
        <v>3378</v>
      </c>
      <c r="H1080" t="s">
        <v>34</v>
      </c>
      <c r="J1080">
        <v>2594.09</v>
      </c>
      <c r="K1080">
        <v>2575.17</v>
      </c>
      <c r="L1080">
        <v>2575.17030277</v>
      </c>
      <c r="Q1080" t="s">
        <v>3372</v>
      </c>
      <c r="W1080" t="s">
        <v>36</v>
      </c>
      <c r="X1080" t="s">
        <v>878</v>
      </c>
      <c r="Y1080" t="s">
        <v>38</v>
      </c>
      <c r="Z1080" t="s">
        <v>910</v>
      </c>
      <c r="AA1080">
        <v>3.7499999999999999E-2</v>
      </c>
      <c r="AB1080">
        <v>1</v>
      </c>
      <c r="AC1080">
        <v>365</v>
      </c>
      <c r="AD1080">
        <v>0</v>
      </c>
      <c r="AE1080" t="b">
        <f>ISNUMBER(MATCH(G1080,AUM!$C$6:$C$1451,0))</f>
        <v>0</v>
      </c>
      <c r="AF1080" t="b">
        <f>ISNUMBER(MATCH(G1080,AUM!$G$6:$G$240,0))</f>
        <v>0</v>
      </c>
    </row>
    <row r="1081" spans="1:32" x14ac:dyDescent="0.2">
      <c r="A1081" t="s">
        <v>3379</v>
      </c>
      <c r="B1081" s="1">
        <v>45671</v>
      </c>
      <c r="D1081" t="s">
        <v>3379</v>
      </c>
      <c r="E1081" t="s">
        <v>31</v>
      </c>
      <c r="F1081" t="s">
        <v>3380</v>
      </c>
      <c r="G1081" t="s">
        <v>3381</v>
      </c>
      <c r="H1081" t="s">
        <v>34</v>
      </c>
      <c r="J1081">
        <v>1983.44</v>
      </c>
      <c r="K1081">
        <v>1968.76</v>
      </c>
      <c r="L1081">
        <v>1968.7629558599999</v>
      </c>
      <c r="Q1081" t="s">
        <v>3382</v>
      </c>
      <c r="W1081" t="s">
        <v>36</v>
      </c>
      <c r="X1081" t="s">
        <v>878</v>
      </c>
      <c r="Y1081" t="s">
        <v>38</v>
      </c>
      <c r="Z1081" t="s">
        <v>910</v>
      </c>
      <c r="AA1081">
        <v>0.05</v>
      </c>
      <c r="AB1081">
        <v>1</v>
      </c>
      <c r="AC1081">
        <v>365</v>
      </c>
      <c r="AD1081">
        <v>0</v>
      </c>
      <c r="AE1081" t="b">
        <f>ISNUMBER(MATCH(G1081,AUM!$C$6:$C$1451,0))</f>
        <v>0</v>
      </c>
      <c r="AF1081" t="b">
        <f>ISNUMBER(MATCH(G1081,AUM!$G$6:$G$240,0))</f>
        <v>0</v>
      </c>
    </row>
    <row r="1082" spans="1:32" x14ac:dyDescent="0.2">
      <c r="A1082" t="s">
        <v>3383</v>
      </c>
      <c r="B1082" s="1">
        <v>45671</v>
      </c>
      <c r="D1082" t="s">
        <v>3383</v>
      </c>
      <c r="E1082" t="s">
        <v>31</v>
      </c>
      <c r="F1082" t="s">
        <v>3384</v>
      </c>
      <c r="G1082" t="s">
        <v>3385</v>
      </c>
      <c r="H1082" t="s">
        <v>34</v>
      </c>
      <c r="J1082">
        <v>2305.3200000000002</v>
      </c>
      <c r="K1082">
        <v>2288.4499999999998</v>
      </c>
      <c r="L1082">
        <v>2288.4520163100001</v>
      </c>
      <c r="Q1082" t="s">
        <v>3382</v>
      </c>
      <c r="W1082" t="s">
        <v>36</v>
      </c>
      <c r="X1082" t="s">
        <v>878</v>
      </c>
      <c r="Y1082" t="s">
        <v>38</v>
      </c>
      <c r="Z1082" t="s">
        <v>910</v>
      </c>
      <c r="AA1082">
        <v>0.04</v>
      </c>
      <c r="AB1082">
        <v>1</v>
      </c>
      <c r="AC1082">
        <v>365</v>
      </c>
      <c r="AD1082">
        <v>0</v>
      </c>
      <c r="AE1082" t="b">
        <f>ISNUMBER(MATCH(G1082,AUM!$C$6:$C$1451,0))</f>
        <v>0</v>
      </c>
      <c r="AF1082" t="b">
        <f>ISNUMBER(MATCH(G1082,AUM!$G$6:$G$240,0))</f>
        <v>0</v>
      </c>
    </row>
    <row r="1083" spans="1:32" x14ac:dyDescent="0.2">
      <c r="A1083" t="s">
        <v>3386</v>
      </c>
      <c r="B1083" s="1">
        <v>45671</v>
      </c>
      <c r="D1083" t="s">
        <v>3386</v>
      </c>
      <c r="E1083" t="s">
        <v>31</v>
      </c>
      <c r="F1083" t="s">
        <v>3387</v>
      </c>
      <c r="G1083" t="s">
        <v>3388</v>
      </c>
      <c r="H1083" t="s">
        <v>34</v>
      </c>
      <c r="J1083">
        <v>2393.64</v>
      </c>
      <c r="K1083">
        <v>2376.17</v>
      </c>
      <c r="L1083">
        <v>2376.1747881000001</v>
      </c>
      <c r="Q1083" t="s">
        <v>3382</v>
      </c>
      <c r="W1083" t="s">
        <v>36</v>
      </c>
      <c r="X1083" t="s">
        <v>878</v>
      </c>
      <c r="Y1083" t="s">
        <v>38</v>
      </c>
      <c r="Z1083" t="s">
        <v>910</v>
      </c>
      <c r="AA1083">
        <v>3.7499999999999999E-2</v>
      </c>
      <c r="AB1083">
        <v>1</v>
      </c>
      <c r="AC1083">
        <v>365</v>
      </c>
      <c r="AD1083">
        <v>0</v>
      </c>
      <c r="AE1083" t="b">
        <f>ISNUMBER(MATCH(G1083,AUM!$C$6:$C$1451,0))</f>
        <v>0</v>
      </c>
      <c r="AF1083" t="b">
        <f>ISNUMBER(MATCH(G1083,AUM!$G$6:$G$240,0))</f>
        <v>0</v>
      </c>
    </row>
    <row r="1084" spans="1:32" x14ac:dyDescent="0.2">
      <c r="A1084" t="s">
        <v>3372</v>
      </c>
      <c r="B1084" s="1">
        <v>45671</v>
      </c>
      <c r="D1084" t="s">
        <v>3372</v>
      </c>
      <c r="E1084" t="s">
        <v>31</v>
      </c>
      <c r="F1084" t="s">
        <v>3389</v>
      </c>
      <c r="G1084" t="s">
        <v>3390</v>
      </c>
      <c r="H1084" t="s">
        <v>34</v>
      </c>
      <c r="J1084">
        <v>4558.9799999999996</v>
      </c>
      <c r="K1084">
        <v>4527.1400000000003</v>
      </c>
      <c r="L1084">
        <v>4527.14237521</v>
      </c>
      <c r="Q1084" t="s">
        <v>3391</v>
      </c>
      <c r="T1084">
        <v>7.6381343896389994E-2</v>
      </c>
      <c r="V1084" t="s">
        <v>79</v>
      </c>
      <c r="W1084" t="s">
        <v>36</v>
      </c>
      <c r="X1084" t="s">
        <v>69</v>
      </c>
      <c r="Y1084" t="s">
        <v>38</v>
      </c>
      <c r="AD1084">
        <v>0</v>
      </c>
      <c r="AE1084" t="b">
        <f>ISNUMBER(MATCH(G1084,AUM!$C$6:$C$1451,0))</f>
        <v>0</v>
      </c>
      <c r="AF1084" t="b">
        <f>ISNUMBER(MATCH(G1084,AUM!$G$6:$G$240,0))</f>
        <v>0</v>
      </c>
    </row>
    <row r="1085" spans="1:32" x14ac:dyDescent="0.2">
      <c r="A1085" t="s">
        <v>3382</v>
      </c>
      <c r="B1085" s="1">
        <v>45671</v>
      </c>
      <c r="D1085" t="s">
        <v>3382</v>
      </c>
      <c r="E1085" t="s">
        <v>31</v>
      </c>
      <c r="F1085" t="s">
        <v>3392</v>
      </c>
      <c r="G1085" t="s">
        <v>3393</v>
      </c>
      <c r="H1085" t="s">
        <v>34</v>
      </c>
      <c r="J1085">
        <v>4206.76</v>
      </c>
      <c r="K1085">
        <v>4177.3599999999997</v>
      </c>
      <c r="L1085">
        <v>4177.3600008100002</v>
      </c>
      <c r="Q1085" t="s">
        <v>3391</v>
      </c>
      <c r="U1085">
        <v>5.7286007922290001E-2</v>
      </c>
      <c r="V1085" t="s">
        <v>79</v>
      </c>
      <c r="W1085" t="s">
        <v>36</v>
      </c>
      <c r="X1085" t="s">
        <v>69</v>
      </c>
      <c r="Y1085" t="s">
        <v>38</v>
      </c>
      <c r="AD1085">
        <v>0</v>
      </c>
      <c r="AE1085" t="b">
        <f>ISNUMBER(MATCH(G1085,AUM!$C$6:$C$1451,0))</f>
        <v>0</v>
      </c>
      <c r="AF1085" t="b">
        <f>ISNUMBER(MATCH(G1085,AUM!$G$6:$G$240,0))</f>
        <v>0</v>
      </c>
    </row>
    <row r="1086" spans="1:32" x14ac:dyDescent="0.2">
      <c r="A1086" t="s">
        <v>3391</v>
      </c>
      <c r="B1086" s="1">
        <v>45671</v>
      </c>
      <c r="D1086" t="s">
        <v>3391</v>
      </c>
      <c r="E1086" t="s">
        <v>31</v>
      </c>
      <c r="F1086" t="s">
        <v>3394</v>
      </c>
      <c r="G1086" t="s">
        <v>3395</v>
      </c>
      <c r="H1086" t="s">
        <v>34</v>
      </c>
      <c r="I1086">
        <v>1939019740.2248499</v>
      </c>
      <c r="J1086">
        <v>2969</v>
      </c>
      <c r="K1086">
        <v>2948.23</v>
      </c>
      <c r="L1086">
        <v>2948.2326500600002</v>
      </c>
      <c r="M1086">
        <v>5716681307248.6904</v>
      </c>
      <c r="N1086">
        <v>255</v>
      </c>
      <c r="O1086" t="s">
        <v>35</v>
      </c>
      <c r="P1086">
        <v>1</v>
      </c>
      <c r="R1086" t="s">
        <v>3372</v>
      </c>
      <c r="S1086" t="s">
        <v>3382</v>
      </c>
      <c r="W1086" t="s">
        <v>36</v>
      </c>
      <c r="X1086" t="s">
        <v>37</v>
      </c>
      <c r="Y1086" t="s">
        <v>38</v>
      </c>
      <c r="AD1086">
        <v>0</v>
      </c>
      <c r="AE1086" t="b">
        <f>ISNUMBER(MATCH(G1086,AUM!$C$6:$C$1451,0))</f>
        <v>0</v>
      </c>
      <c r="AF1086" t="b">
        <f>ISNUMBER(MATCH(G1086,AUM!$G$6:$G$240,0))</f>
        <v>0</v>
      </c>
    </row>
    <row r="1087" spans="1:32" x14ac:dyDescent="0.2">
      <c r="A1087" t="s">
        <v>3396</v>
      </c>
      <c r="B1087" s="1">
        <v>45671</v>
      </c>
      <c r="D1087" t="s">
        <v>3396</v>
      </c>
      <c r="E1087" t="s">
        <v>31</v>
      </c>
      <c r="F1087" t="s">
        <v>3397</v>
      </c>
      <c r="G1087" t="s">
        <v>3398</v>
      </c>
      <c r="H1087" t="s">
        <v>34</v>
      </c>
      <c r="J1087">
        <v>2364.16</v>
      </c>
      <c r="K1087">
        <v>2346.31</v>
      </c>
      <c r="L1087">
        <v>2346.3075279099999</v>
      </c>
      <c r="Q1087" t="s">
        <v>3399</v>
      </c>
      <c r="W1087" t="s">
        <v>36</v>
      </c>
      <c r="X1087" t="s">
        <v>878</v>
      </c>
      <c r="Y1087" t="s">
        <v>38</v>
      </c>
      <c r="Z1087" t="s">
        <v>910</v>
      </c>
      <c r="AA1087">
        <v>0.05</v>
      </c>
      <c r="AB1087">
        <v>1</v>
      </c>
      <c r="AC1087">
        <v>365</v>
      </c>
      <c r="AD1087">
        <v>0</v>
      </c>
      <c r="AE1087" t="b">
        <f>ISNUMBER(MATCH(G1087,AUM!$C$6:$C$1451,0))</f>
        <v>0</v>
      </c>
      <c r="AF1087" t="b">
        <f>ISNUMBER(MATCH(G1087,AUM!$G$6:$G$240,0))</f>
        <v>0</v>
      </c>
    </row>
    <row r="1088" spans="1:32" x14ac:dyDescent="0.2">
      <c r="A1088" t="s">
        <v>3400</v>
      </c>
      <c r="B1088" s="1">
        <v>45671</v>
      </c>
      <c r="D1088" t="s">
        <v>3400</v>
      </c>
      <c r="E1088" t="s">
        <v>31</v>
      </c>
      <c r="F1088" t="s">
        <v>3401</v>
      </c>
      <c r="G1088" t="s">
        <v>3402</v>
      </c>
      <c r="H1088" t="s">
        <v>34</v>
      </c>
      <c r="J1088">
        <v>2747.85</v>
      </c>
      <c r="K1088">
        <v>2727.32</v>
      </c>
      <c r="L1088">
        <v>2727.3183008599999</v>
      </c>
      <c r="Q1088" t="s">
        <v>3399</v>
      </c>
      <c r="W1088" t="s">
        <v>36</v>
      </c>
      <c r="X1088" t="s">
        <v>878</v>
      </c>
      <c r="Y1088" t="s">
        <v>38</v>
      </c>
      <c r="Z1088" t="s">
        <v>910</v>
      </c>
      <c r="AA1088">
        <v>0.04</v>
      </c>
      <c r="AB1088">
        <v>1</v>
      </c>
      <c r="AC1088">
        <v>365</v>
      </c>
      <c r="AD1088">
        <v>0</v>
      </c>
      <c r="AE1088" t="b">
        <f>ISNUMBER(MATCH(G1088,AUM!$C$6:$C$1451,0))</f>
        <v>0</v>
      </c>
      <c r="AF1088" t="b">
        <f>ISNUMBER(MATCH(G1088,AUM!$G$6:$G$240,0))</f>
        <v>0</v>
      </c>
    </row>
    <row r="1089" spans="1:32" x14ac:dyDescent="0.2">
      <c r="A1089" t="s">
        <v>3403</v>
      </c>
      <c r="B1089" s="1">
        <v>45671</v>
      </c>
      <c r="D1089" t="s">
        <v>3403</v>
      </c>
      <c r="E1089" t="s">
        <v>31</v>
      </c>
      <c r="F1089" t="s">
        <v>3404</v>
      </c>
      <c r="G1089" t="s">
        <v>3405</v>
      </c>
      <c r="H1089" t="s">
        <v>34</v>
      </c>
      <c r="J1089">
        <v>2853.12</v>
      </c>
      <c r="K1089">
        <v>2831.87</v>
      </c>
      <c r="L1089">
        <v>2831.86813863</v>
      </c>
      <c r="Q1089" t="s">
        <v>3399</v>
      </c>
      <c r="W1089" t="s">
        <v>36</v>
      </c>
      <c r="X1089" t="s">
        <v>878</v>
      </c>
      <c r="Y1089" t="s">
        <v>38</v>
      </c>
      <c r="Z1089" t="s">
        <v>910</v>
      </c>
      <c r="AA1089">
        <v>3.7499999999999999E-2</v>
      </c>
      <c r="AB1089">
        <v>1</v>
      </c>
      <c r="AC1089">
        <v>365</v>
      </c>
      <c r="AD1089">
        <v>0</v>
      </c>
      <c r="AE1089" t="b">
        <f>ISNUMBER(MATCH(G1089,AUM!$C$6:$C$1451,0))</f>
        <v>0</v>
      </c>
      <c r="AF1089" t="b">
        <f>ISNUMBER(MATCH(G1089,AUM!$G$6:$G$240,0))</f>
        <v>0</v>
      </c>
    </row>
    <row r="1090" spans="1:32" x14ac:dyDescent="0.2">
      <c r="A1090" t="s">
        <v>3406</v>
      </c>
      <c r="B1090" s="1">
        <v>45671</v>
      </c>
      <c r="D1090" t="s">
        <v>3406</v>
      </c>
      <c r="E1090" t="s">
        <v>31</v>
      </c>
      <c r="F1090" t="s">
        <v>3407</v>
      </c>
      <c r="G1090" t="s">
        <v>3408</v>
      </c>
      <c r="H1090" t="s">
        <v>34</v>
      </c>
      <c r="J1090">
        <v>2144.87</v>
      </c>
      <c r="K1090">
        <v>2128.66</v>
      </c>
      <c r="L1090">
        <v>2128.6591012399999</v>
      </c>
      <c r="Q1090" t="s">
        <v>3409</v>
      </c>
      <c r="W1090" t="s">
        <v>36</v>
      </c>
      <c r="X1090" t="s">
        <v>878</v>
      </c>
      <c r="Y1090" t="s">
        <v>38</v>
      </c>
      <c r="Z1090" t="s">
        <v>910</v>
      </c>
      <c r="AA1090">
        <v>0.05</v>
      </c>
      <c r="AB1090">
        <v>1</v>
      </c>
      <c r="AC1090">
        <v>365</v>
      </c>
      <c r="AD1090">
        <v>0</v>
      </c>
      <c r="AE1090" t="b">
        <f>ISNUMBER(MATCH(G1090,AUM!$C$6:$C$1451,0))</f>
        <v>0</v>
      </c>
      <c r="AF1090" t="b">
        <f>ISNUMBER(MATCH(G1090,AUM!$G$6:$G$240,0))</f>
        <v>0</v>
      </c>
    </row>
    <row r="1091" spans="1:32" x14ac:dyDescent="0.2">
      <c r="A1091" t="s">
        <v>3410</v>
      </c>
      <c r="B1091" s="1">
        <v>45671</v>
      </c>
      <c r="D1091" t="s">
        <v>3410</v>
      </c>
      <c r="E1091" t="s">
        <v>31</v>
      </c>
      <c r="F1091" t="s">
        <v>3411</v>
      </c>
      <c r="G1091" t="s">
        <v>3412</v>
      </c>
      <c r="H1091" t="s">
        <v>34</v>
      </c>
      <c r="J1091">
        <v>2492.98</v>
      </c>
      <c r="K1091">
        <v>2474.34</v>
      </c>
      <c r="L1091">
        <v>2474.3356557799998</v>
      </c>
      <c r="Q1091" t="s">
        <v>3409</v>
      </c>
      <c r="W1091" t="s">
        <v>36</v>
      </c>
      <c r="X1091" t="s">
        <v>878</v>
      </c>
      <c r="Y1091" t="s">
        <v>38</v>
      </c>
      <c r="Z1091" t="s">
        <v>910</v>
      </c>
      <c r="AA1091">
        <v>0.04</v>
      </c>
      <c r="AB1091">
        <v>1</v>
      </c>
      <c r="AC1091">
        <v>365</v>
      </c>
      <c r="AD1091">
        <v>0</v>
      </c>
      <c r="AE1091" t="b">
        <f>ISNUMBER(MATCH(G1091,AUM!$C$6:$C$1451,0))</f>
        <v>0</v>
      </c>
      <c r="AF1091" t="b">
        <f>ISNUMBER(MATCH(G1091,AUM!$G$6:$G$240,0))</f>
        <v>0</v>
      </c>
    </row>
    <row r="1092" spans="1:32" x14ac:dyDescent="0.2">
      <c r="A1092" t="s">
        <v>3413</v>
      </c>
      <c r="B1092" s="1">
        <v>45671</v>
      </c>
      <c r="D1092" t="s">
        <v>3413</v>
      </c>
      <c r="E1092" t="s">
        <v>31</v>
      </c>
      <c r="F1092" t="s">
        <v>3414</v>
      </c>
      <c r="G1092" t="s">
        <v>3415</v>
      </c>
      <c r="H1092" t="s">
        <v>34</v>
      </c>
      <c r="J1092">
        <v>2588.4899999999998</v>
      </c>
      <c r="K1092">
        <v>2569.19</v>
      </c>
      <c r="L1092">
        <v>2569.18995421</v>
      </c>
      <c r="Q1092" t="s">
        <v>3409</v>
      </c>
      <c r="W1092" t="s">
        <v>36</v>
      </c>
      <c r="X1092" t="s">
        <v>878</v>
      </c>
      <c r="Y1092" t="s">
        <v>38</v>
      </c>
      <c r="Z1092" t="s">
        <v>910</v>
      </c>
      <c r="AA1092">
        <v>3.7499999999999999E-2</v>
      </c>
      <c r="AB1092">
        <v>1</v>
      </c>
      <c r="AC1092">
        <v>365</v>
      </c>
      <c r="AD1092">
        <v>0</v>
      </c>
      <c r="AE1092" t="b">
        <f>ISNUMBER(MATCH(G1092,AUM!$C$6:$C$1451,0))</f>
        <v>0</v>
      </c>
      <c r="AF1092" t="b">
        <f>ISNUMBER(MATCH(G1092,AUM!$G$6:$G$240,0))</f>
        <v>0</v>
      </c>
    </row>
    <row r="1093" spans="1:32" x14ac:dyDescent="0.2">
      <c r="A1093" t="s">
        <v>3399</v>
      </c>
      <c r="B1093" s="1">
        <v>45671</v>
      </c>
      <c r="D1093" t="s">
        <v>3399</v>
      </c>
      <c r="E1093" t="s">
        <v>31</v>
      </c>
      <c r="F1093" t="s">
        <v>3416</v>
      </c>
      <c r="G1093" t="s">
        <v>3417</v>
      </c>
      <c r="H1093" t="s">
        <v>34</v>
      </c>
      <c r="J1093">
        <v>5014.3999999999996</v>
      </c>
      <c r="K1093">
        <v>4978.59</v>
      </c>
      <c r="L1093">
        <v>4978.5853376799996</v>
      </c>
      <c r="Q1093" t="s">
        <v>3418</v>
      </c>
      <c r="T1093">
        <v>0.14629224777196001</v>
      </c>
      <c r="V1093" t="s">
        <v>79</v>
      </c>
      <c r="W1093" t="s">
        <v>36</v>
      </c>
      <c r="X1093" t="s">
        <v>69</v>
      </c>
      <c r="Y1093" t="s">
        <v>38</v>
      </c>
      <c r="AD1093">
        <v>0</v>
      </c>
      <c r="AE1093" t="b">
        <f>ISNUMBER(MATCH(G1093,AUM!$C$6:$C$1451,0))</f>
        <v>0</v>
      </c>
      <c r="AF1093" t="b">
        <f>ISNUMBER(MATCH(G1093,AUM!$G$6:$G$240,0))</f>
        <v>0</v>
      </c>
    </row>
    <row r="1094" spans="1:32" x14ac:dyDescent="0.2">
      <c r="A1094" t="s">
        <v>3409</v>
      </c>
      <c r="B1094" s="1">
        <v>45671</v>
      </c>
      <c r="D1094" t="s">
        <v>3409</v>
      </c>
      <c r="E1094" t="s">
        <v>31</v>
      </c>
      <c r="F1094" t="s">
        <v>3419</v>
      </c>
      <c r="G1094" t="s">
        <v>3420</v>
      </c>
      <c r="H1094" t="s">
        <v>34</v>
      </c>
      <c r="J1094">
        <v>4549.37</v>
      </c>
      <c r="K1094">
        <v>4516.84</v>
      </c>
      <c r="L1094">
        <v>4516.8447141400002</v>
      </c>
      <c r="Q1094" t="s">
        <v>3418</v>
      </c>
      <c r="U1094">
        <v>0.10971918582897</v>
      </c>
      <c r="V1094" t="s">
        <v>79</v>
      </c>
      <c r="W1094" t="s">
        <v>36</v>
      </c>
      <c r="X1094" t="s">
        <v>69</v>
      </c>
      <c r="Y1094" t="s">
        <v>38</v>
      </c>
      <c r="AD1094">
        <v>0</v>
      </c>
      <c r="AE1094" t="b">
        <f>ISNUMBER(MATCH(G1094,AUM!$C$6:$C$1451,0))</f>
        <v>0</v>
      </c>
      <c r="AF1094" t="b">
        <f>ISNUMBER(MATCH(G1094,AUM!$G$6:$G$240,0))</f>
        <v>0</v>
      </c>
    </row>
    <row r="1095" spans="1:32" x14ac:dyDescent="0.2">
      <c r="A1095" t="s">
        <v>3418</v>
      </c>
      <c r="B1095" s="1">
        <v>45671</v>
      </c>
      <c r="D1095" t="s">
        <v>3418</v>
      </c>
      <c r="E1095" t="s">
        <v>31</v>
      </c>
      <c r="F1095" t="s">
        <v>3421</v>
      </c>
      <c r="G1095" t="s">
        <v>3422</v>
      </c>
      <c r="H1095" t="s">
        <v>34</v>
      </c>
      <c r="I1095">
        <v>1012390853.6210999</v>
      </c>
      <c r="J1095">
        <v>3381.59</v>
      </c>
      <c r="K1095">
        <v>3357.37</v>
      </c>
      <c r="L1095">
        <v>3357.3717554599998</v>
      </c>
      <c r="M1095">
        <v>3398972457433.2798</v>
      </c>
      <c r="N1095">
        <v>137</v>
      </c>
      <c r="O1095" t="s">
        <v>35</v>
      </c>
      <c r="P1095">
        <v>1</v>
      </c>
      <c r="R1095" t="s">
        <v>3399</v>
      </c>
      <c r="S1095" t="s">
        <v>3409</v>
      </c>
      <c r="W1095" t="s">
        <v>36</v>
      </c>
      <c r="X1095" t="s">
        <v>37</v>
      </c>
      <c r="Y1095" t="s">
        <v>38</v>
      </c>
      <c r="AD1095">
        <v>0</v>
      </c>
      <c r="AE1095" t="b">
        <f>ISNUMBER(MATCH(G1095,AUM!$C$6:$C$1451,0))</f>
        <v>0</v>
      </c>
      <c r="AF1095" t="b">
        <f>ISNUMBER(MATCH(G1095,AUM!$G$6:$G$240,0))</f>
        <v>0</v>
      </c>
    </row>
    <row r="1096" spans="1:32" x14ac:dyDescent="0.2">
      <c r="A1096" t="s">
        <v>3423</v>
      </c>
      <c r="B1096" s="1">
        <v>45671</v>
      </c>
      <c r="D1096" t="s">
        <v>3423</v>
      </c>
      <c r="E1096" t="s">
        <v>31</v>
      </c>
      <c r="F1096" t="s">
        <v>3424</v>
      </c>
      <c r="G1096" t="s">
        <v>3425</v>
      </c>
      <c r="H1096" t="s">
        <v>34</v>
      </c>
      <c r="J1096">
        <v>2054.42</v>
      </c>
      <c r="K1096">
        <v>2043.44</v>
      </c>
      <c r="L1096">
        <v>2043.4355909000001</v>
      </c>
      <c r="Q1096" t="s">
        <v>3426</v>
      </c>
      <c r="W1096" t="s">
        <v>36</v>
      </c>
      <c r="X1096" t="s">
        <v>878</v>
      </c>
      <c r="Y1096" t="s">
        <v>38</v>
      </c>
      <c r="Z1096" t="s">
        <v>910</v>
      </c>
      <c r="AA1096">
        <v>0.05</v>
      </c>
      <c r="AB1096">
        <v>1</v>
      </c>
      <c r="AC1096">
        <v>365</v>
      </c>
      <c r="AD1096">
        <v>0</v>
      </c>
      <c r="AE1096" t="b">
        <f>ISNUMBER(MATCH(G1096,AUM!$C$6:$C$1451,0))</f>
        <v>0</v>
      </c>
      <c r="AF1096" t="b">
        <f>ISNUMBER(MATCH(G1096,AUM!$G$6:$G$240,0))</f>
        <v>0</v>
      </c>
    </row>
    <row r="1097" spans="1:32" x14ac:dyDescent="0.2">
      <c r="A1097" t="s">
        <v>3427</v>
      </c>
      <c r="B1097" s="1">
        <v>45671</v>
      </c>
      <c r="D1097" t="s">
        <v>3427</v>
      </c>
      <c r="E1097" t="s">
        <v>31</v>
      </c>
      <c r="F1097" t="s">
        <v>3428</v>
      </c>
      <c r="G1097" t="s">
        <v>3429</v>
      </c>
      <c r="H1097" t="s">
        <v>34</v>
      </c>
      <c r="J1097">
        <v>2340.61</v>
      </c>
      <c r="K1097">
        <v>2328.2800000000002</v>
      </c>
      <c r="L1097">
        <v>2328.27968977</v>
      </c>
      <c r="Q1097" t="s">
        <v>3426</v>
      </c>
      <c r="W1097" t="s">
        <v>36</v>
      </c>
      <c r="X1097" t="s">
        <v>878</v>
      </c>
      <c r="Y1097" t="s">
        <v>38</v>
      </c>
      <c r="Z1097" t="s">
        <v>910</v>
      </c>
      <c r="AA1097">
        <v>0.04</v>
      </c>
      <c r="AB1097">
        <v>1</v>
      </c>
      <c r="AC1097">
        <v>365</v>
      </c>
      <c r="AD1097">
        <v>0</v>
      </c>
      <c r="AE1097" t="b">
        <f>ISNUMBER(MATCH(G1097,AUM!$C$6:$C$1451,0))</f>
        <v>0</v>
      </c>
      <c r="AF1097" t="b">
        <f>ISNUMBER(MATCH(G1097,AUM!$G$6:$G$240,0))</f>
        <v>0</v>
      </c>
    </row>
    <row r="1098" spans="1:32" x14ac:dyDescent="0.2">
      <c r="A1098" t="s">
        <v>3430</v>
      </c>
      <c r="B1098" s="1">
        <v>45671</v>
      </c>
      <c r="D1098" t="s">
        <v>3430</v>
      </c>
      <c r="E1098" t="s">
        <v>31</v>
      </c>
      <c r="F1098" t="s">
        <v>3431</v>
      </c>
      <c r="G1098" t="s">
        <v>3432</v>
      </c>
      <c r="H1098" t="s">
        <v>34</v>
      </c>
      <c r="J1098">
        <v>4334.29</v>
      </c>
      <c r="K1098">
        <v>4312.8900000000003</v>
      </c>
      <c r="L1098">
        <v>4312.8908052999996</v>
      </c>
      <c r="Q1098" t="s">
        <v>3433</v>
      </c>
      <c r="T1098">
        <v>0.23123755205692001</v>
      </c>
      <c r="V1098" t="s">
        <v>79</v>
      </c>
      <c r="W1098" t="s">
        <v>36</v>
      </c>
      <c r="X1098" t="s">
        <v>69</v>
      </c>
      <c r="Y1098" t="s">
        <v>38</v>
      </c>
      <c r="AD1098">
        <v>0</v>
      </c>
      <c r="AE1098" t="b">
        <f>ISNUMBER(MATCH(G1098,AUM!$C$6:$C$1451,0))</f>
        <v>1</v>
      </c>
      <c r="AF1098" t="b">
        <f>ISNUMBER(MATCH(G1098,AUM!$G$6:$G$240,0))</f>
        <v>0</v>
      </c>
    </row>
    <row r="1099" spans="1:32" x14ac:dyDescent="0.2">
      <c r="A1099" t="s">
        <v>3426</v>
      </c>
      <c r="B1099" s="1">
        <v>45671</v>
      </c>
      <c r="D1099" t="s">
        <v>3426</v>
      </c>
      <c r="E1099" t="s">
        <v>31</v>
      </c>
      <c r="F1099" t="s">
        <v>3434</v>
      </c>
      <c r="G1099" t="s">
        <v>3435</v>
      </c>
      <c r="H1099" t="s">
        <v>34</v>
      </c>
      <c r="J1099">
        <v>3943.23</v>
      </c>
      <c r="K1099">
        <v>3923.76</v>
      </c>
      <c r="L1099">
        <v>3923.7638894800002</v>
      </c>
      <c r="Q1099" t="s">
        <v>3433</v>
      </c>
      <c r="U1099">
        <v>0.17342816404268999</v>
      </c>
      <c r="V1099" t="s">
        <v>79</v>
      </c>
      <c r="W1099" t="s">
        <v>36</v>
      </c>
      <c r="X1099" t="s">
        <v>69</v>
      </c>
      <c r="Y1099" t="s">
        <v>38</v>
      </c>
      <c r="AD1099">
        <v>0</v>
      </c>
      <c r="AE1099" t="b">
        <f>ISNUMBER(MATCH(G1099,AUM!$C$6:$C$1451,0))</f>
        <v>1</v>
      </c>
      <c r="AF1099" t="b">
        <f>ISNUMBER(MATCH(G1099,AUM!$G$6:$G$240,0))</f>
        <v>0</v>
      </c>
    </row>
    <row r="1100" spans="1:32" x14ac:dyDescent="0.2">
      <c r="A1100" t="s">
        <v>3433</v>
      </c>
      <c r="B1100" s="1">
        <v>45671</v>
      </c>
      <c r="D1100" t="s">
        <v>3433</v>
      </c>
      <c r="E1100" t="s">
        <v>31</v>
      </c>
      <c r="F1100" t="s">
        <v>3436</v>
      </c>
      <c r="G1100" t="s">
        <v>3437</v>
      </c>
      <c r="H1100" t="s">
        <v>34</v>
      </c>
      <c r="I1100">
        <v>640488243.72411096</v>
      </c>
      <c r="J1100">
        <v>2952.76</v>
      </c>
      <c r="K1100">
        <v>2938.18</v>
      </c>
      <c r="L1100">
        <v>2938.1828420900001</v>
      </c>
      <c r="M1100">
        <v>1881871568272.8799</v>
      </c>
      <c r="N1100">
        <v>50</v>
      </c>
      <c r="O1100" t="s">
        <v>35</v>
      </c>
      <c r="P1100">
        <v>1</v>
      </c>
      <c r="R1100" t="s">
        <v>3430</v>
      </c>
      <c r="S1100" t="s">
        <v>3426</v>
      </c>
      <c r="W1100" t="s">
        <v>36</v>
      </c>
      <c r="X1100" t="s">
        <v>37</v>
      </c>
      <c r="Y1100" t="s">
        <v>38</v>
      </c>
      <c r="AD1100">
        <v>0</v>
      </c>
      <c r="AE1100" t="b">
        <f>ISNUMBER(MATCH(G1100,AUM!$C$6:$C$1451,0))</f>
        <v>1</v>
      </c>
      <c r="AF1100" t="b">
        <f>ISNUMBER(MATCH(G1100,AUM!$G$6:$G$240,0))</f>
        <v>1</v>
      </c>
    </row>
    <row r="1101" spans="1:32" x14ac:dyDescent="0.2">
      <c r="A1101" t="s">
        <v>3438</v>
      </c>
      <c r="B1101" s="1">
        <v>45671</v>
      </c>
      <c r="D1101" t="s">
        <v>3438</v>
      </c>
      <c r="E1101" t="s">
        <v>31</v>
      </c>
      <c r="F1101" t="s">
        <v>3439</v>
      </c>
      <c r="G1101" t="s">
        <v>3440</v>
      </c>
      <c r="H1101" t="s">
        <v>34</v>
      </c>
      <c r="I1101">
        <v>611438474.36280596</v>
      </c>
      <c r="J1101">
        <v>2335.25</v>
      </c>
      <c r="K1101">
        <v>2325.67</v>
      </c>
      <c r="L1101">
        <v>2325.66642882</v>
      </c>
      <c r="M1101">
        <v>1422001933117.3301</v>
      </c>
      <c r="N1101">
        <v>40</v>
      </c>
      <c r="O1101" t="s">
        <v>35</v>
      </c>
      <c r="P1101">
        <v>1</v>
      </c>
      <c r="W1101" t="s">
        <v>36</v>
      </c>
      <c r="X1101" t="s">
        <v>37</v>
      </c>
      <c r="Y1101" t="s">
        <v>38</v>
      </c>
      <c r="AD1101">
        <v>0</v>
      </c>
      <c r="AE1101" t="b">
        <f>ISNUMBER(MATCH(G1101,AUM!$C$6:$C$1451,0))</f>
        <v>0</v>
      </c>
      <c r="AF1101" t="b">
        <f>ISNUMBER(MATCH(G1101,AUM!$G$6:$G$240,0))</f>
        <v>0</v>
      </c>
    </row>
    <row r="1102" spans="1:32" x14ac:dyDescent="0.2">
      <c r="A1102" t="s">
        <v>3441</v>
      </c>
      <c r="B1102" s="1">
        <v>45671</v>
      </c>
      <c r="D1102" t="s">
        <v>3441</v>
      </c>
      <c r="E1102" t="s">
        <v>31</v>
      </c>
      <c r="F1102" t="s">
        <v>3442</v>
      </c>
      <c r="G1102" t="s">
        <v>3443</v>
      </c>
      <c r="H1102" t="s">
        <v>34</v>
      </c>
      <c r="J1102">
        <v>5485.43</v>
      </c>
      <c r="K1102">
        <v>5456.95</v>
      </c>
      <c r="L1102">
        <v>5456.9514798299997</v>
      </c>
      <c r="Q1102" t="s">
        <v>3444</v>
      </c>
      <c r="T1102">
        <v>0.50772139837373997</v>
      </c>
      <c r="V1102" t="s">
        <v>79</v>
      </c>
      <c r="W1102" t="s">
        <v>36</v>
      </c>
      <c r="X1102" t="s">
        <v>69</v>
      </c>
      <c r="Y1102" t="s">
        <v>38</v>
      </c>
      <c r="AD1102">
        <v>0</v>
      </c>
      <c r="AE1102" t="b">
        <f>ISNUMBER(MATCH(G1102,AUM!$C$6:$C$1451,0))</f>
        <v>0</v>
      </c>
      <c r="AF1102" t="b">
        <f>ISNUMBER(MATCH(G1102,AUM!$G$6:$G$240,0))</f>
        <v>0</v>
      </c>
    </row>
    <row r="1103" spans="1:32" x14ac:dyDescent="0.2">
      <c r="A1103" t="s">
        <v>3445</v>
      </c>
      <c r="B1103" s="1">
        <v>45671</v>
      </c>
      <c r="D1103" t="s">
        <v>3445</v>
      </c>
      <c r="E1103" t="s">
        <v>31</v>
      </c>
      <c r="F1103" t="s">
        <v>3446</v>
      </c>
      <c r="G1103" t="s">
        <v>3447</v>
      </c>
      <c r="H1103" t="s">
        <v>34</v>
      </c>
      <c r="J1103">
        <v>4974.63</v>
      </c>
      <c r="K1103">
        <v>4948.8</v>
      </c>
      <c r="L1103">
        <v>4948.8046891499998</v>
      </c>
      <c r="Q1103" t="s">
        <v>3444</v>
      </c>
      <c r="U1103">
        <v>0.38079104878030001</v>
      </c>
      <c r="V1103" t="s">
        <v>79</v>
      </c>
      <c r="W1103" t="s">
        <v>36</v>
      </c>
      <c r="X1103" t="s">
        <v>69</v>
      </c>
      <c r="Y1103" t="s">
        <v>38</v>
      </c>
      <c r="AD1103">
        <v>0</v>
      </c>
      <c r="AE1103" t="b">
        <f>ISNUMBER(MATCH(G1103,AUM!$C$6:$C$1451,0))</f>
        <v>0</v>
      </c>
      <c r="AF1103" t="b">
        <f>ISNUMBER(MATCH(G1103,AUM!$G$6:$G$240,0))</f>
        <v>0</v>
      </c>
    </row>
    <row r="1104" spans="1:32" x14ac:dyDescent="0.2">
      <c r="A1104" t="s">
        <v>3444</v>
      </c>
      <c r="B1104" s="1">
        <v>45671</v>
      </c>
      <c r="D1104" t="s">
        <v>3444</v>
      </c>
      <c r="E1104" t="s">
        <v>31</v>
      </c>
      <c r="F1104" t="s">
        <v>3448</v>
      </c>
      <c r="G1104" t="s">
        <v>3449</v>
      </c>
      <c r="H1104" t="s">
        <v>34</v>
      </c>
      <c r="I1104">
        <v>291705124.25591898</v>
      </c>
      <c r="J1104">
        <v>3832.61</v>
      </c>
      <c r="K1104">
        <v>3812.71</v>
      </c>
      <c r="L1104">
        <v>3812.71491457</v>
      </c>
      <c r="M1104">
        <v>1112188477905.98</v>
      </c>
      <c r="N1104">
        <v>64</v>
      </c>
      <c r="O1104" t="s">
        <v>35</v>
      </c>
      <c r="P1104">
        <v>1</v>
      </c>
      <c r="R1104" t="s">
        <v>3441</v>
      </c>
      <c r="S1104" t="s">
        <v>3445</v>
      </c>
      <c r="W1104" t="s">
        <v>36</v>
      </c>
      <c r="X1104" t="s">
        <v>37</v>
      </c>
      <c r="Y1104" t="s">
        <v>38</v>
      </c>
      <c r="AD1104">
        <v>0</v>
      </c>
      <c r="AE1104" t="b">
        <f>ISNUMBER(MATCH(G1104,AUM!$C$6:$C$1451,0))</f>
        <v>0</v>
      </c>
      <c r="AF1104" t="b">
        <f>ISNUMBER(MATCH(G1104,AUM!$G$6:$G$240,0))</f>
        <v>0</v>
      </c>
    </row>
    <row r="1105" spans="1:32" x14ac:dyDescent="0.2">
      <c r="A1105" t="s">
        <v>3450</v>
      </c>
      <c r="B1105" s="1">
        <v>45671</v>
      </c>
      <c r="D1105" t="s">
        <v>3450</v>
      </c>
      <c r="E1105" t="s">
        <v>31</v>
      </c>
      <c r="F1105" t="s">
        <v>3451</v>
      </c>
      <c r="G1105" t="s">
        <v>3452</v>
      </c>
      <c r="H1105" t="s">
        <v>34</v>
      </c>
      <c r="I1105">
        <v>10687101032.5865</v>
      </c>
      <c r="J1105">
        <v>2981.07</v>
      </c>
      <c r="K1105">
        <v>2978.23</v>
      </c>
      <c r="L1105">
        <v>2978.2342912300001</v>
      </c>
      <c r="M1105">
        <v>31828690769052.898</v>
      </c>
      <c r="N1105">
        <v>500</v>
      </c>
      <c r="O1105" t="s">
        <v>88</v>
      </c>
      <c r="P1105">
        <v>1</v>
      </c>
      <c r="W1105" t="s">
        <v>91</v>
      </c>
      <c r="X1105" t="s">
        <v>37</v>
      </c>
      <c r="Y1105" t="s">
        <v>38</v>
      </c>
      <c r="AD1105">
        <v>0</v>
      </c>
      <c r="AE1105" t="b">
        <f>ISNUMBER(MATCH(G1105,AUM!$C$6:$C$1451,0))</f>
        <v>0</v>
      </c>
      <c r="AF1105" t="b">
        <f>ISNUMBER(MATCH(G1105,AUM!$G$6:$G$240,0))</f>
        <v>0</v>
      </c>
    </row>
    <row r="1106" spans="1:32" x14ac:dyDescent="0.2">
      <c r="A1106" t="s">
        <v>3453</v>
      </c>
      <c r="B1106" s="1">
        <v>45671</v>
      </c>
      <c r="D1106" t="s">
        <v>3453</v>
      </c>
      <c r="E1106" t="s">
        <v>31</v>
      </c>
      <c r="F1106" t="s">
        <v>3454</v>
      </c>
      <c r="G1106" t="s">
        <v>3455</v>
      </c>
      <c r="H1106" t="s">
        <v>34</v>
      </c>
      <c r="J1106">
        <v>3220.04</v>
      </c>
      <c r="K1106">
        <v>3210.94</v>
      </c>
      <c r="L1106">
        <v>3210.9372713299999</v>
      </c>
      <c r="Q1106" t="s">
        <v>3456</v>
      </c>
      <c r="T1106">
        <v>0.10372676899598</v>
      </c>
      <c r="V1106" t="s">
        <v>79</v>
      </c>
      <c r="W1106" t="s">
        <v>36</v>
      </c>
      <c r="X1106" t="s">
        <v>69</v>
      </c>
      <c r="Y1106" t="s">
        <v>38</v>
      </c>
      <c r="AD1106">
        <v>0</v>
      </c>
      <c r="AE1106" t="b">
        <f>ISNUMBER(MATCH(G1106,AUM!$C$6:$C$1451,0))</f>
        <v>0</v>
      </c>
      <c r="AF1106" t="b">
        <f>ISNUMBER(MATCH(G1106,AUM!$G$6:$G$240,0))</f>
        <v>0</v>
      </c>
    </row>
    <row r="1107" spans="1:32" x14ac:dyDescent="0.2">
      <c r="A1107" t="s">
        <v>3457</v>
      </c>
      <c r="B1107" s="1">
        <v>45671</v>
      </c>
      <c r="D1107" t="s">
        <v>3457</v>
      </c>
      <c r="E1107" t="s">
        <v>31</v>
      </c>
      <c r="F1107" t="s">
        <v>3458</v>
      </c>
      <c r="G1107" t="s">
        <v>3459</v>
      </c>
      <c r="H1107" t="s">
        <v>34</v>
      </c>
      <c r="J1107">
        <v>2931.03</v>
      </c>
      <c r="K1107">
        <v>2922.74</v>
      </c>
      <c r="L1107">
        <v>2922.7403963299998</v>
      </c>
      <c r="Q1107" t="s">
        <v>3456</v>
      </c>
      <c r="U1107">
        <v>7.7795076746990002E-2</v>
      </c>
      <c r="V1107" t="s">
        <v>79</v>
      </c>
      <c r="W1107" t="s">
        <v>36</v>
      </c>
      <c r="X1107" t="s">
        <v>69</v>
      </c>
      <c r="Y1107" t="s">
        <v>38</v>
      </c>
      <c r="AD1107">
        <v>0</v>
      </c>
      <c r="AE1107" t="b">
        <f>ISNUMBER(MATCH(G1107,AUM!$C$6:$C$1451,0))</f>
        <v>0</v>
      </c>
      <c r="AF1107" t="b">
        <f>ISNUMBER(MATCH(G1107,AUM!$G$6:$G$240,0))</f>
        <v>0</v>
      </c>
    </row>
    <row r="1108" spans="1:32" x14ac:dyDescent="0.2">
      <c r="A1108" t="s">
        <v>3456</v>
      </c>
      <c r="B1108" s="1">
        <v>45671</v>
      </c>
      <c r="D1108" t="s">
        <v>3456</v>
      </c>
      <c r="E1108" t="s">
        <v>31</v>
      </c>
      <c r="F1108" t="s">
        <v>3460</v>
      </c>
      <c r="G1108" t="s">
        <v>3461</v>
      </c>
      <c r="H1108" t="s">
        <v>34</v>
      </c>
      <c r="I1108">
        <v>1427837144.0041399</v>
      </c>
      <c r="J1108">
        <v>2188.5700000000002</v>
      </c>
      <c r="K1108">
        <v>2182.39</v>
      </c>
      <c r="L1108">
        <v>2182.3851250799999</v>
      </c>
      <c r="M1108">
        <v>3116090544113.5698</v>
      </c>
      <c r="N1108">
        <v>100</v>
      </c>
      <c r="O1108" t="s">
        <v>35</v>
      </c>
      <c r="P1108">
        <v>1</v>
      </c>
      <c r="R1108" t="s">
        <v>3453</v>
      </c>
      <c r="S1108" t="s">
        <v>3457</v>
      </c>
      <c r="W1108" t="s">
        <v>36</v>
      </c>
      <c r="X1108" t="s">
        <v>37</v>
      </c>
      <c r="Y1108" t="s">
        <v>38</v>
      </c>
      <c r="AD1108">
        <v>0</v>
      </c>
      <c r="AE1108" t="b">
        <f>ISNUMBER(MATCH(G1108,AUM!$C$6:$C$1451,0))</f>
        <v>0</v>
      </c>
      <c r="AF1108" t="b">
        <f>ISNUMBER(MATCH(G1108,AUM!$G$6:$G$240,0))</f>
        <v>0</v>
      </c>
    </row>
    <row r="1109" spans="1:32" x14ac:dyDescent="0.2">
      <c r="A1109" t="s">
        <v>3462</v>
      </c>
      <c r="B1109" s="1">
        <v>45671</v>
      </c>
      <c r="D1109" t="s">
        <v>3462</v>
      </c>
      <c r="E1109" t="s">
        <v>31</v>
      </c>
      <c r="F1109" t="s">
        <v>3463</v>
      </c>
      <c r="G1109" t="s">
        <v>3464</v>
      </c>
      <c r="H1109" t="s">
        <v>34</v>
      </c>
      <c r="J1109">
        <v>3573.69</v>
      </c>
      <c r="K1109">
        <v>3560.82</v>
      </c>
      <c r="L1109">
        <v>3560.8218069899999</v>
      </c>
      <c r="Q1109" t="s">
        <v>3465</v>
      </c>
      <c r="T1109">
        <v>0.36032408786530001</v>
      </c>
      <c r="V1109" t="s">
        <v>79</v>
      </c>
      <c r="W1109" t="s">
        <v>36</v>
      </c>
      <c r="X1109" t="s">
        <v>69</v>
      </c>
      <c r="Y1109" t="s">
        <v>38</v>
      </c>
      <c r="AD1109">
        <v>0</v>
      </c>
      <c r="AE1109" t="b">
        <f>ISNUMBER(MATCH(G1109,AUM!$C$6:$C$1451,0))</f>
        <v>0</v>
      </c>
      <c r="AF1109" t="b">
        <f>ISNUMBER(MATCH(G1109,AUM!$G$6:$G$240,0))</f>
        <v>0</v>
      </c>
    </row>
    <row r="1110" spans="1:32" x14ac:dyDescent="0.2">
      <c r="A1110" t="s">
        <v>3466</v>
      </c>
      <c r="B1110" s="1">
        <v>45671</v>
      </c>
      <c r="D1110" t="s">
        <v>3466</v>
      </c>
      <c r="E1110" t="s">
        <v>31</v>
      </c>
      <c r="F1110" t="s">
        <v>3467</v>
      </c>
      <c r="G1110" t="s">
        <v>3468</v>
      </c>
      <c r="H1110" t="s">
        <v>34</v>
      </c>
      <c r="J1110">
        <v>3233.42</v>
      </c>
      <c r="K1110">
        <v>3221.78</v>
      </c>
      <c r="L1110">
        <v>3221.7806474099998</v>
      </c>
      <c r="Q1110" t="s">
        <v>3465</v>
      </c>
      <c r="U1110">
        <v>0.27024306589897001</v>
      </c>
      <c r="V1110" t="s">
        <v>79</v>
      </c>
      <c r="W1110" t="s">
        <v>36</v>
      </c>
      <c r="X1110" t="s">
        <v>69</v>
      </c>
      <c r="Y1110" t="s">
        <v>38</v>
      </c>
      <c r="AD1110">
        <v>0</v>
      </c>
      <c r="AE1110" t="b">
        <f>ISNUMBER(MATCH(G1110,AUM!$C$6:$C$1451,0))</f>
        <v>0</v>
      </c>
      <c r="AF1110" t="b">
        <f>ISNUMBER(MATCH(G1110,AUM!$G$6:$G$240,0))</f>
        <v>0</v>
      </c>
    </row>
    <row r="1111" spans="1:32" x14ac:dyDescent="0.2">
      <c r="A1111" t="s">
        <v>3465</v>
      </c>
      <c r="B1111" s="1">
        <v>45671</v>
      </c>
      <c r="D1111" t="s">
        <v>3465</v>
      </c>
      <c r="E1111" t="s">
        <v>31</v>
      </c>
      <c r="F1111" t="s">
        <v>3469</v>
      </c>
      <c r="G1111" t="s">
        <v>3470</v>
      </c>
      <c r="H1111" t="s">
        <v>34</v>
      </c>
      <c r="I1111">
        <v>411032563.70516801</v>
      </c>
      <c r="J1111">
        <v>2503.11</v>
      </c>
      <c r="K1111">
        <v>2494.1</v>
      </c>
      <c r="L1111">
        <v>2494.0988980400002</v>
      </c>
      <c r="M1111">
        <v>1025155864197.47</v>
      </c>
      <c r="N1111">
        <v>40</v>
      </c>
      <c r="O1111" t="s">
        <v>35</v>
      </c>
      <c r="P1111">
        <v>1</v>
      </c>
      <c r="R1111" t="s">
        <v>3462</v>
      </c>
      <c r="S1111" t="s">
        <v>3466</v>
      </c>
      <c r="W1111" t="s">
        <v>36</v>
      </c>
      <c r="X1111" t="s">
        <v>37</v>
      </c>
      <c r="Y1111" t="s">
        <v>38</v>
      </c>
      <c r="AD1111">
        <v>0</v>
      </c>
      <c r="AE1111" t="b">
        <f>ISNUMBER(MATCH(G1111,AUM!$C$6:$C$1451,0))</f>
        <v>0</v>
      </c>
      <c r="AF1111" t="b">
        <f>ISNUMBER(MATCH(G1111,AUM!$G$6:$G$240,0))</f>
        <v>0</v>
      </c>
    </row>
    <row r="1112" spans="1:32" x14ac:dyDescent="0.2">
      <c r="A1112" t="s">
        <v>3471</v>
      </c>
      <c r="B1112" s="1">
        <v>45671</v>
      </c>
      <c r="D1112" t="s">
        <v>3471</v>
      </c>
      <c r="E1112" t="s">
        <v>31</v>
      </c>
      <c r="F1112" t="s">
        <v>3472</v>
      </c>
      <c r="G1112" t="s">
        <v>3473</v>
      </c>
      <c r="H1112" t="s">
        <v>34</v>
      </c>
      <c r="J1112">
        <v>1216.1300000000001</v>
      </c>
      <c r="K1112">
        <v>1220.48</v>
      </c>
      <c r="L1112">
        <v>1220.4788636400001</v>
      </c>
      <c r="Q1112" t="s">
        <v>3474</v>
      </c>
      <c r="W1112" t="s">
        <v>36</v>
      </c>
      <c r="X1112" t="s">
        <v>878</v>
      </c>
      <c r="Y1112" t="s">
        <v>38</v>
      </c>
      <c r="Z1112" t="s">
        <v>879</v>
      </c>
      <c r="AA1112">
        <v>50</v>
      </c>
      <c r="AB1112">
        <v>1</v>
      </c>
      <c r="AC1112">
        <v>365</v>
      </c>
      <c r="AD1112">
        <v>0</v>
      </c>
      <c r="AE1112" t="b">
        <f>ISNUMBER(MATCH(G1112,AUM!$C$6:$C$1451,0))</f>
        <v>0</v>
      </c>
      <c r="AF1112" t="b">
        <f>ISNUMBER(MATCH(G1112,AUM!$G$6:$G$240,0))</f>
        <v>0</v>
      </c>
    </row>
    <row r="1113" spans="1:32" x14ac:dyDescent="0.2">
      <c r="A1113" t="s">
        <v>3474</v>
      </c>
      <c r="B1113" s="1">
        <v>45671</v>
      </c>
      <c r="D1113" t="s">
        <v>3474</v>
      </c>
      <c r="E1113" t="s">
        <v>31</v>
      </c>
      <c r="F1113" t="s">
        <v>3475</v>
      </c>
      <c r="G1113" t="s">
        <v>3476</v>
      </c>
      <c r="H1113" t="s">
        <v>34</v>
      </c>
      <c r="J1113">
        <v>5948.23</v>
      </c>
      <c r="K1113">
        <v>5971.49</v>
      </c>
      <c r="L1113">
        <v>5971.4933359699999</v>
      </c>
      <c r="Q1113" t="s">
        <v>3477</v>
      </c>
      <c r="T1113">
        <v>0</v>
      </c>
      <c r="W1113" t="s">
        <v>36</v>
      </c>
      <c r="X1113" t="s">
        <v>69</v>
      </c>
      <c r="Y1113" t="s">
        <v>38</v>
      </c>
      <c r="AD1113">
        <v>0</v>
      </c>
      <c r="AE1113" t="b">
        <f>ISNUMBER(MATCH(G1113,AUM!$C$6:$C$1451,0))</f>
        <v>0</v>
      </c>
      <c r="AF1113" t="b">
        <f>ISNUMBER(MATCH(G1113,AUM!$G$6:$G$240,0))</f>
        <v>0</v>
      </c>
    </row>
    <row r="1114" spans="1:32" x14ac:dyDescent="0.2">
      <c r="A1114" t="s">
        <v>3477</v>
      </c>
      <c r="B1114" s="1">
        <v>45671</v>
      </c>
      <c r="D1114" t="s">
        <v>3477</v>
      </c>
      <c r="E1114" t="s">
        <v>31</v>
      </c>
      <c r="F1114" t="s">
        <v>3478</v>
      </c>
      <c r="G1114" t="s">
        <v>3479</v>
      </c>
      <c r="H1114" t="s">
        <v>34</v>
      </c>
      <c r="I1114">
        <v>1008249.59321576</v>
      </c>
      <c r="J1114">
        <v>5948.23</v>
      </c>
      <c r="K1114">
        <v>5971.49</v>
      </c>
      <c r="L1114">
        <v>5971.4933359699999</v>
      </c>
      <c r="M1114">
        <v>6020755726.8800001</v>
      </c>
      <c r="N1114">
        <v>3</v>
      </c>
      <c r="O1114" t="s">
        <v>35</v>
      </c>
      <c r="P1114">
        <v>1</v>
      </c>
      <c r="R1114" t="s">
        <v>3474</v>
      </c>
      <c r="W1114" t="s">
        <v>36</v>
      </c>
      <c r="X1114" t="s">
        <v>37</v>
      </c>
      <c r="Y1114" t="s">
        <v>38</v>
      </c>
      <c r="AD1114">
        <v>0</v>
      </c>
      <c r="AE1114" t="b">
        <f>ISNUMBER(MATCH(G1114,AUM!$C$6:$C$1451,0))</f>
        <v>0</v>
      </c>
      <c r="AF1114" t="b">
        <f>ISNUMBER(MATCH(G1114,AUM!$G$6:$G$240,0))</f>
        <v>0</v>
      </c>
    </row>
    <row r="1115" spans="1:32" x14ac:dyDescent="0.2">
      <c r="A1115" t="s">
        <v>3480</v>
      </c>
      <c r="B1115" s="1">
        <v>45671</v>
      </c>
      <c r="D1115" t="s">
        <v>3480</v>
      </c>
      <c r="E1115" t="s">
        <v>31</v>
      </c>
      <c r="F1115" t="s">
        <v>3481</v>
      </c>
      <c r="G1115" t="s">
        <v>3482</v>
      </c>
      <c r="H1115" t="s">
        <v>34</v>
      </c>
      <c r="J1115">
        <v>1130.3399999999999</v>
      </c>
      <c r="K1115">
        <v>1126.1600000000001</v>
      </c>
      <c r="L1115">
        <v>1126.1604245200001</v>
      </c>
      <c r="Q1115" t="s">
        <v>3483</v>
      </c>
      <c r="W1115" t="s">
        <v>36</v>
      </c>
      <c r="X1115" t="s">
        <v>878</v>
      </c>
      <c r="Y1115" t="s">
        <v>38</v>
      </c>
      <c r="Z1115" t="s">
        <v>910</v>
      </c>
      <c r="AA1115">
        <v>0.05</v>
      </c>
      <c r="AB1115">
        <v>1</v>
      </c>
      <c r="AC1115">
        <v>365</v>
      </c>
      <c r="AD1115">
        <v>0</v>
      </c>
      <c r="AE1115" t="b">
        <f>ISNUMBER(MATCH(G1115,AUM!$C$6:$C$1451,0))</f>
        <v>0</v>
      </c>
      <c r="AF1115" t="b">
        <f>ISNUMBER(MATCH(G1115,AUM!$G$6:$G$240,0))</f>
        <v>0</v>
      </c>
    </row>
    <row r="1116" spans="1:32" x14ac:dyDescent="0.2">
      <c r="A1116" t="s">
        <v>3484</v>
      </c>
      <c r="B1116" s="1">
        <v>45671</v>
      </c>
      <c r="D1116" t="s">
        <v>3484</v>
      </c>
      <c r="E1116" t="s">
        <v>31</v>
      </c>
      <c r="F1116" t="s">
        <v>3485</v>
      </c>
      <c r="G1116" t="s">
        <v>3486</v>
      </c>
      <c r="H1116" t="s">
        <v>34</v>
      </c>
      <c r="J1116">
        <v>2734.77</v>
      </c>
      <c r="K1116">
        <v>2725.79</v>
      </c>
      <c r="L1116">
        <v>2725.7874607799999</v>
      </c>
      <c r="Q1116" t="s">
        <v>3487</v>
      </c>
      <c r="T1116">
        <v>0.42689967471093998</v>
      </c>
      <c r="V1116" t="s">
        <v>79</v>
      </c>
      <c r="W1116" t="s">
        <v>36</v>
      </c>
      <c r="X1116" t="s">
        <v>69</v>
      </c>
      <c r="Y1116" t="s">
        <v>38</v>
      </c>
      <c r="AD1116">
        <v>0</v>
      </c>
      <c r="AE1116" t="b">
        <f>ISNUMBER(MATCH(G1116,AUM!$C$6:$C$1451,0))</f>
        <v>0</v>
      </c>
      <c r="AF1116" t="b">
        <f>ISNUMBER(MATCH(G1116,AUM!$G$6:$G$240,0))</f>
        <v>0</v>
      </c>
    </row>
    <row r="1117" spans="1:32" x14ac:dyDescent="0.2">
      <c r="A1117" t="s">
        <v>3483</v>
      </c>
      <c r="B1117" s="1">
        <v>45671</v>
      </c>
      <c r="D1117" t="s">
        <v>3483</v>
      </c>
      <c r="E1117" t="s">
        <v>31</v>
      </c>
      <c r="F1117" t="s">
        <v>3488</v>
      </c>
      <c r="G1117" t="s">
        <v>3489</v>
      </c>
      <c r="H1117" t="s">
        <v>34</v>
      </c>
      <c r="J1117">
        <v>2397.4699999999998</v>
      </c>
      <c r="K1117">
        <v>2389.6</v>
      </c>
      <c r="L1117">
        <v>2389.5953125800002</v>
      </c>
      <c r="Q1117" t="s">
        <v>3487</v>
      </c>
      <c r="U1117">
        <v>0.32017475603321</v>
      </c>
      <c r="V1117" t="s">
        <v>79</v>
      </c>
      <c r="W1117" t="s">
        <v>36</v>
      </c>
      <c r="X1117" t="s">
        <v>69</v>
      </c>
      <c r="Y1117" t="s">
        <v>38</v>
      </c>
      <c r="AD1117">
        <v>0</v>
      </c>
      <c r="AE1117" t="b">
        <f>ISNUMBER(MATCH(G1117,AUM!$C$6:$C$1451,0))</f>
        <v>0</v>
      </c>
      <c r="AF1117" t="b">
        <f>ISNUMBER(MATCH(G1117,AUM!$G$6:$G$240,0))</f>
        <v>0</v>
      </c>
    </row>
    <row r="1118" spans="1:32" x14ac:dyDescent="0.2">
      <c r="A1118" t="s">
        <v>3487</v>
      </c>
      <c r="B1118" s="1">
        <v>45671</v>
      </c>
      <c r="D1118" t="s">
        <v>3487</v>
      </c>
      <c r="E1118" t="s">
        <v>31</v>
      </c>
      <c r="F1118" t="s">
        <v>3490</v>
      </c>
      <c r="G1118" t="s">
        <v>3491</v>
      </c>
      <c r="H1118" t="s">
        <v>34</v>
      </c>
      <c r="I1118">
        <v>346931474.47414601</v>
      </c>
      <c r="J1118">
        <v>1686.49</v>
      </c>
      <c r="K1118">
        <v>1680.95</v>
      </c>
      <c r="L1118">
        <v>1680.9549821799999</v>
      </c>
      <c r="M1118">
        <v>583176190490.86902</v>
      </c>
      <c r="N1118">
        <v>40</v>
      </c>
      <c r="O1118" t="s">
        <v>35</v>
      </c>
      <c r="P1118">
        <v>1</v>
      </c>
      <c r="R1118" t="s">
        <v>3484</v>
      </c>
      <c r="S1118" t="s">
        <v>3483</v>
      </c>
      <c r="W1118" t="s">
        <v>36</v>
      </c>
      <c r="X1118" t="s">
        <v>37</v>
      </c>
      <c r="Y1118" t="s">
        <v>38</v>
      </c>
      <c r="AD1118">
        <v>0</v>
      </c>
      <c r="AE1118" t="b">
        <f>ISNUMBER(MATCH(G1118,AUM!$C$6:$C$1451,0))</f>
        <v>0</v>
      </c>
      <c r="AF1118" t="b">
        <f>ISNUMBER(MATCH(G1118,AUM!$G$6:$G$240,0))</f>
        <v>0</v>
      </c>
    </row>
    <row r="1119" spans="1:32" x14ac:dyDescent="0.2">
      <c r="A1119" t="s">
        <v>3492</v>
      </c>
      <c r="B1119" s="1">
        <v>45671</v>
      </c>
      <c r="D1119" t="s">
        <v>3492</v>
      </c>
      <c r="E1119" t="s">
        <v>31</v>
      </c>
      <c r="F1119" t="s">
        <v>3493</v>
      </c>
      <c r="G1119" t="s">
        <v>3494</v>
      </c>
      <c r="H1119" t="s">
        <v>34</v>
      </c>
      <c r="J1119">
        <v>4876.75</v>
      </c>
      <c r="K1119">
        <v>4886.32</v>
      </c>
      <c r="L1119">
        <v>4886.31697472</v>
      </c>
      <c r="Q1119" t="s">
        <v>3495</v>
      </c>
      <c r="T1119">
        <v>0</v>
      </c>
      <c r="W1119" t="s">
        <v>36</v>
      </c>
      <c r="X1119" t="s">
        <v>69</v>
      </c>
      <c r="Y1119" t="s">
        <v>38</v>
      </c>
      <c r="AD1119">
        <v>0</v>
      </c>
      <c r="AE1119" t="b">
        <f>ISNUMBER(MATCH(G1119,AUM!$C$6:$C$1451,0))</f>
        <v>1</v>
      </c>
      <c r="AF1119" t="b">
        <f>ISNUMBER(MATCH(G1119,AUM!$G$6:$G$240,0))</f>
        <v>0</v>
      </c>
    </row>
    <row r="1120" spans="1:32" x14ac:dyDescent="0.2">
      <c r="A1120" t="s">
        <v>3496</v>
      </c>
      <c r="B1120" s="1">
        <v>45671</v>
      </c>
      <c r="D1120" t="s">
        <v>3496</v>
      </c>
      <c r="E1120" t="s">
        <v>31</v>
      </c>
      <c r="F1120" t="s">
        <v>3497</v>
      </c>
      <c r="G1120" t="s">
        <v>3498</v>
      </c>
      <c r="H1120" t="s">
        <v>34</v>
      </c>
      <c r="J1120">
        <v>4488.42</v>
      </c>
      <c r="K1120">
        <v>4497.22</v>
      </c>
      <c r="L1120">
        <v>4497.2223128100004</v>
      </c>
      <c r="Q1120" t="s">
        <v>3495</v>
      </c>
      <c r="U1120">
        <v>0</v>
      </c>
      <c r="W1120" t="s">
        <v>36</v>
      </c>
      <c r="X1120" t="s">
        <v>69</v>
      </c>
      <c r="Y1120" t="s">
        <v>38</v>
      </c>
      <c r="AD1120">
        <v>0</v>
      </c>
      <c r="AE1120" t="b">
        <f>ISNUMBER(MATCH(G1120,AUM!$C$6:$C$1451,0))</f>
        <v>1</v>
      </c>
      <c r="AF1120" t="b">
        <f>ISNUMBER(MATCH(G1120,AUM!$G$6:$G$240,0))</f>
        <v>0</v>
      </c>
    </row>
    <row r="1121" spans="1:32" x14ac:dyDescent="0.2">
      <c r="A1121" t="s">
        <v>3495</v>
      </c>
      <c r="B1121" s="1">
        <v>45671</v>
      </c>
      <c r="D1121" t="s">
        <v>3495</v>
      </c>
      <c r="E1121" t="s">
        <v>31</v>
      </c>
      <c r="F1121" t="s">
        <v>3499</v>
      </c>
      <c r="G1121" t="s">
        <v>3500</v>
      </c>
      <c r="H1121" t="s">
        <v>34</v>
      </c>
      <c r="I1121">
        <v>972425.096387572</v>
      </c>
      <c r="J1121">
        <v>3335.88</v>
      </c>
      <c r="K1121">
        <v>3342.42</v>
      </c>
      <c r="L1121">
        <v>3342.42493603</v>
      </c>
      <c r="M1121">
        <v>3250257890.5901999</v>
      </c>
      <c r="N1121">
        <v>275</v>
      </c>
      <c r="O1121" t="s">
        <v>35</v>
      </c>
      <c r="P1121">
        <v>1</v>
      </c>
      <c r="R1121" t="s">
        <v>3492</v>
      </c>
      <c r="S1121" t="s">
        <v>3496</v>
      </c>
      <c r="W1121" t="s">
        <v>36</v>
      </c>
      <c r="X1121" t="s">
        <v>37</v>
      </c>
      <c r="Y1121" t="s">
        <v>38</v>
      </c>
      <c r="AD1121">
        <v>0</v>
      </c>
      <c r="AE1121" t="b">
        <f>ISNUMBER(MATCH(G1121,AUM!$C$6:$C$1451,0))</f>
        <v>1</v>
      </c>
      <c r="AF1121" t="b">
        <f>ISNUMBER(MATCH(G1121,AUM!$G$6:$G$240,0))</f>
        <v>1</v>
      </c>
    </row>
    <row r="1122" spans="1:32" x14ac:dyDescent="0.2">
      <c r="A1122" t="s">
        <v>3501</v>
      </c>
      <c r="B1122" s="1">
        <v>45671</v>
      </c>
      <c r="D1122" t="s">
        <v>3501</v>
      </c>
      <c r="E1122" t="s">
        <v>31</v>
      </c>
      <c r="F1122" t="s">
        <v>3502</v>
      </c>
      <c r="G1122" t="s">
        <v>3503</v>
      </c>
      <c r="H1122" t="s">
        <v>34</v>
      </c>
      <c r="J1122">
        <v>3785.66</v>
      </c>
      <c r="K1122">
        <v>3759.01</v>
      </c>
      <c r="L1122">
        <v>3759.0070529499999</v>
      </c>
      <c r="Q1122" t="s">
        <v>3504</v>
      </c>
      <c r="T1122">
        <v>0</v>
      </c>
      <c r="W1122" t="s">
        <v>36</v>
      </c>
      <c r="X1122" t="s">
        <v>69</v>
      </c>
      <c r="Y1122" t="s">
        <v>38</v>
      </c>
      <c r="AD1122">
        <v>0</v>
      </c>
      <c r="AE1122" t="b">
        <f>ISNUMBER(MATCH(G1122,AUM!$C$6:$C$1451,0))</f>
        <v>0</v>
      </c>
      <c r="AF1122" t="b">
        <f>ISNUMBER(MATCH(G1122,AUM!$G$6:$G$240,0))</f>
        <v>0</v>
      </c>
    </row>
    <row r="1123" spans="1:32" x14ac:dyDescent="0.2">
      <c r="A1123" t="s">
        <v>3505</v>
      </c>
      <c r="B1123" s="1">
        <v>45671</v>
      </c>
      <c r="D1123" t="s">
        <v>3505</v>
      </c>
      <c r="E1123" t="s">
        <v>31</v>
      </c>
      <c r="F1123" t="s">
        <v>3506</v>
      </c>
      <c r="G1123" t="s">
        <v>3507</v>
      </c>
      <c r="H1123" t="s">
        <v>34</v>
      </c>
      <c r="J1123">
        <v>3385.28</v>
      </c>
      <c r="K1123">
        <v>3361.44</v>
      </c>
      <c r="L1123">
        <v>3361.4385034299999</v>
      </c>
      <c r="Q1123" t="s">
        <v>3504</v>
      </c>
      <c r="U1123">
        <v>0</v>
      </c>
      <c r="W1123" t="s">
        <v>36</v>
      </c>
      <c r="X1123" t="s">
        <v>69</v>
      </c>
      <c r="Y1123" t="s">
        <v>38</v>
      </c>
      <c r="AD1123">
        <v>0</v>
      </c>
      <c r="AE1123" t="b">
        <f>ISNUMBER(MATCH(G1123,AUM!$C$6:$C$1451,0))</f>
        <v>0</v>
      </c>
      <c r="AF1123" t="b">
        <f>ISNUMBER(MATCH(G1123,AUM!$G$6:$G$240,0))</f>
        <v>0</v>
      </c>
    </row>
    <row r="1124" spans="1:32" x14ac:dyDescent="0.2">
      <c r="A1124" t="s">
        <v>3504</v>
      </c>
      <c r="B1124" s="1">
        <v>45671</v>
      </c>
      <c r="D1124" t="s">
        <v>3504</v>
      </c>
      <c r="E1124" t="s">
        <v>31</v>
      </c>
      <c r="F1124" t="s">
        <v>3508</v>
      </c>
      <c r="G1124" t="s">
        <v>3509</v>
      </c>
      <c r="H1124" t="s">
        <v>34</v>
      </c>
      <c r="I1124">
        <v>920665.32633807603</v>
      </c>
      <c r="J1124">
        <v>2415.13</v>
      </c>
      <c r="K1124">
        <v>2398.12</v>
      </c>
      <c r="L1124">
        <v>2398.12261898</v>
      </c>
      <c r="M1124">
        <v>2207868343.6009998</v>
      </c>
      <c r="N1124">
        <v>60</v>
      </c>
      <c r="O1124" t="s">
        <v>35</v>
      </c>
      <c r="P1124">
        <v>1</v>
      </c>
      <c r="R1124" t="s">
        <v>3501</v>
      </c>
      <c r="S1124" t="s">
        <v>3505</v>
      </c>
      <c r="W1124" t="s">
        <v>36</v>
      </c>
      <c r="X1124" t="s">
        <v>37</v>
      </c>
      <c r="Y1124" t="s">
        <v>38</v>
      </c>
      <c r="AD1124">
        <v>0</v>
      </c>
      <c r="AE1124" t="b">
        <f>ISNUMBER(MATCH(G1124,AUM!$C$6:$C$1451,0))</f>
        <v>0</v>
      </c>
      <c r="AF1124" t="b">
        <f>ISNUMBER(MATCH(G1124,AUM!$G$6:$G$240,0))</f>
        <v>0</v>
      </c>
    </row>
    <row r="1125" spans="1:32" x14ac:dyDescent="0.2">
      <c r="A1125" t="s">
        <v>3510</v>
      </c>
      <c r="B1125" s="1">
        <v>45671</v>
      </c>
      <c r="D1125" t="s">
        <v>3510</v>
      </c>
      <c r="E1125" t="s">
        <v>31</v>
      </c>
      <c r="F1125" t="s">
        <v>3511</v>
      </c>
      <c r="G1125" t="s">
        <v>3512</v>
      </c>
      <c r="H1125" t="s">
        <v>34</v>
      </c>
      <c r="J1125">
        <v>3333.41</v>
      </c>
      <c r="K1125">
        <v>3329.08</v>
      </c>
      <c r="L1125">
        <v>3329.0787365800002</v>
      </c>
      <c r="Q1125" t="s">
        <v>3513</v>
      </c>
      <c r="U1125">
        <v>0</v>
      </c>
      <c r="W1125" t="s">
        <v>36</v>
      </c>
      <c r="X1125" t="s">
        <v>69</v>
      </c>
      <c r="Y1125" t="s">
        <v>38</v>
      </c>
      <c r="AD1125">
        <v>0</v>
      </c>
      <c r="AE1125" t="b">
        <f>ISNUMBER(MATCH(G1125,AUM!$C$6:$C$1451,0))</f>
        <v>1</v>
      </c>
      <c r="AF1125" t="b">
        <f>ISNUMBER(MATCH(G1125,AUM!$G$6:$G$240,0))</f>
        <v>0</v>
      </c>
    </row>
    <row r="1126" spans="1:32" x14ac:dyDescent="0.2">
      <c r="A1126" t="s">
        <v>3514</v>
      </c>
      <c r="B1126" s="1">
        <v>45671</v>
      </c>
      <c r="D1126" t="s">
        <v>3514</v>
      </c>
      <c r="E1126" t="s">
        <v>31</v>
      </c>
      <c r="F1126" t="s">
        <v>3515</v>
      </c>
      <c r="G1126" t="s">
        <v>3516</v>
      </c>
      <c r="H1126" t="s">
        <v>34</v>
      </c>
      <c r="J1126">
        <v>3753.21</v>
      </c>
      <c r="K1126">
        <v>3748.33</v>
      </c>
      <c r="L1126">
        <v>3748.3258305899999</v>
      </c>
      <c r="Q1126" t="s">
        <v>3513</v>
      </c>
      <c r="T1126">
        <v>0</v>
      </c>
      <c r="W1126" t="s">
        <v>36</v>
      </c>
      <c r="X1126" t="s">
        <v>69</v>
      </c>
      <c r="Y1126" t="s">
        <v>38</v>
      </c>
      <c r="AD1126">
        <v>0</v>
      </c>
      <c r="AE1126" t="b">
        <f>ISNUMBER(MATCH(G1126,AUM!$C$6:$C$1451,0))</f>
        <v>1</v>
      </c>
      <c r="AF1126" t="b">
        <f>ISNUMBER(MATCH(G1126,AUM!$G$6:$G$240,0))</f>
        <v>0</v>
      </c>
    </row>
    <row r="1127" spans="1:32" x14ac:dyDescent="0.2">
      <c r="A1127" t="s">
        <v>3513</v>
      </c>
      <c r="B1127" s="1">
        <v>45671</v>
      </c>
      <c r="D1127" t="s">
        <v>3513</v>
      </c>
      <c r="E1127" t="s">
        <v>31</v>
      </c>
      <c r="F1127" t="s">
        <v>3517</v>
      </c>
      <c r="G1127" t="s">
        <v>3518</v>
      </c>
      <c r="H1127" t="s">
        <v>34</v>
      </c>
      <c r="I1127">
        <v>984833.73833552399</v>
      </c>
      <c r="J1127">
        <v>2269.9299999999998</v>
      </c>
      <c r="K1127">
        <v>2266.98</v>
      </c>
      <c r="L1127">
        <v>2266.98294949</v>
      </c>
      <c r="M1127">
        <v>2232601292.8862</v>
      </c>
      <c r="N1127">
        <v>48</v>
      </c>
      <c r="O1127" t="s">
        <v>35</v>
      </c>
      <c r="P1127">
        <v>1</v>
      </c>
      <c r="R1127" t="s">
        <v>3514</v>
      </c>
      <c r="S1127" t="s">
        <v>3510</v>
      </c>
      <c r="W1127" t="s">
        <v>36</v>
      </c>
      <c r="X1127" t="s">
        <v>37</v>
      </c>
      <c r="Y1127" t="s">
        <v>38</v>
      </c>
      <c r="AD1127">
        <v>0</v>
      </c>
      <c r="AE1127" t="b">
        <f>ISNUMBER(MATCH(G1127,AUM!$C$6:$C$1451,0))</f>
        <v>1</v>
      </c>
      <c r="AF1127" t="b">
        <f>ISNUMBER(MATCH(G1127,AUM!$G$6:$G$240,0))</f>
        <v>1</v>
      </c>
    </row>
    <row r="1128" spans="1:32" x14ac:dyDescent="0.2">
      <c r="A1128" t="s">
        <v>3519</v>
      </c>
      <c r="B1128" s="1">
        <v>45671</v>
      </c>
      <c r="D1128" t="s">
        <v>3519</v>
      </c>
      <c r="E1128" t="s">
        <v>31</v>
      </c>
      <c r="F1128" t="s">
        <v>3520</v>
      </c>
      <c r="G1128" t="s">
        <v>3521</v>
      </c>
      <c r="H1128" t="s">
        <v>34</v>
      </c>
      <c r="J1128">
        <v>5019.24</v>
      </c>
      <c r="K1128">
        <v>5029.6099999999997</v>
      </c>
      <c r="L1128">
        <v>5029.6138294900002</v>
      </c>
      <c r="Q1128" t="s">
        <v>3522</v>
      </c>
      <c r="U1128">
        <v>0</v>
      </c>
      <c r="W1128" t="s">
        <v>36</v>
      </c>
      <c r="X1128" t="s">
        <v>69</v>
      </c>
      <c r="Y1128" t="s">
        <v>38</v>
      </c>
      <c r="AD1128">
        <v>0</v>
      </c>
      <c r="AE1128" t="b">
        <f>ISNUMBER(MATCH(G1128,AUM!$C$6:$C$1451,0))</f>
        <v>1</v>
      </c>
      <c r="AF1128" t="b">
        <f>ISNUMBER(MATCH(G1128,AUM!$G$6:$G$240,0))</f>
        <v>0</v>
      </c>
    </row>
    <row r="1129" spans="1:32" x14ac:dyDescent="0.2">
      <c r="A1129" t="s">
        <v>3523</v>
      </c>
      <c r="B1129" s="1">
        <v>45671</v>
      </c>
      <c r="D1129" t="s">
        <v>3523</v>
      </c>
      <c r="E1129" t="s">
        <v>31</v>
      </c>
      <c r="F1129" t="s">
        <v>3524</v>
      </c>
      <c r="G1129" t="s">
        <v>3525</v>
      </c>
      <c r="H1129" t="s">
        <v>34</v>
      </c>
      <c r="J1129">
        <v>5423.04</v>
      </c>
      <c r="K1129">
        <v>5434.25</v>
      </c>
      <c r="L1129">
        <v>5434.2458392199997</v>
      </c>
      <c r="Q1129" t="s">
        <v>3522</v>
      </c>
      <c r="T1129">
        <v>0</v>
      </c>
      <c r="W1129" t="s">
        <v>36</v>
      </c>
      <c r="X1129" t="s">
        <v>69</v>
      </c>
      <c r="Y1129" t="s">
        <v>38</v>
      </c>
      <c r="AD1129">
        <v>0</v>
      </c>
      <c r="AE1129" t="b">
        <f>ISNUMBER(MATCH(G1129,AUM!$C$6:$C$1451,0))</f>
        <v>1</v>
      </c>
      <c r="AF1129" t="b">
        <f>ISNUMBER(MATCH(G1129,AUM!$G$6:$G$240,0))</f>
        <v>0</v>
      </c>
    </row>
    <row r="1130" spans="1:32" x14ac:dyDescent="0.2">
      <c r="A1130" t="s">
        <v>3522</v>
      </c>
      <c r="B1130" s="1">
        <v>45671</v>
      </c>
      <c r="D1130" t="s">
        <v>3522</v>
      </c>
      <c r="E1130" t="s">
        <v>31</v>
      </c>
      <c r="F1130" t="s">
        <v>3526</v>
      </c>
      <c r="G1130" t="s">
        <v>3527</v>
      </c>
      <c r="H1130" t="s">
        <v>34</v>
      </c>
      <c r="I1130">
        <v>999525.87229688</v>
      </c>
      <c r="J1130">
        <v>3769.05</v>
      </c>
      <c r="K1130">
        <v>3776.84</v>
      </c>
      <c r="L1130">
        <v>3776.8389856200001</v>
      </c>
      <c r="M1130">
        <v>3775048281.6226101</v>
      </c>
      <c r="N1130">
        <v>244</v>
      </c>
      <c r="O1130" t="s">
        <v>35</v>
      </c>
      <c r="P1130">
        <v>1</v>
      </c>
      <c r="R1130" t="s">
        <v>3523</v>
      </c>
      <c r="S1130" t="s">
        <v>3519</v>
      </c>
      <c r="W1130" t="s">
        <v>36</v>
      </c>
      <c r="X1130" t="s">
        <v>37</v>
      </c>
      <c r="Y1130" t="s">
        <v>38</v>
      </c>
      <c r="AD1130">
        <v>0</v>
      </c>
      <c r="AE1130" t="b">
        <f>ISNUMBER(MATCH(G1130,AUM!$C$6:$C$1451,0))</f>
        <v>1</v>
      </c>
      <c r="AF1130" t="b">
        <f>ISNUMBER(MATCH(G1130,AUM!$G$6:$G$240,0))</f>
        <v>1</v>
      </c>
    </row>
    <row r="1131" spans="1:32" x14ac:dyDescent="0.2">
      <c r="A1131" t="s">
        <v>3528</v>
      </c>
      <c r="B1131" s="1">
        <v>45671</v>
      </c>
      <c r="D1131" t="s">
        <v>3528</v>
      </c>
      <c r="E1131" t="s">
        <v>31</v>
      </c>
      <c r="F1131" t="s">
        <v>3529</v>
      </c>
      <c r="G1131" t="s">
        <v>3530</v>
      </c>
      <c r="H1131" t="s">
        <v>34</v>
      </c>
      <c r="J1131">
        <v>2460.1999999999998</v>
      </c>
      <c r="K1131">
        <v>2453.37</v>
      </c>
      <c r="L1131">
        <v>2453.3714130399999</v>
      </c>
      <c r="Q1131" t="s">
        <v>3531</v>
      </c>
      <c r="U1131">
        <v>0</v>
      </c>
      <c r="W1131" t="s">
        <v>36</v>
      </c>
      <c r="X1131" t="s">
        <v>69</v>
      </c>
      <c r="Y1131" t="s">
        <v>38</v>
      </c>
      <c r="AD1131">
        <v>0</v>
      </c>
      <c r="AE1131" t="b">
        <f>ISNUMBER(MATCH(G1131,AUM!$C$6:$C$1451,0))</f>
        <v>0</v>
      </c>
      <c r="AF1131" t="b">
        <f>ISNUMBER(MATCH(G1131,AUM!$G$6:$G$240,0))</f>
        <v>0</v>
      </c>
    </row>
    <row r="1132" spans="1:32" x14ac:dyDescent="0.2">
      <c r="A1132" t="s">
        <v>3532</v>
      </c>
      <c r="B1132" s="1">
        <v>45671</v>
      </c>
      <c r="D1132" t="s">
        <v>3532</v>
      </c>
      <c r="E1132" t="s">
        <v>31</v>
      </c>
      <c r="F1132" t="s">
        <v>3533</v>
      </c>
      <c r="G1132" t="s">
        <v>3534</v>
      </c>
      <c r="H1132" t="s">
        <v>34</v>
      </c>
      <c r="J1132">
        <v>2839.85</v>
      </c>
      <c r="K1132">
        <v>2831.97</v>
      </c>
      <c r="L1132">
        <v>2831.9672644000002</v>
      </c>
      <c r="Q1132" t="s">
        <v>3531</v>
      </c>
      <c r="T1132">
        <v>0</v>
      </c>
      <c r="W1132" t="s">
        <v>36</v>
      </c>
      <c r="X1132" t="s">
        <v>69</v>
      </c>
      <c r="Y1132" t="s">
        <v>38</v>
      </c>
      <c r="AD1132">
        <v>0</v>
      </c>
      <c r="AE1132" t="b">
        <f>ISNUMBER(MATCH(G1132,AUM!$C$6:$C$1451,0))</f>
        <v>0</v>
      </c>
      <c r="AF1132" t="b">
        <f>ISNUMBER(MATCH(G1132,AUM!$G$6:$G$240,0))</f>
        <v>0</v>
      </c>
    </row>
    <row r="1133" spans="1:32" x14ac:dyDescent="0.2">
      <c r="A1133" t="s">
        <v>3531</v>
      </c>
      <c r="B1133" s="1">
        <v>45671</v>
      </c>
      <c r="D1133" t="s">
        <v>3531</v>
      </c>
      <c r="E1133" t="s">
        <v>31</v>
      </c>
      <c r="F1133" t="s">
        <v>3535</v>
      </c>
      <c r="G1133" t="s">
        <v>3536</v>
      </c>
      <c r="H1133" t="s">
        <v>34</v>
      </c>
      <c r="I1133">
        <v>920492.27151890099</v>
      </c>
      <c r="J1133">
        <v>1625.17</v>
      </c>
      <c r="K1133">
        <v>1620.66</v>
      </c>
      <c r="L1133">
        <v>1620.6601832900001</v>
      </c>
      <c r="M1133">
        <v>1491805173.4749999</v>
      </c>
      <c r="N1133">
        <v>29</v>
      </c>
      <c r="O1133" t="s">
        <v>35</v>
      </c>
      <c r="P1133">
        <v>1</v>
      </c>
      <c r="R1133" t="s">
        <v>3532</v>
      </c>
      <c r="S1133" t="s">
        <v>3528</v>
      </c>
      <c r="W1133" t="s">
        <v>36</v>
      </c>
      <c r="X1133" t="s">
        <v>37</v>
      </c>
      <c r="Y1133" t="s">
        <v>38</v>
      </c>
      <c r="AD1133">
        <v>0</v>
      </c>
      <c r="AE1133" t="b">
        <f>ISNUMBER(MATCH(G1133,AUM!$C$6:$C$1451,0))</f>
        <v>1</v>
      </c>
      <c r="AF1133" t="b">
        <f>ISNUMBER(MATCH(G1133,AUM!$G$6:$G$240,0))</f>
        <v>1</v>
      </c>
    </row>
    <row r="1134" spans="1:32" x14ac:dyDescent="0.2">
      <c r="A1134" t="s">
        <v>3537</v>
      </c>
      <c r="B1134" s="1">
        <v>45671</v>
      </c>
      <c r="D1134" t="s">
        <v>3537</v>
      </c>
      <c r="E1134" t="s">
        <v>31</v>
      </c>
      <c r="F1134" t="s">
        <v>3538</v>
      </c>
      <c r="G1134" t="s">
        <v>3539</v>
      </c>
      <c r="H1134" t="s">
        <v>34</v>
      </c>
      <c r="J1134">
        <v>3785.43</v>
      </c>
      <c r="K1134">
        <v>3783.61</v>
      </c>
      <c r="L1134">
        <v>3783.6108513099998</v>
      </c>
      <c r="Q1134" t="s">
        <v>3540</v>
      </c>
      <c r="U1134">
        <v>0</v>
      </c>
      <c r="W1134" t="s">
        <v>36</v>
      </c>
      <c r="X1134" t="s">
        <v>69</v>
      </c>
      <c r="Y1134" t="s">
        <v>38</v>
      </c>
      <c r="AD1134">
        <v>0</v>
      </c>
      <c r="AE1134" t="b">
        <f>ISNUMBER(MATCH(G1134,AUM!$C$6:$C$1451,0))</f>
        <v>1</v>
      </c>
      <c r="AF1134" t="b">
        <f>ISNUMBER(MATCH(G1134,AUM!$G$6:$G$240,0))</f>
        <v>0</v>
      </c>
    </row>
    <row r="1135" spans="1:32" x14ac:dyDescent="0.2">
      <c r="A1135" t="s">
        <v>3541</v>
      </c>
      <c r="B1135" s="1">
        <v>45671</v>
      </c>
      <c r="D1135" t="s">
        <v>3541</v>
      </c>
      <c r="E1135" t="s">
        <v>31</v>
      </c>
      <c r="F1135" t="s">
        <v>3542</v>
      </c>
      <c r="G1135" t="s">
        <v>3543</v>
      </c>
      <c r="H1135" t="s">
        <v>34</v>
      </c>
      <c r="J1135">
        <v>4212.8900000000003</v>
      </c>
      <c r="K1135">
        <v>4210.87</v>
      </c>
      <c r="L1135">
        <v>4210.8695901999999</v>
      </c>
      <c r="Q1135" t="s">
        <v>3540</v>
      </c>
      <c r="T1135">
        <v>0</v>
      </c>
      <c r="W1135" t="s">
        <v>36</v>
      </c>
      <c r="X1135" t="s">
        <v>69</v>
      </c>
      <c r="Y1135" t="s">
        <v>38</v>
      </c>
      <c r="AD1135">
        <v>0</v>
      </c>
      <c r="AE1135" t="b">
        <f>ISNUMBER(MATCH(G1135,AUM!$C$6:$C$1451,0))</f>
        <v>1</v>
      </c>
      <c r="AF1135" t="b">
        <f>ISNUMBER(MATCH(G1135,AUM!$G$6:$G$240,0))</f>
        <v>0</v>
      </c>
    </row>
    <row r="1136" spans="1:32" x14ac:dyDescent="0.2">
      <c r="A1136" t="s">
        <v>3540</v>
      </c>
      <c r="B1136" s="1">
        <v>45671</v>
      </c>
      <c r="D1136" t="s">
        <v>3540</v>
      </c>
      <c r="E1136" t="s">
        <v>31</v>
      </c>
      <c r="F1136" t="s">
        <v>3544</v>
      </c>
      <c r="G1136" t="s">
        <v>3545</v>
      </c>
      <c r="H1136" t="s">
        <v>34</v>
      </c>
      <c r="I1136">
        <v>976647.71357935295</v>
      </c>
      <c r="J1136">
        <v>2607.56</v>
      </c>
      <c r="K1136">
        <v>2606.31</v>
      </c>
      <c r="L1136">
        <v>2606.3097476900002</v>
      </c>
      <c r="M1136">
        <v>2545446455.9574699</v>
      </c>
      <c r="N1136">
        <v>114</v>
      </c>
      <c r="O1136" t="s">
        <v>35</v>
      </c>
      <c r="P1136">
        <v>1</v>
      </c>
      <c r="R1136" t="s">
        <v>3541</v>
      </c>
      <c r="S1136" t="s">
        <v>3537</v>
      </c>
      <c r="W1136" t="s">
        <v>36</v>
      </c>
      <c r="X1136" t="s">
        <v>37</v>
      </c>
      <c r="Y1136" t="s">
        <v>38</v>
      </c>
      <c r="AD1136">
        <v>0</v>
      </c>
      <c r="AE1136" t="b">
        <f>ISNUMBER(MATCH(G1136,AUM!$C$6:$C$1451,0))</f>
        <v>1</v>
      </c>
      <c r="AF1136" t="b">
        <f>ISNUMBER(MATCH(G1136,AUM!$G$6:$G$240,0))</f>
        <v>1</v>
      </c>
    </row>
    <row r="1137" spans="1:32" x14ac:dyDescent="0.2">
      <c r="A1137" t="s">
        <v>3546</v>
      </c>
      <c r="B1137" s="1">
        <v>45671</v>
      </c>
      <c r="D1137" t="s">
        <v>3546</v>
      </c>
      <c r="E1137" t="s">
        <v>31</v>
      </c>
      <c r="F1137" t="s">
        <v>3547</v>
      </c>
      <c r="G1137" t="s">
        <v>3548</v>
      </c>
      <c r="H1137" t="s">
        <v>34</v>
      </c>
      <c r="J1137">
        <v>1465.14</v>
      </c>
      <c r="K1137">
        <v>1456.56</v>
      </c>
      <c r="L1137">
        <v>1456.5572020699999</v>
      </c>
      <c r="Q1137" t="s">
        <v>3549</v>
      </c>
      <c r="W1137" t="s">
        <v>36</v>
      </c>
      <c r="X1137" t="s">
        <v>878</v>
      </c>
      <c r="Y1137" t="s">
        <v>38</v>
      </c>
      <c r="Z1137" t="s">
        <v>910</v>
      </c>
      <c r="AA1137">
        <v>0.04</v>
      </c>
      <c r="AB1137">
        <v>1</v>
      </c>
      <c r="AC1137">
        <v>365</v>
      </c>
      <c r="AD1137">
        <v>0</v>
      </c>
      <c r="AE1137" t="b">
        <f>ISNUMBER(MATCH(G1137,AUM!$C$6:$C$1451,0))</f>
        <v>1</v>
      </c>
      <c r="AF1137" t="b">
        <f>ISNUMBER(MATCH(G1137,AUM!$G$6:$G$240,0))</f>
        <v>0</v>
      </c>
    </row>
    <row r="1138" spans="1:32" x14ac:dyDescent="0.2">
      <c r="A1138" t="s">
        <v>3550</v>
      </c>
      <c r="B1138" s="1">
        <v>45671</v>
      </c>
      <c r="D1138" t="s">
        <v>3550</v>
      </c>
      <c r="E1138" t="s">
        <v>31</v>
      </c>
      <c r="F1138" t="s">
        <v>3551</v>
      </c>
      <c r="G1138" t="s">
        <v>3552</v>
      </c>
      <c r="H1138" t="s">
        <v>34</v>
      </c>
      <c r="J1138">
        <v>1702.85</v>
      </c>
      <c r="K1138">
        <v>1693.01</v>
      </c>
      <c r="L1138">
        <v>1693.0078926399999</v>
      </c>
      <c r="Q1138" t="s">
        <v>3549</v>
      </c>
      <c r="W1138" t="s">
        <v>36</v>
      </c>
      <c r="X1138" t="s">
        <v>878</v>
      </c>
      <c r="Y1138" t="s">
        <v>38</v>
      </c>
      <c r="Z1138" t="s">
        <v>910</v>
      </c>
      <c r="AA1138">
        <v>0.03</v>
      </c>
      <c r="AB1138">
        <v>1</v>
      </c>
      <c r="AC1138">
        <v>365</v>
      </c>
      <c r="AD1138">
        <v>0</v>
      </c>
      <c r="AE1138" t="b">
        <f>ISNUMBER(MATCH(G1138,AUM!$C$6:$C$1451,0))</f>
        <v>1</v>
      </c>
      <c r="AF1138" t="b">
        <f>ISNUMBER(MATCH(G1138,AUM!$G$6:$G$240,0))</f>
        <v>0</v>
      </c>
    </row>
    <row r="1139" spans="1:32" x14ac:dyDescent="0.2">
      <c r="A1139" t="s">
        <v>3553</v>
      </c>
      <c r="B1139" s="1">
        <v>45671</v>
      </c>
      <c r="D1139" t="s">
        <v>3553</v>
      </c>
      <c r="E1139" t="s">
        <v>31</v>
      </c>
      <c r="F1139" t="s">
        <v>3554</v>
      </c>
      <c r="G1139" t="s">
        <v>3555</v>
      </c>
      <c r="H1139" t="s">
        <v>34</v>
      </c>
      <c r="J1139">
        <v>3106.57</v>
      </c>
      <c r="K1139">
        <v>3089.39</v>
      </c>
      <c r="L1139">
        <v>3089.3900497700001</v>
      </c>
      <c r="Q1139" t="s">
        <v>3556</v>
      </c>
      <c r="T1139">
        <v>0</v>
      </c>
      <c r="W1139" t="s">
        <v>36</v>
      </c>
      <c r="X1139" t="s">
        <v>69</v>
      </c>
      <c r="Y1139" t="s">
        <v>38</v>
      </c>
      <c r="AD1139">
        <v>0</v>
      </c>
      <c r="AE1139" t="b">
        <f>ISNUMBER(MATCH(G1139,AUM!$C$6:$C$1451,0))</f>
        <v>1</v>
      </c>
      <c r="AF1139" t="b">
        <f>ISNUMBER(MATCH(G1139,AUM!$G$6:$G$240,0))</f>
        <v>0</v>
      </c>
    </row>
    <row r="1140" spans="1:32" x14ac:dyDescent="0.2">
      <c r="A1140" t="s">
        <v>3549</v>
      </c>
      <c r="B1140" s="1">
        <v>45671</v>
      </c>
      <c r="D1140" t="s">
        <v>3549</v>
      </c>
      <c r="E1140" t="s">
        <v>31</v>
      </c>
      <c r="F1140" t="s">
        <v>3557</v>
      </c>
      <c r="G1140" t="s">
        <v>3558</v>
      </c>
      <c r="H1140" t="s">
        <v>34</v>
      </c>
      <c r="J1140">
        <v>2673.26</v>
      </c>
      <c r="K1140">
        <v>2658.48</v>
      </c>
      <c r="L1140">
        <v>2658.47884449</v>
      </c>
      <c r="Q1140" t="s">
        <v>3556</v>
      </c>
      <c r="U1140">
        <v>0</v>
      </c>
      <c r="W1140" t="s">
        <v>36</v>
      </c>
      <c r="X1140" t="s">
        <v>69</v>
      </c>
      <c r="Y1140" t="s">
        <v>38</v>
      </c>
      <c r="AD1140">
        <v>0</v>
      </c>
      <c r="AE1140" t="b">
        <f>ISNUMBER(MATCH(G1140,AUM!$C$6:$C$1451,0))</f>
        <v>1</v>
      </c>
      <c r="AF1140" t="b">
        <f>ISNUMBER(MATCH(G1140,AUM!$G$6:$G$240,0))</f>
        <v>0</v>
      </c>
    </row>
    <row r="1141" spans="1:32" x14ac:dyDescent="0.2">
      <c r="A1141" t="s">
        <v>3556</v>
      </c>
      <c r="B1141" s="1">
        <v>45671</v>
      </c>
      <c r="D1141" t="s">
        <v>3556</v>
      </c>
      <c r="E1141" t="s">
        <v>31</v>
      </c>
      <c r="F1141" t="s">
        <v>3559</v>
      </c>
      <c r="G1141" t="s">
        <v>3560</v>
      </c>
      <c r="H1141" t="s">
        <v>34</v>
      </c>
      <c r="I1141">
        <v>997711.21238325199</v>
      </c>
      <c r="J1141">
        <v>2020.93</v>
      </c>
      <c r="K1141">
        <v>2009.75</v>
      </c>
      <c r="L1141">
        <v>2009.7480722800001</v>
      </c>
      <c r="M1141">
        <v>2005148185.78</v>
      </c>
      <c r="N1141">
        <v>20</v>
      </c>
      <c r="O1141" t="s">
        <v>3561</v>
      </c>
      <c r="P1141">
        <v>1</v>
      </c>
      <c r="R1141" t="s">
        <v>3553</v>
      </c>
      <c r="S1141" t="s">
        <v>3549</v>
      </c>
      <c r="W1141" t="s">
        <v>36</v>
      </c>
      <c r="X1141" t="s">
        <v>37</v>
      </c>
      <c r="Y1141" t="s">
        <v>38</v>
      </c>
      <c r="AD1141">
        <v>0</v>
      </c>
      <c r="AE1141" t="b">
        <f>ISNUMBER(MATCH(G1141,AUM!$C$6:$C$1451,0))</f>
        <v>1</v>
      </c>
      <c r="AF1141" t="b">
        <f>ISNUMBER(MATCH(G1141,AUM!$G$6:$G$240,0))</f>
        <v>1</v>
      </c>
    </row>
    <row r="1142" spans="1:32" x14ac:dyDescent="0.2">
      <c r="A1142" t="s">
        <v>3562</v>
      </c>
      <c r="B1142" s="1">
        <v>45671</v>
      </c>
      <c r="D1142" t="s">
        <v>3562</v>
      </c>
      <c r="E1142" t="s">
        <v>31</v>
      </c>
      <c r="F1142" t="s">
        <v>3563</v>
      </c>
      <c r="G1142" t="s">
        <v>3564</v>
      </c>
      <c r="H1142" t="s">
        <v>34</v>
      </c>
      <c r="J1142">
        <v>1837.04</v>
      </c>
      <c r="K1142">
        <v>1825.93</v>
      </c>
      <c r="L1142">
        <v>1825.9297319899999</v>
      </c>
      <c r="Q1142" t="s">
        <v>3565</v>
      </c>
      <c r="W1142" t="s">
        <v>36</v>
      </c>
      <c r="X1142" t="s">
        <v>878</v>
      </c>
      <c r="Y1142" t="s">
        <v>38</v>
      </c>
      <c r="Z1142" t="s">
        <v>910</v>
      </c>
      <c r="AA1142">
        <v>0.05</v>
      </c>
      <c r="AB1142">
        <v>1</v>
      </c>
      <c r="AC1142">
        <v>365</v>
      </c>
      <c r="AD1142">
        <v>0</v>
      </c>
      <c r="AE1142" t="b">
        <f>ISNUMBER(MATCH(G1142,AUM!$C$6:$C$1451,0))</f>
        <v>1</v>
      </c>
      <c r="AF1142" t="b">
        <f>ISNUMBER(MATCH(G1142,AUM!$G$6:$G$240,0))</f>
        <v>0</v>
      </c>
    </row>
    <row r="1143" spans="1:32" x14ac:dyDescent="0.2">
      <c r="A1143" t="s">
        <v>3566</v>
      </c>
      <c r="B1143" s="1">
        <v>45671</v>
      </c>
      <c r="D1143" t="s">
        <v>3566</v>
      </c>
      <c r="E1143" t="s">
        <v>31</v>
      </c>
      <c r="F1143" t="s">
        <v>3567</v>
      </c>
      <c r="G1143" t="s">
        <v>3568</v>
      </c>
      <c r="H1143" t="s">
        <v>34</v>
      </c>
      <c r="J1143">
        <v>2135.12</v>
      </c>
      <c r="K1143">
        <v>2122.39</v>
      </c>
      <c r="L1143">
        <v>2122.3881146399999</v>
      </c>
      <c r="Q1143" t="s">
        <v>3565</v>
      </c>
      <c r="W1143" t="s">
        <v>36</v>
      </c>
      <c r="X1143" t="s">
        <v>878</v>
      </c>
      <c r="Y1143" t="s">
        <v>38</v>
      </c>
      <c r="Z1143" t="s">
        <v>910</v>
      </c>
      <c r="AA1143">
        <v>0.04</v>
      </c>
      <c r="AB1143">
        <v>1</v>
      </c>
      <c r="AC1143">
        <v>365</v>
      </c>
      <c r="AD1143">
        <v>0</v>
      </c>
      <c r="AE1143" t="b">
        <f>ISNUMBER(MATCH(G1143,AUM!$C$6:$C$1451,0))</f>
        <v>1</v>
      </c>
      <c r="AF1143" t="b">
        <f>ISNUMBER(MATCH(G1143,AUM!$G$6:$G$240,0))</f>
        <v>0</v>
      </c>
    </row>
    <row r="1144" spans="1:32" x14ac:dyDescent="0.2">
      <c r="A1144" t="s">
        <v>3569</v>
      </c>
      <c r="B1144" s="1">
        <v>45671</v>
      </c>
      <c r="D1144" t="s">
        <v>3569</v>
      </c>
      <c r="E1144" t="s">
        <v>31</v>
      </c>
      <c r="F1144" t="s">
        <v>3570</v>
      </c>
      <c r="G1144" t="s">
        <v>3571</v>
      </c>
      <c r="H1144" t="s">
        <v>34</v>
      </c>
      <c r="J1144">
        <v>4341.07</v>
      </c>
      <c r="K1144">
        <v>4316.6099999999997</v>
      </c>
      <c r="L1144">
        <v>4316.6078789499998</v>
      </c>
      <c r="Q1144" t="s">
        <v>3572</v>
      </c>
      <c r="T1144">
        <v>0.24025021395505999</v>
      </c>
      <c r="V1144" t="s">
        <v>79</v>
      </c>
      <c r="W1144" t="s">
        <v>36</v>
      </c>
      <c r="X1144" t="s">
        <v>69</v>
      </c>
      <c r="Y1144" t="s">
        <v>38</v>
      </c>
      <c r="AD1144">
        <v>0</v>
      </c>
      <c r="AE1144" t="b">
        <f>ISNUMBER(MATCH(G1144,AUM!$C$6:$C$1451,0))</f>
        <v>1</v>
      </c>
      <c r="AF1144" t="b">
        <f>ISNUMBER(MATCH(G1144,AUM!$G$6:$G$240,0))</f>
        <v>0</v>
      </c>
    </row>
    <row r="1145" spans="1:32" x14ac:dyDescent="0.2">
      <c r="A1145" t="s">
        <v>3565</v>
      </c>
      <c r="B1145" s="1">
        <v>45671</v>
      </c>
      <c r="D1145" t="s">
        <v>3565</v>
      </c>
      <c r="E1145" t="s">
        <v>31</v>
      </c>
      <c r="F1145" t="s">
        <v>3573</v>
      </c>
      <c r="G1145" t="s">
        <v>3574</v>
      </c>
      <c r="H1145" t="s">
        <v>34</v>
      </c>
      <c r="J1145">
        <v>3895.91</v>
      </c>
      <c r="K1145">
        <v>3873.95</v>
      </c>
      <c r="L1145">
        <v>3873.9524043599999</v>
      </c>
      <c r="Q1145" t="s">
        <v>3572</v>
      </c>
      <c r="U1145">
        <v>0.18018766046629001</v>
      </c>
      <c r="V1145" t="s">
        <v>79</v>
      </c>
      <c r="W1145" t="s">
        <v>36</v>
      </c>
      <c r="X1145" t="s">
        <v>69</v>
      </c>
      <c r="Y1145" t="s">
        <v>38</v>
      </c>
      <c r="AD1145">
        <v>0</v>
      </c>
      <c r="AE1145" t="b">
        <f>ISNUMBER(MATCH(G1145,AUM!$C$6:$C$1451,0))</f>
        <v>1</v>
      </c>
      <c r="AF1145" t="b">
        <f>ISNUMBER(MATCH(G1145,AUM!$G$6:$G$240,0))</f>
        <v>0</v>
      </c>
    </row>
    <row r="1146" spans="1:32" x14ac:dyDescent="0.2">
      <c r="A1146" t="s">
        <v>3572</v>
      </c>
      <c r="B1146" s="1">
        <v>45671</v>
      </c>
      <c r="D1146" t="s">
        <v>3572</v>
      </c>
      <c r="E1146" t="s">
        <v>31</v>
      </c>
      <c r="F1146" t="s">
        <v>3575</v>
      </c>
      <c r="G1146" t="s">
        <v>3576</v>
      </c>
      <c r="H1146" t="s">
        <v>34</v>
      </c>
      <c r="I1146">
        <v>935433.08994531096</v>
      </c>
      <c r="J1146">
        <v>2808.5</v>
      </c>
      <c r="K1146">
        <v>2792.68</v>
      </c>
      <c r="L1146">
        <v>2792.6761037299998</v>
      </c>
      <c r="M1146">
        <v>2612361636.9320002</v>
      </c>
      <c r="N1146">
        <v>40</v>
      </c>
      <c r="O1146" t="s">
        <v>35</v>
      </c>
      <c r="P1146">
        <v>1</v>
      </c>
      <c r="R1146" t="s">
        <v>3569</v>
      </c>
      <c r="S1146" t="s">
        <v>3565</v>
      </c>
      <c r="W1146" t="s">
        <v>36</v>
      </c>
      <c r="X1146" t="s">
        <v>37</v>
      </c>
      <c r="Y1146" t="s">
        <v>38</v>
      </c>
      <c r="AD1146">
        <v>0</v>
      </c>
      <c r="AE1146" t="b">
        <f>ISNUMBER(MATCH(G1146,AUM!$C$6:$C$1451,0))</f>
        <v>1</v>
      </c>
      <c r="AF1146" t="b">
        <f>ISNUMBER(MATCH(G1146,AUM!$G$6:$G$240,0))</f>
        <v>1</v>
      </c>
    </row>
    <row r="1147" spans="1:32" x14ac:dyDescent="0.2">
      <c r="A1147" t="s">
        <v>3577</v>
      </c>
      <c r="B1147" s="1">
        <v>45671</v>
      </c>
      <c r="D1147" t="s">
        <v>3577</v>
      </c>
      <c r="E1147" t="s">
        <v>31</v>
      </c>
      <c r="F1147" t="s">
        <v>3578</v>
      </c>
      <c r="G1147" t="s">
        <v>3579</v>
      </c>
      <c r="H1147" t="s">
        <v>34</v>
      </c>
      <c r="J1147">
        <v>1642.34</v>
      </c>
      <c r="K1147">
        <v>1631.9</v>
      </c>
      <c r="L1147">
        <v>1631.9002551200001</v>
      </c>
      <c r="Q1147" t="s">
        <v>3580</v>
      </c>
      <c r="W1147" t="s">
        <v>36</v>
      </c>
      <c r="X1147" t="s">
        <v>878</v>
      </c>
      <c r="Y1147" t="s">
        <v>38</v>
      </c>
      <c r="Z1147" t="s">
        <v>910</v>
      </c>
      <c r="AA1147">
        <v>0.05</v>
      </c>
      <c r="AB1147">
        <v>1</v>
      </c>
      <c r="AC1147">
        <v>365</v>
      </c>
      <c r="AD1147">
        <v>0</v>
      </c>
      <c r="AE1147" t="b">
        <f>ISNUMBER(MATCH(G1147,AUM!$C$6:$C$1451,0))</f>
        <v>1</v>
      </c>
      <c r="AF1147" t="b">
        <f>ISNUMBER(MATCH(G1147,AUM!$G$6:$G$240,0))</f>
        <v>0</v>
      </c>
    </row>
    <row r="1148" spans="1:32" x14ac:dyDescent="0.2">
      <c r="A1148" t="s">
        <v>3581</v>
      </c>
      <c r="B1148" s="1">
        <v>45671</v>
      </c>
      <c r="D1148" t="s">
        <v>3581</v>
      </c>
      <c r="E1148" t="s">
        <v>31</v>
      </c>
      <c r="F1148" t="s">
        <v>3582</v>
      </c>
      <c r="G1148" t="s">
        <v>3583</v>
      </c>
      <c r="H1148" t="s">
        <v>34</v>
      </c>
      <c r="J1148">
        <v>1908.84</v>
      </c>
      <c r="K1148">
        <v>1896.87</v>
      </c>
      <c r="L1148">
        <v>1896.8711015900001</v>
      </c>
      <c r="Q1148" t="s">
        <v>3580</v>
      </c>
      <c r="W1148" t="s">
        <v>36</v>
      </c>
      <c r="X1148" t="s">
        <v>878</v>
      </c>
      <c r="Y1148" t="s">
        <v>38</v>
      </c>
      <c r="Z1148" t="s">
        <v>910</v>
      </c>
      <c r="AA1148">
        <v>0.04</v>
      </c>
      <c r="AB1148">
        <v>1</v>
      </c>
      <c r="AC1148">
        <v>365</v>
      </c>
      <c r="AD1148">
        <v>0</v>
      </c>
      <c r="AE1148" t="b">
        <f>ISNUMBER(MATCH(G1148,AUM!$C$6:$C$1451,0))</f>
        <v>1</v>
      </c>
      <c r="AF1148" t="b">
        <f>ISNUMBER(MATCH(G1148,AUM!$G$6:$G$240,0))</f>
        <v>0</v>
      </c>
    </row>
    <row r="1149" spans="1:32" x14ac:dyDescent="0.2">
      <c r="A1149" t="s">
        <v>3584</v>
      </c>
      <c r="B1149" s="1">
        <v>45671</v>
      </c>
      <c r="D1149" t="s">
        <v>3584</v>
      </c>
      <c r="E1149" t="s">
        <v>31</v>
      </c>
      <c r="F1149" t="s">
        <v>3585</v>
      </c>
      <c r="G1149" t="s">
        <v>3586</v>
      </c>
      <c r="H1149" t="s">
        <v>34</v>
      </c>
      <c r="J1149">
        <v>3878.78</v>
      </c>
      <c r="K1149">
        <v>3855.72</v>
      </c>
      <c r="L1149">
        <v>3855.72331794</v>
      </c>
      <c r="Q1149" t="s">
        <v>3587</v>
      </c>
      <c r="T1149">
        <v>0.21823193701672999</v>
      </c>
      <c r="V1149" t="s">
        <v>79</v>
      </c>
      <c r="W1149" t="s">
        <v>36</v>
      </c>
      <c r="X1149" t="s">
        <v>69</v>
      </c>
      <c r="Y1149" t="s">
        <v>38</v>
      </c>
      <c r="AD1149">
        <v>0</v>
      </c>
      <c r="AE1149" t="b">
        <f>ISNUMBER(MATCH(G1149,AUM!$C$6:$C$1451,0))</f>
        <v>1</v>
      </c>
      <c r="AF1149" t="b">
        <f>ISNUMBER(MATCH(G1149,AUM!$G$6:$G$240,0))</f>
        <v>0</v>
      </c>
    </row>
    <row r="1150" spans="1:32" x14ac:dyDescent="0.2">
      <c r="A1150" t="s">
        <v>3580</v>
      </c>
      <c r="B1150" s="1">
        <v>45671</v>
      </c>
      <c r="D1150" t="s">
        <v>3580</v>
      </c>
      <c r="E1150" t="s">
        <v>31</v>
      </c>
      <c r="F1150" t="s">
        <v>3588</v>
      </c>
      <c r="G1150" t="s">
        <v>3589</v>
      </c>
      <c r="H1150" t="s">
        <v>34</v>
      </c>
      <c r="J1150">
        <v>3483.14</v>
      </c>
      <c r="K1150">
        <v>3462.43</v>
      </c>
      <c r="L1150">
        <v>3462.4311924200001</v>
      </c>
      <c r="Q1150" t="s">
        <v>3587</v>
      </c>
      <c r="U1150">
        <v>0.16367395276255001</v>
      </c>
      <c r="V1150" t="s">
        <v>79</v>
      </c>
      <c r="W1150" t="s">
        <v>36</v>
      </c>
      <c r="X1150" t="s">
        <v>69</v>
      </c>
      <c r="Y1150" t="s">
        <v>38</v>
      </c>
      <c r="AD1150">
        <v>0</v>
      </c>
      <c r="AE1150" t="b">
        <f>ISNUMBER(MATCH(G1150,AUM!$C$6:$C$1451,0))</f>
        <v>1</v>
      </c>
      <c r="AF1150" t="b">
        <f>ISNUMBER(MATCH(G1150,AUM!$G$6:$G$240,0))</f>
        <v>0</v>
      </c>
    </row>
    <row r="1151" spans="1:32" x14ac:dyDescent="0.2">
      <c r="A1151" t="s">
        <v>3587</v>
      </c>
      <c r="B1151" s="1">
        <v>45671</v>
      </c>
      <c r="D1151" t="s">
        <v>3587</v>
      </c>
      <c r="E1151" t="s">
        <v>31</v>
      </c>
      <c r="F1151" t="s">
        <v>3590</v>
      </c>
      <c r="G1151" t="s">
        <v>3591</v>
      </c>
      <c r="H1151" t="s">
        <v>34</v>
      </c>
      <c r="I1151">
        <v>927930.17726126197</v>
      </c>
      <c r="J1151">
        <v>2485.6799999999998</v>
      </c>
      <c r="K1151">
        <v>2470.91</v>
      </c>
      <c r="L1151">
        <v>2470.9069526100002</v>
      </c>
      <c r="M1151">
        <v>2292829126.5279999</v>
      </c>
      <c r="N1151">
        <v>60</v>
      </c>
      <c r="O1151" t="s">
        <v>35</v>
      </c>
      <c r="P1151">
        <v>1</v>
      </c>
      <c r="R1151" t="s">
        <v>3584</v>
      </c>
      <c r="S1151" t="s">
        <v>3580</v>
      </c>
      <c r="W1151" t="s">
        <v>36</v>
      </c>
      <c r="X1151" t="s">
        <v>37</v>
      </c>
      <c r="Y1151" t="s">
        <v>38</v>
      </c>
      <c r="AD1151">
        <v>0</v>
      </c>
      <c r="AE1151" t="b">
        <f>ISNUMBER(MATCH(G1151,AUM!$C$6:$C$1451,0))</f>
        <v>1</v>
      </c>
      <c r="AF1151" t="b">
        <f>ISNUMBER(MATCH(G1151,AUM!$G$6:$G$240,0))</f>
        <v>1</v>
      </c>
    </row>
    <row r="1152" spans="1:32" x14ac:dyDescent="0.2">
      <c r="A1152" t="s">
        <v>3592</v>
      </c>
      <c r="B1152" s="1">
        <v>45671</v>
      </c>
      <c r="D1152" t="s">
        <v>3592</v>
      </c>
      <c r="E1152" t="s">
        <v>31</v>
      </c>
      <c r="F1152" t="s">
        <v>3593</v>
      </c>
      <c r="G1152" t="s">
        <v>3594</v>
      </c>
      <c r="H1152" t="s">
        <v>34</v>
      </c>
      <c r="J1152">
        <v>1683.79</v>
      </c>
      <c r="K1152">
        <v>1669.08</v>
      </c>
      <c r="L1152">
        <v>1669.07603694</v>
      </c>
      <c r="Q1152" t="s">
        <v>3595</v>
      </c>
      <c r="W1152" t="s">
        <v>36</v>
      </c>
      <c r="X1152" t="s">
        <v>878</v>
      </c>
      <c r="Y1152" t="s">
        <v>38</v>
      </c>
      <c r="Z1152" t="s">
        <v>910</v>
      </c>
      <c r="AA1152">
        <v>0.04</v>
      </c>
      <c r="AB1152">
        <v>1</v>
      </c>
      <c r="AC1152">
        <v>365</v>
      </c>
      <c r="AD1152">
        <v>0</v>
      </c>
      <c r="AE1152" t="b">
        <f>ISNUMBER(MATCH(G1152,AUM!$C$6:$C$1451,0))</f>
        <v>0</v>
      </c>
      <c r="AF1152" t="b">
        <f>ISNUMBER(MATCH(G1152,AUM!$G$6:$G$240,0))</f>
        <v>0</v>
      </c>
    </row>
    <row r="1153" spans="1:32" x14ac:dyDescent="0.2">
      <c r="A1153" t="s">
        <v>3596</v>
      </c>
      <c r="B1153" s="1">
        <v>45671</v>
      </c>
      <c r="D1153" t="s">
        <v>3596</v>
      </c>
      <c r="E1153" t="s">
        <v>31</v>
      </c>
      <c r="F1153" t="s">
        <v>3597</v>
      </c>
      <c r="G1153" t="s">
        <v>3598</v>
      </c>
      <c r="H1153" t="s">
        <v>34</v>
      </c>
      <c r="J1153">
        <v>1246.3399999999999</v>
      </c>
      <c r="K1153">
        <v>1239.47</v>
      </c>
      <c r="L1153">
        <v>1239.4699513800001</v>
      </c>
      <c r="Q1153" t="s">
        <v>3599</v>
      </c>
      <c r="T1153">
        <v>0.24979822925346001</v>
      </c>
      <c r="V1153" t="s">
        <v>79</v>
      </c>
      <c r="W1153" t="s">
        <v>36</v>
      </c>
      <c r="X1153" t="s">
        <v>69</v>
      </c>
      <c r="Y1153" t="s">
        <v>38</v>
      </c>
      <c r="AD1153">
        <v>0</v>
      </c>
      <c r="AE1153" t="b">
        <f>ISNUMBER(MATCH(G1153,AUM!$C$6:$C$1451,0))</f>
        <v>1</v>
      </c>
      <c r="AF1153" t="b">
        <f>ISNUMBER(MATCH(G1153,AUM!$G$6:$G$240,0))</f>
        <v>0</v>
      </c>
    </row>
    <row r="1154" spans="1:32" x14ac:dyDescent="0.2">
      <c r="A1154" t="s">
        <v>3600</v>
      </c>
      <c r="B1154" s="1">
        <v>45671</v>
      </c>
      <c r="D1154" t="s">
        <v>3600</v>
      </c>
      <c r="E1154" t="s">
        <v>31</v>
      </c>
      <c r="F1154" t="s">
        <v>3601</v>
      </c>
      <c r="G1154" t="s">
        <v>3602</v>
      </c>
      <c r="H1154" t="s">
        <v>34</v>
      </c>
      <c r="J1154">
        <v>1208.18</v>
      </c>
      <c r="K1154">
        <v>1201.51</v>
      </c>
      <c r="L1154">
        <v>1201.5146070200001</v>
      </c>
      <c r="Q1154" t="s">
        <v>3599</v>
      </c>
      <c r="U1154">
        <v>0.18734867194009</v>
      </c>
      <c r="V1154" t="s">
        <v>79</v>
      </c>
      <c r="W1154" t="s">
        <v>36</v>
      </c>
      <c r="X1154" t="s">
        <v>69</v>
      </c>
      <c r="Y1154" t="s">
        <v>38</v>
      </c>
      <c r="AD1154">
        <v>0</v>
      </c>
      <c r="AE1154" t="b">
        <f>ISNUMBER(MATCH(G1154,AUM!$C$6:$C$1451,0))</f>
        <v>1</v>
      </c>
      <c r="AF1154" t="b">
        <f>ISNUMBER(MATCH(G1154,AUM!$G$6:$G$240,0))</f>
        <v>0</v>
      </c>
    </row>
    <row r="1155" spans="1:32" x14ac:dyDescent="0.2">
      <c r="A1155" t="s">
        <v>3599</v>
      </c>
      <c r="B1155" s="1">
        <v>45671</v>
      </c>
      <c r="D1155" t="s">
        <v>3599</v>
      </c>
      <c r="E1155" t="s">
        <v>31</v>
      </c>
      <c r="F1155" t="s">
        <v>3603</v>
      </c>
      <c r="G1155" t="s">
        <v>3604</v>
      </c>
      <c r="H1155" t="s">
        <v>34</v>
      </c>
      <c r="I1155">
        <v>904738.198807201</v>
      </c>
      <c r="J1155">
        <v>1101.3800000000001</v>
      </c>
      <c r="K1155">
        <v>1095.3</v>
      </c>
      <c r="L1155">
        <v>1095.30323724</v>
      </c>
      <c r="M1155">
        <v>990962678.01100004</v>
      </c>
      <c r="N1155">
        <v>40</v>
      </c>
      <c r="O1155" t="s">
        <v>35</v>
      </c>
      <c r="P1155">
        <v>1</v>
      </c>
      <c r="R1155" t="s">
        <v>3596</v>
      </c>
      <c r="S1155" t="s">
        <v>3600</v>
      </c>
      <c r="W1155" t="s">
        <v>36</v>
      </c>
      <c r="X1155" t="s">
        <v>37</v>
      </c>
      <c r="Y1155" t="s">
        <v>38</v>
      </c>
      <c r="AD1155">
        <v>0</v>
      </c>
      <c r="AE1155" t="b">
        <f>ISNUMBER(MATCH(G1155,AUM!$C$6:$C$1451,0))</f>
        <v>1</v>
      </c>
      <c r="AF1155" t="b">
        <f>ISNUMBER(MATCH(G1155,AUM!$G$6:$G$240,0))</f>
        <v>1</v>
      </c>
    </row>
    <row r="1156" spans="1:32" x14ac:dyDescent="0.2">
      <c r="A1156" t="s">
        <v>3605</v>
      </c>
      <c r="B1156" s="1">
        <v>45671</v>
      </c>
      <c r="D1156" t="s">
        <v>3605</v>
      </c>
      <c r="E1156" t="s">
        <v>31</v>
      </c>
      <c r="F1156" t="s">
        <v>3606</v>
      </c>
      <c r="G1156" t="s">
        <v>3607</v>
      </c>
      <c r="H1156" t="s">
        <v>34</v>
      </c>
      <c r="J1156">
        <v>2496.2199999999998</v>
      </c>
      <c r="K1156">
        <v>2501.65</v>
      </c>
      <c r="L1156">
        <v>2501.6545764299999</v>
      </c>
      <c r="Q1156" t="s">
        <v>3608</v>
      </c>
      <c r="W1156" t="s">
        <v>36</v>
      </c>
      <c r="X1156" t="s">
        <v>878</v>
      </c>
      <c r="Y1156" t="s">
        <v>38</v>
      </c>
      <c r="Z1156" t="s">
        <v>910</v>
      </c>
      <c r="AA1156">
        <v>0.05</v>
      </c>
      <c r="AB1156">
        <v>1</v>
      </c>
      <c r="AC1156">
        <v>365</v>
      </c>
      <c r="AD1156">
        <v>0</v>
      </c>
      <c r="AE1156" t="b">
        <f>ISNUMBER(MATCH(G1156,AUM!$C$6:$C$1451,0))</f>
        <v>0</v>
      </c>
      <c r="AF1156" t="b">
        <f>ISNUMBER(MATCH(G1156,AUM!$G$6:$G$240,0))</f>
        <v>0</v>
      </c>
    </row>
    <row r="1157" spans="1:32" x14ac:dyDescent="0.2">
      <c r="A1157" t="s">
        <v>3609</v>
      </c>
      <c r="B1157" s="1">
        <v>45671</v>
      </c>
      <c r="D1157" t="s">
        <v>3609</v>
      </c>
      <c r="E1157" t="s">
        <v>31</v>
      </c>
      <c r="F1157" t="s">
        <v>3610</v>
      </c>
      <c r="G1157" t="s">
        <v>3611</v>
      </c>
      <c r="H1157" t="s">
        <v>34</v>
      </c>
      <c r="J1157">
        <v>2901.23</v>
      </c>
      <c r="K1157">
        <v>2907.79</v>
      </c>
      <c r="L1157">
        <v>2907.78767827</v>
      </c>
      <c r="Q1157" t="s">
        <v>3608</v>
      </c>
      <c r="W1157" t="s">
        <v>36</v>
      </c>
      <c r="X1157" t="s">
        <v>878</v>
      </c>
      <c r="Y1157" t="s">
        <v>38</v>
      </c>
      <c r="Z1157" t="s">
        <v>910</v>
      </c>
      <c r="AA1157">
        <v>0.04</v>
      </c>
      <c r="AB1157">
        <v>1</v>
      </c>
      <c r="AC1157">
        <v>365</v>
      </c>
      <c r="AD1157">
        <v>0</v>
      </c>
      <c r="AE1157" t="b">
        <f>ISNUMBER(MATCH(G1157,AUM!$C$6:$C$1451,0))</f>
        <v>0</v>
      </c>
      <c r="AF1157" t="b">
        <f>ISNUMBER(MATCH(G1157,AUM!$G$6:$G$240,0))</f>
        <v>0</v>
      </c>
    </row>
    <row r="1158" spans="1:32" x14ac:dyDescent="0.2">
      <c r="A1158" t="s">
        <v>3612</v>
      </c>
      <c r="B1158" s="1">
        <v>45671</v>
      </c>
      <c r="D1158" t="s">
        <v>3612</v>
      </c>
      <c r="E1158" t="s">
        <v>31</v>
      </c>
      <c r="F1158" t="s">
        <v>3613</v>
      </c>
      <c r="G1158" t="s">
        <v>3614</v>
      </c>
      <c r="H1158" t="s">
        <v>34</v>
      </c>
      <c r="J1158">
        <v>5824.25</v>
      </c>
      <c r="K1158">
        <v>5839.33</v>
      </c>
      <c r="L1158">
        <v>5839.3310101999996</v>
      </c>
      <c r="Q1158" t="s">
        <v>3615</v>
      </c>
      <c r="T1158">
        <v>0</v>
      </c>
      <c r="W1158" t="s">
        <v>36</v>
      </c>
      <c r="X1158" t="s">
        <v>69</v>
      </c>
      <c r="Y1158" t="s">
        <v>38</v>
      </c>
      <c r="AD1158">
        <v>0</v>
      </c>
      <c r="AE1158" t="b">
        <f>ISNUMBER(MATCH(G1158,AUM!$C$6:$C$1451,0))</f>
        <v>0</v>
      </c>
      <c r="AF1158" t="b">
        <f>ISNUMBER(MATCH(G1158,AUM!$G$6:$G$240,0))</f>
        <v>0</v>
      </c>
    </row>
    <row r="1159" spans="1:32" x14ac:dyDescent="0.2">
      <c r="A1159" t="s">
        <v>3608</v>
      </c>
      <c r="B1159" s="1">
        <v>45671</v>
      </c>
      <c r="D1159" t="s">
        <v>3608</v>
      </c>
      <c r="E1159" t="s">
        <v>31</v>
      </c>
      <c r="F1159" t="s">
        <v>3616</v>
      </c>
      <c r="G1159" t="s">
        <v>3617</v>
      </c>
      <c r="H1159" t="s">
        <v>34</v>
      </c>
      <c r="J1159">
        <v>5293.56</v>
      </c>
      <c r="K1159">
        <v>5307.26</v>
      </c>
      <c r="L1159">
        <v>5307.2622134399999</v>
      </c>
      <c r="Q1159" t="s">
        <v>3615</v>
      </c>
      <c r="U1159">
        <v>0</v>
      </c>
      <c r="W1159" t="s">
        <v>36</v>
      </c>
      <c r="X1159" t="s">
        <v>69</v>
      </c>
      <c r="Y1159" t="s">
        <v>38</v>
      </c>
      <c r="AD1159">
        <v>0</v>
      </c>
      <c r="AE1159" t="b">
        <f>ISNUMBER(MATCH(G1159,AUM!$C$6:$C$1451,0))</f>
        <v>0</v>
      </c>
      <c r="AF1159" t="b">
        <f>ISNUMBER(MATCH(G1159,AUM!$G$6:$G$240,0))</f>
        <v>0</v>
      </c>
    </row>
    <row r="1160" spans="1:32" x14ac:dyDescent="0.2">
      <c r="A1160" t="s">
        <v>3615</v>
      </c>
      <c r="B1160" s="1">
        <v>45671</v>
      </c>
      <c r="D1160" t="s">
        <v>3615</v>
      </c>
      <c r="E1160" t="s">
        <v>31</v>
      </c>
      <c r="F1160" t="s">
        <v>3618</v>
      </c>
      <c r="G1160" t="s">
        <v>3619</v>
      </c>
      <c r="H1160" t="s">
        <v>34</v>
      </c>
      <c r="I1160">
        <v>986573.88983523403</v>
      </c>
      <c r="J1160">
        <v>4041.77</v>
      </c>
      <c r="K1160">
        <v>4052.23</v>
      </c>
      <c r="L1160">
        <v>4052.2316859900002</v>
      </c>
      <c r="M1160">
        <v>3997825976.9561501</v>
      </c>
      <c r="N1160">
        <v>80</v>
      </c>
      <c r="O1160" t="s">
        <v>35</v>
      </c>
      <c r="P1160">
        <v>1</v>
      </c>
      <c r="R1160" t="s">
        <v>3612</v>
      </c>
      <c r="S1160" t="s">
        <v>3608</v>
      </c>
      <c r="W1160" t="s">
        <v>36</v>
      </c>
      <c r="X1160" t="s">
        <v>37</v>
      </c>
      <c r="Y1160" t="s">
        <v>38</v>
      </c>
      <c r="AD1160">
        <v>0</v>
      </c>
      <c r="AE1160" t="b">
        <f>ISNUMBER(MATCH(G1160,AUM!$C$6:$C$1451,0))</f>
        <v>0</v>
      </c>
      <c r="AF1160" t="b">
        <f>ISNUMBER(MATCH(G1160,AUM!$G$6:$G$240,0))</f>
        <v>0</v>
      </c>
    </row>
    <row r="1161" spans="1:32" x14ac:dyDescent="0.2">
      <c r="A1161" t="s">
        <v>3364</v>
      </c>
      <c r="B1161" s="1">
        <v>45671</v>
      </c>
      <c r="D1161" t="s">
        <v>3364</v>
      </c>
      <c r="E1161" t="s">
        <v>31</v>
      </c>
      <c r="F1161" t="s">
        <v>3620</v>
      </c>
      <c r="G1161" t="s">
        <v>3621</v>
      </c>
      <c r="H1161" t="s">
        <v>34</v>
      </c>
      <c r="J1161">
        <v>3399.21</v>
      </c>
      <c r="K1161">
        <v>3379.44</v>
      </c>
      <c r="L1161">
        <v>3379.4361462400002</v>
      </c>
      <c r="Q1161" t="s">
        <v>3622</v>
      </c>
      <c r="U1161">
        <v>0</v>
      </c>
      <c r="W1161" t="s">
        <v>36</v>
      </c>
      <c r="X1161" t="s">
        <v>69</v>
      </c>
      <c r="Y1161" t="s">
        <v>38</v>
      </c>
      <c r="AD1161">
        <v>0</v>
      </c>
      <c r="AE1161" t="b">
        <f>ISNUMBER(MATCH(G1161,AUM!$C$6:$C$1451,0))</f>
        <v>1</v>
      </c>
      <c r="AF1161" t="b">
        <f>ISNUMBER(MATCH(G1161,AUM!$G$6:$G$240,0))</f>
        <v>0</v>
      </c>
    </row>
    <row r="1162" spans="1:32" x14ac:dyDescent="0.2">
      <c r="A1162" t="s">
        <v>3623</v>
      </c>
      <c r="B1162" s="1">
        <v>45671</v>
      </c>
      <c r="D1162" t="s">
        <v>3623</v>
      </c>
      <c r="E1162" t="s">
        <v>31</v>
      </c>
      <c r="F1162" t="s">
        <v>3624</v>
      </c>
      <c r="G1162" t="s">
        <v>3625</v>
      </c>
      <c r="H1162" t="s">
        <v>34</v>
      </c>
      <c r="J1162">
        <v>3759.65</v>
      </c>
      <c r="K1162">
        <v>3737.87</v>
      </c>
      <c r="L1162">
        <v>3737.8708333999998</v>
      </c>
      <c r="Q1162" t="s">
        <v>3622</v>
      </c>
      <c r="T1162">
        <v>0</v>
      </c>
      <c r="W1162" t="s">
        <v>36</v>
      </c>
      <c r="X1162" t="s">
        <v>69</v>
      </c>
      <c r="Y1162" t="s">
        <v>38</v>
      </c>
      <c r="AD1162">
        <v>0</v>
      </c>
      <c r="AE1162" t="b">
        <f>ISNUMBER(MATCH(G1162,AUM!$C$6:$C$1451,0))</f>
        <v>1</v>
      </c>
      <c r="AF1162" t="b">
        <f>ISNUMBER(MATCH(G1162,AUM!$G$6:$G$240,0))</f>
        <v>0</v>
      </c>
    </row>
    <row r="1163" spans="1:32" x14ac:dyDescent="0.2">
      <c r="A1163" t="s">
        <v>3622</v>
      </c>
      <c r="B1163" s="1">
        <v>45671</v>
      </c>
      <c r="D1163" t="s">
        <v>3622</v>
      </c>
      <c r="E1163" t="s">
        <v>31</v>
      </c>
      <c r="F1163" t="s">
        <v>3626</v>
      </c>
      <c r="G1163" t="s">
        <v>3627</v>
      </c>
      <c r="H1163" t="s">
        <v>34</v>
      </c>
      <c r="I1163">
        <v>927816.45833536901</v>
      </c>
      <c r="J1163">
        <v>2463.84</v>
      </c>
      <c r="K1163">
        <v>2449.39</v>
      </c>
      <c r="L1163">
        <v>2449.3917752799998</v>
      </c>
      <c r="M1163">
        <v>2272586002.0190001</v>
      </c>
      <c r="N1163">
        <v>66</v>
      </c>
      <c r="O1163" t="s">
        <v>35</v>
      </c>
      <c r="P1163">
        <v>1</v>
      </c>
      <c r="R1163" t="s">
        <v>3623</v>
      </c>
      <c r="S1163" t="s">
        <v>3364</v>
      </c>
      <c r="W1163" t="s">
        <v>36</v>
      </c>
      <c r="X1163" t="s">
        <v>37</v>
      </c>
      <c r="Y1163" t="s">
        <v>38</v>
      </c>
      <c r="AD1163">
        <v>0</v>
      </c>
      <c r="AE1163" t="b">
        <f>ISNUMBER(MATCH(G1163,AUM!$C$6:$C$1451,0))</f>
        <v>1</v>
      </c>
      <c r="AF1163" t="b">
        <f>ISNUMBER(MATCH(G1163,AUM!$G$6:$G$240,0))</f>
        <v>1</v>
      </c>
    </row>
    <row r="1164" spans="1:32" x14ac:dyDescent="0.2">
      <c r="A1164" t="s">
        <v>3628</v>
      </c>
      <c r="B1164" s="1">
        <v>45671</v>
      </c>
      <c r="D1164" t="s">
        <v>3628</v>
      </c>
      <c r="E1164" t="s">
        <v>31</v>
      </c>
      <c r="F1164" t="s">
        <v>3629</v>
      </c>
      <c r="G1164" t="s">
        <v>3630</v>
      </c>
      <c r="H1164" t="s">
        <v>34</v>
      </c>
      <c r="J1164">
        <v>5664.85</v>
      </c>
      <c r="K1164">
        <v>5683.93</v>
      </c>
      <c r="L1164">
        <v>5683.9301563700001</v>
      </c>
      <c r="Q1164" t="s">
        <v>3631</v>
      </c>
      <c r="T1164">
        <v>0</v>
      </c>
      <c r="W1164" t="s">
        <v>36</v>
      </c>
      <c r="X1164" t="s">
        <v>69</v>
      </c>
      <c r="Y1164" t="s">
        <v>38</v>
      </c>
      <c r="AD1164">
        <v>0</v>
      </c>
      <c r="AE1164" t="b">
        <f>ISNUMBER(MATCH(G1164,AUM!$C$6:$C$1451,0))</f>
        <v>0</v>
      </c>
      <c r="AF1164" t="b">
        <f>ISNUMBER(MATCH(G1164,AUM!$G$6:$G$240,0))</f>
        <v>0</v>
      </c>
    </row>
    <row r="1165" spans="1:32" x14ac:dyDescent="0.2">
      <c r="A1165" t="s">
        <v>3631</v>
      </c>
      <c r="B1165" s="1">
        <v>45671</v>
      </c>
      <c r="D1165" t="s">
        <v>3631</v>
      </c>
      <c r="E1165" t="s">
        <v>31</v>
      </c>
      <c r="F1165" t="s">
        <v>3632</v>
      </c>
      <c r="G1165" t="s">
        <v>3633</v>
      </c>
      <c r="H1165" t="s">
        <v>34</v>
      </c>
      <c r="I1165">
        <v>1008491.81100072</v>
      </c>
      <c r="J1165">
        <v>5664.85</v>
      </c>
      <c r="K1165">
        <v>5683.93</v>
      </c>
      <c r="L1165">
        <v>5683.9301563700001</v>
      </c>
      <c r="M1165">
        <v>5732197017</v>
      </c>
      <c r="N1165">
        <v>3</v>
      </c>
      <c r="O1165" t="s">
        <v>35</v>
      </c>
      <c r="P1165">
        <v>1</v>
      </c>
      <c r="R1165" t="s">
        <v>3628</v>
      </c>
      <c r="W1165" t="s">
        <v>36</v>
      </c>
      <c r="X1165" t="s">
        <v>37</v>
      </c>
      <c r="Y1165" t="s">
        <v>38</v>
      </c>
      <c r="AD1165">
        <v>0</v>
      </c>
      <c r="AE1165" t="b">
        <f>ISNUMBER(MATCH(G1165,AUM!$C$6:$C$1451,0))</f>
        <v>1</v>
      </c>
      <c r="AF1165" t="b">
        <f>ISNUMBER(MATCH(G1165,AUM!$G$6:$G$240,0))</f>
        <v>1</v>
      </c>
    </row>
    <row r="1166" spans="1:32" x14ac:dyDescent="0.2">
      <c r="A1166" t="s">
        <v>3634</v>
      </c>
      <c r="B1166" s="1">
        <v>45671</v>
      </c>
      <c r="D1166" t="s">
        <v>3634</v>
      </c>
      <c r="E1166" t="s">
        <v>31</v>
      </c>
      <c r="F1166" t="s">
        <v>3635</v>
      </c>
      <c r="G1166" t="s">
        <v>3636</v>
      </c>
      <c r="H1166" t="s">
        <v>34</v>
      </c>
      <c r="J1166">
        <v>1538.36</v>
      </c>
      <c r="K1166">
        <v>1524.79</v>
      </c>
      <c r="L1166">
        <v>1524.78805521</v>
      </c>
      <c r="Q1166" t="s">
        <v>3595</v>
      </c>
      <c r="W1166" t="s">
        <v>36</v>
      </c>
      <c r="X1166" t="s">
        <v>878</v>
      </c>
      <c r="Y1166" t="s">
        <v>38</v>
      </c>
      <c r="Z1166" t="s">
        <v>910</v>
      </c>
      <c r="AA1166">
        <v>0.05</v>
      </c>
      <c r="AB1166">
        <v>1</v>
      </c>
      <c r="AC1166">
        <v>365</v>
      </c>
      <c r="AD1166">
        <v>0</v>
      </c>
      <c r="AE1166" t="b">
        <f>ISNUMBER(MATCH(G1166,AUM!$C$6:$C$1451,0))</f>
        <v>0</v>
      </c>
      <c r="AF1166" t="b">
        <f>ISNUMBER(MATCH(G1166,AUM!$G$6:$G$240,0))</f>
        <v>0</v>
      </c>
    </row>
    <row r="1167" spans="1:32" x14ac:dyDescent="0.2">
      <c r="A1167" t="s">
        <v>3595</v>
      </c>
      <c r="B1167" s="1">
        <v>45671</v>
      </c>
      <c r="D1167" t="s">
        <v>3595</v>
      </c>
      <c r="E1167" t="s">
        <v>31</v>
      </c>
      <c r="F1167" t="s">
        <v>3637</v>
      </c>
      <c r="G1167" t="s">
        <v>3638</v>
      </c>
      <c r="H1167" t="s">
        <v>34</v>
      </c>
      <c r="J1167">
        <v>2416.52</v>
      </c>
      <c r="K1167">
        <v>2396.1999999999998</v>
      </c>
      <c r="L1167">
        <v>2396.19640777</v>
      </c>
      <c r="Q1167" t="s">
        <v>3639</v>
      </c>
      <c r="U1167">
        <v>0</v>
      </c>
      <c r="W1167" t="s">
        <v>36</v>
      </c>
      <c r="X1167" t="s">
        <v>69</v>
      </c>
      <c r="Y1167" t="s">
        <v>38</v>
      </c>
      <c r="AD1167">
        <v>0</v>
      </c>
      <c r="AE1167" t="b">
        <f>ISNUMBER(MATCH(G1167,AUM!$C$6:$C$1451,0))</f>
        <v>0</v>
      </c>
      <c r="AF1167" t="b">
        <f>ISNUMBER(MATCH(G1167,AUM!$G$6:$G$240,0))</f>
        <v>0</v>
      </c>
    </row>
    <row r="1168" spans="1:32" x14ac:dyDescent="0.2">
      <c r="A1168" t="s">
        <v>3640</v>
      </c>
      <c r="B1168" s="1">
        <v>45671</v>
      </c>
      <c r="D1168" t="s">
        <v>3640</v>
      </c>
      <c r="E1168" t="s">
        <v>31</v>
      </c>
      <c r="F1168" t="s">
        <v>3641</v>
      </c>
      <c r="G1168" t="s">
        <v>3642</v>
      </c>
      <c r="H1168" t="s">
        <v>34</v>
      </c>
      <c r="J1168">
        <v>2572.64</v>
      </c>
      <c r="K1168">
        <v>2551</v>
      </c>
      <c r="L1168">
        <v>2550.9984959600001</v>
      </c>
      <c r="Q1168" t="s">
        <v>3639</v>
      </c>
      <c r="T1168">
        <v>0</v>
      </c>
      <c r="W1168" t="s">
        <v>36</v>
      </c>
      <c r="X1168" t="s">
        <v>69</v>
      </c>
      <c r="Y1168" t="s">
        <v>38</v>
      </c>
      <c r="AD1168">
        <v>0</v>
      </c>
      <c r="AE1168" t="b">
        <f>ISNUMBER(MATCH(G1168,AUM!$C$6:$C$1451,0))</f>
        <v>0</v>
      </c>
      <c r="AF1168" t="b">
        <f>ISNUMBER(MATCH(G1168,AUM!$G$6:$G$240,0))</f>
        <v>0</v>
      </c>
    </row>
    <row r="1169" spans="1:32" x14ac:dyDescent="0.2">
      <c r="A1169" t="s">
        <v>3639</v>
      </c>
      <c r="B1169" s="1">
        <v>45671</v>
      </c>
      <c r="D1169" t="s">
        <v>3639</v>
      </c>
      <c r="E1169" t="s">
        <v>31</v>
      </c>
      <c r="F1169" t="s">
        <v>3643</v>
      </c>
      <c r="G1169" t="s">
        <v>3644</v>
      </c>
      <c r="H1169" t="s">
        <v>34</v>
      </c>
      <c r="I1169">
        <v>866652355.41268098</v>
      </c>
      <c r="J1169">
        <v>1988.89</v>
      </c>
      <c r="K1169">
        <v>1972.16</v>
      </c>
      <c r="L1169">
        <v>1972.15686521</v>
      </c>
      <c r="M1169">
        <v>1709174392477.74</v>
      </c>
      <c r="N1169">
        <v>30</v>
      </c>
      <c r="O1169" t="s">
        <v>35</v>
      </c>
      <c r="P1169">
        <v>1</v>
      </c>
      <c r="R1169" t="s">
        <v>3640</v>
      </c>
      <c r="S1169" t="s">
        <v>3595</v>
      </c>
      <c r="W1169" t="s">
        <v>36</v>
      </c>
      <c r="X1169" t="s">
        <v>37</v>
      </c>
      <c r="Y1169" t="s">
        <v>38</v>
      </c>
      <c r="AD1169">
        <v>0</v>
      </c>
      <c r="AE1169" t="b">
        <f>ISNUMBER(MATCH(G1169,AUM!$C$6:$C$1451,0))</f>
        <v>0</v>
      </c>
      <c r="AF1169" t="b">
        <f>ISNUMBER(MATCH(G1169,AUM!$G$6:$G$240,0))</f>
        <v>0</v>
      </c>
    </row>
    <row r="1170" spans="1:32" x14ac:dyDescent="0.2">
      <c r="A1170" t="s">
        <v>3645</v>
      </c>
      <c r="B1170" s="1">
        <v>45671</v>
      </c>
      <c r="D1170" t="s">
        <v>3645</v>
      </c>
      <c r="E1170" t="s">
        <v>31</v>
      </c>
      <c r="F1170" t="s">
        <v>3646</v>
      </c>
      <c r="G1170" t="s">
        <v>3647</v>
      </c>
      <c r="H1170" t="s">
        <v>34</v>
      </c>
      <c r="J1170">
        <v>8061.3</v>
      </c>
      <c r="K1170">
        <v>8129.36</v>
      </c>
      <c r="L1170">
        <v>8129.3552243300001</v>
      </c>
      <c r="Q1170" t="s">
        <v>3648</v>
      </c>
      <c r="U1170">
        <v>0</v>
      </c>
      <c r="W1170" t="s">
        <v>36</v>
      </c>
      <c r="X1170" t="s">
        <v>69</v>
      </c>
      <c r="Y1170" t="s">
        <v>38</v>
      </c>
      <c r="AD1170">
        <v>0</v>
      </c>
      <c r="AE1170" t="b">
        <f>ISNUMBER(MATCH(G1170,AUM!$C$6:$C$1451,0))</f>
        <v>0</v>
      </c>
      <c r="AF1170" t="b">
        <f>ISNUMBER(MATCH(G1170,AUM!$G$6:$G$240,0))</f>
        <v>0</v>
      </c>
    </row>
    <row r="1171" spans="1:32" x14ac:dyDescent="0.2">
      <c r="A1171" t="s">
        <v>3649</v>
      </c>
      <c r="B1171" s="1">
        <v>45671</v>
      </c>
      <c r="D1171" t="s">
        <v>3649</v>
      </c>
      <c r="E1171" t="s">
        <v>31</v>
      </c>
      <c r="F1171" t="s">
        <v>3650</v>
      </c>
      <c r="G1171" t="s">
        <v>3651</v>
      </c>
      <c r="H1171" t="s">
        <v>34</v>
      </c>
      <c r="J1171">
        <v>8888.2800000000007</v>
      </c>
      <c r="K1171">
        <v>8963.32</v>
      </c>
      <c r="L1171">
        <v>8963.3157155299996</v>
      </c>
      <c r="Q1171" t="s">
        <v>3648</v>
      </c>
      <c r="T1171">
        <v>0</v>
      </c>
      <c r="W1171" t="s">
        <v>36</v>
      </c>
      <c r="X1171" t="s">
        <v>69</v>
      </c>
      <c r="Y1171" t="s">
        <v>38</v>
      </c>
      <c r="AD1171">
        <v>0</v>
      </c>
      <c r="AE1171" t="b">
        <f>ISNUMBER(MATCH(G1171,AUM!$C$6:$C$1451,0))</f>
        <v>0</v>
      </c>
      <c r="AF1171" t="b">
        <f>ISNUMBER(MATCH(G1171,AUM!$G$6:$G$240,0))</f>
        <v>0</v>
      </c>
    </row>
    <row r="1172" spans="1:32" x14ac:dyDescent="0.2">
      <c r="A1172" t="s">
        <v>3648</v>
      </c>
      <c r="B1172" s="1">
        <v>45671</v>
      </c>
      <c r="D1172" t="s">
        <v>3648</v>
      </c>
      <c r="E1172" t="s">
        <v>31</v>
      </c>
      <c r="F1172" t="s">
        <v>3652</v>
      </c>
      <c r="G1172" t="s">
        <v>3653</v>
      </c>
      <c r="H1172" t="s">
        <v>34</v>
      </c>
      <c r="I1172">
        <v>1003667.4081989001</v>
      </c>
      <c r="J1172">
        <v>6408.48</v>
      </c>
      <c r="K1172">
        <v>6462.57</v>
      </c>
      <c r="L1172">
        <v>6462.5743878000003</v>
      </c>
      <c r="M1172">
        <v>6486275286.09237</v>
      </c>
      <c r="N1172">
        <v>35</v>
      </c>
      <c r="O1172" t="s">
        <v>35</v>
      </c>
      <c r="P1172">
        <v>1</v>
      </c>
      <c r="R1172" t="s">
        <v>3649</v>
      </c>
      <c r="S1172" t="s">
        <v>3645</v>
      </c>
      <c r="W1172" t="s">
        <v>36</v>
      </c>
      <c r="X1172" t="s">
        <v>37</v>
      </c>
      <c r="Y1172" t="s">
        <v>38</v>
      </c>
      <c r="AD1172">
        <v>0</v>
      </c>
      <c r="AE1172" t="b">
        <f>ISNUMBER(MATCH(G1172,AUM!$C$6:$C$1451,0))</f>
        <v>0</v>
      </c>
      <c r="AF1172" t="b">
        <f>ISNUMBER(MATCH(G1172,AUM!$G$6:$G$240,0))</f>
        <v>0</v>
      </c>
    </row>
    <row r="1173" spans="1:32" x14ac:dyDescent="0.2">
      <c r="A1173" t="s">
        <v>3654</v>
      </c>
      <c r="B1173" s="1">
        <v>45671</v>
      </c>
      <c r="D1173" t="s">
        <v>3654</v>
      </c>
      <c r="E1173" t="s">
        <v>31</v>
      </c>
      <c r="F1173" t="s">
        <v>3655</v>
      </c>
      <c r="G1173" t="s">
        <v>3656</v>
      </c>
      <c r="H1173" t="s">
        <v>34</v>
      </c>
      <c r="J1173">
        <v>5758.83</v>
      </c>
      <c r="K1173">
        <v>5777.7</v>
      </c>
      <c r="L1173">
        <v>5777.6998644799996</v>
      </c>
      <c r="Q1173" t="s">
        <v>3657</v>
      </c>
      <c r="U1173">
        <v>0</v>
      </c>
      <c r="W1173" t="s">
        <v>91</v>
      </c>
      <c r="X1173" t="s">
        <v>69</v>
      </c>
      <c r="Y1173" t="s">
        <v>38</v>
      </c>
      <c r="AD1173">
        <v>0</v>
      </c>
      <c r="AE1173" t="b">
        <f>ISNUMBER(MATCH(G1173,AUM!$C$6:$C$1451,0))</f>
        <v>0</v>
      </c>
      <c r="AF1173" t="b">
        <f>ISNUMBER(MATCH(G1173,AUM!$G$6:$G$240,0))</f>
        <v>0</v>
      </c>
    </row>
    <row r="1174" spans="1:32" x14ac:dyDescent="0.2">
      <c r="A1174" t="s">
        <v>3658</v>
      </c>
      <c r="B1174" s="1">
        <v>45671</v>
      </c>
      <c r="D1174" t="s">
        <v>3658</v>
      </c>
      <c r="E1174" t="s">
        <v>31</v>
      </c>
      <c r="F1174" t="s">
        <v>3659</v>
      </c>
      <c r="G1174" t="s">
        <v>3660</v>
      </c>
      <c r="H1174" t="s">
        <v>34</v>
      </c>
      <c r="J1174">
        <v>6349.63</v>
      </c>
      <c r="K1174">
        <v>6370.43</v>
      </c>
      <c r="L1174">
        <v>6370.4311906499997</v>
      </c>
      <c r="Q1174" t="s">
        <v>3657</v>
      </c>
      <c r="T1174">
        <v>0</v>
      </c>
      <c r="W1174" t="s">
        <v>91</v>
      </c>
      <c r="X1174" t="s">
        <v>69</v>
      </c>
      <c r="Y1174" t="s">
        <v>38</v>
      </c>
      <c r="AD1174">
        <v>0</v>
      </c>
      <c r="AE1174" t="b">
        <f>ISNUMBER(MATCH(G1174,AUM!$C$6:$C$1451,0))</f>
        <v>0</v>
      </c>
      <c r="AF1174" t="b">
        <f>ISNUMBER(MATCH(G1174,AUM!$G$6:$G$240,0))</f>
        <v>0</v>
      </c>
    </row>
    <row r="1175" spans="1:32" x14ac:dyDescent="0.2">
      <c r="A1175" t="s">
        <v>3657</v>
      </c>
      <c r="B1175" s="1">
        <v>45671</v>
      </c>
      <c r="D1175" t="s">
        <v>3657</v>
      </c>
      <c r="E1175" t="s">
        <v>31</v>
      </c>
      <c r="F1175" t="s">
        <v>3661</v>
      </c>
      <c r="G1175" t="s">
        <v>3662</v>
      </c>
      <c r="H1175" t="s">
        <v>34</v>
      </c>
      <c r="I1175">
        <v>1003669.09695005</v>
      </c>
      <c r="J1175">
        <v>4578.0600000000004</v>
      </c>
      <c r="K1175">
        <v>4593.0600000000004</v>
      </c>
      <c r="L1175">
        <v>4593.05527102</v>
      </c>
      <c r="M1175">
        <v>4609907636.1099997</v>
      </c>
      <c r="N1175">
        <v>35</v>
      </c>
      <c r="O1175" t="s">
        <v>88</v>
      </c>
      <c r="P1175">
        <v>1</v>
      </c>
      <c r="R1175" t="s">
        <v>3658</v>
      </c>
      <c r="S1175" t="s">
        <v>3654</v>
      </c>
      <c r="W1175" t="s">
        <v>91</v>
      </c>
      <c r="X1175" t="s">
        <v>37</v>
      </c>
      <c r="Y1175" t="s">
        <v>38</v>
      </c>
      <c r="AD1175">
        <v>0</v>
      </c>
      <c r="AE1175" t="b">
        <f>ISNUMBER(MATCH(G1175,AUM!$C$6:$C$1451,0))</f>
        <v>0</v>
      </c>
      <c r="AF1175" t="b">
        <f>ISNUMBER(MATCH(G1175,AUM!$G$6:$G$240,0))</f>
        <v>0</v>
      </c>
    </row>
    <row r="1176" spans="1:32" x14ac:dyDescent="0.2">
      <c r="A1176" t="s">
        <v>3663</v>
      </c>
      <c r="B1176" s="1">
        <v>45671</v>
      </c>
      <c r="D1176" t="s">
        <v>3663</v>
      </c>
      <c r="E1176" t="s">
        <v>31</v>
      </c>
      <c r="F1176" t="s">
        <v>3664</v>
      </c>
      <c r="G1176" t="s">
        <v>3665</v>
      </c>
      <c r="H1176" t="s">
        <v>34</v>
      </c>
      <c r="J1176">
        <v>4290.1499999999996</v>
      </c>
      <c r="K1176">
        <v>4313.74</v>
      </c>
      <c r="L1176">
        <v>4313.7439994799997</v>
      </c>
      <c r="Q1176" t="s">
        <v>3666</v>
      </c>
      <c r="U1176">
        <v>0</v>
      </c>
      <c r="W1176" t="s">
        <v>36</v>
      </c>
      <c r="X1176" t="s">
        <v>69</v>
      </c>
      <c r="Y1176" t="s">
        <v>38</v>
      </c>
      <c r="AD1176">
        <v>0</v>
      </c>
      <c r="AE1176" t="b">
        <f>ISNUMBER(MATCH(G1176,AUM!$C$6:$C$1451,0))</f>
        <v>0</v>
      </c>
      <c r="AF1176" t="b">
        <f>ISNUMBER(MATCH(G1176,AUM!$G$6:$G$240,0))</f>
        <v>0</v>
      </c>
    </row>
    <row r="1177" spans="1:32" x14ac:dyDescent="0.2">
      <c r="A1177" t="s">
        <v>3667</v>
      </c>
      <c r="B1177" s="1">
        <v>45671</v>
      </c>
      <c r="D1177" t="s">
        <v>3667</v>
      </c>
      <c r="E1177" t="s">
        <v>31</v>
      </c>
      <c r="F1177" t="s">
        <v>3668</v>
      </c>
      <c r="G1177" t="s">
        <v>3669</v>
      </c>
      <c r="H1177" t="s">
        <v>34</v>
      </c>
      <c r="J1177">
        <v>4563.74</v>
      </c>
      <c r="K1177">
        <v>4588.83</v>
      </c>
      <c r="L1177">
        <v>4588.8344067899998</v>
      </c>
      <c r="Q1177" t="s">
        <v>3666</v>
      </c>
      <c r="T1177">
        <v>0</v>
      </c>
      <c r="W1177" t="s">
        <v>36</v>
      </c>
      <c r="X1177" t="s">
        <v>69</v>
      </c>
      <c r="Y1177" t="s">
        <v>38</v>
      </c>
      <c r="AD1177">
        <v>0</v>
      </c>
      <c r="AE1177" t="b">
        <f>ISNUMBER(MATCH(G1177,AUM!$C$6:$C$1451,0))</f>
        <v>0</v>
      </c>
      <c r="AF1177" t="b">
        <f>ISNUMBER(MATCH(G1177,AUM!$G$6:$G$240,0))</f>
        <v>0</v>
      </c>
    </row>
    <row r="1178" spans="1:32" x14ac:dyDescent="0.2">
      <c r="A1178" t="s">
        <v>3666</v>
      </c>
      <c r="B1178" s="1">
        <v>45671</v>
      </c>
      <c r="D1178" t="s">
        <v>3666</v>
      </c>
      <c r="E1178" t="s">
        <v>31</v>
      </c>
      <c r="F1178" t="s">
        <v>3670</v>
      </c>
      <c r="G1178" t="s">
        <v>3671</v>
      </c>
      <c r="H1178" t="s">
        <v>34</v>
      </c>
      <c r="I1178">
        <v>978637.77651140897</v>
      </c>
      <c r="J1178">
        <v>3207.09</v>
      </c>
      <c r="K1178">
        <v>3224.73</v>
      </c>
      <c r="L1178">
        <v>3224.7274225900001</v>
      </c>
      <c r="M1178">
        <v>3155840074.6987901</v>
      </c>
      <c r="N1178">
        <v>30</v>
      </c>
      <c r="O1178" t="s">
        <v>35</v>
      </c>
      <c r="P1178">
        <v>1</v>
      </c>
      <c r="R1178" t="s">
        <v>3667</v>
      </c>
      <c r="S1178" t="s">
        <v>3663</v>
      </c>
      <c r="W1178" t="s">
        <v>36</v>
      </c>
      <c r="X1178" t="s">
        <v>37</v>
      </c>
      <c r="Y1178" t="s">
        <v>38</v>
      </c>
      <c r="AD1178">
        <v>0</v>
      </c>
      <c r="AE1178" t="b">
        <f>ISNUMBER(MATCH(G1178,AUM!$C$6:$C$1451,0))</f>
        <v>0</v>
      </c>
      <c r="AF1178" t="b">
        <f>ISNUMBER(MATCH(G1178,AUM!$G$6:$G$240,0))</f>
        <v>0</v>
      </c>
    </row>
    <row r="1179" spans="1:32" x14ac:dyDescent="0.2">
      <c r="A1179" t="s">
        <v>3672</v>
      </c>
      <c r="B1179" s="1">
        <v>45671</v>
      </c>
      <c r="D1179" t="s">
        <v>3672</v>
      </c>
      <c r="E1179" t="s">
        <v>31</v>
      </c>
      <c r="F1179" t="s">
        <v>3673</v>
      </c>
      <c r="G1179" t="s">
        <v>3674</v>
      </c>
      <c r="H1179" t="s">
        <v>34</v>
      </c>
      <c r="J1179">
        <v>5186.53</v>
      </c>
      <c r="K1179">
        <v>5186.53</v>
      </c>
      <c r="L1179">
        <v>5186.5295010700002</v>
      </c>
      <c r="Q1179" t="s">
        <v>3675</v>
      </c>
      <c r="U1179">
        <v>0</v>
      </c>
      <c r="W1179" t="s">
        <v>36</v>
      </c>
      <c r="X1179" t="s">
        <v>69</v>
      </c>
      <c r="Y1179" t="s">
        <v>38</v>
      </c>
      <c r="AD1179">
        <v>0</v>
      </c>
      <c r="AE1179" t="b">
        <f>ISNUMBER(MATCH(G1179,AUM!$C$6:$C$1451,0))</f>
        <v>0</v>
      </c>
      <c r="AF1179" t="b">
        <f>ISNUMBER(MATCH(G1179,AUM!$G$6:$G$240,0))</f>
        <v>0</v>
      </c>
    </row>
    <row r="1180" spans="1:32" x14ac:dyDescent="0.2">
      <c r="A1180" t="s">
        <v>3676</v>
      </c>
      <c r="B1180" s="1">
        <v>45671</v>
      </c>
      <c r="D1180" t="s">
        <v>3676</v>
      </c>
      <c r="E1180" t="s">
        <v>31</v>
      </c>
      <c r="F1180" t="s">
        <v>3677</v>
      </c>
      <c r="G1180" t="s">
        <v>3678</v>
      </c>
      <c r="H1180" t="s">
        <v>34</v>
      </c>
      <c r="J1180">
        <v>5517.07</v>
      </c>
      <c r="K1180">
        <v>5517.07</v>
      </c>
      <c r="L1180">
        <v>5517.0707815100004</v>
      </c>
      <c r="Q1180" t="s">
        <v>3675</v>
      </c>
      <c r="T1180">
        <v>0</v>
      </c>
      <c r="W1180" t="s">
        <v>36</v>
      </c>
      <c r="X1180" t="s">
        <v>69</v>
      </c>
      <c r="Y1180" t="s">
        <v>38</v>
      </c>
      <c r="AD1180">
        <v>0</v>
      </c>
      <c r="AE1180" t="b">
        <f>ISNUMBER(MATCH(G1180,AUM!$C$6:$C$1451,0))</f>
        <v>0</v>
      </c>
      <c r="AF1180" t="b">
        <f>ISNUMBER(MATCH(G1180,AUM!$G$6:$G$240,0))</f>
        <v>0</v>
      </c>
    </row>
    <row r="1181" spans="1:32" x14ac:dyDescent="0.2">
      <c r="A1181" t="s">
        <v>3675</v>
      </c>
      <c r="B1181" s="1">
        <v>45671</v>
      </c>
      <c r="D1181" t="s">
        <v>3675</v>
      </c>
      <c r="E1181" t="s">
        <v>31</v>
      </c>
      <c r="F1181" t="s">
        <v>3679</v>
      </c>
      <c r="G1181" t="s">
        <v>3680</v>
      </c>
      <c r="H1181" t="s">
        <v>34</v>
      </c>
      <c r="I1181">
        <v>978651.72922854405</v>
      </c>
      <c r="J1181">
        <v>3877.99</v>
      </c>
      <c r="K1181">
        <v>3877.99</v>
      </c>
      <c r="L1181">
        <v>3877.98955497</v>
      </c>
      <c r="M1181">
        <v>3795201183.9000001</v>
      </c>
      <c r="N1181">
        <v>30</v>
      </c>
      <c r="O1181" t="s">
        <v>2699</v>
      </c>
      <c r="P1181">
        <v>1</v>
      </c>
      <c r="R1181" t="s">
        <v>3676</v>
      </c>
      <c r="S1181" t="s">
        <v>3672</v>
      </c>
      <c r="W1181" t="s">
        <v>36</v>
      </c>
      <c r="X1181" t="s">
        <v>37</v>
      </c>
      <c r="Y1181" t="s">
        <v>38</v>
      </c>
      <c r="AD1181">
        <v>0</v>
      </c>
      <c r="AE1181" t="b">
        <f>ISNUMBER(MATCH(G1181,AUM!$C$6:$C$1451,0))</f>
        <v>0</v>
      </c>
      <c r="AF1181" t="b">
        <f>ISNUMBER(MATCH(G1181,AUM!$G$6:$G$240,0))</f>
        <v>0</v>
      </c>
    </row>
    <row r="1182" spans="1:32" x14ac:dyDescent="0.2">
      <c r="A1182" t="s">
        <v>3681</v>
      </c>
      <c r="B1182" s="1">
        <v>45671</v>
      </c>
      <c r="D1182" t="s">
        <v>3681</v>
      </c>
      <c r="E1182" t="s">
        <v>31</v>
      </c>
      <c r="F1182" t="s">
        <v>3682</v>
      </c>
      <c r="G1182" t="s">
        <v>3683</v>
      </c>
      <c r="H1182" t="s">
        <v>34</v>
      </c>
      <c r="J1182">
        <v>2665.32</v>
      </c>
      <c r="K1182">
        <v>2664.5</v>
      </c>
      <c r="L1182">
        <v>2664.49945286</v>
      </c>
      <c r="Q1182" t="s">
        <v>2517</v>
      </c>
      <c r="W1182" t="s">
        <v>36</v>
      </c>
      <c r="X1182" t="s">
        <v>878</v>
      </c>
      <c r="Y1182" t="s">
        <v>38</v>
      </c>
      <c r="Z1182" t="s">
        <v>910</v>
      </c>
      <c r="AA1182">
        <v>3.5000000000000003E-2</v>
      </c>
      <c r="AB1182">
        <v>1</v>
      </c>
      <c r="AC1182">
        <v>365</v>
      </c>
      <c r="AD1182">
        <v>0</v>
      </c>
      <c r="AE1182" t="b">
        <f>ISNUMBER(MATCH(G1182,AUM!$C$6:$C$1451,0))</f>
        <v>0</v>
      </c>
      <c r="AF1182" t="b">
        <f>ISNUMBER(MATCH(G1182,AUM!$G$6:$G$240,0))</f>
        <v>0</v>
      </c>
    </row>
    <row r="1183" spans="1:32" x14ac:dyDescent="0.2">
      <c r="A1183" t="s">
        <v>3684</v>
      </c>
      <c r="B1183" s="1">
        <v>45671</v>
      </c>
      <c r="D1183" t="s">
        <v>3684</v>
      </c>
      <c r="E1183" t="s">
        <v>31</v>
      </c>
      <c r="F1183" t="s">
        <v>3685</v>
      </c>
      <c r="G1183" t="s">
        <v>3686</v>
      </c>
      <c r="H1183" t="s">
        <v>34</v>
      </c>
      <c r="J1183">
        <v>3948.24</v>
      </c>
      <c r="K1183">
        <v>3944.49</v>
      </c>
      <c r="L1183">
        <v>3944.4877155499998</v>
      </c>
      <c r="Q1183" t="s">
        <v>3687</v>
      </c>
      <c r="U1183">
        <v>5.5864746441599998E-3</v>
      </c>
      <c r="V1183" t="s">
        <v>3688</v>
      </c>
      <c r="W1183" t="s">
        <v>91</v>
      </c>
      <c r="X1183" t="s">
        <v>69</v>
      </c>
      <c r="Y1183" t="s">
        <v>38</v>
      </c>
      <c r="AD1183">
        <v>0</v>
      </c>
      <c r="AE1183" t="b">
        <f>ISNUMBER(MATCH(G1183,AUM!$C$6:$C$1451,0))</f>
        <v>0</v>
      </c>
      <c r="AF1183" t="b">
        <f>ISNUMBER(MATCH(G1183,AUM!$G$6:$G$240,0))</f>
        <v>0</v>
      </c>
    </row>
    <row r="1184" spans="1:32" x14ac:dyDescent="0.2">
      <c r="A1184" t="s">
        <v>3689</v>
      </c>
      <c r="B1184" s="1">
        <v>45671</v>
      </c>
      <c r="D1184" t="s">
        <v>3689</v>
      </c>
      <c r="E1184" t="s">
        <v>31</v>
      </c>
      <c r="F1184" t="s">
        <v>3690</v>
      </c>
      <c r="G1184" t="s">
        <v>3691</v>
      </c>
      <c r="H1184" t="s">
        <v>34</v>
      </c>
      <c r="J1184">
        <v>4292.03</v>
      </c>
      <c r="K1184">
        <v>4287.9399999999996</v>
      </c>
      <c r="L1184">
        <v>4287.9422535200001</v>
      </c>
      <c r="Q1184" t="s">
        <v>3687</v>
      </c>
      <c r="T1184">
        <v>7.98067806309E-3</v>
      </c>
      <c r="V1184" t="s">
        <v>3688</v>
      </c>
      <c r="W1184" t="s">
        <v>91</v>
      </c>
      <c r="X1184" t="s">
        <v>69</v>
      </c>
      <c r="Y1184" t="s">
        <v>38</v>
      </c>
      <c r="AD1184">
        <v>0</v>
      </c>
      <c r="AE1184" t="b">
        <f>ISNUMBER(MATCH(G1184,AUM!$C$6:$C$1451,0))</f>
        <v>0</v>
      </c>
      <c r="AF1184" t="b">
        <f>ISNUMBER(MATCH(G1184,AUM!$G$6:$G$240,0))</f>
        <v>0</v>
      </c>
    </row>
    <row r="1185" spans="1:32" x14ac:dyDescent="0.2">
      <c r="A1185" t="s">
        <v>3687</v>
      </c>
      <c r="B1185" s="1">
        <v>45671</v>
      </c>
      <c r="D1185" t="s">
        <v>3687</v>
      </c>
      <c r="E1185" t="s">
        <v>31</v>
      </c>
      <c r="F1185" t="s">
        <v>3692</v>
      </c>
      <c r="G1185" t="s">
        <v>3693</v>
      </c>
      <c r="H1185" t="s">
        <v>34</v>
      </c>
      <c r="I1185">
        <v>10489257220.7843</v>
      </c>
      <c r="J1185">
        <v>3037.3</v>
      </c>
      <c r="K1185">
        <v>3034.41</v>
      </c>
      <c r="L1185">
        <v>3034.4084523000001</v>
      </c>
      <c r="M1185">
        <v>31828690769052.898</v>
      </c>
      <c r="N1185">
        <v>500</v>
      </c>
      <c r="O1185" t="s">
        <v>88</v>
      </c>
      <c r="P1185">
        <v>1</v>
      </c>
      <c r="R1185" t="s">
        <v>3689</v>
      </c>
      <c r="S1185" t="s">
        <v>3684</v>
      </c>
      <c r="W1185" t="s">
        <v>91</v>
      </c>
      <c r="X1185" t="s">
        <v>37</v>
      </c>
      <c r="Y1185" t="s">
        <v>38</v>
      </c>
      <c r="AD1185">
        <v>0</v>
      </c>
      <c r="AE1185" t="b">
        <f>ISNUMBER(MATCH(G1185,AUM!$C$6:$C$1451,0))</f>
        <v>0</v>
      </c>
      <c r="AF1185" t="b">
        <f>ISNUMBER(MATCH(G1185,AUM!$G$6:$G$240,0))</f>
        <v>0</v>
      </c>
    </row>
    <row r="1186" spans="1:32" x14ac:dyDescent="0.2">
      <c r="A1186" t="s">
        <v>3694</v>
      </c>
      <c r="B1186" s="1">
        <v>45671</v>
      </c>
      <c r="D1186" t="s">
        <v>3694</v>
      </c>
      <c r="E1186" t="s">
        <v>31</v>
      </c>
      <c r="F1186" t="s">
        <v>3695</v>
      </c>
      <c r="G1186" t="s">
        <v>3696</v>
      </c>
      <c r="H1186" t="s">
        <v>34</v>
      </c>
      <c r="J1186">
        <v>1595.99</v>
      </c>
      <c r="K1186">
        <v>1587.72</v>
      </c>
      <c r="L1186">
        <v>1587.7156736899999</v>
      </c>
      <c r="Q1186" t="s">
        <v>3697</v>
      </c>
      <c r="W1186" t="s">
        <v>36</v>
      </c>
      <c r="X1186" t="s">
        <v>878</v>
      </c>
      <c r="Y1186" t="s">
        <v>38</v>
      </c>
      <c r="Z1186" t="s">
        <v>910</v>
      </c>
      <c r="AA1186">
        <v>0.05</v>
      </c>
      <c r="AB1186">
        <v>1</v>
      </c>
      <c r="AC1186">
        <v>365</v>
      </c>
      <c r="AD1186">
        <v>0</v>
      </c>
      <c r="AE1186" t="b">
        <f>ISNUMBER(MATCH(G1186,AUM!$C$6:$C$1451,0))</f>
        <v>0</v>
      </c>
      <c r="AF1186" t="b">
        <f>ISNUMBER(MATCH(G1186,AUM!$G$6:$G$240,0))</f>
        <v>0</v>
      </c>
    </row>
    <row r="1187" spans="1:32" x14ac:dyDescent="0.2">
      <c r="A1187" t="s">
        <v>3698</v>
      </c>
      <c r="B1187" s="1">
        <v>45671</v>
      </c>
      <c r="D1187" t="s">
        <v>3698</v>
      </c>
      <c r="E1187" t="s">
        <v>31</v>
      </c>
      <c r="F1187" t="s">
        <v>3699</v>
      </c>
      <c r="G1187" t="s">
        <v>3700</v>
      </c>
      <c r="H1187" t="s">
        <v>34</v>
      </c>
      <c r="J1187">
        <v>1854.97</v>
      </c>
      <c r="K1187">
        <v>1845.51</v>
      </c>
      <c r="L1187">
        <v>1845.5086543100001</v>
      </c>
      <c r="Q1187" t="s">
        <v>3697</v>
      </c>
      <c r="W1187" t="s">
        <v>36</v>
      </c>
      <c r="X1187" t="s">
        <v>878</v>
      </c>
      <c r="Y1187" t="s">
        <v>38</v>
      </c>
      <c r="Z1187" t="s">
        <v>910</v>
      </c>
      <c r="AA1187">
        <v>0.04</v>
      </c>
      <c r="AB1187">
        <v>1</v>
      </c>
      <c r="AC1187">
        <v>365</v>
      </c>
      <c r="AD1187">
        <v>0</v>
      </c>
      <c r="AE1187" t="b">
        <f>ISNUMBER(MATCH(G1187,AUM!$C$6:$C$1451,0))</f>
        <v>0</v>
      </c>
      <c r="AF1187" t="b">
        <f>ISNUMBER(MATCH(G1187,AUM!$G$6:$G$240,0))</f>
        <v>0</v>
      </c>
    </row>
    <row r="1188" spans="1:32" x14ac:dyDescent="0.2">
      <c r="A1188" t="s">
        <v>3701</v>
      </c>
      <c r="B1188" s="1">
        <v>45671</v>
      </c>
      <c r="D1188" t="s">
        <v>3701</v>
      </c>
      <c r="E1188" t="s">
        <v>31</v>
      </c>
      <c r="F1188" t="s">
        <v>3702</v>
      </c>
      <c r="G1188" t="s">
        <v>3703</v>
      </c>
      <c r="H1188" t="s">
        <v>34</v>
      </c>
      <c r="J1188">
        <v>3769.98</v>
      </c>
      <c r="K1188">
        <v>3751.99</v>
      </c>
      <c r="L1188">
        <v>3751.9918710799998</v>
      </c>
      <c r="Q1188" t="s">
        <v>3704</v>
      </c>
      <c r="T1188">
        <v>0</v>
      </c>
      <c r="W1188" t="s">
        <v>36</v>
      </c>
      <c r="X1188" t="s">
        <v>69</v>
      </c>
      <c r="Y1188" t="s">
        <v>38</v>
      </c>
      <c r="AD1188">
        <v>0</v>
      </c>
      <c r="AE1188" t="b">
        <f>ISNUMBER(MATCH(G1188,AUM!$C$6:$C$1451,0))</f>
        <v>0</v>
      </c>
      <c r="AF1188" t="b">
        <f>ISNUMBER(MATCH(G1188,AUM!$G$6:$G$240,0))</f>
        <v>0</v>
      </c>
    </row>
    <row r="1189" spans="1:32" x14ac:dyDescent="0.2">
      <c r="A1189" t="s">
        <v>3697</v>
      </c>
      <c r="B1189" s="1">
        <v>45671</v>
      </c>
      <c r="D1189" t="s">
        <v>3697</v>
      </c>
      <c r="E1189" t="s">
        <v>31</v>
      </c>
      <c r="F1189" t="s">
        <v>3705</v>
      </c>
      <c r="G1189" t="s">
        <v>3706</v>
      </c>
      <c r="H1189" t="s">
        <v>34</v>
      </c>
      <c r="J1189">
        <v>3384.8</v>
      </c>
      <c r="K1189">
        <v>3368.65</v>
      </c>
      <c r="L1189">
        <v>3368.6504697400001</v>
      </c>
      <c r="Q1189" t="s">
        <v>3704</v>
      </c>
      <c r="U1189">
        <v>0</v>
      </c>
      <c r="W1189" t="s">
        <v>36</v>
      </c>
      <c r="X1189" t="s">
        <v>69</v>
      </c>
      <c r="Y1189" t="s">
        <v>38</v>
      </c>
      <c r="AD1189">
        <v>0</v>
      </c>
      <c r="AE1189" t="b">
        <f>ISNUMBER(MATCH(G1189,AUM!$C$6:$C$1451,0))</f>
        <v>0</v>
      </c>
      <c r="AF1189" t="b">
        <f>ISNUMBER(MATCH(G1189,AUM!$G$6:$G$240,0))</f>
        <v>0</v>
      </c>
    </row>
    <row r="1190" spans="1:32" x14ac:dyDescent="0.2">
      <c r="A1190" t="s">
        <v>3704</v>
      </c>
      <c r="B1190" s="1">
        <v>45671</v>
      </c>
      <c r="D1190" t="s">
        <v>3704</v>
      </c>
      <c r="E1190" t="s">
        <v>31</v>
      </c>
      <c r="F1190" t="s">
        <v>3707</v>
      </c>
      <c r="G1190" t="s">
        <v>3708</v>
      </c>
      <c r="H1190" t="s">
        <v>34</v>
      </c>
      <c r="I1190">
        <v>1137233347.4454401</v>
      </c>
      <c r="J1190">
        <v>2399.77</v>
      </c>
      <c r="K1190">
        <v>2388.3200000000002</v>
      </c>
      <c r="L1190">
        <v>2388.3176907900001</v>
      </c>
      <c r="M1190">
        <v>2716074522265.5498</v>
      </c>
      <c r="N1190">
        <v>50</v>
      </c>
      <c r="O1190" t="s">
        <v>35</v>
      </c>
      <c r="P1190">
        <v>1</v>
      </c>
      <c r="R1190" t="s">
        <v>3701</v>
      </c>
      <c r="S1190" t="s">
        <v>3697</v>
      </c>
      <c r="W1190" t="s">
        <v>36</v>
      </c>
      <c r="X1190" t="s">
        <v>37</v>
      </c>
      <c r="Y1190" t="s">
        <v>38</v>
      </c>
      <c r="AD1190">
        <v>0</v>
      </c>
      <c r="AE1190" t="b">
        <f>ISNUMBER(MATCH(G1190,AUM!$C$6:$C$1451,0))</f>
        <v>0</v>
      </c>
      <c r="AF1190" t="b">
        <f>ISNUMBER(MATCH(G1190,AUM!$G$6:$G$240,0))</f>
        <v>0</v>
      </c>
    </row>
    <row r="1191" spans="1:32" x14ac:dyDescent="0.2">
      <c r="A1191" t="s">
        <v>3709</v>
      </c>
      <c r="B1191" s="1">
        <v>45671</v>
      </c>
      <c r="D1191" t="s">
        <v>3709</v>
      </c>
      <c r="E1191" t="s">
        <v>31</v>
      </c>
      <c r="F1191" t="s">
        <v>3710</v>
      </c>
      <c r="G1191" t="s">
        <v>3711</v>
      </c>
      <c r="H1191" t="s">
        <v>34</v>
      </c>
      <c r="J1191">
        <v>6001.98</v>
      </c>
      <c r="K1191">
        <v>6027.14</v>
      </c>
      <c r="L1191">
        <v>6027.1425905100004</v>
      </c>
      <c r="Q1191" t="s">
        <v>3712</v>
      </c>
      <c r="T1191">
        <v>1.121658502686E-2</v>
      </c>
      <c r="V1191" t="s">
        <v>3688</v>
      </c>
      <c r="W1191" t="s">
        <v>36</v>
      </c>
      <c r="X1191" t="s">
        <v>69</v>
      </c>
      <c r="Y1191" t="s">
        <v>38</v>
      </c>
      <c r="AD1191">
        <v>0</v>
      </c>
      <c r="AE1191" t="b">
        <f>ISNUMBER(MATCH(G1191,AUM!$C$6:$C$1451,0))</f>
        <v>0</v>
      </c>
      <c r="AF1191" t="b">
        <f>ISNUMBER(MATCH(G1191,AUM!$G$6:$G$240,0))</f>
        <v>0</v>
      </c>
    </row>
    <row r="1192" spans="1:32" x14ac:dyDescent="0.2">
      <c r="A1192" t="s">
        <v>3713</v>
      </c>
      <c r="B1192" s="1">
        <v>45671</v>
      </c>
      <c r="D1192" t="s">
        <v>3713</v>
      </c>
      <c r="E1192" t="s">
        <v>31</v>
      </c>
      <c r="F1192" t="s">
        <v>3714</v>
      </c>
      <c r="G1192" t="s">
        <v>3715</v>
      </c>
      <c r="H1192" t="s">
        <v>34</v>
      </c>
      <c r="J1192">
        <v>5521.35</v>
      </c>
      <c r="K1192">
        <v>5544.5</v>
      </c>
      <c r="L1192">
        <v>5544.5002443900003</v>
      </c>
      <c r="Q1192" t="s">
        <v>3712</v>
      </c>
      <c r="U1192">
        <v>7.8516095188000002E-3</v>
      </c>
      <c r="V1192" t="s">
        <v>3688</v>
      </c>
      <c r="W1192" t="s">
        <v>36</v>
      </c>
      <c r="X1192" t="s">
        <v>69</v>
      </c>
      <c r="Y1192" t="s">
        <v>38</v>
      </c>
      <c r="AD1192">
        <v>0</v>
      </c>
      <c r="AE1192" t="b">
        <f>ISNUMBER(MATCH(G1192,AUM!$C$6:$C$1451,0))</f>
        <v>0</v>
      </c>
      <c r="AF1192" t="b">
        <f>ISNUMBER(MATCH(G1192,AUM!$G$6:$G$240,0))</f>
        <v>0</v>
      </c>
    </row>
    <row r="1193" spans="1:32" x14ac:dyDescent="0.2">
      <c r="A1193" t="s">
        <v>3712</v>
      </c>
      <c r="B1193" s="1">
        <v>45671</v>
      </c>
      <c r="D1193" t="s">
        <v>3712</v>
      </c>
      <c r="E1193" t="s">
        <v>31</v>
      </c>
      <c r="F1193" t="s">
        <v>3716</v>
      </c>
      <c r="G1193" t="s">
        <v>3717</v>
      </c>
      <c r="H1193" t="s">
        <v>34</v>
      </c>
      <c r="I1193">
        <v>7318277403.3433599</v>
      </c>
      <c r="J1193">
        <v>4247.38</v>
      </c>
      <c r="K1193">
        <v>4265.1899999999996</v>
      </c>
      <c r="L1193">
        <v>4265.1851140600002</v>
      </c>
      <c r="M1193">
        <v>31213807841318.699</v>
      </c>
      <c r="N1193">
        <v>500</v>
      </c>
      <c r="O1193" t="s">
        <v>35</v>
      </c>
      <c r="P1193">
        <v>1</v>
      </c>
      <c r="R1193" t="s">
        <v>3709</v>
      </c>
      <c r="S1193" t="s">
        <v>3713</v>
      </c>
      <c r="W1193" t="s">
        <v>36</v>
      </c>
      <c r="X1193" t="s">
        <v>37</v>
      </c>
      <c r="Y1193" t="s">
        <v>38</v>
      </c>
      <c r="AD1193">
        <v>0</v>
      </c>
      <c r="AE1193" t="b">
        <f>ISNUMBER(MATCH(G1193,AUM!$C$6:$C$1451,0))</f>
        <v>0</v>
      </c>
      <c r="AF1193" t="b">
        <f>ISNUMBER(MATCH(G1193,AUM!$G$6:$G$240,0))</f>
        <v>0</v>
      </c>
    </row>
    <row r="1194" spans="1:32" x14ac:dyDescent="0.2">
      <c r="A1194" t="s">
        <v>3718</v>
      </c>
      <c r="B1194" s="1">
        <v>45671</v>
      </c>
      <c r="D1194" t="s">
        <v>3718</v>
      </c>
      <c r="E1194" t="s">
        <v>31</v>
      </c>
      <c r="F1194" t="s">
        <v>3719</v>
      </c>
      <c r="G1194" t="s">
        <v>3720</v>
      </c>
      <c r="H1194" t="s">
        <v>34</v>
      </c>
      <c r="J1194">
        <v>2996.17</v>
      </c>
      <c r="K1194">
        <v>3028.98</v>
      </c>
      <c r="L1194">
        <v>3028.9802705699999</v>
      </c>
      <c r="Q1194" t="s">
        <v>3721</v>
      </c>
      <c r="W1194" t="s">
        <v>36</v>
      </c>
      <c r="X1194" t="s">
        <v>878</v>
      </c>
      <c r="Y1194" t="s">
        <v>38</v>
      </c>
      <c r="Z1194" t="s">
        <v>910</v>
      </c>
      <c r="AA1194">
        <v>0.05</v>
      </c>
      <c r="AB1194">
        <v>1</v>
      </c>
      <c r="AC1194">
        <v>365</v>
      </c>
      <c r="AD1194">
        <v>0</v>
      </c>
      <c r="AE1194" t="b">
        <f>ISNUMBER(MATCH(G1194,AUM!$C$6:$C$1451,0))</f>
        <v>1</v>
      </c>
      <c r="AF1194" t="b">
        <f>ISNUMBER(MATCH(G1194,AUM!$G$6:$G$240,0))</f>
        <v>0</v>
      </c>
    </row>
    <row r="1195" spans="1:32" x14ac:dyDescent="0.2">
      <c r="A1195" t="s">
        <v>3722</v>
      </c>
      <c r="B1195" s="1">
        <v>45671</v>
      </c>
      <c r="D1195" t="s">
        <v>3722</v>
      </c>
      <c r="E1195" t="s">
        <v>31</v>
      </c>
      <c r="F1195" t="s">
        <v>3723</v>
      </c>
      <c r="G1195" t="s">
        <v>3724</v>
      </c>
      <c r="H1195" t="s">
        <v>34</v>
      </c>
      <c r="J1195">
        <v>6740.82</v>
      </c>
      <c r="K1195">
        <v>6817.42</v>
      </c>
      <c r="L1195">
        <v>6817.4164132100004</v>
      </c>
      <c r="Q1195" t="s">
        <v>3725</v>
      </c>
      <c r="T1195">
        <v>4.7275885817919999E-2</v>
      </c>
      <c r="V1195" t="s">
        <v>1894</v>
      </c>
      <c r="W1195" t="s">
        <v>36</v>
      </c>
      <c r="X1195" t="s">
        <v>69</v>
      </c>
      <c r="Y1195" t="s">
        <v>38</v>
      </c>
      <c r="AD1195">
        <v>0</v>
      </c>
      <c r="AE1195" t="b">
        <f>ISNUMBER(MATCH(G1195,AUM!$C$6:$C$1451,0))</f>
        <v>1</v>
      </c>
      <c r="AF1195" t="b">
        <f>ISNUMBER(MATCH(G1195,AUM!$G$6:$G$240,0))</f>
        <v>0</v>
      </c>
    </row>
    <row r="1196" spans="1:32" x14ac:dyDescent="0.2">
      <c r="A1196" t="s">
        <v>3721</v>
      </c>
      <c r="B1196" s="1">
        <v>45671</v>
      </c>
      <c r="D1196" t="s">
        <v>3721</v>
      </c>
      <c r="E1196" t="s">
        <v>31</v>
      </c>
      <c r="F1196" t="s">
        <v>3726</v>
      </c>
      <c r="G1196" t="s">
        <v>3727</v>
      </c>
      <c r="H1196" t="s">
        <v>34</v>
      </c>
      <c r="J1196">
        <v>6353.33</v>
      </c>
      <c r="K1196">
        <v>6425.53</v>
      </c>
      <c r="L1196">
        <v>6425.5257624899996</v>
      </c>
      <c r="Q1196" t="s">
        <v>3725</v>
      </c>
      <c r="U1196">
        <v>3.3093120072549997E-2</v>
      </c>
      <c r="V1196" t="s">
        <v>1894</v>
      </c>
      <c r="W1196" t="s">
        <v>36</v>
      </c>
      <c r="X1196" t="s">
        <v>69</v>
      </c>
      <c r="Y1196" t="s">
        <v>38</v>
      </c>
      <c r="AD1196">
        <v>0</v>
      </c>
      <c r="AE1196" t="b">
        <f>ISNUMBER(MATCH(G1196,AUM!$C$6:$C$1451,0))</f>
        <v>1</v>
      </c>
      <c r="AF1196" t="b">
        <f>ISNUMBER(MATCH(G1196,AUM!$G$6:$G$240,0))</f>
        <v>0</v>
      </c>
    </row>
    <row r="1197" spans="1:32" x14ac:dyDescent="0.2">
      <c r="A1197" t="s">
        <v>3725</v>
      </c>
      <c r="B1197" s="1">
        <v>45671</v>
      </c>
      <c r="D1197" t="s">
        <v>3725</v>
      </c>
      <c r="E1197" t="s">
        <v>31</v>
      </c>
      <c r="F1197" t="s">
        <v>3728</v>
      </c>
      <c r="G1197" t="s">
        <v>3729</v>
      </c>
      <c r="H1197" t="s">
        <v>34</v>
      </c>
      <c r="I1197">
        <v>1012534.99904373</v>
      </c>
      <c r="J1197">
        <v>5287.91</v>
      </c>
      <c r="K1197">
        <v>5347.99</v>
      </c>
      <c r="L1197">
        <v>5347.9948998299997</v>
      </c>
      <c r="M1197">
        <v>5415032010.7881203</v>
      </c>
      <c r="N1197">
        <v>50</v>
      </c>
      <c r="O1197" t="s">
        <v>35</v>
      </c>
      <c r="P1197">
        <v>1</v>
      </c>
      <c r="R1197" t="s">
        <v>3722</v>
      </c>
      <c r="S1197" t="s">
        <v>3721</v>
      </c>
      <c r="W1197" t="s">
        <v>36</v>
      </c>
      <c r="X1197" t="s">
        <v>37</v>
      </c>
      <c r="Y1197" t="s">
        <v>38</v>
      </c>
      <c r="AD1197">
        <v>0</v>
      </c>
      <c r="AE1197" t="b">
        <f>ISNUMBER(MATCH(G1197,AUM!$C$6:$C$1451,0))</f>
        <v>1</v>
      </c>
      <c r="AF1197" t="b">
        <f>ISNUMBER(MATCH(G1197,AUM!$G$6:$G$240,0))</f>
        <v>1</v>
      </c>
    </row>
    <row r="1198" spans="1:32" x14ac:dyDescent="0.2">
      <c r="A1198" t="s">
        <v>3730</v>
      </c>
      <c r="B1198" s="1">
        <v>45671</v>
      </c>
      <c r="D1198" t="s">
        <v>3730</v>
      </c>
      <c r="E1198" t="s">
        <v>31</v>
      </c>
      <c r="F1198" t="s">
        <v>3731</v>
      </c>
      <c r="G1198" t="s">
        <v>3732</v>
      </c>
      <c r="H1198" t="s">
        <v>34</v>
      </c>
      <c r="J1198">
        <v>920.28</v>
      </c>
      <c r="K1198">
        <v>915.88</v>
      </c>
      <c r="L1198">
        <v>915.88172478000001</v>
      </c>
      <c r="Q1198" t="s">
        <v>3733</v>
      </c>
      <c r="W1198" t="s">
        <v>36</v>
      </c>
      <c r="X1198" t="s">
        <v>878</v>
      </c>
      <c r="Y1198" t="s">
        <v>38</v>
      </c>
      <c r="Z1198" t="s">
        <v>879</v>
      </c>
      <c r="AA1198">
        <v>50</v>
      </c>
      <c r="AB1198">
        <v>1</v>
      </c>
      <c r="AC1198">
        <v>365</v>
      </c>
      <c r="AD1198">
        <v>0</v>
      </c>
      <c r="AE1198" t="b">
        <f>ISNUMBER(MATCH(G1198,AUM!$C$6:$C$1451,0))</f>
        <v>0</v>
      </c>
      <c r="AF1198" t="b">
        <f>ISNUMBER(MATCH(G1198,AUM!$G$6:$G$240,0))</f>
        <v>0</v>
      </c>
    </row>
    <row r="1199" spans="1:32" x14ac:dyDescent="0.2">
      <c r="A1199" t="s">
        <v>3734</v>
      </c>
      <c r="B1199" s="1">
        <v>45671</v>
      </c>
      <c r="D1199" t="s">
        <v>3734</v>
      </c>
      <c r="E1199" t="s">
        <v>31</v>
      </c>
      <c r="F1199" t="s">
        <v>3735</v>
      </c>
      <c r="G1199" t="s">
        <v>3736</v>
      </c>
      <c r="H1199" t="s">
        <v>34</v>
      </c>
      <c r="J1199">
        <v>3773.76</v>
      </c>
      <c r="K1199">
        <v>3755.87</v>
      </c>
      <c r="L1199">
        <v>3755.87390026</v>
      </c>
      <c r="Q1199" t="s">
        <v>3737</v>
      </c>
      <c r="W1199" t="s">
        <v>36</v>
      </c>
      <c r="X1199" t="s">
        <v>878</v>
      </c>
      <c r="Y1199" t="s">
        <v>38</v>
      </c>
      <c r="Z1199" t="s">
        <v>910</v>
      </c>
      <c r="AA1199">
        <v>0.05</v>
      </c>
      <c r="AB1199">
        <v>1</v>
      </c>
      <c r="AC1199">
        <v>365</v>
      </c>
      <c r="AD1199">
        <v>0</v>
      </c>
      <c r="AE1199" t="b">
        <f>ISNUMBER(MATCH(G1199,AUM!$C$6:$C$1451,0))</f>
        <v>0</v>
      </c>
      <c r="AF1199" t="b">
        <f>ISNUMBER(MATCH(G1199,AUM!$G$6:$G$240,0))</f>
        <v>0</v>
      </c>
    </row>
    <row r="1200" spans="1:32" x14ac:dyDescent="0.2">
      <c r="A1200" t="s">
        <v>3733</v>
      </c>
      <c r="B1200" s="1">
        <v>45671</v>
      </c>
      <c r="D1200" t="s">
        <v>3733</v>
      </c>
      <c r="E1200" t="s">
        <v>31</v>
      </c>
      <c r="F1200" t="s">
        <v>3738</v>
      </c>
      <c r="G1200" t="s">
        <v>3739</v>
      </c>
      <c r="H1200" t="s">
        <v>34</v>
      </c>
      <c r="J1200">
        <v>11062.87</v>
      </c>
      <c r="K1200">
        <v>11014.97</v>
      </c>
      <c r="L1200">
        <v>11014.966798470001</v>
      </c>
      <c r="Q1200" t="s">
        <v>3740</v>
      </c>
      <c r="T1200">
        <v>0</v>
      </c>
      <c r="W1200" t="s">
        <v>36</v>
      </c>
      <c r="X1200" t="s">
        <v>69</v>
      </c>
      <c r="Y1200" t="s">
        <v>38</v>
      </c>
      <c r="AD1200">
        <v>0</v>
      </c>
      <c r="AE1200" t="b">
        <f>ISNUMBER(MATCH(G1200,AUM!$C$6:$C$1451,0))</f>
        <v>1</v>
      </c>
      <c r="AF1200" t="b">
        <f>ISNUMBER(MATCH(G1200,AUM!$G$6:$G$240,0))</f>
        <v>0</v>
      </c>
    </row>
    <row r="1201" spans="1:32" x14ac:dyDescent="0.2">
      <c r="A1201" t="s">
        <v>3737</v>
      </c>
      <c r="B1201" s="1">
        <v>45671</v>
      </c>
      <c r="D1201" t="s">
        <v>3737</v>
      </c>
      <c r="E1201" t="s">
        <v>31</v>
      </c>
      <c r="F1201" t="s">
        <v>3741</v>
      </c>
      <c r="G1201" t="s">
        <v>3742</v>
      </c>
      <c r="H1201" t="s">
        <v>34</v>
      </c>
      <c r="J1201">
        <v>9781.9</v>
      </c>
      <c r="K1201">
        <v>9739.5499999999993</v>
      </c>
      <c r="L1201">
        <v>9739.5465123100003</v>
      </c>
      <c r="Q1201" t="s">
        <v>3740</v>
      </c>
      <c r="U1201">
        <v>0</v>
      </c>
      <c r="W1201" t="s">
        <v>36</v>
      </c>
      <c r="X1201" t="s">
        <v>69</v>
      </c>
      <c r="Y1201" t="s">
        <v>38</v>
      </c>
      <c r="AD1201">
        <v>0</v>
      </c>
      <c r="AE1201" t="b">
        <f>ISNUMBER(MATCH(G1201,AUM!$C$6:$C$1451,0))</f>
        <v>1</v>
      </c>
      <c r="AF1201" t="b">
        <f>ISNUMBER(MATCH(G1201,AUM!$G$6:$G$240,0))</f>
        <v>0</v>
      </c>
    </row>
    <row r="1202" spans="1:32" x14ac:dyDescent="0.2">
      <c r="A1202" t="s">
        <v>3740</v>
      </c>
      <c r="B1202" s="1">
        <v>45671</v>
      </c>
      <c r="D1202" t="s">
        <v>3740</v>
      </c>
      <c r="E1202" t="s">
        <v>31</v>
      </c>
      <c r="F1202" t="s">
        <v>3743</v>
      </c>
      <c r="G1202" t="s">
        <v>3744</v>
      </c>
      <c r="H1202" t="s">
        <v>34</v>
      </c>
      <c r="I1202">
        <v>993967.43370945903</v>
      </c>
      <c r="J1202">
        <v>6919.02</v>
      </c>
      <c r="K1202">
        <v>6889.06</v>
      </c>
      <c r="L1202">
        <v>6889.0596560499998</v>
      </c>
      <c r="M1202">
        <v>6847500946.9973497</v>
      </c>
      <c r="N1202">
        <v>40</v>
      </c>
      <c r="O1202" t="s">
        <v>35</v>
      </c>
      <c r="P1202">
        <v>1</v>
      </c>
      <c r="R1202" t="s">
        <v>3733</v>
      </c>
      <c r="S1202" t="s">
        <v>3737</v>
      </c>
      <c r="W1202" t="s">
        <v>36</v>
      </c>
      <c r="X1202" t="s">
        <v>37</v>
      </c>
      <c r="Y1202" t="s">
        <v>38</v>
      </c>
      <c r="AD1202">
        <v>0</v>
      </c>
      <c r="AE1202" t="b">
        <f>ISNUMBER(MATCH(G1202,AUM!$C$6:$C$1451,0))</f>
        <v>1</v>
      </c>
      <c r="AF1202" t="b">
        <f>ISNUMBER(MATCH(G1202,AUM!$G$6:$G$240,0))</f>
        <v>1</v>
      </c>
    </row>
    <row r="1203" spans="1:32" x14ac:dyDescent="0.2">
      <c r="A1203" t="s">
        <v>3745</v>
      </c>
      <c r="B1203" s="1">
        <v>45671</v>
      </c>
      <c r="D1203" t="s">
        <v>3745</v>
      </c>
      <c r="E1203" t="s">
        <v>31</v>
      </c>
      <c r="F1203" t="s">
        <v>3746</v>
      </c>
      <c r="G1203" t="s">
        <v>3747</v>
      </c>
      <c r="H1203" t="s">
        <v>34</v>
      </c>
      <c r="J1203">
        <v>912.91</v>
      </c>
      <c r="K1203">
        <v>909.07</v>
      </c>
      <c r="L1203">
        <v>909.06830839999998</v>
      </c>
      <c r="Q1203" t="s">
        <v>3748</v>
      </c>
      <c r="W1203" t="s">
        <v>36</v>
      </c>
      <c r="X1203" t="s">
        <v>878</v>
      </c>
      <c r="Y1203" t="s">
        <v>38</v>
      </c>
      <c r="Z1203" t="s">
        <v>879</v>
      </c>
      <c r="AA1203">
        <v>50</v>
      </c>
      <c r="AB1203">
        <v>1</v>
      </c>
      <c r="AC1203">
        <v>365</v>
      </c>
      <c r="AD1203">
        <v>0</v>
      </c>
      <c r="AE1203" t="b">
        <f>ISNUMBER(MATCH(G1203,AUM!$C$6:$C$1451,0))</f>
        <v>0</v>
      </c>
      <c r="AF1203" t="b">
        <f>ISNUMBER(MATCH(G1203,AUM!$G$6:$G$240,0))</f>
        <v>0</v>
      </c>
    </row>
    <row r="1204" spans="1:32" x14ac:dyDescent="0.2">
      <c r="A1204" t="s">
        <v>3749</v>
      </c>
      <c r="B1204" s="1">
        <v>45671</v>
      </c>
      <c r="D1204" t="s">
        <v>3749</v>
      </c>
      <c r="E1204" t="s">
        <v>31</v>
      </c>
      <c r="F1204" t="s">
        <v>3750</v>
      </c>
      <c r="G1204" t="s">
        <v>3751</v>
      </c>
      <c r="H1204" t="s">
        <v>34</v>
      </c>
      <c r="J1204">
        <v>3853.64</v>
      </c>
      <c r="K1204">
        <v>3837.56</v>
      </c>
      <c r="L1204">
        <v>3837.5615591800001</v>
      </c>
      <c r="Q1204" t="s">
        <v>3752</v>
      </c>
      <c r="W1204" t="s">
        <v>36</v>
      </c>
      <c r="X1204" t="s">
        <v>878</v>
      </c>
      <c r="Y1204" t="s">
        <v>38</v>
      </c>
      <c r="Z1204" t="s">
        <v>910</v>
      </c>
      <c r="AA1204">
        <v>0.05</v>
      </c>
      <c r="AB1204">
        <v>1</v>
      </c>
      <c r="AC1204">
        <v>365</v>
      </c>
      <c r="AD1204">
        <v>0</v>
      </c>
      <c r="AE1204" t="b">
        <f>ISNUMBER(MATCH(G1204,AUM!$C$6:$C$1451,0))</f>
        <v>0</v>
      </c>
      <c r="AF1204" t="b">
        <f>ISNUMBER(MATCH(G1204,AUM!$G$6:$G$240,0))</f>
        <v>0</v>
      </c>
    </row>
    <row r="1205" spans="1:32" x14ac:dyDescent="0.2">
      <c r="A1205" t="s">
        <v>3748</v>
      </c>
      <c r="B1205" s="1">
        <v>45671</v>
      </c>
      <c r="D1205" t="s">
        <v>3748</v>
      </c>
      <c r="E1205" t="s">
        <v>31</v>
      </c>
      <c r="F1205" t="s">
        <v>3753</v>
      </c>
      <c r="G1205" t="s">
        <v>3754</v>
      </c>
      <c r="H1205" t="s">
        <v>34</v>
      </c>
      <c r="J1205">
        <v>9005.64</v>
      </c>
      <c r="K1205">
        <v>8971.7800000000007</v>
      </c>
      <c r="L1205">
        <v>8971.7773078200007</v>
      </c>
      <c r="Q1205" t="s">
        <v>3755</v>
      </c>
      <c r="T1205">
        <v>0</v>
      </c>
      <c r="W1205" t="s">
        <v>36</v>
      </c>
      <c r="X1205" t="s">
        <v>69</v>
      </c>
      <c r="Y1205" t="s">
        <v>38</v>
      </c>
      <c r="AD1205">
        <v>0</v>
      </c>
      <c r="AE1205" t="b">
        <f>ISNUMBER(MATCH(G1205,AUM!$C$6:$C$1451,0))</f>
        <v>1</v>
      </c>
      <c r="AF1205" t="b">
        <f>ISNUMBER(MATCH(G1205,AUM!$G$6:$G$240,0))</f>
        <v>0</v>
      </c>
    </row>
    <row r="1206" spans="1:32" x14ac:dyDescent="0.2">
      <c r="A1206" t="s">
        <v>3752</v>
      </c>
      <c r="B1206" s="1">
        <v>45671</v>
      </c>
      <c r="D1206" t="s">
        <v>3752</v>
      </c>
      <c r="E1206" t="s">
        <v>31</v>
      </c>
      <c r="F1206" t="s">
        <v>3756</v>
      </c>
      <c r="G1206" t="s">
        <v>3757</v>
      </c>
      <c r="H1206" t="s">
        <v>34</v>
      </c>
      <c r="J1206">
        <v>8171.65</v>
      </c>
      <c r="K1206">
        <v>8140.92</v>
      </c>
      <c r="L1206">
        <v>8140.92105782</v>
      </c>
      <c r="Q1206" t="s">
        <v>3755</v>
      </c>
      <c r="U1206">
        <v>0</v>
      </c>
      <c r="W1206" t="s">
        <v>36</v>
      </c>
      <c r="X1206" t="s">
        <v>69</v>
      </c>
      <c r="Y1206" t="s">
        <v>38</v>
      </c>
      <c r="AD1206">
        <v>0</v>
      </c>
      <c r="AE1206" t="b">
        <f>ISNUMBER(MATCH(G1206,AUM!$C$6:$C$1451,0))</f>
        <v>1</v>
      </c>
      <c r="AF1206" t="b">
        <f>ISNUMBER(MATCH(G1206,AUM!$G$6:$G$240,0))</f>
        <v>0</v>
      </c>
    </row>
    <row r="1207" spans="1:32" x14ac:dyDescent="0.2">
      <c r="A1207" t="s">
        <v>3755</v>
      </c>
      <c r="B1207" s="1">
        <v>45671</v>
      </c>
      <c r="D1207" t="s">
        <v>3755</v>
      </c>
      <c r="E1207" t="s">
        <v>31</v>
      </c>
      <c r="F1207" t="s">
        <v>3758</v>
      </c>
      <c r="G1207" t="s">
        <v>3759</v>
      </c>
      <c r="H1207" t="s">
        <v>34</v>
      </c>
      <c r="I1207">
        <v>1002232.2107933901</v>
      </c>
      <c r="J1207">
        <v>6243.69</v>
      </c>
      <c r="K1207">
        <v>6220.22</v>
      </c>
      <c r="L1207">
        <v>6220.21584076</v>
      </c>
      <c r="M1207">
        <v>6234100673.6968403</v>
      </c>
      <c r="N1207">
        <v>60</v>
      </c>
      <c r="O1207" t="s">
        <v>35</v>
      </c>
      <c r="P1207">
        <v>1</v>
      </c>
      <c r="R1207" t="s">
        <v>3748</v>
      </c>
      <c r="S1207" t="s">
        <v>3752</v>
      </c>
      <c r="W1207" t="s">
        <v>36</v>
      </c>
      <c r="X1207" t="s">
        <v>37</v>
      </c>
      <c r="Y1207" t="s">
        <v>38</v>
      </c>
      <c r="AD1207">
        <v>0</v>
      </c>
      <c r="AE1207" t="b">
        <f>ISNUMBER(MATCH(G1207,AUM!$C$6:$C$1451,0))</f>
        <v>1</v>
      </c>
      <c r="AF1207" t="b">
        <f>ISNUMBER(MATCH(G1207,AUM!$G$6:$G$240,0))</f>
        <v>1</v>
      </c>
    </row>
    <row r="1208" spans="1:32" x14ac:dyDescent="0.2">
      <c r="A1208" t="s">
        <v>3760</v>
      </c>
      <c r="B1208" s="1">
        <v>45671</v>
      </c>
      <c r="D1208" t="s">
        <v>3760</v>
      </c>
      <c r="E1208" t="s">
        <v>31</v>
      </c>
      <c r="F1208" t="s">
        <v>3761</v>
      </c>
      <c r="G1208" t="s">
        <v>3762</v>
      </c>
      <c r="H1208" t="s">
        <v>34</v>
      </c>
      <c r="J1208">
        <v>6135.56</v>
      </c>
      <c r="K1208">
        <v>6139.99</v>
      </c>
      <c r="L1208">
        <v>6139.99480288</v>
      </c>
      <c r="Q1208" t="s">
        <v>3763</v>
      </c>
      <c r="T1208">
        <v>0</v>
      </c>
      <c r="W1208" t="s">
        <v>36</v>
      </c>
      <c r="X1208" t="s">
        <v>69</v>
      </c>
      <c r="Y1208" t="s">
        <v>38</v>
      </c>
      <c r="AD1208">
        <v>0</v>
      </c>
      <c r="AE1208" t="b">
        <f>ISNUMBER(MATCH(G1208,AUM!$C$6:$C$1451,0))</f>
        <v>1</v>
      </c>
      <c r="AF1208" t="b">
        <f>ISNUMBER(MATCH(G1208,AUM!$G$6:$G$240,0))</f>
        <v>0</v>
      </c>
    </row>
    <row r="1209" spans="1:32" x14ac:dyDescent="0.2">
      <c r="A1209" t="s">
        <v>3764</v>
      </c>
      <c r="B1209" s="1">
        <v>45671</v>
      </c>
      <c r="D1209" t="s">
        <v>3764</v>
      </c>
      <c r="E1209" t="s">
        <v>31</v>
      </c>
      <c r="F1209" t="s">
        <v>3765</v>
      </c>
      <c r="G1209" t="s">
        <v>3766</v>
      </c>
      <c r="H1209" t="s">
        <v>34</v>
      </c>
      <c r="J1209">
        <v>5461.68</v>
      </c>
      <c r="K1209">
        <v>5465.63</v>
      </c>
      <c r="L1209">
        <v>5465.6283615599996</v>
      </c>
      <c r="Q1209" t="s">
        <v>3763</v>
      </c>
      <c r="U1209">
        <v>0</v>
      </c>
      <c r="W1209" t="s">
        <v>36</v>
      </c>
      <c r="X1209" t="s">
        <v>69</v>
      </c>
      <c r="Y1209" t="s">
        <v>38</v>
      </c>
      <c r="AD1209">
        <v>0</v>
      </c>
      <c r="AE1209" t="b">
        <f>ISNUMBER(MATCH(G1209,AUM!$C$6:$C$1451,0))</f>
        <v>1</v>
      </c>
      <c r="AF1209" t="b">
        <f>ISNUMBER(MATCH(G1209,AUM!$G$6:$G$240,0))</f>
        <v>0</v>
      </c>
    </row>
    <row r="1210" spans="1:32" x14ac:dyDescent="0.2">
      <c r="A1210" t="s">
        <v>3763</v>
      </c>
      <c r="B1210" s="1">
        <v>45671</v>
      </c>
      <c r="D1210" t="s">
        <v>3763</v>
      </c>
      <c r="E1210" t="s">
        <v>31</v>
      </c>
      <c r="F1210" t="s">
        <v>3767</v>
      </c>
      <c r="G1210" t="s">
        <v>3768</v>
      </c>
      <c r="H1210" t="s">
        <v>34</v>
      </c>
      <c r="I1210">
        <v>1009068.75174109</v>
      </c>
      <c r="J1210">
        <v>3986.39</v>
      </c>
      <c r="K1210">
        <v>3989.28</v>
      </c>
      <c r="L1210">
        <v>3989.2794869600002</v>
      </c>
      <c r="M1210">
        <v>4025457272.2522101</v>
      </c>
      <c r="N1210">
        <v>50</v>
      </c>
      <c r="O1210" t="s">
        <v>35</v>
      </c>
      <c r="P1210">
        <v>1</v>
      </c>
      <c r="R1210" t="s">
        <v>3760</v>
      </c>
      <c r="S1210" t="s">
        <v>3764</v>
      </c>
      <c r="W1210" t="s">
        <v>36</v>
      </c>
      <c r="X1210" t="s">
        <v>37</v>
      </c>
      <c r="Y1210" t="s">
        <v>38</v>
      </c>
      <c r="AD1210">
        <v>0</v>
      </c>
      <c r="AE1210" t="b">
        <f>ISNUMBER(MATCH(G1210,AUM!$C$6:$C$1451,0))</f>
        <v>1</v>
      </c>
      <c r="AF1210" t="b">
        <f>ISNUMBER(MATCH(G1210,AUM!$G$6:$G$240,0))</f>
        <v>1</v>
      </c>
    </row>
    <row r="1211" spans="1:32" x14ac:dyDescent="0.2">
      <c r="A1211" t="s">
        <v>3368</v>
      </c>
      <c r="B1211" s="1">
        <v>45671</v>
      </c>
      <c r="D1211" t="s">
        <v>3368</v>
      </c>
      <c r="E1211" t="s">
        <v>31</v>
      </c>
      <c r="F1211" t="s">
        <v>3769</v>
      </c>
      <c r="G1211" t="s">
        <v>3770</v>
      </c>
      <c r="H1211" t="s">
        <v>34</v>
      </c>
      <c r="J1211">
        <v>6315.59</v>
      </c>
      <c r="K1211">
        <v>6340.6</v>
      </c>
      <c r="L1211">
        <v>6340.6020250800002</v>
      </c>
      <c r="Q1211" t="s">
        <v>3771</v>
      </c>
      <c r="T1211">
        <v>0</v>
      </c>
      <c r="W1211" t="s">
        <v>36</v>
      </c>
      <c r="X1211" t="s">
        <v>69</v>
      </c>
      <c r="Y1211" t="s">
        <v>38</v>
      </c>
      <c r="AD1211">
        <v>0</v>
      </c>
      <c r="AE1211" t="b">
        <f>ISNUMBER(MATCH(G1211,AUM!$C$6:$C$1451,0))</f>
        <v>0</v>
      </c>
      <c r="AF1211" t="b">
        <f>ISNUMBER(MATCH(G1211,AUM!$G$6:$G$240,0))</f>
        <v>0</v>
      </c>
    </row>
    <row r="1212" spans="1:32" x14ac:dyDescent="0.2">
      <c r="A1212" t="s">
        <v>3771</v>
      </c>
      <c r="B1212" s="1">
        <v>45671</v>
      </c>
      <c r="D1212" t="s">
        <v>3771</v>
      </c>
      <c r="E1212" t="s">
        <v>31</v>
      </c>
      <c r="F1212" t="s">
        <v>3772</v>
      </c>
      <c r="G1212" t="s">
        <v>3773</v>
      </c>
      <c r="H1212" t="s">
        <v>34</v>
      </c>
      <c r="I1212">
        <v>1000000</v>
      </c>
      <c r="J1212">
        <v>6315.59</v>
      </c>
      <c r="K1212">
        <v>6340.6</v>
      </c>
      <c r="L1212">
        <v>6340.6020250800002</v>
      </c>
      <c r="M1212">
        <v>6340602025.0806904</v>
      </c>
      <c r="N1212">
        <v>3</v>
      </c>
      <c r="O1212" t="s">
        <v>35</v>
      </c>
      <c r="P1212">
        <v>1</v>
      </c>
      <c r="R1212" t="s">
        <v>3368</v>
      </c>
      <c r="W1212" t="s">
        <v>36</v>
      </c>
      <c r="X1212" t="s">
        <v>37</v>
      </c>
      <c r="Y1212" t="s">
        <v>38</v>
      </c>
      <c r="AD1212">
        <v>0</v>
      </c>
      <c r="AE1212" t="b">
        <f>ISNUMBER(MATCH(G1212,AUM!$C$6:$C$1451,0))</f>
        <v>0</v>
      </c>
      <c r="AF1212" t="b">
        <f>ISNUMBER(MATCH(G1212,AUM!$G$6:$G$240,0))</f>
        <v>0</v>
      </c>
    </row>
    <row r="1213" spans="1:32" x14ac:dyDescent="0.2">
      <c r="A1213" t="s">
        <v>3774</v>
      </c>
      <c r="B1213" s="1">
        <v>45671</v>
      </c>
      <c r="D1213" t="s">
        <v>3774</v>
      </c>
      <c r="E1213" t="s">
        <v>31</v>
      </c>
      <c r="F1213" t="s">
        <v>3775</v>
      </c>
      <c r="G1213" t="s">
        <v>3776</v>
      </c>
      <c r="H1213" t="s">
        <v>34</v>
      </c>
      <c r="J1213">
        <v>3302.31</v>
      </c>
      <c r="K1213">
        <v>3313.62</v>
      </c>
      <c r="L1213">
        <v>3313.6169454699998</v>
      </c>
      <c r="Q1213" t="s">
        <v>3777</v>
      </c>
      <c r="W1213" t="s">
        <v>36</v>
      </c>
      <c r="X1213" t="s">
        <v>878</v>
      </c>
      <c r="Y1213" t="s">
        <v>38</v>
      </c>
      <c r="Z1213" t="s">
        <v>910</v>
      </c>
      <c r="AA1213">
        <v>0.05</v>
      </c>
      <c r="AB1213">
        <v>1</v>
      </c>
      <c r="AC1213">
        <v>365</v>
      </c>
      <c r="AD1213">
        <v>0</v>
      </c>
      <c r="AE1213" t="b">
        <f>ISNUMBER(MATCH(G1213,AUM!$C$6:$C$1451,0))</f>
        <v>1</v>
      </c>
      <c r="AF1213" t="b">
        <f>ISNUMBER(MATCH(G1213,AUM!$G$6:$G$240,0))</f>
        <v>0</v>
      </c>
    </row>
    <row r="1214" spans="1:32" x14ac:dyDescent="0.2">
      <c r="A1214" t="s">
        <v>3778</v>
      </c>
      <c r="B1214" s="1">
        <v>45671</v>
      </c>
      <c r="D1214" t="s">
        <v>3778</v>
      </c>
      <c r="E1214" t="s">
        <v>31</v>
      </c>
      <c r="F1214" t="s">
        <v>3779</v>
      </c>
      <c r="G1214" t="s">
        <v>3780</v>
      </c>
      <c r="H1214" t="s">
        <v>34</v>
      </c>
      <c r="J1214">
        <v>7828.11</v>
      </c>
      <c r="K1214">
        <v>7858.14</v>
      </c>
      <c r="L1214">
        <v>7858.1414812900002</v>
      </c>
      <c r="Q1214" t="s">
        <v>3781</v>
      </c>
      <c r="T1214">
        <v>0</v>
      </c>
      <c r="W1214" t="s">
        <v>36</v>
      </c>
      <c r="X1214" t="s">
        <v>69</v>
      </c>
      <c r="Y1214" t="s">
        <v>38</v>
      </c>
      <c r="AD1214">
        <v>0</v>
      </c>
      <c r="AE1214" t="b">
        <f>ISNUMBER(MATCH(G1214,AUM!$C$6:$C$1451,0))</f>
        <v>1</v>
      </c>
      <c r="AF1214" t="b">
        <f>ISNUMBER(MATCH(G1214,AUM!$G$6:$G$240,0))</f>
        <v>0</v>
      </c>
    </row>
    <row r="1215" spans="1:32" x14ac:dyDescent="0.2">
      <c r="A1215" t="s">
        <v>3777</v>
      </c>
      <c r="B1215" s="1">
        <v>45671</v>
      </c>
      <c r="D1215" t="s">
        <v>3777</v>
      </c>
      <c r="E1215" t="s">
        <v>31</v>
      </c>
      <c r="F1215" t="s">
        <v>3782</v>
      </c>
      <c r="G1215" t="s">
        <v>3783</v>
      </c>
      <c r="H1215" t="s">
        <v>34</v>
      </c>
      <c r="J1215">
        <v>7002.14</v>
      </c>
      <c r="K1215">
        <v>7029</v>
      </c>
      <c r="L1215">
        <v>7029.00311891</v>
      </c>
      <c r="Q1215" t="s">
        <v>3781</v>
      </c>
      <c r="U1215">
        <v>0</v>
      </c>
      <c r="W1215" t="s">
        <v>36</v>
      </c>
      <c r="X1215" t="s">
        <v>69</v>
      </c>
      <c r="Y1215" t="s">
        <v>38</v>
      </c>
      <c r="AD1215">
        <v>0</v>
      </c>
      <c r="AE1215" t="b">
        <f>ISNUMBER(MATCH(G1215,AUM!$C$6:$C$1451,0))</f>
        <v>1</v>
      </c>
      <c r="AF1215" t="b">
        <f>ISNUMBER(MATCH(G1215,AUM!$G$6:$G$240,0))</f>
        <v>0</v>
      </c>
    </row>
    <row r="1216" spans="1:32" x14ac:dyDescent="0.2">
      <c r="A1216" t="s">
        <v>3781</v>
      </c>
      <c r="B1216" s="1">
        <v>45671</v>
      </c>
      <c r="D1216" t="s">
        <v>3781</v>
      </c>
      <c r="E1216" t="s">
        <v>31</v>
      </c>
      <c r="F1216" t="s">
        <v>3784</v>
      </c>
      <c r="G1216" t="s">
        <v>3785</v>
      </c>
      <c r="H1216" t="s">
        <v>34</v>
      </c>
      <c r="I1216">
        <v>989862.17744317104</v>
      </c>
      <c r="J1216">
        <v>5391.48</v>
      </c>
      <c r="K1216">
        <v>5412.16</v>
      </c>
      <c r="L1216">
        <v>5412.1570282700004</v>
      </c>
      <c r="M1216">
        <v>5357289540.6712799</v>
      </c>
      <c r="N1216">
        <v>50</v>
      </c>
      <c r="O1216" t="s">
        <v>35</v>
      </c>
      <c r="P1216">
        <v>1</v>
      </c>
      <c r="R1216" t="s">
        <v>3778</v>
      </c>
      <c r="S1216" t="s">
        <v>3777</v>
      </c>
      <c r="W1216" t="s">
        <v>36</v>
      </c>
      <c r="X1216" t="s">
        <v>37</v>
      </c>
      <c r="Y1216" t="s">
        <v>38</v>
      </c>
      <c r="AD1216">
        <v>0</v>
      </c>
      <c r="AE1216" t="b">
        <f>ISNUMBER(MATCH(G1216,AUM!$C$6:$C$1451,0))</f>
        <v>1</v>
      </c>
      <c r="AF1216" t="b">
        <f>ISNUMBER(MATCH(G1216,AUM!$G$6:$G$240,0))</f>
        <v>1</v>
      </c>
    </row>
    <row r="1217" spans="1:32" x14ac:dyDescent="0.2">
      <c r="A1217" t="s">
        <v>3786</v>
      </c>
      <c r="B1217" s="1">
        <v>45671</v>
      </c>
      <c r="D1217" t="s">
        <v>3786</v>
      </c>
      <c r="E1217" t="s">
        <v>31</v>
      </c>
      <c r="F1217" t="s">
        <v>3787</v>
      </c>
      <c r="G1217" t="s">
        <v>3788</v>
      </c>
      <c r="H1217" t="s">
        <v>34</v>
      </c>
      <c r="J1217">
        <v>4528.01</v>
      </c>
      <c r="K1217">
        <v>4512.6099999999997</v>
      </c>
      <c r="L1217">
        <v>4512.6058626100003</v>
      </c>
      <c r="Q1217" t="s">
        <v>3789</v>
      </c>
      <c r="W1217" t="s">
        <v>36</v>
      </c>
      <c r="X1217" t="s">
        <v>878</v>
      </c>
      <c r="Y1217" t="s">
        <v>38</v>
      </c>
      <c r="Z1217" t="s">
        <v>910</v>
      </c>
      <c r="AA1217">
        <v>0.05</v>
      </c>
      <c r="AB1217">
        <v>1</v>
      </c>
      <c r="AC1217">
        <v>365</v>
      </c>
      <c r="AD1217">
        <v>0</v>
      </c>
      <c r="AE1217" t="b">
        <f>ISNUMBER(MATCH(G1217,AUM!$C$6:$C$1451,0))</f>
        <v>0</v>
      </c>
      <c r="AF1217" t="b">
        <f>ISNUMBER(MATCH(G1217,AUM!$G$6:$G$240,0))</f>
        <v>0</v>
      </c>
    </row>
    <row r="1218" spans="1:32" x14ac:dyDescent="0.2">
      <c r="A1218" t="s">
        <v>3790</v>
      </c>
      <c r="B1218" s="1">
        <v>45671</v>
      </c>
      <c r="D1218" t="s">
        <v>3790</v>
      </c>
      <c r="E1218" t="s">
        <v>31</v>
      </c>
      <c r="F1218" t="s">
        <v>3791</v>
      </c>
      <c r="G1218" t="s">
        <v>3792</v>
      </c>
      <c r="H1218" t="s">
        <v>34</v>
      </c>
      <c r="J1218">
        <v>10537.95</v>
      </c>
      <c r="K1218">
        <v>10506.42</v>
      </c>
      <c r="L1218">
        <v>10506.41921658</v>
      </c>
      <c r="Q1218" t="s">
        <v>3793</v>
      </c>
      <c r="T1218">
        <v>0</v>
      </c>
      <c r="W1218" t="s">
        <v>36</v>
      </c>
      <c r="X1218" t="s">
        <v>69</v>
      </c>
      <c r="Y1218" t="s">
        <v>38</v>
      </c>
      <c r="AD1218">
        <v>0</v>
      </c>
      <c r="AE1218" t="b">
        <f>ISNUMBER(MATCH(G1218,AUM!$C$6:$C$1451,0))</f>
        <v>0</v>
      </c>
      <c r="AF1218" t="b">
        <f>ISNUMBER(MATCH(G1218,AUM!$G$6:$G$240,0))</f>
        <v>0</v>
      </c>
    </row>
    <row r="1219" spans="1:32" x14ac:dyDescent="0.2">
      <c r="A1219" t="s">
        <v>3789</v>
      </c>
      <c r="B1219" s="1">
        <v>45671</v>
      </c>
      <c r="D1219" t="s">
        <v>3789</v>
      </c>
      <c r="E1219" t="s">
        <v>31</v>
      </c>
      <c r="F1219" t="s">
        <v>3794</v>
      </c>
      <c r="G1219" t="s">
        <v>3795</v>
      </c>
      <c r="H1219" t="s">
        <v>34</v>
      </c>
      <c r="J1219">
        <v>9600.33</v>
      </c>
      <c r="K1219">
        <v>9571.61</v>
      </c>
      <c r="L1219">
        <v>9571.6104483199997</v>
      </c>
      <c r="Q1219" t="s">
        <v>3793</v>
      </c>
      <c r="U1219">
        <v>0</v>
      </c>
      <c r="W1219" t="s">
        <v>36</v>
      </c>
      <c r="X1219" t="s">
        <v>69</v>
      </c>
      <c r="Y1219" t="s">
        <v>38</v>
      </c>
      <c r="AD1219">
        <v>0</v>
      </c>
      <c r="AE1219" t="b">
        <f>ISNUMBER(MATCH(G1219,AUM!$C$6:$C$1451,0))</f>
        <v>0</v>
      </c>
      <c r="AF1219" t="b">
        <f>ISNUMBER(MATCH(G1219,AUM!$G$6:$G$240,0))</f>
        <v>0</v>
      </c>
    </row>
    <row r="1220" spans="1:32" x14ac:dyDescent="0.2">
      <c r="A1220" t="s">
        <v>3793</v>
      </c>
      <c r="B1220" s="1">
        <v>45671</v>
      </c>
      <c r="D1220" t="s">
        <v>3793</v>
      </c>
      <c r="E1220" t="s">
        <v>31</v>
      </c>
      <c r="F1220" t="s">
        <v>3796</v>
      </c>
      <c r="G1220" t="s">
        <v>3797</v>
      </c>
      <c r="H1220" t="s">
        <v>34</v>
      </c>
      <c r="I1220">
        <v>997513.88808524201</v>
      </c>
      <c r="J1220">
        <v>7456.63</v>
      </c>
      <c r="K1220">
        <v>7434.32</v>
      </c>
      <c r="L1220">
        <v>7434.3215176399999</v>
      </c>
      <c r="M1220">
        <v>7415838962.3331499</v>
      </c>
      <c r="N1220">
        <v>50</v>
      </c>
      <c r="O1220" t="s">
        <v>35</v>
      </c>
      <c r="P1220">
        <v>1</v>
      </c>
      <c r="R1220" t="s">
        <v>3790</v>
      </c>
      <c r="S1220" t="s">
        <v>3789</v>
      </c>
      <c r="W1220" t="s">
        <v>36</v>
      </c>
      <c r="X1220" t="s">
        <v>37</v>
      </c>
      <c r="Y1220" t="s">
        <v>38</v>
      </c>
      <c r="AD1220">
        <v>0</v>
      </c>
      <c r="AE1220" t="b">
        <f>ISNUMBER(MATCH(G1220,AUM!$C$6:$C$1451,0))</f>
        <v>0</v>
      </c>
      <c r="AF1220" t="b">
        <f>ISNUMBER(MATCH(G1220,AUM!$G$6:$G$240,0))</f>
        <v>0</v>
      </c>
    </row>
    <row r="1221" spans="1:32" x14ac:dyDescent="0.2">
      <c r="A1221" t="s">
        <v>3798</v>
      </c>
      <c r="B1221" s="1">
        <v>45671</v>
      </c>
      <c r="D1221" t="s">
        <v>3798</v>
      </c>
      <c r="E1221" t="s">
        <v>31</v>
      </c>
      <c r="F1221" t="s">
        <v>3799</v>
      </c>
      <c r="G1221" t="s">
        <v>3800</v>
      </c>
      <c r="H1221" t="s">
        <v>34</v>
      </c>
      <c r="I1221">
        <v>480336.94221818598</v>
      </c>
      <c r="J1221">
        <v>3464.08</v>
      </c>
      <c r="K1221">
        <v>3464</v>
      </c>
      <c r="L1221">
        <v>3464.0037671</v>
      </c>
      <c r="M1221">
        <v>1663888977.3189299</v>
      </c>
      <c r="N1221">
        <v>298</v>
      </c>
      <c r="O1221" t="s">
        <v>35</v>
      </c>
      <c r="P1221">
        <v>1</v>
      </c>
      <c r="W1221" t="s">
        <v>36</v>
      </c>
      <c r="X1221" t="s">
        <v>37</v>
      </c>
      <c r="Y1221" t="s">
        <v>38</v>
      </c>
      <c r="AD1221">
        <v>0</v>
      </c>
      <c r="AE1221" t="b">
        <f>ISNUMBER(MATCH(G1221,AUM!$C$6:$C$1451,0))</f>
        <v>0</v>
      </c>
      <c r="AF1221" t="b">
        <f>ISNUMBER(MATCH(G1221,AUM!$G$6:$G$240,0))</f>
        <v>0</v>
      </c>
    </row>
    <row r="1222" spans="1:32" x14ac:dyDescent="0.2">
      <c r="A1222" t="s">
        <v>3801</v>
      </c>
      <c r="B1222" s="1">
        <v>45671</v>
      </c>
      <c r="D1222" t="s">
        <v>3801</v>
      </c>
      <c r="E1222" t="s">
        <v>31</v>
      </c>
      <c r="F1222" t="s">
        <v>3802</v>
      </c>
      <c r="G1222" t="s">
        <v>3803</v>
      </c>
      <c r="H1222" t="s">
        <v>34</v>
      </c>
      <c r="I1222">
        <v>763795.138088034</v>
      </c>
      <c r="J1222">
        <v>1452.2</v>
      </c>
      <c r="K1222">
        <v>1443.83</v>
      </c>
      <c r="L1222">
        <v>1443.83151264</v>
      </c>
      <c r="M1222">
        <v>1102791489.5739999</v>
      </c>
      <c r="N1222">
        <v>99</v>
      </c>
      <c r="O1222" t="s">
        <v>35</v>
      </c>
      <c r="P1222">
        <v>1</v>
      </c>
      <c r="W1222" t="s">
        <v>36</v>
      </c>
      <c r="X1222" t="s">
        <v>37</v>
      </c>
      <c r="Y1222" t="s">
        <v>38</v>
      </c>
      <c r="AD1222">
        <v>0</v>
      </c>
      <c r="AE1222" t="b">
        <f>ISNUMBER(MATCH(G1222,AUM!$C$6:$C$1451,0))</f>
        <v>0</v>
      </c>
      <c r="AF1222" t="b">
        <f>ISNUMBER(MATCH(G1222,AUM!$G$6:$G$240,0))</f>
        <v>0</v>
      </c>
    </row>
    <row r="1223" spans="1:32" x14ac:dyDescent="0.2">
      <c r="A1223" t="s">
        <v>3804</v>
      </c>
      <c r="B1223" s="1">
        <v>45671</v>
      </c>
      <c r="D1223" t="s">
        <v>3804</v>
      </c>
      <c r="E1223" t="s">
        <v>31</v>
      </c>
      <c r="F1223" t="s">
        <v>3805</v>
      </c>
      <c r="G1223" t="s">
        <v>3806</v>
      </c>
      <c r="H1223" t="s">
        <v>34</v>
      </c>
      <c r="I1223">
        <v>16886144124.7862</v>
      </c>
      <c r="J1223">
        <v>162.46</v>
      </c>
      <c r="K1223">
        <v>161.31</v>
      </c>
      <c r="L1223">
        <v>161.31257438</v>
      </c>
      <c r="M1223">
        <v>2723947380122.3701</v>
      </c>
      <c r="N1223">
        <v>99</v>
      </c>
      <c r="O1223" t="s">
        <v>35</v>
      </c>
      <c r="P1223">
        <v>1</v>
      </c>
      <c r="W1223" t="s">
        <v>36</v>
      </c>
      <c r="X1223" t="s">
        <v>37</v>
      </c>
      <c r="Y1223" t="s">
        <v>38</v>
      </c>
      <c r="AD1223">
        <v>0</v>
      </c>
      <c r="AE1223" t="b">
        <f>ISNUMBER(MATCH(G1223,AUM!$C$6:$C$1451,0))</f>
        <v>0</v>
      </c>
      <c r="AF1223" t="b">
        <f>ISNUMBER(MATCH(G1223,AUM!$G$6:$G$240,0))</f>
        <v>0</v>
      </c>
    </row>
    <row r="1224" spans="1:32" x14ac:dyDescent="0.2">
      <c r="A1224" t="s">
        <v>3807</v>
      </c>
      <c r="B1224" s="1">
        <v>45671</v>
      </c>
      <c r="D1224" t="s">
        <v>3807</v>
      </c>
      <c r="E1224" t="s">
        <v>31</v>
      </c>
      <c r="F1224" t="s">
        <v>3808</v>
      </c>
      <c r="G1224" t="s">
        <v>3809</v>
      </c>
      <c r="H1224" t="s">
        <v>34</v>
      </c>
      <c r="I1224">
        <v>1977778.8019999999</v>
      </c>
      <c r="J1224">
        <v>1154.76</v>
      </c>
      <c r="K1224">
        <v>1148.02</v>
      </c>
      <c r="L1224">
        <v>1148.01507606</v>
      </c>
      <c r="M1224">
        <v>2270519881.8099999</v>
      </c>
      <c r="N1224">
        <v>66</v>
      </c>
      <c r="O1224" t="s">
        <v>35</v>
      </c>
      <c r="P1224">
        <v>1</v>
      </c>
      <c r="W1224" t="s">
        <v>36</v>
      </c>
      <c r="X1224" t="s">
        <v>37</v>
      </c>
      <c r="Y1224" t="s">
        <v>38</v>
      </c>
      <c r="AD1224">
        <v>0</v>
      </c>
      <c r="AE1224" t="b">
        <f>ISNUMBER(MATCH(G1224,AUM!$C$6:$C$1451,0))</f>
        <v>0</v>
      </c>
      <c r="AF1224" t="b">
        <f>ISNUMBER(MATCH(G1224,AUM!$G$6:$G$240,0))</f>
        <v>0</v>
      </c>
    </row>
    <row r="1225" spans="1:32" x14ac:dyDescent="0.2">
      <c r="A1225" t="s">
        <v>3810</v>
      </c>
      <c r="B1225" s="1">
        <v>45671</v>
      </c>
      <c r="D1225" t="s">
        <v>3810</v>
      </c>
      <c r="E1225" t="s">
        <v>40</v>
      </c>
      <c r="F1225" t="s">
        <v>3811</v>
      </c>
      <c r="G1225" t="s">
        <v>3812</v>
      </c>
      <c r="H1225" t="s">
        <v>43</v>
      </c>
      <c r="I1225">
        <v>10000</v>
      </c>
      <c r="J1225">
        <v>80.12</v>
      </c>
      <c r="K1225">
        <v>80.95</v>
      </c>
      <c r="L1225">
        <v>80.948878750000006</v>
      </c>
      <c r="M1225">
        <v>809488.19914046</v>
      </c>
      <c r="N1225">
        <v>944</v>
      </c>
      <c r="O1225" t="s">
        <v>35</v>
      </c>
      <c r="P1225">
        <v>1</v>
      </c>
      <c r="W1225" t="s">
        <v>36</v>
      </c>
      <c r="X1225" t="s">
        <v>37</v>
      </c>
      <c r="Y1225" t="s">
        <v>38</v>
      </c>
      <c r="AD1225">
        <v>0</v>
      </c>
      <c r="AE1225" t="b">
        <f>ISNUMBER(MATCH(G1225,AUM!$C$6:$C$1451,0))</f>
        <v>0</v>
      </c>
      <c r="AF1225" t="b">
        <f>ISNUMBER(MATCH(G1225,AUM!$G$6:$G$240,0))</f>
        <v>0</v>
      </c>
    </row>
    <row r="1226" spans="1:32" x14ac:dyDescent="0.2">
      <c r="A1226" t="s">
        <v>3813</v>
      </c>
      <c r="B1226" s="1">
        <v>45671</v>
      </c>
      <c r="D1226" t="s">
        <v>3813</v>
      </c>
      <c r="E1226" t="s">
        <v>40</v>
      </c>
      <c r="F1226" t="s">
        <v>3814</v>
      </c>
      <c r="G1226" t="s">
        <v>3815</v>
      </c>
      <c r="H1226" t="s">
        <v>43</v>
      </c>
      <c r="I1226">
        <v>235.0622564</v>
      </c>
      <c r="J1226">
        <v>990.96</v>
      </c>
      <c r="K1226">
        <v>985.01</v>
      </c>
      <c r="L1226">
        <v>985.01397411000005</v>
      </c>
      <c r="M1226">
        <v>231539.60734076001</v>
      </c>
      <c r="N1226">
        <v>1885</v>
      </c>
      <c r="O1226" t="s">
        <v>35</v>
      </c>
      <c r="P1226">
        <v>1</v>
      </c>
      <c r="W1226" t="s">
        <v>36</v>
      </c>
      <c r="X1226" t="s">
        <v>37</v>
      </c>
      <c r="Y1226" t="s">
        <v>38</v>
      </c>
      <c r="AD1226">
        <v>0</v>
      </c>
      <c r="AE1226" t="b">
        <f>ISNUMBER(MATCH(G1226,AUM!$C$6:$C$1451,0))</f>
        <v>0</v>
      </c>
      <c r="AF1226" t="b">
        <f>ISNUMBER(MATCH(G1226,AUM!$G$6:$G$240,0))</f>
        <v>0</v>
      </c>
    </row>
    <row r="1227" spans="1:32" x14ac:dyDescent="0.2">
      <c r="A1227" t="s">
        <v>3816</v>
      </c>
      <c r="B1227" s="1">
        <v>45671</v>
      </c>
      <c r="D1227" t="s">
        <v>3816</v>
      </c>
      <c r="E1227" t="s">
        <v>40</v>
      </c>
      <c r="F1227" t="s">
        <v>3817</v>
      </c>
      <c r="G1227" t="s">
        <v>3818</v>
      </c>
      <c r="H1227" t="s">
        <v>43</v>
      </c>
      <c r="I1227">
        <v>1.2330092130565</v>
      </c>
      <c r="J1227">
        <v>1302.6500000000001</v>
      </c>
      <c r="K1227">
        <v>1283.6400000000001</v>
      </c>
      <c r="L1227">
        <v>1283.64337127</v>
      </c>
      <c r="M1227">
        <v>1582.7441030499999</v>
      </c>
      <c r="N1227">
        <v>24</v>
      </c>
      <c r="O1227" t="s">
        <v>88</v>
      </c>
      <c r="P1227">
        <v>1</v>
      </c>
      <c r="W1227" t="s">
        <v>91</v>
      </c>
      <c r="X1227" t="s">
        <v>37</v>
      </c>
      <c r="Y1227" t="s">
        <v>38</v>
      </c>
      <c r="AD1227">
        <v>0</v>
      </c>
      <c r="AE1227" t="b">
        <f>ISNUMBER(MATCH(G1227,AUM!$C$6:$C$1451,0))</f>
        <v>0</v>
      </c>
      <c r="AF1227" t="b">
        <f>ISNUMBER(MATCH(G1227,AUM!$G$6:$G$240,0))</f>
        <v>0</v>
      </c>
    </row>
    <row r="1228" spans="1:32" x14ac:dyDescent="0.2">
      <c r="A1228" t="s">
        <v>356</v>
      </c>
      <c r="B1228" s="1">
        <v>45671</v>
      </c>
      <c r="D1228" t="s">
        <v>356</v>
      </c>
      <c r="E1228" t="s">
        <v>140</v>
      </c>
      <c r="F1228" t="s">
        <v>3819</v>
      </c>
      <c r="G1228" t="s">
        <v>3820</v>
      </c>
      <c r="H1228" t="s">
        <v>143</v>
      </c>
      <c r="I1228">
        <v>319085.12540553202</v>
      </c>
      <c r="J1228">
        <v>8562.52</v>
      </c>
      <c r="K1228">
        <v>8466.5499999999993</v>
      </c>
      <c r="L1228">
        <v>8466.5520237300007</v>
      </c>
      <c r="M1228">
        <v>2701550814.2434001</v>
      </c>
      <c r="N1228">
        <v>27</v>
      </c>
      <c r="O1228" t="s">
        <v>35</v>
      </c>
      <c r="P1228">
        <v>1</v>
      </c>
      <c r="R1228" t="s">
        <v>353</v>
      </c>
      <c r="S1228" t="s">
        <v>3821</v>
      </c>
      <c r="W1228" t="s">
        <v>36</v>
      </c>
      <c r="X1228" t="s">
        <v>37</v>
      </c>
      <c r="Y1228" t="s">
        <v>38</v>
      </c>
      <c r="AD1228">
        <v>0</v>
      </c>
      <c r="AE1228" t="b">
        <f>ISNUMBER(MATCH(G1228,AUM!$C$6:$C$1451,0))</f>
        <v>1</v>
      </c>
      <c r="AF1228" t="b">
        <f>ISNUMBER(MATCH(G1228,AUM!$G$6:$G$240,0))</f>
        <v>0</v>
      </c>
    </row>
    <row r="1229" spans="1:32" x14ac:dyDescent="0.2">
      <c r="A1229" t="s">
        <v>360</v>
      </c>
      <c r="B1229" s="1">
        <v>45671</v>
      </c>
      <c r="D1229" t="s">
        <v>360</v>
      </c>
      <c r="E1229" t="s">
        <v>140</v>
      </c>
      <c r="F1229" t="s">
        <v>3822</v>
      </c>
      <c r="G1229" t="s">
        <v>3823</v>
      </c>
      <c r="H1229" t="s">
        <v>143</v>
      </c>
      <c r="I1229">
        <v>3005016.9192292602</v>
      </c>
      <c r="J1229">
        <v>5822.11</v>
      </c>
      <c r="K1229">
        <v>5801.81</v>
      </c>
      <c r="L1229">
        <v>5801.8135016699998</v>
      </c>
      <c r="M1229">
        <v>17434547734.737202</v>
      </c>
      <c r="N1229">
        <v>24</v>
      </c>
      <c r="O1229" t="s">
        <v>35</v>
      </c>
      <c r="P1229">
        <v>1</v>
      </c>
      <c r="R1229" t="s">
        <v>357</v>
      </c>
      <c r="S1229" t="s">
        <v>3824</v>
      </c>
      <c r="W1229" t="s">
        <v>36</v>
      </c>
      <c r="X1229" t="s">
        <v>37</v>
      </c>
      <c r="Y1229" t="s">
        <v>38</v>
      </c>
      <c r="AD1229">
        <v>0</v>
      </c>
      <c r="AE1229" t="b">
        <f>ISNUMBER(MATCH(G1229,AUM!$C$6:$C$1451,0))</f>
        <v>1</v>
      </c>
      <c r="AF1229" t="b">
        <f>ISNUMBER(MATCH(G1229,AUM!$G$6:$G$240,0))</f>
        <v>0</v>
      </c>
    </row>
    <row r="1230" spans="1:32" x14ac:dyDescent="0.2">
      <c r="A1230" t="s">
        <v>3824</v>
      </c>
      <c r="B1230" s="1">
        <v>45671</v>
      </c>
      <c r="D1230" t="s">
        <v>3824</v>
      </c>
      <c r="E1230" t="s">
        <v>140</v>
      </c>
      <c r="F1230" t="s">
        <v>3825</v>
      </c>
      <c r="G1230" t="s">
        <v>3826</v>
      </c>
      <c r="H1230" t="s">
        <v>143</v>
      </c>
      <c r="J1230">
        <v>9320.6299999999992</v>
      </c>
      <c r="K1230">
        <v>9288.14</v>
      </c>
      <c r="L1230">
        <v>9288.1387420299998</v>
      </c>
      <c r="Q1230" t="s">
        <v>360</v>
      </c>
      <c r="U1230">
        <v>0</v>
      </c>
      <c r="W1230" t="s">
        <v>36</v>
      </c>
      <c r="X1230" t="s">
        <v>69</v>
      </c>
      <c r="Y1230" t="s">
        <v>38</v>
      </c>
      <c r="AD1230">
        <v>0</v>
      </c>
      <c r="AE1230" t="b">
        <f>ISNUMBER(MATCH(G1230,AUM!$C$6:$C$1451,0))</f>
        <v>1</v>
      </c>
      <c r="AF1230" t="b">
        <f>ISNUMBER(MATCH(G1230,AUM!$G$6:$G$240,0))</f>
        <v>0</v>
      </c>
    </row>
    <row r="1231" spans="1:32" x14ac:dyDescent="0.2">
      <c r="A1231" t="s">
        <v>3827</v>
      </c>
      <c r="B1231" s="1">
        <v>45671</v>
      </c>
      <c r="D1231" t="s">
        <v>3827</v>
      </c>
      <c r="E1231" t="s">
        <v>140</v>
      </c>
      <c r="F1231" t="s">
        <v>3828</v>
      </c>
      <c r="G1231" t="s">
        <v>3829</v>
      </c>
      <c r="H1231" t="s">
        <v>143</v>
      </c>
      <c r="J1231">
        <v>10082.92</v>
      </c>
      <c r="K1231">
        <v>9999.82</v>
      </c>
      <c r="L1231">
        <v>9999.81592155</v>
      </c>
      <c r="Q1231" t="s">
        <v>3830</v>
      </c>
      <c r="U1231">
        <v>0</v>
      </c>
      <c r="W1231" t="s">
        <v>36</v>
      </c>
      <c r="X1231" t="s">
        <v>69</v>
      </c>
      <c r="Y1231" t="s">
        <v>38</v>
      </c>
      <c r="AD1231">
        <v>0</v>
      </c>
      <c r="AE1231" t="b">
        <f>ISNUMBER(MATCH(G1231,AUM!$C$6:$C$1451,0))</f>
        <v>1</v>
      </c>
      <c r="AF1231" t="b">
        <f>ISNUMBER(MATCH(G1231,AUM!$G$6:$G$240,0))</f>
        <v>0</v>
      </c>
    </row>
    <row r="1232" spans="1:32" x14ac:dyDescent="0.2">
      <c r="A1232" t="s">
        <v>3831</v>
      </c>
      <c r="B1232" s="1">
        <v>45671</v>
      </c>
      <c r="D1232" t="s">
        <v>3831</v>
      </c>
      <c r="E1232" t="s">
        <v>140</v>
      </c>
      <c r="F1232" t="s">
        <v>3832</v>
      </c>
      <c r="G1232" t="s">
        <v>3833</v>
      </c>
      <c r="H1232" t="s">
        <v>143</v>
      </c>
      <c r="J1232">
        <v>13722.51</v>
      </c>
      <c r="K1232">
        <v>13609.4</v>
      </c>
      <c r="L1232">
        <v>13609.39832342</v>
      </c>
      <c r="Q1232" t="s">
        <v>3830</v>
      </c>
      <c r="T1232">
        <v>0</v>
      </c>
      <c r="W1232" t="s">
        <v>36</v>
      </c>
      <c r="X1232" t="s">
        <v>69</v>
      </c>
      <c r="Y1232" t="s">
        <v>38</v>
      </c>
      <c r="AD1232">
        <v>0</v>
      </c>
      <c r="AE1232" t="b">
        <f>ISNUMBER(MATCH(G1232,AUM!$C$6:$C$1451,0))</f>
        <v>1</v>
      </c>
      <c r="AF1232" t="b">
        <f>ISNUMBER(MATCH(G1232,AUM!$G$6:$G$240,0))</f>
        <v>0</v>
      </c>
    </row>
    <row r="1233" spans="1:32" x14ac:dyDescent="0.2">
      <c r="A1233" t="s">
        <v>3821</v>
      </c>
      <c r="B1233" s="1">
        <v>45671</v>
      </c>
      <c r="D1233" t="s">
        <v>3821</v>
      </c>
      <c r="E1233" t="s">
        <v>140</v>
      </c>
      <c r="F1233" t="s">
        <v>3834</v>
      </c>
      <c r="G1233" t="s">
        <v>3835</v>
      </c>
      <c r="H1233" t="s">
        <v>143</v>
      </c>
      <c r="J1233">
        <v>13177.85</v>
      </c>
      <c r="K1233">
        <v>13030.15</v>
      </c>
      <c r="L1233">
        <v>13030.14731916</v>
      </c>
      <c r="Q1233" t="s">
        <v>356</v>
      </c>
      <c r="U1233">
        <v>0</v>
      </c>
      <c r="W1233" t="s">
        <v>36</v>
      </c>
      <c r="X1233" t="s">
        <v>69</v>
      </c>
      <c r="Y1233" t="s">
        <v>38</v>
      </c>
      <c r="AD1233">
        <v>0</v>
      </c>
      <c r="AE1233" t="b">
        <f>ISNUMBER(MATCH(G1233,AUM!$C$6:$C$1451,0))</f>
        <v>1</v>
      </c>
      <c r="AF1233" t="b">
        <f>ISNUMBER(MATCH(G1233,AUM!$G$6:$G$240,0))</f>
        <v>0</v>
      </c>
    </row>
    <row r="1234" spans="1:32" x14ac:dyDescent="0.2">
      <c r="A1234" t="s">
        <v>3830</v>
      </c>
      <c r="B1234" s="1">
        <v>45671</v>
      </c>
      <c r="D1234" t="s">
        <v>3830</v>
      </c>
      <c r="E1234" t="s">
        <v>140</v>
      </c>
      <c r="F1234" t="s">
        <v>3836</v>
      </c>
      <c r="G1234" t="s">
        <v>3837</v>
      </c>
      <c r="H1234" t="s">
        <v>143</v>
      </c>
      <c r="I1234">
        <v>23779886.389531601</v>
      </c>
      <c r="J1234">
        <v>4233.93</v>
      </c>
      <c r="K1234">
        <v>4199.03</v>
      </c>
      <c r="L1234">
        <v>4199.0335981600001</v>
      </c>
      <c r="M1234">
        <v>99852541910.060699</v>
      </c>
      <c r="N1234">
        <v>20</v>
      </c>
      <c r="O1234" t="s">
        <v>35</v>
      </c>
      <c r="P1234">
        <v>1</v>
      </c>
      <c r="R1234" t="s">
        <v>3831</v>
      </c>
      <c r="S1234" t="s">
        <v>3827</v>
      </c>
      <c r="W1234" t="s">
        <v>36</v>
      </c>
      <c r="X1234" t="s">
        <v>37</v>
      </c>
      <c r="Y1234" t="s">
        <v>38</v>
      </c>
      <c r="AD1234">
        <v>0</v>
      </c>
      <c r="AE1234" t="b">
        <f>ISNUMBER(MATCH(G1234,AUM!$C$6:$C$1451,0))</f>
        <v>1</v>
      </c>
      <c r="AF1234" t="b">
        <f>ISNUMBER(MATCH(G1234,AUM!$G$6:$G$240,0))</f>
        <v>0</v>
      </c>
    </row>
    <row r="1235" spans="1:32" x14ac:dyDescent="0.2">
      <c r="A1235" t="s">
        <v>170</v>
      </c>
      <c r="B1235" s="1">
        <v>45671</v>
      </c>
      <c r="D1235" t="s">
        <v>170</v>
      </c>
      <c r="E1235" t="s">
        <v>140</v>
      </c>
      <c r="F1235" t="s">
        <v>3838</v>
      </c>
      <c r="G1235" t="s">
        <v>3839</v>
      </c>
      <c r="H1235" t="s">
        <v>143</v>
      </c>
      <c r="J1235">
        <v>53212.800000000003</v>
      </c>
      <c r="K1235">
        <v>53267.27</v>
      </c>
      <c r="L1235">
        <v>53267.272066509999</v>
      </c>
      <c r="Q1235" t="s">
        <v>167</v>
      </c>
      <c r="U1235">
        <v>0</v>
      </c>
      <c r="W1235" t="s">
        <v>36</v>
      </c>
      <c r="X1235" t="s">
        <v>69</v>
      </c>
      <c r="Y1235" t="s">
        <v>38</v>
      </c>
      <c r="AD1235">
        <v>0</v>
      </c>
      <c r="AE1235" t="b">
        <f>ISNUMBER(MATCH(G1235,AUM!$C$6:$C$1451,0))</f>
        <v>1</v>
      </c>
      <c r="AF1235" t="b">
        <f>ISNUMBER(MATCH(G1235,AUM!$G$6:$G$240,0))</f>
        <v>0</v>
      </c>
    </row>
    <row r="1236" spans="1:32" x14ac:dyDescent="0.2">
      <c r="A1236" t="s">
        <v>3840</v>
      </c>
      <c r="B1236" s="1">
        <v>45671</v>
      </c>
      <c r="D1236" t="s">
        <v>3840</v>
      </c>
      <c r="E1236" t="s">
        <v>140</v>
      </c>
      <c r="F1236" t="s">
        <v>3841</v>
      </c>
      <c r="G1236" t="s">
        <v>3842</v>
      </c>
      <c r="H1236" t="s">
        <v>143</v>
      </c>
      <c r="J1236">
        <v>57339.71</v>
      </c>
      <c r="K1236">
        <v>57399.53</v>
      </c>
      <c r="L1236">
        <v>57399.531943440001</v>
      </c>
      <c r="Q1236" t="s">
        <v>3843</v>
      </c>
      <c r="U1236">
        <v>0</v>
      </c>
      <c r="W1236" t="s">
        <v>36</v>
      </c>
      <c r="X1236" t="s">
        <v>69</v>
      </c>
      <c r="Y1236" t="s">
        <v>38</v>
      </c>
      <c r="AD1236">
        <v>0</v>
      </c>
      <c r="AE1236" t="b">
        <f>ISNUMBER(MATCH(G1236,AUM!$C$6:$C$1451,0))</f>
        <v>1</v>
      </c>
      <c r="AF1236" t="b">
        <f>ISNUMBER(MATCH(G1236,AUM!$G$6:$G$240,0))</f>
        <v>0</v>
      </c>
    </row>
    <row r="1237" spans="1:32" x14ac:dyDescent="0.2">
      <c r="A1237" t="s">
        <v>3843</v>
      </c>
      <c r="B1237" s="1">
        <v>45671</v>
      </c>
      <c r="D1237" t="s">
        <v>3843</v>
      </c>
      <c r="E1237" t="s">
        <v>140</v>
      </c>
      <c r="F1237" t="s">
        <v>3844</v>
      </c>
      <c r="G1237" t="s">
        <v>3845</v>
      </c>
      <c r="H1237" t="s">
        <v>143</v>
      </c>
      <c r="I1237">
        <v>47557559.637075797</v>
      </c>
      <c r="J1237">
        <v>13552.63</v>
      </c>
      <c r="K1237">
        <v>13566.77</v>
      </c>
      <c r="L1237">
        <v>13566.773048200001</v>
      </c>
      <c r="M1237">
        <v>645202618322.28198</v>
      </c>
      <c r="N1237">
        <v>117</v>
      </c>
      <c r="O1237" t="s">
        <v>35</v>
      </c>
      <c r="P1237">
        <v>1</v>
      </c>
      <c r="S1237" t="s">
        <v>3840</v>
      </c>
      <c r="W1237" t="s">
        <v>36</v>
      </c>
      <c r="X1237" t="s">
        <v>37</v>
      </c>
      <c r="Y1237" t="s">
        <v>38</v>
      </c>
      <c r="AD1237">
        <v>0</v>
      </c>
      <c r="AE1237" t="b">
        <f>ISNUMBER(MATCH(G1237,AUM!$C$6:$C$1451,0))</f>
        <v>1</v>
      </c>
      <c r="AF1237" t="b">
        <f>ISNUMBER(MATCH(G1237,AUM!$G$6:$G$240,0))</f>
        <v>0</v>
      </c>
    </row>
    <row r="1238" spans="1:32" x14ac:dyDescent="0.2">
      <c r="A1238" t="s">
        <v>3846</v>
      </c>
      <c r="B1238" s="1">
        <v>45671</v>
      </c>
      <c r="D1238" t="s">
        <v>3830</v>
      </c>
      <c r="E1238" t="s">
        <v>140</v>
      </c>
      <c r="F1238" t="s">
        <v>3847</v>
      </c>
      <c r="G1238" t="s">
        <v>3848</v>
      </c>
      <c r="H1238" t="s">
        <v>143</v>
      </c>
      <c r="I1238">
        <v>23779886.389531601</v>
      </c>
      <c r="J1238">
        <v>4233.93</v>
      </c>
      <c r="K1238">
        <v>4199.03</v>
      </c>
      <c r="L1238">
        <v>4199.0335981600001</v>
      </c>
      <c r="M1238">
        <v>99852541910.060699</v>
      </c>
      <c r="N1238">
        <v>20</v>
      </c>
      <c r="O1238" t="s">
        <v>35</v>
      </c>
      <c r="P1238">
        <v>1</v>
      </c>
      <c r="R1238" t="s">
        <v>3831</v>
      </c>
      <c r="S1238" t="s">
        <v>3827</v>
      </c>
      <c r="W1238" t="s">
        <v>36</v>
      </c>
      <c r="X1238" t="s">
        <v>37</v>
      </c>
      <c r="Y1238" t="s">
        <v>38</v>
      </c>
      <c r="AD1238">
        <v>0</v>
      </c>
      <c r="AE1238" t="b">
        <f>ISNUMBER(MATCH(G1238,AUM!$C$6:$C$1451,0))</f>
        <v>0</v>
      </c>
      <c r="AF1238" t="b">
        <f>ISNUMBER(MATCH(G1238,AUM!$G$6:$G$240,0))</f>
        <v>0</v>
      </c>
    </row>
    <row r="1239" spans="1:32" x14ac:dyDescent="0.2">
      <c r="A1239" t="s">
        <v>3849</v>
      </c>
      <c r="B1239" s="1">
        <v>45671</v>
      </c>
      <c r="D1239" t="s">
        <v>3827</v>
      </c>
      <c r="E1239" t="s">
        <v>140</v>
      </c>
      <c r="F1239" t="s">
        <v>3850</v>
      </c>
      <c r="G1239" t="s">
        <v>3851</v>
      </c>
      <c r="H1239" t="s">
        <v>143</v>
      </c>
      <c r="J1239">
        <v>10092.98</v>
      </c>
      <c r="K1239">
        <v>10009.790000000001</v>
      </c>
      <c r="L1239">
        <v>10009.79226518</v>
      </c>
      <c r="Q1239" t="s">
        <v>3830</v>
      </c>
      <c r="U1239">
        <v>0</v>
      </c>
      <c r="W1239" t="s">
        <v>36</v>
      </c>
      <c r="X1239" t="s">
        <v>69</v>
      </c>
      <c r="Y1239" t="s">
        <v>38</v>
      </c>
      <c r="AD1239">
        <v>0</v>
      </c>
      <c r="AE1239" t="b">
        <f>ISNUMBER(MATCH(G1239,AUM!$C$6:$C$1451,0))</f>
        <v>0</v>
      </c>
      <c r="AF1239" t="b">
        <f>ISNUMBER(MATCH(G1239,AUM!$G$6:$G$240,0))</f>
        <v>0</v>
      </c>
    </row>
    <row r="1240" spans="1:32" x14ac:dyDescent="0.2">
      <c r="A1240" t="s">
        <v>3852</v>
      </c>
      <c r="B1240" s="1">
        <v>45671</v>
      </c>
      <c r="D1240" t="s">
        <v>3831</v>
      </c>
      <c r="E1240" t="s">
        <v>140</v>
      </c>
      <c r="F1240" t="s">
        <v>3853</v>
      </c>
      <c r="G1240" t="s">
        <v>3854</v>
      </c>
      <c r="H1240" t="s">
        <v>143</v>
      </c>
      <c r="J1240">
        <v>13742.06</v>
      </c>
      <c r="K1240">
        <v>13628.79</v>
      </c>
      <c r="L1240">
        <v>13628.79099021</v>
      </c>
      <c r="Q1240" t="s">
        <v>3830</v>
      </c>
      <c r="T1240">
        <v>0</v>
      </c>
      <c r="W1240" t="s">
        <v>36</v>
      </c>
      <c r="X1240" t="s">
        <v>69</v>
      </c>
      <c r="Y1240" t="s">
        <v>38</v>
      </c>
      <c r="AD1240">
        <v>0</v>
      </c>
      <c r="AE1240" t="b">
        <f>ISNUMBER(MATCH(G1240,AUM!$C$6:$C$1451,0))</f>
        <v>0</v>
      </c>
      <c r="AF1240" t="b">
        <f>ISNUMBER(MATCH(G1240,AUM!$G$6:$G$240,0))</f>
        <v>0</v>
      </c>
    </row>
    <row r="1241" spans="1:32" x14ac:dyDescent="0.2">
      <c r="A1241" t="s">
        <v>3855</v>
      </c>
      <c r="B1241" s="1">
        <v>45671</v>
      </c>
      <c r="D1241" t="s">
        <v>3856</v>
      </c>
      <c r="E1241" t="s">
        <v>140</v>
      </c>
      <c r="F1241" t="s">
        <v>3857</v>
      </c>
      <c r="G1241" t="s">
        <v>3858</v>
      </c>
      <c r="H1241" t="s">
        <v>143</v>
      </c>
      <c r="I1241">
        <v>23779886.389531601</v>
      </c>
      <c r="J1241">
        <v>4233.93</v>
      </c>
      <c r="K1241">
        <v>4199.03</v>
      </c>
      <c r="L1241">
        <v>4199.0335981600001</v>
      </c>
      <c r="M1241">
        <v>99852541910.060699</v>
      </c>
      <c r="N1241">
        <v>20</v>
      </c>
      <c r="O1241" t="s">
        <v>35</v>
      </c>
      <c r="P1241">
        <v>1</v>
      </c>
      <c r="R1241" t="s">
        <v>3859</v>
      </c>
      <c r="S1241" t="s">
        <v>3860</v>
      </c>
      <c r="W1241" t="s">
        <v>36</v>
      </c>
      <c r="X1241" t="s">
        <v>37</v>
      </c>
      <c r="Y1241" t="s">
        <v>38</v>
      </c>
      <c r="AD1241">
        <v>0</v>
      </c>
      <c r="AE1241" t="b">
        <f>ISNUMBER(MATCH(G1241,AUM!$C$6:$C$1451,0))</f>
        <v>0</v>
      </c>
      <c r="AF1241" t="b">
        <f>ISNUMBER(MATCH(G1241,AUM!$G$6:$G$240,0))</f>
        <v>0</v>
      </c>
    </row>
    <row r="1242" spans="1:32" x14ac:dyDescent="0.2">
      <c r="A1242" t="s">
        <v>3861</v>
      </c>
      <c r="B1242" s="1">
        <v>45671</v>
      </c>
      <c r="D1242" t="s">
        <v>3860</v>
      </c>
      <c r="E1242" t="s">
        <v>140</v>
      </c>
      <c r="F1242" t="s">
        <v>3862</v>
      </c>
      <c r="G1242" t="s">
        <v>3863</v>
      </c>
      <c r="H1242" t="s">
        <v>143</v>
      </c>
      <c r="J1242">
        <v>10082.92</v>
      </c>
      <c r="K1242">
        <v>9999.82</v>
      </c>
      <c r="L1242">
        <v>9999.81592155</v>
      </c>
      <c r="Q1242" t="s">
        <v>3856</v>
      </c>
      <c r="U1242">
        <v>0</v>
      </c>
      <c r="W1242" t="s">
        <v>36</v>
      </c>
      <c r="X1242" t="s">
        <v>69</v>
      </c>
      <c r="Y1242" t="s">
        <v>38</v>
      </c>
      <c r="AD1242">
        <v>0</v>
      </c>
      <c r="AE1242" t="b">
        <f>ISNUMBER(MATCH(G1242,AUM!$C$6:$C$1451,0))</f>
        <v>0</v>
      </c>
      <c r="AF1242" t="b">
        <f>ISNUMBER(MATCH(G1242,AUM!$G$6:$G$240,0))</f>
        <v>0</v>
      </c>
    </row>
    <row r="1243" spans="1:32" x14ac:dyDescent="0.2">
      <c r="A1243" t="s">
        <v>3864</v>
      </c>
      <c r="B1243" s="1">
        <v>45671</v>
      </c>
      <c r="D1243" t="s">
        <v>3859</v>
      </c>
      <c r="E1243" t="s">
        <v>140</v>
      </c>
      <c r="F1243" t="s">
        <v>3865</v>
      </c>
      <c r="G1243" t="s">
        <v>3866</v>
      </c>
      <c r="H1243" t="s">
        <v>143</v>
      </c>
      <c r="J1243">
        <v>13722.51</v>
      </c>
      <c r="K1243">
        <v>13609.4</v>
      </c>
      <c r="L1243">
        <v>13609.39832342</v>
      </c>
      <c r="Q1243" t="s">
        <v>3856</v>
      </c>
      <c r="T1243">
        <v>0</v>
      </c>
      <c r="W1243" t="s">
        <v>36</v>
      </c>
      <c r="X1243" t="s">
        <v>69</v>
      </c>
      <c r="Y1243" t="s">
        <v>38</v>
      </c>
      <c r="AD1243">
        <v>0</v>
      </c>
      <c r="AE1243" t="b">
        <f>ISNUMBER(MATCH(G1243,AUM!$C$6:$C$1451,0))</f>
        <v>0</v>
      </c>
      <c r="AF1243" t="b">
        <f>ISNUMBER(MATCH(G1243,AUM!$G$6:$G$240,0))</f>
        <v>0</v>
      </c>
    </row>
    <row r="1244" spans="1:32" x14ac:dyDescent="0.2">
      <c r="A1244" t="s">
        <v>3867</v>
      </c>
      <c r="B1244" s="1">
        <v>45671</v>
      </c>
      <c r="D1244" t="s">
        <v>3867</v>
      </c>
      <c r="E1244" t="s">
        <v>140</v>
      </c>
      <c r="F1244" t="s">
        <v>3868</v>
      </c>
      <c r="G1244" t="s">
        <v>3869</v>
      </c>
      <c r="H1244" t="s">
        <v>143</v>
      </c>
      <c r="J1244">
        <v>2317.23</v>
      </c>
      <c r="K1244">
        <v>2296.4299999999998</v>
      </c>
      <c r="L1244">
        <v>2296.43375999</v>
      </c>
      <c r="Q1244" t="s">
        <v>3870</v>
      </c>
      <c r="T1244">
        <v>0</v>
      </c>
      <c r="W1244" t="s">
        <v>36</v>
      </c>
      <c r="X1244" t="s">
        <v>69</v>
      </c>
      <c r="Y1244" t="s">
        <v>38</v>
      </c>
      <c r="AD1244">
        <v>0</v>
      </c>
      <c r="AE1244" t="b">
        <f>ISNUMBER(MATCH(G1244,AUM!$C$6:$C$1451,0))</f>
        <v>1</v>
      </c>
      <c r="AF1244" t="b">
        <f>ISNUMBER(MATCH(G1244,AUM!$G$6:$G$240,0))</f>
        <v>0</v>
      </c>
    </row>
    <row r="1245" spans="1:32" x14ac:dyDescent="0.2">
      <c r="A1245" t="s">
        <v>3871</v>
      </c>
      <c r="B1245" s="1">
        <v>45671</v>
      </c>
      <c r="D1245" t="s">
        <v>3871</v>
      </c>
      <c r="E1245" t="s">
        <v>140</v>
      </c>
      <c r="F1245" t="s">
        <v>3872</v>
      </c>
      <c r="G1245" t="s">
        <v>3873</v>
      </c>
      <c r="H1245" t="s">
        <v>143</v>
      </c>
      <c r="J1245">
        <v>2102.21</v>
      </c>
      <c r="K1245">
        <v>2083.34</v>
      </c>
      <c r="L1245">
        <v>2083.3447560700001</v>
      </c>
      <c r="Q1245" t="s">
        <v>3870</v>
      </c>
      <c r="U1245">
        <v>0</v>
      </c>
      <c r="W1245" t="s">
        <v>36</v>
      </c>
      <c r="X1245" t="s">
        <v>69</v>
      </c>
      <c r="Y1245" t="s">
        <v>38</v>
      </c>
      <c r="AD1245">
        <v>0</v>
      </c>
      <c r="AE1245" t="b">
        <f>ISNUMBER(MATCH(G1245,AUM!$C$6:$C$1451,0))</f>
        <v>1</v>
      </c>
      <c r="AF1245" t="b">
        <f>ISNUMBER(MATCH(G1245,AUM!$G$6:$G$240,0))</f>
        <v>0</v>
      </c>
    </row>
    <row r="1246" spans="1:32" x14ac:dyDescent="0.2">
      <c r="A1246" t="s">
        <v>3870</v>
      </c>
      <c r="B1246" s="1">
        <v>45671</v>
      </c>
      <c r="D1246" t="s">
        <v>3870</v>
      </c>
      <c r="E1246" t="s">
        <v>140</v>
      </c>
      <c r="F1246" t="s">
        <v>3874</v>
      </c>
      <c r="G1246" t="s">
        <v>3875</v>
      </c>
      <c r="H1246" t="s">
        <v>143</v>
      </c>
      <c r="I1246">
        <v>36402294.2992616</v>
      </c>
      <c r="J1246">
        <v>1550.17</v>
      </c>
      <c r="K1246">
        <v>1536.26</v>
      </c>
      <c r="L1246">
        <v>1536.2559830099999</v>
      </c>
      <c r="M1246">
        <v>55923242412.529198</v>
      </c>
      <c r="N1246">
        <v>20</v>
      </c>
      <c r="O1246" t="s">
        <v>35</v>
      </c>
      <c r="P1246">
        <v>1</v>
      </c>
      <c r="R1246" t="s">
        <v>3867</v>
      </c>
      <c r="S1246" t="s">
        <v>3871</v>
      </c>
      <c r="W1246" t="s">
        <v>36</v>
      </c>
      <c r="X1246" t="s">
        <v>37</v>
      </c>
      <c r="Y1246" t="s">
        <v>38</v>
      </c>
      <c r="AD1246">
        <v>0</v>
      </c>
      <c r="AE1246" t="b">
        <f>ISNUMBER(MATCH(G1246,AUM!$C$6:$C$1451,0))</f>
        <v>1</v>
      </c>
      <c r="AF1246" t="b">
        <f>ISNUMBER(MATCH(G1246,AUM!$G$6:$G$240,0))</f>
        <v>1</v>
      </c>
    </row>
    <row r="1247" spans="1:32" x14ac:dyDescent="0.2">
      <c r="A1247" t="s">
        <v>3876</v>
      </c>
      <c r="B1247" s="1">
        <v>45671</v>
      </c>
      <c r="D1247" t="s">
        <v>3876</v>
      </c>
      <c r="E1247" t="s">
        <v>140</v>
      </c>
      <c r="F1247" t="s">
        <v>3877</v>
      </c>
      <c r="G1247" t="s">
        <v>3878</v>
      </c>
      <c r="H1247" t="s">
        <v>143</v>
      </c>
      <c r="J1247">
        <v>768.83</v>
      </c>
      <c r="K1247">
        <v>768.34</v>
      </c>
      <c r="L1247">
        <v>768.34487447000004</v>
      </c>
      <c r="Q1247" t="s">
        <v>3879</v>
      </c>
      <c r="U1247">
        <v>0</v>
      </c>
      <c r="W1247" t="s">
        <v>36</v>
      </c>
      <c r="X1247" t="s">
        <v>69</v>
      </c>
      <c r="Y1247" t="s">
        <v>38</v>
      </c>
      <c r="AD1247">
        <v>0</v>
      </c>
      <c r="AE1247" t="b">
        <f>ISNUMBER(MATCH(G1247,AUM!$C$6:$C$1451,0))</f>
        <v>1</v>
      </c>
      <c r="AF1247" t="b">
        <f>ISNUMBER(MATCH(G1247,AUM!$G$6:$G$240,0))</f>
        <v>0</v>
      </c>
    </row>
    <row r="1248" spans="1:32" x14ac:dyDescent="0.2">
      <c r="A1248" t="s">
        <v>3879</v>
      </c>
      <c r="B1248" s="1">
        <v>45671</v>
      </c>
      <c r="D1248" t="s">
        <v>3879</v>
      </c>
      <c r="E1248" t="s">
        <v>140</v>
      </c>
      <c r="F1248" t="s">
        <v>3880</v>
      </c>
      <c r="G1248" t="s">
        <v>3881</v>
      </c>
      <c r="H1248" t="s">
        <v>143</v>
      </c>
      <c r="I1248">
        <v>33747388.647603698</v>
      </c>
      <c r="J1248">
        <v>656.13</v>
      </c>
      <c r="K1248">
        <v>655.71</v>
      </c>
      <c r="L1248">
        <v>655.71263024999996</v>
      </c>
      <c r="M1248">
        <v>22128588974.080002</v>
      </c>
      <c r="N1248">
        <v>25</v>
      </c>
      <c r="O1248" t="s">
        <v>35</v>
      </c>
      <c r="P1248">
        <v>1</v>
      </c>
      <c r="S1248" t="s">
        <v>3876</v>
      </c>
      <c r="W1248" t="s">
        <v>36</v>
      </c>
      <c r="X1248" t="s">
        <v>37</v>
      </c>
      <c r="Y1248" t="s">
        <v>38</v>
      </c>
      <c r="AD1248">
        <v>0</v>
      </c>
      <c r="AE1248" t="b">
        <f>ISNUMBER(MATCH(G1248,AUM!$C$6:$C$1451,0))</f>
        <v>1</v>
      </c>
      <c r="AF1248" t="b">
        <f>ISNUMBER(MATCH(G1248,AUM!$G$6:$G$240,0))</f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8EEA8-7D0E-4BA7-9E1D-ED368308C616}">
  <sheetPr codeName="Sheet1"/>
  <dimension ref="A1:J305"/>
  <sheetViews>
    <sheetView workbookViewId="0">
      <selection activeCell="A284" sqref="A284"/>
    </sheetView>
  </sheetViews>
  <sheetFormatPr defaultRowHeight="12.75" x14ac:dyDescent="0.2"/>
  <cols>
    <col min="1" max="1" width="46.375" bestFit="1" customWidth="1"/>
    <col min="2" max="2" width="9.75" bestFit="1" customWidth="1"/>
    <col min="3" max="3" width="7.5" bestFit="1" customWidth="1"/>
    <col min="4" max="4" width="10.75" bestFit="1" customWidth="1"/>
    <col min="5" max="5" width="15.625" bestFit="1" customWidth="1"/>
    <col min="6" max="6" width="13.625" bestFit="1" customWidth="1"/>
    <col min="7" max="7" width="9.5" customWidth="1"/>
  </cols>
  <sheetData>
    <row r="1" spans="1:10" x14ac:dyDescent="0.2">
      <c r="A1" s="33" t="s">
        <v>4716</v>
      </c>
      <c r="B1" s="33" t="s">
        <v>5</v>
      </c>
      <c r="C1" s="33" t="s">
        <v>4721</v>
      </c>
      <c r="D1" s="33" t="s">
        <v>4725</v>
      </c>
      <c r="E1" s="33" t="s">
        <v>4726</v>
      </c>
      <c r="F1" s="33" t="s">
        <v>4715</v>
      </c>
      <c r="H1" s="33" t="s">
        <v>4757</v>
      </c>
      <c r="I1" s="33" t="s">
        <v>4758</v>
      </c>
      <c r="J1" s="36"/>
    </row>
    <row r="2" spans="1:10" x14ac:dyDescent="0.2">
      <c r="A2" t="str">
        <f>_xlfn.XLOOKUP(B2,'Index 14-01'!$F$2:$F$1248,'Index 14-01'!$G$2:$G$1248)</f>
        <v>EN FR 40 Responsible Investment</v>
      </c>
      <c r="B2" t="s">
        <v>2616</v>
      </c>
      <c r="C2" t="s">
        <v>4720</v>
      </c>
      <c r="D2" t="b">
        <f t="shared" ref="D2:D65" si="0">ISNUMBER(MATCH(B2,$J$1:$J$52,0))</f>
        <v>0</v>
      </c>
      <c r="E2" s="34">
        <v>1</v>
      </c>
      <c r="F2" s="34" t="s">
        <v>4749</v>
      </c>
      <c r="J2" s="36" t="s">
        <v>2361</v>
      </c>
    </row>
    <row r="3" spans="1:10" x14ac:dyDescent="0.2">
      <c r="A3" s="35" t="str">
        <f>_xlfn.XLOOKUP(B3,'Index 14-01'!$F$2:$F$1248,'Index 14-01'!$G$2:$G$1248)</f>
        <v>EN Sovereign Economy Selection EZ50</v>
      </c>
      <c r="B3" s="35" t="s">
        <v>887</v>
      </c>
      <c r="C3" s="35" t="s">
        <v>4720</v>
      </c>
      <c r="D3" t="b">
        <f t="shared" si="0"/>
        <v>0</v>
      </c>
      <c r="E3" s="34">
        <v>1</v>
      </c>
      <c r="F3" s="34" t="s">
        <v>4749</v>
      </c>
      <c r="J3" s="36" t="s">
        <v>2694</v>
      </c>
    </row>
    <row r="4" spans="1:10" x14ac:dyDescent="0.2">
      <c r="A4" s="35" t="str">
        <f>_xlfn.XLOOKUP(B4,'Index 14-01'!$F$2:$F$1248,'Index 14-01'!$G$2:$G$1248)</f>
        <v>Euronext France Developpement 40</v>
      </c>
      <c r="B4" s="35" t="s">
        <v>2843</v>
      </c>
      <c r="C4" s="35" t="s">
        <v>4720</v>
      </c>
      <c r="D4" t="b">
        <f t="shared" si="0"/>
        <v>0</v>
      </c>
      <c r="E4" s="34">
        <v>1</v>
      </c>
      <c r="F4" s="39" t="s">
        <v>4749</v>
      </c>
      <c r="J4" s="36" t="s">
        <v>1067</v>
      </c>
    </row>
    <row r="5" spans="1:10" x14ac:dyDescent="0.2">
      <c r="A5" s="35" t="str">
        <f>_xlfn.XLOOKUP(B5,'Index 14-01'!$F$2:$F$1248,'Index 14-01'!$G$2:$G$1248)</f>
        <v>Euronext France Investissement 40</v>
      </c>
      <c r="B5" s="35" t="s">
        <v>2792</v>
      </c>
      <c r="C5" s="35" t="s">
        <v>4720</v>
      </c>
      <c r="D5" s="37" t="b">
        <f t="shared" si="0"/>
        <v>0</v>
      </c>
      <c r="E5" s="34">
        <v>1</v>
      </c>
      <c r="F5" s="39" t="s">
        <v>4749</v>
      </c>
      <c r="J5" s="36" t="s">
        <v>962</v>
      </c>
    </row>
    <row r="6" spans="1:10" x14ac:dyDescent="0.2">
      <c r="A6" t="s">
        <v>4750</v>
      </c>
      <c r="B6" s="38" t="s">
        <v>4739</v>
      </c>
      <c r="C6" t="s">
        <v>4720</v>
      </c>
      <c r="D6" s="37" t="b">
        <f t="shared" si="0"/>
        <v>0</v>
      </c>
      <c r="E6" s="34">
        <v>1</v>
      </c>
      <c r="F6" t="s">
        <v>4749</v>
      </c>
      <c r="J6" s="36" t="s">
        <v>948</v>
      </c>
    </row>
    <row r="7" spans="1:10" x14ac:dyDescent="0.2">
      <c r="A7" t="str">
        <f>_xlfn.XLOOKUP(B7,'Index 14-01'!$F$2:$F$1248,'Index 14-01'!$G$2:$G$1248)</f>
        <v>AEX All-Share Index</v>
      </c>
      <c r="B7" t="s">
        <v>1348</v>
      </c>
      <c r="C7" t="s">
        <v>1356</v>
      </c>
      <c r="D7" t="b">
        <f t="shared" si="0"/>
        <v>0</v>
      </c>
      <c r="E7" s="34">
        <v>0</v>
      </c>
      <c r="F7" s="34"/>
      <c r="J7" s="36" t="s">
        <v>2589</v>
      </c>
    </row>
    <row r="8" spans="1:10" x14ac:dyDescent="0.2">
      <c r="A8" t="str">
        <f>_xlfn.XLOOKUP(B8,'Index 14-01'!$F$2:$F$1248,'Index 14-01'!$G$2:$G$1248)</f>
        <v>AEX All-Tradable</v>
      </c>
      <c r="B8" t="s">
        <v>1342</v>
      </c>
      <c r="C8" t="s">
        <v>1356</v>
      </c>
      <c r="D8" t="b">
        <f t="shared" si="0"/>
        <v>0</v>
      </c>
      <c r="E8" s="34">
        <v>0</v>
      </c>
      <c r="F8" s="34"/>
      <c r="J8" s="36" t="s">
        <v>3490</v>
      </c>
    </row>
    <row r="9" spans="1:10" x14ac:dyDescent="0.2">
      <c r="A9" t="str">
        <f>_xlfn.XLOOKUP(B9,'Index 14-01'!$F$2:$F$1248,'Index 14-01'!$G$2:$G$1248)</f>
        <v>AEX All-Tradable Alternative Weighting</v>
      </c>
      <c r="B9" t="s">
        <v>1333</v>
      </c>
      <c r="C9" t="s">
        <v>1356</v>
      </c>
      <c r="D9" t="b">
        <f t="shared" si="0"/>
        <v>0</v>
      </c>
      <c r="E9" s="34">
        <v>0</v>
      </c>
      <c r="F9" s="34"/>
      <c r="J9" s="36" t="s">
        <v>2493</v>
      </c>
    </row>
    <row r="10" spans="1:10" x14ac:dyDescent="0.2">
      <c r="A10" t="str">
        <f>_xlfn.XLOOKUP(B10,'Index 14-01'!$F$2:$F$1248,'Index 14-01'!$G$2:$G$1248)</f>
        <v>AEX Basic Materials</v>
      </c>
      <c r="B10" t="s">
        <v>516</v>
      </c>
      <c r="C10" t="s">
        <v>1356</v>
      </c>
      <c r="D10" t="b">
        <f t="shared" si="0"/>
        <v>0</v>
      </c>
      <c r="E10" s="34">
        <v>0</v>
      </c>
      <c r="F10" s="34"/>
      <c r="J10" s="36" t="s">
        <v>2310</v>
      </c>
    </row>
    <row r="11" spans="1:10" x14ac:dyDescent="0.2">
      <c r="A11" t="str">
        <f>_xlfn.XLOOKUP(B11,'Index 14-01'!$F$2:$F$1248,'Index 14-01'!$G$2:$G$1248)</f>
        <v>AEX Consumer Discretionary</v>
      </c>
      <c r="B11" t="s">
        <v>508</v>
      </c>
      <c r="C11" t="s">
        <v>1356</v>
      </c>
      <c r="D11" t="b">
        <f t="shared" si="0"/>
        <v>0</v>
      </c>
      <c r="E11" s="34">
        <v>0</v>
      </c>
      <c r="F11" s="34"/>
      <c r="J11" s="36" t="s">
        <v>439</v>
      </c>
    </row>
    <row r="12" spans="1:10" x14ac:dyDescent="0.2">
      <c r="A12" t="str">
        <f>_xlfn.XLOOKUP(B12,'Index 14-01'!$F$2:$F$1248,'Index 14-01'!$G$2:$G$1248)</f>
        <v>AEX Consumer Staples</v>
      </c>
      <c r="B12" t="s">
        <v>504</v>
      </c>
      <c r="C12" t="s">
        <v>1356</v>
      </c>
      <c r="D12" t="b">
        <f t="shared" si="0"/>
        <v>0</v>
      </c>
      <c r="E12" s="34">
        <v>0</v>
      </c>
      <c r="F12" s="34"/>
      <c r="J12" s="36" t="s">
        <v>2520</v>
      </c>
    </row>
    <row r="13" spans="1:10" x14ac:dyDescent="0.2">
      <c r="A13" t="str">
        <f>_xlfn.XLOOKUP(B13,'Index 14-01'!$F$2:$F$1248,'Index 14-01'!$G$2:$G$1248)</f>
        <v>AEX Dividend Index</v>
      </c>
      <c r="B13" t="s">
        <v>425</v>
      </c>
      <c r="C13" t="s">
        <v>1356</v>
      </c>
      <c r="D13" t="b">
        <f t="shared" si="0"/>
        <v>0</v>
      </c>
      <c r="E13" s="34">
        <v>0</v>
      </c>
      <c r="F13" s="34"/>
      <c r="J13" s="36" t="s">
        <v>2529</v>
      </c>
    </row>
    <row r="14" spans="1:10" x14ac:dyDescent="0.2">
      <c r="A14" t="str">
        <f>_xlfn.XLOOKUP(B14,'Index 14-01'!$F$2:$F$1248,'Index 14-01'!$G$2:$G$1248)</f>
        <v>AEX Energy</v>
      </c>
      <c r="B14" t="s">
        <v>518</v>
      </c>
      <c r="C14" t="s">
        <v>1356</v>
      </c>
      <c r="D14" t="b">
        <f t="shared" si="0"/>
        <v>0</v>
      </c>
      <c r="E14" s="34">
        <v>0</v>
      </c>
      <c r="F14" s="34"/>
      <c r="J14" s="36" t="s">
        <v>846</v>
      </c>
    </row>
    <row r="15" spans="1:10" x14ac:dyDescent="0.2">
      <c r="A15" t="str">
        <f>_xlfn.XLOOKUP(B15,'Index 14-01'!$F$2:$F$1248,'Index 14-01'!$G$2:$G$1248)</f>
        <v>AEX Equal Weight</v>
      </c>
      <c r="B15" t="s">
        <v>422</v>
      </c>
      <c r="C15" t="s">
        <v>1356</v>
      </c>
      <c r="D15" t="b">
        <f t="shared" si="0"/>
        <v>0</v>
      </c>
      <c r="E15" s="34">
        <v>0</v>
      </c>
      <c r="F15" s="34"/>
      <c r="J15" s="36" t="s">
        <v>2571</v>
      </c>
    </row>
    <row r="16" spans="1:10" x14ac:dyDescent="0.2">
      <c r="A16" t="str">
        <f>_xlfn.XLOOKUP(B16,'Index 14-01'!$F$2:$F$1248,'Index 14-01'!$G$2:$G$1248)</f>
        <v>AEX ESG</v>
      </c>
      <c r="B16" t="s">
        <v>2201</v>
      </c>
      <c r="C16" t="s">
        <v>1356</v>
      </c>
      <c r="D16" t="b">
        <f t="shared" si="0"/>
        <v>0</v>
      </c>
      <c r="E16" s="34">
        <v>0</v>
      </c>
      <c r="F16" s="34"/>
      <c r="J16" s="36" t="s">
        <v>3626</v>
      </c>
    </row>
    <row r="17" spans="1:10" x14ac:dyDescent="0.2">
      <c r="A17" t="str">
        <f>_xlfn.XLOOKUP(B17,'Index 14-01'!$F$2:$F$1248,'Index 14-01'!$G$2:$G$1248)</f>
        <v>AEX Financials</v>
      </c>
      <c r="B17" t="s">
        <v>500</v>
      </c>
      <c r="C17" t="s">
        <v>1356</v>
      </c>
      <c r="D17" t="b">
        <f t="shared" si="0"/>
        <v>0</v>
      </c>
      <c r="E17" s="34">
        <v>0</v>
      </c>
      <c r="F17" s="34"/>
      <c r="J17" s="36" t="s">
        <v>2403</v>
      </c>
    </row>
    <row r="18" spans="1:10" x14ac:dyDescent="0.2">
      <c r="A18" t="str">
        <f>_xlfn.XLOOKUP(B18,'Index 14-01'!$F$2:$F$1248,'Index 14-01'!$G$2:$G$1248)</f>
        <v>AEX Health Care</v>
      </c>
      <c r="B18" t="s">
        <v>506</v>
      </c>
      <c r="C18" t="s">
        <v>1356</v>
      </c>
      <c r="D18" t="b">
        <f t="shared" si="0"/>
        <v>0</v>
      </c>
      <c r="E18" s="34">
        <v>0</v>
      </c>
      <c r="F18" s="34"/>
      <c r="J18" s="36" t="s">
        <v>892</v>
      </c>
    </row>
    <row r="19" spans="1:10" x14ac:dyDescent="0.2">
      <c r="A19" t="str">
        <f>_xlfn.XLOOKUP(B19,'Index 14-01'!$F$2:$F$1248,'Index 14-01'!$G$2:$G$1248)</f>
        <v>AEX Industrials</v>
      </c>
      <c r="B19" t="s">
        <v>514</v>
      </c>
      <c r="C19" t="s">
        <v>1356</v>
      </c>
      <c r="D19" t="b">
        <f t="shared" si="0"/>
        <v>0</v>
      </c>
      <c r="E19" s="34">
        <v>0</v>
      </c>
      <c r="F19" s="34"/>
      <c r="J19" s="36" t="s">
        <v>2388</v>
      </c>
    </row>
    <row r="20" spans="1:10" x14ac:dyDescent="0.2">
      <c r="A20" t="str">
        <f>_xlfn.XLOOKUP(B20,'Index 14-01'!$F$2:$F$1248,'Index 14-01'!$G$2:$G$1248)</f>
        <v>AEX Real Estate</v>
      </c>
      <c r="B20" t="s">
        <v>944</v>
      </c>
      <c r="C20" t="s">
        <v>1356</v>
      </c>
      <c r="D20" t="b">
        <f t="shared" si="0"/>
        <v>0</v>
      </c>
      <c r="E20" s="34">
        <v>0</v>
      </c>
      <c r="F20" s="34"/>
      <c r="J20" s="36" t="s">
        <v>2553</v>
      </c>
    </row>
    <row r="21" spans="1:10" x14ac:dyDescent="0.2">
      <c r="A21" t="str">
        <f>_xlfn.XLOOKUP(B21,'Index 14-01'!$F$2:$F$1248,'Index 14-01'!$G$2:$G$1248)</f>
        <v>AEX Technology</v>
      </c>
      <c r="B21" t="s">
        <v>498</v>
      </c>
      <c r="C21" t="s">
        <v>1356</v>
      </c>
      <c r="D21" t="b">
        <f t="shared" si="0"/>
        <v>0</v>
      </c>
      <c r="E21" s="34">
        <v>0</v>
      </c>
      <c r="F21" s="34"/>
      <c r="J21" s="36" t="s">
        <v>2511</v>
      </c>
    </row>
    <row r="22" spans="1:10" x14ac:dyDescent="0.2">
      <c r="A22" t="str">
        <f>_xlfn.XLOOKUP(B22,'Index 14-01'!$F$2:$F$1248,'Index 14-01'!$G$2:$G$1248)</f>
        <v>AEX Telecommunications</v>
      </c>
      <c r="B22" t="s">
        <v>502</v>
      </c>
      <c r="C22" t="s">
        <v>1356</v>
      </c>
      <c r="D22" t="b">
        <f t="shared" si="0"/>
        <v>0</v>
      </c>
      <c r="E22" s="34">
        <v>0</v>
      </c>
      <c r="F22" s="34"/>
      <c r="J22" s="36" t="s">
        <v>2679</v>
      </c>
    </row>
    <row r="23" spans="1:10" x14ac:dyDescent="0.2">
      <c r="A23" t="str">
        <f>_xlfn.XLOOKUP(B23,'Index 14-01'!$F$2:$F$1248,'Index 14-01'!$G$2:$G$1248)</f>
        <v>AEX Utilities</v>
      </c>
      <c r="B23" t="s">
        <v>842</v>
      </c>
      <c r="C23" t="s">
        <v>1356</v>
      </c>
      <c r="D23" t="b">
        <f t="shared" si="0"/>
        <v>0</v>
      </c>
      <c r="E23" s="34">
        <v>0</v>
      </c>
      <c r="F23" s="34"/>
      <c r="J23" s="36" t="s">
        <v>2667</v>
      </c>
    </row>
    <row r="24" spans="1:10" x14ac:dyDescent="0.2">
      <c r="A24" t="str">
        <f>_xlfn.XLOOKUP(B24,'Index 14-01'!$F$2:$F$1248,'Index 14-01'!$G$2:$G$1248)</f>
        <v>AEX-Index</v>
      </c>
      <c r="B24" t="s">
        <v>1356</v>
      </c>
      <c r="C24" t="s">
        <v>1356</v>
      </c>
      <c r="D24" t="b">
        <f t="shared" si="0"/>
        <v>0</v>
      </c>
      <c r="E24" s="34">
        <v>0</v>
      </c>
      <c r="F24" s="34"/>
      <c r="J24" s="36" t="s">
        <v>1166</v>
      </c>
    </row>
    <row r="25" spans="1:10" x14ac:dyDescent="0.2">
      <c r="A25" t="str">
        <f>_xlfn.XLOOKUP(B25,'Index 14-01'!$F$2:$F$1248,'Index 14-01'!$G$2:$G$1248)</f>
        <v>AMX-Index</v>
      </c>
      <c r="B25" t="s">
        <v>1344</v>
      </c>
      <c r="C25" t="s">
        <v>1356</v>
      </c>
      <c r="D25" t="b">
        <f t="shared" si="0"/>
        <v>0</v>
      </c>
      <c r="E25" s="34">
        <v>0</v>
      </c>
      <c r="F25" s="34"/>
      <c r="J25" s="36" t="s">
        <v>970</v>
      </c>
    </row>
    <row r="26" spans="1:10" x14ac:dyDescent="0.2">
      <c r="A26" t="str">
        <f>_xlfn.XLOOKUP(B26,'Index 14-01'!$F$2:$F$1248,'Index 14-01'!$G$2:$G$1248)</f>
        <v>AScX-Index</v>
      </c>
      <c r="B26" t="s">
        <v>1346</v>
      </c>
      <c r="C26" t="s">
        <v>1356</v>
      </c>
      <c r="D26" t="b">
        <f t="shared" si="0"/>
        <v>0</v>
      </c>
      <c r="E26" s="34">
        <v>0</v>
      </c>
      <c r="F26" s="34"/>
      <c r="J26" s="36" t="s">
        <v>2448</v>
      </c>
    </row>
    <row r="27" spans="1:10" x14ac:dyDescent="0.2">
      <c r="A27" t="str">
        <f>_xlfn.XLOOKUP(B27,'Index 14-01'!$F$2:$F$1248,'Index 14-01'!$G$2:$G$1248)</f>
        <v>BEL 20</v>
      </c>
      <c r="B27" t="s">
        <v>3836</v>
      </c>
      <c r="C27" t="s">
        <v>3909</v>
      </c>
      <c r="D27" t="b">
        <f t="shared" si="0"/>
        <v>0</v>
      </c>
      <c r="E27" s="34">
        <v>0</v>
      </c>
      <c r="F27" s="34"/>
      <c r="J27" s="36" t="s">
        <v>1154</v>
      </c>
    </row>
    <row r="28" spans="1:10" x14ac:dyDescent="0.2">
      <c r="A28" t="str">
        <f>_xlfn.XLOOKUP(B28,'Index 14-01'!$F$2:$F$1248,'Index 14-01'!$G$2:$G$1248)</f>
        <v>BEL All-Share Index</v>
      </c>
      <c r="B28" t="s">
        <v>3844</v>
      </c>
      <c r="C28" t="s">
        <v>3909</v>
      </c>
      <c r="D28" t="b">
        <f t="shared" si="0"/>
        <v>0</v>
      </c>
      <c r="E28" s="34">
        <v>0</v>
      </c>
      <c r="F28" s="34"/>
      <c r="J28" s="36" t="s">
        <v>1058</v>
      </c>
    </row>
    <row r="29" spans="1:10" x14ac:dyDescent="0.2">
      <c r="A29" t="str">
        <f>_xlfn.XLOOKUP(B29,'Index 14-01'!$F$2:$F$1248,'Index 14-01'!$G$2:$G$1248)</f>
        <v>BEL Basic Materials</v>
      </c>
      <c r="B29" t="s">
        <v>248</v>
      </c>
      <c r="C29" t="s">
        <v>3909</v>
      </c>
      <c r="D29" t="b">
        <f t="shared" si="0"/>
        <v>0</v>
      </c>
      <c r="E29" s="34">
        <v>0</v>
      </c>
      <c r="F29" s="34"/>
      <c r="J29" s="36" t="s">
        <v>2394</v>
      </c>
    </row>
    <row r="30" spans="1:10" x14ac:dyDescent="0.2">
      <c r="A30" t="str">
        <f>_xlfn.XLOOKUP(B30,'Index 14-01'!$F$2:$F$1248,'Index 14-01'!$G$2:$G$1248)</f>
        <v>BEL Consumer Discretionary</v>
      </c>
      <c r="B30" t="s">
        <v>172</v>
      </c>
      <c r="C30" t="s">
        <v>3909</v>
      </c>
      <c r="D30" t="b">
        <f t="shared" si="0"/>
        <v>0</v>
      </c>
      <c r="E30" s="34">
        <v>0</v>
      </c>
      <c r="F30" s="34"/>
      <c r="J30" s="36" t="s">
        <v>2562</v>
      </c>
    </row>
    <row r="31" spans="1:10" x14ac:dyDescent="0.2">
      <c r="A31" t="str">
        <f>_xlfn.XLOOKUP(B31,'Index 14-01'!$F$2:$F$1248,'Index 14-01'!$G$2:$G$1248)</f>
        <v>BEL Consumer Staples</v>
      </c>
      <c r="B31" t="s">
        <v>200</v>
      </c>
      <c r="C31" t="s">
        <v>3909</v>
      </c>
      <c r="D31" t="b">
        <f t="shared" si="0"/>
        <v>0</v>
      </c>
      <c r="E31" s="34">
        <v>0</v>
      </c>
      <c r="F31" s="34"/>
      <c r="J31" s="36" t="s">
        <v>917</v>
      </c>
    </row>
    <row r="32" spans="1:10" x14ac:dyDescent="0.2">
      <c r="A32" t="str">
        <f>_xlfn.XLOOKUP(B32,'Index 14-01'!$F$2:$F$1248,'Index 14-01'!$G$2:$G$1248)</f>
        <v>BEL Continuous Stocks Index</v>
      </c>
      <c r="B32" t="s">
        <v>168</v>
      </c>
      <c r="C32" t="s">
        <v>3909</v>
      </c>
      <c r="D32" t="b">
        <f t="shared" si="0"/>
        <v>0</v>
      </c>
      <c r="E32" s="34">
        <v>0</v>
      </c>
      <c r="F32" s="34"/>
      <c r="J32" s="36" t="s">
        <v>941</v>
      </c>
    </row>
    <row r="33" spans="1:10" x14ac:dyDescent="0.2">
      <c r="A33" t="str">
        <f>_xlfn.XLOOKUP(B33,'Index 14-01'!$F$2:$F$1248,'Index 14-01'!$G$2:$G$1248)</f>
        <v>BEL Energy</v>
      </c>
      <c r="B33" t="s">
        <v>141</v>
      </c>
      <c r="C33" t="s">
        <v>3909</v>
      </c>
      <c r="D33" t="b">
        <f t="shared" si="0"/>
        <v>0</v>
      </c>
      <c r="E33" s="34">
        <v>0</v>
      </c>
      <c r="F33" s="34"/>
      <c r="J33" s="36" t="s">
        <v>2580</v>
      </c>
    </row>
    <row r="34" spans="1:10" x14ac:dyDescent="0.2">
      <c r="A34" t="str">
        <f>_xlfn.XLOOKUP(B34,'Index 14-01'!$F$2:$F$1248,'Index 14-01'!$G$2:$G$1248)</f>
        <v>BEL ESG</v>
      </c>
      <c r="B34" t="s">
        <v>3874</v>
      </c>
      <c r="C34" t="s">
        <v>3909</v>
      </c>
      <c r="D34" t="b">
        <f t="shared" si="0"/>
        <v>0</v>
      </c>
      <c r="E34" s="34">
        <v>0</v>
      </c>
      <c r="F34" s="34"/>
      <c r="J34" s="36" t="s">
        <v>3728</v>
      </c>
    </row>
    <row r="35" spans="1:10" x14ac:dyDescent="0.2">
      <c r="A35" t="str">
        <f>_xlfn.XLOOKUP(B35,'Index 14-01'!$F$2:$F$1248,'Index 14-01'!$G$2:$G$1248)</f>
        <v>BEL Financials</v>
      </c>
      <c r="B35" t="s">
        <v>188</v>
      </c>
      <c r="C35" t="s">
        <v>3909</v>
      </c>
      <c r="D35" t="b">
        <f t="shared" si="0"/>
        <v>0</v>
      </c>
      <c r="E35" s="34">
        <v>0</v>
      </c>
      <c r="F35" s="34"/>
      <c r="J35" s="36" t="s">
        <v>2544</v>
      </c>
    </row>
    <row r="36" spans="1:10" x14ac:dyDescent="0.2">
      <c r="A36" t="str">
        <f>_xlfn.XLOOKUP(B36,'Index 14-01'!$F$2:$F$1248,'Index 14-01'!$G$2:$G$1248)</f>
        <v>BEL Health Care</v>
      </c>
      <c r="B36" t="s">
        <v>180</v>
      </c>
      <c r="C36" t="s">
        <v>3909</v>
      </c>
      <c r="D36" t="b">
        <f t="shared" si="0"/>
        <v>0</v>
      </c>
      <c r="E36" s="34">
        <v>0</v>
      </c>
      <c r="F36" s="34"/>
      <c r="J36" s="36" t="s">
        <v>1040</v>
      </c>
    </row>
    <row r="37" spans="1:10" x14ac:dyDescent="0.2">
      <c r="A37" t="str">
        <f>_xlfn.XLOOKUP(B37,'Index 14-01'!$F$2:$F$1248,'Index 14-01'!$G$2:$G$1248)</f>
        <v>BEL Industrials</v>
      </c>
      <c r="B37" t="s">
        <v>176</v>
      </c>
      <c r="C37" t="s">
        <v>3909</v>
      </c>
      <c r="D37" t="b">
        <f t="shared" si="0"/>
        <v>0</v>
      </c>
      <c r="E37" s="34">
        <v>0</v>
      </c>
      <c r="F37" s="34"/>
      <c r="J37" s="36" t="s">
        <v>1017</v>
      </c>
    </row>
    <row r="38" spans="1:10" x14ac:dyDescent="0.2">
      <c r="A38" t="str">
        <f>_xlfn.XLOOKUP(B38,'Index 14-01'!$F$2:$F$1248,'Index 14-01'!$G$2:$G$1248)</f>
        <v>BEL Mid</v>
      </c>
      <c r="B38" t="s">
        <v>3822</v>
      </c>
      <c r="C38" t="s">
        <v>3909</v>
      </c>
      <c r="D38" t="b">
        <f t="shared" si="0"/>
        <v>0</v>
      </c>
      <c r="E38" s="34">
        <v>0</v>
      </c>
      <c r="F38" s="34"/>
      <c r="J38" s="36" t="s">
        <v>2469</v>
      </c>
    </row>
    <row r="39" spans="1:10" x14ac:dyDescent="0.2">
      <c r="A39" t="str">
        <f>_xlfn.XLOOKUP(B39,'Index 14-01'!$F$2:$F$1248,'Index 14-01'!$G$2:$G$1248)</f>
        <v>BEL Real Estate</v>
      </c>
      <c r="B39" t="s">
        <v>3880</v>
      </c>
      <c r="C39" t="s">
        <v>3909</v>
      </c>
      <c r="D39" t="b">
        <f t="shared" si="0"/>
        <v>0</v>
      </c>
      <c r="E39" s="34">
        <v>0</v>
      </c>
      <c r="F39" s="34"/>
      <c r="J39" s="36" t="s">
        <v>2625</v>
      </c>
    </row>
    <row r="40" spans="1:10" x14ac:dyDescent="0.2">
      <c r="A40" t="str">
        <f>_xlfn.XLOOKUP(B40,'Index 14-01'!$F$2:$F$1248,'Index 14-01'!$G$2:$G$1248)</f>
        <v>BEL Small</v>
      </c>
      <c r="B40" t="s">
        <v>3819</v>
      </c>
      <c r="C40" t="s">
        <v>3909</v>
      </c>
      <c r="D40" t="b">
        <f t="shared" si="0"/>
        <v>0</v>
      </c>
      <c r="E40" s="34">
        <v>0</v>
      </c>
      <c r="F40" s="34"/>
      <c r="J40" s="36" t="s">
        <v>1250</v>
      </c>
    </row>
    <row r="41" spans="1:10" x14ac:dyDescent="0.2">
      <c r="A41" t="str">
        <f>_xlfn.XLOOKUP(B41,'Index 14-01'!$F$2:$F$1248,'Index 14-01'!$G$2:$G$1248)</f>
        <v>BEL Technology</v>
      </c>
      <c r="B41" t="s">
        <v>192</v>
      </c>
      <c r="C41" t="s">
        <v>3909</v>
      </c>
      <c r="D41" t="b">
        <f t="shared" si="0"/>
        <v>0</v>
      </c>
      <c r="E41" s="34">
        <v>0</v>
      </c>
      <c r="F41" s="34"/>
      <c r="J41" s="36" t="s">
        <v>1142</v>
      </c>
    </row>
    <row r="42" spans="1:10" x14ac:dyDescent="0.2">
      <c r="A42" t="str">
        <f>_xlfn.XLOOKUP(B42,'Index 14-01'!$F$2:$F$1248,'Index 14-01'!$G$2:$G$1248)</f>
        <v>BEL Telecommunications</v>
      </c>
      <c r="B42" t="s">
        <v>184</v>
      </c>
      <c r="C42" t="s">
        <v>3909</v>
      </c>
      <c r="D42" t="b">
        <f t="shared" si="0"/>
        <v>0</v>
      </c>
      <c r="E42" s="34">
        <v>0</v>
      </c>
      <c r="F42" s="34"/>
      <c r="J42" s="36" t="s">
        <v>2421</v>
      </c>
    </row>
    <row r="43" spans="1:10" x14ac:dyDescent="0.2">
      <c r="A43" t="str">
        <f>_xlfn.XLOOKUP(B43,'Index 14-01'!$F$2:$F$1248,'Index 14-01'!$G$2:$G$1248)</f>
        <v>BEL Utilities</v>
      </c>
      <c r="B43" t="s">
        <v>196</v>
      </c>
      <c r="C43" t="s">
        <v>3909</v>
      </c>
      <c r="D43" t="b">
        <f t="shared" si="0"/>
        <v>0</v>
      </c>
      <c r="E43" s="34">
        <v>0</v>
      </c>
      <c r="F43" s="34"/>
      <c r="J43" s="36" t="s">
        <v>2442</v>
      </c>
    </row>
    <row r="44" spans="1:10" x14ac:dyDescent="0.2">
      <c r="A44" t="str">
        <f>_xlfn.XLOOKUP(B44,'Index 14-01'!$F$2:$F$1248,'Index 14-01'!$G$2:$G$1248)</f>
        <v>CAC 40</v>
      </c>
      <c r="B44" t="s">
        <v>2768</v>
      </c>
      <c r="C44" t="s">
        <v>3892</v>
      </c>
      <c r="D44" t="b">
        <f t="shared" si="0"/>
        <v>0</v>
      </c>
      <c r="E44" s="34">
        <v>0</v>
      </c>
      <c r="F44" s="34"/>
      <c r="J44" s="36" t="s">
        <v>2432</v>
      </c>
    </row>
    <row r="45" spans="1:10" x14ac:dyDescent="0.2">
      <c r="A45" t="str">
        <f>_xlfn.XLOOKUP(B45,'Index 14-01'!$F$2:$F$1248,'Index 14-01'!$G$2:$G$1248)</f>
        <v>CAC 40 Dividend Index</v>
      </c>
      <c r="B45" t="s">
        <v>429</v>
      </c>
      <c r="C45" t="s">
        <v>3892</v>
      </c>
      <c r="D45" t="b">
        <f t="shared" si="0"/>
        <v>0</v>
      </c>
      <c r="E45" s="34">
        <v>0</v>
      </c>
      <c r="F45" s="34"/>
      <c r="J45" s="36" t="s">
        <v>3796</v>
      </c>
    </row>
    <row r="46" spans="1:10" x14ac:dyDescent="0.2">
      <c r="A46" t="str">
        <f>_xlfn.XLOOKUP(B46,'Index 14-01'!$F$2:$F$1248,'Index 14-01'!$G$2:$G$1248)</f>
        <v>CAC 40 Equal Weight</v>
      </c>
      <c r="B46" t="s">
        <v>420</v>
      </c>
      <c r="C46" t="s">
        <v>3892</v>
      </c>
      <c r="D46" t="b">
        <f t="shared" si="0"/>
        <v>0</v>
      </c>
      <c r="E46" s="34">
        <v>0</v>
      </c>
      <c r="F46" s="34"/>
      <c r="J46" s="36" t="s">
        <v>73</v>
      </c>
    </row>
    <row r="47" spans="1:10" x14ac:dyDescent="0.2">
      <c r="A47" t="str">
        <f>_xlfn.XLOOKUP(B47,'Index 14-01'!$F$2:$F$1248,'Index 14-01'!$G$2:$G$1248)</f>
        <v>CAC 40 ESG</v>
      </c>
      <c r="B47" t="s">
        <v>2493</v>
      </c>
      <c r="C47" t="s">
        <v>3892</v>
      </c>
      <c r="D47" t="b">
        <f t="shared" si="0"/>
        <v>1</v>
      </c>
      <c r="E47" s="34">
        <v>0</v>
      </c>
      <c r="F47" s="34"/>
      <c r="J47" s="36" t="s">
        <v>83</v>
      </c>
    </row>
    <row r="48" spans="1:10" x14ac:dyDescent="0.2">
      <c r="A48" t="str">
        <f>_xlfn.XLOOKUP(B48,'Index 14-01'!$F$2:$F$1248,'Index 14-01'!$G$2:$G$1248)</f>
        <v>CAC 40 Governance</v>
      </c>
      <c r="B48" t="s">
        <v>2694</v>
      </c>
      <c r="C48" t="s">
        <v>3892</v>
      </c>
      <c r="D48" t="b">
        <f t="shared" si="0"/>
        <v>1</v>
      </c>
      <c r="E48" s="34">
        <v>0</v>
      </c>
      <c r="F48" s="34"/>
      <c r="J48" s="36" t="s">
        <v>118</v>
      </c>
    </row>
    <row r="49" spans="1:10" x14ac:dyDescent="0.2">
      <c r="A49" t="str">
        <f>_xlfn.XLOOKUP(B49,'Index 14-01'!$F$2:$F$1248,'Index 14-01'!$G$2:$G$1248)</f>
        <v>CAC 40 Inflation Adjusted</v>
      </c>
      <c r="B49" t="s">
        <v>3140</v>
      </c>
      <c r="C49" t="s">
        <v>3892</v>
      </c>
      <c r="D49" t="b">
        <f t="shared" si="0"/>
        <v>0</v>
      </c>
      <c r="E49" s="34">
        <v>0</v>
      </c>
      <c r="F49" s="34"/>
      <c r="J49" s="36" t="s">
        <v>109</v>
      </c>
    </row>
    <row r="50" spans="1:10" x14ac:dyDescent="0.2">
      <c r="A50" t="str">
        <f>_xlfn.XLOOKUP(B50,'Index 14-01'!$F$2:$F$1248,'Index 14-01'!$G$2:$G$1248)</f>
        <v>CAC 40 NR Inflation Adjusted</v>
      </c>
      <c r="B50" t="s">
        <v>3137</v>
      </c>
      <c r="C50" t="s">
        <v>3892</v>
      </c>
      <c r="D50" t="b">
        <f t="shared" si="0"/>
        <v>0</v>
      </c>
      <c r="E50" s="34">
        <v>0</v>
      </c>
      <c r="F50" s="34"/>
      <c r="J50" s="36" t="s">
        <v>99</v>
      </c>
    </row>
    <row r="51" spans="1:10" x14ac:dyDescent="0.2">
      <c r="A51" t="str">
        <f>_xlfn.XLOOKUP(B51,'Index 14-01'!$F$2:$F$1248,'Index 14-01'!$G$2:$G$1248)</f>
        <v>CAC 40 TRF Adjusted</v>
      </c>
      <c r="B51" t="s">
        <v>2993</v>
      </c>
      <c r="C51" t="s">
        <v>3892</v>
      </c>
      <c r="D51" t="b">
        <f t="shared" si="0"/>
        <v>0</v>
      </c>
      <c r="E51" s="34">
        <v>0</v>
      </c>
      <c r="F51" s="34"/>
      <c r="J51" s="36" t="s">
        <v>86</v>
      </c>
    </row>
    <row r="52" spans="1:10" x14ac:dyDescent="0.2">
      <c r="A52" t="str">
        <f>_xlfn.XLOOKUP(B52,'Index 14-01'!$F$2:$F$1248,'Index 14-01'!$G$2:$G$1248)</f>
        <v>CAC All-Share Index</v>
      </c>
      <c r="B52" t="s">
        <v>520</v>
      </c>
      <c r="C52" t="s">
        <v>3892</v>
      </c>
      <c r="D52" t="b">
        <f t="shared" si="0"/>
        <v>0</v>
      </c>
      <c r="E52" s="34">
        <v>0</v>
      </c>
      <c r="F52" s="34"/>
      <c r="J52" s="36" t="s">
        <v>121</v>
      </c>
    </row>
    <row r="53" spans="1:10" x14ac:dyDescent="0.2">
      <c r="A53" t="str">
        <f>_xlfn.XLOOKUP(B53,'Index 14-01'!$F$2:$F$1248,'Index 14-01'!$G$2:$G$1248)</f>
        <v>CAC All-Tradable</v>
      </c>
      <c r="B53" t="s">
        <v>2755</v>
      </c>
      <c r="C53" t="s">
        <v>3892</v>
      </c>
      <c r="D53" t="b">
        <f t="shared" si="0"/>
        <v>0</v>
      </c>
      <c r="E53" s="34">
        <v>0</v>
      </c>
      <c r="F53" s="34"/>
    </row>
    <row r="54" spans="1:10" x14ac:dyDescent="0.2">
      <c r="A54" t="str">
        <f>_xlfn.XLOOKUP(B54,'Index 14-01'!$F$2:$F$1248,'Index 14-01'!$G$2:$G$1248)</f>
        <v>CAC Basic Materials</v>
      </c>
      <c r="B54" t="s">
        <v>474</v>
      </c>
      <c r="C54" t="s">
        <v>3892</v>
      </c>
      <c r="D54" t="b">
        <f t="shared" si="0"/>
        <v>0</v>
      </c>
      <c r="E54" s="34">
        <v>0</v>
      </c>
      <c r="F54" s="34"/>
    </row>
    <row r="55" spans="1:10" x14ac:dyDescent="0.2">
      <c r="A55" t="str">
        <f>_xlfn.XLOOKUP(B55,'Index 14-01'!$F$2:$F$1248,'Index 14-01'!$G$2:$G$1248)</f>
        <v>CAC Consumer Discretionary</v>
      </c>
      <c r="B55" t="s">
        <v>470</v>
      </c>
      <c r="C55" t="s">
        <v>3892</v>
      </c>
      <c r="D55" t="b">
        <f t="shared" si="0"/>
        <v>0</v>
      </c>
      <c r="E55" s="34">
        <v>0</v>
      </c>
      <c r="F55" s="34"/>
    </row>
    <row r="56" spans="1:10" x14ac:dyDescent="0.2">
      <c r="A56" t="str">
        <f>_xlfn.XLOOKUP(B56,'Index 14-01'!$F$2:$F$1248,'Index 14-01'!$G$2:$G$1248)</f>
        <v>CAC Consumer Staples</v>
      </c>
      <c r="B56" t="s">
        <v>466</v>
      </c>
      <c r="C56" t="s">
        <v>3892</v>
      </c>
      <c r="D56" t="b">
        <f t="shared" si="0"/>
        <v>0</v>
      </c>
      <c r="E56" s="34">
        <v>0</v>
      </c>
      <c r="F56" s="34"/>
    </row>
    <row r="57" spans="1:10" x14ac:dyDescent="0.2">
      <c r="A57" t="str">
        <f>_xlfn.XLOOKUP(B57,'Index 14-01'!$F$2:$F$1248,'Index 14-01'!$G$2:$G$1248)</f>
        <v>CAC Energy</v>
      </c>
      <c r="B57" t="s">
        <v>476</v>
      </c>
      <c r="C57" t="s">
        <v>3892</v>
      </c>
      <c r="D57" t="b">
        <f t="shared" si="0"/>
        <v>0</v>
      </c>
      <c r="E57" s="34">
        <v>0</v>
      </c>
      <c r="F57" s="34"/>
    </row>
    <row r="58" spans="1:10" x14ac:dyDescent="0.2">
      <c r="A58" t="str">
        <f>_xlfn.XLOOKUP(B58,'Index 14-01'!$F$2:$F$1248,'Index 14-01'!$G$2:$G$1248)</f>
        <v>CAC Financials</v>
      </c>
      <c r="B58" t="s">
        <v>460</v>
      </c>
      <c r="C58" t="s">
        <v>3892</v>
      </c>
      <c r="D58" t="b">
        <f t="shared" si="0"/>
        <v>0</v>
      </c>
      <c r="E58" s="34">
        <v>0</v>
      </c>
      <c r="F58" s="34"/>
    </row>
    <row r="59" spans="1:10" x14ac:dyDescent="0.2">
      <c r="A59" t="str">
        <f>_xlfn.XLOOKUP(B59,'Index 14-01'!$F$2:$F$1248,'Index 14-01'!$G$2:$G$1248)</f>
        <v>CAC Health Care</v>
      </c>
      <c r="B59" t="s">
        <v>468</v>
      </c>
      <c r="C59" t="s">
        <v>3892</v>
      </c>
      <c r="D59" t="b">
        <f t="shared" si="0"/>
        <v>0</v>
      </c>
      <c r="E59" s="34">
        <v>0</v>
      </c>
      <c r="F59" s="34"/>
    </row>
    <row r="60" spans="1:10" x14ac:dyDescent="0.2">
      <c r="A60" t="str">
        <f>_xlfn.XLOOKUP(B60,'Index 14-01'!$F$2:$F$1248,'Index 14-01'!$G$2:$G$1248)</f>
        <v>CAC Industrials</v>
      </c>
      <c r="B60" t="s">
        <v>472</v>
      </c>
      <c r="C60" t="s">
        <v>3892</v>
      </c>
      <c r="D60" t="b">
        <f t="shared" si="0"/>
        <v>0</v>
      </c>
      <c r="E60" s="34">
        <v>0</v>
      </c>
      <c r="F60" s="34"/>
    </row>
    <row r="61" spans="1:10" x14ac:dyDescent="0.2">
      <c r="A61" t="str">
        <f>_xlfn.XLOOKUP(B61,'Index 14-01'!$F$2:$F$1248,'Index 14-01'!$G$2:$G$1248)</f>
        <v>CAC Large 60</v>
      </c>
      <c r="B61" t="s">
        <v>351</v>
      </c>
      <c r="C61" t="s">
        <v>3892</v>
      </c>
      <c r="D61" t="b">
        <f t="shared" si="0"/>
        <v>0</v>
      </c>
      <c r="E61" s="34">
        <v>0</v>
      </c>
      <c r="F61" s="34"/>
    </row>
    <row r="62" spans="1:10" x14ac:dyDescent="0.2">
      <c r="A62" t="str">
        <f>_xlfn.XLOOKUP(B62,'Index 14-01'!$F$2:$F$1248,'Index 14-01'!$G$2:$G$1248)</f>
        <v>CAC Large 60 Equal Weight</v>
      </c>
      <c r="B62" t="s">
        <v>2734</v>
      </c>
      <c r="C62" t="s">
        <v>3892</v>
      </c>
      <c r="D62" t="b">
        <f t="shared" si="0"/>
        <v>0</v>
      </c>
      <c r="E62" s="34">
        <v>0</v>
      </c>
      <c r="F62" s="34"/>
    </row>
    <row r="63" spans="1:10" x14ac:dyDescent="0.2">
      <c r="A63" t="str">
        <f>_xlfn.XLOOKUP(B63,'Index 14-01'!$F$2:$F$1248,'Index 14-01'!$G$2:$G$1248)</f>
        <v>CAC LARGE 60 EW ER</v>
      </c>
      <c r="B63" t="s">
        <v>2725</v>
      </c>
      <c r="C63" t="s">
        <v>3892</v>
      </c>
      <c r="D63" t="b">
        <f t="shared" si="0"/>
        <v>0</v>
      </c>
      <c r="E63" s="34">
        <v>0</v>
      </c>
      <c r="F63" s="34"/>
    </row>
    <row r="64" spans="1:10" x14ac:dyDescent="0.2">
      <c r="A64" t="str">
        <f>_xlfn.XLOOKUP(B64,'Index 14-01'!$F$2:$F$1248,'Index 14-01'!$G$2:$G$1248)</f>
        <v>CAC Large 60 EW NR JPY</v>
      </c>
      <c r="B64" t="s">
        <v>2697</v>
      </c>
      <c r="C64" t="s">
        <v>3892</v>
      </c>
      <c r="D64" t="b">
        <f t="shared" si="0"/>
        <v>0</v>
      </c>
      <c r="E64" s="34">
        <v>0</v>
      </c>
      <c r="F64" s="34"/>
    </row>
    <row r="65" spans="1:6" x14ac:dyDescent="0.2">
      <c r="A65" t="str">
        <f>_xlfn.XLOOKUP(B65,'Index 14-01'!$F$2:$F$1248,'Index 14-01'!$G$2:$G$1248)</f>
        <v>CAC Large 60 EW NR JPY Hedged</v>
      </c>
      <c r="B65" t="s">
        <v>2701</v>
      </c>
      <c r="C65" t="s">
        <v>3892</v>
      </c>
      <c r="D65" t="b">
        <f t="shared" si="0"/>
        <v>0</v>
      </c>
      <c r="E65" s="34">
        <v>0</v>
      </c>
      <c r="F65" s="34"/>
    </row>
    <row r="66" spans="1:6" x14ac:dyDescent="0.2">
      <c r="A66" t="str">
        <f>_xlfn.XLOOKUP(B66,'Index 14-01'!$F$2:$F$1248,'Index 14-01'!$G$2:$G$1248)</f>
        <v>CAC Large 60 RI SW</v>
      </c>
      <c r="B66" t="s">
        <v>2607</v>
      </c>
      <c r="C66" t="s">
        <v>3892</v>
      </c>
      <c r="D66" t="b">
        <f t="shared" ref="D66:D129" si="1">ISNUMBER(MATCH(B66,$J$1:$J$52,0))</f>
        <v>0</v>
      </c>
      <c r="E66" s="34">
        <v>0</v>
      </c>
      <c r="F66" s="34"/>
    </row>
    <row r="67" spans="1:6" x14ac:dyDescent="0.2">
      <c r="A67" t="str">
        <f>_xlfn.XLOOKUP(B67,'Index 14-01'!$F$2:$F$1248,'Index 14-01'!$G$2:$G$1248)</f>
        <v>CAC Mid &amp; Small</v>
      </c>
      <c r="B67" t="s">
        <v>522</v>
      </c>
      <c r="C67" t="s">
        <v>3892</v>
      </c>
      <c r="D67" t="b">
        <f t="shared" si="1"/>
        <v>0</v>
      </c>
      <c r="E67" s="34">
        <v>0</v>
      </c>
      <c r="F67" s="34"/>
    </row>
    <row r="68" spans="1:6" x14ac:dyDescent="0.2">
      <c r="A68" t="str">
        <f>_xlfn.XLOOKUP(B68,'Index 14-01'!$F$2:$F$1248,'Index 14-01'!$G$2:$G$1248)</f>
        <v>CAC Mid 60</v>
      </c>
      <c r="B68" t="s">
        <v>527</v>
      </c>
      <c r="C68" t="s">
        <v>3892</v>
      </c>
      <c r="D68" t="b">
        <f t="shared" si="1"/>
        <v>0</v>
      </c>
      <c r="E68" s="34">
        <v>0</v>
      </c>
      <c r="F68" s="34"/>
    </row>
    <row r="69" spans="1:6" x14ac:dyDescent="0.2">
      <c r="A69" t="str">
        <f>_xlfn.XLOOKUP(B69,'Index 14-01'!$F$2:$F$1248,'Index 14-01'!$G$2:$G$1248)</f>
        <v>CAC Next 20</v>
      </c>
      <c r="B69" t="s">
        <v>531</v>
      </c>
      <c r="C69" t="s">
        <v>3892</v>
      </c>
      <c r="D69" t="b">
        <f t="shared" si="1"/>
        <v>0</v>
      </c>
      <c r="E69" s="34">
        <v>0</v>
      </c>
      <c r="F69" s="34"/>
    </row>
    <row r="70" spans="1:6" x14ac:dyDescent="0.2">
      <c r="A70" t="str">
        <f>_xlfn.XLOOKUP(B70,'Index 14-01'!$F$2:$F$1248,'Index 14-01'!$G$2:$G$1248)</f>
        <v>CAC Real Estate</v>
      </c>
      <c r="B70" t="s">
        <v>2535</v>
      </c>
      <c r="C70" t="s">
        <v>3892</v>
      </c>
      <c r="D70" t="b">
        <f t="shared" si="1"/>
        <v>0</v>
      </c>
      <c r="E70" s="34">
        <v>0</v>
      </c>
      <c r="F70" s="34"/>
    </row>
    <row r="71" spans="1:6" x14ac:dyDescent="0.2">
      <c r="A71" t="str">
        <f>_xlfn.XLOOKUP(B71,'Index 14-01'!$F$2:$F$1248,'Index 14-01'!$G$2:$G$1248)</f>
        <v>CAC Small</v>
      </c>
      <c r="B71" t="s">
        <v>524</v>
      </c>
      <c r="C71" t="s">
        <v>3892</v>
      </c>
      <c r="D71" t="b">
        <f t="shared" si="1"/>
        <v>0</v>
      </c>
      <c r="E71" s="34">
        <v>0</v>
      </c>
      <c r="F71" s="34"/>
    </row>
    <row r="72" spans="1:6" x14ac:dyDescent="0.2">
      <c r="A72" t="str">
        <f>_xlfn.XLOOKUP(B72,'Index 14-01'!$F$2:$F$1248,'Index 14-01'!$G$2:$G$1248)</f>
        <v>CAC Technology</v>
      </c>
      <c r="B72" t="s">
        <v>458</v>
      </c>
      <c r="C72" t="s">
        <v>3892</v>
      </c>
      <c r="D72" t="b">
        <f t="shared" si="1"/>
        <v>0</v>
      </c>
      <c r="E72" s="34">
        <v>0</v>
      </c>
      <c r="F72" s="34"/>
    </row>
    <row r="73" spans="1:6" x14ac:dyDescent="0.2">
      <c r="A73" t="str">
        <f>_xlfn.XLOOKUP(B73,'Index 14-01'!$F$2:$F$1248,'Index 14-01'!$G$2:$G$1248)</f>
        <v>CAC Telecommunications</v>
      </c>
      <c r="B73" t="s">
        <v>464</v>
      </c>
      <c r="C73" t="s">
        <v>3892</v>
      </c>
      <c r="D73" t="b">
        <f t="shared" si="1"/>
        <v>0</v>
      </c>
      <c r="E73" s="34">
        <v>0</v>
      </c>
      <c r="F73" s="34"/>
    </row>
    <row r="74" spans="1:6" x14ac:dyDescent="0.2">
      <c r="A74" t="str">
        <f>_xlfn.XLOOKUP(B74,'Index 14-01'!$F$2:$F$1248,'Index 14-01'!$G$2:$G$1248)</f>
        <v>CAC Utilities</v>
      </c>
      <c r="B74" t="s">
        <v>462</v>
      </c>
      <c r="C74" t="s">
        <v>3892</v>
      </c>
      <c r="D74" t="b">
        <f t="shared" si="1"/>
        <v>0</v>
      </c>
      <c r="E74" s="34">
        <v>0</v>
      </c>
      <c r="F74" s="34"/>
    </row>
    <row r="75" spans="1:6" x14ac:dyDescent="0.2">
      <c r="A75" t="str">
        <f>_xlfn.XLOOKUP(B75,'Index 14-01'!$F$2:$F$1248,'Index 14-01'!$G$2:$G$1248)</f>
        <v>EN CDP ENV FR Ex Oil &amp; Gas EW</v>
      </c>
      <c r="B75" t="s">
        <v>1031</v>
      </c>
      <c r="C75" t="s">
        <v>4717</v>
      </c>
      <c r="D75" t="b">
        <f t="shared" si="1"/>
        <v>0</v>
      </c>
      <c r="E75" s="34">
        <v>0</v>
      </c>
      <c r="F75" s="34"/>
    </row>
    <row r="76" spans="1:6" x14ac:dyDescent="0.2">
      <c r="A76" t="str">
        <f>_xlfn.XLOOKUP(B76,'Index 14-01'!$F$2:$F$1248,'Index 14-01'!$G$2:$G$1248)</f>
        <v>EN CDP Environment ESG Eurozone EW</v>
      </c>
      <c r="B76" t="s">
        <v>948</v>
      </c>
      <c r="C76" t="s">
        <v>4717</v>
      </c>
      <c r="D76" t="b">
        <f t="shared" si="1"/>
        <v>1</v>
      </c>
      <c r="E76" s="34">
        <v>0</v>
      </c>
      <c r="F76" s="34"/>
    </row>
    <row r="77" spans="1:6" x14ac:dyDescent="0.2">
      <c r="A77" t="str">
        <f>_xlfn.XLOOKUP(B77,'Index 14-01'!$F$2:$F$1248,'Index 14-01'!$G$2:$G$1248)</f>
        <v>EN CDP Environment France EW</v>
      </c>
      <c r="B77" t="s">
        <v>1085</v>
      </c>
      <c r="C77" t="s">
        <v>4717</v>
      </c>
      <c r="D77" t="b">
        <f t="shared" si="1"/>
        <v>0</v>
      </c>
      <c r="E77" s="34">
        <v>0</v>
      </c>
      <c r="F77" s="34"/>
    </row>
    <row r="78" spans="1:6" x14ac:dyDescent="0.2">
      <c r="A78" t="str">
        <f>_xlfn.XLOOKUP(B78,'Index 14-01'!$F$2:$F$1248,'Index 14-01'!$G$2:$G$1248)</f>
        <v>EN Climate Objective 50 Euro EW</v>
      </c>
      <c r="B78" t="s">
        <v>1076</v>
      </c>
      <c r="C78" t="s">
        <v>4717</v>
      </c>
      <c r="D78" t="b">
        <f t="shared" si="1"/>
        <v>0</v>
      </c>
      <c r="E78" s="34">
        <v>0</v>
      </c>
      <c r="F78" s="34"/>
    </row>
    <row r="79" spans="1:6" x14ac:dyDescent="0.2">
      <c r="A79" t="str">
        <f>_xlfn.XLOOKUP(B79,'Index 14-01'!$F$2:$F$1248,'Index 14-01'!$G$2:$G$1248)</f>
        <v>EN Climate Orientation Priority 50 EW</v>
      </c>
      <c r="B79" t="s">
        <v>1306</v>
      </c>
      <c r="C79" t="s">
        <v>4717</v>
      </c>
      <c r="D79" t="b">
        <f t="shared" si="1"/>
        <v>0</v>
      </c>
      <c r="E79" s="34">
        <v>0</v>
      </c>
      <c r="F79" s="34"/>
    </row>
    <row r="80" spans="1:6" x14ac:dyDescent="0.2">
      <c r="A80" t="str">
        <f>_xlfn.XLOOKUP(B80,'Index 14-01'!$F$2:$F$1248,'Index 14-01'!$G$2:$G$1248)</f>
        <v>EN Core Europe 30 ESG EW</v>
      </c>
      <c r="B80" t="s">
        <v>1040</v>
      </c>
      <c r="C80" t="s">
        <v>4717</v>
      </c>
      <c r="D80" t="b">
        <f t="shared" si="1"/>
        <v>1</v>
      </c>
      <c r="E80" s="34">
        <v>0</v>
      </c>
      <c r="F80" s="34"/>
    </row>
    <row r="81" spans="1:6" x14ac:dyDescent="0.2">
      <c r="A81" t="str">
        <f>_xlfn.XLOOKUP(B81,'Index 14-01'!$F$2:$F$1248,'Index 14-01'!$G$2:$G$1248)</f>
        <v>EN Europe Sustainable 100 EW</v>
      </c>
      <c r="B81" t="s">
        <v>1142</v>
      </c>
      <c r="C81" t="s">
        <v>4717</v>
      </c>
      <c r="D81" t="b">
        <f t="shared" si="1"/>
        <v>1</v>
      </c>
      <c r="E81" s="34">
        <v>0</v>
      </c>
      <c r="F81" s="34"/>
    </row>
    <row r="82" spans="1:6" x14ac:dyDescent="0.2">
      <c r="A82" t="str">
        <f>_xlfn.XLOOKUP(B82,'Index 14-01'!$F$2:$F$1248,'Index 14-01'!$G$2:$G$1248)</f>
        <v>EN Eurozone Mid and Large 60 EW</v>
      </c>
      <c r="B82" t="s">
        <v>1049</v>
      </c>
      <c r="C82" t="s">
        <v>4717</v>
      </c>
      <c r="D82" t="b">
        <f t="shared" si="1"/>
        <v>0</v>
      </c>
      <c r="E82" s="34">
        <v>0</v>
      </c>
      <c r="F82" s="34"/>
    </row>
    <row r="83" spans="1:6" x14ac:dyDescent="0.2">
      <c r="A83" t="str">
        <f>_xlfn.XLOOKUP(B83,'Index 14-01'!$F$2:$F$1248,'Index 14-01'!$G$2:$G$1248)</f>
        <v>EN Eurozone Next 100 EW</v>
      </c>
      <c r="B83" t="s">
        <v>1094</v>
      </c>
      <c r="C83" t="s">
        <v>4717</v>
      </c>
      <c r="D83" t="b">
        <f t="shared" si="1"/>
        <v>0</v>
      </c>
      <c r="E83" s="34">
        <v>0</v>
      </c>
      <c r="F83" s="34"/>
    </row>
    <row r="84" spans="1:6" x14ac:dyDescent="0.2">
      <c r="A84" t="str">
        <f>_xlfn.XLOOKUP(B84,'Index 14-01'!$F$2:$F$1248,'Index 14-01'!$G$2:$G$1248)</f>
        <v>EN France 20-40 Challengers EW</v>
      </c>
      <c r="B84" t="s">
        <v>2652</v>
      </c>
      <c r="C84" t="s">
        <v>4717</v>
      </c>
      <c r="D84" t="b">
        <f t="shared" si="1"/>
        <v>0</v>
      </c>
      <c r="E84" s="34">
        <v>0</v>
      </c>
      <c r="F84" s="34"/>
    </row>
    <row r="85" spans="1:6" x14ac:dyDescent="0.2">
      <c r="A85" t="str">
        <f>_xlfn.XLOOKUP(B85,'Index 14-01'!$F$2:$F$1248,'Index 14-01'!$G$2:$G$1248)</f>
        <v>EN France Next 40 EW</v>
      </c>
      <c r="B85" t="s">
        <v>2643</v>
      </c>
      <c r="C85" t="s">
        <v>4717</v>
      </c>
      <c r="D85" t="b">
        <f t="shared" si="1"/>
        <v>0</v>
      </c>
      <c r="E85" s="34">
        <v>0</v>
      </c>
      <c r="F85" s="34"/>
    </row>
    <row r="86" spans="1:6" x14ac:dyDescent="0.2">
      <c r="A86" t="str">
        <f>_xlfn.XLOOKUP(B86,'Index 14-01'!$F$2:$F$1248,'Index 14-01'!$G$2:$G$1248)</f>
        <v>EN Reitsmarket Global Conviction</v>
      </c>
      <c r="B86" t="s">
        <v>1229</v>
      </c>
      <c r="C86" t="s">
        <v>4719</v>
      </c>
      <c r="D86" t="b">
        <f t="shared" si="1"/>
        <v>0</v>
      </c>
      <c r="E86" s="34">
        <v>0</v>
      </c>
      <c r="F86" s="34"/>
    </row>
    <row r="87" spans="1:6" x14ac:dyDescent="0.2">
      <c r="A87" t="str">
        <f>_xlfn.XLOOKUP(B87,'Index 14-01'!$F$2:$F$1248,'Index 14-01'!$G$2:$G$1248)</f>
        <v>EN Responsible Investment Euro 50 EW</v>
      </c>
      <c r="B87" t="s">
        <v>1007</v>
      </c>
      <c r="C87" t="s">
        <v>4717</v>
      </c>
      <c r="D87" t="b">
        <f t="shared" si="1"/>
        <v>0</v>
      </c>
      <c r="E87" s="34">
        <v>0</v>
      </c>
      <c r="F87" s="34"/>
    </row>
    <row r="88" spans="1:6" x14ac:dyDescent="0.2">
      <c r="A88" t="str">
        <f>_xlfn.XLOOKUP(B88,'Index 14-01'!$F$2:$F$1248,'Index 14-01'!$G$2:$G$1248)</f>
        <v>EN Transatlantic 50 EW</v>
      </c>
      <c r="B88" t="s">
        <v>1012</v>
      </c>
      <c r="C88" t="s">
        <v>4717</v>
      </c>
      <c r="D88" t="b">
        <f t="shared" si="1"/>
        <v>0</v>
      </c>
      <c r="E88" s="34">
        <v>0</v>
      </c>
      <c r="F88" s="34"/>
    </row>
    <row r="89" spans="1:6" x14ac:dyDescent="0.2">
      <c r="A89" s="35" t="str">
        <f>_xlfn.XLOOKUP(B89,'Index 14-01'!$F$2:$F$1248,'Index 14-01'!$G$2:$G$1248)</f>
        <v>Euronext BeNeLux ESG Leaders 20</v>
      </c>
      <c r="B89" s="35" t="s">
        <v>1058</v>
      </c>
      <c r="C89" s="35" t="s">
        <v>4720</v>
      </c>
      <c r="D89" t="b">
        <f t="shared" si="1"/>
        <v>1</v>
      </c>
      <c r="E89" s="34">
        <v>0</v>
      </c>
      <c r="F89" s="34"/>
    </row>
    <row r="90" spans="1:6" x14ac:dyDescent="0.2">
      <c r="A90" t="str">
        <f>_xlfn.XLOOKUP(B90,'Index 14-01'!$F$2:$F$1248,'Index 14-01'!$G$2:$G$1248)</f>
        <v>Euronext CDP Environment Eurozone EW</v>
      </c>
      <c r="B90" t="s">
        <v>984</v>
      </c>
      <c r="C90" t="s">
        <v>4717</v>
      </c>
      <c r="D90" t="b">
        <f t="shared" si="1"/>
        <v>0</v>
      </c>
      <c r="E90" s="34">
        <v>0</v>
      </c>
      <c r="F90" s="34"/>
    </row>
    <row r="91" spans="1:6" x14ac:dyDescent="0.2">
      <c r="A91" t="str">
        <f>_xlfn.XLOOKUP(B91,'Index 14-01'!$F$2:$F$1248,'Index 14-01'!$G$2:$G$1248)</f>
        <v>Euronext CDP Environment World EW</v>
      </c>
      <c r="B91" t="s">
        <v>979</v>
      </c>
      <c r="C91" t="s">
        <v>4717</v>
      </c>
      <c r="D91" t="b">
        <f t="shared" si="1"/>
        <v>0</v>
      </c>
      <c r="E91" s="34">
        <v>0</v>
      </c>
      <c r="F91" s="34"/>
    </row>
    <row r="92" spans="1:6" x14ac:dyDescent="0.2">
      <c r="A92" t="str">
        <f>_xlfn.XLOOKUP(B92,'Index 14-01'!$F$2:$F$1248,'Index 14-01'!$G$2:$G$1248)</f>
        <v>Euronext CDP Water Eurozone EW</v>
      </c>
      <c r="B92" t="s">
        <v>846</v>
      </c>
      <c r="C92" t="s">
        <v>4717</v>
      </c>
      <c r="D92" t="b">
        <f t="shared" si="1"/>
        <v>1</v>
      </c>
      <c r="E92" s="34">
        <v>0</v>
      </c>
      <c r="F92" s="34"/>
    </row>
    <row r="93" spans="1:6" x14ac:dyDescent="0.2">
      <c r="A93" t="str">
        <f>_xlfn.XLOOKUP(B93,'Index 14-01'!$F$2:$F$1248,'Index 14-01'!$G$2:$G$1248)</f>
        <v>Euronext Climate Objective 50 EW</v>
      </c>
      <c r="B93" t="s">
        <v>1272</v>
      </c>
      <c r="C93" t="s">
        <v>4717</v>
      </c>
      <c r="D93" t="b">
        <f t="shared" si="1"/>
        <v>0</v>
      </c>
      <c r="E93" s="34">
        <v>0</v>
      </c>
      <c r="F93" s="34"/>
    </row>
    <row r="94" spans="1:6" x14ac:dyDescent="0.2">
      <c r="A94" t="str">
        <f>_xlfn.XLOOKUP(B94,'Index 14-01'!$F$2:$F$1248,'Index 14-01'!$G$2:$G$1248)</f>
        <v>Euronext Core Europe 100 ESG EW</v>
      </c>
      <c r="B94" t="s">
        <v>1017</v>
      </c>
      <c r="C94" t="s">
        <v>4717</v>
      </c>
      <c r="D94" t="b">
        <f t="shared" si="1"/>
        <v>1</v>
      </c>
      <c r="E94" s="34">
        <v>0</v>
      </c>
      <c r="F94" s="34"/>
    </row>
    <row r="95" spans="1:6" x14ac:dyDescent="0.2">
      <c r="A95" t="str">
        <f>_xlfn.XLOOKUP(B95,'Index 14-01'!$F$2:$F$1248,'Index 14-01'!$G$2:$G$1248)</f>
        <v>Euronext Core Europe 100 EW</v>
      </c>
      <c r="B95" t="s">
        <v>1292</v>
      </c>
      <c r="C95" t="s">
        <v>4717</v>
      </c>
      <c r="D95" t="b">
        <f t="shared" si="1"/>
        <v>0</v>
      </c>
      <c r="E95" s="34">
        <v>0</v>
      </c>
      <c r="F95" s="34"/>
    </row>
    <row r="96" spans="1:6" x14ac:dyDescent="0.2">
      <c r="A96" t="str">
        <f>_xlfn.XLOOKUP(B96,'Index 14-01'!$F$2:$F$1248,'Index 14-01'!$G$2:$G$1248)</f>
        <v>Euronext Core Europe 30 EW</v>
      </c>
      <c r="B96" t="s">
        <v>1238</v>
      </c>
      <c r="C96" t="s">
        <v>4717</v>
      </c>
      <c r="D96" t="b">
        <f t="shared" si="1"/>
        <v>0</v>
      </c>
      <c r="E96" s="34">
        <v>0</v>
      </c>
      <c r="F96" s="34"/>
    </row>
    <row r="97" spans="1:6" x14ac:dyDescent="0.2">
      <c r="A97" s="35" t="str">
        <f>_xlfn.XLOOKUP(B97,'Index 14-01'!$F$2:$F$1248,'Index 14-01'!$G$2:$G$1248)</f>
        <v>Euronext Core Europe PAB 50</v>
      </c>
      <c r="B97" s="35" t="s">
        <v>2432</v>
      </c>
      <c r="C97" s="35" t="s">
        <v>4720</v>
      </c>
      <c r="D97" t="b">
        <f t="shared" si="1"/>
        <v>1</v>
      </c>
      <c r="E97" s="34">
        <v>0</v>
      </c>
      <c r="F97" s="34"/>
    </row>
    <row r="98" spans="1:6" x14ac:dyDescent="0.2">
      <c r="A98" s="35" t="str">
        <f>_xlfn.XLOOKUP(B98,'Index 14-01'!$F$2:$F$1248,'Index 14-01'!$G$2:$G$1248)</f>
        <v>Euronext ESG Eurozone Biodiversity Leaders PAB</v>
      </c>
      <c r="B98" s="35" t="s">
        <v>3626</v>
      </c>
      <c r="C98" s="35" t="s">
        <v>4720</v>
      </c>
      <c r="D98" t="b">
        <f t="shared" si="1"/>
        <v>1</v>
      </c>
      <c r="E98" s="34">
        <v>0</v>
      </c>
      <c r="F98" s="34"/>
    </row>
    <row r="99" spans="1:6" x14ac:dyDescent="0.2">
      <c r="A99" t="str">
        <f>_xlfn.XLOOKUP(B99,'Index 14-01'!$F$2:$F$1248,'Index 14-01'!$G$2:$G$1248)</f>
        <v>Euronext Euro 50 ESG EW</v>
      </c>
      <c r="B99" t="s">
        <v>1250</v>
      </c>
      <c r="C99" t="s">
        <v>4717</v>
      </c>
      <c r="D99" t="b">
        <f t="shared" si="1"/>
        <v>1</v>
      </c>
      <c r="E99" s="34">
        <v>0</v>
      </c>
      <c r="F99" s="34"/>
    </row>
    <row r="100" spans="1:6" x14ac:dyDescent="0.2">
      <c r="A100" s="35" t="str">
        <f>_xlfn.XLOOKUP(B100,'Index 14-01'!$F$2:$F$1248,'Index 14-01'!$G$2:$G$1248)</f>
        <v>Euronext Eurozone 100 ESG</v>
      </c>
      <c r="B100" s="35" t="s">
        <v>1067</v>
      </c>
      <c r="C100" s="35" t="s">
        <v>4720</v>
      </c>
      <c r="D100" t="b">
        <f t="shared" si="1"/>
        <v>1</v>
      </c>
      <c r="E100" s="34">
        <v>0</v>
      </c>
      <c r="F100" s="34"/>
    </row>
    <row r="101" spans="1:6" x14ac:dyDescent="0.2">
      <c r="A101" t="str">
        <f>_xlfn.XLOOKUP(B101,'Index 14-01'!$F$2:$F$1248,'Index 14-01'!$G$2:$G$1248)</f>
        <v>Euronext Eurozone 150 EW</v>
      </c>
      <c r="B101" t="s">
        <v>1103</v>
      </c>
      <c r="C101" t="s">
        <v>4717</v>
      </c>
      <c r="D101" t="b">
        <f t="shared" si="1"/>
        <v>0</v>
      </c>
      <c r="E101" s="34">
        <v>0</v>
      </c>
      <c r="F101" s="34"/>
    </row>
    <row r="102" spans="1:6" x14ac:dyDescent="0.2">
      <c r="A102" t="str">
        <f>_xlfn.XLOOKUP(B102,'Index 14-01'!$F$2:$F$1248,'Index 14-01'!$G$2:$G$1248)</f>
        <v>Euronext Eurozone 40 EW</v>
      </c>
      <c r="B102" t="s">
        <v>1178</v>
      </c>
      <c r="C102" t="s">
        <v>4717</v>
      </c>
      <c r="D102" t="b">
        <f t="shared" si="1"/>
        <v>0</v>
      </c>
      <c r="E102" s="34">
        <v>0</v>
      </c>
      <c r="F102" s="34"/>
    </row>
    <row r="103" spans="1:6" x14ac:dyDescent="0.2">
      <c r="A103" t="str">
        <f>_xlfn.XLOOKUP(B103,'Index 14-01'!$F$2:$F$1248,'Index 14-01'!$G$2:$G$1248)</f>
        <v>Euronext Eurozone 60 EW</v>
      </c>
      <c r="B103" t="s">
        <v>1128</v>
      </c>
      <c r="C103" t="s">
        <v>4717</v>
      </c>
      <c r="D103" t="b">
        <f t="shared" si="1"/>
        <v>0</v>
      </c>
      <c r="E103" s="34">
        <v>0</v>
      </c>
      <c r="F103" s="34"/>
    </row>
    <row r="104" spans="1:6" x14ac:dyDescent="0.2">
      <c r="A104" t="str">
        <f>_xlfn.XLOOKUP(B104,'Index 14-01'!$F$2:$F$1248,'Index 14-01'!$G$2:$G$1248)</f>
        <v>Euronext Eurozone Banks Dividend</v>
      </c>
      <c r="B104" t="s">
        <v>3263</v>
      </c>
      <c r="C104" t="s">
        <v>4722</v>
      </c>
      <c r="D104" t="b">
        <f t="shared" si="1"/>
        <v>0</v>
      </c>
      <c r="E104" s="34">
        <v>0</v>
      </c>
      <c r="F104" s="34"/>
    </row>
    <row r="105" spans="1:6" x14ac:dyDescent="0.2">
      <c r="A105" s="35" t="str">
        <f>_xlfn.XLOOKUP(B105,'Index 14-01'!$F$2:$F$1248,'Index 14-01'!$G$2:$G$1248)</f>
        <v>Euronext Eurozone ESG Large 80</v>
      </c>
      <c r="B105" s="35" t="s">
        <v>2571</v>
      </c>
      <c r="C105" s="35" t="s">
        <v>4720</v>
      </c>
      <c r="D105" t="b">
        <f t="shared" si="1"/>
        <v>1</v>
      </c>
      <c r="E105" s="34">
        <v>0</v>
      </c>
      <c r="F105" s="34"/>
    </row>
    <row r="106" spans="1:6" x14ac:dyDescent="0.2">
      <c r="A106" t="str">
        <f>_xlfn.XLOOKUP(B106,'Index 14-01'!$F$2:$F$1248,'Index 14-01'!$G$2:$G$1248)</f>
        <v>Euronext Eurozone ESG Leaders 40 EW</v>
      </c>
      <c r="B106" t="s">
        <v>1166</v>
      </c>
      <c r="C106" t="s">
        <v>4717</v>
      </c>
      <c r="D106" t="b">
        <f t="shared" si="1"/>
        <v>1</v>
      </c>
      <c r="E106" s="34">
        <v>0</v>
      </c>
      <c r="F106" s="34"/>
    </row>
    <row r="107" spans="1:6" x14ac:dyDescent="0.2">
      <c r="A107" s="35" t="str">
        <f>_xlfn.XLOOKUP(B107,'Index 14-01'!$F$2:$F$1248,'Index 14-01'!$G$2:$G$1248)</f>
        <v>Euronext Eurozone PAB 50</v>
      </c>
      <c r="B107" s="35" t="s">
        <v>2442</v>
      </c>
      <c r="C107" s="35" t="s">
        <v>4720</v>
      </c>
      <c r="D107" t="b">
        <f t="shared" si="1"/>
        <v>1</v>
      </c>
      <c r="E107" s="34">
        <v>0</v>
      </c>
      <c r="F107" s="34"/>
    </row>
    <row r="108" spans="1:6" x14ac:dyDescent="0.2">
      <c r="A108" t="str">
        <f>_xlfn.XLOOKUP(B108,'Index 14-01'!$F$2:$F$1248,'Index 14-01'!$G$2:$G$1248)</f>
        <v>Euronext EZ ESGL 40 EW</v>
      </c>
      <c r="B108" t="s">
        <v>941</v>
      </c>
      <c r="C108" t="s">
        <v>4717</v>
      </c>
      <c r="D108" t="b">
        <f t="shared" si="1"/>
        <v>1</v>
      </c>
      <c r="E108" s="34">
        <v>0</v>
      </c>
      <c r="F108" s="34"/>
    </row>
    <row r="109" spans="1:6" x14ac:dyDescent="0.2">
      <c r="A109" t="str">
        <f>_xlfn.XLOOKUP(B109,'Index 14-01'!$F$2:$F$1248,'Index 14-01'!$G$2:$G$1248)</f>
        <v>Euronext France 20 EW</v>
      </c>
      <c r="B109" t="s">
        <v>2634</v>
      </c>
      <c r="C109" t="s">
        <v>4717</v>
      </c>
      <c r="D109" t="b">
        <f t="shared" si="1"/>
        <v>0</v>
      </c>
      <c r="E109" s="34">
        <v>0</v>
      </c>
      <c r="F109" s="34"/>
    </row>
    <row r="110" spans="1:6" x14ac:dyDescent="0.2">
      <c r="A110" t="str">
        <f>_xlfn.XLOOKUP(B110,'Index 14-01'!$F$2:$F$1248,'Index 14-01'!$G$2:$G$1248)</f>
        <v>Euronext France ESG Leaders 40 EW</v>
      </c>
      <c r="B110" t="s">
        <v>2679</v>
      </c>
      <c r="C110" t="s">
        <v>4717</v>
      </c>
      <c r="D110" t="b">
        <f t="shared" si="1"/>
        <v>1</v>
      </c>
      <c r="E110" s="34">
        <v>0</v>
      </c>
      <c r="F110" s="34"/>
    </row>
    <row r="111" spans="1:6" x14ac:dyDescent="0.2">
      <c r="A111" t="str">
        <f>_xlfn.XLOOKUP(B111,'Index 14-01'!$F$2:$F$1248,'Index 14-01'!$G$2:$G$1248)</f>
        <v>Euronext France Eurozone 60 EW</v>
      </c>
      <c r="B111" t="s">
        <v>1119</v>
      </c>
      <c r="C111" t="s">
        <v>4717</v>
      </c>
      <c r="D111" t="b">
        <f t="shared" si="1"/>
        <v>0</v>
      </c>
      <c r="E111" s="34">
        <v>0</v>
      </c>
      <c r="F111" s="34"/>
    </row>
    <row r="112" spans="1:6" x14ac:dyDescent="0.2">
      <c r="A112" s="35" t="str">
        <f>_xlfn.XLOOKUP(B112,'Index 14-01'!$F$2:$F$1248,'Index 14-01'!$G$2:$G$1248)</f>
        <v>Euronext France PAB 50</v>
      </c>
      <c r="B112" s="35" t="s">
        <v>2421</v>
      </c>
      <c r="C112" s="35" t="s">
        <v>4720</v>
      </c>
      <c r="D112" s="37" t="b">
        <f t="shared" si="1"/>
        <v>1</v>
      </c>
      <c r="E112" s="34">
        <v>0</v>
      </c>
      <c r="F112" s="34"/>
    </row>
    <row r="113" spans="1:6" x14ac:dyDescent="0.2">
      <c r="A113" s="35" t="str">
        <f>_xlfn.XLOOKUP(B113,'Index 14-01'!$F$2:$F$1248,'Index 14-01'!$G$2:$G$1248)</f>
        <v>Euronext France Social</v>
      </c>
      <c r="B113" s="35" t="s">
        <v>2361</v>
      </c>
      <c r="C113" s="35" t="s">
        <v>4720</v>
      </c>
      <c r="D113" s="37" t="b">
        <f t="shared" si="1"/>
        <v>1</v>
      </c>
      <c r="E113" s="34">
        <v>0</v>
      </c>
      <c r="F113" s="34"/>
    </row>
    <row r="114" spans="1:6" x14ac:dyDescent="0.2">
      <c r="A114" t="str">
        <f>_xlfn.XLOOKUP(B114,'Index 14-01'!$F$2:$F$1248,'Index 14-01'!$G$2:$G$1248)</f>
        <v>Euronext French Employment 40 EW</v>
      </c>
      <c r="B114" t="s">
        <v>3603</v>
      </c>
      <c r="C114" t="s">
        <v>4717</v>
      </c>
      <c r="D114" s="37" t="b">
        <f t="shared" si="1"/>
        <v>0</v>
      </c>
      <c r="E114" s="34">
        <v>0</v>
      </c>
      <c r="F114" s="34"/>
    </row>
    <row r="115" spans="1:6" x14ac:dyDescent="0.2">
      <c r="A115" t="str">
        <f>_xlfn.XLOOKUP(B115,'Index 14-01'!$F$2:$F$1248,'Index 14-01'!$G$2:$G$1248)</f>
        <v>Euronext Global Health Care 50 EW ESG</v>
      </c>
      <c r="B115" t="s">
        <v>3728</v>
      </c>
      <c r="C115" t="s">
        <v>4717</v>
      </c>
      <c r="D115" s="37" t="b">
        <f t="shared" si="1"/>
        <v>1</v>
      </c>
      <c r="E115" s="34">
        <v>0</v>
      </c>
      <c r="F115" s="34"/>
    </row>
    <row r="116" spans="1:6" x14ac:dyDescent="0.2">
      <c r="A116" s="35" t="str">
        <f>_xlfn.XLOOKUP(B116,'Index 14-01'!$F$2:$F$1248,'Index 14-01'!$G$2:$G$1248)</f>
        <v>Euronext Green Planet E</v>
      </c>
      <c r="B116" s="35" t="s">
        <v>2580</v>
      </c>
      <c r="C116" s="35" t="s">
        <v>4720</v>
      </c>
      <c r="D116" s="37" t="b">
        <f t="shared" si="1"/>
        <v>1</v>
      </c>
      <c r="E116" s="34">
        <v>0</v>
      </c>
      <c r="F116" s="34"/>
    </row>
    <row r="117" spans="1:6" x14ac:dyDescent="0.2">
      <c r="A117" s="35" t="str">
        <f>_xlfn.XLOOKUP(B117,'Index 14-01'!$F$2:$F$1248,'Index 14-01'!$G$2:$G$1248)</f>
        <v>Euronext Green Planet France</v>
      </c>
      <c r="B117" s="35" t="s">
        <v>2544</v>
      </c>
      <c r="C117" s="35" t="s">
        <v>4720</v>
      </c>
      <c r="D117" s="37" t="b">
        <f t="shared" si="1"/>
        <v>1</v>
      </c>
      <c r="E117" s="34">
        <v>0</v>
      </c>
      <c r="F117" s="34"/>
    </row>
    <row r="118" spans="1:6" x14ac:dyDescent="0.2">
      <c r="A118" t="str">
        <f>_xlfn.XLOOKUP(B118,'Index 14-01'!$F$2:$F$1248,'Index 14-01'!$G$2:$G$1248)</f>
        <v>Euronext Growth All-Share Index</v>
      </c>
      <c r="B118" t="s">
        <v>454</v>
      </c>
      <c r="C118" t="s">
        <v>4723</v>
      </c>
      <c r="D118" s="37" t="b">
        <f t="shared" si="1"/>
        <v>0</v>
      </c>
      <c r="E118" s="34">
        <v>0</v>
      </c>
      <c r="F118" s="34"/>
    </row>
    <row r="119" spans="1:6" x14ac:dyDescent="0.2">
      <c r="A119" t="str">
        <f>_xlfn.XLOOKUP(B119,'Index 14-01'!$F$2:$F$1248,'Index 14-01'!$G$2:$G$1248)</f>
        <v>Euronext IEIF REIT Europe Index</v>
      </c>
      <c r="B119" t="s">
        <v>452</v>
      </c>
      <c r="C119" t="s">
        <v>4719</v>
      </c>
      <c r="D119" s="37" t="b">
        <f t="shared" si="1"/>
        <v>0</v>
      </c>
      <c r="E119" s="34">
        <v>0</v>
      </c>
      <c r="F119" s="34"/>
    </row>
    <row r="120" spans="1:6" x14ac:dyDescent="0.2">
      <c r="A120" s="35" t="str">
        <f>_xlfn.XLOOKUP(B120,'Index 14-01'!$F$2:$F$1248,'Index 14-01'!$G$2:$G$1248)</f>
        <v>Euronext Low Carbon 100 Eurozone PAB</v>
      </c>
      <c r="B120" s="35" t="s">
        <v>2529</v>
      </c>
      <c r="C120" s="35" t="s">
        <v>4720</v>
      </c>
      <c r="D120" s="37" t="b">
        <f t="shared" si="1"/>
        <v>1</v>
      </c>
      <c r="E120" s="34">
        <v>0</v>
      </c>
      <c r="F120" s="34"/>
    </row>
    <row r="121" spans="1:6" x14ac:dyDescent="0.2">
      <c r="A121" s="35" t="str">
        <f>_xlfn.XLOOKUP(B121,'Index 14-01'!$F$2:$F$1248,'Index 14-01'!$G$2:$G$1248)</f>
        <v>Euronext Low Carbon 300 World PAB</v>
      </c>
      <c r="B121" s="35" t="s">
        <v>2520</v>
      </c>
      <c r="C121" s="35" t="s">
        <v>4720</v>
      </c>
      <c r="D121" s="37" t="b">
        <f t="shared" si="1"/>
        <v>1</v>
      </c>
      <c r="E121" s="34">
        <v>0</v>
      </c>
      <c r="F121" s="34"/>
    </row>
    <row r="122" spans="1:6" x14ac:dyDescent="0.2">
      <c r="A122" t="str">
        <f>_xlfn.XLOOKUP(B122,'Index 14-01'!$F$2:$F$1248,'Index 14-01'!$G$2:$G$1248)</f>
        <v>Euronext US ESGL 20 EW</v>
      </c>
      <c r="B122" t="s">
        <v>917</v>
      </c>
      <c r="C122" t="s">
        <v>4717</v>
      </c>
      <c r="D122" s="37" t="b">
        <f t="shared" si="1"/>
        <v>1</v>
      </c>
      <c r="E122" s="34">
        <v>0</v>
      </c>
      <c r="F122" s="34"/>
    </row>
    <row r="123" spans="1:6" x14ac:dyDescent="0.2">
      <c r="A123" t="str">
        <f>_xlfn.XLOOKUP(B123,'Index 14-01'!$F$2:$F$1248,'Index 14-01'!$G$2:$G$1248)</f>
        <v>ISEQ 20</v>
      </c>
      <c r="B123" t="s">
        <v>2239</v>
      </c>
      <c r="C123" t="s">
        <v>2211</v>
      </c>
      <c r="D123" s="37" t="b">
        <f t="shared" si="1"/>
        <v>0</v>
      </c>
      <c r="E123" s="34">
        <v>0</v>
      </c>
      <c r="F123" s="34"/>
    </row>
    <row r="124" spans="1:6" x14ac:dyDescent="0.2">
      <c r="A124" t="str">
        <f>_xlfn.XLOOKUP(B124,'Index 14-01'!$F$2:$F$1248,'Index 14-01'!$G$2:$G$1248)</f>
        <v>ISEQ 20 Capped</v>
      </c>
      <c r="B124" t="s">
        <v>2233</v>
      </c>
      <c r="C124" t="s">
        <v>2211</v>
      </c>
      <c r="D124" s="37" t="b">
        <f t="shared" si="1"/>
        <v>0</v>
      </c>
      <c r="E124" s="34">
        <v>0</v>
      </c>
      <c r="F124" s="34"/>
    </row>
    <row r="125" spans="1:6" x14ac:dyDescent="0.2">
      <c r="A125" t="str">
        <f>_xlfn.XLOOKUP(B125,'Index 14-01'!$F$2:$F$1248,'Index 14-01'!$G$2:$G$1248)</f>
        <v>ISEQ All Share</v>
      </c>
      <c r="B125" t="s">
        <v>2211</v>
      </c>
      <c r="C125" t="s">
        <v>2211</v>
      </c>
      <c r="D125" s="37" t="b">
        <f t="shared" si="1"/>
        <v>0</v>
      </c>
      <c r="E125" s="34">
        <v>0</v>
      </c>
      <c r="F125" s="34"/>
    </row>
    <row r="126" spans="1:6" x14ac:dyDescent="0.2">
      <c r="A126" t="str">
        <f>_xlfn.XLOOKUP(B126,'Index 14-01'!$F$2:$F$1248,'Index 14-01'!$G$2:$G$1248)</f>
        <v>ISEQ Basic Materials</v>
      </c>
      <c r="B126" t="s">
        <v>2284</v>
      </c>
      <c r="C126" t="s">
        <v>2211</v>
      </c>
      <c r="D126" s="37" t="b">
        <f t="shared" si="1"/>
        <v>0</v>
      </c>
      <c r="E126" s="34">
        <v>0</v>
      </c>
      <c r="F126" s="34"/>
    </row>
    <row r="127" spans="1:6" x14ac:dyDescent="0.2">
      <c r="A127" t="str">
        <f>_xlfn.XLOOKUP(B127,'Index 14-01'!$F$2:$F$1248,'Index 14-01'!$G$2:$G$1248)</f>
        <v>ISEQ Consumer Discretionary</v>
      </c>
      <c r="B127" t="s">
        <v>2278</v>
      </c>
      <c r="C127" t="s">
        <v>2211</v>
      </c>
      <c r="D127" s="37" t="b">
        <f t="shared" si="1"/>
        <v>0</v>
      </c>
      <c r="E127" s="34">
        <v>0</v>
      </c>
      <c r="F127" s="34"/>
    </row>
    <row r="128" spans="1:6" x14ac:dyDescent="0.2">
      <c r="A128" t="str">
        <f>_xlfn.XLOOKUP(B128,'Index 14-01'!$F$2:$F$1248,'Index 14-01'!$G$2:$G$1248)</f>
        <v>ISEQ Consumer Staples</v>
      </c>
      <c r="B128" t="s">
        <v>2272</v>
      </c>
      <c r="C128" t="s">
        <v>2211</v>
      </c>
      <c r="D128" s="37" t="b">
        <f t="shared" si="1"/>
        <v>0</v>
      </c>
      <c r="E128" s="34">
        <v>0</v>
      </c>
      <c r="F128" s="34"/>
    </row>
    <row r="129" spans="1:6" x14ac:dyDescent="0.2">
      <c r="A129" t="str">
        <f>_xlfn.XLOOKUP(B129,'Index 14-01'!$F$2:$F$1248,'Index 14-01'!$G$2:$G$1248)</f>
        <v>ISEQ Energy</v>
      </c>
      <c r="B129" t="s">
        <v>2296</v>
      </c>
      <c r="C129" t="s">
        <v>2211</v>
      </c>
      <c r="D129" s="37" t="b">
        <f t="shared" si="1"/>
        <v>0</v>
      </c>
      <c r="E129" s="34">
        <v>0</v>
      </c>
      <c r="F129" s="34"/>
    </row>
    <row r="130" spans="1:6" x14ac:dyDescent="0.2">
      <c r="A130" t="str">
        <f>_xlfn.XLOOKUP(B130,'Index 14-01'!$F$2:$F$1248,'Index 14-01'!$G$2:$G$1248)</f>
        <v>ISEQ Financial</v>
      </c>
      <c r="B130" t="s">
        <v>2216</v>
      </c>
      <c r="C130" t="s">
        <v>2211</v>
      </c>
      <c r="D130" s="37" t="b">
        <f t="shared" ref="D130:D193" si="2">ISNUMBER(MATCH(B130,$J$1:$J$52,0))</f>
        <v>0</v>
      </c>
      <c r="E130" s="34">
        <v>0</v>
      </c>
      <c r="F130" s="34"/>
    </row>
    <row r="131" spans="1:6" x14ac:dyDescent="0.2">
      <c r="A131" t="str">
        <f>_xlfn.XLOOKUP(B131,'Index 14-01'!$F$2:$F$1248,'Index 14-01'!$G$2:$G$1248)</f>
        <v>ISEQ Health Care</v>
      </c>
      <c r="B131" t="s">
        <v>2265</v>
      </c>
      <c r="C131" t="s">
        <v>2211</v>
      </c>
      <c r="D131" s="37" t="b">
        <f t="shared" si="2"/>
        <v>0</v>
      </c>
      <c r="E131" s="34">
        <v>0</v>
      </c>
      <c r="F131" s="34"/>
    </row>
    <row r="132" spans="1:6" x14ac:dyDescent="0.2">
      <c r="A132" t="str">
        <f>_xlfn.XLOOKUP(B132,'Index 14-01'!$F$2:$F$1248,'Index 14-01'!$G$2:$G$1248)</f>
        <v>ISEQ Industrials</v>
      </c>
      <c r="B132" t="s">
        <v>2302</v>
      </c>
      <c r="C132" t="s">
        <v>2211</v>
      </c>
      <c r="D132" s="37" t="b">
        <f t="shared" si="2"/>
        <v>0</v>
      </c>
      <c r="E132" s="34">
        <v>0</v>
      </c>
      <c r="F132" s="34"/>
    </row>
    <row r="133" spans="1:6" x14ac:dyDescent="0.2">
      <c r="A133" t="str">
        <f>_xlfn.XLOOKUP(B133,'Index 14-01'!$F$2:$F$1248,'Index 14-01'!$G$2:$G$1248)</f>
        <v>ISEQ Real Estate</v>
      </c>
      <c r="B133" t="s">
        <v>2256</v>
      </c>
      <c r="C133" t="s">
        <v>2211</v>
      </c>
      <c r="D133" s="37" t="b">
        <f t="shared" si="2"/>
        <v>0</v>
      </c>
      <c r="E133" s="34">
        <v>0</v>
      </c>
      <c r="F133" s="34"/>
    </row>
    <row r="134" spans="1:6" x14ac:dyDescent="0.2">
      <c r="A134" t="str">
        <f>_xlfn.XLOOKUP(B134,'Index 14-01'!$F$2:$F$1248,'Index 14-01'!$G$2:$G$1248)</f>
        <v>ISEQ Small</v>
      </c>
      <c r="B134" t="s">
        <v>2227</v>
      </c>
      <c r="C134" t="s">
        <v>2211</v>
      </c>
      <c r="D134" s="37" t="b">
        <f t="shared" si="2"/>
        <v>0</v>
      </c>
      <c r="E134" s="34">
        <v>0</v>
      </c>
      <c r="F134" s="34"/>
    </row>
    <row r="135" spans="1:6" x14ac:dyDescent="0.2">
      <c r="A135" t="str">
        <f>_xlfn.XLOOKUP(B135,'Index 14-01'!$F$2:$F$1248,'Index 14-01'!$G$2:$G$1248)</f>
        <v>ISEQ Technology</v>
      </c>
      <c r="B135" t="s">
        <v>2290</v>
      </c>
      <c r="C135" t="s">
        <v>2211</v>
      </c>
      <c r="D135" s="37" t="b">
        <f t="shared" si="2"/>
        <v>0</v>
      </c>
      <c r="E135" s="34">
        <v>0</v>
      </c>
      <c r="F135" s="34"/>
    </row>
    <row r="136" spans="1:6" x14ac:dyDescent="0.2">
      <c r="A136" t="str">
        <f>_xlfn.XLOOKUP(B136,'Index 14-01'!$F$2:$F$1248,'Index 14-01'!$G$2:$G$1248)</f>
        <v>ISEQ Utilities</v>
      </c>
      <c r="B136" t="s">
        <v>2262</v>
      </c>
      <c r="C136" t="s">
        <v>2211</v>
      </c>
      <c r="D136" s="37" t="b">
        <f t="shared" si="2"/>
        <v>0</v>
      </c>
      <c r="E136" s="34">
        <v>0</v>
      </c>
      <c r="F136" s="34"/>
    </row>
    <row r="137" spans="1:6" x14ac:dyDescent="0.2">
      <c r="A137" s="35" t="str">
        <f>_xlfn.XLOOKUP(B137,'Index 14-01'!$F$2:$F$1248,'Index 14-01'!$G$2:$G$1248)</f>
        <v>Low Carbon 100 Europe PAB Index</v>
      </c>
      <c r="B137" s="35" t="s">
        <v>439</v>
      </c>
      <c r="C137" s="35" t="s">
        <v>4720</v>
      </c>
      <c r="D137" s="37" t="b">
        <f t="shared" si="2"/>
        <v>1</v>
      </c>
      <c r="E137" s="34">
        <v>0</v>
      </c>
      <c r="F137" s="34"/>
    </row>
    <row r="138" spans="1:6" x14ac:dyDescent="0.2">
      <c r="A138" s="35" t="str">
        <f>_xlfn.XLOOKUP(B138,'Index 14-01'!$F$2:$F$1248,'Index 14-01'!$G$2:$G$1248)</f>
        <v>MIB ESG</v>
      </c>
      <c r="B138" s="35" t="s">
        <v>2310</v>
      </c>
      <c r="C138" s="35" t="s">
        <v>4720</v>
      </c>
      <c r="D138" s="37" t="b">
        <f t="shared" si="2"/>
        <v>1</v>
      </c>
      <c r="E138" s="34">
        <v>0</v>
      </c>
      <c r="F138" s="34"/>
    </row>
    <row r="139" spans="1:6" x14ac:dyDescent="0.2">
      <c r="A139" t="str">
        <f>_xlfn.XLOOKUP(B139,'Index 14-01'!$F$2:$F$1248,'Index 14-01'!$G$2:$G$1248)</f>
        <v>OBOSX Oil Service PR</v>
      </c>
      <c r="B139" t="s">
        <v>635</v>
      </c>
      <c r="C139" t="s">
        <v>4718</v>
      </c>
      <c r="D139" s="37" t="b">
        <f t="shared" si="2"/>
        <v>0</v>
      </c>
      <c r="E139" s="34">
        <v>0</v>
      </c>
      <c r="F139" s="34"/>
    </row>
    <row r="140" spans="1:6" x14ac:dyDescent="0.2">
      <c r="A140" t="str">
        <f>_xlfn.XLOOKUP(B140,'Index 14-01'!$F$2:$F$1248,'Index 14-01'!$G$2:$G$1248)</f>
        <v>OBSFX Seafood_PR</v>
      </c>
      <c r="B140" t="s">
        <v>787</v>
      </c>
      <c r="C140" t="s">
        <v>4718</v>
      </c>
      <c r="D140" s="37" t="b">
        <f t="shared" si="2"/>
        <v>0</v>
      </c>
      <c r="E140" s="34">
        <v>0</v>
      </c>
      <c r="F140" s="34"/>
    </row>
    <row r="141" spans="1:6" x14ac:dyDescent="0.2">
      <c r="A141" t="str">
        <f>_xlfn.XLOOKUP(B141,'Index 14-01'!$F$2:$F$1248,'Index 14-01'!$G$2:$G$1248)</f>
        <v>OBSHX Shipping_PR</v>
      </c>
      <c r="B141" t="s">
        <v>782</v>
      </c>
      <c r="C141" t="s">
        <v>4718</v>
      </c>
      <c r="D141" s="37" t="b">
        <f t="shared" si="2"/>
        <v>0</v>
      </c>
      <c r="E141" s="34">
        <v>0</v>
      </c>
      <c r="F141" s="34"/>
    </row>
    <row r="142" spans="1:6" x14ac:dyDescent="0.2">
      <c r="A142" t="str">
        <f>_xlfn.XLOOKUP(B142,'Index 14-01'!$F$2:$F$1248,'Index 14-01'!$G$2:$G$1248)</f>
        <v>OBX Basic Materials PR</v>
      </c>
      <c r="B142" t="s">
        <v>657</v>
      </c>
      <c r="C142" t="s">
        <v>4718</v>
      </c>
      <c r="D142" s="37" t="b">
        <f t="shared" si="2"/>
        <v>0</v>
      </c>
      <c r="E142" s="34">
        <v>0</v>
      </c>
      <c r="F142" s="34"/>
    </row>
    <row r="143" spans="1:6" x14ac:dyDescent="0.2">
      <c r="A143" t="str">
        <f>_xlfn.XLOOKUP(B143,'Index 14-01'!$F$2:$F$1248,'Index 14-01'!$G$2:$G$1248)</f>
        <v>OBX Consumer Discretionary PR</v>
      </c>
      <c r="B143" t="s">
        <v>684</v>
      </c>
      <c r="C143" t="s">
        <v>4718</v>
      </c>
      <c r="D143" s="37" t="b">
        <f t="shared" si="2"/>
        <v>0</v>
      </c>
      <c r="E143" s="34">
        <v>0</v>
      </c>
      <c r="F143" s="34"/>
    </row>
    <row r="144" spans="1:6" x14ac:dyDescent="0.2">
      <c r="A144" t="str">
        <f>_xlfn.XLOOKUP(B144,'Index 14-01'!$F$2:$F$1248,'Index 14-01'!$G$2:$G$1248)</f>
        <v>OBX Energy PR</v>
      </c>
      <c r="B144" t="s">
        <v>648</v>
      </c>
      <c r="C144" t="s">
        <v>4718</v>
      </c>
      <c r="D144" s="37" t="b">
        <f t="shared" si="2"/>
        <v>0</v>
      </c>
      <c r="E144" s="34">
        <v>0</v>
      </c>
      <c r="F144" s="34"/>
    </row>
    <row r="145" spans="1:6" x14ac:dyDescent="0.2">
      <c r="A145" t="str">
        <f>_xlfn.XLOOKUP(B145,'Index 14-01'!$F$2:$F$1248,'Index 14-01'!$G$2:$G$1248)</f>
        <v>OBX ESG</v>
      </c>
      <c r="B145" t="s">
        <v>600</v>
      </c>
      <c r="C145" t="s">
        <v>4718</v>
      </c>
      <c r="D145" s="37" t="b">
        <f t="shared" si="2"/>
        <v>0</v>
      </c>
      <c r="E145" s="34">
        <v>0</v>
      </c>
      <c r="F145" s="34"/>
    </row>
    <row r="146" spans="1:6" x14ac:dyDescent="0.2">
      <c r="A146" t="str">
        <f>_xlfn.XLOOKUP(B146,'Index 14-01'!$F$2:$F$1248,'Index 14-01'!$G$2:$G$1248)</f>
        <v>OBX ESG ex Oil and Gas</v>
      </c>
      <c r="B146" t="s">
        <v>591</v>
      </c>
      <c r="C146" t="s">
        <v>4718</v>
      </c>
      <c r="D146" s="37" t="b">
        <f t="shared" si="2"/>
        <v>0</v>
      </c>
      <c r="E146" s="34">
        <v>0</v>
      </c>
      <c r="F146" s="34"/>
    </row>
    <row r="147" spans="1:6" x14ac:dyDescent="0.2">
      <c r="A147" t="str">
        <f>_xlfn.XLOOKUP(B147,'Index 14-01'!$F$2:$F$1248,'Index 14-01'!$G$2:$G$1248)</f>
        <v>OBX ESG ex Oil and Gas PR</v>
      </c>
      <c r="B147" t="s">
        <v>587</v>
      </c>
      <c r="C147" t="s">
        <v>4718</v>
      </c>
      <c r="D147" s="37" t="b">
        <f t="shared" si="2"/>
        <v>0</v>
      </c>
      <c r="E147" s="34">
        <v>0</v>
      </c>
      <c r="F147" s="34"/>
    </row>
    <row r="148" spans="1:6" x14ac:dyDescent="0.2">
      <c r="A148" t="str">
        <f>_xlfn.XLOOKUP(B148,'Index 14-01'!$F$2:$F$1248,'Index 14-01'!$G$2:$G$1248)</f>
        <v>OBX ESG PR</v>
      </c>
      <c r="B148" t="s">
        <v>597</v>
      </c>
      <c r="C148" t="s">
        <v>4718</v>
      </c>
      <c r="D148" s="37" t="b">
        <f t="shared" si="2"/>
        <v>0</v>
      </c>
      <c r="E148" s="34">
        <v>0</v>
      </c>
      <c r="F148" s="34"/>
    </row>
    <row r="149" spans="1:6" x14ac:dyDescent="0.2">
      <c r="A149" t="str">
        <f>_xlfn.XLOOKUP(B149,'Index 14-01'!$F$2:$F$1248,'Index 14-01'!$G$2:$G$1248)</f>
        <v>OBX Financials PR</v>
      </c>
      <c r="B149" t="s">
        <v>702</v>
      </c>
      <c r="C149" t="s">
        <v>4718</v>
      </c>
      <c r="D149" s="37" t="b">
        <f t="shared" si="2"/>
        <v>0</v>
      </c>
      <c r="E149" s="34">
        <v>0</v>
      </c>
      <c r="F149" s="34"/>
    </row>
    <row r="150" spans="1:6" x14ac:dyDescent="0.2">
      <c r="A150" t="str">
        <f>_xlfn.XLOOKUP(B150,'Index 14-01'!$F$2:$F$1248,'Index 14-01'!$G$2:$G$1248)</f>
        <v>OBX Industrials PR</v>
      </c>
      <c r="B150" t="s">
        <v>666</v>
      </c>
      <c r="C150" t="s">
        <v>4718</v>
      </c>
      <c r="D150" s="37" t="b">
        <f t="shared" si="2"/>
        <v>0</v>
      </c>
      <c r="E150" s="34">
        <v>0</v>
      </c>
      <c r="F150" s="34"/>
    </row>
    <row r="151" spans="1:6" x14ac:dyDescent="0.2">
      <c r="A151" t="str">
        <f>_xlfn.XLOOKUP(B151,'Index 14-01'!$F$2:$F$1248,'Index 14-01'!$G$2:$G$1248)</f>
        <v>OBX Price Index</v>
      </c>
      <c r="B151" t="s">
        <v>804</v>
      </c>
      <c r="C151" t="s">
        <v>4718</v>
      </c>
      <c r="D151" s="37" t="b">
        <f t="shared" si="2"/>
        <v>0</v>
      </c>
      <c r="E151" s="34">
        <v>0</v>
      </c>
      <c r="F151" s="34"/>
    </row>
    <row r="152" spans="1:6" x14ac:dyDescent="0.2">
      <c r="A152" t="str">
        <f>_xlfn.XLOOKUP(B152,'Index 14-01'!$F$2:$F$1248,'Index 14-01'!$G$2:$G$1248)</f>
        <v>OBX Real Estate PR</v>
      </c>
      <c r="B152" t="s">
        <v>693</v>
      </c>
      <c r="C152" t="s">
        <v>4718</v>
      </c>
      <c r="D152" s="37" t="b">
        <f t="shared" si="2"/>
        <v>0</v>
      </c>
      <c r="E152" s="34">
        <v>0</v>
      </c>
      <c r="F152" s="34"/>
    </row>
    <row r="153" spans="1:6" x14ac:dyDescent="0.2">
      <c r="A153" t="str">
        <f>_xlfn.XLOOKUP(B153,'Index 14-01'!$F$2:$F$1248,'Index 14-01'!$G$2:$G$1248)</f>
        <v>OBX Technology PR</v>
      </c>
      <c r="B153" t="s">
        <v>729</v>
      </c>
      <c r="C153" t="s">
        <v>4718</v>
      </c>
      <c r="D153" s="37" t="b">
        <f t="shared" si="2"/>
        <v>0</v>
      </c>
      <c r="E153" s="34">
        <v>0</v>
      </c>
      <c r="F153" s="34"/>
    </row>
    <row r="154" spans="1:6" x14ac:dyDescent="0.2">
      <c r="A154" t="str">
        <f>_xlfn.XLOOKUP(B154,'Index 14-01'!$F$2:$F$1248,'Index 14-01'!$G$2:$G$1248)</f>
        <v>OBX Telecommunications PR</v>
      </c>
      <c r="B154" t="s">
        <v>720</v>
      </c>
      <c r="C154" t="s">
        <v>4718</v>
      </c>
      <c r="D154" s="37" t="b">
        <f t="shared" si="2"/>
        <v>0</v>
      </c>
      <c r="E154" s="34">
        <v>0</v>
      </c>
      <c r="F154" s="34"/>
    </row>
    <row r="155" spans="1:6" x14ac:dyDescent="0.2">
      <c r="A155" t="str">
        <f>_xlfn.XLOOKUP(B155,'Index 14-01'!$F$2:$F$1248,'Index 14-01'!$G$2:$G$1248)</f>
        <v>OBX Total Return Index</v>
      </c>
      <c r="B155" t="s">
        <v>821</v>
      </c>
      <c r="C155" t="s">
        <v>4718</v>
      </c>
      <c r="D155" s="37" t="b">
        <f t="shared" si="2"/>
        <v>0</v>
      </c>
      <c r="E155" s="34">
        <v>0</v>
      </c>
      <c r="F155" s="34"/>
    </row>
    <row r="156" spans="1:6" x14ac:dyDescent="0.2">
      <c r="A156" t="str">
        <f>_xlfn.XLOOKUP(B156,'Index 14-01'!$F$2:$F$1248,'Index 14-01'!$G$2:$G$1248)</f>
        <v>OBX Uncapped Price Return Index</v>
      </c>
      <c r="B156" t="s">
        <v>627</v>
      </c>
      <c r="C156" t="s">
        <v>4718</v>
      </c>
      <c r="D156" s="37" t="b">
        <f t="shared" si="2"/>
        <v>0</v>
      </c>
      <c r="E156" s="34">
        <v>0</v>
      </c>
      <c r="F156" s="34"/>
    </row>
    <row r="157" spans="1:6" x14ac:dyDescent="0.2">
      <c r="A157" t="str">
        <f>_xlfn.XLOOKUP(B157,'Index 14-01'!$F$2:$F$1248,'Index 14-01'!$G$2:$G$1248)</f>
        <v>OBX Uncapped Total Return Index</v>
      </c>
      <c r="B157" t="s">
        <v>791</v>
      </c>
      <c r="C157" t="s">
        <v>4718</v>
      </c>
      <c r="D157" s="37" t="b">
        <f t="shared" si="2"/>
        <v>0</v>
      </c>
      <c r="E157" s="34">
        <v>0</v>
      </c>
      <c r="F157" s="34"/>
    </row>
    <row r="158" spans="1:6" x14ac:dyDescent="0.2">
      <c r="A158" t="str">
        <f>_xlfn.XLOOKUP(B158,'Index 14-01'!$F$2:$F$1248,'Index 14-01'!$G$2:$G$1248)</f>
        <v>OBX Utilities PR</v>
      </c>
      <c r="B158" t="s">
        <v>639</v>
      </c>
      <c r="C158" t="s">
        <v>4718</v>
      </c>
      <c r="D158" s="37" t="b">
        <f t="shared" si="2"/>
        <v>0</v>
      </c>
      <c r="E158" s="34">
        <v>0</v>
      </c>
      <c r="F158" s="34"/>
    </row>
    <row r="159" spans="1:6" x14ac:dyDescent="0.2">
      <c r="A159" t="str">
        <f>_xlfn.XLOOKUP(B159,'Index 14-01'!$F$2:$F$1248,'Index 14-01'!$G$2:$G$1248)</f>
        <v>OSE All share_PR</v>
      </c>
      <c r="B159" t="s">
        <v>775</v>
      </c>
      <c r="C159" t="s">
        <v>4718</v>
      </c>
      <c r="D159" s="37" t="b">
        <f t="shared" si="2"/>
        <v>0</v>
      </c>
      <c r="E159" s="34">
        <v>0</v>
      </c>
      <c r="F159" s="34"/>
    </row>
    <row r="160" spans="1:6" x14ac:dyDescent="0.2">
      <c r="A160" t="str">
        <f>_xlfn.XLOOKUP(B160,'Index 14-01'!$F$2:$F$1248,'Index 14-01'!$G$2:$G$1248)</f>
        <v>OSEBX Benchmark_PR</v>
      </c>
      <c r="B160" t="s">
        <v>770</v>
      </c>
      <c r="C160" t="s">
        <v>4718</v>
      </c>
      <c r="D160" s="37" t="b">
        <f t="shared" si="2"/>
        <v>0</v>
      </c>
      <c r="E160" s="34">
        <v>0</v>
      </c>
      <c r="F160" s="34"/>
    </row>
    <row r="161" spans="1:6" x14ac:dyDescent="0.2">
      <c r="A161" t="str">
        <f>_xlfn.XLOOKUP(B161,'Index 14-01'!$F$2:$F$1248,'Index 14-01'!$G$2:$G$1248)</f>
        <v>OSEBX_STB Index</v>
      </c>
      <c r="B161" t="s">
        <v>741</v>
      </c>
      <c r="C161" t="s">
        <v>4718</v>
      </c>
      <c r="D161" s="37" t="b">
        <f t="shared" si="2"/>
        <v>0</v>
      </c>
      <c r="E161" s="34">
        <v>0</v>
      </c>
      <c r="F161" s="34"/>
    </row>
    <row r="162" spans="1:6" x14ac:dyDescent="0.2">
      <c r="A162" t="str">
        <f>_xlfn.XLOOKUP(B162,'Index 14-01'!$F$2:$F$1248,'Index 14-01'!$G$2:$G$1248)</f>
        <v>OSEBX_STB Index PR</v>
      </c>
      <c r="B162" t="s">
        <v>603</v>
      </c>
      <c r="C162" t="s">
        <v>4718</v>
      </c>
      <c r="D162" s="37" t="b">
        <f t="shared" si="2"/>
        <v>0</v>
      </c>
      <c r="E162" s="34">
        <v>0</v>
      </c>
      <c r="F162" s="34"/>
    </row>
    <row r="163" spans="1:6" x14ac:dyDescent="0.2">
      <c r="A163" t="str">
        <f>_xlfn.XLOOKUP(B163,'Index 14-01'!$F$2:$F$1248,'Index 14-01'!$G$2:$G$1248)</f>
        <v>OSEBXG Index</v>
      </c>
      <c r="B163" t="s">
        <v>739</v>
      </c>
      <c r="C163" t="s">
        <v>4718</v>
      </c>
      <c r="D163" s="37" t="b">
        <f t="shared" si="2"/>
        <v>0</v>
      </c>
      <c r="E163" s="34">
        <v>0</v>
      </c>
      <c r="F163" s="34"/>
    </row>
    <row r="164" spans="1:6" x14ac:dyDescent="0.2">
      <c r="A164" t="str">
        <f>_xlfn.XLOOKUP(B164,'Index 14-01'!$F$2:$F$1248,'Index 14-01'!$G$2:$G$1248)</f>
        <v>OSEBXG Index PR</v>
      </c>
      <c r="B164" t="s">
        <v>611</v>
      </c>
      <c r="C164" t="s">
        <v>4718</v>
      </c>
      <c r="D164" s="37" t="b">
        <f t="shared" si="2"/>
        <v>0</v>
      </c>
      <c r="E164" s="34">
        <v>0</v>
      </c>
      <c r="F164" s="34"/>
    </row>
    <row r="165" spans="1:6" x14ac:dyDescent="0.2">
      <c r="A165" t="str">
        <f>_xlfn.XLOOKUP(B165,'Index 14-01'!$F$2:$F$1248,'Index 14-01'!$G$2:$G$1248)</f>
        <v>OSEEXR Index</v>
      </c>
      <c r="B165" t="s">
        <v>737</v>
      </c>
      <c r="C165" t="s">
        <v>4718</v>
      </c>
      <c r="D165" s="37" t="b">
        <f t="shared" si="2"/>
        <v>0</v>
      </c>
      <c r="E165" s="34">
        <v>0</v>
      </c>
      <c r="F165" s="34"/>
    </row>
    <row r="166" spans="1:6" x14ac:dyDescent="0.2">
      <c r="A166" t="str">
        <f>_xlfn.XLOOKUP(B166,'Index 14-01'!$F$2:$F$1248,'Index 14-01'!$G$2:$G$1248)</f>
        <v>OSEEXR Index PR</v>
      </c>
      <c r="B166" t="s">
        <v>607</v>
      </c>
      <c r="C166" t="s">
        <v>4718</v>
      </c>
      <c r="D166" s="37" t="b">
        <f t="shared" si="2"/>
        <v>0</v>
      </c>
      <c r="E166" s="34">
        <v>0</v>
      </c>
      <c r="F166" s="34"/>
    </row>
    <row r="167" spans="1:6" x14ac:dyDescent="0.2">
      <c r="A167" t="str">
        <f>_xlfn.XLOOKUP(B167,'Index 14-01'!$F$2:$F$1248,'Index 14-01'!$G$2:$G$1248)</f>
        <v>OSEFX Mutual Fund_PR</v>
      </c>
      <c r="B167" t="s">
        <v>765</v>
      </c>
      <c r="C167" t="s">
        <v>4718</v>
      </c>
      <c r="D167" s="37" t="b">
        <f t="shared" si="2"/>
        <v>0</v>
      </c>
      <c r="E167" s="34">
        <v>0</v>
      </c>
      <c r="F167" s="34"/>
    </row>
    <row r="168" spans="1:6" x14ac:dyDescent="0.2">
      <c r="A168" t="str">
        <f>_xlfn.XLOOKUP(B168,'Index 14-01'!$F$2:$F$1248,'Index 14-01'!$G$2:$G$1248)</f>
        <v>OSEMX Mid Cap_PR</v>
      </c>
      <c r="B168" t="s">
        <v>758</v>
      </c>
      <c r="C168" t="s">
        <v>4718</v>
      </c>
      <c r="D168" s="37" t="b">
        <f t="shared" si="2"/>
        <v>0</v>
      </c>
      <c r="E168" s="34">
        <v>0</v>
      </c>
      <c r="F168" s="34"/>
    </row>
    <row r="169" spans="1:6" x14ac:dyDescent="0.2">
      <c r="A169" t="str">
        <f>_xlfn.XLOOKUP(B169,'Index 14-01'!$F$2:$F$1248,'Index 14-01'!$G$2:$G$1248)</f>
        <v>OSESX Small Cap_PR</v>
      </c>
      <c r="B169" t="s">
        <v>751</v>
      </c>
      <c r="C169" t="s">
        <v>4718</v>
      </c>
      <c r="D169" s="37" t="b">
        <f t="shared" si="2"/>
        <v>0</v>
      </c>
      <c r="E169" s="34">
        <v>0</v>
      </c>
      <c r="F169" s="34"/>
    </row>
    <row r="170" spans="1:6" x14ac:dyDescent="0.2">
      <c r="A170" t="str">
        <f>_xlfn.XLOOKUP(B170,'Index 14-01'!$F$2:$F$1248,'Index 14-01'!$G$2:$G$1248)</f>
        <v>Oslo Børs All-share Index_GI</v>
      </c>
      <c r="B170" t="s">
        <v>809</v>
      </c>
      <c r="C170" t="s">
        <v>4718</v>
      </c>
      <c r="D170" s="37" t="b">
        <f t="shared" si="2"/>
        <v>0</v>
      </c>
      <c r="E170" s="34">
        <v>0</v>
      </c>
      <c r="F170" s="34"/>
    </row>
    <row r="171" spans="1:6" x14ac:dyDescent="0.2">
      <c r="A171" t="str">
        <f>_xlfn.XLOOKUP(B171,'Index 14-01'!$F$2:$F$1248,'Index 14-01'!$G$2:$G$1248)</f>
        <v>Oslo Børs Equity Certificate Index</v>
      </c>
      <c r="B171" t="s">
        <v>819</v>
      </c>
      <c r="C171" t="s">
        <v>4718</v>
      </c>
      <c r="D171" s="37" t="b">
        <f t="shared" si="2"/>
        <v>0</v>
      </c>
      <c r="E171" s="34">
        <v>0</v>
      </c>
      <c r="F171" s="34"/>
    </row>
    <row r="172" spans="1:6" x14ac:dyDescent="0.2">
      <c r="A172" t="str">
        <f>_xlfn.XLOOKUP(B172,'Index 14-01'!$F$2:$F$1248,'Index 14-01'!$G$2:$G$1248)</f>
        <v>Oslo Børs Equity Certificate Index  PR</v>
      </c>
      <c r="B172" t="s">
        <v>631</v>
      </c>
      <c r="C172" t="s">
        <v>4718</v>
      </c>
      <c r="D172" s="37" t="b">
        <f t="shared" si="2"/>
        <v>0</v>
      </c>
      <c r="E172" s="34">
        <v>0</v>
      </c>
      <c r="F172" s="34"/>
    </row>
    <row r="173" spans="1:6" x14ac:dyDescent="0.2">
      <c r="A173" t="str">
        <f>_xlfn.XLOOKUP(B173,'Index 14-01'!$F$2:$F$1248,'Index 14-01'!$G$2:$G$1248)</f>
        <v>Oslo Børs Mid Cap Index</v>
      </c>
      <c r="B173" t="s">
        <v>793</v>
      </c>
      <c r="C173" t="s">
        <v>4718</v>
      </c>
      <c r="D173" s="37" t="b">
        <f t="shared" si="2"/>
        <v>0</v>
      </c>
      <c r="E173" s="34">
        <v>0</v>
      </c>
      <c r="F173" s="34"/>
    </row>
    <row r="174" spans="1:6" x14ac:dyDescent="0.2">
      <c r="A174" t="str">
        <f>_xlfn.XLOOKUP(B174,'Index 14-01'!$F$2:$F$1248,'Index 14-01'!$G$2:$G$1248)</f>
        <v>Oslo Børs Small Cap Index_GI</v>
      </c>
      <c r="B174" t="s">
        <v>807</v>
      </c>
      <c r="C174" t="s">
        <v>4718</v>
      </c>
      <c r="D174" s="37" t="b">
        <f t="shared" si="2"/>
        <v>0</v>
      </c>
      <c r="E174" s="34">
        <v>0</v>
      </c>
      <c r="F174" s="34"/>
    </row>
    <row r="175" spans="1:6" x14ac:dyDescent="0.2">
      <c r="A175" t="str">
        <f>_xlfn.XLOOKUP(B175,'Index 14-01'!$F$2:$F$1248,'Index 14-01'!$G$2:$G$1248)</f>
        <v>OSLO Energy Index</v>
      </c>
      <c r="B175" t="s">
        <v>799</v>
      </c>
      <c r="C175" t="s">
        <v>4718</v>
      </c>
      <c r="D175" s="37" t="b">
        <f t="shared" si="2"/>
        <v>0</v>
      </c>
      <c r="E175" s="34">
        <v>0</v>
      </c>
      <c r="F175" s="34"/>
    </row>
    <row r="176" spans="1:6" x14ac:dyDescent="0.2">
      <c r="A176" t="str">
        <f>_xlfn.XLOOKUP(B176,'Index 14-01'!$F$2:$F$1248,'Index 14-01'!$G$2:$G$1248)</f>
        <v>OSLO Energy Index PR</v>
      </c>
      <c r="B176" t="s">
        <v>623</v>
      </c>
      <c r="C176" t="s">
        <v>4718</v>
      </c>
      <c r="D176" s="37" t="b">
        <f t="shared" si="2"/>
        <v>0</v>
      </c>
      <c r="E176" s="34">
        <v>0</v>
      </c>
      <c r="F176" s="34"/>
    </row>
    <row r="177" spans="1:6" x14ac:dyDescent="0.2">
      <c r="A177" t="str">
        <f>_xlfn.XLOOKUP(B177,'Index 14-01'!$F$2:$F$1248,'Index 14-01'!$G$2:$G$1248)</f>
        <v>OSLO Seafood Index</v>
      </c>
      <c r="B177" t="s">
        <v>797</v>
      </c>
      <c r="C177" t="s">
        <v>4718</v>
      </c>
      <c r="D177" s="37" t="b">
        <f t="shared" si="2"/>
        <v>0</v>
      </c>
      <c r="E177" s="34">
        <v>0</v>
      </c>
      <c r="F177" s="34"/>
    </row>
    <row r="178" spans="1:6" x14ac:dyDescent="0.2">
      <c r="A178" t="str">
        <f>_xlfn.XLOOKUP(B178,'Index 14-01'!$F$2:$F$1248,'Index 14-01'!$G$2:$G$1248)</f>
        <v>OSLO Seafood Index PR</v>
      </c>
      <c r="B178" t="s">
        <v>619</v>
      </c>
      <c r="C178" t="s">
        <v>4718</v>
      </c>
      <c r="D178" s="37" t="b">
        <f t="shared" si="2"/>
        <v>0</v>
      </c>
      <c r="E178" s="34">
        <v>0</v>
      </c>
      <c r="F178" s="34"/>
    </row>
    <row r="179" spans="1:6" x14ac:dyDescent="0.2">
      <c r="A179" t="str">
        <f>_xlfn.XLOOKUP(B179,'Index 14-01'!$F$2:$F$1248,'Index 14-01'!$G$2:$G$1248)</f>
        <v>OSLO Shipping Index</v>
      </c>
      <c r="B179" t="s">
        <v>795</v>
      </c>
      <c r="C179" t="s">
        <v>4718</v>
      </c>
      <c r="D179" s="37" t="b">
        <f t="shared" si="2"/>
        <v>0</v>
      </c>
      <c r="E179" s="34">
        <v>0</v>
      </c>
      <c r="F179" s="34"/>
    </row>
    <row r="180" spans="1:6" x14ac:dyDescent="0.2">
      <c r="A180" t="str">
        <f>_xlfn.XLOOKUP(B180,'Index 14-01'!$F$2:$F$1248,'Index 14-01'!$G$2:$G$1248)</f>
        <v>OSLO Shipping Index PR</v>
      </c>
      <c r="B180" t="s">
        <v>615</v>
      </c>
      <c r="C180" t="s">
        <v>4718</v>
      </c>
      <c r="D180" s="37" t="b">
        <f t="shared" si="2"/>
        <v>0</v>
      </c>
      <c r="E180" s="34">
        <v>0</v>
      </c>
      <c r="F180" s="34"/>
    </row>
    <row r="181" spans="1:6" x14ac:dyDescent="0.2">
      <c r="A181" t="str">
        <f>_xlfn.XLOOKUP(B181,'Index 14-01'!$F$2:$F$1248,'Index 14-01'!$G$2:$G$1248)</f>
        <v>PSI</v>
      </c>
      <c r="B181" t="s">
        <v>566</v>
      </c>
      <c r="C181" t="s">
        <v>567</v>
      </c>
      <c r="D181" s="37" t="b">
        <f t="shared" si="2"/>
        <v>0</v>
      </c>
      <c r="E181" s="34">
        <v>0</v>
      </c>
      <c r="F181" s="34"/>
    </row>
    <row r="182" spans="1:6" x14ac:dyDescent="0.2">
      <c r="A182" t="str">
        <f>_xlfn.XLOOKUP(B182,'Index 14-01'!$F$2:$F$1248,'Index 14-01'!$G$2:$G$1248)</f>
        <v>PSI All-Share Index</v>
      </c>
      <c r="B182" t="s">
        <v>280</v>
      </c>
      <c r="C182" t="s">
        <v>567</v>
      </c>
      <c r="D182" s="37" t="b">
        <f t="shared" si="2"/>
        <v>0</v>
      </c>
      <c r="E182" s="34">
        <v>0</v>
      </c>
      <c r="F182" s="34"/>
    </row>
    <row r="183" spans="1:6" x14ac:dyDescent="0.2">
      <c r="A183" t="str">
        <f>_xlfn.XLOOKUP(B183,'Index 14-01'!$F$2:$F$1248,'Index 14-01'!$G$2:$G$1248)</f>
        <v>PSI Basic Materials</v>
      </c>
      <c r="B183" t="s">
        <v>232</v>
      </c>
      <c r="C183" t="s">
        <v>567</v>
      </c>
      <c r="D183" s="37" t="b">
        <f t="shared" si="2"/>
        <v>0</v>
      </c>
      <c r="E183" s="34">
        <v>0</v>
      </c>
      <c r="F183" s="34"/>
    </row>
    <row r="184" spans="1:6" x14ac:dyDescent="0.2">
      <c r="A184" t="str">
        <f>_xlfn.XLOOKUP(B184,'Index 14-01'!$F$2:$F$1248,'Index 14-01'!$G$2:$G$1248)</f>
        <v>PSI Consumer Discretionary</v>
      </c>
      <c r="B184" t="s">
        <v>224</v>
      </c>
      <c r="C184" t="s">
        <v>567</v>
      </c>
      <c r="D184" s="37" t="b">
        <f t="shared" si="2"/>
        <v>0</v>
      </c>
      <c r="E184" s="34">
        <v>0</v>
      </c>
      <c r="F184" s="34"/>
    </row>
    <row r="185" spans="1:6" x14ac:dyDescent="0.2">
      <c r="A185" t="str">
        <f>_xlfn.XLOOKUP(B185,'Index 14-01'!$F$2:$F$1248,'Index 14-01'!$G$2:$G$1248)</f>
        <v>PSI Consumer Staples</v>
      </c>
      <c r="B185" t="s">
        <v>220</v>
      </c>
      <c r="C185" t="s">
        <v>567</v>
      </c>
      <c r="D185" s="37" t="b">
        <f t="shared" si="2"/>
        <v>0</v>
      </c>
      <c r="E185" s="34">
        <v>0</v>
      </c>
      <c r="F185" s="34"/>
    </row>
    <row r="186" spans="1:6" x14ac:dyDescent="0.2">
      <c r="A186" t="str">
        <f>_xlfn.XLOOKUP(B186,'Index 14-01'!$F$2:$F$1248,'Index 14-01'!$G$2:$G$1248)</f>
        <v>PSI Energy</v>
      </c>
      <c r="B186" t="s">
        <v>127</v>
      </c>
      <c r="C186" t="s">
        <v>567</v>
      </c>
      <c r="D186" s="37" t="b">
        <f t="shared" si="2"/>
        <v>0</v>
      </c>
      <c r="E186" s="34">
        <v>0</v>
      </c>
      <c r="F186" s="34"/>
    </row>
    <row r="187" spans="1:6" x14ac:dyDescent="0.2">
      <c r="A187" t="str">
        <f>_xlfn.XLOOKUP(B187,'Index 14-01'!$F$2:$F$1248,'Index 14-01'!$G$2:$G$1248)</f>
        <v>PSI ex Banks</v>
      </c>
      <c r="B187" t="s">
        <v>557</v>
      </c>
      <c r="C187" t="s">
        <v>567</v>
      </c>
      <c r="D187" s="37" t="b">
        <f t="shared" si="2"/>
        <v>0</v>
      </c>
      <c r="E187" s="34">
        <v>0</v>
      </c>
      <c r="F187" s="34"/>
    </row>
    <row r="188" spans="1:6" x14ac:dyDescent="0.2">
      <c r="A188" t="str">
        <f>_xlfn.XLOOKUP(B188,'Index 14-01'!$F$2:$F$1248,'Index 14-01'!$G$2:$G$1248)</f>
        <v>PSI Financials</v>
      </c>
      <c r="B188" t="s">
        <v>208</v>
      </c>
      <c r="C188" t="s">
        <v>567</v>
      </c>
      <c r="D188" s="37" t="b">
        <f t="shared" si="2"/>
        <v>0</v>
      </c>
      <c r="E188" s="34">
        <v>0</v>
      </c>
      <c r="F188" s="34"/>
    </row>
    <row r="189" spans="1:6" x14ac:dyDescent="0.2">
      <c r="A189" t="str">
        <f>_xlfn.XLOOKUP(B189,'Index 14-01'!$F$2:$F$1248,'Index 14-01'!$G$2:$G$1248)</f>
        <v>PSI Industrials</v>
      </c>
      <c r="B189" t="s">
        <v>228</v>
      </c>
      <c r="C189" t="s">
        <v>567</v>
      </c>
      <c r="D189" s="37" t="b">
        <f t="shared" si="2"/>
        <v>0</v>
      </c>
      <c r="E189" s="34">
        <v>0</v>
      </c>
      <c r="F189" s="34"/>
    </row>
    <row r="190" spans="1:6" x14ac:dyDescent="0.2">
      <c r="A190" t="str">
        <f>_xlfn.XLOOKUP(B190,'Index 14-01'!$F$2:$F$1248,'Index 14-01'!$G$2:$G$1248)</f>
        <v>PSI Technology</v>
      </c>
      <c r="B190" t="s">
        <v>204</v>
      </c>
      <c r="C190" t="s">
        <v>567</v>
      </c>
      <c r="D190" s="37" t="b">
        <f t="shared" si="2"/>
        <v>0</v>
      </c>
      <c r="E190" s="34">
        <v>0</v>
      </c>
      <c r="F190" s="34"/>
    </row>
    <row r="191" spans="1:6" x14ac:dyDescent="0.2">
      <c r="A191" t="str">
        <f>_xlfn.XLOOKUP(B191,'Index 14-01'!$F$2:$F$1248,'Index 14-01'!$G$2:$G$1248)</f>
        <v>PSI Telecommunications</v>
      </c>
      <c r="B191" t="s">
        <v>216</v>
      </c>
      <c r="C191" t="s">
        <v>567</v>
      </c>
      <c r="D191" s="37" t="b">
        <f t="shared" si="2"/>
        <v>0</v>
      </c>
      <c r="E191" s="34">
        <v>0</v>
      </c>
      <c r="F191" s="34"/>
    </row>
    <row r="192" spans="1:6" x14ac:dyDescent="0.2">
      <c r="A192" t="str">
        <f>_xlfn.XLOOKUP(B192,'Index 14-01'!$F$2:$F$1248,'Index 14-01'!$G$2:$G$1248)</f>
        <v>PSI Utilities</v>
      </c>
      <c r="B192" t="s">
        <v>212</v>
      </c>
      <c r="C192" t="s">
        <v>567</v>
      </c>
      <c r="D192" s="37" t="b">
        <f t="shared" si="2"/>
        <v>0</v>
      </c>
      <c r="E192" s="34">
        <v>0</v>
      </c>
      <c r="F192" s="34"/>
    </row>
    <row r="193" spans="1:6" x14ac:dyDescent="0.2">
      <c r="A193" s="35" t="str">
        <f>_xlfn.XLOOKUP(B193,'Index 14-01'!$F$2:$F$1248,'Index 14-01'!$G$2:$G$1248)</f>
        <v>SBF 120</v>
      </c>
      <c r="B193" s="35" t="s">
        <v>2760</v>
      </c>
      <c r="C193" s="35" t="s">
        <v>4720</v>
      </c>
      <c r="D193" s="37" t="b">
        <f t="shared" si="2"/>
        <v>0</v>
      </c>
      <c r="E193" s="34">
        <v>0</v>
      </c>
      <c r="F193" s="34"/>
    </row>
    <row r="194" spans="1:6" x14ac:dyDescent="0.2">
      <c r="A194" t="str">
        <f>_xlfn.XLOOKUP(B194,'Index 14-01'!$F$2:$F$1248,'Index 14-01'!$G$2:$G$1248)</f>
        <v>SBF Top 50 ESG EW</v>
      </c>
      <c r="B194" t="s">
        <v>2625</v>
      </c>
      <c r="C194" t="s">
        <v>4717</v>
      </c>
      <c r="D194" s="37" t="b">
        <f t="shared" ref="D194:D257" si="3">ISNUMBER(MATCH(B194,$J$1:$J$52,0))</f>
        <v>1</v>
      </c>
      <c r="E194" s="34">
        <v>0</v>
      </c>
      <c r="F194" s="34"/>
    </row>
    <row r="195" spans="1:6" x14ac:dyDescent="0.2">
      <c r="A195" t="str">
        <f>_xlfn.XLOOKUP(B195,'Index 14-01'!$F$2:$F$1248,'Index 14-01'!$G$2:$G$1248)</f>
        <v>SBF Top 80 EW</v>
      </c>
      <c r="B195" t="s">
        <v>2722</v>
      </c>
      <c r="C195" t="s">
        <v>4717</v>
      </c>
      <c r="D195" s="37" t="b">
        <f t="shared" si="3"/>
        <v>0</v>
      </c>
      <c r="E195" s="34">
        <v>0</v>
      </c>
      <c r="F195" s="34"/>
    </row>
    <row r="196" spans="1:6" x14ac:dyDescent="0.2">
      <c r="A196" s="35" t="str">
        <f>_xlfn.XLOOKUP(B196,'Index 14-01'!$F$2:$F$1248,'Index 14-01'!$G$2:$G$1248)</f>
        <v>Euronext 100 Index</v>
      </c>
      <c r="B196" s="35" t="s">
        <v>2766</v>
      </c>
      <c r="C196" s="35" t="s">
        <v>4720</v>
      </c>
      <c r="D196" t="b">
        <f t="shared" si="3"/>
        <v>0</v>
      </c>
      <c r="E196" s="34">
        <v>0</v>
      </c>
      <c r="F196" s="34"/>
    </row>
    <row r="197" spans="1:6" x14ac:dyDescent="0.2">
      <c r="A197" s="35" t="str">
        <f>_xlfn.XLOOKUP(B197,'Index 14-01'!$F$2:$F$1248,'Index 14-01'!$G$2:$G$1248)</f>
        <v>Euronext Aerospace and Defense PR</v>
      </c>
      <c r="B197" s="35" t="s">
        <v>1673</v>
      </c>
      <c r="C197" s="35" t="s">
        <v>4720</v>
      </c>
      <c r="D197" t="b">
        <f t="shared" si="3"/>
        <v>0</v>
      </c>
      <c r="E197" s="34">
        <v>1</v>
      </c>
      <c r="F197" s="34" t="s">
        <v>4749</v>
      </c>
    </row>
    <row r="198" spans="1:6" x14ac:dyDescent="0.2">
      <c r="A198" s="35" t="str">
        <f>_xlfn.XLOOKUP(B198,'Index 14-01'!$F$2:$F$1248,'Index 14-01'!$G$2:$G$1248)</f>
        <v>Euronext AI World</v>
      </c>
      <c r="B198" s="35" t="s">
        <v>3020</v>
      </c>
      <c r="C198" s="35" t="s">
        <v>4720</v>
      </c>
      <c r="D198" t="b">
        <f t="shared" si="3"/>
        <v>0</v>
      </c>
      <c r="E198" s="34">
        <v>0</v>
      </c>
      <c r="F198" s="34" t="s">
        <v>4751</v>
      </c>
    </row>
    <row r="199" spans="1:6" x14ac:dyDescent="0.2">
      <c r="A199" s="35" t="str">
        <f>_xlfn.XLOOKUP(B199,'Index 14-01'!$F$2:$F$1248,'Index 14-01'!$G$2:$G$1248)</f>
        <v>Euronext Asia Pacific 500</v>
      </c>
      <c r="B199" s="35" t="s">
        <v>827</v>
      </c>
      <c r="C199" s="35" t="s">
        <v>4720</v>
      </c>
      <c r="D199" t="b">
        <f t="shared" si="3"/>
        <v>0</v>
      </c>
      <c r="E199" s="34">
        <v>0</v>
      </c>
      <c r="F199" s="34" t="s">
        <v>4752</v>
      </c>
    </row>
    <row r="200" spans="1:6" x14ac:dyDescent="0.2">
      <c r="A200" s="35" t="str">
        <f>_xlfn.XLOOKUP(B200,'Index 14-01'!$F$2:$F$1248,'Index 14-01'!$G$2:$G$1248)</f>
        <v>Euronext BeNe 40 Equal Weight</v>
      </c>
      <c r="B200" s="35" t="s">
        <v>1324</v>
      </c>
      <c r="C200" s="35" t="s">
        <v>4720</v>
      </c>
      <c r="D200" t="b">
        <f t="shared" si="3"/>
        <v>0</v>
      </c>
      <c r="E200" s="34">
        <v>1</v>
      </c>
      <c r="F200" s="34" t="s">
        <v>4749</v>
      </c>
    </row>
    <row r="201" spans="1:6" x14ac:dyDescent="0.2">
      <c r="A201" s="35" t="str">
        <f>_xlfn.XLOOKUP(B201,'Index 14-01'!$F$2:$F$1248,'Index 14-01'!$G$2:$G$1248)</f>
        <v>Euronext BeNeLux Low Risk 20</v>
      </c>
      <c r="B201" s="35" t="s">
        <v>1284</v>
      </c>
      <c r="C201" s="35" t="s">
        <v>4720</v>
      </c>
      <c r="D201" t="b">
        <f t="shared" si="3"/>
        <v>0</v>
      </c>
      <c r="E201" s="34">
        <v>0</v>
      </c>
      <c r="F201" s="34" t="s">
        <v>4753</v>
      </c>
    </row>
    <row r="202" spans="1:6" x14ac:dyDescent="0.2">
      <c r="A202" s="35" t="str">
        <f>_xlfn.XLOOKUP(B202,'Index 14-01'!$F$2:$F$1248,'Index 14-01'!$G$2:$G$1248)</f>
        <v>Euronext Biodiversity Enablers World</v>
      </c>
      <c r="B202" s="35" t="s">
        <v>3359</v>
      </c>
      <c r="C202" s="35" t="s">
        <v>4720</v>
      </c>
      <c r="D202" t="b">
        <f t="shared" si="3"/>
        <v>0</v>
      </c>
      <c r="E202" s="34">
        <v>0</v>
      </c>
      <c r="F202" s="34" t="s">
        <v>4754</v>
      </c>
    </row>
    <row r="203" spans="1:6" x14ac:dyDescent="0.2">
      <c r="A203" s="35" t="str">
        <f>_xlfn.XLOOKUP(B203,'Index 14-01'!$F$2:$F$1248,'Index 14-01'!$G$2:$G$1248)</f>
        <v>Euronext Biodiversity Screened World</v>
      </c>
      <c r="B203" s="35" t="s">
        <v>3350</v>
      </c>
      <c r="C203" s="35" t="s">
        <v>4720</v>
      </c>
      <c r="D203" t="b">
        <f t="shared" si="3"/>
        <v>0</v>
      </c>
      <c r="E203" s="34">
        <v>0</v>
      </c>
      <c r="F203" s="34" t="s">
        <v>4755</v>
      </c>
    </row>
    <row r="204" spans="1:6" x14ac:dyDescent="0.2">
      <c r="A204" s="35" t="str">
        <f>_xlfn.XLOOKUP(B204,'Index 14-01'!$F$2:$F$1248,'Index 14-01'!$G$2:$G$1248)</f>
        <v>Euronext Canada</v>
      </c>
      <c r="B204" s="35" t="s">
        <v>1838</v>
      </c>
      <c r="C204" s="35" t="s">
        <v>4720</v>
      </c>
      <c r="D204" t="b">
        <f t="shared" si="3"/>
        <v>0</v>
      </c>
      <c r="E204" s="34">
        <v>1</v>
      </c>
      <c r="F204" s="40" t="s">
        <v>4749</v>
      </c>
    </row>
    <row r="205" spans="1:6" x14ac:dyDescent="0.2">
      <c r="A205" s="35" t="str">
        <f>_xlfn.XLOOKUP(B205,'Index 14-01'!$F$2:$F$1248,'Index 14-01'!$G$2:$G$1248)</f>
        <v>Euronext Developed Asia</v>
      </c>
      <c r="B205" s="35" t="s">
        <v>1879</v>
      </c>
      <c r="C205" s="35" t="s">
        <v>4720</v>
      </c>
      <c r="D205" t="b">
        <f t="shared" si="3"/>
        <v>0</v>
      </c>
      <c r="E205" s="34">
        <v>1</v>
      </c>
      <c r="F205" s="34" t="s">
        <v>4749</v>
      </c>
    </row>
    <row r="206" spans="1:6" x14ac:dyDescent="0.2">
      <c r="A206" s="35" t="str">
        <f>_xlfn.XLOOKUP(B206,'Index 14-01'!$F$2:$F$1248,'Index 14-01'!$G$2:$G$1248)</f>
        <v>Euronext Developed Asia Pacific</v>
      </c>
      <c r="B206" s="35" t="s">
        <v>1888</v>
      </c>
      <c r="C206" s="35" t="s">
        <v>4720</v>
      </c>
      <c r="D206" t="b">
        <f t="shared" si="3"/>
        <v>0</v>
      </c>
      <c r="E206" s="34">
        <v>1</v>
      </c>
      <c r="F206" s="34" t="s">
        <v>4749</v>
      </c>
    </row>
    <row r="207" spans="1:6" x14ac:dyDescent="0.2">
      <c r="A207" s="35" t="str">
        <f>_xlfn.XLOOKUP(B207,'Index 14-01'!$F$2:$F$1248,'Index 14-01'!$G$2:$G$1248)</f>
        <v>Euronext Developed Europe</v>
      </c>
      <c r="B207" s="35" t="s">
        <v>1916</v>
      </c>
      <c r="C207" s="35" t="s">
        <v>4720</v>
      </c>
      <c r="D207" t="b">
        <f t="shared" si="3"/>
        <v>0</v>
      </c>
      <c r="E207" s="34">
        <v>1</v>
      </c>
      <c r="F207" s="34" t="s">
        <v>4749</v>
      </c>
    </row>
    <row r="208" spans="1:6" x14ac:dyDescent="0.2">
      <c r="A208" s="35" t="str">
        <f>_xlfn.XLOOKUP(B208,'Index 14-01'!$F$2:$F$1248,'Index 14-01'!$G$2:$G$1248)</f>
        <v>Euronext Developed Eurozone</v>
      </c>
      <c r="B208" s="35" t="s">
        <v>1907</v>
      </c>
      <c r="C208" s="35" t="s">
        <v>4720</v>
      </c>
      <c r="D208" t="b">
        <f t="shared" si="3"/>
        <v>0</v>
      </c>
      <c r="E208" s="34">
        <v>1</v>
      </c>
      <c r="F208" s="34" t="s">
        <v>4749</v>
      </c>
    </row>
    <row r="209" spans="1:7" x14ac:dyDescent="0.2">
      <c r="A209" s="35" t="str">
        <f>_xlfn.XLOOKUP(B209,'Index 14-01'!$F$2:$F$1248,'Index 14-01'!$G$2:$G$1248)</f>
        <v>Euronext Developed North America</v>
      </c>
      <c r="B209" s="35" t="s">
        <v>1898</v>
      </c>
      <c r="C209" s="35" t="s">
        <v>4720</v>
      </c>
      <c r="D209" t="b">
        <f t="shared" si="3"/>
        <v>0</v>
      </c>
      <c r="E209" s="34">
        <v>1</v>
      </c>
      <c r="F209" s="34" t="s">
        <v>4749</v>
      </c>
    </row>
    <row r="210" spans="1:7" x14ac:dyDescent="0.2">
      <c r="A210" s="35" t="str">
        <f>_xlfn.XLOOKUP(B210,'Index 14-01'!$F$2:$F$1248,'Index 14-01'!$G$2:$G$1248)</f>
        <v>Euronext Developed Pacific</v>
      </c>
      <c r="B210" s="35" t="s">
        <v>1870</v>
      </c>
      <c r="C210" s="35" t="s">
        <v>4720</v>
      </c>
      <c r="D210" t="b">
        <f t="shared" si="3"/>
        <v>0</v>
      </c>
      <c r="E210" s="34">
        <v>1</v>
      </c>
      <c r="F210" s="34" t="s">
        <v>4749</v>
      </c>
    </row>
    <row r="211" spans="1:7" x14ac:dyDescent="0.2">
      <c r="A211" s="35" t="str">
        <f>_xlfn.XLOOKUP(B211,'Index 14-01'!$F$2:$F$1248,'Index 14-01'!$G$2:$G$1248)</f>
        <v>Euronext Developed World</v>
      </c>
      <c r="B211" s="35" t="s">
        <v>1925</v>
      </c>
      <c r="C211" s="35" t="s">
        <v>4720</v>
      </c>
      <c r="D211" t="b">
        <f t="shared" si="3"/>
        <v>0</v>
      </c>
      <c r="E211" s="34">
        <v>1</v>
      </c>
      <c r="F211" s="34" t="s">
        <v>4749</v>
      </c>
    </row>
    <row r="212" spans="1:7" x14ac:dyDescent="0.2">
      <c r="A212" s="35" t="str">
        <f>_xlfn.XLOOKUP(B212,'Index 14-01'!$F$2:$F$1248,'Index 14-01'!$G$2:$G$1248)</f>
        <v>Euronext Japan</v>
      </c>
      <c r="B212" s="35" t="s">
        <v>1856</v>
      </c>
      <c r="C212" s="35" t="s">
        <v>4720</v>
      </c>
      <c r="D212" s="37" t="b">
        <f t="shared" si="3"/>
        <v>0</v>
      </c>
      <c r="E212" s="34">
        <v>1</v>
      </c>
      <c r="F212" s="34" t="s">
        <v>4749</v>
      </c>
    </row>
    <row r="213" spans="1:7" x14ac:dyDescent="0.2">
      <c r="A213" s="35" t="str">
        <f>_xlfn.XLOOKUP(B213,'Index 14-01'!$F$2:$F$1248,'Index 14-01'!$G$2:$G$1248)</f>
        <v>Euronext Switzerland</v>
      </c>
      <c r="B213" s="35" t="s">
        <v>1847</v>
      </c>
      <c r="C213" s="35" t="s">
        <v>4720</v>
      </c>
      <c r="D213" s="37" t="b">
        <f t="shared" si="3"/>
        <v>0</v>
      </c>
      <c r="E213" s="34">
        <v>1</v>
      </c>
      <c r="F213" s="34" t="s">
        <v>4749</v>
      </c>
    </row>
    <row r="214" spans="1:7" x14ac:dyDescent="0.2">
      <c r="A214" s="35" t="str">
        <f>_xlfn.XLOOKUP(B214,'Index 14-01'!$F$2:$F$1248,'Index 14-01'!$G$2:$G$1248)</f>
        <v>Euronext UK</v>
      </c>
      <c r="B214" s="35" t="s">
        <v>1829</v>
      </c>
      <c r="C214" s="35" t="s">
        <v>4720</v>
      </c>
      <c r="D214" s="37" t="b">
        <f t="shared" si="3"/>
        <v>0</v>
      </c>
      <c r="E214" s="34">
        <v>1</v>
      </c>
      <c r="F214" s="34" t="s">
        <v>4749</v>
      </c>
    </row>
    <row r="215" spans="1:7" x14ac:dyDescent="0.2">
      <c r="A215" s="35" t="str">
        <f>_xlfn.XLOOKUP(B215,'Index 14-01'!$F$2:$F$1248,'Index 14-01'!$G$2:$G$1248)</f>
        <v>Euronext USA</v>
      </c>
      <c r="B215" s="35" t="s">
        <v>1859</v>
      </c>
      <c r="C215" s="35" t="s">
        <v>4720</v>
      </c>
      <c r="D215" s="37" t="b">
        <f t="shared" si="3"/>
        <v>0</v>
      </c>
      <c r="E215" s="34">
        <v>1</v>
      </c>
      <c r="F215" s="34" t="s">
        <v>4749</v>
      </c>
    </row>
    <row r="216" spans="1:7" x14ac:dyDescent="0.2">
      <c r="A216" s="35" t="str">
        <f>_xlfn.XLOOKUP(B216,'Index 14-01'!$F$2:$F$1248,'Index 14-01'!$G$2:$G$1248)</f>
        <v>Euronext World</v>
      </c>
      <c r="B216" s="35" t="s">
        <v>864</v>
      </c>
      <c r="C216" s="35" t="s">
        <v>4720</v>
      </c>
      <c r="D216" s="37" t="b">
        <f t="shared" si="3"/>
        <v>0</v>
      </c>
      <c r="E216" s="34">
        <v>1</v>
      </c>
      <c r="F216" s="34" t="s">
        <v>4749</v>
      </c>
    </row>
    <row r="217" spans="1:7" x14ac:dyDescent="0.2">
      <c r="A217" t="s">
        <v>1821</v>
      </c>
      <c r="B217" s="38" t="s">
        <v>1820</v>
      </c>
      <c r="C217" t="s">
        <v>4720</v>
      </c>
      <c r="D217" s="37" t="b">
        <f t="shared" si="3"/>
        <v>0</v>
      </c>
      <c r="E217" s="34">
        <v>1</v>
      </c>
      <c r="F217" s="37" t="s">
        <v>4749</v>
      </c>
      <c r="G217" s="41" t="s">
        <v>4756</v>
      </c>
    </row>
    <row r="218" spans="1:7" x14ac:dyDescent="0.2">
      <c r="A218" t="s">
        <v>1811</v>
      </c>
      <c r="B218" s="38" t="s">
        <v>1810</v>
      </c>
      <c r="C218" t="s">
        <v>4720</v>
      </c>
      <c r="D218" s="37" t="b">
        <f t="shared" si="3"/>
        <v>0</v>
      </c>
      <c r="E218" s="34">
        <v>1</v>
      </c>
      <c r="F218" s="37" t="s">
        <v>4749</v>
      </c>
      <c r="G218" s="41" t="s">
        <v>4756</v>
      </c>
    </row>
    <row r="219" spans="1:7" x14ac:dyDescent="0.2">
      <c r="A219" t="s">
        <v>1802</v>
      </c>
      <c r="B219" s="38" t="s">
        <v>1801</v>
      </c>
      <c r="C219" t="s">
        <v>4720</v>
      </c>
      <c r="D219" s="37" t="b">
        <f t="shared" si="3"/>
        <v>0</v>
      </c>
      <c r="E219" s="34">
        <v>1</v>
      </c>
      <c r="F219" s="37" t="s">
        <v>4749</v>
      </c>
      <c r="G219" s="41" t="s">
        <v>4756</v>
      </c>
    </row>
    <row r="220" spans="1:7" x14ac:dyDescent="0.2">
      <c r="A220" t="s">
        <v>1783</v>
      </c>
      <c r="B220" s="38" t="s">
        <v>1782</v>
      </c>
      <c r="C220" t="s">
        <v>4720</v>
      </c>
      <c r="D220" s="37" t="b">
        <f t="shared" si="3"/>
        <v>0</v>
      </c>
      <c r="E220" s="34">
        <v>1</v>
      </c>
      <c r="F220" s="37" t="s">
        <v>4749</v>
      </c>
      <c r="G220" s="41" t="s">
        <v>4756</v>
      </c>
    </row>
    <row r="221" spans="1:7" x14ac:dyDescent="0.2">
      <c r="A221" t="s">
        <v>1792</v>
      </c>
      <c r="B221" s="38" t="s">
        <v>1791</v>
      </c>
      <c r="C221" t="s">
        <v>4720</v>
      </c>
      <c r="D221" s="37" t="b">
        <f t="shared" si="3"/>
        <v>0</v>
      </c>
      <c r="E221" s="34">
        <v>1</v>
      </c>
      <c r="F221" s="37" t="s">
        <v>4749</v>
      </c>
      <c r="G221" s="41" t="s">
        <v>4756</v>
      </c>
    </row>
    <row r="222" spans="1:7" x14ac:dyDescent="0.2">
      <c r="A222" t="s">
        <v>1774</v>
      </c>
      <c r="B222" s="38" t="s">
        <v>1773</v>
      </c>
      <c r="C222" t="s">
        <v>4720</v>
      </c>
      <c r="D222" s="37" t="b">
        <f t="shared" si="3"/>
        <v>0</v>
      </c>
      <c r="E222" s="34">
        <v>1</v>
      </c>
      <c r="F222" s="37" t="s">
        <v>4749</v>
      </c>
      <c r="G222" s="41" t="s">
        <v>4756</v>
      </c>
    </row>
    <row r="223" spans="1:7" x14ac:dyDescent="0.2">
      <c r="A223" t="s">
        <v>1765</v>
      </c>
      <c r="B223" s="38" t="s">
        <v>1764</v>
      </c>
      <c r="C223" t="s">
        <v>4720</v>
      </c>
      <c r="D223" s="37" t="b">
        <f t="shared" si="3"/>
        <v>0</v>
      </c>
      <c r="E223" s="34">
        <v>1</v>
      </c>
      <c r="F223" s="37" t="s">
        <v>4749</v>
      </c>
      <c r="G223" s="41" t="s">
        <v>4756</v>
      </c>
    </row>
    <row r="224" spans="1:7" x14ac:dyDescent="0.2">
      <c r="A224" t="s">
        <v>1737</v>
      </c>
      <c r="B224" s="38" t="s">
        <v>1736</v>
      </c>
      <c r="C224" t="s">
        <v>4720</v>
      </c>
      <c r="D224" s="37" t="b">
        <f t="shared" si="3"/>
        <v>0</v>
      </c>
      <c r="E224" s="34">
        <v>1</v>
      </c>
      <c r="F224" s="37" t="s">
        <v>4749</v>
      </c>
      <c r="G224" s="41" t="s">
        <v>4756</v>
      </c>
    </row>
    <row r="225" spans="1:7" x14ac:dyDescent="0.2">
      <c r="A225" t="s">
        <v>1746</v>
      </c>
      <c r="B225" s="38" t="s">
        <v>1745</v>
      </c>
      <c r="C225" t="s">
        <v>4720</v>
      </c>
      <c r="D225" s="37" t="b">
        <f t="shared" si="3"/>
        <v>0</v>
      </c>
      <c r="E225" s="34">
        <v>1</v>
      </c>
      <c r="F225" s="37" t="s">
        <v>4749</v>
      </c>
      <c r="G225" s="41" t="s">
        <v>4756</v>
      </c>
    </row>
    <row r="226" spans="1:7" x14ac:dyDescent="0.2">
      <c r="A226" t="s">
        <v>1756</v>
      </c>
      <c r="B226" s="38" t="s">
        <v>1755</v>
      </c>
      <c r="C226" t="s">
        <v>4720</v>
      </c>
      <c r="D226" s="37" t="b">
        <f t="shared" si="3"/>
        <v>0</v>
      </c>
      <c r="E226" s="34">
        <v>1</v>
      </c>
      <c r="F226" s="37" t="s">
        <v>4749</v>
      </c>
      <c r="G226" s="41" t="s">
        <v>4756</v>
      </c>
    </row>
    <row r="227" spans="1:7" x14ac:dyDescent="0.2">
      <c r="A227" t="s">
        <v>1719</v>
      </c>
      <c r="B227" s="38" t="s">
        <v>1718</v>
      </c>
      <c r="C227" t="s">
        <v>4720</v>
      </c>
      <c r="D227" s="37" t="b">
        <f t="shared" si="3"/>
        <v>0</v>
      </c>
      <c r="E227" s="34">
        <v>1</v>
      </c>
      <c r="F227" s="37" t="s">
        <v>4749</v>
      </c>
      <c r="G227" s="41" t="s">
        <v>4756</v>
      </c>
    </row>
    <row r="228" spans="1:7" x14ac:dyDescent="0.2">
      <c r="A228" t="s">
        <v>1728</v>
      </c>
      <c r="B228" s="38" t="s">
        <v>1727</v>
      </c>
      <c r="C228" t="s">
        <v>4720</v>
      </c>
      <c r="D228" s="37" t="b">
        <f t="shared" si="3"/>
        <v>0</v>
      </c>
      <c r="E228" s="34">
        <v>1</v>
      </c>
      <c r="F228" s="37" t="s">
        <v>4749</v>
      </c>
      <c r="G228" s="41" t="s">
        <v>4756</v>
      </c>
    </row>
    <row r="229" spans="1:7" x14ac:dyDescent="0.2">
      <c r="A229" s="35" t="str">
        <f>_xlfn.XLOOKUP(B229,'Index 14-01'!$F$2:$F$1248,'Index 14-01'!$G$2:$G$1248)</f>
        <v>Euronext Climate Europe</v>
      </c>
      <c r="B229" s="35" t="s">
        <v>1315</v>
      </c>
      <c r="C229" s="35" t="s">
        <v>4720</v>
      </c>
      <c r="D229" t="b">
        <f t="shared" si="3"/>
        <v>0</v>
      </c>
      <c r="E229" s="34">
        <v>0</v>
      </c>
      <c r="F229" s="34" t="s">
        <v>4754</v>
      </c>
    </row>
    <row r="230" spans="1:7" x14ac:dyDescent="0.2">
      <c r="A230" s="35" t="str">
        <f>_xlfn.XLOOKUP(B230,'Index 14-01'!$F$2:$F$1248,'Index 14-01'!$G$2:$G$1248)</f>
        <v>Euronext Cybersecurity World</v>
      </c>
      <c r="B230" s="35" t="s">
        <v>2990</v>
      </c>
      <c r="C230" s="35" t="s">
        <v>4720</v>
      </c>
      <c r="D230" t="b">
        <f t="shared" si="3"/>
        <v>0</v>
      </c>
      <c r="E230" s="34">
        <v>1</v>
      </c>
      <c r="F230" s="34"/>
    </row>
    <row r="231" spans="1:7" x14ac:dyDescent="0.2">
      <c r="A231" s="35" t="str">
        <f>_xlfn.XLOOKUP(B231,'Index 14-01'!$F$2:$F$1248,'Index 14-01'!$G$2:$G$1248)</f>
        <v>Euronext Developed Market</v>
      </c>
      <c r="B231" s="35" t="s">
        <v>856</v>
      </c>
      <c r="C231" s="35" t="s">
        <v>4720</v>
      </c>
      <c r="D231" t="b">
        <f t="shared" si="3"/>
        <v>0</v>
      </c>
      <c r="E231" s="34">
        <v>1</v>
      </c>
      <c r="F231" s="34"/>
    </row>
    <row r="232" spans="1:7" x14ac:dyDescent="0.2">
      <c r="A232" s="35" t="str">
        <f>_xlfn.XLOOKUP(B232,'Index 14-01'!$F$2:$F$1248,'Index 14-01'!$G$2:$G$1248)</f>
        <v>Euronext Developed Market USD</v>
      </c>
      <c r="B232" s="35" t="s">
        <v>2183</v>
      </c>
      <c r="C232" s="35" t="s">
        <v>4720</v>
      </c>
      <c r="D232" t="b">
        <f t="shared" si="3"/>
        <v>0</v>
      </c>
      <c r="E232" s="34">
        <v>1</v>
      </c>
      <c r="F232" s="34"/>
    </row>
    <row r="233" spans="1:7" x14ac:dyDescent="0.2">
      <c r="A233" s="35" t="str">
        <f>_xlfn.XLOOKUP(B233,'Index 14-01'!$F$2:$F$1248,'Index 14-01'!$G$2:$G$1248)</f>
        <v>Euronext Developed World ESG Screened</v>
      </c>
      <c r="B233" s="35" t="s">
        <v>2192</v>
      </c>
      <c r="C233" s="35" t="s">
        <v>4720</v>
      </c>
      <c r="D233" t="b">
        <f t="shared" si="3"/>
        <v>0</v>
      </c>
      <c r="E233" s="34">
        <v>1</v>
      </c>
      <c r="F233" s="34"/>
    </row>
    <row r="234" spans="1:7" x14ac:dyDescent="0.2">
      <c r="A234" s="35" t="str">
        <f>_xlfn.XLOOKUP(B234,'Index 14-01'!$F$2:$F$1248,'Index 14-01'!$G$2:$G$1248)</f>
        <v>Euronext Earth Focus 40</v>
      </c>
      <c r="B234" s="35" t="s">
        <v>3318</v>
      </c>
      <c r="C234" s="35" t="s">
        <v>4720</v>
      </c>
      <c r="D234" t="b">
        <f t="shared" si="3"/>
        <v>0</v>
      </c>
      <c r="E234" s="34">
        <v>1</v>
      </c>
      <c r="F234" s="34"/>
    </row>
    <row r="235" spans="1:7" x14ac:dyDescent="0.2">
      <c r="A235" s="35" t="str">
        <f>_xlfn.XLOOKUP(B235,'Index 14-01'!$F$2:$F$1248,'Index 14-01'!$G$2:$G$1248)</f>
        <v>Euronext Environmental Goods and Services Eurozone</v>
      </c>
      <c r="B235" s="35" t="s">
        <v>3535</v>
      </c>
      <c r="C235" s="35" t="s">
        <v>4720</v>
      </c>
      <c r="D235" t="b">
        <f t="shared" si="3"/>
        <v>0</v>
      </c>
      <c r="E235" s="34">
        <v>1</v>
      </c>
      <c r="F235" s="34"/>
    </row>
    <row r="236" spans="1:7" x14ac:dyDescent="0.2">
      <c r="A236" s="35" t="str">
        <f>_xlfn.XLOOKUP(B236,'Index 14-01'!$F$2:$F$1248,'Index 14-01'!$G$2:$G$1248)</f>
        <v>Euronext Environmental Goods and Services World</v>
      </c>
      <c r="B236" s="35" t="s">
        <v>3544</v>
      </c>
      <c r="C236" s="35" t="s">
        <v>4720</v>
      </c>
      <c r="D236" t="b">
        <f t="shared" si="3"/>
        <v>0</v>
      </c>
      <c r="E236" s="34">
        <v>1</v>
      </c>
      <c r="F236" s="34"/>
    </row>
    <row r="237" spans="1:7" x14ac:dyDescent="0.2">
      <c r="A237" s="35" t="str">
        <f>_xlfn.XLOOKUP(B237,'Index 14-01'!$F$2:$F$1248,'Index 14-01'!$G$2:$G$1248)</f>
        <v>Euronext Europe 500</v>
      </c>
      <c r="B237" s="35" t="s">
        <v>1004</v>
      </c>
      <c r="C237" s="35" t="s">
        <v>4720</v>
      </c>
      <c r="D237" t="b">
        <f t="shared" si="3"/>
        <v>0</v>
      </c>
      <c r="E237" s="34">
        <v>1</v>
      </c>
      <c r="F237" s="34"/>
    </row>
    <row r="238" spans="1:7" x14ac:dyDescent="0.2">
      <c r="A238" s="35" t="str">
        <f>_xlfn.XLOOKUP(B238,'Index 14-01'!$F$2:$F$1248,'Index 14-01'!$G$2:$G$1248)</f>
        <v>Euronext Europe Luxury</v>
      </c>
      <c r="B238" s="35" t="s">
        <v>1706</v>
      </c>
      <c r="C238" s="35" t="s">
        <v>4720</v>
      </c>
      <c r="D238" t="b">
        <f t="shared" si="3"/>
        <v>0</v>
      </c>
      <c r="E238" s="34">
        <v>1</v>
      </c>
      <c r="F238" s="34"/>
    </row>
    <row r="239" spans="1:7" x14ac:dyDescent="0.2">
      <c r="A239" s="35" t="str">
        <f>_xlfn.XLOOKUP(B239,'Index 14-01'!$F$2:$F$1248,'Index 14-01'!$G$2:$G$1248)</f>
        <v>Euronext Eurozone 300</v>
      </c>
      <c r="B239" s="35" t="s">
        <v>995</v>
      </c>
      <c r="C239" s="35" t="s">
        <v>4720</v>
      </c>
      <c r="D239" t="b">
        <f t="shared" si="3"/>
        <v>0</v>
      </c>
      <c r="E239" s="34">
        <v>1</v>
      </c>
      <c r="F239" s="34"/>
    </row>
    <row r="240" spans="1:7" x14ac:dyDescent="0.2">
      <c r="A240" s="35" t="str">
        <f>_xlfn.XLOOKUP(B240,'Index 14-01'!$F$2:$F$1248,'Index 14-01'!$G$2:$G$1248)</f>
        <v>Euronext Eurozone 50</v>
      </c>
      <c r="B240" s="35" t="s">
        <v>1709</v>
      </c>
      <c r="C240" s="35" t="s">
        <v>4720</v>
      </c>
      <c r="D240" t="b">
        <f t="shared" si="3"/>
        <v>0</v>
      </c>
      <c r="E240" s="34">
        <v>1</v>
      </c>
      <c r="F240" s="34"/>
    </row>
    <row r="241" spans="1:6" x14ac:dyDescent="0.2">
      <c r="A241" s="35" t="str">
        <f>_xlfn.XLOOKUP(B241,'Index 14-01'!$F$2:$F$1248,'Index 14-01'!$G$2:$G$1248)</f>
        <v>Euronext Eurozone 60 PAB</v>
      </c>
      <c r="B241" s="35" t="s">
        <v>3590</v>
      </c>
      <c r="C241" s="35" t="s">
        <v>4720</v>
      </c>
      <c r="D241" t="b">
        <f t="shared" si="3"/>
        <v>0</v>
      </c>
      <c r="E241" s="34">
        <v>1</v>
      </c>
      <c r="F241" s="34"/>
    </row>
    <row r="242" spans="1:6" x14ac:dyDescent="0.2">
      <c r="A242" s="35" t="str">
        <f>_xlfn.XLOOKUP(B242,'Index 14-01'!$F$2:$F$1248,'Index 14-01'!$G$2:$G$1248)</f>
        <v>Euronext Eurozone Banks</v>
      </c>
      <c r="B242" s="35" t="s">
        <v>929</v>
      </c>
      <c r="C242" s="35" t="s">
        <v>4720</v>
      </c>
      <c r="D242" t="b">
        <f t="shared" si="3"/>
        <v>0</v>
      </c>
      <c r="E242" s="34">
        <v>1</v>
      </c>
      <c r="F242" s="34"/>
    </row>
    <row r="243" spans="1:6" x14ac:dyDescent="0.2">
      <c r="A243" s="35" t="str">
        <f>_xlfn.XLOOKUP(B243,'Index 14-01'!$F$2:$F$1248,'Index 14-01'!$G$2:$G$1248)</f>
        <v>Euronext Eurozone Basic Materials PR</v>
      </c>
      <c r="B243" s="35" t="s">
        <v>1658</v>
      </c>
      <c r="C243" s="35" t="s">
        <v>4720</v>
      </c>
      <c r="D243" t="b">
        <f t="shared" si="3"/>
        <v>0</v>
      </c>
      <c r="E243" s="34">
        <v>1</v>
      </c>
      <c r="F243" s="34"/>
    </row>
    <row r="244" spans="1:6" x14ac:dyDescent="0.2">
      <c r="A244" s="35" t="str">
        <f>_xlfn.XLOOKUP(B244,'Index 14-01'!$F$2:$F$1248,'Index 14-01'!$G$2:$G$1248)</f>
        <v>Euronext Eurozone ESG Transition</v>
      </c>
      <c r="B244" s="35" t="s">
        <v>3436</v>
      </c>
      <c r="C244" s="35" t="s">
        <v>4720</v>
      </c>
      <c r="D244" t="b">
        <f t="shared" si="3"/>
        <v>0</v>
      </c>
      <c r="E244" s="34">
        <v>1</v>
      </c>
      <c r="F244" s="34"/>
    </row>
    <row r="245" spans="1:6" x14ac:dyDescent="0.2">
      <c r="A245" s="35" t="str">
        <f>_xlfn.XLOOKUP(B245,'Index 14-01'!$F$2:$F$1248,'Index 14-01'!$G$2:$G$1248)</f>
        <v>Euronext Eurozone Focus 40 PAB</v>
      </c>
      <c r="B245" s="35" t="s">
        <v>3575</v>
      </c>
      <c r="C245" s="35" t="s">
        <v>4720</v>
      </c>
      <c r="D245" t="b">
        <f t="shared" si="3"/>
        <v>0</v>
      </c>
      <c r="E245" s="34">
        <v>1</v>
      </c>
      <c r="F245" s="34"/>
    </row>
    <row r="246" spans="1:6" x14ac:dyDescent="0.2">
      <c r="A246" s="35" t="str">
        <f>_xlfn.XLOOKUP(B246,'Index 14-01'!$F$2:$F$1248,'Index 14-01'!$G$2:$G$1248)</f>
        <v>Euronext Eurozone Small Cap</v>
      </c>
      <c r="B246" s="35" t="s">
        <v>1568</v>
      </c>
      <c r="C246" s="35" t="s">
        <v>4720</v>
      </c>
      <c r="D246" t="b">
        <f t="shared" si="3"/>
        <v>0</v>
      </c>
      <c r="E246" s="34">
        <v>1</v>
      </c>
      <c r="F246" s="34"/>
    </row>
    <row r="247" spans="1:6" x14ac:dyDescent="0.2">
      <c r="A247" s="35" t="str">
        <f>_xlfn.XLOOKUP(B247,'Index 14-01'!$F$2:$F$1248,'Index 14-01'!$G$2:$G$1248)</f>
        <v>Euronext Expand All-Share Index</v>
      </c>
      <c r="B247" s="35" t="s">
        <v>744</v>
      </c>
      <c r="C247" s="35" t="s">
        <v>4720</v>
      </c>
      <c r="D247" t="b">
        <f t="shared" si="3"/>
        <v>0</v>
      </c>
      <c r="E247" s="34">
        <v>1</v>
      </c>
      <c r="F247" s="34"/>
    </row>
    <row r="248" spans="1:6" x14ac:dyDescent="0.2">
      <c r="A248" s="35" t="str">
        <f>_xlfn.XLOOKUP(B248,'Index 14-01'!$F$2:$F$1248,'Index 14-01'!$G$2:$G$1248)</f>
        <v>Euronext EZ Transatlantic</v>
      </c>
      <c r="B248" s="35" t="s">
        <v>2090</v>
      </c>
      <c r="C248" s="35" t="s">
        <v>4720</v>
      </c>
      <c r="D248" t="b">
        <f t="shared" si="3"/>
        <v>0</v>
      </c>
      <c r="E248" s="34">
        <v>1</v>
      </c>
      <c r="F248" s="34"/>
    </row>
    <row r="249" spans="1:6" x14ac:dyDescent="0.2">
      <c r="A249" s="35" t="str">
        <f>_xlfn.XLOOKUP(B249,'Index 14-01'!$F$2:$F$1248,'Index 14-01'!$G$2:$G$1248)</f>
        <v>Euronext FAS IAS</v>
      </c>
      <c r="B249" s="35" t="s">
        <v>2957</v>
      </c>
      <c r="C249" s="35" t="s">
        <v>4720</v>
      </c>
      <c r="D249" t="b">
        <f t="shared" si="3"/>
        <v>0</v>
      </c>
      <c r="E249" s="34">
        <v>1</v>
      </c>
      <c r="F249" s="34"/>
    </row>
    <row r="250" spans="1:6" x14ac:dyDescent="0.2">
      <c r="A250" s="35" t="str">
        <f>_xlfn.XLOOKUP(B250,'Index 14-01'!$F$2:$F$1248,'Index 14-01'!$G$2:$G$1248)</f>
        <v>Euronext France Germany Leaders 50</v>
      </c>
      <c r="B250" s="35" t="s">
        <v>1211</v>
      </c>
      <c r="C250" s="35" t="s">
        <v>4720</v>
      </c>
      <c r="D250" t="b">
        <f t="shared" si="3"/>
        <v>0</v>
      </c>
      <c r="E250" s="34">
        <v>1</v>
      </c>
      <c r="F250" s="34"/>
    </row>
    <row r="251" spans="1:6" x14ac:dyDescent="0.2">
      <c r="A251" s="35" t="str">
        <f>_xlfn.XLOOKUP(B251,'Index 14-01'!$F$2:$F$1248,'Index 14-01'!$G$2:$G$1248)</f>
        <v>Euronext Invest In France</v>
      </c>
      <c r="B251" s="35" t="s">
        <v>2924</v>
      </c>
      <c r="C251" s="35" t="s">
        <v>4720</v>
      </c>
      <c r="D251" s="37" t="b">
        <f t="shared" si="3"/>
        <v>0</v>
      </c>
      <c r="E251" s="34">
        <v>1</v>
      </c>
      <c r="F251" s="34"/>
    </row>
    <row r="252" spans="1:6" x14ac:dyDescent="0.2">
      <c r="A252" s="35" t="str">
        <f>_xlfn.XLOOKUP(B252,'Index 14-01'!$F$2:$F$1248,'Index 14-01'!$G$2:$G$1248)</f>
        <v>Euronext Invest In France 40</v>
      </c>
      <c r="B252" s="35" t="s">
        <v>2870</v>
      </c>
      <c r="C252" s="35" t="s">
        <v>4720</v>
      </c>
      <c r="D252" s="37" t="b">
        <f t="shared" si="3"/>
        <v>0</v>
      </c>
      <c r="E252" s="34">
        <v>1</v>
      </c>
      <c r="F252" s="34"/>
    </row>
    <row r="253" spans="1:6" x14ac:dyDescent="0.2">
      <c r="A253" s="35" t="str">
        <f>_xlfn.XLOOKUP(B253,'Index 14-01'!$F$2:$F$1248,'Index 14-01'!$G$2:$G$1248)</f>
        <v>Euronext North America 500</v>
      </c>
      <c r="B253" s="35" t="s">
        <v>839</v>
      </c>
      <c r="C253" s="35" t="s">
        <v>4720</v>
      </c>
      <c r="D253" s="37" t="b">
        <f t="shared" si="3"/>
        <v>0</v>
      </c>
      <c r="E253" s="34">
        <v>1</v>
      </c>
      <c r="F253" s="34"/>
    </row>
    <row r="254" spans="1:6" x14ac:dyDescent="0.2">
      <c r="A254" s="35" t="str">
        <f>_xlfn.XLOOKUP(B254,'Index 14-01'!$F$2:$F$1248,'Index 14-01'!$G$2:$G$1248)</f>
        <v>Euronext PAB North America 50</v>
      </c>
      <c r="B254" s="35" t="s">
        <v>3784</v>
      </c>
      <c r="C254" s="35" t="s">
        <v>4720</v>
      </c>
      <c r="D254" s="37" t="b">
        <f t="shared" si="3"/>
        <v>0</v>
      </c>
      <c r="E254" s="34">
        <v>1</v>
      </c>
      <c r="F254" s="34"/>
    </row>
    <row r="255" spans="1:6" x14ac:dyDescent="0.2">
      <c r="A255" s="35" t="str">
        <f>_xlfn.XLOOKUP(B255,'Index 14-01'!$F$2:$F$1248,'Index 14-01'!$G$2:$G$1248)</f>
        <v>Euronext PAB Transatlantic 40</v>
      </c>
      <c r="B255" s="35" t="s">
        <v>3743</v>
      </c>
      <c r="C255" s="35" t="s">
        <v>4720</v>
      </c>
      <c r="D255" s="37" t="b">
        <f t="shared" si="3"/>
        <v>0</v>
      </c>
      <c r="E255" s="34">
        <v>1</v>
      </c>
      <c r="F255" s="34"/>
    </row>
    <row r="256" spans="1:6" x14ac:dyDescent="0.2">
      <c r="A256" s="35" t="str">
        <f>_xlfn.XLOOKUP(B256,'Index 14-01'!$F$2:$F$1248,'Index 14-01'!$G$2:$G$1248)</f>
        <v>Euronext PAB Transatlantic 50</v>
      </c>
      <c r="B256" s="35" t="s">
        <v>3767</v>
      </c>
      <c r="C256" s="35" t="s">
        <v>4720</v>
      </c>
      <c r="D256" s="37" t="b">
        <f t="shared" si="3"/>
        <v>0</v>
      </c>
      <c r="E256" s="34">
        <v>1</v>
      </c>
      <c r="F256" s="34"/>
    </row>
    <row r="257" spans="1:7" x14ac:dyDescent="0.2">
      <c r="A257" s="35" t="str">
        <f>_xlfn.XLOOKUP(B257,'Index 14-01'!$F$2:$F$1248,'Index 14-01'!$G$2:$G$1248)</f>
        <v>Euronext PAB Transatlantic 60</v>
      </c>
      <c r="B257" s="35" t="s">
        <v>3758</v>
      </c>
      <c r="C257" s="35" t="s">
        <v>4720</v>
      </c>
      <c r="D257" s="37" t="b">
        <f t="shared" si="3"/>
        <v>0</v>
      </c>
      <c r="E257" s="34">
        <v>1</v>
      </c>
      <c r="F257" s="34"/>
    </row>
    <row r="258" spans="1:7" x14ac:dyDescent="0.2">
      <c r="A258" s="35" t="str">
        <f>_xlfn.XLOOKUP(B258,'Index 14-01'!$F$2:$F$1248,'Index 14-01'!$G$2:$G$1248)</f>
        <v>Euronext Positive Impact Water World</v>
      </c>
      <c r="B258" s="35" t="s">
        <v>3499</v>
      </c>
      <c r="C258" s="35" t="s">
        <v>4720</v>
      </c>
      <c r="D258" s="37" t="b">
        <f t="shared" ref="D258:D305" si="4">ISNUMBER(MATCH(B258,$J$1:$J$52,0))</f>
        <v>0</v>
      </c>
      <c r="E258" s="34">
        <v>1</v>
      </c>
      <c r="F258" s="34"/>
    </row>
    <row r="259" spans="1:7" x14ac:dyDescent="0.2">
      <c r="A259" s="35" t="str">
        <f>_xlfn.XLOOKUP(B259,'Index 14-01'!$F$2:$F$1248,'Index 14-01'!$G$2:$G$1248)</f>
        <v>Euronext Reitsmarket Global Balanced</v>
      </c>
      <c r="B259" s="35" t="s">
        <v>1220</v>
      </c>
      <c r="C259" s="35" t="s">
        <v>4720</v>
      </c>
      <c r="D259" s="37" t="b">
        <f t="shared" si="4"/>
        <v>0</v>
      </c>
      <c r="E259" s="34">
        <v>1</v>
      </c>
      <c r="F259" s="34"/>
    </row>
    <row r="260" spans="1:7" x14ac:dyDescent="0.2">
      <c r="A260" s="35" t="str">
        <f>_xlfn.XLOOKUP(B260,'Index 14-01'!$F$2:$F$1248,'Index 14-01'!$G$2:$G$1248)</f>
        <v>Euronext Social Goods and Services Eurozone</v>
      </c>
      <c r="B260" s="35" t="s">
        <v>3517</v>
      </c>
      <c r="C260" s="35" t="s">
        <v>4720</v>
      </c>
      <c r="D260" s="37" t="b">
        <f t="shared" si="4"/>
        <v>0</v>
      </c>
      <c r="E260" s="34">
        <v>1</v>
      </c>
      <c r="F260" s="34"/>
    </row>
    <row r="261" spans="1:7" x14ac:dyDescent="0.2">
      <c r="A261" s="35" t="str">
        <f>_xlfn.XLOOKUP(B261,'Index 14-01'!$F$2:$F$1248,'Index 14-01'!$G$2:$G$1248)</f>
        <v>Euronext Social Goods and Services World</v>
      </c>
      <c r="B261" s="35" t="s">
        <v>3526</v>
      </c>
      <c r="C261" s="35" t="s">
        <v>4720</v>
      </c>
      <c r="D261" s="37" t="b">
        <f t="shared" si="4"/>
        <v>0</v>
      </c>
      <c r="E261" s="34">
        <v>1</v>
      </c>
      <c r="F261" s="34"/>
    </row>
    <row r="262" spans="1:7" x14ac:dyDescent="0.2">
      <c r="A262" s="35" t="str">
        <f>_xlfn.XLOOKUP(B262,'Index 14-01'!$F$2:$F$1248,'Index 14-01'!$G$2:$G$1248)</f>
        <v>Euronext Switzerland 20 PAB</v>
      </c>
      <c r="B262" s="35" t="s">
        <v>3559</v>
      </c>
      <c r="C262" s="35" t="s">
        <v>4720</v>
      </c>
      <c r="D262" s="37" t="b">
        <f t="shared" si="4"/>
        <v>0</v>
      </c>
      <c r="E262" s="34">
        <v>1</v>
      </c>
      <c r="F262" s="34"/>
    </row>
    <row r="263" spans="1:7" x14ac:dyDescent="0.2">
      <c r="A263" s="35" t="str">
        <f>_xlfn.XLOOKUP(B263,'Index 14-01'!$F$2:$F$1248,'Index 14-01'!$G$2:$G$1248)</f>
        <v>Euronext Tech Croissance</v>
      </c>
      <c r="B263" s="35" t="s">
        <v>2598</v>
      </c>
      <c r="C263" s="35" t="s">
        <v>4720</v>
      </c>
      <c r="D263" s="37" t="b">
        <f t="shared" si="4"/>
        <v>0</v>
      </c>
      <c r="E263" s="34">
        <v>1</v>
      </c>
      <c r="F263" s="34"/>
    </row>
    <row r="264" spans="1:7" x14ac:dyDescent="0.2">
      <c r="A264" s="35" t="str">
        <f>_xlfn.XLOOKUP(B264,'Index 14-01'!$F$2:$F$1248,'Index 14-01'!$G$2:$G$1248)</f>
        <v>Euronext Tech Leaders</v>
      </c>
      <c r="B264" s="35" t="s">
        <v>2126</v>
      </c>
      <c r="C264" s="35" t="s">
        <v>4720</v>
      </c>
      <c r="D264" s="37" t="b">
        <f t="shared" si="4"/>
        <v>0</v>
      </c>
      <c r="E264" s="34">
        <v>1</v>
      </c>
      <c r="F264" s="34"/>
    </row>
    <row r="265" spans="1:7" x14ac:dyDescent="0.2">
      <c r="A265" s="35" t="str">
        <f>_xlfn.XLOOKUP(B265,'Index 14-01'!$F$2:$F$1248,'Index 14-01'!$G$2:$G$1248)</f>
        <v>Euronext US Consumer Tech Energy</v>
      </c>
      <c r="B265" s="35" t="s">
        <v>1688</v>
      </c>
      <c r="C265" s="35" t="s">
        <v>4720</v>
      </c>
      <c r="D265" s="37" t="b">
        <f t="shared" si="4"/>
        <v>0</v>
      </c>
      <c r="E265" s="34">
        <v>1</v>
      </c>
      <c r="F265" s="34"/>
    </row>
    <row r="266" spans="1:7" x14ac:dyDescent="0.2">
      <c r="A266" s="35" t="str">
        <f>_xlfn.XLOOKUP(B266,'Index 14-01'!$F$2:$F$1248,'Index 14-01'!$G$2:$G$1248)</f>
        <v>Euronext World Country selection</v>
      </c>
      <c r="B266" s="35" t="s">
        <v>870</v>
      </c>
      <c r="C266" s="35" t="s">
        <v>4720</v>
      </c>
      <c r="D266" s="37" t="b">
        <f t="shared" si="4"/>
        <v>0</v>
      </c>
      <c r="E266" s="34">
        <v>1</v>
      </c>
      <c r="F266" s="34"/>
    </row>
    <row r="267" spans="1:7" x14ac:dyDescent="0.2">
      <c r="A267" s="35" t="str">
        <f>_xlfn.XLOOKUP(B267,'Index 14-01'!$F$2:$F$1248,'Index 14-01'!$G$2:$G$1248)</f>
        <v>Euronext World Invest In France 40</v>
      </c>
      <c r="B267" s="35" t="s">
        <v>2894</v>
      </c>
      <c r="C267" s="35" t="s">
        <v>4720</v>
      </c>
      <c r="D267" s="37" t="b">
        <f t="shared" si="4"/>
        <v>0</v>
      </c>
      <c r="E267" s="34">
        <v>1</v>
      </c>
      <c r="F267" s="34"/>
    </row>
    <row r="268" spans="1:7" x14ac:dyDescent="0.2">
      <c r="A268" s="35" t="str">
        <f>_xlfn.XLOOKUP(B268,'Index 14-01'!$F$2:$F$1248,'Index 14-01'!$G$2:$G$1248)</f>
        <v>Euronext World Sustainability and Climate Screened</v>
      </c>
      <c r="B268" s="35" t="s">
        <v>3632</v>
      </c>
      <c r="C268" s="35" t="s">
        <v>4720</v>
      </c>
      <c r="D268" s="37" t="b">
        <f t="shared" si="4"/>
        <v>0</v>
      </c>
      <c r="E268" s="34">
        <v>1</v>
      </c>
      <c r="F268" s="34"/>
    </row>
    <row r="269" spans="1:7" x14ac:dyDescent="0.2">
      <c r="A269" s="35" t="str">
        <f>_xlfn.XLOOKUP(B269,'Index 14-01'!$F$2:$F$1248,'Index 14-01'!$G$2:$G$1248)</f>
        <v>Next 150 Index</v>
      </c>
      <c r="B269" s="35" t="s">
        <v>2764</v>
      </c>
      <c r="C269" s="35" t="s">
        <v>4720</v>
      </c>
      <c r="D269" s="37" t="b">
        <f t="shared" si="4"/>
        <v>0</v>
      </c>
      <c r="E269" s="34">
        <v>1</v>
      </c>
      <c r="F269" s="34"/>
    </row>
    <row r="270" spans="1:7" x14ac:dyDescent="0.2">
      <c r="A270" s="35" t="str">
        <f>_xlfn.XLOOKUP(B270,'Index 14-01'!$F$2:$F$1248,'Index 14-01'!$G$2:$G$1248)</f>
        <v>Next Biotech</v>
      </c>
      <c r="B270" s="35" t="s">
        <v>450</v>
      </c>
      <c r="C270" s="35" t="s">
        <v>4720</v>
      </c>
      <c r="D270" s="37" t="b">
        <f t="shared" si="4"/>
        <v>0</v>
      </c>
      <c r="E270" s="34">
        <v>1</v>
      </c>
      <c r="F270" s="34"/>
    </row>
    <row r="271" spans="1:7" x14ac:dyDescent="0.2">
      <c r="A271" t="str">
        <f>_xlfn.XLOOKUP(B271,'Index 14-01'!$F$2:$F$1248,'Index 14-01'!$G$2:$G$1248)</f>
        <v>Euronext Transatlantic</v>
      </c>
      <c r="B271" t="s">
        <v>2117</v>
      </c>
      <c r="C271" t="s">
        <v>4724</v>
      </c>
      <c r="D271" s="37" t="b">
        <f t="shared" si="4"/>
        <v>0</v>
      </c>
      <c r="E271" s="34">
        <v>1</v>
      </c>
      <c r="F271" s="34"/>
      <c r="G271" t="s">
        <v>4738</v>
      </c>
    </row>
    <row r="272" spans="1:7" x14ac:dyDescent="0.2">
      <c r="A272" t="s">
        <v>1647</v>
      </c>
      <c r="B272" s="38" t="s">
        <v>1646</v>
      </c>
      <c r="C272" t="s">
        <v>4720</v>
      </c>
      <c r="D272" s="37" t="b">
        <f t="shared" si="4"/>
        <v>0</v>
      </c>
      <c r="E272" s="34">
        <v>1</v>
      </c>
      <c r="F272" s="34"/>
      <c r="G272" t="s">
        <v>4740</v>
      </c>
    </row>
    <row r="273" spans="1:7" x14ac:dyDescent="0.2">
      <c r="A273" t="s">
        <v>1651</v>
      </c>
      <c r="B273" s="38" t="s">
        <v>1650</v>
      </c>
      <c r="C273" t="s">
        <v>4720</v>
      </c>
      <c r="D273" s="37" t="b">
        <f t="shared" si="4"/>
        <v>0</v>
      </c>
      <c r="E273" s="34">
        <v>1</v>
      </c>
      <c r="F273" s="34"/>
      <c r="G273" t="s">
        <v>4740</v>
      </c>
    </row>
    <row r="274" spans="1:7" x14ac:dyDescent="0.2">
      <c r="A274" t="s">
        <v>1649</v>
      </c>
      <c r="B274" s="38" t="s">
        <v>1648</v>
      </c>
      <c r="C274" t="s">
        <v>4720</v>
      </c>
      <c r="D274" s="37" t="b">
        <f t="shared" si="4"/>
        <v>0</v>
      </c>
      <c r="E274" s="34">
        <v>1</v>
      </c>
      <c r="G274" t="s">
        <v>4740</v>
      </c>
    </row>
    <row r="275" spans="1:7" x14ac:dyDescent="0.2">
      <c r="A275" t="s">
        <v>1641</v>
      </c>
      <c r="B275" s="38" t="s">
        <v>1640</v>
      </c>
      <c r="C275" t="s">
        <v>4720</v>
      </c>
      <c r="D275" s="37" t="b">
        <f t="shared" si="4"/>
        <v>0</v>
      </c>
      <c r="E275" s="34">
        <v>1</v>
      </c>
      <c r="G275" t="s">
        <v>4740</v>
      </c>
    </row>
    <row r="276" spans="1:7" x14ac:dyDescent="0.2">
      <c r="A276" t="s">
        <v>1643</v>
      </c>
      <c r="B276" s="38" t="s">
        <v>1642</v>
      </c>
      <c r="C276" t="s">
        <v>4720</v>
      </c>
      <c r="D276" s="37" t="b">
        <f t="shared" si="4"/>
        <v>0</v>
      </c>
      <c r="E276" s="34">
        <v>1</v>
      </c>
      <c r="G276" t="s">
        <v>4740</v>
      </c>
    </row>
    <row r="277" spans="1:7" x14ac:dyDescent="0.2">
      <c r="A277" t="s">
        <v>1645</v>
      </c>
      <c r="B277" s="38" t="s">
        <v>1644</v>
      </c>
      <c r="C277" t="s">
        <v>4720</v>
      </c>
      <c r="D277" s="37" t="b">
        <f t="shared" si="4"/>
        <v>0</v>
      </c>
      <c r="E277" s="34">
        <v>1</v>
      </c>
      <c r="G277" t="s">
        <v>4740</v>
      </c>
    </row>
    <row r="278" spans="1:7" x14ac:dyDescent="0.2">
      <c r="A278" t="s">
        <v>1659</v>
      </c>
      <c r="B278" s="38" t="s">
        <v>1658</v>
      </c>
      <c r="C278" t="s">
        <v>4720</v>
      </c>
      <c r="D278" s="37" t="b">
        <f t="shared" si="4"/>
        <v>0</v>
      </c>
      <c r="E278" s="34">
        <v>1</v>
      </c>
      <c r="G278" t="s">
        <v>4740</v>
      </c>
    </row>
    <row r="279" spans="1:7" x14ac:dyDescent="0.2">
      <c r="A279" t="s">
        <v>1653</v>
      </c>
      <c r="B279" s="38" t="s">
        <v>1652</v>
      </c>
      <c r="C279" t="s">
        <v>4720</v>
      </c>
      <c r="D279" s="37" t="b">
        <f t="shared" si="4"/>
        <v>0</v>
      </c>
      <c r="E279" s="34">
        <v>1</v>
      </c>
      <c r="G279" t="s">
        <v>4740</v>
      </c>
    </row>
    <row r="280" spans="1:7" x14ac:dyDescent="0.2">
      <c r="A280" t="s">
        <v>1655</v>
      </c>
      <c r="B280" s="38" t="s">
        <v>1654</v>
      </c>
      <c r="C280" t="s">
        <v>4720</v>
      </c>
      <c r="D280" s="37" t="b">
        <f t="shared" si="4"/>
        <v>0</v>
      </c>
      <c r="E280" s="34">
        <v>1</v>
      </c>
      <c r="G280" t="s">
        <v>4740</v>
      </c>
    </row>
    <row r="281" spans="1:7" x14ac:dyDescent="0.2">
      <c r="A281" t="s">
        <v>1657</v>
      </c>
      <c r="B281" s="38" t="s">
        <v>1656</v>
      </c>
      <c r="C281" t="s">
        <v>4720</v>
      </c>
      <c r="D281" s="37" t="b">
        <f t="shared" si="4"/>
        <v>0</v>
      </c>
      <c r="E281" s="34">
        <v>1</v>
      </c>
      <c r="G281" t="s">
        <v>4740</v>
      </c>
    </row>
    <row r="282" spans="1:7" x14ac:dyDescent="0.2">
      <c r="A282" t="s">
        <v>1460</v>
      </c>
      <c r="B282" s="38" t="s">
        <v>1459</v>
      </c>
      <c r="C282" t="s">
        <v>4720</v>
      </c>
      <c r="D282" s="37" t="b">
        <f t="shared" si="4"/>
        <v>0</v>
      </c>
      <c r="E282" s="34">
        <v>1</v>
      </c>
      <c r="G282" t="s">
        <v>4737</v>
      </c>
    </row>
    <row r="283" spans="1:7" x14ac:dyDescent="0.2">
      <c r="A283" t="s">
        <v>1442</v>
      </c>
      <c r="B283" s="38" t="s">
        <v>1441</v>
      </c>
      <c r="C283" t="s">
        <v>4720</v>
      </c>
      <c r="D283" s="37" t="b">
        <f t="shared" si="4"/>
        <v>0</v>
      </c>
      <c r="E283" s="34">
        <v>1</v>
      </c>
      <c r="G283" t="s">
        <v>4737</v>
      </c>
    </row>
    <row r="284" spans="1:7" x14ac:dyDescent="0.2">
      <c r="A284" t="s">
        <v>1451</v>
      </c>
      <c r="B284" s="38" t="s">
        <v>1450</v>
      </c>
      <c r="C284" t="s">
        <v>4720</v>
      </c>
      <c r="D284" s="37" t="b">
        <f t="shared" si="4"/>
        <v>0</v>
      </c>
      <c r="E284" s="34">
        <v>1</v>
      </c>
      <c r="G284" t="s">
        <v>4737</v>
      </c>
    </row>
    <row r="285" spans="1:7" x14ac:dyDescent="0.2">
      <c r="A285" t="s">
        <v>1469</v>
      </c>
      <c r="B285" s="38" t="s">
        <v>1468</v>
      </c>
      <c r="C285" t="s">
        <v>4720</v>
      </c>
      <c r="D285" s="37" t="b">
        <f t="shared" si="4"/>
        <v>0</v>
      </c>
      <c r="E285" s="34">
        <v>1</v>
      </c>
      <c r="G285" t="s">
        <v>4737</v>
      </c>
    </row>
    <row r="286" spans="1:7" x14ac:dyDescent="0.2">
      <c r="A286" t="s">
        <v>1487</v>
      </c>
      <c r="B286" s="38" t="s">
        <v>1486</v>
      </c>
      <c r="C286" t="s">
        <v>4720</v>
      </c>
      <c r="D286" s="37" t="b">
        <f t="shared" si="4"/>
        <v>0</v>
      </c>
      <c r="E286" s="34">
        <v>1</v>
      </c>
      <c r="G286" t="s">
        <v>4738</v>
      </c>
    </row>
    <row r="287" spans="1:7" x14ac:dyDescent="0.2">
      <c r="A287" t="s">
        <v>1532</v>
      </c>
      <c r="B287" s="38" t="s">
        <v>1531</v>
      </c>
      <c r="C287" t="s">
        <v>4720</v>
      </c>
      <c r="D287" s="37" t="b">
        <f t="shared" si="4"/>
        <v>0</v>
      </c>
      <c r="E287" s="34">
        <v>1</v>
      </c>
      <c r="G287" t="s">
        <v>4738</v>
      </c>
    </row>
    <row r="288" spans="1:7" x14ac:dyDescent="0.2">
      <c r="A288" t="s">
        <v>1541</v>
      </c>
      <c r="B288" s="38" t="s">
        <v>1540</v>
      </c>
      <c r="C288" t="s">
        <v>4720</v>
      </c>
      <c r="D288" s="37" t="b">
        <f t="shared" si="4"/>
        <v>0</v>
      </c>
      <c r="E288" s="34">
        <v>1</v>
      </c>
      <c r="G288" t="s">
        <v>4738</v>
      </c>
    </row>
    <row r="289" spans="1:7" x14ac:dyDescent="0.2">
      <c r="A289" t="s">
        <v>1550</v>
      </c>
      <c r="B289" s="38" t="s">
        <v>1549</v>
      </c>
      <c r="C289" t="s">
        <v>4720</v>
      </c>
      <c r="D289" s="37" t="b">
        <f t="shared" si="4"/>
        <v>0</v>
      </c>
      <c r="E289" s="34">
        <v>1</v>
      </c>
      <c r="G289" t="s">
        <v>4738</v>
      </c>
    </row>
    <row r="290" spans="1:7" x14ac:dyDescent="0.2">
      <c r="A290" t="s">
        <v>1514</v>
      </c>
      <c r="B290" s="38" t="s">
        <v>1513</v>
      </c>
      <c r="C290" t="s">
        <v>4720</v>
      </c>
      <c r="D290" s="37" t="b">
        <f t="shared" si="4"/>
        <v>0</v>
      </c>
      <c r="E290" s="34">
        <v>1</v>
      </c>
      <c r="G290" t="s">
        <v>4738</v>
      </c>
    </row>
    <row r="291" spans="1:7" x14ac:dyDescent="0.2">
      <c r="A291" t="s">
        <v>1559</v>
      </c>
      <c r="B291" s="38" t="s">
        <v>1558</v>
      </c>
      <c r="C291" t="s">
        <v>4720</v>
      </c>
      <c r="D291" s="37" t="b">
        <f t="shared" si="4"/>
        <v>0</v>
      </c>
      <c r="E291" s="34">
        <v>1</v>
      </c>
      <c r="G291" t="s">
        <v>4738</v>
      </c>
    </row>
    <row r="292" spans="1:7" x14ac:dyDescent="0.2">
      <c r="A292" t="s">
        <v>1505</v>
      </c>
      <c r="B292" s="38" t="s">
        <v>1504</v>
      </c>
      <c r="C292" t="s">
        <v>4720</v>
      </c>
      <c r="D292" s="37" t="b">
        <f t="shared" si="4"/>
        <v>0</v>
      </c>
      <c r="E292" s="34">
        <v>1</v>
      </c>
      <c r="G292" t="s">
        <v>4738</v>
      </c>
    </row>
    <row r="293" spans="1:7" x14ac:dyDescent="0.2">
      <c r="A293" t="s">
        <v>1478</v>
      </c>
      <c r="B293" s="38" t="s">
        <v>1477</v>
      </c>
      <c r="C293" t="s">
        <v>4720</v>
      </c>
      <c r="D293" s="37" t="b">
        <f t="shared" si="4"/>
        <v>0</v>
      </c>
      <c r="E293" s="34">
        <v>1</v>
      </c>
      <c r="G293" t="s">
        <v>4738</v>
      </c>
    </row>
    <row r="294" spans="1:7" x14ac:dyDescent="0.2">
      <c r="A294" t="s">
        <v>1523</v>
      </c>
      <c r="B294" s="38" t="s">
        <v>1522</v>
      </c>
      <c r="C294" t="s">
        <v>4720</v>
      </c>
      <c r="D294" s="37" t="b">
        <f t="shared" si="4"/>
        <v>0</v>
      </c>
      <c r="E294" s="34">
        <v>1</v>
      </c>
      <c r="G294" t="s">
        <v>4738</v>
      </c>
    </row>
    <row r="295" spans="1:7" x14ac:dyDescent="0.2">
      <c r="A295" t="s">
        <v>1496</v>
      </c>
      <c r="B295" s="38" t="s">
        <v>1495</v>
      </c>
      <c r="C295" t="s">
        <v>4720</v>
      </c>
      <c r="D295" s="37" t="b">
        <f t="shared" si="4"/>
        <v>0</v>
      </c>
      <c r="E295" s="34">
        <v>1</v>
      </c>
      <c r="G295" t="s">
        <v>4738</v>
      </c>
    </row>
    <row r="296" spans="1:7" x14ac:dyDescent="0.2">
      <c r="A296" s="38" t="s">
        <v>4727</v>
      </c>
      <c r="B296" s="38" t="s">
        <v>4728</v>
      </c>
      <c r="C296" t="s">
        <v>4720</v>
      </c>
      <c r="D296" s="37" t="b">
        <f t="shared" si="4"/>
        <v>0</v>
      </c>
      <c r="E296" s="34">
        <v>1</v>
      </c>
      <c r="G296" t="s">
        <v>4736</v>
      </c>
    </row>
    <row r="297" spans="1:7" x14ac:dyDescent="0.2">
      <c r="A297" s="38" t="s">
        <v>4729</v>
      </c>
      <c r="B297" s="38" t="s">
        <v>4730</v>
      </c>
      <c r="C297" t="s">
        <v>4720</v>
      </c>
      <c r="D297" s="37" t="b">
        <f t="shared" si="4"/>
        <v>0</v>
      </c>
      <c r="E297" s="34">
        <v>1</v>
      </c>
      <c r="G297" t="s">
        <v>4736</v>
      </c>
    </row>
    <row r="298" spans="1:7" x14ac:dyDescent="0.2">
      <c r="A298" s="38" t="s">
        <v>4731</v>
      </c>
      <c r="B298" s="38" t="s">
        <v>4732</v>
      </c>
      <c r="C298" t="s">
        <v>4720</v>
      </c>
      <c r="D298" s="37" t="b">
        <f t="shared" si="4"/>
        <v>0</v>
      </c>
      <c r="E298" s="34">
        <v>1</v>
      </c>
      <c r="G298" t="s">
        <v>4736</v>
      </c>
    </row>
    <row r="299" spans="1:7" x14ac:dyDescent="0.2">
      <c r="A299" s="38" t="s">
        <v>4733</v>
      </c>
      <c r="B299" s="38" t="s">
        <v>4734</v>
      </c>
      <c r="C299" t="s">
        <v>4720</v>
      </c>
      <c r="D299" s="37" t="b">
        <f t="shared" si="4"/>
        <v>0</v>
      </c>
      <c r="E299" s="34">
        <v>1</v>
      </c>
      <c r="G299" t="s">
        <v>4736</v>
      </c>
    </row>
    <row r="300" spans="1:7" x14ac:dyDescent="0.2">
      <c r="A300" s="38" t="s">
        <v>1397</v>
      </c>
      <c r="B300" s="38" t="s">
        <v>1396</v>
      </c>
      <c r="C300" t="s">
        <v>4720</v>
      </c>
      <c r="D300" s="37" t="b">
        <f t="shared" si="4"/>
        <v>0</v>
      </c>
      <c r="E300" s="34">
        <v>1</v>
      </c>
      <c r="G300" t="s">
        <v>4736</v>
      </c>
    </row>
    <row r="301" spans="1:7" x14ac:dyDescent="0.2">
      <c r="A301" s="38" t="s">
        <v>1406</v>
      </c>
      <c r="B301" s="38" t="s">
        <v>1405</v>
      </c>
      <c r="C301" t="s">
        <v>4720</v>
      </c>
      <c r="D301" s="37" t="b">
        <f t="shared" si="4"/>
        <v>0</v>
      </c>
      <c r="E301" s="34">
        <v>1</v>
      </c>
      <c r="G301" t="s">
        <v>4736</v>
      </c>
    </row>
    <row r="302" spans="1:7" x14ac:dyDescent="0.2">
      <c r="A302" s="38" t="s">
        <v>1433</v>
      </c>
      <c r="B302" s="38" t="s">
        <v>1432</v>
      </c>
      <c r="C302" t="s">
        <v>4720</v>
      </c>
      <c r="D302" s="37" t="b">
        <f t="shared" si="4"/>
        <v>0</v>
      </c>
      <c r="E302" s="34">
        <v>1</v>
      </c>
      <c r="G302" t="s">
        <v>4736</v>
      </c>
    </row>
    <row r="303" spans="1:7" x14ac:dyDescent="0.2">
      <c r="A303" s="38" t="s">
        <v>1424</v>
      </c>
      <c r="B303" s="38" t="s">
        <v>1423</v>
      </c>
      <c r="C303" t="s">
        <v>4720</v>
      </c>
      <c r="D303" s="37" t="b">
        <f t="shared" si="4"/>
        <v>0</v>
      </c>
      <c r="E303" s="34">
        <v>1</v>
      </c>
      <c r="G303" t="s">
        <v>4736</v>
      </c>
    </row>
    <row r="304" spans="1:7" x14ac:dyDescent="0.2">
      <c r="A304" s="38" t="s">
        <v>1415</v>
      </c>
      <c r="B304" s="38" t="s">
        <v>1414</v>
      </c>
      <c r="C304" t="s">
        <v>4720</v>
      </c>
      <c r="D304" s="37" t="b">
        <f t="shared" si="4"/>
        <v>0</v>
      </c>
      <c r="E304" s="34">
        <v>1</v>
      </c>
      <c r="G304" t="s">
        <v>4736</v>
      </c>
    </row>
    <row r="305" spans="1:7" x14ac:dyDescent="0.2">
      <c r="A305" s="38" t="s">
        <v>4735</v>
      </c>
      <c r="B305" s="38" t="s">
        <v>1387</v>
      </c>
      <c r="C305" t="s">
        <v>4720</v>
      </c>
      <c r="D305" s="37" t="b">
        <f t="shared" si="4"/>
        <v>0</v>
      </c>
      <c r="E305" s="34">
        <v>1</v>
      </c>
      <c r="G305" t="s">
        <v>4736</v>
      </c>
    </row>
  </sheetData>
  <pageMargins left="0.7" right="0.7" top="0.75" bottom="0.75" header="0.3" footer="0.3"/>
  <pageSetup paperSize="9" orientation="portrait" r:id="rId1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To automate</vt:lpstr>
      <vt:lpstr>Full sheet Francesco</vt:lpstr>
      <vt:lpstr>AUM</vt:lpstr>
      <vt:lpstr>Index 14-01</vt:lpstr>
      <vt:lpstr>Old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Coen Sonneveld</dc:creator>
  <cp:lastModifiedBy>Coen Sonneveld</cp:lastModifiedBy>
  <dcterms:created xsi:type="dcterms:W3CDTF">2025-01-14T10:03:20Z</dcterms:created>
  <dcterms:modified xsi:type="dcterms:W3CDTF">2025-07-25T13:14:51Z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2025-01-14T10:50:49Z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845041de-4a2d-4b1b-ac6d-174b9931380f</vt:lpwstr>
  </property>
  <property fmtid="{D5CDD505-2E9C-101B-9397-08002B2CF9AE}" pid="8" name="MSIP_Label_ac0b9ce6-6e99-42a1-af95-429494370cbc_ContentBits">
    <vt:lpwstr>2</vt:lpwstr>
  </property>
</Properties>
</file>