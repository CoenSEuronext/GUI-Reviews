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33" documentId="11_4266C1748A20379E9312A75B460F61449D71C2D1" xr6:coauthVersionLast="47" xr6:coauthVersionMax="47" xr10:uidLastSave="{24A3A0B3-583E-4ECA-B714-59AE8412BFF8}"/>
  <bookViews>
    <workbookView xWindow="-29370" yWindow="195" windowWidth="29040" windowHeight="15720" activeTab="1" xr2:uid="{00000000-000D-0000-FFFF-FFFF00000000}"/>
  </bookViews>
  <sheets>
    <sheet name="Summary" sheetId="1" r:id="rId1"/>
    <sheet name="Field Mismatches" sheetId="2" r:id="rId2"/>
  </sheets>
  <externalReferences>
    <externalReference r:id="rId3"/>
  </externalReferences>
  <definedNames>
    <definedName name="_xlnm._FilterDatabase" localSheetId="1" hidden="1">'Field Mismatches'!$A$1:$I$37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 a="1"/>
  <c r="K2" i="2" s="1"/>
  <c r="L2" i="2" s="1"/>
  <c r="L11" i="2" l="1"/>
  <c r="I19" i="2"/>
  <c r="I20" i="2"/>
  <c r="I2" i="2"/>
  <c r="I22" i="2"/>
  <c r="I3" i="2"/>
  <c r="I24" i="2"/>
  <c r="I25" i="2"/>
  <c r="I6" i="2"/>
  <c r="I27" i="2"/>
  <c r="I29" i="2"/>
  <c r="L3" i="2"/>
  <c r="L4" i="2"/>
  <c r="I32" i="2"/>
  <c r="L6" i="2"/>
  <c r="I34" i="2"/>
  <c r="L8" i="2"/>
  <c r="I15" i="2"/>
  <c r="I35" i="2"/>
  <c r="I18" i="2"/>
  <c r="L12" i="2"/>
  <c r="L13" i="2"/>
  <c r="L14" i="2"/>
  <c r="I21" i="2"/>
  <c r="I23" i="2"/>
  <c r="I4" i="2"/>
  <c r="I5" i="2"/>
  <c r="I26" i="2"/>
  <c r="I7" i="2"/>
  <c r="I8" i="2"/>
  <c r="I30" i="2"/>
  <c r="I31" i="2"/>
  <c r="I12" i="2"/>
  <c r="I33" i="2"/>
  <c r="L7" i="2"/>
  <c r="L9" i="2"/>
  <c r="I16" i="2"/>
  <c r="I36" i="2"/>
  <c r="I28" i="2"/>
  <c r="I9" i="2"/>
  <c r="I10" i="2"/>
  <c r="I11" i="2"/>
  <c r="L5" i="2"/>
  <c r="I13" i="2"/>
  <c r="I14" i="2"/>
  <c r="L10" i="2"/>
  <c r="I17" i="2"/>
  <c r="I3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<sst xmlns="http://schemas.openxmlformats.org/spreadsheetml/2006/main" count="1333" uniqueCount="159">
  <si>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</si>
  <si>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</si>
  <si>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</si>
  <si>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</si>
  <si>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</si>
  <si>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</si>
  <si>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</si>
  <si>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</si>
  <si>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</si>
  <si>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</si>
  <si>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</si>
  <si>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EZN1P</t>
  </si>
  <si>
    <t>TUTI</t>
  </si>
  <si>
    <t>DEUP</t>
  </si>
  <si>
    <t>EZ40P</t>
  </si>
  <si>
    <t>EUADP</t>
  </si>
  <si>
    <t>TIND</t>
  </si>
  <si>
    <t>DAPPT</t>
  </si>
  <si>
    <t>DASPT</t>
  </si>
  <si>
    <t>EESF</t>
  </si>
  <si>
    <t>UTEL</t>
  </si>
  <si>
    <t>TELEP</t>
  </si>
  <si>
    <t>DEZP</t>
  </si>
  <si>
    <t>GICP</t>
  </si>
  <si>
    <t>CLEW</t>
  </si>
  <si>
    <t>EHNI</t>
  </si>
  <si>
    <t>CSTA</t>
  </si>
  <si>
    <t>JPCLE</t>
  </si>
  <si>
    <t>ELTFP</t>
  </si>
  <si>
    <t>INFRP</t>
  </si>
  <si>
    <t>EUKPT</t>
  </si>
  <si>
    <t>EUSPT</t>
  </si>
  <si>
    <t>ETSEP</t>
  </si>
  <si>
    <t>USCLA</t>
  </si>
  <si>
    <t>UTEC</t>
  </si>
  <si>
    <t>FRECP</t>
  </si>
  <si>
    <t>EDWPT</t>
  </si>
  <si>
    <t>EEMSC</t>
  </si>
  <si>
    <t>EUREP</t>
  </si>
  <si>
    <t>BE1P</t>
  </si>
  <si>
    <t>EZ15P</t>
  </si>
  <si>
    <t>EUMS</t>
  </si>
  <si>
    <t>EEBRP</t>
  </si>
  <si>
    <t>SBF80</t>
  </si>
  <si>
    <t>WCAMP</t>
  </si>
  <si>
    <t>ERI5P</t>
  </si>
  <si>
    <t>DAREP</t>
  </si>
  <si>
    <t>DPAP</t>
  </si>
  <si>
    <t>EIAPR</t>
  </si>
  <si>
    <t>DAPPR</t>
  </si>
  <si>
    <t>UENR</t>
  </si>
  <si>
    <t>ESVEP</t>
  </si>
  <si>
    <t>EEFAP</t>
  </si>
  <si>
    <t>UHEC</t>
  </si>
  <si>
    <t>ETPFB</t>
  </si>
  <si>
    <t>EDEFP</t>
  </si>
  <si>
    <t>EEUS</t>
  </si>
  <si>
    <t>FRD4P</t>
  </si>
  <si>
    <t>BASM</t>
  </si>
  <si>
    <t>ENRGP</t>
  </si>
  <si>
    <t>ECHPT</t>
  </si>
  <si>
    <t>TECHP</t>
  </si>
  <si>
    <t>FRI4P</t>
  </si>
  <si>
    <t>FRN4P</t>
  </si>
  <si>
    <t>TENR</t>
  </si>
  <si>
    <t>UIND</t>
  </si>
  <si>
    <t>DNAPT</t>
  </si>
  <si>
    <t>UC3PE</t>
  </si>
  <si>
    <t>GSFBP</t>
  </si>
  <si>
    <t>TCAMP</t>
  </si>
  <si>
    <t>FCLSP</t>
  </si>
  <si>
    <t>EEDF</t>
  </si>
  <si>
    <t>EWSL</t>
  </si>
  <si>
    <t>DASP</t>
  </si>
  <si>
    <t>EJPP</t>
  </si>
  <si>
    <t>CDIS</t>
  </si>
  <si>
    <t>C6RIP</t>
  </si>
  <si>
    <t>DEREP</t>
  </si>
  <si>
    <t>EFMEP</t>
  </si>
  <si>
    <t>EZ60P</t>
  </si>
  <si>
    <t>DEZPT</t>
  </si>
  <si>
    <t>UFIN</t>
  </si>
  <si>
    <t>CLAMP</t>
  </si>
  <si>
    <t>EUKP</t>
  </si>
  <si>
    <t>EJPPT</t>
  </si>
  <si>
    <t>EZMS</t>
  </si>
  <si>
    <t>EESL</t>
  </si>
  <si>
    <t>EZSL</t>
  </si>
  <si>
    <t>THEC</t>
  </si>
  <si>
    <t>JPCLA</t>
  </si>
  <si>
    <t>EEUU</t>
  </si>
  <si>
    <t>TCST</t>
  </si>
  <si>
    <t>ELUXP</t>
  </si>
  <si>
    <t>HEAC</t>
  </si>
  <si>
    <t>USCLE</t>
  </si>
  <si>
    <t>ES2PR</t>
  </si>
  <si>
    <t>TCDI</t>
  </si>
  <si>
    <t>FINA</t>
  </si>
  <si>
    <t>UCDI</t>
  </si>
  <si>
    <t>DPAPT</t>
  </si>
  <si>
    <t>EES2</t>
  </si>
  <si>
    <t>EUS5P</t>
  </si>
  <si>
    <t>EUSP</t>
  </si>
  <si>
    <t>EEOG</t>
  </si>
  <si>
    <t>EECP</t>
  </si>
  <si>
    <t>CANPT</t>
  </si>
  <si>
    <t>EUSL</t>
  </si>
  <si>
    <t>UTIL</t>
  </si>
  <si>
    <t>DEUPT</t>
  </si>
  <si>
    <t>EWMS</t>
  </si>
  <si>
    <t>TBMA</t>
  </si>
  <si>
    <t>ECHP</t>
  </si>
  <si>
    <t>TTEL</t>
  </si>
  <si>
    <t>WIFRP</t>
  </si>
  <si>
    <t>TFINP</t>
  </si>
  <si>
    <t>FR20P</t>
  </si>
  <si>
    <t>UCST</t>
  </si>
  <si>
    <t>DWREP</t>
  </si>
  <si>
    <t>DNAP</t>
  </si>
  <si>
    <t>TTEC</t>
  </si>
  <si>
    <t>EZCLA</t>
  </si>
  <si>
    <t>CANP</t>
  </si>
  <si>
    <t>USC3P</t>
  </si>
  <si>
    <t>EEAPP</t>
  </si>
  <si>
    <t>UUTI</t>
  </si>
  <si>
    <t>UBMA</t>
  </si>
  <si>
    <t>CACEW</t>
  </si>
  <si>
    <t>EDWP</t>
  </si>
  <si>
    <t>GSCSP</t>
  </si>
  <si>
    <t>INDU</t>
  </si>
  <si>
    <t>AEXEW</t>
  </si>
  <si>
    <t>F4RIP</t>
  </si>
  <si>
    <t>BNEW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</si>
  <si>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</si>
  <si>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</si>
  <si>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</si>
  <si>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</si>
  <si>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</si>
  <si>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</si>
  <si>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</si>
  <si>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</si>
  <si>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</si>
  <si>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</si>
  <si>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</si>
  <si>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</si>
  <si>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</si>
  <si>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US0959241060</t>
  </si>
  <si>
    <t>US0441861046</t>
  </si>
  <si>
    <t>US45073V1089</t>
  </si>
  <si>
    <t>US05370A1088</t>
  </si>
  <si>
    <t>US05329W1027</t>
  </si>
  <si>
    <t>JP3266000003</t>
  </si>
  <si>
    <t>JP3449100001</t>
  </si>
  <si>
    <t>JP3595070008</t>
  </si>
  <si>
    <t>SG1T22929874</t>
  </si>
  <si>
    <t>SE0021148160</t>
  </si>
  <si>
    <t>JP3383270000</t>
  </si>
  <si>
    <t>JP3146200005</t>
  </si>
  <si>
    <t>AU0000066086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</si>
</sst>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2" fillId="5" borderId="0" xfId="1"/>
  </cellXfs>
  <cellStyles count="2">
    <cellStyle name="Good" xfId="1" builtinId="26"/>
    <cellStyle name="Normal" xfId="0" builtinId="0"/>
  </cellStyles>
  <dxfs count="1">
    <dxf>
      <fill>
        <patternFill patternType="solid">
          <fgColor rgb="FFC6EFCE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lanning\coprate%20actions%20for%20december%20(version%202).xlsx" TargetMode="External"/><Relationship Id="rId1" Type="http://schemas.openxmlformats.org/officeDocument/2006/relationships/externalLinkPath" Target="file:///V:\PM-Indices-IndexOperations\Review%20Files\202512\Planning\coprate%20actions%20for%20december%20(version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F2" t="str">
            <v>US88688T1007</v>
          </cell>
          <cell r="H2" t="str">
            <v>Reversed Stock split: 1 for 10 shares, ISIN Change US88688T1007 &gt; US88688T2096</v>
          </cell>
        </row>
        <row r="3">
          <cell r="F3" t="str">
            <v>FR0000035305</v>
          </cell>
          <cell r="H3" t="str">
            <v>From 1 to 2 and new ISIN FR0014014ZV8</v>
          </cell>
        </row>
        <row r="4">
          <cell r="F4" t="str">
            <v>FR0011884378</v>
          </cell>
          <cell r="H4" t="str">
            <v>1 new for 150 Old and isin change  FR0014013HG9</v>
          </cell>
        </row>
        <row r="5">
          <cell r="F5" t="str">
            <v>IL0010823123</v>
          </cell>
          <cell r="H5" t="str">
            <v>Shareholder meeting 14:00, merger agreement with Matrix IT</v>
          </cell>
        </row>
        <row r="6">
          <cell r="F6" t="str">
            <v>JP3879400004</v>
          </cell>
          <cell r="H6" t="str">
            <v>Check results: Offer period ext to 4-12 / Offer price increased to 2520 Yen. Push to next day in agneda if no results</v>
          </cell>
        </row>
        <row r="7">
          <cell r="F7" t="str">
            <v>NO0005638858</v>
          </cell>
          <cell r="H7" t="str">
            <v>Thon Gruppen offers NOK 335/sh</v>
          </cell>
        </row>
        <row r="8">
          <cell r="F8" t="str">
            <v>FI0009010854</v>
          </cell>
          <cell r="H8" t="str">
            <v>Check EGM ( 04/12 at 4pm) for spin off approval and details</v>
          </cell>
        </row>
        <row r="9">
          <cell r="F9" t="str">
            <v>AU000000PDI8</v>
          </cell>
          <cell r="H9" t="str">
            <v>end of offer matching period, check press release</v>
          </cell>
        </row>
        <row r="10">
          <cell r="F10" t="str">
            <v>IE0002424939</v>
          </cell>
          <cell r="H10" t="str">
            <v>Tender offer on own shares, subject to EGM approval on 11-12-25</v>
          </cell>
        </row>
        <row r="11">
          <cell r="F11" t="str">
            <v>NL0011606264</v>
          </cell>
          <cell r="H11" t="str">
            <v>Offer by Genmab USD 97.00, EOP 11 Dec end day</v>
          </cell>
        </row>
        <row r="12">
          <cell r="F12" t="str">
            <v>US69924R1086</v>
          </cell>
          <cell r="H12" t="str">
            <v>Offer by Rithm Capital. Expected ex date by BBG, check results.</v>
          </cell>
        </row>
        <row r="13">
          <cell r="F13" t="str">
            <v>US4103451021</v>
          </cell>
          <cell r="H13" t="str">
            <v>Offer by Gildan: 0.102 Gildan + USD 0.80 per 1 Hanesbrands, treat as share offer: DONE</v>
          </cell>
        </row>
        <row r="14">
          <cell r="F14" t="str">
            <v>US4606901001</v>
          </cell>
          <cell r="H14" t="str">
            <v>Share offer by Omnicom effective: 0.344 Omnicom per IPG</v>
          </cell>
        </row>
        <row r="15">
          <cell r="F15" t="str">
            <v>JP3448400006</v>
          </cell>
          <cell r="H15" t="str">
            <v>EOP extended to 21 Nov / Cash 2919 JPY</v>
          </cell>
        </row>
        <row r="16">
          <cell r="F16" t="str">
            <v>FR0004175099</v>
          </cell>
          <cell r="H16" t="str">
            <v>Delisting</v>
          </cell>
        </row>
        <row r="17">
          <cell r="F17" t="str">
            <v>JP3889200006</v>
          </cell>
          <cell r="H17" t="str">
            <v>Takeover by INFRONEER holdings -- decision meeting 18/11</v>
          </cell>
        </row>
        <row r="18">
          <cell r="F18" t="str">
            <v>JP3889200006</v>
          </cell>
          <cell r="H18" t="str">
            <v>Delisting following cash offer (80.61%), remove from indices</v>
          </cell>
        </row>
        <row r="19">
          <cell r="F19" t="str">
            <v>KYG236271055</v>
          </cell>
          <cell r="H19" t="str">
            <v>Taken over by ADES international Holdings - Remove</v>
          </cell>
        </row>
        <row r="20">
          <cell r="F20" t="str">
            <v>GB00BNDRMJ14</v>
          </cell>
          <cell r="H20" t="str">
            <v>Removal following scheme offer by Qualcomm USD 2.48 per share</v>
          </cell>
        </row>
        <row r="21">
          <cell r="F21" t="str">
            <v>CH0012410517</v>
          </cell>
          <cell r="H21" t="str">
            <v>Merger with Helvetia + Change name: Helvetia Baloise Holding AG</v>
          </cell>
        </row>
        <row r="22">
          <cell r="F22" t="str">
            <v>IT0005676140</v>
          </cell>
          <cell r="H22" t="str">
            <v>IPO 20 Nov, add to ALASI (one day too late)</v>
          </cell>
        </row>
        <row r="23">
          <cell r="F23" t="str">
            <v>JP3244850008</v>
          </cell>
          <cell r="H23" t="str">
            <v>Delisting according to Bloomberg</v>
          </cell>
        </row>
        <row r="24">
          <cell r="F24" t="str">
            <v>JP3274280001</v>
          </cell>
          <cell r="H24" t="str">
            <v>delisting as part of the business integration between TSURUHA HOLDINGS INC. and WELCIA HOLDINGS</v>
          </cell>
        </row>
        <row r="25">
          <cell r="F25" t="str">
            <v>DE000A40KY26</v>
          </cell>
          <cell r="H25" t="str">
            <v>Removal following outcome of cash offer by XRG</v>
          </cell>
        </row>
        <row r="26">
          <cell r="F26" t="str">
            <v>DE0005220909</v>
          </cell>
          <cell r="H26" t="str">
            <v>Removal - Missed initially -&gt; Delisting date 26/11 (See email Ken)</v>
          </cell>
        </row>
        <row r="27">
          <cell r="F27" t="str">
            <v>US92343X1000</v>
          </cell>
          <cell r="H27" t="str">
            <v>takeover by Thoma Bravo</v>
          </cell>
        </row>
        <row r="28">
          <cell r="F28" t="str">
            <v>JP3630400004</v>
          </cell>
          <cell r="H28" t="str">
            <v>delisting ex-date 02/12 (Delisting confirmed by JPX see email). Remove after the close of two business days prior to ex-date.</v>
          </cell>
        </row>
        <row r="29">
          <cell r="F29" t="str">
            <v>IT0005325912</v>
          </cell>
          <cell r="H29" t="str">
            <v>Delisting</v>
          </cell>
        </row>
        <row r="30">
          <cell r="F30" t="str">
            <v>IT0005678104</v>
          </cell>
          <cell r="H30" t="str">
            <v>IPO 1 Dec, add to ALASI</v>
          </cell>
        </row>
        <row r="31">
          <cell r="F31" t="str">
            <v>NO0013384651</v>
          </cell>
          <cell r="H31" t="str">
            <v>Delisting following liquidation</v>
          </cell>
        </row>
        <row r="32">
          <cell r="F32" t="str">
            <v>IT0005680373</v>
          </cell>
          <cell r="H32" t="str">
            <v>IPO, add to ALASI</v>
          </cell>
        </row>
        <row r="33">
          <cell r="F33" t="str">
            <v>GB00BL9ZF303</v>
          </cell>
          <cell r="H33" t="str">
            <v>cancellation of admission on LSE</v>
          </cell>
        </row>
        <row r="34">
          <cell r="F34" t="str">
            <v>JP3545240008</v>
          </cell>
          <cell r="H34" t="str">
            <v>Delisting</v>
          </cell>
        </row>
        <row r="35">
          <cell r="F35" t="str">
            <v>US74051N1028</v>
          </cell>
          <cell r="H35" t="str">
            <v xml:space="preserve">Expected offer close 25, check results/ closing conditions </v>
          </cell>
        </row>
        <row r="36">
          <cell r="F36" t="str">
            <v>GB0003308607</v>
          </cell>
          <cell r="H36" t="str">
            <v>Removal following cash takeover by KKR</v>
          </cell>
        </row>
        <row r="37">
          <cell r="F37" t="str">
            <v>JP3609800002</v>
          </cell>
          <cell r="H37" t="str">
            <v>Remove following offer by Taisei and delisting</v>
          </cell>
        </row>
        <row r="38">
          <cell r="F38" t="str">
            <v>CH0033361673</v>
          </cell>
          <cell r="H38" t="str">
            <v>Removal following cash offer by Advent EUR 135.00</v>
          </cell>
        </row>
        <row r="39">
          <cell r="F39" t="str">
            <v>JP3277550004</v>
          </cell>
          <cell r="H39" t="str">
            <v>Delisting following share consolidation</v>
          </cell>
        </row>
        <row r="40">
          <cell r="F40" t="str">
            <v>FR0012532810</v>
          </cell>
          <cell r="H40" t="str">
            <v>EOP 14/11 tender offer from BOX BIDCO EUR21.55 per share</v>
          </cell>
        </row>
        <row r="41">
          <cell r="F41" t="str">
            <v>US8485741099</v>
          </cell>
          <cell r="H41" t="str">
            <v>Remove following takeover</v>
          </cell>
        </row>
        <row r="42">
          <cell r="F42" t="str">
            <v>US74346Y1038</v>
          </cell>
          <cell r="H42" t="str">
            <v>Removal following delisting (Dummy only)</v>
          </cell>
        </row>
        <row r="43">
          <cell r="F43" t="str">
            <v>US00973Y1082</v>
          </cell>
          <cell r="H43" t="str">
            <v>Removal following the aquisition by NOVO NORDISK 54 USD/share  ( already suspende, see email)</v>
          </cell>
        </row>
        <row r="44">
          <cell r="F44" t="str">
            <v>US88337F1057</v>
          </cell>
          <cell r="H44" t="str">
            <v>Removal following delisting (Dummy only)</v>
          </cell>
        </row>
        <row r="45">
          <cell r="F45" t="str">
            <v>US4878361082</v>
          </cell>
          <cell r="H45" t="str">
            <v>Removal following acquisition by Mars</v>
          </cell>
        </row>
        <row r="46">
          <cell r="F46" t="str">
            <v>ES0116920333</v>
          </cell>
          <cell r="H46" t="str">
            <v>Removal following acquisition by Inocsa</v>
          </cell>
        </row>
        <row r="47">
          <cell r="F47" t="str">
            <v>NO0010763550</v>
          </cell>
          <cell r="H47" t="str">
            <v>Remove from index delisting 15-12</v>
          </cell>
        </row>
        <row r="48">
          <cell r="F48" t="str">
            <v>US5168062058</v>
          </cell>
          <cell r="H48" t="str">
            <v>DELISTING</v>
          </cell>
        </row>
        <row r="49">
          <cell r="F49" t="str">
            <v>US0185223007</v>
          </cell>
          <cell r="H49" t="str">
            <v>removal following acquisition - expected close dec 15th wait for confirmation</v>
          </cell>
        </row>
        <row r="50">
          <cell r="F50" t="str">
            <v>IT0005434615</v>
          </cell>
          <cell r="H50" t="str">
            <v>delisting following squeeze out</v>
          </cell>
        </row>
        <row r="51">
          <cell r="F51" t="str">
            <v>AU0000427775</v>
          </cell>
          <cell r="H51" t="str">
            <v>Change back to original ticker and ISIN : VAU and AU0000355588</v>
          </cell>
        </row>
        <row r="52">
          <cell r="F52" t="str">
            <v>GB00BQHP5P93</v>
          </cell>
          <cell r="H52" t="str">
            <v>Change of listing from LSE to NYSE by way of scheme. Keeping LSE listing until next review. New ISIN US25520W1071</v>
          </cell>
        </row>
        <row r="53">
          <cell r="F53" t="str">
            <v>US88688T2096</v>
          </cell>
          <cell r="H53" t="str">
            <v>Update ISIN from US88688T1007 to US88688T2096 (done)</v>
          </cell>
        </row>
        <row r="54">
          <cell r="F54" t="str">
            <v>DE0007257503</v>
          </cell>
          <cell r="H54" t="str">
            <v>End of additional offer period 27-11 2400 (70.9% already offered + 25.35% in hands of Convergenta) - WAITING FOR PERMANENT LINE (currently on tendered)</v>
          </cell>
        </row>
        <row r="55">
          <cell r="F55" t="str">
            <v>US9311421039</v>
          </cell>
          <cell r="H55" t="str">
            <v>Moves listing from NYSE to Nasdaq</v>
          </cell>
        </row>
        <row r="56">
          <cell r="F56" t="str">
            <v>US31188V1008</v>
          </cell>
          <cell r="H56" t="str">
            <v>Change of listing from NYSE to NASDAQ, ticker remains "FSLY"</v>
          </cell>
        </row>
        <row r="57">
          <cell r="F57" t="str">
            <v>GB00BFZ4N465</v>
          </cell>
          <cell r="H57" t="str">
            <v>REDOMICILIATION: ISIN CHANGE TO BMG2717C1064 NYSE</v>
          </cell>
        </row>
        <row r="58">
          <cell r="F58" t="str">
            <v>AU000000VG15</v>
          </cell>
          <cell r="H58" t="str">
            <v>Name change to Regal Partners Global Investments Ltd + RIC change</v>
          </cell>
        </row>
        <row r="59">
          <cell r="F59" t="str">
            <v>FR0000120669</v>
          </cell>
          <cell r="H59" t="str">
            <v>Name change into North Atlantic Energies</v>
          </cell>
        </row>
        <row r="60">
          <cell r="F60" t="str">
            <v>AU000000PLS0</v>
          </cell>
          <cell r="H60" t="str">
            <v>New name: PLS Group</v>
          </cell>
        </row>
        <row r="61">
          <cell r="F61" t="str">
            <v>AU000000LTR4</v>
          </cell>
          <cell r="H61" t="str">
            <v>PROCESS 4/12: Name change to LIONTOWN LIMITED</v>
          </cell>
        </row>
        <row r="62">
          <cell r="F62" t="str">
            <v>US30233G2093</v>
          </cell>
          <cell r="H62" t="str">
            <v>Name change to EYEPOINT INC (DUMMY ONLY)</v>
          </cell>
        </row>
        <row r="63">
          <cell r="F63" t="str">
            <v>DK0010311471</v>
          </cell>
          <cell r="H63" t="str">
            <v>NAME+RIC change following merger, change to ‘AL SYDBANK’ ‘ALSYDB.CO’</v>
          </cell>
        </row>
        <row r="64">
          <cell r="F64" t="str">
            <v>IT0005451213</v>
          </cell>
          <cell r="H64" t="str">
            <v>New name Helyx Industries Spa</v>
          </cell>
        </row>
        <row r="65">
          <cell r="F65" t="str">
            <v>SE0000201253</v>
          </cell>
          <cell r="H65" t="str">
            <v>New name Siljansvik AB</v>
          </cell>
        </row>
        <row r="66">
          <cell r="F66" t="str">
            <v>IT0005621070</v>
          </cell>
          <cell r="H66" t="str">
            <v>55 new @ 1.65 for every 337 held</v>
          </cell>
        </row>
        <row r="67">
          <cell r="F67" t="str">
            <v>FR0014001PM5</v>
          </cell>
          <cell r="H67" t="str">
            <v>4 new at 1.9 EUR for 13 old</v>
          </cell>
        </row>
        <row r="68">
          <cell r="F68" t="str">
            <v>FR0010221234</v>
          </cell>
          <cell r="H68" t="str">
            <v>8 new at 1.35 EUR for 11 old</v>
          </cell>
        </row>
        <row r="69">
          <cell r="F69" t="str">
            <v>DE000A2G8ZX8</v>
          </cell>
          <cell r="H69" t="str">
            <v>1 new @ EUR 27.50 for every 5 held, convert EUR to NOK</v>
          </cell>
        </row>
        <row r="70">
          <cell r="F70" t="str">
            <v>SE0021148160</v>
          </cell>
          <cell r="H70" t="str">
            <v>ONLY IN DUMMY: Right Issue: 3 per 5 for SEK 9.5</v>
          </cell>
        </row>
        <row r="71">
          <cell r="F71" t="str">
            <v>CY0200751713</v>
          </cell>
          <cell r="H71" t="str">
            <v xml:space="preserve">1 for 8 @17.4 + EICCf before publish </v>
          </cell>
        </row>
        <row r="72">
          <cell r="F72" t="str">
            <v>BE0970191947</v>
          </cell>
          <cell r="H72" t="str">
            <v>1 new share for 7 existing rights at EUR 10.5 TO BE CONFIRMED</v>
          </cell>
        </row>
        <row r="73">
          <cell r="F73" t="str">
            <v>AU0000066086</v>
          </cell>
          <cell r="H73" t="str">
            <v>rights issue 1 new per 1.128 vulcan shares held, at sub price of 4 AUD</v>
          </cell>
        </row>
        <row r="74">
          <cell r="F74" t="str">
            <v>SE0017486103</v>
          </cell>
          <cell r="H74" t="str">
            <v xml:space="preserve">Rights issue @3.5 NOK subs price </v>
          </cell>
        </row>
        <row r="75">
          <cell r="F75" t="str">
            <v>SG1T22929874</v>
          </cell>
          <cell r="H75" t="str">
            <v>23 per 100 - Pls confirm ex-date before processing</v>
          </cell>
        </row>
        <row r="76">
          <cell r="F76" t="str">
            <v>IL0001260111</v>
          </cell>
          <cell r="H76" t="str">
            <v>spin off of ORION COMMERCIAL PROPERTIES (IL0012327503) 0.1208932 Orion shares for each G City share held</v>
          </cell>
        </row>
        <row r="77">
          <cell r="F77" t="str">
            <v>SE0023615885</v>
          </cell>
          <cell r="H77" t="str">
            <v>Coffee Stain Group</v>
          </cell>
        </row>
        <row r="78">
          <cell r="H78" t="str">
            <v>First day of trading</v>
          </cell>
        </row>
        <row r="79">
          <cell r="F79" t="str">
            <v>US30190A1043</v>
          </cell>
          <cell r="H79" t="str">
            <v>Dividend in kind issued to FNF shareholders: 6 F&amp;G shares for every 100 FNF shares held (treat as Spin off)</v>
          </cell>
        </row>
        <row r="80">
          <cell r="F80" t="str">
            <v>GB00B10RZP78</v>
          </cell>
          <cell r="H80" t="str">
            <v>Magnum (package needs to be create in GIS for this CA)</v>
          </cell>
        </row>
        <row r="81">
          <cell r="F81" t="str">
            <v>KYG9430L1077</v>
          </cell>
          <cell r="H81" t="str">
            <v>4 new shares for 1 old share + RIC change to temporary ticker 2979.HK (See email)</v>
          </cell>
        </row>
        <row r="82">
          <cell r="F82" t="str">
            <v>JP3595070008</v>
          </cell>
          <cell r="H82" t="str">
            <v xml:space="preserve">2 new shares for 1 old </v>
          </cell>
        </row>
        <row r="83">
          <cell r="F83" t="str">
            <v>JP3266000003</v>
          </cell>
          <cell r="H83" t="str">
            <v>STOCK SPLIT 3 NEW FOR 1 OLD</v>
          </cell>
        </row>
        <row r="84">
          <cell r="F84" t="str">
            <v>JP3383270000</v>
          </cell>
          <cell r="H84" t="str">
            <v>4 FOR 1 STOCK SPLIT</v>
          </cell>
        </row>
        <row r="85">
          <cell r="F85" t="str">
            <v>JP3436120004</v>
          </cell>
          <cell r="H85" t="str">
            <v>2 New for 1 old</v>
          </cell>
        </row>
        <row r="86">
          <cell r="F86" t="str">
            <v>JP3146200005</v>
          </cell>
          <cell r="H86" t="str">
            <v>2 new for 1 old</v>
          </cell>
        </row>
        <row r="87">
          <cell r="F87" t="str">
            <v>JP3449100001</v>
          </cell>
          <cell r="H87" t="str">
            <v>Stock split 2 new for 1 old</v>
          </cell>
        </row>
        <row r="88">
          <cell r="F88" t="str">
            <v>US81762P1021</v>
          </cell>
          <cell r="H88" t="str">
            <v>from 1 to 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opLeftCell="A105" workbookViewId="0">
      <selection activeCell="C139" sqref="C139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135</v>
      </c>
      <c r="C2" s="2" t="s">
        <v>135</v>
      </c>
      <c r="D2">
        <v>100</v>
      </c>
      <c r="E2">
        <v>100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 x14ac:dyDescent="0.25">
      <c r="A3" t="s">
        <v>12</v>
      </c>
      <c r="B3" s="2" t="s">
        <v>135</v>
      </c>
      <c r="C3" s="2" t="s">
        <v>135</v>
      </c>
      <c r="D3">
        <v>57</v>
      </c>
      <c r="E3">
        <v>57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 x14ac:dyDescent="0.25">
      <c r="A4" t="s">
        <v>13</v>
      </c>
      <c r="B4" s="2" t="s">
        <v>135</v>
      </c>
      <c r="C4" s="2" t="s">
        <v>135</v>
      </c>
      <c r="D4">
        <v>422</v>
      </c>
      <c r="E4">
        <v>422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 x14ac:dyDescent="0.25">
      <c r="A5" t="s">
        <v>14</v>
      </c>
      <c r="B5" s="2" t="s">
        <v>135</v>
      </c>
      <c r="C5" s="2" t="s">
        <v>135</v>
      </c>
      <c r="D5">
        <v>40</v>
      </c>
      <c r="E5">
        <v>40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 x14ac:dyDescent="0.25">
      <c r="A6" t="s">
        <v>15</v>
      </c>
      <c r="B6" s="2" t="s">
        <v>135</v>
      </c>
      <c r="C6" s="2" t="s">
        <v>135</v>
      </c>
      <c r="D6">
        <v>14</v>
      </c>
      <c r="E6">
        <v>14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 x14ac:dyDescent="0.25">
      <c r="A7" t="s">
        <v>16</v>
      </c>
      <c r="B7" s="2" t="s">
        <v>135</v>
      </c>
      <c r="C7" s="2" t="s">
        <v>135</v>
      </c>
      <c r="D7">
        <v>194</v>
      </c>
      <c r="E7">
        <v>194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 x14ac:dyDescent="0.25">
      <c r="A8" t="s">
        <v>17</v>
      </c>
      <c r="B8" s="2" t="s">
        <v>135</v>
      </c>
      <c r="C8" s="2" t="s">
        <v>135</v>
      </c>
      <c r="D8">
        <v>1893</v>
      </c>
      <c r="E8">
        <v>1893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 x14ac:dyDescent="0.25">
      <c r="A9" t="s">
        <v>18</v>
      </c>
      <c r="B9" s="2" t="s">
        <v>135</v>
      </c>
      <c r="C9" s="2" t="s">
        <v>135</v>
      </c>
      <c r="D9">
        <v>1534</v>
      </c>
      <c r="E9">
        <v>1534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 x14ac:dyDescent="0.25">
      <c r="A10" t="s">
        <v>19</v>
      </c>
      <c r="B10" s="2" t="s">
        <v>135</v>
      </c>
      <c r="C10" s="2" t="s">
        <v>135</v>
      </c>
      <c r="D10">
        <v>20</v>
      </c>
      <c r="E10">
        <v>20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 x14ac:dyDescent="0.25">
      <c r="A11" t="s">
        <v>20</v>
      </c>
      <c r="B11" s="2" t="s">
        <v>135</v>
      </c>
      <c r="C11" s="2" t="s">
        <v>135</v>
      </c>
      <c r="D11">
        <v>9</v>
      </c>
      <c r="E11">
        <v>9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 x14ac:dyDescent="0.25">
      <c r="A12" t="s">
        <v>21</v>
      </c>
      <c r="B12" s="2" t="s">
        <v>135</v>
      </c>
      <c r="C12" s="2" t="s">
        <v>135</v>
      </c>
      <c r="D12">
        <v>10</v>
      </c>
      <c r="E12">
        <v>10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 x14ac:dyDescent="0.25">
      <c r="A13" t="s">
        <v>22</v>
      </c>
      <c r="B13" s="2" t="s">
        <v>135</v>
      </c>
      <c r="C13" s="2" t="s">
        <v>135</v>
      </c>
      <c r="D13">
        <v>174</v>
      </c>
      <c r="E13">
        <v>174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1" x14ac:dyDescent="0.25">
      <c r="A14" t="s">
        <v>23</v>
      </c>
      <c r="B14" s="2" t="s">
        <v>135</v>
      </c>
      <c r="C14" s="2" t="s">
        <v>135</v>
      </c>
      <c r="D14">
        <v>30</v>
      </c>
      <c r="E14">
        <v>30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 x14ac:dyDescent="0.25">
      <c r="A15" t="s">
        <v>24</v>
      </c>
      <c r="B15" s="2" t="s">
        <v>135</v>
      </c>
      <c r="C15" s="2" t="s">
        <v>135</v>
      </c>
      <c r="D15">
        <v>60</v>
      </c>
      <c r="E15">
        <v>60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 x14ac:dyDescent="0.25">
      <c r="A16" t="s">
        <v>25</v>
      </c>
      <c r="B16" s="2" t="s">
        <v>135</v>
      </c>
      <c r="C16" s="2" t="s">
        <v>135</v>
      </c>
      <c r="D16">
        <v>20</v>
      </c>
      <c r="E16">
        <v>20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 x14ac:dyDescent="0.25">
      <c r="A17" t="s">
        <v>26</v>
      </c>
      <c r="B17" s="2" t="s">
        <v>135</v>
      </c>
      <c r="C17" s="2" t="s">
        <v>135</v>
      </c>
      <c r="D17">
        <v>16</v>
      </c>
      <c r="E17">
        <v>16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 x14ac:dyDescent="0.25">
      <c r="A18" t="s">
        <v>27</v>
      </c>
      <c r="B18" s="2" t="s">
        <v>135</v>
      </c>
      <c r="C18" s="2" t="s">
        <v>135</v>
      </c>
      <c r="D18">
        <v>30</v>
      </c>
      <c r="E18">
        <v>30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 x14ac:dyDescent="0.25">
      <c r="A19" t="s">
        <v>28</v>
      </c>
      <c r="B19" s="2" t="s">
        <v>135</v>
      </c>
      <c r="C19" s="2" t="s">
        <v>135</v>
      </c>
      <c r="D19">
        <v>10</v>
      </c>
      <c r="E19">
        <v>10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 x14ac:dyDescent="0.25">
      <c r="A20" t="s">
        <v>29</v>
      </c>
      <c r="B20" s="2" t="s">
        <v>135</v>
      </c>
      <c r="C20" s="2" t="s">
        <v>135</v>
      </c>
      <c r="D20">
        <v>40</v>
      </c>
      <c r="E20">
        <v>40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 x14ac:dyDescent="0.25">
      <c r="A21" t="s">
        <v>30</v>
      </c>
      <c r="B21" s="2" t="s">
        <v>135</v>
      </c>
      <c r="C21" s="2" t="s">
        <v>135</v>
      </c>
      <c r="D21">
        <v>267</v>
      </c>
      <c r="E21">
        <v>267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 x14ac:dyDescent="0.25">
      <c r="A22" t="s">
        <v>31</v>
      </c>
      <c r="B22" s="2" t="s">
        <v>135</v>
      </c>
      <c r="C22" s="2" t="s">
        <v>135</v>
      </c>
      <c r="D22">
        <v>1399</v>
      </c>
      <c r="E22">
        <v>1399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 x14ac:dyDescent="0.25">
      <c r="A23" t="s">
        <v>32</v>
      </c>
      <c r="B23" s="2" t="s">
        <v>135</v>
      </c>
      <c r="C23" s="2" t="s">
        <v>135</v>
      </c>
      <c r="D23">
        <v>10</v>
      </c>
      <c r="E23">
        <v>10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 x14ac:dyDescent="0.25">
      <c r="A24" t="s">
        <v>33</v>
      </c>
      <c r="B24" s="2" t="s">
        <v>135</v>
      </c>
      <c r="C24" s="2" t="s">
        <v>135</v>
      </c>
      <c r="D24">
        <v>25</v>
      </c>
      <c r="E24">
        <v>25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 x14ac:dyDescent="0.25">
      <c r="A25" t="s">
        <v>34</v>
      </c>
      <c r="B25" s="2" t="s">
        <v>135</v>
      </c>
      <c r="C25" s="2" t="s">
        <v>135</v>
      </c>
      <c r="D25">
        <v>78</v>
      </c>
      <c r="E25">
        <v>78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 x14ac:dyDescent="0.25">
      <c r="A26" t="s">
        <v>35</v>
      </c>
      <c r="B26" s="2" t="s">
        <v>135</v>
      </c>
      <c r="C26" s="2" t="s">
        <v>135</v>
      </c>
      <c r="D26">
        <v>20</v>
      </c>
      <c r="E26">
        <v>20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 x14ac:dyDescent="0.25">
      <c r="A27" t="s">
        <v>36</v>
      </c>
      <c r="B27" s="2" t="s">
        <v>135</v>
      </c>
      <c r="C27" s="2" t="s">
        <v>135</v>
      </c>
      <c r="D27">
        <v>5317</v>
      </c>
      <c r="E27">
        <v>5317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 x14ac:dyDescent="0.25">
      <c r="A28" t="s">
        <v>37</v>
      </c>
      <c r="B28" s="2" t="s">
        <v>135</v>
      </c>
      <c r="C28" s="2" t="s">
        <v>135</v>
      </c>
      <c r="D28">
        <v>1097</v>
      </c>
      <c r="E28">
        <v>1097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 x14ac:dyDescent="0.25">
      <c r="A29" t="s">
        <v>38</v>
      </c>
      <c r="B29" s="2" t="s">
        <v>135</v>
      </c>
      <c r="C29" s="2" t="s">
        <v>135</v>
      </c>
      <c r="D29">
        <v>89</v>
      </c>
      <c r="E29">
        <v>89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 x14ac:dyDescent="0.25">
      <c r="A30" t="s">
        <v>39</v>
      </c>
      <c r="B30" s="2" t="s">
        <v>135</v>
      </c>
      <c r="C30" s="2" t="s">
        <v>135</v>
      </c>
      <c r="D30">
        <v>10</v>
      </c>
      <c r="E30">
        <v>10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 x14ac:dyDescent="0.25">
      <c r="A31" t="s">
        <v>40</v>
      </c>
      <c r="B31" s="2" t="s">
        <v>135</v>
      </c>
      <c r="C31" s="2" t="s">
        <v>135</v>
      </c>
      <c r="D31">
        <v>150</v>
      </c>
      <c r="E31">
        <v>150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 x14ac:dyDescent="0.25">
      <c r="A32" t="s">
        <v>41</v>
      </c>
      <c r="B32" s="2" t="s">
        <v>135</v>
      </c>
      <c r="C32" s="2" t="s">
        <v>135</v>
      </c>
      <c r="D32">
        <v>1269</v>
      </c>
      <c r="E32">
        <v>1269</v>
      </c>
      <c r="F32" s="2" t="s">
        <v>135</v>
      </c>
      <c r="G32" s="4" t="s">
        <v>136</v>
      </c>
      <c r="H32" s="2" t="s">
        <v>135</v>
      </c>
      <c r="I32" s="2" t="s">
        <v>135</v>
      </c>
      <c r="J32" s="2" t="s">
        <v>135</v>
      </c>
      <c r="K32" s="5" t="s">
        <v>134</v>
      </c>
    </row>
    <row r="33" spans="1:11" x14ac:dyDescent="0.25">
      <c r="A33" t="s">
        <v>42</v>
      </c>
      <c r="B33" s="2" t="s">
        <v>135</v>
      </c>
      <c r="C33" s="2" t="s">
        <v>135</v>
      </c>
      <c r="D33">
        <v>16</v>
      </c>
      <c r="E33">
        <v>16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x14ac:dyDescent="0.25">
      <c r="A34" t="s">
        <v>43</v>
      </c>
      <c r="B34" s="2" t="s">
        <v>135</v>
      </c>
      <c r="C34" s="2" t="s">
        <v>135</v>
      </c>
      <c r="D34">
        <v>80</v>
      </c>
      <c r="E34">
        <v>80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x14ac:dyDescent="0.25">
      <c r="A35" t="s">
        <v>44</v>
      </c>
      <c r="B35" s="2" t="s">
        <v>135</v>
      </c>
      <c r="C35" s="2" t="s">
        <v>135</v>
      </c>
      <c r="D35">
        <v>3</v>
      </c>
      <c r="E35">
        <v>3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x14ac:dyDescent="0.25">
      <c r="A36" t="s">
        <v>45</v>
      </c>
      <c r="B36" s="2" t="s">
        <v>135</v>
      </c>
      <c r="C36" s="2" t="s">
        <v>135</v>
      </c>
      <c r="D36">
        <v>50</v>
      </c>
      <c r="E36">
        <v>50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179</v>
      </c>
      <c r="E37">
        <v>179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 x14ac:dyDescent="0.25">
      <c r="A38" t="s">
        <v>47</v>
      </c>
      <c r="B38" s="2" t="s">
        <v>135</v>
      </c>
      <c r="C38" s="2" t="s">
        <v>135</v>
      </c>
      <c r="D38">
        <v>102</v>
      </c>
      <c r="E38">
        <v>102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x14ac:dyDescent="0.25">
      <c r="A39" t="s">
        <v>48</v>
      </c>
      <c r="B39" s="2" t="s">
        <v>135</v>
      </c>
      <c r="C39" s="2" t="s">
        <v>135</v>
      </c>
      <c r="D39">
        <v>20</v>
      </c>
      <c r="E39">
        <v>20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x14ac:dyDescent="0.25">
      <c r="A40" t="s">
        <v>49</v>
      </c>
      <c r="B40" s="2" t="s">
        <v>135</v>
      </c>
      <c r="C40" s="2" t="s">
        <v>135</v>
      </c>
      <c r="D40">
        <v>491</v>
      </c>
      <c r="E40">
        <v>491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x14ac:dyDescent="0.25">
      <c r="A41" t="s">
        <v>50</v>
      </c>
      <c r="B41" s="2" t="s">
        <v>135</v>
      </c>
      <c r="C41" s="2" t="s">
        <v>135</v>
      </c>
      <c r="D41">
        <v>27</v>
      </c>
      <c r="E41">
        <v>27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x14ac:dyDescent="0.25">
      <c r="A42" t="s">
        <v>51</v>
      </c>
      <c r="B42" s="2" t="s">
        <v>135</v>
      </c>
      <c r="C42" s="2" t="s">
        <v>135</v>
      </c>
      <c r="D42">
        <v>20</v>
      </c>
      <c r="E42">
        <v>20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 x14ac:dyDescent="0.25">
      <c r="A43" t="s">
        <v>52</v>
      </c>
      <c r="B43" s="2" t="s">
        <v>135</v>
      </c>
      <c r="C43" s="2" t="s">
        <v>135</v>
      </c>
      <c r="D43">
        <v>10</v>
      </c>
      <c r="E43">
        <v>10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x14ac:dyDescent="0.25">
      <c r="A44" t="s">
        <v>53</v>
      </c>
      <c r="B44" s="2" t="s">
        <v>135</v>
      </c>
      <c r="C44" s="2" t="s">
        <v>135</v>
      </c>
      <c r="D44">
        <v>48</v>
      </c>
      <c r="E44">
        <v>48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 x14ac:dyDescent="0.25">
      <c r="A45" t="s">
        <v>54</v>
      </c>
      <c r="B45" s="2" t="s">
        <v>135</v>
      </c>
      <c r="C45" s="2" t="s">
        <v>135</v>
      </c>
      <c r="D45">
        <v>10</v>
      </c>
      <c r="E45">
        <v>10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x14ac:dyDescent="0.25">
      <c r="A46" t="s">
        <v>55</v>
      </c>
      <c r="B46" s="2" t="s">
        <v>135</v>
      </c>
      <c r="C46" s="2" t="s">
        <v>135</v>
      </c>
      <c r="D46">
        <v>10</v>
      </c>
      <c r="E46">
        <v>10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 x14ac:dyDescent="0.25">
      <c r="A47" t="s">
        <v>56</v>
      </c>
      <c r="B47" s="2" t="s">
        <v>135</v>
      </c>
      <c r="C47" s="2" t="s">
        <v>135</v>
      </c>
      <c r="D47">
        <v>6</v>
      </c>
      <c r="E47">
        <v>6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 x14ac:dyDescent="0.25">
      <c r="A48" t="s">
        <v>57</v>
      </c>
      <c r="B48" s="2" t="s">
        <v>135</v>
      </c>
      <c r="C48" s="2" t="s">
        <v>135</v>
      </c>
      <c r="D48">
        <v>40</v>
      </c>
      <c r="E48">
        <v>40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 x14ac:dyDescent="0.25">
      <c r="A49" t="s">
        <v>58</v>
      </c>
      <c r="B49" s="2" t="s">
        <v>135</v>
      </c>
      <c r="C49" s="2" t="s">
        <v>135</v>
      </c>
      <c r="D49">
        <v>17</v>
      </c>
      <c r="E49">
        <v>17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 x14ac:dyDescent="0.25">
      <c r="A50" t="s">
        <v>59</v>
      </c>
      <c r="B50" s="2" t="s">
        <v>135</v>
      </c>
      <c r="C50" s="2" t="s">
        <v>135</v>
      </c>
      <c r="D50">
        <v>17</v>
      </c>
      <c r="E50">
        <v>17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 x14ac:dyDescent="0.25">
      <c r="A51" t="s">
        <v>60</v>
      </c>
      <c r="B51" s="2" t="s">
        <v>135</v>
      </c>
      <c r="C51" s="2" t="s">
        <v>135</v>
      </c>
      <c r="D51">
        <v>76</v>
      </c>
      <c r="E51">
        <v>76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 x14ac:dyDescent="0.25">
      <c r="A52" t="s">
        <v>61</v>
      </c>
      <c r="B52" s="2" t="s">
        <v>135</v>
      </c>
      <c r="C52" s="2" t="s">
        <v>135</v>
      </c>
      <c r="D52">
        <v>16</v>
      </c>
      <c r="E52">
        <v>16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 x14ac:dyDescent="0.25">
      <c r="A53" t="s">
        <v>62</v>
      </c>
      <c r="B53" s="2" t="s">
        <v>135</v>
      </c>
      <c r="C53" s="2" t="s">
        <v>135</v>
      </c>
      <c r="D53">
        <v>40</v>
      </c>
      <c r="E53">
        <v>40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 x14ac:dyDescent="0.25">
      <c r="A54" t="s">
        <v>63</v>
      </c>
      <c r="B54" s="2" t="s">
        <v>135</v>
      </c>
      <c r="C54" s="2" t="s">
        <v>135</v>
      </c>
      <c r="D54">
        <v>40</v>
      </c>
      <c r="E54">
        <v>40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 x14ac:dyDescent="0.25">
      <c r="A55" t="s">
        <v>64</v>
      </c>
      <c r="B55" s="2" t="s">
        <v>135</v>
      </c>
      <c r="C55" s="2" t="s">
        <v>135</v>
      </c>
      <c r="D55">
        <v>48</v>
      </c>
      <c r="E55">
        <v>48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 x14ac:dyDescent="0.25">
      <c r="A56" t="s">
        <v>65</v>
      </c>
      <c r="B56" s="2" t="s">
        <v>135</v>
      </c>
      <c r="C56" s="2" t="s">
        <v>135</v>
      </c>
      <c r="D56">
        <v>85</v>
      </c>
      <c r="E56">
        <v>85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 x14ac:dyDescent="0.25">
      <c r="A57" t="s">
        <v>66</v>
      </c>
      <c r="B57" s="2" t="s">
        <v>135</v>
      </c>
      <c r="C57" s="2" t="s">
        <v>135</v>
      </c>
      <c r="D57">
        <v>1668</v>
      </c>
      <c r="E57">
        <v>1668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 x14ac:dyDescent="0.25">
      <c r="A58" t="s">
        <v>67</v>
      </c>
      <c r="B58" s="2" t="s">
        <v>135</v>
      </c>
      <c r="C58" s="2" t="s">
        <v>135</v>
      </c>
      <c r="D58">
        <v>35</v>
      </c>
      <c r="E58">
        <v>35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 x14ac:dyDescent="0.25">
      <c r="A59" t="s">
        <v>68</v>
      </c>
      <c r="B59" s="2" t="s">
        <v>135</v>
      </c>
      <c r="C59" s="2" t="s">
        <v>135</v>
      </c>
      <c r="D59">
        <v>10</v>
      </c>
      <c r="E59">
        <v>10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 x14ac:dyDescent="0.25">
      <c r="A60" t="s">
        <v>69</v>
      </c>
      <c r="B60" s="2" t="s">
        <v>135</v>
      </c>
      <c r="C60" s="2" t="s">
        <v>135</v>
      </c>
      <c r="D60">
        <v>2</v>
      </c>
      <c r="E60">
        <v>2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 x14ac:dyDescent="0.25">
      <c r="A61" t="s">
        <v>70</v>
      </c>
      <c r="B61" s="2" t="s">
        <v>135</v>
      </c>
      <c r="C61" s="2" t="s">
        <v>135</v>
      </c>
      <c r="D61">
        <v>60</v>
      </c>
      <c r="E61">
        <v>60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 x14ac:dyDescent="0.25">
      <c r="A62" t="s">
        <v>71</v>
      </c>
      <c r="B62" s="2" t="s">
        <v>135</v>
      </c>
      <c r="C62" s="2" t="s">
        <v>135</v>
      </c>
      <c r="D62">
        <v>10</v>
      </c>
      <c r="E62">
        <v>10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 x14ac:dyDescent="0.25">
      <c r="A63" t="s">
        <v>72</v>
      </c>
      <c r="B63" s="2" t="s">
        <v>135</v>
      </c>
      <c r="C63" s="2" t="s">
        <v>135</v>
      </c>
      <c r="D63">
        <v>4079</v>
      </c>
      <c r="E63">
        <v>4079</v>
      </c>
      <c r="F63" s="2" t="s">
        <v>135</v>
      </c>
      <c r="G63" s="4" t="s">
        <v>136</v>
      </c>
      <c r="H63" s="2" t="s">
        <v>135</v>
      </c>
      <c r="I63" s="2" t="s">
        <v>135</v>
      </c>
      <c r="J63" s="2" t="s">
        <v>135</v>
      </c>
      <c r="K63" s="5" t="s">
        <v>134</v>
      </c>
    </row>
    <row r="64" spans="1:11" x14ac:dyDescent="0.25">
      <c r="A64" t="s">
        <v>73</v>
      </c>
      <c r="B64" s="2" t="s">
        <v>135</v>
      </c>
      <c r="C64" s="2" t="s">
        <v>135</v>
      </c>
      <c r="D64">
        <v>386</v>
      </c>
      <c r="E64">
        <v>386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 x14ac:dyDescent="0.25">
      <c r="A65" t="s">
        <v>74</v>
      </c>
      <c r="B65" s="2" t="s">
        <v>135</v>
      </c>
      <c r="C65" s="2" t="s">
        <v>135</v>
      </c>
      <c r="D65">
        <v>325</v>
      </c>
      <c r="E65">
        <v>325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 x14ac:dyDescent="0.25">
      <c r="A66" t="s">
        <v>75</v>
      </c>
      <c r="B66" s="2" t="s">
        <v>135</v>
      </c>
      <c r="C66" s="2" t="s">
        <v>135</v>
      </c>
      <c r="D66">
        <v>37</v>
      </c>
      <c r="E66">
        <v>37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 x14ac:dyDescent="0.25">
      <c r="A67" t="s">
        <v>76</v>
      </c>
      <c r="B67" s="2" t="s">
        <v>135</v>
      </c>
      <c r="C67" s="2" t="s">
        <v>135</v>
      </c>
      <c r="D67">
        <v>60</v>
      </c>
      <c r="E67">
        <v>60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 x14ac:dyDescent="0.25">
      <c r="A68" t="s">
        <v>77</v>
      </c>
      <c r="B68" s="2" t="s">
        <v>135</v>
      </c>
      <c r="C68" s="2" t="s">
        <v>135</v>
      </c>
      <c r="D68">
        <v>91</v>
      </c>
      <c r="E68">
        <v>91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 x14ac:dyDescent="0.25">
      <c r="A69" t="s">
        <v>78</v>
      </c>
      <c r="B69" s="2" t="s">
        <v>135</v>
      </c>
      <c r="C69" s="2" t="s">
        <v>135</v>
      </c>
      <c r="D69">
        <v>50</v>
      </c>
      <c r="E69">
        <v>50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 x14ac:dyDescent="0.25">
      <c r="A70" t="s">
        <v>79</v>
      </c>
      <c r="B70" s="2" t="s">
        <v>135</v>
      </c>
      <c r="C70" s="2" t="s">
        <v>135</v>
      </c>
      <c r="D70">
        <v>60</v>
      </c>
      <c r="E70">
        <v>60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 x14ac:dyDescent="0.25">
      <c r="A71" t="s">
        <v>80</v>
      </c>
      <c r="B71" s="2" t="s">
        <v>135</v>
      </c>
      <c r="C71" s="2" t="s">
        <v>135</v>
      </c>
      <c r="D71">
        <v>502</v>
      </c>
      <c r="E71">
        <v>502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 x14ac:dyDescent="0.25">
      <c r="A72" t="s">
        <v>81</v>
      </c>
      <c r="B72" s="2" t="s">
        <v>135</v>
      </c>
      <c r="C72" s="2" t="s">
        <v>135</v>
      </c>
      <c r="D72">
        <v>61</v>
      </c>
      <c r="E72">
        <v>61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 x14ac:dyDescent="0.25">
      <c r="A73" t="s">
        <v>82</v>
      </c>
      <c r="B73" s="2" t="s">
        <v>135</v>
      </c>
      <c r="C73" s="2" t="s">
        <v>135</v>
      </c>
      <c r="D73">
        <v>40</v>
      </c>
      <c r="E73">
        <v>40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 x14ac:dyDescent="0.25">
      <c r="A74" t="s">
        <v>83</v>
      </c>
      <c r="B74" s="2" t="s">
        <v>135</v>
      </c>
      <c r="C74" s="2" t="s">
        <v>135</v>
      </c>
      <c r="D74">
        <v>73</v>
      </c>
      <c r="E74">
        <v>73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 x14ac:dyDescent="0.25">
      <c r="A75" t="s">
        <v>84</v>
      </c>
      <c r="B75" s="2" t="s">
        <v>135</v>
      </c>
      <c r="C75" s="2" t="s">
        <v>135</v>
      </c>
      <c r="D75">
        <v>1348</v>
      </c>
      <c r="E75">
        <v>1348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 x14ac:dyDescent="0.25">
      <c r="A76" t="s">
        <v>85</v>
      </c>
      <c r="B76" s="2" t="s">
        <v>135</v>
      </c>
      <c r="C76" s="2" t="s">
        <v>135</v>
      </c>
      <c r="D76">
        <v>431</v>
      </c>
      <c r="E76">
        <v>431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 x14ac:dyDescent="0.25">
      <c r="A77" t="s">
        <v>86</v>
      </c>
      <c r="B77" s="2" t="s">
        <v>135</v>
      </c>
      <c r="C77" s="2" t="s">
        <v>135</v>
      </c>
      <c r="D77">
        <v>920</v>
      </c>
      <c r="E77">
        <v>920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 x14ac:dyDescent="0.25">
      <c r="A78" t="s">
        <v>87</v>
      </c>
      <c r="B78" s="2" t="s">
        <v>135</v>
      </c>
      <c r="C78" s="2" t="s">
        <v>135</v>
      </c>
      <c r="D78">
        <v>360</v>
      </c>
      <c r="E78">
        <v>360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 x14ac:dyDescent="0.25">
      <c r="A79" t="s">
        <v>88</v>
      </c>
      <c r="B79" s="2" t="s">
        <v>135</v>
      </c>
      <c r="C79" s="2" t="s">
        <v>135</v>
      </c>
      <c r="D79">
        <v>91</v>
      </c>
      <c r="E79">
        <v>91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 x14ac:dyDescent="0.25">
      <c r="A80" t="s">
        <v>89</v>
      </c>
      <c r="B80" s="2" t="s">
        <v>135</v>
      </c>
      <c r="C80" s="2" t="s">
        <v>135</v>
      </c>
      <c r="D80">
        <v>30</v>
      </c>
      <c r="E80">
        <v>30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x14ac:dyDescent="0.25">
      <c r="A81" t="s">
        <v>90</v>
      </c>
      <c r="B81" s="2" t="s">
        <v>135</v>
      </c>
      <c r="C81" s="2" t="s">
        <v>135</v>
      </c>
      <c r="D81">
        <v>21</v>
      </c>
      <c r="E81">
        <v>21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 x14ac:dyDescent="0.25">
      <c r="A82" t="s">
        <v>91</v>
      </c>
      <c r="B82" s="2" t="s">
        <v>135</v>
      </c>
      <c r="C82" s="2" t="s">
        <v>135</v>
      </c>
      <c r="D82">
        <v>62</v>
      </c>
      <c r="E82">
        <v>62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x14ac:dyDescent="0.25">
      <c r="A83" t="s">
        <v>92</v>
      </c>
      <c r="B83" s="2" t="s">
        <v>135</v>
      </c>
      <c r="C83" s="2" t="s">
        <v>135</v>
      </c>
      <c r="D83">
        <v>15</v>
      </c>
      <c r="E83">
        <v>15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x14ac:dyDescent="0.25">
      <c r="A84" t="s">
        <v>93</v>
      </c>
      <c r="B84" s="2" t="s">
        <v>135</v>
      </c>
      <c r="C84" s="2" t="s">
        <v>135</v>
      </c>
      <c r="D84">
        <v>21</v>
      </c>
      <c r="E84">
        <v>21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x14ac:dyDescent="0.25">
      <c r="A85" t="s">
        <v>94</v>
      </c>
      <c r="B85" s="2" t="s">
        <v>135</v>
      </c>
      <c r="C85" s="2" t="s">
        <v>135</v>
      </c>
      <c r="D85">
        <v>25</v>
      </c>
      <c r="E85">
        <v>25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20</v>
      </c>
      <c r="E86">
        <v>20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124</v>
      </c>
      <c r="E87">
        <v>124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 x14ac:dyDescent="0.25">
      <c r="A88" t="s">
        <v>97</v>
      </c>
      <c r="B88" s="2" t="s">
        <v>135</v>
      </c>
      <c r="C88" s="2" t="s">
        <v>135</v>
      </c>
      <c r="D88">
        <v>54</v>
      </c>
      <c r="E88">
        <v>54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 x14ac:dyDescent="0.25">
      <c r="A89" t="s">
        <v>98</v>
      </c>
      <c r="B89" s="2" t="s">
        <v>135</v>
      </c>
      <c r="C89" s="2" t="s">
        <v>135</v>
      </c>
      <c r="D89">
        <v>64</v>
      </c>
      <c r="E89">
        <v>64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 x14ac:dyDescent="0.25">
      <c r="A90" t="s">
        <v>99</v>
      </c>
      <c r="B90" s="2" t="s">
        <v>135</v>
      </c>
      <c r="C90" s="2" t="s">
        <v>135</v>
      </c>
      <c r="D90">
        <v>351</v>
      </c>
      <c r="E90">
        <v>351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x14ac:dyDescent="0.25">
      <c r="A91" t="s">
        <v>100</v>
      </c>
      <c r="B91" s="2" t="s">
        <v>135</v>
      </c>
      <c r="C91" s="2" t="s">
        <v>135</v>
      </c>
      <c r="D91">
        <v>20</v>
      </c>
      <c r="E91">
        <v>20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 x14ac:dyDescent="0.25">
      <c r="A92" t="s">
        <v>101</v>
      </c>
      <c r="B92" s="2" t="s">
        <v>135</v>
      </c>
      <c r="C92" s="2" t="s">
        <v>135</v>
      </c>
      <c r="D92">
        <v>50</v>
      </c>
      <c r="E92">
        <v>50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x14ac:dyDescent="0.25">
      <c r="A93" t="s">
        <v>102</v>
      </c>
      <c r="B93" s="2" t="s">
        <v>135</v>
      </c>
      <c r="C93" s="2" t="s">
        <v>135</v>
      </c>
      <c r="D93">
        <v>351</v>
      </c>
      <c r="E93">
        <v>351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x14ac:dyDescent="0.25">
      <c r="A94" t="s">
        <v>103</v>
      </c>
      <c r="B94" s="2" t="s">
        <v>135</v>
      </c>
      <c r="C94" s="2" t="s">
        <v>135</v>
      </c>
      <c r="D94">
        <v>15</v>
      </c>
      <c r="E94">
        <v>15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x14ac:dyDescent="0.25">
      <c r="A95" t="s">
        <v>104</v>
      </c>
      <c r="B95" s="2" t="s">
        <v>135</v>
      </c>
      <c r="C95" s="2" t="s">
        <v>135</v>
      </c>
      <c r="D95">
        <v>12</v>
      </c>
      <c r="E95">
        <v>12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x14ac:dyDescent="0.25">
      <c r="A96" t="s">
        <v>105</v>
      </c>
      <c r="B96" s="2" t="s">
        <v>135</v>
      </c>
      <c r="C96" s="2" t="s">
        <v>135</v>
      </c>
      <c r="D96">
        <v>223</v>
      </c>
      <c r="E96">
        <v>223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x14ac:dyDescent="0.25">
      <c r="A97" t="s">
        <v>106</v>
      </c>
      <c r="B97" s="2" t="s">
        <v>135</v>
      </c>
      <c r="C97" s="2" t="s">
        <v>135</v>
      </c>
      <c r="D97">
        <v>1069</v>
      </c>
      <c r="E97">
        <v>1069</v>
      </c>
      <c r="F97" s="2" t="s">
        <v>135</v>
      </c>
      <c r="G97" s="4" t="s">
        <v>136</v>
      </c>
      <c r="H97" s="2" t="s">
        <v>135</v>
      </c>
      <c r="I97" s="2" t="s">
        <v>135</v>
      </c>
      <c r="J97" s="2" t="s">
        <v>135</v>
      </c>
      <c r="K97" s="5" t="s">
        <v>134</v>
      </c>
    </row>
    <row r="98" spans="1:11" x14ac:dyDescent="0.25">
      <c r="A98" t="s">
        <v>107</v>
      </c>
      <c r="B98" s="2" t="s">
        <v>135</v>
      </c>
      <c r="C98" s="2" t="s">
        <v>135</v>
      </c>
      <c r="D98">
        <v>18</v>
      </c>
      <c r="E98">
        <v>18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 x14ac:dyDescent="0.25">
      <c r="A99" t="s">
        <v>108</v>
      </c>
      <c r="B99" s="2" t="s">
        <v>135</v>
      </c>
      <c r="C99" s="2" t="s">
        <v>135</v>
      </c>
      <c r="D99">
        <v>1260</v>
      </c>
      <c r="E99">
        <v>1260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x14ac:dyDescent="0.25">
      <c r="A100" t="s">
        <v>109</v>
      </c>
      <c r="B100" s="2" t="s">
        <v>135</v>
      </c>
      <c r="C100" s="2" t="s">
        <v>135</v>
      </c>
      <c r="D100">
        <v>4779</v>
      </c>
      <c r="E100">
        <v>4779</v>
      </c>
      <c r="F100" s="2" t="s">
        <v>135</v>
      </c>
      <c r="G100" s="4" t="s">
        <v>136</v>
      </c>
      <c r="H100" s="2" t="s">
        <v>135</v>
      </c>
      <c r="I100" s="2" t="s">
        <v>135</v>
      </c>
      <c r="J100" s="2" t="s">
        <v>135</v>
      </c>
      <c r="K100" s="5" t="s">
        <v>134</v>
      </c>
    </row>
    <row r="101" spans="1:11" x14ac:dyDescent="0.25">
      <c r="A101" t="s">
        <v>110</v>
      </c>
      <c r="B101" s="2" t="s">
        <v>135</v>
      </c>
      <c r="C101" s="2" t="s">
        <v>135</v>
      </c>
      <c r="D101">
        <v>40</v>
      </c>
      <c r="E101">
        <v>40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x14ac:dyDescent="0.25">
      <c r="A102" t="s">
        <v>111</v>
      </c>
      <c r="B102" s="2" t="s">
        <v>135</v>
      </c>
      <c r="C102" s="2" t="s">
        <v>135</v>
      </c>
      <c r="D102">
        <v>24</v>
      </c>
      <c r="E102">
        <v>24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 x14ac:dyDescent="0.25">
      <c r="A103" t="s">
        <v>112</v>
      </c>
      <c r="B103" s="2" t="s">
        <v>135</v>
      </c>
      <c r="C103" s="2" t="s">
        <v>135</v>
      </c>
      <c r="D103">
        <v>26</v>
      </c>
      <c r="E103">
        <v>26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x14ac:dyDescent="0.25">
      <c r="A104" t="s">
        <v>113</v>
      </c>
      <c r="B104" s="2" t="s">
        <v>135</v>
      </c>
      <c r="C104" s="2" t="s">
        <v>135</v>
      </c>
      <c r="D104">
        <v>40</v>
      </c>
      <c r="E104">
        <v>40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x14ac:dyDescent="0.25">
      <c r="A105" t="s">
        <v>114</v>
      </c>
      <c r="B105" s="2" t="s">
        <v>135</v>
      </c>
      <c r="C105" s="2" t="s">
        <v>135</v>
      </c>
      <c r="D105">
        <v>157</v>
      </c>
      <c r="E105">
        <v>157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x14ac:dyDescent="0.25">
      <c r="A106" t="s">
        <v>115</v>
      </c>
      <c r="B106" s="2" t="s">
        <v>135</v>
      </c>
      <c r="C106" s="2" t="s">
        <v>135</v>
      </c>
      <c r="D106">
        <v>20</v>
      </c>
      <c r="E106">
        <v>20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x14ac:dyDescent="0.25">
      <c r="A107" t="s">
        <v>116</v>
      </c>
      <c r="B107" s="2" t="s">
        <v>135</v>
      </c>
      <c r="C107" s="2" t="s">
        <v>135</v>
      </c>
      <c r="D107">
        <v>26</v>
      </c>
      <c r="E107">
        <v>26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x14ac:dyDescent="0.25">
      <c r="A108" t="s">
        <v>117</v>
      </c>
      <c r="B108" s="2" t="s">
        <v>135</v>
      </c>
      <c r="C108" s="2" t="s">
        <v>135</v>
      </c>
      <c r="D108">
        <v>393</v>
      </c>
      <c r="E108">
        <v>393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x14ac:dyDescent="0.25">
      <c r="A109" t="s">
        <v>118</v>
      </c>
      <c r="B109" s="2" t="s">
        <v>135</v>
      </c>
      <c r="C109" s="2" t="s">
        <v>135</v>
      </c>
      <c r="D109">
        <v>446</v>
      </c>
      <c r="E109">
        <v>446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99</v>
      </c>
      <c r="E110">
        <v>99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x14ac:dyDescent="0.25">
      <c r="A111" t="s">
        <v>120</v>
      </c>
      <c r="B111" s="2" t="s">
        <v>135</v>
      </c>
      <c r="C111" s="2" t="s">
        <v>135</v>
      </c>
      <c r="D111">
        <v>35</v>
      </c>
      <c r="E111">
        <v>35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x14ac:dyDescent="0.25">
      <c r="A112" t="s">
        <v>121</v>
      </c>
      <c r="B112" s="2" t="s">
        <v>135</v>
      </c>
      <c r="C112" s="2" t="s">
        <v>135</v>
      </c>
      <c r="D112">
        <v>75</v>
      </c>
      <c r="E112">
        <v>75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x14ac:dyDescent="0.25">
      <c r="A113" t="s">
        <v>122</v>
      </c>
      <c r="B113" s="2" t="s">
        <v>135</v>
      </c>
      <c r="C113" s="2" t="s">
        <v>135</v>
      </c>
      <c r="D113">
        <v>35</v>
      </c>
      <c r="E113">
        <v>35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x14ac:dyDescent="0.25">
      <c r="A114" t="s">
        <v>123</v>
      </c>
      <c r="B114" s="2" t="s">
        <v>135</v>
      </c>
      <c r="C114" s="2" t="s">
        <v>135</v>
      </c>
      <c r="D114">
        <v>10</v>
      </c>
      <c r="E114">
        <v>10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x14ac:dyDescent="0.25">
      <c r="A115" t="s">
        <v>124</v>
      </c>
      <c r="B115" s="2" t="s">
        <v>135</v>
      </c>
      <c r="C115" s="2" t="s">
        <v>135</v>
      </c>
      <c r="D115">
        <v>31</v>
      </c>
      <c r="E115">
        <v>31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x14ac:dyDescent="0.25">
      <c r="A116" t="s">
        <v>125</v>
      </c>
      <c r="B116" s="2" t="s">
        <v>135</v>
      </c>
      <c r="C116" s="2" t="s">
        <v>135</v>
      </c>
      <c r="D116">
        <v>11</v>
      </c>
      <c r="E116">
        <v>11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40</v>
      </c>
      <c r="E117">
        <v>40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 x14ac:dyDescent="0.25">
      <c r="A118" t="s">
        <v>127</v>
      </c>
      <c r="B118" s="2" t="s">
        <v>135</v>
      </c>
      <c r="C118" s="2" t="s">
        <v>135</v>
      </c>
      <c r="D118">
        <v>1538</v>
      </c>
      <c r="E118">
        <v>1538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x14ac:dyDescent="0.25">
      <c r="A119" t="s">
        <v>128</v>
      </c>
      <c r="B119" s="2" t="s">
        <v>135</v>
      </c>
      <c r="C119" s="2" t="s">
        <v>135</v>
      </c>
      <c r="D119">
        <v>3</v>
      </c>
      <c r="E119">
        <v>3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x14ac:dyDescent="0.25">
      <c r="A120" t="s">
        <v>129</v>
      </c>
      <c r="B120" s="2" t="s">
        <v>135</v>
      </c>
      <c r="C120" s="2" t="s">
        <v>135</v>
      </c>
      <c r="D120">
        <v>65</v>
      </c>
      <c r="E120">
        <v>65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 x14ac:dyDescent="0.25">
      <c r="A121" t="s">
        <v>130</v>
      </c>
      <c r="B121" s="2" t="s">
        <v>135</v>
      </c>
      <c r="C121" s="2" t="s">
        <v>135</v>
      </c>
      <c r="D121">
        <v>30</v>
      </c>
      <c r="E121">
        <v>30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x14ac:dyDescent="0.25">
      <c r="A122" t="s">
        <v>131</v>
      </c>
      <c r="B122" s="2" t="s">
        <v>135</v>
      </c>
      <c r="C122" s="2" t="s">
        <v>135</v>
      </c>
      <c r="D122">
        <v>40</v>
      </c>
      <c r="E122">
        <v>40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 x14ac:dyDescent="0.25">
      <c r="A123" t="s">
        <v>132</v>
      </c>
      <c r="B123" s="2" t="s">
        <v>135</v>
      </c>
      <c r="C123" s="2" t="s">
        <v>135</v>
      </c>
      <c r="D123">
        <v>40</v>
      </c>
      <c r="E123">
        <v>40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tabSelected="1" topLeftCell="A4" workbookViewId="0">
      <selection activeCell="L14" sqref="L14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  <col min="10" max="10" width="9.28515625" customWidth="1"/>
    <col min="11" max="11" width="14.28515625" bestFit="1" customWidth="1"/>
    <col min="12" max="12" width="62.85546875" bestFit="1" customWidth="1"/>
  </cols>
  <sheetData>
    <row r="1" spans="1:12" ht="30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12" x14ac:dyDescent="0.25">
      <c r="A2" t="s">
        <v>41</v>
      </c>
      <c r="B2" t="s">
        <v>144</v>
      </c>
      <c r="C2" t="s">
        <v>145</v>
      </c>
      <c r="D2" t="s">
        <v>146</v>
      </c>
      <c r="E2">
        <v>468625730</v>
      </c>
      <c r="F2">
        <v>468089400</v>
      </c>
      <c r="G2" t="s">
        <v>144</v>
      </c>
      <c r="H2" t="s">
        <v>144</v>
      </c>
      <c r="I2" t="b">
        <f>ISNUMBER(MATCH(D2,$K$7:$K$14,0))</f>
        <v>0</v>
      </c>
      <c r="K2" t="str" cm="1">
        <f t="array" ref="K2:K14">_xlfn.UNIQUE(D2:D37)</f>
        <v>US0959241060</v>
      </c>
      <c r="L2" t="e">
        <f>_xlfn.XLOOKUP(K2,[1]Sheet1!$F$2:$F$88,[1]Sheet1!$H$2:$H$88)</f>
        <v>#N/A</v>
      </c>
    </row>
    <row r="3" spans="1:12" x14ac:dyDescent="0.25">
      <c r="A3" t="s">
        <v>41</v>
      </c>
      <c r="B3" t="s">
        <v>144</v>
      </c>
      <c r="C3" t="s">
        <v>145</v>
      </c>
      <c r="D3" t="s">
        <v>147</v>
      </c>
      <c r="E3">
        <v>45718113</v>
      </c>
      <c r="F3">
        <v>45762100</v>
      </c>
      <c r="G3" t="s">
        <v>144</v>
      </c>
      <c r="H3" t="s">
        <v>144</v>
      </c>
      <c r="I3" t="b">
        <f t="shared" ref="I3:I37" si="0">ISNUMBER(MATCH(D3,$K$7:$K$14,0))</f>
        <v>0</v>
      </c>
      <c r="K3" t="str">
        <v>US0441861046</v>
      </c>
      <c r="L3" t="e">
        <f>_xlfn.XLOOKUP(K3,[1]Sheet1!$F$2:$F$88,[1]Sheet1!$H$2:$H$88)</f>
        <v>#N/A</v>
      </c>
    </row>
    <row r="4" spans="1:12" x14ac:dyDescent="0.25">
      <c r="A4" t="s">
        <v>41</v>
      </c>
      <c r="B4" t="s">
        <v>144</v>
      </c>
      <c r="C4" t="s">
        <v>145</v>
      </c>
      <c r="D4" t="s">
        <v>148</v>
      </c>
      <c r="E4">
        <v>78000000</v>
      </c>
      <c r="F4">
        <v>77990010</v>
      </c>
      <c r="G4" t="s">
        <v>144</v>
      </c>
      <c r="H4" t="s">
        <v>144</v>
      </c>
      <c r="I4" t="b">
        <f t="shared" si="0"/>
        <v>0</v>
      </c>
      <c r="K4" t="str">
        <v>US45073V1089</v>
      </c>
      <c r="L4" t="e">
        <f>_xlfn.XLOOKUP(K4,[1]Sheet1!$F$2:$F$88,[1]Sheet1!$H$2:$H$88)</f>
        <v>#N/A</v>
      </c>
    </row>
    <row r="5" spans="1:12" x14ac:dyDescent="0.25">
      <c r="A5" t="s">
        <v>41</v>
      </c>
      <c r="B5" t="s">
        <v>144</v>
      </c>
      <c r="C5" t="s">
        <v>145</v>
      </c>
      <c r="D5" t="s">
        <v>149</v>
      </c>
      <c r="E5">
        <v>150675740</v>
      </c>
      <c r="F5">
        <v>150749570</v>
      </c>
      <c r="G5" t="s">
        <v>144</v>
      </c>
      <c r="H5" t="s">
        <v>144</v>
      </c>
      <c r="I5" t="b">
        <f t="shared" si="0"/>
        <v>0</v>
      </c>
      <c r="K5" t="str">
        <v>US05370A1088</v>
      </c>
      <c r="L5" t="e">
        <f>_xlfn.XLOOKUP(K5,[1]Sheet1!$F$2:$F$88,[1]Sheet1!$H$2:$H$88)</f>
        <v>#N/A</v>
      </c>
    </row>
    <row r="6" spans="1:12" x14ac:dyDescent="0.25">
      <c r="A6" t="s">
        <v>41</v>
      </c>
      <c r="B6" t="s">
        <v>144</v>
      </c>
      <c r="C6" t="s">
        <v>145</v>
      </c>
      <c r="D6" t="s">
        <v>150</v>
      </c>
      <c r="E6">
        <v>36472176</v>
      </c>
      <c r="F6">
        <v>36000000</v>
      </c>
      <c r="G6" t="s">
        <v>144</v>
      </c>
      <c r="H6" t="s">
        <v>144</v>
      </c>
      <c r="I6" t="b">
        <f t="shared" si="0"/>
        <v>0</v>
      </c>
      <c r="K6" t="str">
        <v>US05329W1027</v>
      </c>
      <c r="L6" t="e">
        <f>_xlfn.XLOOKUP(K6,[1]Sheet1!$F$2:$F$88,[1]Sheet1!$H$2:$H$88)</f>
        <v>#N/A</v>
      </c>
    </row>
    <row r="7" spans="1:12" x14ac:dyDescent="0.25">
      <c r="A7" t="s">
        <v>72</v>
      </c>
      <c r="B7" t="s">
        <v>144</v>
      </c>
      <c r="C7" t="s">
        <v>145</v>
      </c>
      <c r="D7" s="6" t="s">
        <v>151</v>
      </c>
      <c r="E7">
        <v>18850676</v>
      </c>
      <c r="F7">
        <v>56552028</v>
      </c>
      <c r="G7" t="s">
        <v>144</v>
      </c>
      <c r="H7" t="s">
        <v>144</v>
      </c>
      <c r="I7" t="b">
        <f t="shared" si="0"/>
        <v>1</v>
      </c>
      <c r="K7" t="str">
        <v>JP3266000003</v>
      </c>
      <c r="L7" t="str">
        <f>_xlfn.XLOOKUP(K7,[1]Sheet1!$F$2:$F$88,[1]Sheet1!$H$2:$H$88)</f>
        <v>STOCK SPLIT 3 NEW FOR 1 OLD</v>
      </c>
    </row>
    <row r="8" spans="1:12" x14ac:dyDescent="0.25">
      <c r="A8" t="s">
        <v>72</v>
      </c>
      <c r="B8" t="s">
        <v>144</v>
      </c>
      <c r="C8" t="s">
        <v>145</v>
      </c>
      <c r="D8" s="6" t="s">
        <v>152</v>
      </c>
      <c r="E8">
        <v>58419807</v>
      </c>
      <c r="F8">
        <v>116839614</v>
      </c>
      <c r="G8" t="s">
        <v>144</v>
      </c>
      <c r="H8" t="s">
        <v>144</v>
      </c>
      <c r="I8" t="b">
        <f t="shared" si="0"/>
        <v>1</v>
      </c>
      <c r="K8" t="str">
        <v>JP3449100001</v>
      </c>
      <c r="L8" t="str">
        <f>_xlfn.XLOOKUP(K8,[1]Sheet1!$F$2:$F$88,[1]Sheet1!$H$2:$H$88)</f>
        <v>Stock split 2 new for 1 old</v>
      </c>
    </row>
    <row r="9" spans="1:12" x14ac:dyDescent="0.25">
      <c r="A9" t="s">
        <v>72</v>
      </c>
      <c r="B9" t="s">
        <v>144</v>
      </c>
      <c r="C9" t="s">
        <v>145</v>
      </c>
      <c r="D9" s="6" t="s">
        <v>153</v>
      </c>
      <c r="E9">
        <v>48683800</v>
      </c>
      <c r="F9">
        <v>97367600</v>
      </c>
      <c r="G9" t="s">
        <v>144</v>
      </c>
      <c r="H9" t="s">
        <v>144</v>
      </c>
      <c r="I9" t="b">
        <f t="shared" si="0"/>
        <v>1</v>
      </c>
      <c r="K9" t="str">
        <v>JP3595070008</v>
      </c>
      <c r="L9" t="str">
        <f>_xlfn.XLOOKUP(K9,[1]Sheet1!$F$2:$F$88,[1]Sheet1!$H$2:$H$88)</f>
        <v xml:space="preserve">2 new shares for 1 old </v>
      </c>
    </row>
    <row r="10" spans="1:12" x14ac:dyDescent="0.25">
      <c r="A10" t="s">
        <v>72</v>
      </c>
      <c r="B10" t="s">
        <v>144</v>
      </c>
      <c r="C10" t="s">
        <v>145</v>
      </c>
      <c r="D10" s="6" t="s">
        <v>154</v>
      </c>
      <c r="E10">
        <v>4013866700</v>
      </c>
      <c r="F10">
        <v>4937056041</v>
      </c>
      <c r="G10" t="s">
        <v>144</v>
      </c>
      <c r="H10" t="s">
        <v>144</v>
      </c>
      <c r="I10" t="b">
        <f t="shared" si="0"/>
        <v>1</v>
      </c>
      <c r="K10" t="str">
        <v>SG1T22929874</v>
      </c>
      <c r="L10" t="str">
        <f>_xlfn.XLOOKUP(K10,[1]Sheet1!$F$2:$F$88,[1]Sheet1!$H$2:$H$88)</f>
        <v>23 per 100 - Pls confirm ex-date before processing</v>
      </c>
    </row>
    <row r="11" spans="1:12" x14ac:dyDescent="0.25">
      <c r="A11" t="s">
        <v>72</v>
      </c>
      <c r="B11" t="s">
        <v>144</v>
      </c>
      <c r="C11" t="s">
        <v>145</v>
      </c>
      <c r="D11" t="s">
        <v>146</v>
      </c>
      <c r="E11">
        <v>468625730</v>
      </c>
      <c r="F11">
        <v>468089400</v>
      </c>
      <c r="G11" t="s">
        <v>144</v>
      </c>
      <c r="H11" t="s">
        <v>144</v>
      </c>
      <c r="I11" t="b">
        <f t="shared" si="0"/>
        <v>0</v>
      </c>
      <c r="K11" t="str">
        <v>SE0021148160</v>
      </c>
      <c r="L11" t="str">
        <f>_xlfn.XLOOKUP(K11,[1]Sheet1!$F$2:$F$88,[1]Sheet1!$H$2:$H$88)</f>
        <v>ONLY IN DUMMY: Right Issue: 3 per 5 for SEK 9.5</v>
      </c>
    </row>
    <row r="12" spans="1:12" x14ac:dyDescent="0.25">
      <c r="A12" t="s">
        <v>72</v>
      </c>
      <c r="B12" t="s">
        <v>144</v>
      </c>
      <c r="C12" t="s">
        <v>145</v>
      </c>
      <c r="D12" s="6" t="s">
        <v>155</v>
      </c>
      <c r="E12">
        <v>150201600</v>
      </c>
      <c r="F12">
        <v>240322560</v>
      </c>
      <c r="G12" t="s">
        <v>144</v>
      </c>
      <c r="H12" t="s">
        <v>144</v>
      </c>
      <c r="I12" t="b">
        <f t="shared" si="0"/>
        <v>1</v>
      </c>
      <c r="K12" t="str">
        <v>JP3383270000</v>
      </c>
      <c r="L12" t="str">
        <f>_xlfn.XLOOKUP(K12,[1]Sheet1!$F$2:$F$88,[1]Sheet1!$H$2:$H$88)</f>
        <v>4 FOR 1 STOCK SPLIT</v>
      </c>
    </row>
    <row r="13" spans="1:12" x14ac:dyDescent="0.25">
      <c r="A13" t="s">
        <v>72</v>
      </c>
      <c r="B13" t="s">
        <v>144</v>
      </c>
      <c r="C13" t="s">
        <v>145</v>
      </c>
      <c r="D13" s="6" t="s">
        <v>156</v>
      </c>
      <c r="E13">
        <v>58964127</v>
      </c>
      <c r="F13">
        <v>235856508</v>
      </c>
      <c r="G13" t="s">
        <v>144</v>
      </c>
      <c r="H13" t="s">
        <v>144</v>
      </c>
      <c r="I13" t="b">
        <f t="shared" si="0"/>
        <v>1</v>
      </c>
      <c r="K13" t="str">
        <v>JP3146200005</v>
      </c>
      <c r="L13" t="str">
        <f>_xlfn.XLOOKUP(K13,[1]Sheet1!$F$2:$F$88,[1]Sheet1!$H$2:$H$88)</f>
        <v>2 new for 1 old</v>
      </c>
    </row>
    <row r="14" spans="1:12" x14ac:dyDescent="0.25">
      <c r="A14" t="s">
        <v>72</v>
      </c>
      <c r="B14" t="s">
        <v>144</v>
      </c>
      <c r="C14" t="s">
        <v>145</v>
      </c>
      <c r="D14" t="s">
        <v>147</v>
      </c>
      <c r="E14">
        <v>45718113</v>
      </c>
      <c r="F14">
        <v>45762100</v>
      </c>
      <c r="G14" t="s">
        <v>144</v>
      </c>
      <c r="H14" t="s">
        <v>144</v>
      </c>
      <c r="I14" t="b">
        <f t="shared" si="0"/>
        <v>0</v>
      </c>
      <c r="K14" t="str">
        <v>AU0000066086</v>
      </c>
      <c r="L14" t="str">
        <f>_xlfn.XLOOKUP(K14,[1]Sheet1!$F$2:$F$88,[1]Sheet1!$H$2:$H$88)</f>
        <v>rights issue 1 new per 1.128 vulcan shares held, at sub price of 4 AUD</v>
      </c>
    </row>
    <row r="15" spans="1:12" x14ac:dyDescent="0.25">
      <c r="A15" t="s">
        <v>72</v>
      </c>
      <c r="B15" t="s">
        <v>144</v>
      </c>
      <c r="C15" t="s">
        <v>145</v>
      </c>
      <c r="D15" t="s">
        <v>148</v>
      </c>
      <c r="E15">
        <v>78000000</v>
      </c>
      <c r="F15">
        <v>77990010</v>
      </c>
      <c r="G15" t="s">
        <v>144</v>
      </c>
      <c r="H15" t="s">
        <v>144</v>
      </c>
      <c r="I15" t="b">
        <f t="shared" si="0"/>
        <v>0</v>
      </c>
    </row>
    <row r="16" spans="1:12" x14ac:dyDescent="0.25">
      <c r="A16" t="s">
        <v>72</v>
      </c>
      <c r="B16" t="s">
        <v>144</v>
      </c>
      <c r="C16" t="s">
        <v>145</v>
      </c>
      <c r="D16" t="s">
        <v>149</v>
      </c>
      <c r="E16">
        <v>150675740</v>
      </c>
      <c r="F16">
        <v>150749570</v>
      </c>
      <c r="G16" t="s">
        <v>144</v>
      </c>
      <c r="H16" t="s">
        <v>144</v>
      </c>
      <c r="I16" t="b">
        <f t="shared" si="0"/>
        <v>0</v>
      </c>
    </row>
    <row r="17" spans="1:9" x14ac:dyDescent="0.25">
      <c r="A17" t="s">
        <v>72</v>
      </c>
      <c r="B17" t="s">
        <v>144</v>
      </c>
      <c r="C17" t="s">
        <v>145</v>
      </c>
      <c r="D17" t="s">
        <v>150</v>
      </c>
      <c r="E17">
        <v>36472176</v>
      </c>
      <c r="F17">
        <v>36000000</v>
      </c>
      <c r="G17" t="s">
        <v>144</v>
      </c>
      <c r="H17" t="s">
        <v>144</v>
      </c>
      <c r="I17" t="b">
        <f t="shared" si="0"/>
        <v>0</v>
      </c>
    </row>
    <row r="18" spans="1:9" x14ac:dyDescent="0.25">
      <c r="A18" t="s">
        <v>72</v>
      </c>
      <c r="B18" t="s">
        <v>144</v>
      </c>
      <c r="C18" t="s">
        <v>145</v>
      </c>
      <c r="D18" s="6" t="s">
        <v>157</v>
      </c>
      <c r="E18">
        <v>56829800</v>
      </c>
      <c r="F18">
        <v>113659600</v>
      </c>
      <c r="G18" t="s">
        <v>144</v>
      </c>
      <c r="H18" t="s">
        <v>144</v>
      </c>
      <c r="I18" t="b">
        <f t="shared" si="0"/>
        <v>1</v>
      </c>
    </row>
    <row r="19" spans="1:9" x14ac:dyDescent="0.25">
      <c r="A19" t="s">
        <v>72</v>
      </c>
      <c r="B19" t="s">
        <v>144</v>
      </c>
      <c r="C19" t="s">
        <v>145</v>
      </c>
      <c r="D19" s="6" t="s">
        <v>158</v>
      </c>
      <c r="E19">
        <v>234429180</v>
      </c>
      <c r="F19">
        <v>442256467</v>
      </c>
      <c r="G19" t="s">
        <v>144</v>
      </c>
      <c r="H19" t="s">
        <v>144</v>
      </c>
      <c r="I19" t="b">
        <f t="shared" si="0"/>
        <v>1</v>
      </c>
    </row>
    <row r="20" spans="1:9" x14ac:dyDescent="0.25">
      <c r="A20" t="s">
        <v>106</v>
      </c>
      <c r="B20" t="s">
        <v>144</v>
      </c>
      <c r="C20" t="s">
        <v>145</v>
      </c>
      <c r="D20" t="s">
        <v>149</v>
      </c>
      <c r="E20">
        <v>150675740</v>
      </c>
      <c r="F20">
        <v>150749570</v>
      </c>
      <c r="G20" t="s">
        <v>144</v>
      </c>
      <c r="H20" t="s">
        <v>144</v>
      </c>
      <c r="I20" t="b">
        <f t="shared" si="0"/>
        <v>0</v>
      </c>
    </row>
    <row r="21" spans="1:9" x14ac:dyDescent="0.25">
      <c r="A21" t="s">
        <v>106</v>
      </c>
      <c r="B21" t="s">
        <v>144</v>
      </c>
      <c r="C21" t="s">
        <v>145</v>
      </c>
      <c r="D21" t="s">
        <v>146</v>
      </c>
      <c r="E21">
        <v>468625730</v>
      </c>
      <c r="F21">
        <v>468089400</v>
      </c>
      <c r="G21" t="s">
        <v>144</v>
      </c>
      <c r="H21" t="s">
        <v>144</v>
      </c>
      <c r="I21" t="b">
        <f t="shared" si="0"/>
        <v>0</v>
      </c>
    </row>
    <row r="22" spans="1:9" x14ac:dyDescent="0.25">
      <c r="A22" t="s">
        <v>106</v>
      </c>
      <c r="B22" t="s">
        <v>144</v>
      </c>
      <c r="C22" t="s">
        <v>145</v>
      </c>
      <c r="D22" t="s">
        <v>147</v>
      </c>
      <c r="E22">
        <v>45718113</v>
      </c>
      <c r="F22">
        <v>45762100</v>
      </c>
      <c r="G22" t="s">
        <v>144</v>
      </c>
      <c r="H22" t="s">
        <v>144</v>
      </c>
      <c r="I22" t="b">
        <f t="shared" si="0"/>
        <v>0</v>
      </c>
    </row>
    <row r="23" spans="1:9" x14ac:dyDescent="0.25">
      <c r="A23" t="s">
        <v>106</v>
      </c>
      <c r="B23" t="s">
        <v>144</v>
      </c>
      <c r="C23" t="s">
        <v>145</v>
      </c>
      <c r="D23" t="s">
        <v>150</v>
      </c>
      <c r="E23">
        <v>36472176</v>
      </c>
      <c r="F23">
        <v>36000000</v>
      </c>
      <c r="G23" t="s">
        <v>144</v>
      </c>
      <c r="H23" t="s">
        <v>144</v>
      </c>
      <c r="I23" t="b">
        <f t="shared" si="0"/>
        <v>0</v>
      </c>
    </row>
    <row r="24" spans="1:9" x14ac:dyDescent="0.25">
      <c r="A24" t="s">
        <v>106</v>
      </c>
      <c r="B24" t="s">
        <v>144</v>
      </c>
      <c r="C24" t="s">
        <v>145</v>
      </c>
      <c r="D24" t="s">
        <v>148</v>
      </c>
      <c r="E24">
        <v>78000000</v>
      </c>
      <c r="F24">
        <v>77990010</v>
      </c>
      <c r="G24" t="s">
        <v>144</v>
      </c>
      <c r="H24" t="s">
        <v>144</v>
      </c>
      <c r="I24" t="b">
        <f t="shared" si="0"/>
        <v>0</v>
      </c>
    </row>
    <row r="25" spans="1:9" x14ac:dyDescent="0.25">
      <c r="A25" t="s">
        <v>109</v>
      </c>
      <c r="B25" t="s">
        <v>144</v>
      </c>
      <c r="C25" t="s">
        <v>145</v>
      </c>
      <c r="D25" s="6" t="s">
        <v>151</v>
      </c>
      <c r="E25">
        <v>18850676</v>
      </c>
      <c r="F25">
        <v>56552028</v>
      </c>
      <c r="G25" t="s">
        <v>144</v>
      </c>
      <c r="H25" t="s">
        <v>144</v>
      </c>
      <c r="I25" t="b">
        <f t="shared" si="0"/>
        <v>1</v>
      </c>
    </row>
    <row r="26" spans="1:9" x14ac:dyDescent="0.25">
      <c r="A26" t="s">
        <v>109</v>
      </c>
      <c r="B26" t="s">
        <v>144</v>
      </c>
      <c r="C26" t="s">
        <v>145</v>
      </c>
      <c r="D26" s="6" t="s">
        <v>152</v>
      </c>
      <c r="E26">
        <v>58419807</v>
      </c>
      <c r="F26">
        <v>116839614</v>
      </c>
      <c r="G26" t="s">
        <v>144</v>
      </c>
      <c r="H26" t="s">
        <v>144</v>
      </c>
      <c r="I26" t="b">
        <f t="shared" si="0"/>
        <v>1</v>
      </c>
    </row>
    <row r="27" spans="1:9" x14ac:dyDescent="0.25">
      <c r="A27" t="s">
        <v>109</v>
      </c>
      <c r="B27" t="s">
        <v>144</v>
      </c>
      <c r="C27" t="s">
        <v>145</v>
      </c>
      <c r="D27" s="6" t="s">
        <v>153</v>
      </c>
      <c r="E27">
        <v>48683800</v>
      </c>
      <c r="F27">
        <v>97367600</v>
      </c>
      <c r="G27" t="s">
        <v>144</v>
      </c>
      <c r="H27" t="s">
        <v>144</v>
      </c>
      <c r="I27" t="b">
        <f t="shared" si="0"/>
        <v>1</v>
      </c>
    </row>
    <row r="28" spans="1:9" x14ac:dyDescent="0.25">
      <c r="A28" t="s">
        <v>109</v>
      </c>
      <c r="B28" t="s">
        <v>144</v>
      </c>
      <c r="C28" t="s">
        <v>145</v>
      </c>
      <c r="D28" s="6" t="s">
        <v>154</v>
      </c>
      <c r="E28">
        <v>4013866700</v>
      </c>
      <c r="F28">
        <v>4937056041</v>
      </c>
      <c r="G28" t="s">
        <v>144</v>
      </c>
      <c r="H28" t="s">
        <v>144</v>
      </c>
      <c r="I28" t="b">
        <f t="shared" si="0"/>
        <v>1</v>
      </c>
    </row>
    <row r="29" spans="1:9" x14ac:dyDescent="0.25">
      <c r="A29" t="s">
        <v>109</v>
      </c>
      <c r="B29" t="s">
        <v>144</v>
      </c>
      <c r="C29" t="s">
        <v>145</v>
      </c>
      <c r="D29" t="s">
        <v>146</v>
      </c>
      <c r="E29">
        <v>468625730</v>
      </c>
      <c r="F29">
        <v>468089400</v>
      </c>
      <c r="G29" t="s">
        <v>144</v>
      </c>
      <c r="H29" t="s">
        <v>144</v>
      </c>
      <c r="I29" t="b">
        <f t="shared" si="0"/>
        <v>0</v>
      </c>
    </row>
    <row r="30" spans="1:9" x14ac:dyDescent="0.25">
      <c r="A30" t="s">
        <v>109</v>
      </c>
      <c r="B30" t="s">
        <v>144</v>
      </c>
      <c r="C30" t="s">
        <v>145</v>
      </c>
      <c r="D30" s="6" t="s">
        <v>155</v>
      </c>
      <c r="E30">
        <v>150201600</v>
      </c>
      <c r="F30">
        <v>240322560</v>
      </c>
      <c r="G30" t="s">
        <v>144</v>
      </c>
      <c r="H30" t="s">
        <v>144</v>
      </c>
      <c r="I30" t="b">
        <f t="shared" si="0"/>
        <v>1</v>
      </c>
    </row>
    <row r="31" spans="1:9" x14ac:dyDescent="0.25">
      <c r="A31" t="s">
        <v>109</v>
      </c>
      <c r="B31" t="s">
        <v>144</v>
      </c>
      <c r="C31" t="s">
        <v>145</v>
      </c>
      <c r="D31" s="6" t="s">
        <v>156</v>
      </c>
      <c r="E31">
        <v>58964127</v>
      </c>
      <c r="F31">
        <v>235856508</v>
      </c>
      <c r="G31" t="s">
        <v>144</v>
      </c>
      <c r="H31" t="s">
        <v>144</v>
      </c>
      <c r="I31" t="b">
        <f t="shared" si="0"/>
        <v>1</v>
      </c>
    </row>
    <row r="32" spans="1:9" x14ac:dyDescent="0.25">
      <c r="A32" t="s">
        <v>109</v>
      </c>
      <c r="B32" t="s">
        <v>144</v>
      </c>
      <c r="C32" t="s">
        <v>145</v>
      </c>
      <c r="D32" t="s">
        <v>147</v>
      </c>
      <c r="E32">
        <v>45718113</v>
      </c>
      <c r="F32">
        <v>45762100</v>
      </c>
      <c r="G32" t="s">
        <v>144</v>
      </c>
      <c r="H32" t="s">
        <v>144</v>
      </c>
      <c r="I32" t="b">
        <f t="shared" si="0"/>
        <v>0</v>
      </c>
    </row>
    <row r="33" spans="1:9" x14ac:dyDescent="0.25">
      <c r="A33" t="s">
        <v>109</v>
      </c>
      <c r="B33" t="s">
        <v>144</v>
      </c>
      <c r="C33" t="s">
        <v>145</v>
      </c>
      <c r="D33" t="s">
        <v>148</v>
      </c>
      <c r="E33">
        <v>78000000</v>
      </c>
      <c r="F33">
        <v>77990010</v>
      </c>
      <c r="G33" t="s">
        <v>144</v>
      </c>
      <c r="H33" t="s">
        <v>144</v>
      </c>
      <c r="I33" t="b">
        <f t="shared" si="0"/>
        <v>0</v>
      </c>
    </row>
    <row r="34" spans="1:9" x14ac:dyDescent="0.25">
      <c r="A34" t="s">
        <v>109</v>
      </c>
      <c r="B34" t="s">
        <v>144</v>
      </c>
      <c r="C34" t="s">
        <v>145</v>
      </c>
      <c r="D34" t="s">
        <v>149</v>
      </c>
      <c r="E34">
        <v>150675740</v>
      </c>
      <c r="F34">
        <v>150749570</v>
      </c>
      <c r="G34" t="s">
        <v>144</v>
      </c>
      <c r="H34" t="s">
        <v>144</v>
      </c>
      <c r="I34" t="b">
        <f t="shared" si="0"/>
        <v>0</v>
      </c>
    </row>
    <row r="35" spans="1:9" x14ac:dyDescent="0.25">
      <c r="A35" t="s">
        <v>109</v>
      </c>
      <c r="B35" t="s">
        <v>144</v>
      </c>
      <c r="C35" t="s">
        <v>145</v>
      </c>
      <c r="D35" t="s">
        <v>150</v>
      </c>
      <c r="E35">
        <v>36472176</v>
      </c>
      <c r="F35">
        <v>36000000</v>
      </c>
      <c r="G35" t="s">
        <v>144</v>
      </c>
      <c r="H35" t="s">
        <v>144</v>
      </c>
      <c r="I35" t="b">
        <f t="shared" si="0"/>
        <v>0</v>
      </c>
    </row>
    <row r="36" spans="1:9" x14ac:dyDescent="0.25">
      <c r="A36" t="s">
        <v>109</v>
      </c>
      <c r="B36" t="s">
        <v>144</v>
      </c>
      <c r="C36" t="s">
        <v>145</v>
      </c>
      <c r="D36" s="6" t="s">
        <v>157</v>
      </c>
      <c r="E36">
        <v>56829800</v>
      </c>
      <c r="F36">
        <v>113659600</v>
      </c>
      <c r="G36" t="s">
        <v>144</v>
      </c>
      <c r="H36" t="s">
        <v>144</v>
      </c>
      <c r="I36" t="b">
        <f t="shared" si="0"/>
        <v>1</v>
      </c>
    </row>
    <row r="37" spans="1:9" x14ac:dyDescent="0.25">
      <c r="A37" t="s">
        <v>109</v>
      </c>
      <c r="B37" t="s">
        <v>144</v>
      </c>
      <c r="C37" t="s">
        <v>145</v>
      </c>
      <c r="D37" s="6" t="s">
        <v>158</v>
      </c>
      <c r="E37">
        <v>234429180</v>
      </c>
      <c r="F37">
        <v>442256467</v>
      </c>
      <c r="G37" t="s">
        <v>144</v>
      </c>
      <c r="H37" t="s">
        <v>144</v>
      </c>
      <c r="I37" t="b">
        <f t="shared" si="0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2025-12-17T13:31:18Z</dcterms:created>
  <dcterms:modified xsi:type="dcterms:W3CDTF">2025-12-17T13:38:19Z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2025-12-17T13:32:19Z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64bc8dff-a9a3-45c8-9bb9-514265a1bf3c</vt:lpwstr>
  </property>
  <property fmtid="{D5CDD505-2E9C-101B-9397-08002B2CF9AE}" pid="8" name="MSIP_Label_ac0b9ce6-6e99-42a1-af95-429494370cbc_ContentBits">
    <vt:lpwstr>2</vt:lpwstr>
  </property>
</Properties>
</file>