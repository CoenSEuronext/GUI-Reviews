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8ACCF1E7-45DC-44F2-AAB1-46E8AC9FF70A}" xr6:coauthVersionLast="47" xr6:coauthVersionMax="47" xr10:uidLastSave="{00000000-0000-0000-0000-000000000000}"/>
  <bookViews>
    <workbookView xWindow="-120" yWindow="-120" windowWidth="29040" windowHeight="15720" activeTab="2" xr2:uid="{10D32660-F918-491D-82FC-DE46E661AA4B}"/>
  </bookViews>
  <sheets>
    <sheet name="Eurozone" sheetId="1" r:id="rId1"/>
    <sheet name="Global" sheetId="2" r:id="rId2"/>
    <sheet name="duplicates analysis" sheetId="3" r:id="rId3"/>
  </sheets>
  <definedNames>
    <definedName name="_xlnm._FilterDatabase" localSheetId="2" hidden="1">'duplicates analysis'!$I$4:$N$1556</definedName>
    <definedName name="_xlnm._FilterDatabase" localSheetId="0" hidden="1">Eurozone!$A$1:$C$398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 a="1"/>
  <c r="N116" i="3" s="1"/>
  <c r="N1427" i="3" l="1"/>
  <c r="N1467" i="3"/>
  <c r="N1443" i="3"/>
  <c r="N1411" i="3"/>
  <c r="N1350" i="3"/>
  <c r="N1314" i="3"/>
  <c r="N1254" i="3"/>
  <c r="N1126" i="3"/>
  <c r="N982" i="3"/>
  <c r="N826" i="3"/>
  <c r="N286" i="3"/>
  <c r="N1554" i="3"/>
  <c r="N1514" i="3"/>
  <c r="N1474" i="3"/>
  <c r="N1450" i="3"/>
  <c r="N1418" i="3"/>
  <c r="N1374" i="3"/>
  <c r="N1338" i="3"/>
  <c r="N1285" i="3"/>
  <c r="N1221" i="3"/>
  <c r="N1125" i="3"/>
  <c r="N1031" i="3"/>
  <c r="N978" i="3"/>
  <c r="N928" i="3"/>
  <c r="N825" i="3"/>
  <c r="N649" i="3"/>
  <c r="N497" i="3"/>
  <c r="N281" i="3"/>
  <c r="N52" i="3"/>
  <c r="N1553" i="3"/>
  <c r="N1545" i="3"/>
  <c r="N1537" i="3"/>
  <c r="N1529" i="3"/>
  <c r="N1521" i="3"/>
  <c r="N1513" i="3"/>
  <c r="N1505" i="3"/>
  <c r="N1497" i="3"/>
  <c r="N1489" i="3"/>
  <c r="N1481" i="3"/>
  <c r="N1473" i="3"/>
  <c r="N1465" i="3"/>
  <c r="N1457" i="3"/>
  <c r="N1449" i="3"/>
  <c r="N1441" i="3"/>
  <c r="N1433" i="3"/>
  <c r="N1425" i="3"/>
  <c r="N1417" i="3"/>
  <c r="N1409" i="3"/>
  <c r="N1397" i="3"/>
  <c r="N1387" i="3"/>
  <c r="N1373" i="3"/>
  <c r="N1362" i="3"/>
  <c r="N1348" i="3"/>
  <c r="N1334" i="3"/>
  <c r="N1323" i="3"/>
  <c r="N1309" i="3"/>
  <c r="N1298" i="3"/>
  <c r="N1284" i="3"/>
  <c r="N1270" i="3"/>
  <c r="N1246" i="3"/>
  <c r="N1214" i="3"/>
  <c r="N1182" i="3"/>
  <c r="N1150" i="3"/>
  <c r="N1118" i="3"/>
  <c r="N1071" i="3"/>
  <c r="N1018" i="3"/>
  <c r="N968" i="3"/>
  <c r="N918" i="3"/>
  <c r="N865" i="3"/>
  <c r="N815" i="3"/>
  <c r="N762" i="3"/>
  <c r="N712" i="3"/>
  <c r="N622" i="3"/>
  <c r="N457" i="3"/>
  <c r="N228" i="3"/>
  <c r="N1475" i="3"/>
  <c r="N1451" i="3"/>
  <c r="N1419" i="3"/>
  <c r="N1378" i="3"/>
  <c r="N1339" i="3"/>
  <c r="N1286" i="3"/>
  <c r="N1158" i="3"/>
  <c r="N929" i="3"/>
  <c r="N726" i="3"/>
  <c r="N652" i="3"/>
  <c r="N1546" i="3"/>
  <c r="N1522" i="3"/>
  <c r="N1490" i="3"/>
  <c r="N1458" i="3"/>
  <c r="N1426" i="3"/>
  <c r="N1398" i="3"/>
  <c r="N1349" i="3"/>
  <c r="N1299" i="3"/>
  <c r="N1189" i="3"/>
  <c r="N775" i="3"/>
  <c r="N1536" i="3"/>
  <c r="N1520" i="3"/>
  <c r="N1496" i="3"/>
  <c r="N1472" i="3"/>
  <c r="N1448" i="3"/>
  <c r="N1432" i="3"/>
  <c r="N1406" i="3"/>
  <c r="N1386" i="3"/>
  <c r="N1358" i="3"/>
  <c r="N1333" i="3"/>
  <c r="N1294" i="3"/>
  <c r="N1269" i="3"/>
  <c r="N1213" i="3"/>
  <c r="N1181" i="3"/>
  <c r="N1117" i="3"/>
  <c r="N1070" i="3"/>
  <c r="N1017" i="3"/>
  <c r="N914" i="3"/>
  <c r="N864" i="3"/>
  <c r="N761" i="3"/>
  <c r="N711" i="3"/>
  <c r="N612" i="3"/>
  <c r="N452" i="3"/>
  <c r="N222" i="3"/>
  <c r="N1551" i="3"/>
  <c r="N1543" i="3"/>
  <c r="N1535" i="3"/>
  <c r="N1527" i="3"/>
  <c r="N1519" i="3"/>
  <c r="N1511" i="3"/>
  <c r="N1503" i="3"/>
  <c r="N1495" i="3"/>
  <c r="N1487" i="3"/>
  <c r="N1479" i="3"/>
  <c r="N1471" i="3"/>
  <c r="N1463" i="3"/>
  <c r="N1455" i="3"/>
  <c r="N1447" i="3"/>
  <c r="N1439" i="3"/>
  <c r="N1431" i="3"/>
  <c r="N1423" i="3"/>
  <c r="N1415" i="3"/>
  <c r="N1405" i="3"/>
  <c r="N1395" i="3"/>
  <c r="N1382" i="3"/>
  <c r="N1371" i="3"/>
  <c r="N1357" i="3"/>
  <c r="N1346" i="3"/>
  <c r="N1332" i="3"/>
  <c r="N1318" i="3"/>
  <c r="N1307" i="3"/>
  <c r="N1293" i="3"/>
  <c r="N1282" i="3"/>
  <c r="N1266" i="3"/>
  <c r="N1238" i="3"/>
  <c r="N1206" i="3"/>
  <c r="N1174" i="3"/>
  <c r="N1142" i="3"/>
  <c r="N1108" i="3"/>
  <c r="N1057" i="3"/>
  <c r="N1007" i="3"/>
  <c r="N954" i="3"/>
  <c r="N904" i="3"/>
  <c r="N854" i="3"/>
  <c r="N801" i="3"/>
  <c r="N751" i="3"/>
  <c r="N698" i="3"/>
  <c r="N585" i="3"/>
  <c r="N398" i="3"/>
  <c r="N174" i="3"/>
  <c r="N1459" i="3"/>
  <c r="N1435" i="3"/>
  <c r="N1401" i="3"/>
  <c r="N1364" i="3"/>
  <c r="N1300" i="3"/>
  <c r="N1190" i="3"/>
  <c r="N1032" i="3"/>
  <c r="N776" i="3"/>
  <c r="N500" i="3"/>
  <c r="N1538" i="3"/>
  <c r="N1506" i="3"/>
  <c r="N1482" i="3"/>
  <c r="N1442" i="3"/>
  <c r="N1410" i="3"/>
  <c r="N1363" i="3"/>
  <c r="N1310" i="3"/>
  <c r="N1253" i="3"/>
  <c r="N1081" i="3"/>
  <c r="N878" i="3"/>
  <c r="N1544" i="3"/>
  <c r="N1504" i="3"/>
  <c r="N1480" i="3"/>
  <c r="N1456" i="3"/>
  <c r="N1424" i="3"/>
  <c r="N1372" i="3"/>
  <c r="N1322" i="3"/>
  <c r="N967" i="3"/>
  <c r="N1542" i="3"/>
  <c r="N1518" i="3"/>
  <c r="N1502" i="3"/>
  <c r="N1446" i="3"/>
  <c r="N1430" i="3"/>
  <c r="N1414" i="3"/>
  <c r="N1394" i="3"/>
  <c r="N1381" i="3"/>
  <c r="N1370" i="3"/>
  <c r="N1356" i="3"/>
  <c r="N1342" i="3"/>
  <c r="N1331" i="3"/>
  <c r="N1317" i="3"/>
  <c r="N1306" i="3"/>
  <c r="N1292" i="3"/>
  <c r="N1278" i="3"/>
  <c r="N1262" i="3"/>
  <c r="N1237" i="3"/>
  <c r="N1205" i="3"/>
  <c r="N1173" i="3"/>
  <c r="N1141" i="3"/>
  <c r="N1106" i="3"/>
  <c r="N1056" i="3"/>
  <c r="N1006" i="3"/>
  <c r="N953" i="3"/>
  <c r="N903" i="3"/>
  <c r="N850" i="3"/>
  <c r="N800" i="3"/>
  <c r="N750" i="3"/>
  <c r="N697" i="3"/>
  <c r="N582" i="3"/>
  <c r="N393" i="3"/>
  <c r="N164" i="3"/>
  <c r="N1389" i="3"/>
  <c r="N1325" i="3"/>
  <c r="N1275" i="3"/>
  <c r="N1222" i="3"/>
  <c r="N1082" i="3"/>
  <c r="N879" i="3"/>
  <c r="N57" i="3"/>
  <c r="N1530" i="3"/>
  <c r="N1498" i="3"/>
  <c r="N1466" i="3"/>
  <c r="N1434" i="3"/>
  <c r="N1388" i="3"/>
  <c r="N1324" i="3"/>
  <c r="N1274" i="3"/>
  <c r="N1157" i="3"/>
  <c r="N722" i="3"/>
  <c r="N1552" i="3"/>
  <c r="N1528" i="3"/>
  <c r="N1512" i="3"/>
  <c r="N1488" i="3"/>
  <c r="N1464" i="3"/>
  <c r="N1440" i="3"/>
  <c r="N1416" i="3"/>
  <c r="N1396" i="3"/>
  <c r="N1347" i="3"/>
  <c r="N1308" i="3"/>
  <c r="N1283" i="3"/>
  <c r="N1245" i="3"/>
  <c r="N1149" i="3"/>
  <c r="N814" i="3"/>
  <c r="N1550" i="3"/>
  <c r="N1526" i="3"/>
  <c r="N1510" i="3"/>
  <c r="N1486" i="3"/>
  <c r="N1470" i="3"/>
  <c r="N1454" i="3"/>
  <c r="N1438" i="3"/>
  <c r="N1404" i="3"/>
  <c r="N1549" i="3"/>
  <c r="N1541" i="3"/>
  <c r="N1533" i="3"/>
  <c r="N1525" i="3"/>
  <c r="N1517" i="3"/>
  <c r="N1509" i="3"/>
  <c r="N1501" i="3"/>
  <c r="N1493" i="3"/>
  <c r="N1485" i="3"/>
  <c r="N1477" i="3"/>
  <c r="N1469" i="3"/>
  <c r="N1461" i="3"/>
  <c r="N1453" i="3"/>
  <c r="N1445" i="3"/>
  <c r="N1437" i="3"/>
  <c r="N1429" i="3"/>
  <c r="N1421" i="3"/>
  <c r="N1413" i="3"/>
  <c r="N1403" i="3"/>
  <c r="N1393" i="3"/>
  <c r="N1380" i="3"/>
  <c r="N1366" i="3"/>
  <c r="N1355" i="3"/>
  <c r="N1341" i="3"/>
  <c r="N1330" i="3"/>
  <c r="N1316" i="3"/>
  <c r="N1302" i="3"/>
  <c r="N1291" i="3"/>
  <c r="N1277" i="3"/>
  <c r="N1261" i="3"/>
  <c r="N1230" i="3"/>
  <c r="N1198" i="3"/>
  <c r="N1166" i="3"/>
  <c r="N1134" i="3"/>
  <c r="N1096" i="3"/>
  <c r="N1046" i="3"/>
  <c r="N993" i="3"/>
  <c r="N943" i="3"/>
  <c r="N890" i="3"/>
  <c r="N840" i="3"/>
  <c r="N790" i="3"/>
  <c r="N737" i="3"/>
  <c r="N687" i="3"/>
  <c r="N542" i="3"/>
  <c r="N345" i="3"/>
  <c r="L590" i="3" a="1"/>
  <c r="L590" i="3" s="1"/>
  <c r="N7" i="3"/>
  <c r="N15" i="3"/>
  <c r="N23" i="3"/>
  <c r="N31" i="3"/>
  <c r="N39" i="3"/>
  <c r="N47" i="3"/>
  <c r="N55" i="3"/>
  <c r="N63" i="3"/>
  <c r="N71" i="3"/>
  <c r="N79" i="3"/>
  <c r="N87" i="3"/>
  <c r="N95" i="3"/>
  <c r="N103" i="3"/>
  <c r="N111" i="3"/>
  <c r="N119" i="3"/>
  <c r="N127" i="3"/>
  <c r="N135" i="3"/>
  <c r="N143" i="3"/>
  <c r="N151" i="3"/>
  <c r="N159" i="3"/>
  <c r="N167" i="3"/>
  <c r="N175" i="3"/>
  <c r="N183" i="3"/>
  <c r="N191" i="3"/>
  <c r="N199" i="3"/>
  <c r="N207" i="3"/>
  <c r="N215" i="3"/>
  <c r="N223" i="3"/>
  <c r="N231" i="3"/>
  <c r="N239" i="3"/>
  <c r="N247" i="3"/>
  <c r="N255" i="3"/>
  <c r="N263" i="3"/>
  <c r="N271" i="3"/>
  <c r="N279" i="3"/>
  <c r="N287" i="3"/>
  <c r="N295" i="3"/>
  <c r="N303" i="3"/>
  <c r="N311" i="3"/>
  <c r="N319" i="3"/>
  <c r="N327" i="3"/>
  <c r="N335" i="3"/>
  <c r="N343" i="3"/>
  <c r="N351" i="3"/>
  <c r="N359" i="3"/>
  <c r="N367" i="3"/>
  <c r="N375" i="3"/>
  <c r="N383" i="3"/>
  <c r="N391" i="3"/>
  <c r="N399" i="3"/>
  <c r="N407" i="3"/>
  <c r="N415" i="3"/>
  <c r="N423" i="3"/>
  <c r="N431" i="3"/>
  <c r="N439" i="3"/>
  <c r="N447" i="3"/>
  <c r="N455" i="3"/>
  <c r="N463" i="3"/>
  <c r="N471" i="3"/>
  <c r="N479" i="3"/>
  <c r="N487" i="3"/>
  <c r="N495" i="3"/>
  <c r="N503" i="3"/>
  <c r="N511" i="3"/>
  <c r="N519" i="3"/>
  <c r="N527" i="3"/>
  <c r="N535" i="3"/>
  <c r="N543" i="3"/>
  <c r="N551" i="3"/>
  <c r="N559" i="3"/>
  <c r="N567" i="3"/>
  <c r="N575" i="3"/>
  <c r="N583" i="3"/>
  <c r="N591" i="3"/>
  <c r="N599" i="3"/>
  <c r="N607" i="3"/>
  <c r="N615" i="3"/>
  <c r="N623" i="3"/>
  <c r="N631" i="3"/>
  <c r="N639" i="3"/>
  <c r="N647" i="3"/>
  <c r="N655" i="3"/>
  <c r="N663" i="3"/>
  <c r="N671" i="3"/>
  <c r="N679" i="3"/>
  <c r="N8" i="3"/>
  <c r="N16" i="3"/>
  <c r="N24" i="3"/>
  <c r="N32" i="3"/>
  <c r="N40" i="3"/>
  <c r="N48" i="3"/>
  <c r="N56" i="3"/>
  <c r="N64" i="3"/>
  <c r="N72" i="3"/>
  <c r="N80" i="3"/>
  <c r="N88" i="3"/>
  <c r="N96" i="3"/>
  <c r="N104" i="3"/>
  <c r="N112" i="3"/>
  <c r="N120" i="3"/>
  <c r="N128" i="3"/>
  <c r="N136" i="3"/>
  <c r="N144" i="3"/>
  <c r="N152" i="3"/>
  <c r="N160" i="3"/>
  <c r="N168" i="3"/>
  <c r="N176" i="3"/>
  <c r="N184" i="3"/>
  <c r="N192" i="3"/>
  <c r="N200" i="3"/>
  <c r="N208" i="3"/>
  <c r="N216" i="3"/>
  <c r="N224" i="3"/>
  <c r="N232" i="3"/>
  <c r="N240" i="3"/>
  <c r="N248" i="3"/>
  <c r="N256" i="3"/>
  <c r="N264" i="3"/>
  <c r="N272" i="3"/>
  <c r="N280" i="3"/>
  <c r="N288" i="3"/>
  <c r="N296" i="3"/>
  <c r="N304" i="3"/>
  <c r="N312" i="3"/>
  <c r="N320" i="3"/>
  <c r="N328" i="3"/>
  <c r="N336" i="3"/>
  <c r="N344" i="3"/>
  <c r="N352" i="3"/>
  <c r="N360" i="3"/>
  <c r="N368" i="3"/>
  <c r="N376" i="3"/>
  <c r="N384" i="3"/>
  <c r="N392" i="3"/>
  <c r="N400" i="3"/>
  <c r="N408" i="3"/>
  <c r="N416" i="3"/>
  <c r="N424" i="3"/>
  <c r="N432" i="3"/>
  <c r="N440" i="3"/>
  <c r="N448" i="3"/>
  <c r="N456" i="3"/>
  <c r="N464" i="3"/>
  <c r="N472" i="3"/>
  <c r="N480" i="3"/>
  <c r="N488" i="3"/>
  <c r="N496" i="3"/>
  <c r="N504" i="3"/>
  <c r="N512" i="3"/>
  <c r="N520" i="3"/>
  <c r="N528" i="3"/>
  <c r="N536" i="3"/>
  <c r="N544" i="3"/>
  <c r="N552" i="3"/>
  <c r="N560" i="3"/>
  <c r="N568" i="3"/>
  <c r="N576" i="3"/>
  <c r="N584" i="3"/>
  <c r="N592" i="3"/>
  <c r="N600" i="3"/>
  <c r="N608" i="3"/>
  <c r="N616" i="3"/>
  <c r="N624" i="3"/>
  <c r="N632" i="3"/>
  <c r="N640" i="3"/>
  <c r="N648" i="3"/>
  <c r="N656" i="3"/>
  <c r="N664" i="3"/>
  <c r="N672" i="3"/>
  <c r="N680" i="3"/>
  <c r="N10" i="3"/>
  <c r="N18" i="3"/>
  <c r="N26" i="3"/>
  <c r="N34" i="3"/>
  <c r="N42" i="3"/>
  <c r="N50" i="3"/>
  <c r="N58" i="3"/>
  <c r="N66" i="3"/>
  <c r="N74" i="3"/>
  <c r="N82" i="3"/>
  <c r="N90" i="3"/>
  <c r="N98" i="3"/>
  <c r="N106" i="3"/>
  <c r="N114" i="3"/>
  <c r="N122" i="3"/>
  <c r="N130" i="3"/>
  <c r="N138" i="3"/>
  <c r="N146" i="3"/>
  <c r="N154" i="3"/>
  <c r="N162" i="3"/>
  <c r="N170" i="3"/>
  <c r="N178" i="3"/>
  <c r="N186" i="3"/>
  <c r="N194" i="3"/>
  <c r="N202" i="3"/>
  <c r="N210" i="3"/>
  <c r="N218" i="3"/>
  <c r="N226" i="3"/>
  <c r="N234" i="3"/>
  <c r="N242" i="3"/>
  <c r="N250" i="3"/>
  <c r="N258" i="3"/>
  <c r="N266" i="3"/>
  <c r="N274" i="3"/>
  <c r="N282" i="3"/>
  <c r="N290" i="3"/>
  <c r="N298" i="3"/>
  <c r="N306" i="3"/>
  <c r="N314" i="3"/>
  <c r="N322" i="3"/>
  <c r="N330" i="3"/>
  <c r="N338" i="3"/>
  <c r="N346" i="3"/>
  <c r="N354" i="3"/>
  <c r="N362" i="3"/>
  <c r="N370" i="3"/>
  <c r="N378" i="3"/>
  <c r="N386" i="3"/>
  <c r="N394" i="3"/>
  <c r="N402" i="3"/>
  <c r="N410" i="3"/>
  <c r="N418" i="3"/>
  <c r="N426" i="3"/>
  <c r="N434" i="3"/>
  <c r="N442" i="3"/>
  <c r="N450" i="3"/>
  <c r="N458" i="3"/>
  <c r="N466" i="3"/>
  <c r="N474" i="3"/>
  <c r="N482" i="3"/>
  <c r="N490" i="3"/>
  <c r="N498" i="3"/>
  <c r="N506" i="3"/>
  <c r="N514" i="3"/>
  <c r="N522" i="3"/>
  <c r="N530" i="3"/>
  <c r="N538" i="3"/>
  <c r="N546" i="3"/>
  <c r="N554" i="3"/>
  <c r="N562" i="3"/>
  <c r="N570" i="3"/>
  <c r="N578" i="3"/>
  <c r="N586" i="3"/>
  <c r="N594" i="3"/>
  <c r="N602" i="3"/>
  <c r="N610" i="3"/>
  <c r="N618" i="3"/>
  <c r="N626" i="3"/>
  <c r="N634" i="3"/>
  <c r="N642" i="3"/>
  <c r="N650" i="3"/>
  <c r="N658" i="3"/>
  <c r="N666" i="3"/>
  <c r="N674" i="3"/>
  <c r="N682" i="3"/>
  <c r="N11" i="3"/>
  <c r="N19" i="3"/>
  <c r="N27" i="3"/>
  <c r="N35" i="3"/>
  <c r="N43" i="3"/>
  <c r="N51" i="3"/>
  <c r="N59" i="3"/>
  <c r="N67" i="3"/>
  <c r="N75" i="3"/>
  <c r="N83" i="3"/>
  <c r="N91" i="3"/>
  <c r="N99" i="3"/>
  <c r="N107" i="3"/>
  <c r="N115" i="3"/>
  <c r="N123" i="3"/>
  <c r="N131" i="3"/>
  <c r="N139" i="3"/>
  <c r="N147" i="3"/>
  <c r="N155" i="3"/>
  <c r="N163" i="3"/>
  <c r="N171" i="3"/>
  <c r="N179" i="3"/>
  <c r="N187" i="3"/>
  <c r="N195" i="3"/>
  <c r="N203" i="3"/>
  <c r="N211" i="3"/>
  <c r="N219" i="3"/>
  <c r="N227" i="3"/>
  <c r="N235" i="3"/>
  <c r="N243" i="3"/>
  <c r="N251" i="3"/>
  <c r="N259" i="3"/>
  <c r="N267" i="3"/>
  <c r="N275" i="3"/>
  <c r="N283" i="3"/>
  <c r="N291" i="3"/>
  <c r="N299" i="3"/>
  <c r="N307" i="3"/>
  <c r="N315" i="3"/>
  <c r="N323" i="3"/>
  <c r="N331" i="3"/>
  <c r="N339" i="3"/>
  <c r="N347" i="3"/>
  <c r="N355" i="3"/>
  <c r="N363" i="3"/>
  <c r="N371" i="3"/>
  <c r="N379" i="3"/>
  <c r="N387" i="3"/>
  <c r="N395" i="3"/>
  <c r="N403" i="3"/>
  <c r="N411" i="3"/>
  <c r="N419" i="3"/>
  <c r="N427" i="3"/>
  <c r="N435" i="3"/>
  <c r="N443" i="3"/>
  <c r="N451" i="3"/>
  <c r="N459" i="3"/>
  <c r="N467" i="3"/>
  <c r="N475" i="3"/>
  <c r="N483" i="3"/>
  <c r="N491" i="3"/>
  <c r="N499" i="3"/>
  <c r="N507" i="3"/>
  <c r="N515" i="3"/>
  <c r="N523" i="3"/>
  <c r="N531" i="3"/>
  <c r="N539" i="3"/>
  <c r="N547" i="3"/>
  <c r="N555" i="3"/>
  <c r="N563" i="3"/>
  <c r="N571" i="3"/>
  <c r="N579" i="3"/>
  <c r="N587" i="3"/>
  <c r="N595" i="3"/>
  <c r="N603" i="3"/>
  <c r="N611" i="3"/>
  <c r="N619" i="3"/>
  <c r="N627" i="3"/>
  <c r="N635" i="3"/>
  <c r="N643" i="3"/>
  <c r="N651" i="3"/>
  <c r="N659" i="3"/>
  <c r="N667" i="3"/>
  <c r="N675" i="3"/>
  <c r="N683" i="3"/>
  <c r="N13" i="3"/>
  <c r="N21" i="3"/>
  <c r="N29" i="3"/>
  <c r="N37" i="3"/>
  <c r="N45" i="3"/>
  <c r="N53" i="3"/>
  <c r="N61" i="3"/>
  <c r="N69" i="3"/>
  <c r="N77" i="3"/>
  <c r="N85" i="3"/>
  <c r="N93" i="3"/>
  <c r="N101" i="3"/>
  <c r="N109" i="3"/>
  <c r="N117" i="3"/>
  <c r="N125" i="3"/>
  <c r="N133" i="3"/>
  <c r="N141" i="3"/>
  <c r="N149" i="3"/>
  <c r="N157" i="3"/>
  <c r="N165" i="3"/>
  <c r="N173" i="3"/>
  <c r="N181" i="3"/>
  <c r="N189" i="3"/>
  <c r="N197" i="3"/>
  <c r="N205" i="3"/>
  <c r="N213" i="3"/>
  <c r="N221" i="3"/>
  <c r="N229" i="3"/>
  <c r="N237" i="3"/>
  <c r="N245" i="3"/>
  <c r="N253" i="3"/>
  <c r="N261" i="3"/>
  <c r="N269" i="3"/>
  <c r="N277" i="3"/>
  <c r="N285" i="3"/>
  <c r="N293" i="3"/>
  <c r="N301" i="3"/>
  <c r="N309" i="3"/>
  <c r="N317" i="3"/>
  <c r="N325" i="3"/>
  <c r="N333" i="3"/>
  <c r="N341" i="3"/>
  <c r="N349" i="3"/>
  <c r="N357" i="3"/>
  <c r="N365" i="3"/>
  <c r="N373" i="3"/>
  <c r="N381" i="3"/>
  <c r="N389" i="3"/>
  <c r="N397" i="3"/>
  <c r="N405" i="3"/>
  <c r="N413" i="3"/>
  <c r="N421" i="3"/>
  <c r="N429" i="3"/>
  <c r="N437" i="3"/>
  <c r="N445" i="3"/>
  <c r="N453" i="3"/>
  <c r="N461" i="3"/>
  <c r="N469" i="3"/>
  <c r="N477" i="3"/>
  <c r="N485" i="3"/>
  <c r="N493" i="3"/>
  <c r="N501" i="3"/>
  <c r="N509" i="3"/>
  <c r="N517" i="3"/>
  <c r="N525" i="3"/>
  <c r="N533" i="3"/>
  <c r="N541" i="3"/>
  <c r="N549" i="3"/>
  <c r="N557" i="3"/>
  <c r="N565" i="3"/>
  <c r="N573" i="3"/>
  <c r="N581" i="3"/>
  <c r="N589" i="3"/>
  <c r="N597" i="3"/>
  <c r="N605" i="3"/>
  <c r="N613" i="3"/>
  <c r="N621" i="3"/>
  <c r="N629" i="3"/>
  <c r="N637" i="3"/>
  <c r="N645" i="3"/>
  <c r="N653" i="3"/>
  <c r="N661" i="3"/>
  <c r="N669" i="3"/>
  <c r="N677" i="3"/>
  <c r="N685" i="3"/>
  <c r="N6" i="3"/>
  <c r="N28" i="3"/>
  <c r="N49" i="3"/>
  <c r="N70" i="3"/>
  <c r="N92" i="3"/>
  <c r="N113" i="3"/>
  <c r="N134" i="3"/>
  <c r="N156" i="3"/>
  <c r="N177" i="3"/>
  <c r="N198" i="3"/>
  <c r="N220" i="3"/>
  <c r="N241" i="3"/>
  <c r="N262" i="3"/>
  <c r="N284" i="3"/>
  <c r="N305" i="3"/>
  <c r="N326" i="3"/>
  <c r="N348" i="3"/>
  <c r="N369" i="3"/>
  <c r="N390" i="3"/>
  <c r="N412" i="3"/>
  <c r="N433" i="3"/>
  <c r="N454" i="3"/>
  <c r="N12" i="3"/>
  <c r="N33" i="3"/>
  <c r="N54" i="3"/>
  <c r="N76" i="3"/>
  <c r="N97" i="3"/>
  <c r="N118" i="3"/>
  <c r="N140" i="3"/>
  <c r="N161" i="3"/>
  <c r="N182" i="3"/>
  <c r="N204" i="3"/>
  <c r="N225" i="3"/>
  <c r="N246" i="3"/>
  <c r="N268" i="3"/>
  <c r="N289" i="3"/>
  <c r="N310" i="3"/>
  <c r="N332" i="3"/>
  <c r="N353" i="3"/>
  <c r="N374" i="3"/>
  <c r="N396" i="3"/>
  <c r="N417" i="3"/>
  <c r="N438" i="3"/>
  <c r="N460" i="3"/>
  <c r="N481" i="3"/>
  <c r="N502" i="3"/>
  <c r="N524" i="3"/>
  <c r="N545" i="3"/>
  <c r="N566" i="3"/>
  <c r="N17" i="3"/>
  <c r="N38" i="3"/>
  <c r="N60" i="3"/>
  <c r="N81" i="3"/>
  <c r="N102" i="3"/>
  <c r="N124" i="3"/>
  <c r="N145" i="3"/>
  <c r="N166" i="3"/>
  <c r="N188" i="3"/>
  <c r="N209" i="3"/>
  <c r="N230" i="3"/>
  <c r="N252" i="3"/>
  <c r="N273" i="3"/>
  <c r="N294" i="3"/>
  <c r="N316" i="3"/>
  <c r="N337" i="3"/>
  <c r="N358" i="3"/>
  <c r="N380" i="3"/>
  <c r="N401" i="3"/>
  <c r="N422" i="3"/>
  <c r="N444" i="3"/>
  <c r="N465" i="3"/>
  <c r="N486" i="3"/>
  <c r="N508" i="3"/>
  <c r="N529" i="3"/>
  <c r="N550" i="3"/>
  <c r="N572" i="3"/>
  <c r="N593" i="3"/>
  <c r="N614" i="3"/>
  <c r="N636" i="3"/>
  <c r="N657" i="3"/>
  <c r="N678" i="3"/>
  <c r="N691" i="3"/>
  <c r="N699" i="3"/>
  <c r="N707" i="3"/>
  <c r="N715" i="3"/>
  <c r="N723" i="3"/>
  <c r="N731" i="3"/>
  <c r="N739" i="3"/>
  <c r="N747" i="3"/>
  <c r="N755" i="3"/>
  <c r="N763" i="3"/>
  <c r="N771" i="3"/>
  <c r="N779" i="3"/>
  <c r="N787" i="3"/>
  <c r="N795" i="3"/>
  <c r="N803" i="3"/>
  <c r="N811" i="3"/>
  <c r="N819" i="3"/>
  <c r="N827" i="3"/>
  <c r="N835" i="3"/>
  <c r="N843" i="3"/>
  <c r="N851" i="3"/>
  <c r="N859" i="3"/>
  <c r="N867" i="3"/>
  <c r="N875" i="3"/>
  <c r="N883" i="3"/>
  <c r="N891" i="3"/>
  <c r="N899" i="3"/>
  <c r="N907" i="3"/>
  <c r="N915" i="3"/>
  <c r="N923" i="3"/>
  <c r="N931" i="3"/>
  <c r="N939" i="3"/>
  <c r="N947" i="3"/>
  <c r="N955" i="3"/>
  <c r="N963" i="3"/>
  <c r="N971" i="3"/>
  <c r="N979" i="3"/>
  <c r="N987" i="3"/>
  <c r="N995" i="3"/>
  <c r="N1003" i="3"/>
  <c r="N1011" i="3"/>
  <c r="N1019" i="3"/>
  <c r="N1027" i="3"/>
  <c r="N1035" i="3"/>
  <c r="N1043" i="3"/>
  <c r="N1051" i="3"/>
  <c r="N1059" i="3"/>
  <c r="N1067" i="3"/>
  <c r="N1075" i="3"/>
  <c r="N1083" i="3"/>
  <c r="N1091" i="3"/>
  <c r="N1099" i="3"/>
  <c r="N1107" i="3"/>
  <c r="N1115" i="3"/>
  <c r="N20" i="3"/>
  <c r="N41" i="3"/>
  <c r="N62" i="3"/>
  <c r="N84" i="3"/>
  <c r="N105" i="3"/>
  <c r="N126" i="3"/>
  <c r="N148" i="3"/>
  <c r="N169" i="3"/>
  <c r="N190" i="3"/>
  <c r="N212" i="3"/>
  <c r="N233" i="3"/>
  <c r="N254" i="3"/>
  <c r="N276" i="3"/>
  <c r="N297" i="3"/>
  <c r="N318" i="3"/>
  <c r="N340" i="3"/>
  <c r="N361" i="3"/>
  <c r="N382" i="3"/>
  <c r="N404" i="3"/>
  <c r="N425" i="3"/>
  <c r="N446" i="3"/>
  <c r="N468" i="3"/>
  <c r="N489" i="3"/>
  <c r="N510" i="3"/>
  <c r="N532" i="3"/>
  <c r="N553" i="3"/>
  <c r="N574" i="3"/>
  <c r="N596" i="3"/>
  <c r="N617" i="3"/>
  <c r="N638" i="3"/>
  <c r="N660" i="3"/>
  <c r="N681" i="3"/>
  <c r="N692" i="3"/>
  <c r="N700" i="3"/>
  <c r="N708" i="3"/>
  <c r="N716" i="3"/>
  <c r="N724" i="3"/>
  <c r="N732" i="3"/>
  <c r="N740" i="3"/>
  <c r="N748" i="3"/>
  <c r="N756" i="3"/>
  <c r="N764" i="3"/>
  <c r="N772" i="3"/>
  <c r="N780" i="3"/>
  <c r="N788" i="3"/>
  <c r="N796" i="3"/>
  <c r="N804" i="3"/>
  <c r="N812" i="3"/>
  <c r="N820" i="3"/>
  <c r="N828" i="3"/>
  <c r="N836" i="3"/>
  <c r="N844" i="3"/>
  <c r="N852" i="3"/>
  <c r="N860" i="3"/>
  <c r="N868" i="3"/>
  <c r="N876" i="3"/>
  <c r="N884" i="3"/>
  <c r="N892" i="3"/>
  <c r="N900" i="3"/>
  <c r="N908" i="3"/>
  <c r="N916" i="3"/>
  <c r="N924" i="3"/>
  <c r="N932" i="3"/>
  <c r="N940" i="3"/>
  <c r="N948" i="3"/>
  <c r="N956" i="3"/>
  <c r="N964" i="3"/>
  <c r="N972" i="3"/>
  <c r="N980" i="3"/>
  <c r="N988" i="3"/>
  <c r="N996" i="3"/>
  <c r="N1004" i="3"/>
  <c r="N1012" i="3"/>
  <c r="N1020" i="3"/>
  <c r="N1028" i="3"/>
  <c r="N1036" i="3"/>
  <c r="N1044" i="3"/>
  <c r="N1052" i="3"/>
  <c r="N1060" i="3"/>
  <c r="N1068" i="3"/>
  <c r="N1076" i="3"/>
  <c r="N1084" i="3"/>
  <c r="N1092" i="3"/>
  <c r="N1100" i="3"/>
  <c r="N22" i="3"/>
  <c r="N44" i="3"/>
  <c r="N65" i="3"/>
  <c r="N86" i="3"/>
  <c r="N108" i="3"/>
  <c r="N129" i="3"/>
  <c r="N150" i="3"/>
  <c r="N172" i="3"/>
  <c r="N193" i="3"/>
  <c r="N214" i="3"/>
  <c r="N236" i="3"/>
  <c r="N257" i="3"/>
  <c r="N278" i="3"/>
  <c r="N300" i="3"/>
  <c r="N321" i="3"/>
  <c r="N342" i="3"/>
  <c r="N364" i="3"/>
  <c r="N385" i="3"/>
  <c r="N406" i="3"/>
  <c r="N428" i="3"/>
  <c r="N449" i="3"/>
  <c r="N470" i="3"/>
  <c r="N492" i="3"/>
  <c r="N513" i="3"/>
  <c r="N534" i="3"/>
  <c r="N556" i="3"/>
  <c r="N577" i="3"/>
  <c r="N598" i="3"/>
  <c r="N620" i="3"/>
  <c r="N641" i="3"/>
  <c r="N662" i="3"/>
  <c r="N684" i="3"/>
  <c r="N693" i="3"/>
  <c r="N701" i="3"/>
  <c r="N709" i="3"/>
  <c r="N717" i="3"/>
  <c r="N725" i="3"/>
  <c r="N733" i="3"/>
  <c r="N741" i="3"/>
  <c r="N749" i="3"/>
  <c r="N757" i="3"/>
  <c r="N765" i="3"/>
  <c r="N773" i="3"/>
  <c r="N781" i="3"/>
  <c r="N789" i="3"/>
  <c r="N797" i="3"/>
  <c r="N805" i="3"/>
  <c r="N813" i="3"/>
  <c r="N821" i="3"/>
  <c r="N829" i="3"/>
  <c r="N837" i="3"/>
  <c r="N845" i="3"/>
  <c r="N853" i="3"/>
  <c r="N861" i="3"/>
  <c r="N869" i="3"/>
  <c r="N877" i="3"/>
  <c r="N885" i="3"/>
  <c r="N893" i="3"/>
  <c r="N901" i="3"/>
  <c r="N909" i="3"/>
  <c r="N917" i="3"/>
  <c r="N925" i="3"/>
  <c r="N933" i="3"/>
  <c r="N941" i="3"/>
  <c r="N949" i="3"/>
  <c r="N957" i="3"/>
  <c r="N965" i="3"/>
  <c r="N973" i="3"/>
  <c r="N981" i="3"/>
  <c r="N989" i="3"/>
  <c r="N997" i="3"/>
  <c r="N1005" i="3"/>
  <c r="N1013" i="3"/>
  <c r="N1021" i="3"/>
  <c r="N1029" i="3"/>
  <c r="N1037" i="3"/>
  <c r="N1045" i="3"/>
  <c r="N1053" i="3"/>
  <c r="N1061" i="3"/>
  <c r="N1069" i="3"/>
  <c r="N1077" i="3"/>
  <c r="N1085" i="3"/>
  <c r="N1093" i="3"/>
  <c r="N1101" i="3"/>
  <c r="N1109" i="3"/>
  <c r="N9" i="3"/>
  <c r="N68" i="3"/>
  <c r="N121" i="3"/>
  <c r="N180" i="3"/>
  <c r="N238" i="3"/>
  <c r="N292" i="3"/>
  <c r="N350" i="3"/>
  <c r="N409" i="3"/>
  <c r="N462" i="3"/>
  <c r="N505" i="3"/>
  <c r="N548" i="3"/>
  <c r="N588" i="3"/>
  <c r="N625" i="3"/>
  <c r="N654" i="3"/>
  <c r="N688" i="3"/>
  <c r="N702" i="3"/>
  <c r="N713" i="3"/>
  <c r="N727" i="3"/>
  <c r="N738" i="3"/>
  <c r="N752" i="3"/>
  <c r="N766" i="3"/>
  <c r="N777" i="3"/>
  <c r="N791" i="3"/>
  <c r="N802" i="3"/>
  <c r="N816" i="3"/>
  <c r="N830" i="3"/>
  <c r="N841" i="3"/>
  <c r="N855" i="3"/>
  <c r="N866" i="3"/>
  <c r="N880" i="3"/>
  <c r="N894" i="3"/>
  <c r="N905" i="3"/>
  <c r="N919" i="3"/>
  <c r="N930" i="3"/>
  <c r="N944" i="3"/>
  <c r="N958" i="3"/>
  <c r="N969" i="3"/>
  <c r="N983" i="3"/>
  <c r="N994" i="3"/>
  <c r="N1008" i="3"/>
  <c r="N1022" i="3"/>
  <c r="N1033" i="3"/>
  <c r="N1047" i="3"/>
  <c r="N1058" i="3"/>
  <c r="N1072" i="3"/>
  <c r="N1086" i="3"/>
  <c r="N1097" i="3"/>
  <c r="N1110" i="3"/>
  <c r="N1119" i="3"/>
  <c r="N1127" i="3"/>
  <c r="N1135" i="3"/>
  <c r="N1143" i="3"/>
  <c r="N1151" i="3"/>
  <c r="N1159" i="3"/>
  <c r="N1167" i="3"/>
  <c r="N1175" i="3"/>
  <c r="N1183" i="3"/>
  <c r="N1191" i="3"/>
  <c r="N1199" i="3"/>
  <c r="N1207" i="3"/>
  <c r="N1215" i="3"/>
  <c r="N1223" i="3"/>
  <c r="N1231" i="3"/>
  <c r="N1239" i="3"/>
  <c r="N1247" i="3"/>
  <c r="N1255" i="3"/>
  <c r="N1263" i="3"/>
  <c r="N1271" i="3"/>
  <c r="N1279" i="3"/>
  <c r="N1287" i="3"/>
  <c r="N1295" i="3"/>
  <c r="N1303" i="3"/>
  <c r="N1311" i="3"/>
  <c r="N1319" i="3"/>
  <c r="N1327" i="3"/>
  <c r="N1335" i="3"/>
  <c r="N1343" i="3"/>
  <c r="N1351" i="3"/>
  <c r="N1359" i="3"/>
  <c r="N1367" i="3"/>
  <c r="N1375" i="3"/>
  <c r="N1383" i="3"/>
  <c r="N1391" i="3"/>
  <c r="N1399" i="3"/>
  <c r="N1407" i="3"/>
  <c r="N14" i="3"/>
  <c r="N73" i="3"/>
  <c r="N132" i="3"/>
  <c r="N185" i="3"/>
  <c r="N244" i="3"/>
  <c r="N302" i="3"/>
  <c r="N356" i="3"/>
  <c r="N414" i="3"/>
  <c r="N473" i="3"/>
  <c r="N516" i="3"/>
  <c r="N558" i="3"/>
  <c r="N590" i="3"/>
  <c r="N628" i="3"/>
  <c r="N665" i="3"/>
  <c r="N689" i="3"/>
  <c r="N703" i="3"/>
  <c r="N714" i="3"/>
  <c r="N728" i="3"/>
  <c r="N742" i="3"/>
  <c r="N753" i="3"/>
  <c r="N767" i="3"/>
  <c r="N778" i="3"/>
  <c r="N792" i="3"/>
  <c r="N806" i="3"/>
  <c r="N817" i="3"/>
  <c r="N831" i="3"/>
  <c r="N842" i="3"/>
  <c r="N856" i="3"/>
  <c r="N870" i="3"/>
  <c r="N881" i="3"/>
  <c r="N895" i="3"/>
  <c r="N906" i="3"/>
  <c r="N920" i="3"/>
  <c r="N934" i="3"/>
  <c r="N945" i="3"/>
  <c r="N959" i="3"/>
  <c r="N970" i="3"/>
  <c r="N984" i="3"/>
  <c r="N998" i="3"/>
  <c r="N1009" i="3"/>
  <c r="N1023" i="3"/>
  <c r="N1034" i="3"/>
  <c r="N1048" i="3"/>
  <c r="N1062" i="3"/>
  <c r="N1073" i="3"/>
  <c r="N1087" i="3"/>
  <c r="N1098" i="3"/>
  <c r="N1111" i="3"/>
  <c r="N1120" i="3"/>
  <c r="N1128" i="3"/>
  <c r="N1136" i="3"/>
  <c r="N1144" i="3"/>
  <c r="N1152" i="3"/>
  <c r="N1160" i="3"/>
  <c r="N1168" i="3"/>
  <c r="N1176" i="3"/>
  <c r="N1184" i="3"/>
  <c r="N1192" i="3"/>
  <c r="N1200" i="3"/>
  <c r="N1208" i="3"/>
  <c r="N1216" i="3"/>
  <c r="N1224" i="3"/>
  <c r="N1232" i="3"/>
  <c r="N1240" i="3"/>
  <c r="N1248" i="3"/>
  <c r="N1256" i="3"/>
  <c r="N1264" i="3"/>
  <c r="N1272" i="3"/>
  <c r="N1280" i="3"/>
  <c r="N1288" i="3"/>
  <c r="N1296" i="3"/>
  <c r="N1304" i="3"/>
  <c r="N1312" i="3"/>
  <c r="N1320" i="3"/>
  <c r="N1328" i="3"/>
  <c r="N1336" i="3"/>
  <c r="N1344" i="3"/>
  <c r="N1352" i="3"/>
  <c r="N1360" i="3"/>
  <c r="N1368" i="3"/>
  <c r="N1376" i="3"/>
  <c r="N1384" i="3"/>
  <c r="N1392" i="3"/>
  <c r="N1400" i="3"/>
  <c r="N1408" i="3"/>
  <c r="N25" i="3"/>
  <c r="N78" i="3"/>
  <c r="N137" i="3"/>
  <c r="N196" i="3"/>
  <c r="N249" i="3"/>
  <c r="N308" i="3"/>
  <c r="N366" i="3"/>
  <c r="N420" i="3"/>
  <c r="N476" i="3"/>
  <c r="N518" i="3"/>
  <c r="N561" i="3"/>
  <c r="N601" i="3"/>
  <c r="N630" i="3"/>
  <c r="N668" i="3"/>
  <c r="N690" i="3"/>
  <c r="N704" i="3"/>
  <c r="N718" i="3"/>
  <c r="N729" i="3"/>
  <c r="N743" i="3"/>
  <c r="N754" i="3"/>
  <c r="N768" i="3"/>
  <c r="N782" i="3"/>
  <c r="N793" i="3"/>
  <c r="N807" i="3"/>
  <c r="N818" i="3"/>
  <c r="N832" i="3"/>
  <c r="N846" i="3"/>
  <c r="N857" i="3"/>
  <c r="N871" i="3"/>
  <c r="N882" i="3"/>
  <c r="N896" i="3"/>
  <c r="N910" i="3"/>
  <c r="N921" i="3"/>
  <c r="N935" i="3"/>
  <c r="N946" i="3"/>
  <c r="N960" i="3"/>
  <c r="N974" i="3"/>
  <c r="N985" i="3"/>
  <c r="N999" i="3"/>
  <c r="N1010" i="3"/>
  <c r="N1024" i="3"/>
  <c r="N1038" i="3"/>
  <c r="N1049" i="3"/>
  <c r="N1063" i="3"/>
  <c r="N1074" i="3"/>
  <c r="N1088" i="3"/>
  <c r="N1102" i="3"/>
  <c r="N1112" i="3"/>
  <c r="N1121" i="3"/>
  <c r="N1129" i="3"/>
  <c r="N1137" i="3"/>
  <c r="N1145" i="3"/>
  <c r="N1153" i="3"/>
  <c r="N1161" i="3"/>
  <c r="N1169" i="3"/>
  <c r="N1177" i="3"/>
  <c r="N1185" i="3"/>
  <c r="N1193" i="3"/>
  <c r="N1201" i="3"/>
  <c r="N1209" i="3"/>
  <c r="N1217" i="3"/>
  <c r="N1225" i="3"/>
  <c r="N1233" i="3"/>
  <c r="N1241" i="3"/>
  <c r="N1249" i="3"/>
  <c r="N1257" i="3"/>
  <c r="N1265" i="3"/>
  <c r="N1273" i="3"/>
  <c r="N1281" i="3"/>
  <c r="N1289" i="3"/>
  <c r="N1297" i="3"/>
  <c r="N1305" i="3"/>
  <c r="N1313" i="3"/>
  <c r="N1321" i="3"/>
  <c r="N1329" i="3"/>
  <c r="N1337" i="3"/>
  <c r="N1345" i="3"/>
  <c r="N1353" i="3"/>
  <c r="N1361" i="3"/>
  <c r="N1369" i="3"/>
  <c r="N1377" i="3"/>
  <c r="N1385" i="3"/>
  <c r="N30" i="3"/>
  <c r="N89" i="3"/>
  <c r="N142" i="3"/>
  <c r="N201" i="3"/>
  <c r="N260" i="3"/>
  <c r="N313" i="3"/>
  <c r="N372" i="3"/>
  <c r="N430" i="3"/>
  <c r="N478" i="3"/>
  <c r="N521" i="3"/>
  <c r="N564" i="3"/>
  <c r="N604" i="3"/>
  <c r="N633" i="3"/>
  <c r="N670" i="3"/>
  <c r="N694" i="3"/>
  <c r="N705" i="3"/>
  <c r="N719" i="3"/>
  <c r="N730" i="3"/>
  <c r="N744" i="3"/>
  <c r="N758" i="3"/>
  <c r="N769" i="3"/>
  <c r="N783" i="3"/>
  <c r="N794" i="3"/>
  <c r="N808" i="3"/>
  <c r="N822" i="3"/>
  <c r="N833" i="3"/>
  <c r="N847" i="3"/>
  <c r="N858" i="3"/>
  <c r="N872" i="3"/>
  <c r="N886" i="3"/>
  <c r="N897" i="3"/>
  <c r="N911" i="3"/>
  <c r="N922" i="3"/>
  <c r="N936" i="3"/>
  <c r="N950" i="3"/>
  <c r="N961" i="3"/>
  <c r="N975" i="3"/>
  <c r="N986" i="3"/>
  <c r="N1000" i="3"/>
  <c r="N1014" i="3"/>
  <c r="N1025" i="3"/>
  <c r="N1039" i="3"/>
  <c r="N1050" i="3"/>
  <c r="N1064" i="3"/>
  <c r="N1078" i="3"/>
  <c r="N1089" i="3"/>
  <c r="N1103" i="3"/>
  <c r="N1113" i="3"/>
  <c r="N1122" i="3"/>
  <c r="N1130" i="3"/>
  <c r="N1138" i="3"/>
  <c r="N1146" i="3"/>
  <c r="N1154" i="3"/>
  <c r="N1162" i="3"/>
  <c r="N1170" i="3"/>
  <c r="N1178" i="3"/>
  <c r="N1186" i="3"/>
  <c r="N1194" i="3"/>
  <c r="N1202" i="3"/>
  <c r="N1210" i="3"/>
  <c r="N1218" i="3"/>
  <c r="N1226" i="3"/>
  <c r="N1234" i="3"/>
  <c r="N1242" i="3"/>
  <c r="N1250" i="3"/>
  <c r="N36" i="3"/>
  <c r="N94" i="3"/>
  <c r="N153" i="3"/>
  <c r="N206" i="3"/>
  <c r="N265" i="3"/>
  <c r="N324" i="3"/>
  <c r="N377" i="3"/>
  <c r="N436" i="3"/>
  <c r="N484" i="3"/>
  <c r="N526" i="3"/>
  <c r="N569" i="3"/>
  <c r="N606" i="3"/>
  <c r="N644" i="3"/>
  <c r="N673" i="3"/>
  <c r="N695" i="3"/>
  <c r="N706" i="3"/>
  <c r="N720" i="3"/>
  <c r="N734" i="3"/>
  <c r="N745" i="3"/>
  <c r="N759" i="3"/>
  <c r="N770" i="3"/>
  <c r="N784" i="3"/>
  <c r="N798" i="3"/>
  <c r="N809" i="3"/>
  <c r="N823" i="3"/>
  <c r="N834" i="3"/>
  <c r="N848" i="3"/>
  <c r="N862" i="3"/>
  <c r="N873" i="3"/>
  <c r="N887" i="3"/>
  <c r="N898" i="3"/>
  <c r="N912" i="3"/>
  <c r="N926" i="3"/>
  <c r="N937" i="3"/>
  <c r="N951" i="3"/>
  <c r="N962" i="3"/>
  <c r="N976" i="3"/>
  <c r="N990" i="3"/>
  <c r="N1001" i="3"/>
  <c r="N1015" i="3"/>
  <c r="N1026" i="3"/>
  <c r="N1040" i="3"/>
  <c r="N1054" i="3"/>
  <c r="N1065" i="3"/>
  <c r="N1079" i="3"/>
  <c r="N1090" i="3"/>
  <c r="N1104" i="3"/>
  <c r="N1114" i="3"/>
  <c r="N1123" i="3"/>
  <c r="N1131" i="3"/>
  <c r="N1139" i="3"/>
  <c r="N1147" i="3"/>
  <c r="N1155" i="3"/>
  <c r="N1163" i="3"/>
  <c r="N1171" i="3"/>
  <c r="N1179" i="3"/>
  <c r="N1187" i="3"/>
  <c r="N1195" i="3"/>
  <c r="N1203" i="3"/>
  <c r="N1211" i="3"/>
  <c r="N1219" i="3"/>
  <c r="N1227" i="3"/>
  <c r="N1235" i="3"/>
  <c r="N1243" i="3"/>
  <c r="N1251" i="3"/>
  <c r="N1259" i="3"/>
  <c r="N1267" i="3"/>
  <c r="N46" i="3"/>
  <c r="N100" i="3"/>
  <c r="N158" i="3"/>
  <c r="N217" i="3"/>
  <c r="N270" i="3"/>
  <c r="N329" i="3"/>
  <c r="N388" i="3"/>
  <c r="N441" i="3"/>
  <c r="N494" i="3"/>
  <c r="N537" i="3"/>
  <c r="N580" i="3"/>
  <c r="N609" i="3"/>
  <c r="N646" i="3"/>
  <c r="N676" i="3"/>
  <c r="N696" i="3"/>
  <c r="N710" i="3"/>
  <c r="N721" i="3"/>
  <c r="N735" i="3"/>
  <c r="N746" i="3"/>
  <c r="N760" i="3"/>
  <c r="N774" i="3"/>
  <c r="N785" i="3"/>
  <c r="N799" i="3"/>
  <c r="N810" i="3"/>
  <c r="N824" i="3"/>
  <c r="N838" i="3"/>
  <c r="N849" i="3"/>
  <c r="N863" i="3"/>
  <c r="N874" i="3"/>
  <c r="N888" i="3"/>
  <c r="N902" i="3"/>
  <c r="N913" i="3"/>
  <c r="N927" i="3"/>
  <c r="N938" i="3"/>
  <c r="N952" i="3"/>
  <c r="N966" i="3"/>
  <c r="N977" i="3"/>
  <c r="N991" i="3"/>
  <c r="N1002" i="3"/>
  <c r="N1016" i="3"/>
  <c r="N1030" i="3"/>
  <c r="N1041" i="3"/>
  <c r="N1055" i="3"/>
  <c r="N1066" i="3"/>
  <c r="N1080" i="3"/>
  <c r="N1094" i="3"/>
  <c r="N1105" i="3"/>
  <c r="N1116" i="3"/>
  <c r="N1124" i="3"/>
  <c r="N1132" i="3"/>
  <c r="N1140" i="3"/>
  <c r="N1148" i="3"/>
  <c r="N1156" i="3"/>
  <c r="N1164" i="3"/>
  <c r="N1172" i="3"/>
  <c r="N1180" i="3"/>
  <c r="N1188" i="3"/>
  <c r="N1196" i="3"/>
  <c r="N1204" i="3"/>
  <c r="N1212" i="3"/>
  <c r="N1220" i="3"/>
  <c r="N1228" i="3"/>
  <c r="N1236" i="3"/>
  <c r="N1244" i="3"/>
  <c r="N1252" i="3"/>
  <c r="N1260" i="3"/>
  <c r="N1268" i="3"/>
  <c r="N1534" i="3"/>
  <c r="N1494" i="3"/>
  <c r="N1478" i="3"/>
  <c r="N1462" i="3"/>
  <c r="N1422" i="3"/>
  <c r="N1556" i="3"/>
  <c r="N1548" i="3"/>
  <c r="N1540" i="3"/>
  <c r="N1532" i="3"/>
  <c r="N1524" i="3"/>
  <c r="N1516" i="3"/>
  <c r="N1508" i="3"/>
  <c r="N1500" i="3"/>
  <c r="N1492" i="3"/>
  <c r="N1484" i="3"/>
  <c r="N1476" i="3"/>
  <c r="N1468" i="3"/>
  <c r="N1460" i="3"/>
  <c r="N1452" i="3"/>
  <c r="N1444" i="3"/>
  <c r="N1436" i="3"/>
  <c r="N1428" i="3"/>
  <c r="N1420" i="3"/>
  <c r="N1412" i="3"/>
  <c r="N1402" i="3"/>
  <c r="N1390" i="3"/>
  <c r="N1379" i="3"/>
  <c r="N1365" i="3"/>
  <c r="N1354" i="3"/>
  <c r="N1340" i="3"/>
  <c r="N1326" i="3"/>
  <c r="N1315" i="3"/>
  <c r="N1301" i="3"/>
  <c r="N1290" i="3"/>
  <c r="N1276" i="3"/>
  <c r="N1258" i="3"/>
  <c r="N1229" i="3"/>
  <c r="N1197" i="3"/>
  <c r="N1165" i="3"/>
  <c r="N1133" i="3"/>
  <c r="N1095" i="3"/>
  <c r="N1042" i="3"/>
  <c r="N992" i="3"/>
  <c r="N942" i="3"/>
  <c r="N889" i="3"/>
  <c r="N839" i="3"/>
  <c r="N786" i="3"/>
  <c r="N736" i="3"/>
  <c r="N686" i="3"/>
  <c r="N540" i="3"/>
  <c r="N334" i="3"/>
  <c r="N110" i="3"/>
  <c r="N1483" i="3"/>
  <c r="N1555" i="3"/>
  <c r="N1547" i="3"/>
  <c r="N1539" i="3"/>
  <c r="N1531" i="3"/>
  <c r="N1523" i="3"/>
  <c r="N1515" i="3"/>
  <c r="N1507" i="3"/>
  <c r="N1499" i="3"/>
  <c r="N1491" i="3"/>
  <c r="L1513" i="3" a="1"/>
  <c r="L1513" i="3" s="1"/>
  <c r="L1465" i="3" a="1"/>
  <c r="L1465" i="3" s="1"/>
  <c r="L1428" i="3" a="1"/>
  <c r="L1428" i="3" s="1"/>
  <c r="L1376" i="3" a="1"/>
  <c r="L1376" i="3" s="1"/>
  <c r="L1316" i="3" a="1"/>
  <c r="L1316" i="3" s="1"/>
  <c r="L1268" i="3" a="1"/>
  <c r="L1268" i="3" s="1"/>
  <c r="L1224" i="3" a="1"/>
  <c r="L1224" i="3" s="1"/>
  <c r="L1161" i="3" a="1"/>
  <c r="L1161" i="3" s="1"/>
  <c r="L1554" i="3" a="1"/>
  <c r="L1554" i="3" s="1"/>
  <c r="L1546" i="3" a="1"/>
  <c r="L1546" i="3" s="1"/>
  <c r="L1538" i="3" a="1"/>
  <c r="L1538" i="3" s="1"/>
  <c r="L1530" i="3" a="1"/>
  <c r="L1530" i="3" s="1"/>
  <c r="L1522" i="3" a="1"/>
  <c r="L1522" i="3" s="1"/>
  <c r="L1514" i="3" a="1"/>
  <c r="L1514" i="3" s="1"/>
  <c r="L1506" i="3" a="1"/>
  <c r="L1506" i="3" s="1"/>
  <c r="L1498" i="3" a="1"/>
  <c r="L1498" i="3" s="1"/>
  <c r="L1490" i="3" a="1"/>
  <c r="L1490" i="3" s="1"/>
  <c r="L1482" i="3" a="1"/>
  <c r="L1482" i="3" s="1"/>
  <c r="L1474" i="3" a="1"/>
  <c r="L1474" i="3" s="1"/>
  <c r="L1466" i="3" a="1"/>
  <c r="L1466" i="3" s="1"/>
  <c r="L1459" i="3" a="1"/>
  <c r="L1459" i="3" s="1"/>
  <c r="L1454" i="3" a="1"/>
  <c r="L1454" i="3" s="1"/>
  <c r="L1441" i="3" a="1"/>
  <c r="L1441" i="3" s="1"/>
  <c r="L1435" i="3" a="1"/>
  <c r="L1435" i="3" s="1"/>
  <c r="L1429" i="3" a="1"/>
  <c r="L1429" i="3" s="1"/>
  <c r="L1424" i="3" a="1"/>
  <c r="L1424" i="3" s="1"/>
  <c r="L1417" i="3" a="1"/>
  <c r="L1417" i="3" s="1"/>
  <c r="L1412" i="3" a="1"/>
  <c r="L1412" i="3" s="1"/>
  <c r="L1406" i="3" a="1"/>
  <c r="L1406" i="3" s="1"/>
  <c r="L1394" i="3" a="1"/>
  <c r="L1394" i="3" s="1"/>
  <c r="L1389" i="3" a="1"/>
  <c r="L1389" i="3" s="1"/>
  <c r="L1383" i="3" a="1"/>
  <c r="L1383" i="3" s="1"/>
  <c r="L1377" i="3" a="1"/>
  <c r="L1377" i="3" s="1"/>
  <c r="L1371" i="3" a="1"/>
  <c r="L1371" i="3" s="1"/>
  <c r="L1365" i="3" a="1"/>
  <c r="L1365" i="3" s="1"/>
  <c r="L1360" i="3" a="1"/>
  <c r="L1360" i="3" s="1"/>
  <c r="L1353" i="3" a="1"/>
  <c r="L1353" i="3" s="1"/>
  <c r="L1348" i="3" a="1"/>
  <c r="L1348" i="3" s="1"/>
  <c r="L1341" i="3" a="1"/>
  <c r="L1341" i="3" s="1"/>
  <c r="L1335" i="3" a="1"/>
  <c r="L1335" i="3" s="1"/>
  <c r="L1329" i="3" a="1"/>
  <c r="L1329" i="3" s="1"/>
  <c r="L1322" i="3" a="1"/>
  <c r="L1322" i="3" s="1"/>
  <c r="L1317" i="3" a="1"/>
  <c r="L1317" i="3" s="1"/>
  <c r="L1310" i="3" a="1"/>
  <c r="L1310" i="3" s="1"/>
  <c r="L1303" i="3" a="1"/>
  <c r="L1303" i="3" s="1"/>
  <c r="L1289" i="3" a="1"/>
  <c r="L1289" i="3" s="1"/>
  <c r="L1283" i="3" a="1"/>
  <c r="L1283" i="3" s="1"/>
  <c r="L1276" i="3" a="1"/>
  <c r="L1276" i="3" s="1"/>
  <c r="L1269" i="3" a="1"/>
  <c r="L1269" i="3" s="1"/>
  <c r="L1263" i="3" a="1"/>
  <c r="L1263" i="3" s="1"/>
  <c r="L1256" i="3" a="1"/>
  <c r="L1256" i="3" s="1"/>
  <c r="L1250" i="3" a="1"/>
  <c r="L1250" i="3" s="1"/>
  <c r="L1244" i="3" a="1"/>
  <c r="L1244" i="3" s="1"/>
  <c r="L1237" i="3" a="1"/>
  <c r="L1237" i="3" s="1"/>
  <c r="L1232" i="3" a="1"/>
  <c r="L1232" i="3" s="1"/>
  <c r="L1219" i="3" a="1"/>
  <c r="L1219" i="3" s="1"/>
  <c r="L1206" i="3" a="1"/>
  <c r="L1206" i="3" s="1"/>
  <c r="L1193" i="3" a="1"/>
  <c r="L1193" i="3" s="1"/>
  <c r="L1188" i="3" a="1"/>
  <c r="L1188" i="3" s="1"/>
  <c r="L1181" i="3" a="1"/>
  <c r="L1181" i="3" s="1"/>
  <c r="L1175" i="3" a="1"/>
  <c r="L1175" i="3" s="1"/>
  <c r="L1169" i="3" a="1"/>
  <c r="L1169" i="3" s="1"/>
  <c r="L1162" i="3" a="1"/>
  <c r="L1162" i="3" s="1"/>
  <c r="L1157" i="3" a="1"/>
  <c r="L1157" i="3" s="1"/>
  <c r="L1150" i="3" a="1"/>
  <c r="L1150" i="3" s="1"/>
  <c r="L1144" i="3" a="1"/>
  <c r="L1144" i="3" s="1"/>
  <c r="L1131" i="3" a="1"/>
  <c r="L1131" i="3" s="1"/>
  <c r="L1119" i="3" a="1"/>
  <c r="L1119" i="3" s="1"/>
  <c r="L1113" i="3" a="1"/>
  <c r="L1113" i="3" s="1"/>
  <c r="L1106" i="3" a="1"/>
  <c r="L1106" i="3" s="1"/>
  <c r="L1100" i="3" a="1"/>
  <c r="L1100" i="3" s="1"/>
  <c r="L1095" i="3" a="1"/>
  <c r="L1095" i="3" s="1"/>
  <c r="L1088" i="3" a="1"/>
  <c r="L1088" i="3" s="1"/>
  <c r="L1082" i="3" a="1"/>
  <c r="L1082" i="3" s="1"/>
  <c r="L1070" i="3" a="1"/>
  <c r="L1070" i="3" s="1"/>
  <c r="L1057" i="3" a="1"/>
  <c r="L1057" i="3" s="1"/>
  <c r="L1051" i="3" a="1"/>
  <c r="L1051" i="3" s="1"/>
  <c r="L1044" i="3" a="1"/>
  <c r="L1044" i="3" s="1"/>
  <c r="L1039" i="3" a="1"/>
  <c r="L1039" i="3" s="1"/>
  <c r="L1032" i="3" a="1"/>
  <c r="L1032" i="3" s="1"/>
  <c r="L1026" i="3" a="1"/>
  <c r="L1026" i="3" s="1"/>
  <c r="L1020" i="3" a="1"/>
  <c r="L1020" i="3" s="1"/>
  <c r="L1013" i="3" a="1"/>
  <c r="L1013" i="3" s="1"/>
  <c r="L1008" i="3" a="1"/>
  <c r="L1008" i="3" s="1"/>
  <c r="L995" i="3" a="1"/>
  <c r="L995" i="3" s="1"/>
  <c r="L987" i="3" a="1"/>
  <c r="L987" i="3" s="1"/>
  <c r="L973" i="3" a="1"/>
  <c r="L973" i="3" s="1"/>
  <c r="L966" i="3" a="1"/>
  <c r="L966" i="3" s="1"/>
  <c r="L958" i="3" a="1"/>
  <c r="L958" i="3" s="1"/>
  <c r="L949" i="3" a="1"/>
  <c r="L949" i="3" s="1"/>
  <c r="L942" i="3" a="1"/>
  <c r="L942" i="3" s="1"/>
  <c r="L921" i="3" a="1"/>
  <c r="L921" i="3" s="1"/>
  <c r="L908" i="3" a="1"/>
  <c r="L908" i="3" s="1"/>
  <c r="L892" i="3" a="1"/>
  <c r="L892" i="3" s="1"/>
  <c r="L876" i="3" a="1"/>
  <c r="L876" i="3" s="1"/>
  <c r="L826" i="3" a="1"/>
  <c r="L826" i="3" s="1"/>
  <c r="L809" i="3" a="1"/>
  <c r="L809" i="3" s="1"/>
  <c r="L782" i="3" a="1"/>
  <c r="L782" i="3" s="1"/>
  <c r="L756" i="3" a="1"/>
  <c r="L756" i="3" s="1"/>
  <c r="L729" i="3" a="1"/>
  <c r="L729" i="3" s="1"/>
  <c r="L670" i="3" a="1"/>
  <c r="L670" i="3" s="1"/>
  <c r="L618" i="3" a="1"/>
  <c r="L618" i="3" s="1"/>
  <c r="L1537" i="3" a="1"/>
  <c r="L1537" i="3" s="1"/>
  <c r="L1505" i="3" a="1"/>
  <c r="L1505" i="3" s="1"/>
  <c r="L1458" i="3" a="1"/>
  <c r="L1458" i="3" s="1"/>
  <c r="L1411" i="3" a="1"/>
  <c r="L1411" i="3" s="1"/>
  <c r="L1370" i="3" a="1"/>
  <c r="L1370" i="3" s="1"/>
  <c r="L1309" i="3" a="1"/>
  <c r="L1309" i="3" s="1"/>
  <c r="L1262" i="3" a="1"/>
  <c r="L1262" i="3" s="1"/>
  <c r="L1218" i="3" a="1"/>
  <c r="L1218" i="3" s="1"/>
  <c r="L1174" i="3" a="1"/>
  <c r="L1174" i="3" s="1"/>
  <c r="L1130" i="3" a="1"/>
  <c r="L1130" i="3" s="1"/>
  <c r="L1094" i="3" a="1"/>
  <c r="L1094" i="3" s="1"/>
  <c r="L1050" i="3" a="1"/>
  <c r="L1050" i="3" s="1"/>
  <c r="L1012" i="3" a="1"/>
  <c r="L1012" i="3" s="1"/>
  <c r="L979" i="3" a="1"/>
  <c r="L979" i="3" s="1"/>
  <c r="L933" i="3" a="1"/>
  <c r="L933" i="3" s="1"/>
  <c r="L891" i="3" a="1"/>
  <c r="L891" i="3" s="1"/>
  <c r="L779" i="3" a="1"/>
  <c r="L779" i="3" s="1"/>
  <c r="L751" i="3" a="1"/>
  <c r="L751" i="3" s="1"/>
  <c r="L698" i="3" a="1"/>
  <c r="L698" i="3" s="1"/>
  <c r="L664" i="3" a="1"/>
  <c r="L664" i="3" s="1"/>
  <c r="L1552" i="3" a="1"/>
  <c r="L1552" i="3" s="1"/>
  <c r="L1544" i="3" a="1"/>
  <c r="L1544" i="3" s="1"/>
  <c r="L1536" i="3" a="1"/>
  <c r="L1536" i="3" s="1"/>
  <c r="L1528" i="3" a="1"/>
  <c r="L1528" i="3" s="1"/>
  <c r="L1520" i="3" a="1"/>
  <c r="L1520" i="3" s="1"/>
  <c r="L1512" i="3" a="1"/>
  <c r="L1512" i="3" s="1"/>
  <c r="L1504" i="3" a="1"/>
  <c r="L1504" i="3" s="1"/>
  <c r="L1496" i="3" a="1"/>
  <c r="L1496" i="3" s="1"/>
  <c r="L1488" i="3" a="1"/>
  <c r="L1488" i="3" s="1"/>
  <c r="L1480" i="3" a="1"/>
  <c r="L1480" i="3" s="1"/>
  <c r="L1472" i="3" a="1"/>
  <c r="L1472" i="3" s="1"/>
  <c r="L1464" i="3" a="1"/>
  <c r="L1464" i="3" s="1"/>
  <c r="L1452" i="3" a="1"/>
  <c r="L1452" i="3" s="1"/>
  <c r="L1446" i="3" a="1"/>
  <c r="L1446" i="3" s="1"/>
  <c r="L1423" i="3" a="1"/>
  <c r="L1423" i="3" s="1"/>
  <c r="L1416" i="3" a="1"/>
  <c r="L1416" i="3" s="1"/>
  <c r="L1410" i="3" a="1"/>
  <c r="L1410" i="3" s="1"/>
  <c r="L1399" i="3" a="1"/>
  <c r="L1399" i="3" s="1"/>
  <c r="L1393" i="3" a="1"/>
  <c r="L1393" i="3" s="1"/>
  <c r="L1387" i="3" a="1"/>
  <c r="L1387" i="3" s="1"/>
  <c r="L1359" i="3" a="1"/>
  <c r="L1359" i="3" s="1"/>
  <c r="L1352" i="3" a="1"/>
  <c r="L1352" i="3" s="1"/>
  <c r="L1346" i="3" a="1"/>
  <c r="L1346" i="3" s="1"/>
  <c r="L1340" i="3" a="1"/>
  <c r="L1340" i="3" s="1"/>
  <c r="L1333" i="3" a="1"/>
  <c r="L1333" i="3" s="1"/>
  <c r="L1328" i="3" a="1"/>
  <c r="L1328" i="3" s="1"/>
  <c r="L1315" i="3" a="1"/>
  <c r="L1315" i="3" s="1"/>
  <c r="L1308" i="3" a="1"/>
  <c r="L1308" i="3" s="1"/>
  <c r="L1301" i="3" a="1"/>
  <c r="L1301" i="3" s="1"/>
  <c r="L1295" i="3" a="1"/>
  <c r="L1295" i="3" s="1"/>
  <c r="L1288" i="3" a="1"/>
  <c r="L1288" i="3" s="1"/>
  <c r="L1281" i="3" a="1"/>
  <c r="L1281" i="3" s="1"/>
  <c r="L1274" i="3" a="1"/>
  <c r="L1274" i="3" s="1"/>
  <c r="L1267" i="3" a="1"/>
  <c r="L1267" i="3" s="1"/>
  <c r="L1261" i="3" a="1"/>
  <c r="L1261" i="3" s="1"/>
  <c r="L1255" i="3" a="1"/>
  <c r="L1255" i="3" s="1"/>
  <c r="L1248" i="3" a="1"/>
  <c r="L1248" i="3" s="1"/>
  <c r="L1242" i="3" a="1"/>
  <c r="L1242" i="3" s="1"/>
  <c r="L1230" i="3" a="1"/>
  <c r="L1230" i="3" s="1"/>
  <c r="L1217" i="3" a="1"/>
  <c r="L1217" i="3" s="1"/>
  <c r="L1211" i="3" a="1"/>
  <c r="L1211" i="3" s="1"/>
  <c r="L1204" i="3" a="1"/>
  <c r="L1204" i="3" s="1"/>
  <c r="L1199" i="3" a="1"/>
  <c r="L1199" i="3" s="1"/>
  <c r="L1192" i="3" a="1"/>
  <c r="L1192" i="3" s="1"/>
  <c r="L1186" i="3" a="1"/>
  <c r="L1186" i="3" s="1"/>
  <c r="L1180" i="3" a="1"/>
  <c r="L1180" i="3" s="1"/>
  <c r="L1173" i="3" a="1"/>
  <c r="L1173" i="3" s="1"/>
  <c r="L1168" i="3" a="1"/>
  <c r="L1168" i="3" s="1"/>
  <c r="L1155" i="3" a="1"/>
  <c r="L1155" i="3" s="1"/>
  <c r="L1142" i="3" a="1"/>
  <c r="L1142" i="3" s="1"/>
  <c r="L1129" i="3" a="1"/>
  <c r="L1129" i="3" s="1"/>
  <c r="L1124" i="3" a="1"/>
  <c r="L1124" i="3" s="1"/>
  <c r="L1117" i="3" a="1"/>
  <c r="L1117" i="3" s="1"/>
  <c r="L1111" i="3" a="1"/>
  <c r="L1111" i="3" s="1"/>
  <c r="L1105" i="3" a="1"/>
  <c r="L1105" i="3" s="1"/>
  <c r="L1098" i="3" a="1"/>
  <c r="L1098" i="3" s="1"/>
  <c r="L1093" i="3" a="1"/>
  <c r="L1093" i="3" s="1"/>
  <c r="L1087" i="3" a="1"/>
  <c r="L1087" i="3" s="1"/>
  <c r="L1081" i="3" a="1"/>
  <c r="L1081" i="3" s="1"/>
  <c r="L1074" i="3" a="1"/>
  <c r="L1074" i="3" s="1"/>
  <c r="L1068" i="3" a="1"/>
  <c r="L1068" i="3" s="1"/>
  <c r="L1062" i="3" a="1"/>
  <c r="L1062" i="3" s="1"/>
  <c r="L1043" i="3" a="1"/>
  <c r="L1043" i="3" s="1"/>
  <c r="L1037" i="3" a="1"/>
  <c r="L1037" i="3" s="1"/>
  <c r="L1031" i="3" a="1"/>
  <c r="L1031" i="3" s="1"/>
  <c r="L1024" i="3" a="1"/>
  <c r="L1024" i="3" s="1"/>
  <c r="L1018" i="3" a="1"/>
  <c r="L1018" i="3" s="1"/>
  <c r="L1006" i="3" a="1"/>
  <c r="L1006" i="3" s="1"/>
  <c r="L992" i="3" a="1"/>
  <c r="L992" i="3" s="1"/>
  <c r="L978" i="3" a="1"/>
  <c r="L978" i="3" s="1"/>
  <c r="L971" i="3" a="1"/>
  <c r="L971" i="3" s="1"/>
  <c r="L965" i="3" a="1"/>
  <c r="L965" i="3" s="1"/>
  <c r="L956" i="3" a="1"/>
  <c r="L956" i="3" s="1"/>
  <c r="L939" i="3" a="1"/>
  <c r="L939" i="3" s="1"/>
  <c r="L930" i="3" a="1"/>
  <c r="L930" i="3" s="1"/>
  <c r="L917" i="3" a="1"/>
  <c r="L917" i="3" s="1"/>
  <c r="L888" i="3" a="1"/>
  <c r="L888" i="3" s="1"/>
  <c r="L873" i="3" a="1"/>
  <c r="L873" i="3" s="1"/>
  <c r="L856" i="3" a="1"/>
  <c r="L856" i="3" s="1"/>
  <c r="L839" i="3" a="1"/>
  <c r="L839" i="3" s="1"/>
  <c r="L822" i="3" a="1"/>
  <c r="L822" i="3" s="1"/>
  <c r="L803" i="3" a="1"/>
  <c r="L803" i="3" s="1"/>
  <c r="L776" i="3" a="1"/>
  <c r="L776" i="3" s="1"/>
  <c r="L749" i="3" a="1"/>
  <c r="L749" i="3" s="1"/>
  <c r="L722" i="3" a="1"/>
  <c r="L722" i="3" s="1"/>
  <c r="L695" i="3" a="1"/>
  <c r="L695" i="3" s="1"/>
  <c r="L657" i="3" a="1"/>
  <c r="L657" i="3" s="1"/>
  <c r="L608" i="3" a="1"/>
  <c r="L608" i="3" s="1"/>
  <c r="L1553" i="3" a="1"/>
  <c r="L1553" i="3" s="1"/>
  <c r="L1497" i="3" a="1"/>
  <c r="L1497" i="3" s="1"/>
  <c r="L1447" i="3" a="1"/>
  <c r="L1447" i="3" s="1"/>
  <c r="L1400" i="3" a="1"/>
  <c r="L1400" i="3" s="1"/>
  <c r="L1334" i="3" a="1"/>
  <c r="L1334" i="3" s="1"/>
  <c r="L1282" i="3" a="1"/>
  <c r="L1282" i="3" s="1"/>
  <c r="L1236" i="3" a="1"/>
  <c r="L1236" i="3" s="1"/>
  <c r="L1205" i="3" a="1"/>
  <c r="L1205" i="3" s="1"/>
  <c r="L1143" i="3" a="1"/>
  <c r="L1143" i="3" s="1"/>
  <c r="L1112" i="3" a="1"/>
  <c r="L1112" i="3" s="1"/>
  <c r="L1063" i="3" a="1"/>
  <c r="L1063" i="3" s="1"/>
  <c r="L1019" i="3" a="1"/>
  <c r="L1019" i="3" s="1"/>
  <c r="L986" i="3" a="1"/>
  <c r="L986" i="3" s="1"/>
  <c r="L940" i="3" a="1"/>
  <c r="L940" i="3" s="1"/>
  <c r="L843" i="3" a="1"/>
  <c r="L843" i="3" s="1"/>
  <c r="L1551" i="3" a="1"/>
  <c r="L1551" i="3" s="1"/>
  <c r="L1543" i="3" a="1"/>
  <c r="L1543" i="3" s="1"/>
  <c r="L1535" i="3" a="1"/>
  <c r="L1535" i="3" s="1"/>
  <c r="L1527" i="3" a="1"/>
  <c r="L1527" i="3" s="1"/>
  <c r="L1519" i="3" a="1"/>
  <c r="L1519" i="3" s="1"/>
  <c r="L1511" i="3" a="1"/>
  <c r="L1511" i="3" s="1"/>
  <c r="L1503" i="3" a="1"/>
  <c r="L1503" i="3" s="1"/>
  <c r="L1495" i="3" a="1"/>
  <c r="L1495" i="3" s="1"/>
  <c r="L1487" i="3" a="1"/>
  <c r="L1487" i="3" s="1"/>
  <c r="L1479" i="3" a="1"/>
  <c r="L1479" i="3" s="1"/>
  <c r="L1471" i="3" a="1"/>
  <c r="L1471" i="3" s="1"/>
  <c r="L1463" i="3" a="1"/>
  <c r="L1463" i="3" s="1"/>
  <c r="L1457" i="3" a="1"/>
  <c r="L1457" i="3" s="1"/>
  <c r="L1451" i="3" a="1"/>
  <c r="L1451" i="3" s="1"/>
  <c r="L1445" i="3" a="1"/>
  <c r="L1445" i="3" s="1"/>
  <c r="L1439" i="3" a="1"/>
  <c r="L1439" i="3" s="1"/>
  <c r="L1433" i="3" a="1"/>
  <c r="L1433" i="3" s="1"/>
  <c r="L1427" i="3" a="1"/>
  <c r="L1427" i="3" s="1"/>
  <c r="L1422" i="3" a="1"/>
  <c r="L1422" i="3" s="1"/>
  <c r="L1404" i="3" a="1"/>
  <c r="L1404" i="3" s="1"/>
  <c r="L1398" i="3" a="1"/>
  <c r="L1398" i="3" s="1"/>
  <c r="L1386" i="3" a="1"/>
  <c r="L1386" i="3" s="1"/>
  <c r="L1381" i="3" a="1"/>
  <c r="L1381" i="3" s="1"/>
  <c r="L1375" i="3" a="1"/>
  <c r="L1375" i="3" s="1"/>
  <c r="L1369" i="3" a="1"/>
  <c r="L1369" i="3" s="1"/>
  <c r="L1363" i="3" a="1"/>
  <c r="L1363" i="3" s="1"/>
  <c r="L1358" i="3" a="1"/>
  <c r="L1358" i="3" s="1"/>
  <c r="L1345" i="3" a="1"/>
  <c r="L1345" i="3" s="1"/>
  <c r="L1339" i="3" a="1"/>
  <c r="L1339" i="3" s="1"/>
  <c r="L1332" i="3" a="1"/>
  <c r="L1332" i="3" s="1"/>
  <c r="L1327" i="3" a="1"/>
  <c r="L1327" i="3" s="1"/>
  <c r="L1320" i="3" a="1"/>
  <c r="L1320" i="3" s="1"/>
  <c r="L1314" i="3" a="1"/>
  <c r="L1314" i="3" s="1"/>
  <c r="L1307" i="3" a="1"/>
  <c r="L1307" i="3" s="1"/>
  <c r="L1300" i="3" a="1"/>
  <c r="L1300" i="3" s="1"/>
  <c r="L1294" i="3" a="1"/>
  <c r="L1294" i="3" s="1"/>
  <c r="L1280" i="3" a="1"/>
  <c r="L1280" i="3" s="1"/>
  <c r="L1266" i="3" a="1"/>
  <c r="L1266" i="3" s="1"/>
  <c r="L1260" i="3" a="1"/>
  <c r="L1260" i="3" s="1"/>
  <c r="L1254" i="3" a="1"/>
  <c r="L1254" i="3" s="1"/>
  <c r="L1235" i="3" a="1"/>
  <c r="L1235" i="3" s="1"/>
  <c r="L1229" i="3" a="1"/>
  <c r="L1229" i="3" s="1"/>
  <c r="L1223" i="3" a="1"/>
  <c r="L1223" i="3" s="1"/>
  <c r="L1216" i="3" a="1"/>
  <c r="L1216" i="3" s="1"/>
  <c r="L1210" i="3" a="1"/>
  <c r="L1210" i="3" s="1"/>
  <c r="L1198" i="3" a="1"/>
  <c r="L1198" i="3" s="1"/>
  <c r="L1185" i="3" a="1"/>
  <c r="L1185" i="3" s="1"/>
  <c r="L1179" i="3" a="1"/>
  <c r="L1179" i="3" s="1"/>
  <c r="L1172" i="3" a="1"/>
  <c r="L1172" i="3" s="1"/>
  <c r="L1167" i="3" a="1"/>
  <c r="L1167" i="3" s="1"/>
  <c r="L1160" i="3" a="1"/>
  <c r="L1160" i="3" s="1"/>
  <c r="L1154" i="3" a="1"/>
  <c r="L1154" i="3" s="1"/>
  <c r="L1148" i="3" a="1"/>
  <c r="L1148" i="3" s="1"/>
  <c r="L1141" i="3" a="1"/>
  <c r="L1141" i="3" s="1"/>
  <c r="L1136" i="3" a="1"/>
  <c r="L1136" i="3" s="1"/>
  <c r="L1123" i="3" a="1"/>
  <c r="L1123" i="3" s="1"/>
  <c r="L1110" i="3" a="1"/>
  <c r="L1110" i="3" s="1"/>
  <c r="L1092" i="3" a="1"/>
  <c r="L1092" i="3" s="1"/>
  <c r="L1086" i="3" a="1"/>
  <c r="L1086" i="3" s="1"/>
  <c r="L1080" i="3" a="1"/>
  <c r="L1080" i="3" s="1"/>
  <c r="L1067" i="3" a="1"/>
  <c r="L1067" i="3" s="1"/>
  <c r="L1055" i="3" a="1"/>
  <c r="L1055" i="3" s="1"/>
  <c r="L1049" i="3" a="1"/>
  <c r="L1049" i="3" s="1"/>
  <c r="L1042" i="3" a="1"/>
  <c r="L1042" i="3" s="1"/>
  <c r="L1036" i="3" a="1"/>
  <c r="L1036" i="3" s="1"/>
  <c r="L1030" i="3" a="1"/>
  <c r="L1030" i="3" s="1"/>
  <c r="L1011" i="3" a="1"/>
  <c r="L1011" i="3" s="1"/>
  <c r="L1005" i="3" a="1"/>
  <c r="L1005" i="3" s="1"/>
  <c r="L999" i="3" a="1"/>
  <c r="L999" i="3" s="1"/>
  <c r="L985" i="3" a="1"/>
  <c r="L985" i="3" s="1"/>
  <c r="L970" i="3" a="1"/>
  <c r="L970" i="3" s="1"/>
  <c r="L964" i="3" a="1"/>
  <c r="L964" i="3" s="1"/>
  <c r="L955" i="3" a="1"/>
  <c r="L955" i="3" s="1"/>
  <c r="L946" i="3" a="1"/>
  <c r="L946" i="3" s="1"/>
  <c r="L938" i="3" a="1"/>
  <c r="L938" i="3" s="1"/>
  <c r="L915" i="3" a="1"/>
  <c r="L915" i="3" s="1"/>
  <c r="L903" i="3" a="1"/>
  <c r="L903" i="3" s="1"/>
  <c r="L886" i="3" a="1"/>
  <c r="L886" i="3" s="1"/>
  <c r="L871" i="3" a="1"/>
  <c r="L871" i="3" s="1"/>
  <c r="L855" i="3" a="1"/>
  <c r="L855" i="3" s="1"/>
  <c r="L819" i="3" a="1"/>
  <c r="L819" i="3" s="1"/>
  <c r="L798" i="3" a="1"/>
  <c r="L798" i="3" s="1"/>
  <c r="L772" i="3" a="1"/>
  <c r="L772" i="3" s="1"/>
  <c r="L745" i="3" a="1"/>
  <c r="L745" i="3" s="1"/>
  <c r="L691" i="3" a="1"/>
  <c r="L691" i="3" s="1"/>
  <c r="L651" i="3" a="1"/>
  <c r="L651" i="3" s="1"/>
  <c r="L603" i="3" a="1"/>
  <c r="L603" i="3" s="1"/>
  <c r="L1545" i="3" a="1"/>
  <c r="L1545" i="3" s="1"/>
  <c r="L1489" i="3" a="1"/>
  <c r="L1489" i="3" s="1"/>
  <c r="L1453" i="3" a="1"/>
  <c r="L1453" i="3" s="1"/>
  <c r="L1405" i="3" a="1"/>
  <c r="L1405" i="3" s="1"/>
  <c r="L1364" i="3" a="1"/>
  <c r="L1364" i="3" s="1"/>
  <c r="L1302" i="3" a="1"/>
  <c r="L1302" i="3" s="1"/>
  <c r="L1243" i="3" a="1"/>
  <c r="L1243" i="3" s="1"/>
  <c r="L1200" i="3" a="1"/>
  <c r="L1200" i="3" s="1"/>
  <c r="L1149" i="3" a="1"/>
  <c r="L1149" i="3" s="1"/>
  <c r="L1118" i="3" a="1"/>
  <c r="L1118" i="3" s="1"/>
  <c r="L1069" i="3" a="1"/>
  <c r="L1069" i="3" s="1"/>
  <c r="L1025" i="3" a="1"/>
  <c r="L1025" i="3" s="1"/>
  <c r="L993" i="3" a="1"/>
  <c r="L993" i="3" s="1"/>
  <c r="L948" i="3" a="1"/>
  <c r="L948" i="3" s="1"/>
  <c r="L859" i="3" a="1"/>
  <c r="L859" i="3" s="1"/>
  <c r="L1550" i="3" a="1"/>
  <c r="L1550" i="3" s="1"/>
  <c r="L1534" i="3" a="1"/>
  <c r="L1534" i="3" s="1"/>
  <c r="L1526" i="3" a="1"/>
  <c r="L1526" i="3" s="1"/>
  <c r="L1518" i="3" a="1"/>
  <c r="L1518" i="3" s="1"/>
  <c r="L1510" i="3" a="1"/>
  <c r="L1510" i="3" s="1"/>
  <c r="L1502" i="3" a="1"/>
  <c r="L1502" i="3" s="1"/>
  <c r="L1494" i="3" a="1"/>
  <c r="L1494" i="3" s="1"/>
  <c r="L1486" i="3" a="1"/>
  <c r="L1486" i="3" s="1"/>
  <c r="L1478" i="3" a="1"/>
  <c r="L1478" i="3" s="1"/>
  <c r="L1470" i="3" a="1"/>
  <c r="L1470" i="3" s="1"/>
  <c r="L1450" i="3" a="1"/>
  <c r="L1450" i="3" s="1"/>
  <c r="L1444" i="3" a="1"/>
  <c r="L1444" i="3" s="1"/>
  <c r="L1438" i="3" a="1"/>
  <c r="L1438" i="3" s="1"/>
  <c r="L1426" i="3" a="1"/>
  <c r="L1426" i="3" s="1"/>
  <c r="L1421" i="3" a="1"/>
  <c r="L1421" i="3" s="1"/>
  <c r="L1415" i="3" a="1"/>
  <c r="L1415" i="3" s="1"/>
  <c r="L1409" i="3" a="1"/>
  <c r="L1409" i="3" s="1"/>
  <c r="L1403" i="3" a="1"/>
  <c r="L1403" i="3" s="1"/>
  <c r="L1397" i="3" a="1"/>
  <c r="L1397" i="3" s="1"/>
  <c r="L1392" i="3" a="1"/>
  <c r="L1392" i="3" s="1"/>
  <c r="L1385" i="3" a="1"/>
  <c r="L1385" i="3" s="1"/>
  <c r="L1380" i="3" a="1"/>
  <c r="L1380" i="3" s="1"/>
  <c r="L1374" i="3" a="1"/>
  <c r="L1374" i="3" s="1"/>
  <c r="L1362" i="3" a="1"/>
  <c r="L1362" i="3" s="1"/>
  <c r="L1357" i="3" a="1"/>
  <c r="L1357" i="3" s="1"/>
  <c r="L1351" i="3" a="1"/>
  <c r="L1351" i="3" s="1"/>
  <c r="L1344" i="3" a="1"/>
  <c r="L1344" i="3" s="1"/>
  <c r="L1338" i="3" a="1"/>
  <c r="L1338" i="3" s="1"/>
  <c r="L1326" i="3" a="1"/>
  <c r="L1326" i="3" s="1"/>
  <c r="L1313" i="3" a="1"/>
  <c r="L1313" i="3" s="1"/>
  <c r="L1306" i="3" a="1"/>
  <c r="L1306" i="3" s="1"/>
  <c r="L1299" i="3" a="1"/>
  <c r="L1299" i="3" s="1"/>
  <c r="L1293" i="3" a="1"/>
  <c r="L1293" i="3" s="1"/>
  <c r="L1287" i="3" a="1"/>
  <c r="L1287" i="3" s="1"/>
  <c r="L1273" i="3" a="1"/>
  <c r="L1273" i="3" s="1"/>
  <c r="L1259" i="3" a="1"/>
  <c r="L1259" i="3" s="1"/>
  <c r="L1247" i="3" a="1"/>
  <c r="L1247" i="3" s="1"/>
  <c r="L1241" i="3" a="1"/>
  <c r="L1241" i="3" s="1"/>
  <c r="L1234" i="3" a="1"/>
  <c r="L1234" i="3" s="1"/>
  <c r="L1228" i="3" a="1"/>
  <c r="L1228" i="3" s="1"/>
  <c r="L1222" i="3" a="1"/>
  <c r="L1222" i="3" s="1"/>
  <c r="L1203" i="3" a="1"/>
  <c r="L1203" i="3" s="1"/>
  <c r="L1197" i="3" a="1"/>
  <c r="L1197" i="3" s="1"/>
  <c r="L1191" i="3" a="1"/>
  <c r="L1191" i="3" s="1"/>
  <c r="L1184" i="3" a="1"/>
  <c r="L1184" i="3" s="1"/>
  <c r="L1178" i="3" a="1"/>
  <c r="L1178" i="3" s="1"/>
  <c r="L1166" i="3" a="1"/>
  <c r="L1166" i="3" s="1"/>
  <c r="L1153" i="3" a="1"/>
  <c r="L1153" i="3" s="1"/>
  <c r="L1147" i="3" a="1"/>
  <c r="L1147" i="3" s="1"/>
  <c r="L1140" i="3" a="1"/>
  <c r="L1140" i="3" s="1"/>
  <c r="L1135" i="3" a="1"/>
  <c r="L1135" i="3" s="1"/>
  <c r="L1128" i="3" a="1"/>
  <c r="L1128" i="3" s="1"/>
  <c r="L1122" i="3" a="1"/>
  <c r="L1122" i="3" s="1"/>
  <c r="L1116" i="3" a="1"/>
  <c r="L1116" i="3" s="1"/>
  <c r="L1109" i="3" a="1"/>
  <c r="L1109" i="3" s="1"/>
  <c r="L1104" i="3" a="1"/>
  <c r="L1104" i="3" s="1"/>
  <c r="L1097" i="3" a="1"/>
  <c r="L1097" i="3" s="1"/>
  <c r="L1091" i="3" a="1"/>
  <c r="L1091" i="3" s="1"/>
  <c r="L1085" i="3" a="1"/>
  <c r="L1085" i="3" s="1"/>
  <c r="L1079" i="3" a="1"/>
  <c r="L1079" i="3" s="1"/>
  <c r="L1073" i="3" a="1"/>
  <c r="L1073" i="3" s="1"/>
  <c r="L1066" i="3" a="1"/>
  <c r="L1066" i="3" s="1"/>
  <c r="L1061" i="3" a="1"/>
  <c r="L1061" i="3" s="1"/>
  <c r="L1054" i="3" a="1"/>
  <c r="L1054" i="3" s="1"/>
  <c r="L1048" i="3" a="1"/>
  <c r="L1048" i="3" s="1"/>
  <c r="L1035" i="3" a="1"/>
  <c r="L1035" i="3" s="1"/>
  <c r="L1023" i="3" a="1"/>
  <c r="L1023" i="3" s="1"/>
  <c r="L1017" i="3" a="1"/>
  <c r="L1017" i="3" s="1"/>
  <c r="L1010" i="3" a="1"/>
  <c r="L1010" i="3" s="1"/>
  <c r="L1004" i="3" a="1"/>
  <c r="L1004" i="3" s="1"/>
  <c r="L998" i="3" a="1"/>
  <c r="L998" i="3" s="1"/>
  <c r="L991" i="3" a="1"/>
  <c r="L991" i="3" s="1"/>
  <c r="L984" i="3" a="1"/>
  <c r="L984" i="3" s="1"/>
  <c r="L977" i="3" a="1"/>
  <c r="L977" i="3" s="1"/>
  <c r="L969" i="3" a="1"/>
  <c r="L969" i="3" s="1"/>
  <c r="L962" i="3" a="1"/>
  <c r="L962" i="3" s="1"/>
  <c r="L954" i="3" a="1"/>
  <c r="L954" i="3" s="1"/>
  <c r="L927" i="3" a="1"/>
  <c r="L927" i="3" s="1"/>
  <c r="L914" i="3" a="1"/>
  <c r="L914" i="3" s="1"/>
  <c r="L900" i="3" a="1"/>
  <c r="L900" i="3" s="1"/>
  <c r="L885" i="3" a="1"/>
  <c r="L885" i="3" s="1"/>
  <c r="L869" i="3" a="1"/>
  <c r="L869" i="3" s="1"/>
  <c r="L836" i="3" a="1"/>
  <c r="L836" i="3" s="1"/>
  <c r="L816" i="3" a="1"/>
  <c r="L816" i="3" s="1"/>
  <c r="L796" i="3" a="1"/>
  <c r="L796" i="3" s="1"/>
  <c r="L769" i="3" a="1"/>
  <c r="L769" i="3" s="1"/>
  <c r="L742" i="3" a="1"/>
  <c r="L742" i="3" s="1"/>
  <c r="L688" i="3" a="1"/>
  <c r="L688" i="3" s="1"/>
  <c r="L644" i="3" a="1"/>
  <c r="L644" i="3" s="1"/>
  <c r="L1529" i="3" a="1"/>
  <c r="L1529" i="3" s="1"/>
  <c r="L1481" i="3" a="1"/>
  <c r="L1481" i="3" s="1"/>
  <c r="L1440" i="3" a="1"/>
  <c r="L1440" i="3" s="1"/>
  <c r="L1388" i="3" a="1"/>
  <c r="L1388" i="3" s="1"/>
  <c r="L1347" i="3" a="1"/>
  <c r="L1347" i="3" s="1"/>
  <c r="L1296" i="3" a="1"/>
  <c r="L1296" i="3" s="1"/>
  <c r="L1249" i="3" a="1"/>
  <c r="L1249" i="3" s="1"/>
  <c r="L1212" i="3" a="1"/>
  <c r="L1212" i="3" s="1"/>
  <c r="L1156" i="3" a="1"/>
  <c r="L1156" i="3" s="1"/>
  <c r="L1125" i="3" a="1"/>
  <c r="L1125" i="3" s="1"/>
  <c r="L1075" i="3" a="1"/>
  <c r="L1075" i="3" s="1"/>
  <c r="L1038" i="3" a="1"/>
  <c r="L1038" i="3" s="1"/>
  <c r="L1000" i="3" a="1"/>
  <c r="L1000" i="3" s="1"/>
  <c r="L957" i="3" a="1"/>
  <c r="L957" i="3" s="1"/>
  <c r="L905" i="3" a="1"/>
  <c r="L905" i="3" s="1"/>
  <c r="L823" i="3" a="1"/>
  <c r="L823" i="3" s="1"/>
  <c r="L1542" i="3" a="1"/>
  <c r="L1542" i="3" s="1"/>
  <c r="L1541" i="3" a="1"/>
  <c r="L1541" i="3" s="1"/>
  <c r="L1525" i="3" a="1"/>
  <c r="L1525" i="3" s="1"/>
  <c r="L1509" i="3" a="1"/>
  <c r="L1509" i="3" s="1"/>
  <c r="L1501" i="3" a="1"/>
  <c r="L1501" i="3" s="1"/>
  <c r="L1493" i="3" a="1"/>
  <c r="L1493" i="3" s="1"/>
  <c r="L1485" i="3" a="1"/>
  <c r="L1485" i="3" s="1"/>
  <c r="L1477" i="3" a="1"/>
  <c r="L1477" i="3" s="1"/>
  <c r="L1469" i="3" a="1"/>
  <c r="L1469" i="3" s="1"/>
  <c r="L1462" i="3" a="1"/>
  <c r="L1462" i="3" s="1"/>
  <c r="L1456" i="3" a="1"/>
  <c r="L1456" i="3" s="1"/>
  <c r="L1449" i="3" a="1"/>
  <c r="L1449" i="3" s="1"/>
  <c r="L1443" i="3" a="1"/>
  <c r="L1443" i="3" s="1"/>
  <c r="L1437" i="3" a="1"/>
  <c r="L1437" i="3" s="1"/>
  <c r="L1432" i="3" a="1"/>
  <c r="L1432" i="3" s="1"/>
  <c r="L1420" i="3" a="1"/>
  <c r="L1420" i="3" s="1"/>
  <c r="L1414" i="3" a="1"/>
  <c r="L1414" i="3" s="1"/>
  <c r="L1408" i="3" a="1"/>
  <c r="L1408" i="3" s="1"/>
  <c r="L1402" i="3" a="1"/>
  <c r="L1402" i="3" s="1"/>
  <c r="L1396" i="3" a="1"/>
  <c r="L1396" i="3" s="1"/>
  <c r="L1379" i="3" a="1"/>
  <c r="L1379" i="3" s="1"/>
  <c r="L1373" i="3" a="1"/>
  <c r="L1373" i="3" s="1"/>
  <c r="L1368" i="3" a="1"/>
  <c r="L1368" i="3" s="1"/>
  <c r="L1356" i="3" a="1"/>
  <c r="L1356" i="3" s="1"/>
  <c r="L1350" i="3" a="1"/>
  <c r="L1350" i="3" s="1"/>
  <c r="L1331" i="3" a="1"/>
  <c r="L1331" i="3" s="1"/>
  <c r="L1325" i="3" a="1"/>
  <c r="L1325" i="3" s="1"/>
  <c r="L1319" i="3" a="1"/>
  <c r="L1319" i="3" s="1"/>
  <c r="L1312" i="3" a="1"/>
  <c r="L1312" i="3" s="1"/>
  <c r="L1298" i="3" a="1"/>
  <c r="L1298" i="3" s="1"/>
  <c r="L1292" i="3" a="1"/>
  <c r="L1292" i="3" s="1"/>
  <c r="L1286" i="3" a="1"/>
  <c r="L1286" i="3" s="1"/>
  <c r="L1279" i="3" a="1"/>
  <c r="L1279" i="3" s="1"/>
  <c r="L1272" i="3" a="1"/>
  <c r="L1272" i="3" s="1"/>
  <c r="L1265" i="3" a="1"/>
  <c r="L1265" i="3" s="1"/>
  <c r="L1258" i="3" a="1"/>
  <c r="L1258" i="3" s="1"/>
  <c r="L1253" i="3" a="1"/>
  <c r="L1253" i="3" s="1"/>
  <c r="L1246" i="3" a="1"/>
  <c r="L1246" i="3" s="1"/>
  <c r="L1240" i="3" a="1"/>
  <c r="L1240" i="3" s="1"/>
  <c r="L1227" i="3" a="1"/>
  <c r="L1227" i="3" s="1"/>
  <c r="L1215" i="3" a="1"/>
  <c r="L1215" i="3" s="1"/>
  <c r="L1209" i="3" a="1"/>
  <c r="L1209" i="3" s="1"/>
  <c r="L1202" i="3" a="1"/>
  <c r="L1202" i="3" s="1"/>
  <c r="L1196" i="3" a="1"/>
  <c r="L1196" i="3" s="1"/>
  <c r="L1190" i="3" a="1"/>
  <c r="L1190" i="3" s="1"/>
  <c r="L1171" i="3" a="1"/>
  <c r="L1171" i="3" s="1"/>
  <c r="L1165" i="3" a="1"/>
  <c r="L1165" i="3" s="1"/>
  <c r="L1159" i="3" a="1"/>
  <c r="L1159" i="3" s="1"/>
  <c r="L1152" i="3" a="1"/>
  <c r="L1152" i="3" s="1"/>
  <c r="L1146" i="3" a="1"/>
  <c r="L1146" i="3" s="1"/>
  <c r="L1134" i="3" a="1"/>
  <c r="L1134" i="3" s="1"/>
  <c r="L1121" i="3" a="1"/>
  <c r="L1121" i="3" s="1"/>
  <c r="L1115" i="3" a="1"/>
  <c r="L1115" i="3" s="1"/>
  <c r="L1108" i="3" a="1"/>
  <c r="L1108" i="3" s="1"/>
  <c r="L1103" i="3" a="1"/>
  <c r="L1103" i="3" s="1"/>
  <c r="L1090" i="3" a="1"/>
  <c r="L1090" i="3" s="1"/>
  <c r="L1078" i="3" a="1"/>
  <c r="L1078" i="3" s="1"/>
  <c r="L1065" i="3" a="1"/>
  <c r="L1065" i="3" s="1"/>
  <c r="L1060" i="3" a="1"/>
  <c r="L1060" i="3" s="1"/>
  <c r="L1053" i="3" a="1"/>
  <c r="L1053" i="3" s="1"/>
  <c r="L1047" i="3" a="1"/>
  <c r="L1047" i="3" s="1"/>
  <c r="L1041" i="3" a="1"/>
  <c r="L1041" i="3" s="1"/>
  <c r="L1034" i="3" a="1"/>
  <c r="L1034" i="3" s="1"/>
  <c r="L1029" i="3" a="1"/>
  <c r="L1029" i="3" s="1"/>
  <c r="L1022" i="3" a="1"/>
  <c r="L1022" i="3" s="1"/>
  <c r="L1016" i="3" a="1"/>
  <c r="L1016" i="3" s="1"/>
  <c r="L1003" i="3" a="1"/>
  <c r="L1003" i="3" s="1"/>
  <c r="L990" i="3" a="1"/>
  <c r="L990" i="3" s="1"/>
  <c r="L983" i="3" a="1"/>
  <c r="L983" i="3" s="1"/>
  <c r="L968" i="3" a="1"/>
  <c r="L968" i="3" s="1"/>
  <c r="L961" i="3" a="1"/>
  <c r="L961" i="3" s="1"/>
  <c r="L953" i="3" a="1"/>
  <c r="L953" i="3" s="1"/>
  <c r="L945" i="3" a="1"/>
  <c r="L945" i="3" s="1"/>
  <c r="L936" i="3" a="1"/>
  <c r="L936" i="3" s="1"/>
  <c r="L926" i="3" a="1"/>
  <c r="L926" i="3" s="1"/>
  <c r="L897" i="3" a="1"/>
  <c r="L897" i="3" s="1"/>
  <c r="L882" i="3" a="1"/>
  <c r="L882" i="3" s="1"/>
  <c r="L868" i="3" a="1"/>
  <c r="L868" i="3" s="1"/>
  <c r="L850" i="3" a="1"/>
  <c r="L850" i="3" s="1"/>
  <c r="L832" i="3" a="1"/>
  <c r="L832" i="3" s="1"/>
  <c r="L815" i="3" a="1"/>
  <c r="L815" i="3" s="1"/>
  <c r="L792" i="3" a="1"/>
  <c r="L792" i="3" s="1"/>
  <c r="L765" i="3" a="1"/>
  <c r="L765" i="3" s="1"/>
  <c r="L738" i="3" a="1"/>
  <c r="L738" i="3" s="1"/>
  <c r="L711" i="3" a="1"/>
  <c r="L711" i="3" s="1"/>
  <c r="L684" i="3" a="1"/>
  <c r="L684" i="3" s="1"/>
  <c r="L637" i="3" a="1"/>
  <c r="L637" i="3" s="1"/>
  <c r="I5" i="3"/>
  <c r="M70" i="3" s="1"/>
  <c r="M604" i="3"/>
  <c r="L11" i="3" a="1"/>
  <c r="L11" i="3" s="1"/>
  <c r="L18" i="3" a="1"/>
  <c r="L18" i="3" s="1"/>
  <c r="L25" i="3" a="1"/>
  <c r="L25" i="3" s="1"/>
  <c r="L32" i="3" a="1"/>
  <c r="L32" i="3" s="1"/>
  <c r="L40" i="3" a="1"/>
  <c r="L40" i="3" s="1"/>
  <c r="L46" i="3" a="1"/>
  <c r="L46" i="3" s="1"/>
  <c r="L53" i="3" a="1"/>
  <c r="L53" i="3" s="1"/>
  <c r="L60" i="3" a="1"/>
  <c r="L60" i="3" s="1"/>
  <c r="L67" i="3" a="1"/>
  <c r="L67" i="3" s="1"/>
  <c r="L74" i="3" a="1"/>
  <c r="L74" i="3" s="1"/>
  <c r="L81" i="3" a="1"/>
  <c r="L81" i="3" s="1"/>
  <c r="L87" i="3" a="1"/>
  <c r="L87" i="3" s="1"/>
  <c r="L94" i="3" a="1"/>
  <c r="L94" i="3" s="1"/>
  <c r="L102" i="3" a="1"/>
  <c r="L102" i="3" s="1"/>
  <c r="L109" i="3" a="1"/>
  <c r="L109" i="3" s="1"/>
  <c r="L115" i="3" a="1"/>
  <c r="L115" i="3" s="1"/>
  <c r="L123" i="3" a="1"/>
  <c r="L123" i="3" s="1"/>
  <c r="L12" i="3" a="1"/>
  <c r="L12" i="3" s="1"/>
  <c r="L19" i="3" a="1"/>
  <c r="L19" i="3" s="1"/>
  <c r="L26" i="3" a="1"/>
  <c r="L26" i="3" s="1"/>
  <c r="L33" i="3" a="1"/>
  <c r="L33" i="3" s="1"/>
  <c r="L41" i="3" a="1"/>
  <c r="L41" i="3" s="1"/>
  <c r="L47" i="3" a="1"/>
  <c r="L47" i="3" s="1"/>
  <c r="L61" i="3" a="1"/>
  <c r="L61" i="3" s="1"/>
  <c r="L68" i="3" a="1"/>
  <c r="L68" i="3" s="1"/>
  <c r="L75" i="3" a="1"/>
  <c r="L75" i="3" s="1"/>
  <c r="L88" i="3" a="1"/>
  <c r="L88" i="3" s="1"/>
  <c r="L95" i="3" a="1"/>
  <c r="L95" i="3" s="1"/>
  <c r="L103" i="3" a="1"/>
  <c r="L103" i="3" s="1"/>
  <c r="L116" i="3" a="1"/>
  <c r="L116" i="3" s="1"/>
  <c r="L124" i="3" a="1"/>
  <c r="L124" i="3" s="1"/>
  <c r="L131" i="3" a="1"/>
  <c r="L131" i="3" s="1"/>
  <c r="L139" i="3" a="1"/>
  <c r="L139" i="3" s="1"/>
  <c r="L153" i="3" a="1"/>
  <c r="L153" i="3" s="1"/>
  <c r="L160" i="3" a="1"/>
  <c r="L160" i="3" s="1"/>
  <c r="L168" i="3" a="1"/>
  <c r="L168" i="3" s="1"/>
  <c r="L175" i="3" a="1"/>
  <c r="L175" i="3" s="1"/>
  <c r="L182" i="3" a="1"/>
  <c r="L182" i="3" s="1"/>
  <c r="L197" i="3" a="1"/>
  <c r="L197" i="3" s="1"/>
  <c r="L205" i="3" a="1"/>
  <c r="L205" i="3" s="1"/>
  <c r="M1533" i="3"/>
  <c r="L13" i="3" a="1"/>
  <c r="L13" i="3" s="1"/>
  <c r="L20" i="3" a="1"/>
  <c r="L20" i="3" s="1"/>
  <c r="L27" i="3" a="1"/>
  <c r="L27" i="3" s="1"/>
  <c r="L34" i="3" a="1"/>
  <c r="L34" i="3" s="1"/>
  <c r="L48" i="3" a="1"/>
  <c r="L48" i="3" s="1"/>
  <c r="L54" i="3" a="1"/>
  <c r="L54" i="3" s="1"/>
  <c r="L69" i="3" a="1"/>
  <c r="L69" i="3" s="1"/>
  <c r="L76" i="3" a="1"/>
  <c r="L76" i="3" s="1"/>
  <c r="L82" i="3" a="1"/>
  <c r="L82" i="3" s="1"/>
  <c r="L89" i="3" a="1"/>
  <c r="L89" i="3" s="1"/>
  <c r="L96" i="3" a="1"/>
  <c r="L96" i="3" s="1"/>
  <c r="L104" i="3" a="1"/>
  <c r="L104" i="3" s="1"/>
  <c r="L110" i="3" a="1"/>
  <c r="L110" i="3" s="1"/>
  <c r="L117" i="3" a="1"/>
  <c r="L117" i="3" s="1"/>
  <c r="L125" i="3" a="1"/>
  <c r="L125" i="3" s="1"/>
  <c r="L132" i="3" a="1"/>
  <c r="L132" i="3" s="1"/>
  <c r="L140" i="3" a="1"/>
  <c r="L140" i="3" s="1"/>
  <c r="L146" i="3" a="1"/>
  <c r="L146" i="3" s="1"/>
  <c r="L154" i="3" a="1"/>
  <c r="L154" i="3" s="1"/>
  <c r="L161" i="3" a="1"/>
  <c r="L161" i="3" s="1"/>
  <c r="L169" i="3" a="1"/>
  <c r="L169" i="3" s="1"/>
  <c r="L176" i="3" a="1"/>
  <c r="L176" i="3" s="1"/>
  <c r="L183" i="3" a="1"/>
  <c r="L183" i="3" s="1"/>
  <c r="L190" i="3" a="1"/>
  <c r="L190" i="3" s="1"/>
  <c r="L198" i="3" a="1"/>
  <c r="L198" i="3" s="1"/>
  <c r="L6" i="3" a="1"/>
  <c r="L6" i="3" s="1"/>
  <c r="L14" i="3" a="1"/>
  <c r="L14" i="3" s="1"/>
  <c r="L21" i="3" a="1"/>
  <c r="L21" i="3" s="1"/>
  <c r="L28" i="3" a="1"/>
  <c r="L28" i="3" s="1"/>
  <c r="L35" i="3" a="1"/>
  <c r="L35" i="3" s="1"/>
  <c r="L42" i="3" a="1"/>
  <c r="L42" i="3" s="1"/>
  <c r="L49" i="3" a="1"/>
  <c r="L49" i="3" s="1"/>
  <c r="L55" i="3" a="1"/>
  <c r="L55" i="3" s="1"/>
  <c r="L62" i="3" a="1"/>
  <c r="L62" i="3" s="1"/>
  <c r="L70" i="3" a="1"/>
  <c r="L70" i="3" s="1"/>
  <c r="L77" i="3" a="1"/>
  <c r="L77" i="3" s="1"/>
  <c r="L83" i="3" a="1"/>
  <c r="L83" i="3" s="1"/>
  <c r="L90" i="3" a="1"/>
  <c r="L90" i="3" s="1"/>
  <c r="L97" i="3" a="1"/>
  <c r="L97" i="3" s="1"/>
  <c r="L105" i="3" a="1"/>
  <c r="L105" i="3" s="1"/>
  <c r="L111" i="3" a="1"/>
  <c r="L111" i="3" s="1"/>
  <c r="L118" i="3" a="1"/>
  <c r="L118" i="3" s="1"/>
  <c r="L133" i="3" a="1"/>
  <c r="L133" i="3" s="1"/>
  <c r="L141" i="3" a="1"/>
  <c r="L141" i="3" s="1"/>
  <c r="L147" i="3" a="1"/>
  <c r="L147" i="3" s="1"/>
  <c r="L155" i="3" a="1"/>
  <c r="L155" i="3" s="1"/>
  <c r="L162" i="3" a="1"/>
  <c r="L162" i="3" s="1"/>
  <c r="L170" i="3" a="1"/>
  <c r="L170" i="3" s="1"/>
  <c r="M783" i="3"/>
  <c r="L7" i="3" a="1"/>
  <c r="L7" i="3" s="1"/>
  <c r="L15" i="3" a="1"/>
  <c r="L15" i="3" s="1"/>
  <c r="L29" i="3" a="1"/>
  <c r="L29" i="3" s="1"/>
  <c r="L36" i="3" a="1"/>
  <c r="L36" i="3" s="1"/>
  <c r="L43" i="3" a="1"/>
  <c r="L43" i="3" s="1"/>
  <c r="L56" i="3" a="1"/>
  <c r="L56" i="3" s="1"/>
  <c r="L63" i="3" a="1"/>
  <c r="L63" i="3" s="1"/>
  <c r="L71" i="3" a="1"/>
  <c r="L71" i="3" s="1"/>
  <c r="L84" i="3" a="1"/>
  <c r="L84" i="3" s="1"/>
  <c r="L91" i="3" a="1"/>
  <c r="L91" i="3" s="1"/>
  <c r="L98" i="3" a="1"/>
  <c r="L98" i="3" s="1"/>
  <c r="L112" i="3" a="1"/>
  <c r="L112" i="3" s="1"/>
  <c r="L119" i="3" a="1"/>
  <c r="L119" i="3" s="1"/>
  <c r="L126" i="3" a="1"/>
  <c r="L126" i="3" s="1"/>
  <c r="L134" i="3" a="1"/>
  <c r="L134" i="3" s="1"/>
  <c r="L148" i="3" a="1"/>
  <c r="L148" i="3" s="1"/>
  <c r="L156" i="3" a="1"/>
  <c r="L156" i="3" s="1"/>
  <c r="L163" i="3" a="1"/>
  <c r="L163" i="3" s="1"/>
  <c r="L171" i="3" a="1"/>
  <c r="L171" i="3" s="1"/>
  <c r="L185" i="3" a="1"/>
  <c r="L185" i="3" s="1"/>
  <c r="L192" i="3" a="1"/>
  <c r="L192" i="3" s="1"/>
  <c r="L200" i="3" a="1"/>
  <c r="L200" i="3" s="1"/>
  <c r="L207" i="3" a="1"/>
  <c r="L207" i="3" s="1"/>
  <c r="L214" i="3" a="1"/>
  <c r="L214" i="3" s="1"/>
  <c r="M196" i="3"/>
  <c r="M1408" i="3"/>
  <c r="L8" i="3" a="1"/>
  <c r="L8" i="3" s="1"/>
  <c r="L16" i="3" a="1"/>
  <c r="L16" i="3" s="1"/>
  <c r="L22" i="3" a="1"/>
  <c r="L22" i="3" s="1"/>
  <c r="L37" i="3" a="1"/>
  <c r="L37" i="3" s="1"/>
  <c r="L44" i="3" a="1"/>
  <c r="L44" i="3" s="1"/>
  <c r="L50" i="3" a="1"/>
  <c r="L50" i="3" s="1"/>
  <c r="L57" i="3" a="1"/>
  <c r="L57" i="3" s="1"/>
  <c r="L64" i="3" a="1"/>
  <c r="L64" i="3" s="1"/>
  <c r="L72" i="3" a="1"/>
  <c r="L72" i="3" s="1"/>
  <c r="L78" i="3" a="1"/>
  <c r="L78" i="3" s="1"/>
  <c r="L85" i="3" a="1"/>
  <c r="L85" i="3" s="1"/>
  <c r="L92" i="3" a="1"/>
  <c r="L92" i="3" s="1"/>
  <c r="L99" i="3" a="1"/>
  <c r="L99" i="3" s="1"/>
  <c r="L106" i="3" a="1"/>
  <c r="L106" i="3" s="1"/>
  <c r="L113" i="3" a="1"/>
  <c r="L113" i="3" s="1"/>
  <c r="L120" i="3" a="1"/>
  <c r="L120" i="3" s="1"/>
  <c r="L127" i="3" a="1"/>
  <c r="L127" i="3" s="1"/>
  <c r="L135" i="3" a="1"/>
  <c r="L135" i="3" s="1"/>
  <c r="L142" i="3" a="1"/>
  <c r="L142" i="3" s="1"/>
  <c r="L149" i="3" a="1"/>
  <c r="L149" i="3" s="1"/>
  <c r="L157" i="3" a="1"/>
  <c r="L157" i="3" s="1"/>
  <c r="L164" i="3" a="1"/>
  <c r="L164" i="3" s="1"/>
  <c r="M1306" i="3"/>
  <c r="L10" i="3" a="1"/>
  <c r="L10" i="3" s="1"/>
  <c r="L24" i="3" a="1"/>
  <c r="L24" i="3" s="1"/>
  <c r="L31" i="3" a="1"/>
  <c r="L31" i="3" s="1"/>
  <c r="L39" i="3" a="1"/>
  <c r="L39" i="3" s="1"/>
  <c r="L52" i="3" a="1"/>
  <c r="L52" i="3" s="1"/>
  <c r="L59" i="3" a="1"/>
  <c r="L59" i="3" s="1"/>
  <c r="L66" i="3" a="1"/>
  <c r="L66" i="3" s="1"/>
  <c r="L80" i="3" a="1"/>
  <c r="L80" i="3" s="1"/>
  <c r="L86" i="3" a="1"/>
  <c r="L86" i="3" s="1"/>
  <c r="L101" i="3" a="1"/>
  <c r="L101" i="3" s="1"/>
  <c r="L108" i="3" a="1"/>
  <c r="L108" i="3" s="1"/>
  <c r="L114" i="3" a="1"/>
  <c r="L114" i="3" s="1"/>
  <c r="L122" i="3" a="1"/>
  <c r="L122" i="3" s="1"/>
  <c r="L129" i="3" a="1"/>
  <c r="L129" i="3" s="1"/>
  <c r="L137" i="3" a="1"/>
  <c r="L137" i="3" s="1"/>
  <c r="L144" i="3" a="1"/>
  <c r="L144" i="3" s="1"/>
  <c r="L151" i="3" a="1"/>
  <c r="L151" i="3" s="1"/>
  <c r="L158" i="3" a="1"/>
  <c r="L158" i="3" s="1"/>
  <c r="L166" i="3" a="1"/>
  <c r="L166" i="3" s="1"/>
  <c r="L180" i="3" a="1"/>
  <c r="L180" i="3" s="1"/>
  <c r="L188" i="3" a="1"/>
  <c r="L188" i="3" s="1"/>
  <c r="L195" i="3" a="1"/>
  <c r="L195" i="3" s="1"/>
  <c r="L203" i="3" a="1"/>
  <c r="L203" i="3" s="1"/>
  <c r="L9" i="3" a="1"/>
  <c r="L9" i="3" s="1"/>
  <c r="L65" i="3" a="1"/>
  <c r="L65" i="3" s="1"/>
  <c r="L121" i="3" a="1"/>
  <c r="L121" i="3" s="1"/>
  <c r="L152" i="3" a="1"/>
  <c r="L152" i="3" s="1"/>
  <c r="L177" i="3" a="1"/>
  <c r="L177" i="3" s="1"/>
  <c r="L191" i="3" a="1"/>
  <c r="L191" i="3" s="1"/>
  <c r="L215" i="3" a="1"/>
  <c r="L215" i="3" s="1"/>
  <c r="L222" i="3" a="1"/>
  <c r="L222" i="3" s="1"/>
  <c r="L230" i="3" a="1"/>
  <c r="L230" i="3" s="1"/>
  <c r="L244" i="3" a="1"/>
  <c r="L244" i="3" s="1"/>
  <c r="L252" i="3" a="1"/>
  <c r="L252" i="3" s="1"/>
  <c r="L259" i="3" a="1"/>
  <c r="L259" i="3" s="1"/>
  <c r="L273" i="3" a="1"/>
  <c r="L273" i="3" s="1"/>
  <c r="L279" i="3" a="1"/>
  <c r="L279" i="3" s="1"/>
  <c r="L287" i="3" a="1"/>
  <c r="L287" i="3" s="1"/>
  <c r="L294" i="3" a="1"/>
  <c r="L294" i="3" s="1"/>
  <c r="L301" i="3" a="1"/>
  <c r="L301" i="3" s="1"/>
  <c r="L309" i="3" a="1"/>
  <c r="L309" i="3" s="1"/>
  <c r="L317" i="3" a="1"/>
  <c r="L317" i="3" s="1"/>
  <c r="L325" i="3" a="1"/>
  <c r="L325" i="3" s="1"/>
  <c r="L333" i="3" a="1"/>
  <c r="L333" i="3" s="1"/>
  <c r="L341" i="3" a="1"/>
  <c r="L341" i="3" s="1"/>
  <c r="L348" i="3" a="1"/>
  <c r="L348" i="3" s="1"/>
  <c r="L355" i="3" a="1"/>
  <c r="L355" i="3" s="1"/>
  <c r="L360" i="3" a="1"/>
  <c r="L360" i="3" s="1"/>
  <c r="L366" i="3" a="1"/>
  <c r="L366" i="3" s="1"/>
  <c r="L373" i="3" a="1"/>
  <c r="L373" i="3" s="1"/>
  <c r="L386" i="3" a="1"/>
  <c r="L386" i="3" s="1"/>
  <c r="L391" i="3" a="1"/>
  <c r="L391" i="3" s="1"/>
  <c r="L404" i="3" a="1"/>
  <c r="L404" i="3" s="1"/>
  <c r="L411" i="3" a="1"/>
  <c r="L411" i="3" s="1"/>
  <c r="L417" i="3" a="1"/>
  <c r="L417" i="3" s="1"/>
  <c r="L422" i="3" a="1"/>
  <c r="L422" i="3" s="1"/>
  <c r="L429" i="3" a="1"/>
  <c r="L429" i="3" s="1"/>
  <c r="L442" i="3" a="1"/>
  <c r="L442" i="3" s="1"/>
  <c r="L448" i="3" a="1"/>
  <c r="L448" i="3" s="1"/>
  <c r="L467" i="3" a="1"/>
  <c r="L467" i="3" s="1"/>
  <c r="L473" i="3" a="1"/>
  <c r="L473" i="3" s="1"/>
  <c r="L479" i="3" a="1"/>
  <c r="L479" i="3" s="1"/>
  <c r="L485" i="3" a="1"/>
  <c r="L485" i="3" s="1"/>
  <c r="L492" i="3" a="1"/>
  <c r="L492" i="3" s="1"/>
  <c r="L498" i="3" a="1"/>
  <c r="L498" i="3" s="1"/>
  <c r="L504" i="3" a="1"/>
  <c r="L504" i="3" s="1"/>
  <c r="L510" i="3" a="1"/>
  <c r="L510" i="3" s="1"/>
  <c r="L523" i="3" a="1"/>
  <c r="L523" i="3" s="1"/>
  <c r="L529" i="3" a="1"/>
  <c r="L529" i="3" s="1"/>
  <c r="L535" i="3" a="1"/>
  <c r="L535" i="3" s="1"/>
  <c r="L541" i="3" a="1"/>
  <c r="L541" i="3" s="1"/>
  <c r="L548" i="3" a="1"/>
  <c r="L548" i="3" s="1"/>
  <c r="L554" i="3" a="1"/>
  <c r="L554" i="3" s="1"/>
  <c r="L560" i="3" a="1"/>
  <c r="L560" i="3" s="1"/>
  <c r="L566" i="3" a="1"/>
  <c r="L566" i="3" s="1"/>
  <c r="L579" i="3" a="1"/>
  <c r="L579" i="3" s="1"/>
  <c r="L584" i="3" a="1"/>
  <c r="L584" i="3" s="1"/>
  <c r="L596" i="3" a="1"/>
  <c r="L596" i="3" s="1"/>
  <c r="L602" i="3" a="1"/>
  <c r="L602" i="3" s="1"/>
  <c r="L607" i="3" a="1"/>
  <c r="L607" i="3" s="1"/>
  <c r="L613" i="3" a="1"/>
  <c r="L613" i="3" s="1"/>
  <c r="L623" i="3" a="1"/>
  <c r="L623" i="3" s="1"/>
  <c r="L629" i="3" a="1"/>
  <c r="L629" i="3" s="1"/>
  <c r="L636" i="3" a="1"/>
  <c r="L636" i="3" s="1"/>
  <c r="L643" i="3" a="1"/>
  <c r="L643" i="3" s="1"/>
  <c r="L650" i="3" a="1"/>
  <c r="L650" i="3" s="1"/>
  <c r="L656" i="3" a="1"/>
  <c r="L656" i="3" s="1"/>
  <c r="L663" i="3" a="1"/>
  <c r="L663" i="3" s="1"/>
  <c r="L690" i="3" a="1"/>
  <c r="L690" i="3" s="1"/>
  <c r="L697" i="3" a="1"/>
  <c r="L697" i="3" s="1"/>
  <c r="L703" i="3" a="1"/>
  <c r="L703" i="3" s="1"/>
  <c r="L710" i="3" a="1"/>
  <c r="L710" i="3" s="1"/>
  <c r="L717" i="3" a="1"/>
  <c r="L717" i="3" s="1"/>
  <c r="L724" i="3" a="1"/>
  <c r="L724" i="3" s="1"/>
  <c r="L731" i="3" a="1"/>
  <c r="L731" i="3" s="1"/>
  <c r="L737" i="3" a="1"/>
  <c r="L737" i="3" s="1"/>
  <c r="L744" i="3" a="1"/>
  <c r="L744" i="3" s="1"/>
  <c r="L750" i="3" a="1"/>
  <c r="L750" i="3" s="1"/>
  <c r="L757" i="3" a="1"/>
  <c r="L757" i="3" s="1"/>
  <c r="L764" i="3" a="1"/>
  <c r="L764" i="3" s="1"/>
  <c r="L771" i="3" a="1"/>
  <c r="L771" i="3" s="1"/>
  <c r="L778" i="3" a="1"/>
  <c r="L778" i="3" s="1"/>
  <c r="L784" i="3" a="1"/>
  <c r="L784" i="3" s="1"/>
  <c r="L791" i="3" a="1"/>
  <c r="L791" i="3" s="1"/>
  <c r="L818" i="3" a="1"/>
  <c r="L818" i="3" s="1"/>
  <c r="L825" i="3" a="1"/>
  <c r="L825" i="3" s="1"/>
  <c r="L831" i="3" a="1"/>
  <c r="L831" i="3" s="1"/>
  <c r="L838" i="3" a="1"/>
  <c r="L838" i="3" s="1"/>
  <c r="L845" i="3" a="1"/>
  <c r="L845" i="3" s="1"/>
  <c r="L852" i="3" a="1"/>
  <c r="L852" i="3" s="1"/>
  <c r="L858" i="3" a="1"/>
  <c r="L858" i="3" s="1"/>
  <c r="L864" i="3" a="1"/>
  <c r="L864" i="3" s="1"/>
  <c r="L870" i="3" a="1"/>
  <c r="L870" i="3" s="1"/>
  <c r="L875" i="3" a="1"/>
  <c r="L875" i="3" s="1"/>
  <c r="L893" i="3" a="1"/>
  <c r="L893" i="3" s="1"/>
  <c r="L899" i="3" a="1"/>
  <c r="L899" i="3" s="1"/>
  <c r="L911" i="3" a="1"/>
  <c r="L911" i="3" s="1"/>
  <c r="L916" i="3" a="1"/>
  <c r="L916" i="3" s="1"/>
  <c r="L923" i="3" a="1"/>
  <c r="L923" i="3" s="1"/>
  <c r="L929" i="3" a="1"/>
  <c r="L929" i="3" s="1"/>
  <c r="L17" i="3" a="1"/>
  <c r="L17" i="3" s="1"/>
  <c r="L73" i="3" a="1"/>
  <c r="L73" i="3" s="1"/>
  <c r="L128" i="3" a="1"/>
  <c r="L128" i="3" s="1"/>
  <c r="L178" i="3" a="1"/>
  <c r="L178" i="3" s="1"/>
  <c r="L193" i="3" a="1"/>
  <c r="L193" i="3" s="1"/>
  <c r="L206" i="3" a="1"/>
  <c r="L206" i="3" s="1"/>
  <c r="L216" i="3" a="1"/>
  <c r="L216" i="3" s="1"/>
  <c r="L223" i="3" a="1"/>
  <c r="L223" i="3" s="1"/>
  <c r="L231" i="3" a="1"/>
  <c r="L231" i="3" s="1"/>
  <c r="L238" i="3" a="1"/>
  <c r="L238" i="3" s="1"/>
  <c r="L245" i="3" a="1"/>
  <c r="L245" i="3" s="1"/>
  <c r="L253" i="3" a="1"/>
  <c r="L253" i="3" s="1"/>
  <c r="L260" i="3" a="1"/>
  <c r="L260" i="3" s="1"/>
  <c r="L266" i="3" a="1"/>
  <c r="L266" i="3" s="1"/>
  <c r="L280" i="3" a="1"/>
  <c r="L280" i="3" s="1"/>
  <c r="L288" i="3" a="1"/>
  <c r="L288" i="3" s="1"/>
  <c r="L302" i="3" a="1"/>
  <c r="L302" i="3" s="1"/>
  <c r="L310" i="3" a="1"/>
  <c r="L310" i="3" s="1"/>
  <c r="L318" i="3" a="1"/>
  <c r="L318" i="3" s="1"/>
  <c r="L326" i="3" a="1"/>
  <c r="L326" i="3" s="1"/>
  <c r="L334" i="3" a="1"/>
  <c r="L334" i="3" s="1"/>
  <c r="L342" i="3" a="1"/>
  <c r="L342" i="3" s="1"/>
  <c r="L361" i="3" a="1"/>
  <c r="L361" i="3" s="1"/>
  <c r="L367" i="3" a="1"/>
  <c r="L367" i="3" s="1"/>
  <c r="L380" i="3" a="1"/>
  <c r="L380" i="3" s="1"/>
  <c r="L387" i="3" a="1"/>
  <c r="L387" i="3" s="1"/>
  <c r="L392" i="3" a="1"/>
  <c r="L392" i="3" s="1"/>
  <c r="L398" i="3" a="1"/>
  <c r="L398" i="3" s="1"/>
  <c r="L405" i="3" a="1"/>
  <c r="L405" i="3" s="1"/>
  <c r="L418" i="3" a="1"/>
  <c r="L418" i="3" s="1"/>
  <c r="L423" i="3" a="1"/>
  <c r="L423" i="3" s="1"/>
  <c r="L436" i="3" a="1"/>
  <c r="L436" i="3" s="1"/>
  <c r="L443" i="3" a="1"/>
  <c r="L443" i="3" s="1"/>
  <c r="L449" i="3" a="1"/>
  <c r="L449" i="3" s="1"/>
  <c r="L454" i="3" a="1"/>
  <c r="L454" i="3" s="1"/>
  <c r="L461" i="3" a="1"/>
  <c r="L461" i="3" s="1"/>
  <c r="L474" i="3" a="1"/>
  <c r="L474" i="3" s="1"/>
  <c r="L480" i="3" a="1"/>
  <c r="L480" i="3" s="1"/>
  <c r="L499" i="3" a="1"/>
  <c r="L499" i="3" s="1"/>
  <c r="L505" i="3" a="1"/>
  <c r="L505" i="3" s="1"/>
  <c r="L511" i="3" a="1"/>
  <c r="L511" i="3" s="1"/>
  <c r="L517" i="3" a="1"/>
  <c r="L517" i="3" s="1"/>
  <c r="L524" i="3" a="1"/>
  <c r="L524" i="3" s="1"/>
  <c r="L530" i="3" a="1"/>
  <c r="L530" i="3" s="1"/>
  <c r="L536" i="3" a="1"/>
  <c r="L536" i="3" s="1"/>
  <c r="L542" i="3" a="1"/>
  <c r="L542" i="3" s="1"/>
  <c r="L555" i="3" a="1"/>
  <c r="L555" i="3" s="1"/>
  <c r="L561" i="3" a="1"/>
  <c r="L561" i="3" s="1"/>
  <c r="L567" i="3" a="1"/>
  <c r="L567" i="3" s="1"/>
  <c r="L573" i="3" a="1"/>
  <c r="L573" i="3" s="1"/>
  <c r="M695" i="3"/>
  <c r="L23" i="3" a="1"/>
  <c r="L23" i="3" s="1"/>
  <c r="L79" i="3" a="1"/>
  <c r="L79" i="3" s="1"/>
  <c r="L130" i="3" a="1"/>
  <c r="L130" i="3" s="1"/>
  <c r="L159" i="3" a="1"/>
  <c r="L159" i="3" s="1"/>
  <c r="L179" i="3" a="1"/>
  <c r="L179" i="3" s="1"/>
  <c r="L194" i="3" a="1"/>
  <c r="L194" i="3" s="1"/>
  <c r="L208" i="3" a="1"/>
  <c r="L208" i="3" s="1"/>
  <c r="L217" i="3" a="1"/>
  <c r="L217" i="3" s="1"/>
  <c r="L224" i="3" a="1"/>
  <c r="L224" i="3" s="1"/>
  <c r="L232" i="3" a="1"/>
  <c r="L232" i="3" s="1"/>
  <c r="L239" i="3" a="1"/>
  <c r="L239" i="3" s="1"/>
  <c r="L246" i="3" a="1"/>
  <c r="L246" i="3" s="1"/>
  <c r="L261" i="3" a="1"/>
  <c r="L261" i="3" s="1"/>
  <c r="L267" i="3" a="1"/>
  <c r="L267" i="3" s="1"/>
  <c r="L274" i="3" a="1"/>
  <c r="L274" i="3" s="1"/>
  <c r="L281" i="3" a="1"/>
  <c r="L281" i="3" s="1"/>
  <c r="L289" i="3" a="1"/>
  <c r="L289" i="3" s="1"/>
  <c r="L295" i="3" a="1"/>
  <c r="L295" i="3" s="1"/>
  <c r="L303" i="3" a="1"/>
  <c r="L303" i="3" s="1"/>
  <c r="L311" i="3" a="1"/>
  <c r="L311" i="3" s="1"/>
  <c r="L319" i="3" a="1"/>
  <c r="L319" i="3" s="1"/>
  <c r="L327" i="3" a="1"/>
  <c r="L327" i="3" s="1"/>
  <c r="L335" i="3" a="1"/>
  <c r="L335" i="3" s="1"/>
  <c r="L343" i="3" a="1"/>
  <c r="L343" i="3" s="1"/>
  <c r="L349" i="3" a="1"/>
  <c r="L349" i="3" s="1"/>
  <c r="L356" i="3" a="1"/>
  <c r="L356" i="3" s="1"/>
  <c r="L362" i="3" a="1"/>
  <c r="L362" i="3" s="1"/>
  <c r="L368" i="3" a="1"/>
  <c r="L368" i="3" s="1"/>
  <c r="L374" i="3" a="1"/>
  <c r="L374" i="3" s="1"/>
  <c r="L393" i="3" a="1"/>
  <c r="L393" i="3" s="1"/>
  <c r="L399" i="3" a="1"/>
  <c r="L399" i="3" s="1"/>
  <c r="L412" i="3" a="1"/>
  <c r="L412" i="3" s="1"/>
  <c r="L419" i="3" a="1"/>
  <c r="L419" i="3" s="1"/>
  <c r="L424" i="3" a="1"/>
  <c r="L424" i="3" s="1"/>
  <c r="L430" i="3" a="1"/>
  <c r="L430" i="3" s="1"/>
  <c r="L437" i="3" a="1"/>
  <c r="L437" i="3" s="1"/>
  <c r="L450" i="3" a="1"/>
  <c r="L450" i="3" s="1"/>
  <c r="L455" i="3" a="1"/>
  <c r="L455" i="3" s="1"/>
  <c r="L468" i="3" a="1"/>
  <c r="L468" i="3" s="1"/>
  <c r="L475" i="3" a="1"/>
  <c r="L475" i="3" s="1"/>
  <c r="L481" i="3" a="1"/>
  <c r="L481" i="3" s="1"/>
  <c r="L486" i="3" a="1"/>
  <c r="L486" i="3" s="1"/>
  <c r="L493" i="3" a="1"/>
  <c r="L493" i="3" s="1"/>
  <c r="L506" i="3" a="1"/>
  <c r="L506" i="3" s="1"/>
  <c r="L512" i="3" a="1"/>
  <c r="L512" i="3" s="1"/>
  <c r="L531" i="3" a="1"/>
  <c r="L531" i="3" s="1"/>
  <c r="L537" i="3" a="1"/>
  <c r="L537" i="3" s="1"/>
  <c r="L543" i="3" a="1"/>
  <c r="L543" i="3" s="1"/>
  <c r="L549" i="3" a="1"/>
  <c r="L549" i="3" s="1"/>
  <c r="L556" i="3" a="1"/>
  <c r="L556" i="3" s="1"/>
  <c r="L562" i="3" a="1"/>
  <c r="L562" i="3" s="1"/>
  <c r="L568" i="3" a="1"/>
  <c r="L568" i="3" s="1"/>
  <c r="L580" i="3" a="1"/>
  <c r="L580" i="3" s="1"/>
  <c r="L586" i="3" a="1"/>
  <c r="L586" i="3" s="1"/>
  <c r="L591" i="3" a="1"/>
  <c r="L591" i="3" s="1"/>
  <c r="L597" i="3" a="1"/>
  <c r="L597" i="3" s="1"/>
  <c r="L609" i="3" a="1"/>
  <c r="L609" i="3" s="1"/>
  <c r="L614" i="3" a="1"/>
  <c r="L614" i="3" s="1"/>
  <c r="L619" i="3" a="1"/>
  <c r="L619" i="3" s="1"/>
  <c r="L624" i="3" a="1"/>
  <c r="L624" i="3" s="1"/>
  <c r="L631" i="3" a="1"/>
  <c r="L631" i="3" s="1"/>
  <c r="L658" i="3" a="1"/>
  <c r="L658" i="3" s="1"/>
  <c r="L665" i="3" a="1"/>
  <c r="L665" i="3" s="1"/>
  <c r="L671" i="3" a="1"/>
  <c r="L671" i="3" s="1"/>
  <c r="L678" i="3" a="1"/>
  <c r="L678" i="3" s="1"/>
  <c r="L685" i="3" a="1"/>
  <c r="L685" i="3" s="1"/>
  <c r="L692" i="3" a="1"/>
  <c r="L692" i="3" s="1"/>
  <c r="L699" i="3" a="1"/>
  <c r="L699" i="3" s="1"/>
  <c r="L705" i="3" a="1"/>
  <c r="L705" i="3" s="1"/>
  <c r="L712" i="3" a="1"/>
  <c r="L712" i="3" s="1"/>
  <c r="L718" i="3" a="1"/>
  <c r="L718" i="3" s="1"/>
  <c r="L725" i="3" a="1"/>
  <c r="L725" i="3" s="1"/>
  <c r="L732" i="3" a="1"/>
  <c r="L732" i="3" s="1"/>
  <c r="L739" i="3" a="1"/>
  <c r="L739" i="3" s="1"/>
  <c r="L746" i="3" a="1"/>
  <c r="L746" i="3" s="1"/>
  <c r="L752" i="3" a="1"/>
  <c r="L752" i="3" s="1"/>
  <c r="L759" i="3" a="1"/>
  <c r="L759" i="3" s="1"/>
  <c r="L786" i="3" a="1"/>
  <c r="L786" i="3" s="1"/>
  <c r="L793" i="3" a="1"/>
  <c r="L793" i="3" s="1"/>
  <c r="L799" i="3" a="1"/>
  <c r="L799" i="3" s="1"/>
  <c r="L806" i="3" a="1"/>
  <c r="L806" i="3" s="1"/>
  <c r="L813" i="3" a="1"/>
  <c r="L813" i="3" s="1"/>
  <c r="L820" i="3" a="1"/>
  <c r="L820" i="3" s="1"/>
  <c r="L827" i="3" a="1"/>
  <c r="L827" i="3" s="1"/>
  <c r="L833" i="3" a="1"/>
  <c r="L833" i="3" s="1"/>
  <c r="L840" i="3" a="1"/>
  <c r="L840" i="3" s="1"/>
  <c r="L846" i="3" a="1"/>
  <c r="L846" i="3" s="1"/>
  <c r="L853" i="3" a="1"/>
  <c r="L853" i="3" s="1"/>
  <c r="L865" i="3" a="1"/>
  <c r="L865" i="3" s="1"/>
  <c r="L877" i="3" a="1"/>
  <c r="L877" i="3" s="1"/>
  <c r="L883" i="3" a="1"/>
  <c r="L883" i="3" s="1"/>
  <c r="L889" i="3" a="1"/>
  <c r="L889" i="3" s="1"/>
  <c r="L895" i="3" a="1"/>
  <c r="L895" i="3" s="1"/>
  <c r="L901" i="3" a="1"/>
  <c r="L901" i="3" s="1"/>
  <c r="L918" i="3" a="1"/>
  <c r="L918" i="3" s="1"/>
  <c r="L931" i="3" a="1"/>
  <c r="L931" i="3" s="1"/>
  <c r="M983" i="3"/>
  <c r="L30" i="3" a="1"/>
  <c r="L30" i="3" s="1"/>
  <c r="L136" i="3" a="1"/>
  <c r="L136" i="3" s="1"/>
  <c r="L165" i="3" a="1"/>
  <c r="L165" i="3" s="1"/>
  <c r="L181" i="3" a="1"/>
  <c r="L181" i="3" s="1"/>
  <c r="L196" i="3" a="1"/>
  <c r="L196" i="3" s="1"/>
  <c r="L209" i="3" a="1"/>
  <c r="L209" i="3" s="1"/>
  <c r="L218" i="3" a="1"/>
  <c r="L218" i="3" s="1"/>
  <c r="L225" i="3" a="1"/>
  <c r="L225" i="3" s="1"/>
  <c r="L233" i="3" a="1"/>
  <c r="L233" i="3" s="1"/>
  <c r="L240" i="3" a="1"/>
  <c r="L240" i="3" s="1"/>
  <c r="L247" i="3" a="1"/>
  <c r="L247" i="3" s="1"/>
  <c r="L254" i="3" a="1"/>
  <c r="L254" i="3" s="1"/>
  <c r="L262" i="3" a="1"/>
  <c r="L262" i="3" s="1"/>
  <c r="L268" i="3" a="1"/>
  <c r="L268" i="3" s="1"/>
  <c r="L275" i="3" a="1"/>
  <c r="L275" i="3" s="1"/>
  <c r="L282" i="3" a="1"/>
  <c r="L282" i="3" s="1"/>
  <c r="L296" i="3" a="1"/>
  <c r="L296" i="3" s="1"/>
  <c r="L304" i="3" a="1"/>
  <c r="L304" i="3" s="1"/>
  <c r="L312" i="3" a="1"/>
  <c r="L312" i="3" s="1"/>
  <c r="L320" i="3" a="1"/>
  <c r="L320" i="3" s="1"/>
  <c r="L328" i="3" a="1"/>
  <c r="L328" i="3" s="1"/>
  <c r="L336" i="3" a="1"/>
  <c r="L336" i="3" s="1"/>
  <c r="L344" i="3" a="1"/>
  <c r="L344" i="3" s="1"/>
  <c r="L350" i="3" a="1"/>
  <c r="L350" i="3" s="1"/>
  <c r="L363" i="3" a="1"/>
  <c r="L363" i="3" s="1"/>
  <c r="L369" i="3" a="1"/>
  <c r="L369" i="3" s="1"/>
  <c r="L375" i="3" a="1"/>
  <c r="L375" i="3" s="1"/>
  <c r="L381" i="3" a="1"/>
  <c r="L381" i="3" s="1"/>
  <c r="L388" i="3" a="1"/>
  <c r="L388" i="3" s="1"/>
  <c r="L394" i="3" a="1"/>
  <c r="L394" i="3" s="1"/>
  <c r="L400" i="3" a="1"/>
  <c r="L400" i="3" s="1"/>
  <c r="L406" i="3" a="1"/>
  <c r="L406" i="3" s="1"/>
  <c r="L425" i="3" a="1"/>
  <c r="L425" i="3" s="1"/>
  <c r="L431" i="3" a="1"/>
  <c r="L431" i="3" s="1"/>
  <c r="L444" i="3" a="1"/>
  <c r="L444" i="3" s="1"/>
  <c r="L451" i="3" a="1"/>
  <c r="L451" i="3" s="1"/>
  <c r="L456" i="3" a="1"/>
  <c r="L456" i="3" s="1"/>
  <c r="L462" i="3" a="1"/>
  <c r="L462" i="3" s="1"/>
  <c r="L469" i="3" a="1"/>
  <c r="L469" i="3" s="1"/>
  <c r="L482" i="3" a="1"/>
  <c r="L482" i="3" s="1"/>
  <c r="L487" i="3" a="1"/>
  <c r="L487" i="3" s="1"/>
  <c r="L500" i="3" a="1"/>
  <c r="L500" i="3" s="1"/>
  <c r="L507" i="3" a="1"/>
  <c r="L507" i="3" s="1"/>
  <c r="L513" i="3" a="1"/>
  <c r="L513" i="3" s="1"/>
  <c r="L518" i="3" a="1"/>
  <c r="L518" i="3" s="1"/>
  <c r="L525" i="3" a="1"/>
  <c r="L525" i="3" s="1"/>
  <c r="L538" i="3" a="1"/>
  <c r="L538" i="3" s="1"/>
  <c r="L544" i="3" a="1"/>
  <c r="L544" i="3" s="1"/>
  <c r="L563" i="3" a="1"/>
  <c r="L563" i="3" s="1"/>
  <c r="L569" i="3" a="1"/>
  <c r="L569" i="3" s="1"/>
  <c r="L574" i="3" a="1"/>
  <c r="L574" i="3" s="1"/>
  <c r="L587" i="3" a="1"/>
  <c r="L587" i="3" s="1"/>
  <c r="L592" i="3" a="1"/>
  <c r="L592" i="3" s="1"/>
  <c r="L604" i="3" a="1"/>
  <c r="L604" i="3" s="1"/>
  <c r="L610" i="3" a="1"/>
  <c r="L610" i="3" s="1"/>
  <c r="L625" i="3" a="1"/>
  <c r="L625" i="3" s="1"/>
  <c r="L632" i="3" a="1"/>
  <c r="L632" i="3" s="1"/>
  <c r="L638" i="3" a="1"/>
  <c r="L638" i="3" s="1"/>
  <c r="L645" i="3" a="1"/>
  <c r="L645" i="3" s="1"/>
  <c r="L652" i="3" a="1"/>
  <c r="L652" i="3" s="1"/>
  <c r="L659" i="3" a="1"/>
  <c r="L659" i="3" s="1"/>
  <c r="L666" i="3" a="1"/>
  <c r="L666" i="3" s="1"/>
  <c r="L672" i="3" a="1"/>
  <c r="L672" i="3" s="1"/>
  <c r="L679" i="3" a="1"/>
  <c r="L679" i="3" s="1"/>
  <c r="L706" i="3" a="1"/>
  <c r="L706" i="3" s="1"/>
  <c r="L713" i="3" a="1"/>
  <c r="L713" i="3" s="1"/>
  <c r="L719" i="3" a="1"/>
  <c r="L719" i="3" s="1"/>
  <c r="L726" i="3" a="1"/>
  <c r="L726" i="3" s="1"/>
  <c r="L733" i="3" a="1"/>
  <c r="L733" i="3" s="1"/>
  <c r="L740" i="3" a="1"/>
  <c r="L740" i="3" s="1"/>
  <c r="L747" i="3" a="1"/>
  <c r="L747" i="3" s="1"/>
  <c r="L753" i="3" a="1"/>
  <c r="L753" i="3" s="1"/>
  <c r="L760" i="3" a="1"/>
  <c r="L760" i="3" s="1"/>
  <c r="L766" i="3" a="1"/>
  <c r="L766" i="3" s="1"/>
  <c r="L773" i="3" a="1"/>
  <c r="L773" i="3" s="1"/>
  <c r="L780" i="3" a="1"/>
  <c r="L780" i="3" s="1"/>
  <c r="L787" i="3" a="1"/>
  <c r="L787" i="3" s="1"/>
  <c r="L794" i="3" a="1"/>
  <c r="L794" i="3" s="1"/>
  <c r="L800" i="3" a="1"/>
  <c r="L800" i="3" s="1"/>
  <c r="L807" i="3" a="1"/>
  <c r="L807" i="3" s="1"/>
  <c r="L834" i="3" a="1"/>
  <c r="L834" i="3" s="1"/>
  <c r="L841" i="3" a="1"/>
  <c r="L841" i="3" s="1"/>
  <c r="L847" i="3" a="1"/>
  <c r="L847" i="3" s="1"/>
  <c r="L860" i="3" a="1"/>
  <c r="L860" i="3" s="1"/>
  <c r="L866" i="3" a="1"/>
  <c r="L866" i="3" s="1"/>
  <c r="L872" i="3" a="1"/>
  <c r="L872" i="3" s="1"/>
  <c r="L878" i="3" a="1"/>
  <c r="L878" i="3" s="1"/>
  <c r="L906" i="3" a="1"/>
  <c r="L906" i="3" s="1"/>
  <c r="L913" i="3" a="1"/>
  <c r="L913" i="3" s="1"/>
  <c r="L919" i="3" a="1"/>
  <c r="L919" i="3" s="1"/>
  <c r="L925" i="3" a="1"/>
  <c r="L925" i="3" s="1"/>
  <c r="L932" i="3" a="1"/>
  <c r="L932" i="3" s="1"/>
  <c r="L937" i="3" a="1"/>
  <c r="L937" i="3" s="1"/>
  <c r="L950" i="3" a="1"/>
  <c r="L950" i="3" s="1"/>
  <c r="L963" i="3" a="1"/>
  <c r="L963" i="3" s="1"/>
  <c r="L976" i="3" a="1"/>
  <c r="L976" i="3" s="1"/>
  <c r="L981" i="3" a="1"/>
  <c r="L981" i="3" s="1"/>
  <c r="L988" i="3" a="1"/>
  <c r="L988" i="3" s="1"/>
  <c r="L994" i="3" a="1"/>
  <c r="L994" i="3" s="1"/>
  <c r="M1247" i="3"/>
  <c r="M1401" i="3"/>
  <c r="M1529" i="3"/>
  <c r="L38" i="3" a="1"/>
  <c r="L38" i="3" s="1"/>
  <c r="L93" i="3" a="1"/>
  <c r="L93" i="3" s="1"/>
  <c r="L138" i="3" a="1"/>
  <c r="L138" i="3" s="1"/>
  <c r="L167" i="3" a="1"/>
  <c r="L167" i="3" s="1"/>
  <c r="L184" i="3" a="1"/>
  <c r="L184" i="3" s="1"/>
  <c r="L199" i="3" a="1"/>
  <c r="L199" i="3" s="1"/>
  <c r="L210" i="3" a="1"/>
  <c r="L210" i="3" s="1"/>
  <c r="L219" i="3" a="1"/>
  <c r="L219" i="3" s="1"/>
  <c r="L226" i="3" a="1"/>
  <c r="L226" i="3" s="1"/>
  <c r="L234" i="3" a="1"/>
  <c r="L234" i="3" s="1"/>
  <c r="L241" i="3" a="1"/>
  <c r="L241" i="3" s="1"/>
  <c r="L248" i="3" a="1"/>
  <c r="L248" i="3" s="1"/>
  <c r="L255" i="3" a="1"/>
  <c r="L255" i="3" s="1"/>
  <c r="L269" i="3" a="1"/>
  <c r="L269" i="3" s="1"/>
  <c r="L276" i="3" a="1"/>
  <c r="L276" i="3" s="1"/>
  <c r="L283" i="3" a="1"/>
  <c r="L283" i="3" s="1"/>
  <c r="L290" i="3" a="1"/>
  <c r="L290" i="3" s="1"/>
  <c r="L297" i="3" a="1"/>
  <c r="L297" i="3" s="1"/>
  <c r="L305" i="3" a="1"/>
  <c r="L305" i="3" s="1"/>
  <c r="L313" i="3" a="1"/>
  <c r="L313" i="3" s="1"/>
  <c r="L321" i="3" a="1"/>
  <c r="L321" i="3" s="1"/>
  <c r="L329" i="3" a="1"/>
  <c r="L329" i="3" s="1"/>
  <c r="L337" i="3" a="1"/>
  <c r="L337" i="3" s="1"/>
  <c r="L345" i="3" a="1"/>
  <c r="L345" i="3" s="1"/>
  <c r="L351" i="3" a="1"/>
  <c r="L351" i="3" s="1"/>
  <c r="L357" i="3" a="1"/>
  <c r="L357" i="3" s="1"/>
  <c r="L364" i="3" a="1"/>
  <c r="L364" i="3" s="1"/>
  <c r="L370" i="3" a="1"/>
  <c r="L370" i="3" s="1"/>
  <c r="L376" i="3" a="1"/>
  <c r="L376" i="3" s="1"/>
  <c r="L382" i="3" a="1"/>
  <c r="L382" i="3" s="1"/>
  <c r="L395" i="3" a="1"/>
  <c r="L395" i="3" s="1"/>
  <c r="L401" i="3" a="1"/>
  <c r="L401" i="3" s="1"/>
  <c r="L407" i="3" a="1"/>
  <c r="L407" i="3" s="1"/>
  <c r="L413" i="3" a="1"/>
  <c r="L413" i="3" s="1"/>
  <c r="L420" i="3" a="1"/>
  <c r="L420" i="3" s="1"/>
  <c r="L426" i="3" a="1"/>
  <c r="L426" i="3" s="1"/>
  <c r="L432" i="3" a="1"/>
  <c r="L432" i="3" s="1"/>
  <c r="L438" i="3" a="1"/>
  <c r="L438" i="3" s="1"/>
  <c r="L457" i="3" a="1"/>
  <c r="L457" i="3" s="1"/>
  <c r="L463" i="3" a="1"/>
  <c r="L463" i="3" s="1"/>
  <c r="L476" i="3" a="1"/>
  <c r="L476" i="3" s="1"/>
  <c r="L483" i="3" a="1"/>
  <c r="L483" i="3" s="1"/>
  <c r="L488" i="3" a="1"/>
  <c r="L488" i="3" s="1"/>
  <c r="L494" i="3" a="1"/>
  <c r="L494" i="3" s="1"/>
  <c r="L501" i="3" a="1"/>
  <c r="L501" i="3" s="1"/>
  <c r="L514" i="3" a="1"/>
  <c r="L514" i="3" s="1"/>
  <c r="L519" i="3" a="1"/>
  <c r="L519" i="3" s="1"/>
  <c r="L532" i="3" a="1"/>
  <c r="L532" i="3" s="1"/>
  <c r="L539" i="3" a="1"/>
  <c r="L539" i="3" s="1"/>
  <c r="L545" i="3" a="1"/>
  <c r="L545" i="3" s="1"/>
  <c r="L550" i="3" a="1"/>
  <c r="L550" i="3" s="1"/>
  <c r="L557" i="3" a="1"/>
  <c r="L557" i="3" s="1"/>
  <c r="L570" i="3" a="1"/>
  <c r="L570" i="3" s="1"/>
  <c r="L575" i="3" a="1"/>
  <c r="L575" i="3" s="1"/>
  <c r="L581" i="3" a="1"/>
  <c r="L581" i="3" s="1"/>
  <c r="L593" i="3" a="1"/>
  <c r="L593" i="3" s="1"/>
  <c r="L598" i="3" a="1"/>
  <c r="L598" i="3" s="1"/>
  <c r="L611" i="3" a="1"/>
  <c r="L611" i="3" s="1"/>
  <c r="L615" i="3" a="1"/>
  <c r="L615" i="3" s="1"/>
  <c r="L620" i="3" a="1"/>
  <c r="L620" i="3" s="1"/>
  <c r="L626" i="3" a="1"/>
  <c r="L626" i="3" s="1"/>
  <c r="L633" i="3" a="1"/>
  <c r="L633" i="3" s="1"/>
  <c r="L639" i="3" a="1"/>
  <c r="L639" i="3" s="1"/>
  <c r="L646" i="3" a="1"/>
  <c r="L646" i="3" s="1"/>
  <c r="L653" i="3" a="1"/>
  <c r="L653" i="3" s="1"/>
  <c r="L660" i="3" a="1"/>
  <c r="L660" i="3" s="1"/>
  <c r="L667" i="3" a="1"/>
  <c r="L667" i="3" s="1"/>
  <c r="L673" i="3" a="1"/>
  <c r="L673" i="3" s="1"/>
  <c r="L680" i="3" a="1"/>
  <c r="L680" i="3" s="1"/>
  <c r="L686" i="3" a="1"/>
  <c r="L686" i="3" s="1"/>
  <c r="L693" i="3" a="1"/>
  <c r="L693" i="3" s="1"/>
  <c r="L700" i="3" a="1"/>
  <c r="L700" i="3" s="1"/>
  <c r="L707" i="3" a="1"/>
  <c r="L707" i="3" s="1"/>
  <c r="L714" i="3" a="1"/>
  <c r="L714" i="3" s="1"/>
  <c r="L720" i="3" a="1"/>
  <c r="L720" i="3" s="1"/>
  <c r="L727" i="3" a="1"/>
  <c r="L727" i="3" s="1"/>
  <c r="L754" i="3" a="1"/>
  <c r="L754" i="3" s="1"/>
  <c r="L761" i="3" a="1"/>
  <c r="L761" i="3" s="1"/>
  <c r="L767" i="3" a="1"/>
  <c r="L767" i="3" s="1"/>
  <c r="L774" i="3" a="1"/>
  <c r="L774" i="3" s="1"/>
  <c r="L781" i="3" a="1"/>
  <c r="L781" i="3" s="1"/>
  <c r="L788" i="3" a="1"/>
  <c r="L788" i="3" s="1"/>
  <c r="L795" i="3" a="1"/>
  <c r="L795" i="3" s="1"/>
  <c r="L801" i="3" a="1"/>
  <c r="L801" i="3" s="1"/>
  <c r="L808" i="3" a="1"/>
  <c r="L808" i="3" s="1"/>
  <c r="L814" i="3" a="1"/>
  <c r="L814" i="3" s="1"/>
  <c r="L821" i="3" a="1"/>
  <c r="L821" i="3" s="1"/>
  <c r="L828" i="3" a="1"/>
  <c r="L828" i="3" s="1"/>
  <c r="L835" i="3" a="1"/>
  <c r="L835" i="3" s="1"/>
  <c r="L842" i="3" a="1"/>
  <c r="L842" i="3" s="1"/>
  <c r="L848" i="3" a="1"/>
  <c r="L848" i="3" s="1"/>
  <c r="L854" i="3" a="1"/>
  <c r="L854" i="3" s="1"/>
  <c r="L861" i="3" a="1"/>
  <c r="L861" i="3" s="1"/>
  <c r="L867" i="3" a="1"/>
  <c r="L867" i="3" s="1"/>
  <c r="L879" i="3" a="1"/>
  <c r="L879" i="3" s="1"/>
  <c r="L884" i="3" a="1"/>
  <c r="L884" i="3" s="1"/>
  <c r="L890" i="3" a="1"/>
  <c r="L890" i="3" s="1"/>
  <c r="L896" i="3" a="1"/>
  <c r="L896" i="3" s="1"/>
  <c r="L902" i="3" a="1"/>
  <c r="L902" i="3" s="1"/>
  <c r="L907" i="3" a="1"/>
  <c r="L907" i="3" s="1"/>
  <c r="M791" i="3"/>
  <c r="M1047" i="3"/>
  <c r="M1264" i="3"/>
  <c r="M1345" i="3"/>
  <c r="M1409" i="3"/>
  <c r="M1473" i="3"/>
  <c r="M1537" i="3"/>
  <c r="L45" i="3" a="1"/>
  <c r="L45" i="3" s="1"/>
  <c r="L100" i="3" a="1"/>
  <c r="L100" i="3" s="1"/>
  <c r="L143" i="3" a="1"/>
  <c r="L143" i="3" s="1"/>
  <c r="L172" i="3" a="1"/>
  <c r="L172" i="3" s="1"/>
  <c r="L186" i="3" a="1"/>
  <c r="L186" i="3" s="1"/>
  <c r="L201" i="3" a="1"/>
  <c r="L201" i="3" s="1"/>
  <c r="L211" i="3" a="1"/>
  <c r="L211" i="3" s="1"/>
  <c r="L220" i="3" a="1"/>
  <c r="L220" i="3" s="1"/>
  <c r="L227" i="3" a="1"/>
  <c r="L227" i="3" s="1"/>
  <c r="L235" i="3" a="1"/>
  <c r="L235" i="3" s="1"/>
  <c r="L249" i="3" a="1"/>
  <c r="L249" i="3" s="1"/>
  <c r="L256" i="3" a="1"/>
  <c r="L256" i="3" s="1"/>
  <c r="L263" i="3" a="1"/>
  <c r="L263" i="3" s="1"/>
  <c r="L270" i="3" a="1"/>
  <c r="L270" i="3" s="1"/>
  <c r="L277" i="3" a="1"/>
  <c r="L277" i="3" s="1"/>
  <c r="L284" i="3" a="1"/>
  <c r="L284" i="3" s="1"/>
  <c r="L291" i="3" a="1"/>
  <c r="L291" i="3" s="1"/>
  <c r="L298" i="3" a="1"/>
  <c r="L298" i="3" s="1"/>
  <c r="L306" i="3" a="1"/>
  <c r="L306" i="3" s="1"/>
  <c r="L314" i="3" a="1"/>
  <c r="L314" i="3" s="1"/>
  <c r="L322" i="3" a="1"/>
  <c r="L322" i="3" s="1"/>
  <c r="L330" i="3" a="1"/>
  <c r="L330" i="3" s="1"/>
  <c r="L338" i="3" a="1"/>
  <c r="L338" i="3" s="1"/>
  <c r="L346" i="3" a="1"/>
  <c r="L346" i="3" s="1"/>
  <c r="L352" i="3" a="1"/>
  <c r="L352" i="3" s="1"/>
  <c r="L371" i="3" a="1"/>
  <c r="L371" i="3" s="1"/>
  <c r="L377" i="3" a="1"/>
  <c r="L377" i="3" s="1"/>
  <c r="L383" i="3" a="1"/>
  <c r="L383" i="3" s="1"/>
  <c r="L389" i="3" a="1"/>
  <c r="L389" i="3" s="1"/>
  <c r="L396" i="3" a="1"/>
  <c r="L396" i="3" s="1"/>
  <c r="L402" i="3" a="1"/>
  <c r="L402" i="3" s="1"/>
  <c r="L408" i="3" a="1"/>
  <c r="L408" i="3" s="1"/>
  <c r="L414" i="3" a="1"/>
  <c r="L414" i="3" s="1"/>
  <c r="L427" i="3" a="1"/>
  <c r="L427" i="3" s="1"/>
  <c r="L433" i="3" a="1"/>
  <c r="L433" i="3" s="1"/>
  <c r="L439" i="3" a="1"/>
  <c r="L439" i="3" s="1"/>
  <c r="L445" i="3" a="1"/>
  <c r="L445" i="3" s="1"/>
  <c r="L452" i="3" a="1"/>
  <c r="L452" i="3" s="1"/>
  <c r="L458" i="3" a="1"/>
  <c r="L458" i="3" s="1"/>
  <c r="L464" i="3" a="1"/>
  <c r="L464" i="3" s="1"/>
  <c r="L470" i="3" a="1"/>
  <c r="L470" i="3" s="1"/>
  <c r="L489" i="3" a="1"/>
  <c r="L489" i="3" s="1"/>
  <c r="L495" i="3" a="1"/>
  <c r="L495" i="3" s="1"/>
  <c r="L508" i="3" a="1"/>
  <c r="L508" i="3" s="1"/>
  <c r="L515" i="3" a="1"/>
  <c r="L515" i="3" s="1"/>
  <c r="L520" i="3" a="1"/>
  <c r="L520" i="3" s="1"/>
  <c r="L526" i="3" a="1"/>
  <c r="L526" i="3" s="1"/>
  <c r="L533" i="3" a="1"/>
  <c r="L533" i="3" s="1"/>
  <c r="L546" i="3" a="1"/>
  <c r="L546" i="3" s="1"/>
  <c r="L551" i="3" a="1"/>
  <c r="L551" i="3" s="1"/>
  <c r="L564" i="3" a="1"/>
  <c r="L564" i="3" s="1"/>
  <c r="L571" i="3" a="1"/>
  <c r="L571" i="3" s="1"/>
  <c r="L576" i="3" a="1"/>
  <c r="L576" i="3" s="1"/>
  <c r="L588" i="3" a="1"/>
  <c r="L588" i="3" s="1"/>
  <c r="L594" i="3" a="1"/>
  <c r="L594" i="3" s="1"/>
  <c r="L599" i="3" a="1"/>
  <c r="L599" i="3" s="1"/>
  <c r="L605" i="3" a="1"/>
  <c r="L605" i="3" s="1"/>
  <c r="L621" i="3" a="1"/>
  <c r="L621" i="3" s="1"/>
  <c r="L627" i="3" a="1"/>
  <c r="L627" i="3" s="1"/>
  <c r="L634" i="3" a="1"/>
  <c r="L634" i="3" s="1"/>
  <c r="L640" i="3" a="1"/>
  <c r="L640" i="3" s="1"/>
  <c r="L647" i="3" a="1"/>
  <c r="L647" i="3" s="1"/>
  <c r="L674" i="3" a="1"/>
  <c r="L674" i="3" s="1"/>
  <c r="L681" i="3" a="1"/>
  <c r="L681" i="3" s="1"/>
  <c r="L687" i="3" a="1"/>
  <c r="L687" i="3" s="1"/>
  <c r="L694" i="3" a="1"/>
  <c r="L694" i="3" s="1"/>
  <c r="L701" i="3" a="1"/>
  <c r="L701" i="3" s="1"/>
  <c r="L708" i="3" a="1"/>
  <c r="L708" i="3" s="1"/>
  <c r="L715" i="3" a="1"/>
  <c r="L715" i="3" s="1"/>
  <c r="L721" i="3" a="1"/>
  <c r="L721" i="3" s="1"/>
  <c r="L728" i="3" a="1"/>
  <c r="L728" i="3" s="1"/>
  <c r="L734" i="3" a="1"/>
  <c r="L734" i="3" s="1"/>
  <c r="L741" i="3" a="1"/>
  <c r="L741" i="3" s="1"/>
  <c r="L748" i="3" a="1"/>
  <c r="L748" i="3" s="1"/>
  <c r="L755" i="3" a="1"/>
  <c r="L755" i="3" s="1"/>
  <c r="L762" i="3" a="1"/>
  <c r="L762" i="3" s="1"/>
  <c r="L768" i="3" a="1"/>
  <c r="L768" i="3" s="1"/>
  <c r="L775" i="3" a="1"/>
  <c r="L775" i="3" s="1"/>
  <c r="L802" i="3" a="1"/>
  <c r="L802" i="3" s="1"/>
  <c r="M823" i="3"/>
  <c r="M1079" i="3"/>
  <c r="M1280" i="3"/>
  <c r="M1353" i="3"/>
  <c r="M1417" i="3"/>
  <c r="M1481" i="3"/>
  <c r="M1545" i="3"/>
  <c r="L51" i="3" a="1"/>
  <c r="L51" i="3" s="1"/>
  <c r="L107" i="3" a="1"/>
  <c r="L107" i="3" s="1"/>
  <c r="L145" i="3" a="1"/>
  <c r="L145" i="3" s="1"/>
  <c r="L173" i="3" a="1"/>
  <c r="L173" i="3" s="1"/>
  <c r="L187" i="3" a="1"/>
  <c r="L187" i="3" s="1"/>
  <c r="L202" i="3" a="1"/>
  <c r="L202" i="3" s="1"/>
  <c r="L212" i="3" a="1"/>
  <c r="L212" i="3" s="1"/>
  <c r="L221" i="3" a="1"/>
  <c r="L221" i="3" s="1"/>
  <c r="L228" i="3" a="1"/>
  <c r="L228" i="3" s="1"/>
  <c r="L236" i="3" a="1"/>
  <c r="L236" i="3" s="1"/>
  <c r="L242" i="3" a="1"/>
  <c r="L242" i="3" s="1"/>
  <c r="L250" i="3" a="1"/>
  <c r="L250" i="3" s="1"/>
  <c r="L257" i="3" a="1"/>
  <c r="L257" i="3" s="1"/>
  <c r="L264" i="3" a="1"/>
  <c r="L264" i="3" s="1"/>
  <c r="L271" i="3" a="1"/>
  <c r="L271" i="3" s="1"/>
  <c r="L278" i="3" a="1"/>
  <c r="L278" i="3" s="1"/>
  <c r="L285" i="3" a="1"/>
  <c r="L285" i="3" s="1"/>
  <c r="L292" i="3" a="1"/>
  <c r="L292" i="3" s="1"/>
  <c r="L299" i="3" a="1"/>
  <c r="L299" i="3" s="1"/>
  <c r="L307" i="3" a="1"/>
  <c r="L307" i="3" s="1"/>
  <c r="L315" i="3" a="1"/>
  <c r="L315" i="3" s="1"/>
  <c r="L323" i="3" a="1"/>
  <c r="L323" i="3" s="1"/>
  <c r="L331" i="3" a="1"/>
  <c r="L331" i="3" s="1"/>
  <c r="L339" i="3" a="1"/>
  <c r="L339" i="3" s="1"/>
  <c r="L347" i="3" a="1"/>
  <c r="L347" i="3" s="1"/>
  <c r="L353" i="3" a="1"/>
  <c r="L353" i="3" s="1"/>
  <c r="L358" i="3" a="1"/>
  <c r="L358" i="3" s="1"/>
  <c r="L365" i="3" a="1"/>
  <c r="L365" i="3" s="1"/>
  <c r="L378" i="3" a="1"/>
  <c r="L378" i="3" s="1"/>
  <c r="L384" i="3" a="1"/>
  <c r="L384" i="3" s="1"/>
  <c r="L403" i="3" a="1"/>
  <c r="L403" i="3" s="1"/>
  <c r="L409" i="3" a="1"/>
  <c r="L409" i="3" s="1"/>
  <c r="L415" i="3" a="1"/>
  <c r="L415" i="3" s="1"/>
  <c r="L421" i="3" a="1"/>
  <c r="L421" i="3" s="1"/>
  <c r="L428" i="3" a="1"/>
  <c r="L428" i="3" s="1"/>
  <c r="L434" i="3" a="1"/>
  <c r="L434" i="3" s="1"/>
  <c r="L440" i="3" a="1"/>
  <c r="L440" i="3" s="1"/>
  <c r="L446" i="3" a="1"/>
  <c r="L446" i="3" s="1"/>
  <c r="L459" i="3" a="1"/>
  <c r="L459" i="3" s="1"/>
  <c r="L465" i="3" a="1"/>
  <c r="L465" i="3" s="1"/>
  <c r="L471" i="3" a="1"/>
  <c r="L471" i="3" s="1"/>
  <c r="L477" i="3" a="1"/>
  <c r="L477" i="3" s="1"/>
  <c r="L484" i="3" a="1"/>
  <c r="L484" i="3" s="1"/>
  <c r="L490" i="3" a="1"/>
  <c r="L490" i="3" s="1"/>
  <c r="L496" i="3" a="1"/>
  <c r="L496" i="3" s="1"/>
  <c r="L502" i="3" a="1"/>
  <c r="L502" i="3" s="1"/>
  <c r="L521" i="3" a="1"/>
  <c r="L521" i="3" s="1"/>
  <c r="L527" i="3" a="1"/>
  <c r="L527" i="3" s="1"/>
  <c r="L540" i="3" a="1"/>
  <c r="L540" i="3" s="1"/>
  <c r="L547" i="3" a="1"/>
  <c r="L547" i="3" s="1"/>
  <c r="L552" i="3" a="1"/>
  <c r="L552" i="3" s="1"/>
  <c r="L558" i="3" a="1"/>
  <c r="L558" i="3" s="1"/>
  <c r="L565" i="3" a="1"/>
  <c r="L565" i="3" s="1"/>
  <c r="L577" i="3" a="1"/>
  <c r="L577" i="3" s="1"/>
  <c r="L582" i="3" a="1"/>
  <c r="L582" i="3" s="1"/>
  <c r="L595" i="3" a="1"/>
  <c r="L595" i="3" s="1"/>
  <c r="L600" i="3" a="1"/>
  <c r="L600" i="3" s="1"/>
  <c r="L612" i="3" a="1"/>
  <c r="L612" i="3" s="1"/>
  <c r="L616" i="3" a="1"/>
  <c r="L616" i="3" s="1"/>
  <c r="L628" i="3" a="1"/>
  <c r="L628" i="3" s="1"/>
  <c r="L635" i="3" a="1"/>
  <c r="L635" i="3" s="1"/>
  <c r="L641" i="3" a="1"/>
  <c r="L641" i="3" s="1"/>
  <c r="L648" i="3" a="1"/>
  <c r="L648" i="3" s="1"/>
  <c r="L654" i="3" a="1"/>
  <c r="L654" i="3" s="1"/>
  <c r="L661" i="3" a="1"/>
  <c r="L661" i="3" s="1"/>
  <c r="L668" i="3" a="1"/>
  <c r="L668" i="3" s="1"/>
  <c r="L675" i="3" a="1"/>
  <c r="L675" i="3" s="1"/>
  <c r="M855" i="3"/>
  <c r="M1111" i="3"/>
  <c r="M1294" i="3"/>
  <c r="M1361" i="3"/>
  <c r="M1425" i="3"/>
  <c r="M1489" i="3"/>
  <c r="M1553" i="3"/>
  <c r="L58" i="3" a="1"/>
  <c r="L58" i="3" s="1"/>
  <c r="L150" i="3" a="1"/>
  <c r="L150" i="3" s="1"/>
  <c r="L174" i="3" a="1"/>
  <c r="L174" i="3" s="1"/>
  <c r="L189" i="3" a="1"/>
  <c r="L189" i="3" s="1"/>
  <c r="L204" i="3" a="1"/>
  <c r="L204" i="3" s="1"/>
  <c r="L213" i="3" a="1"/>
  <c r="L213" i="3" s="1"/>
  <c r="L229" i="3" a="1"/>
  <c r="L229" i="3" s="1"/>
  <c r="L237" i="3" a="1"/>
  <c r="L237" i="3" s="1"/>
  <c r="L243" i="3" a="1"/>
  <c r="L243" i="3" s="1"/>
  <c r="L251" i="3" a="1"/>
  <c r="L251" i="3" s="1"/>
  <c r="L258" i="3" a="1"/>
  <c r="L258" i="3" s="1"/>
  <c r="L265" i="3" a="1"/>
  <c r="L265" i="3" s="1"/>
  <c r="L272" i="3" a="1"/>
  <c r="L272" i="3" s="1"/>
  <c r="L286" i="3" a="1"/>
  <c r="L286" i="3" s="1"/>
  <c r="L293" i="3" a="1"/>
  <c r="L293" i="3" s="1"/>
  <c r="L300" i="3" a="1"/>
  <c r="L300" i="3" s="1"/>
  <c r="L308" i="3" a="1"/>
  <c r="L308" i="3" s="1"/>
  <c r="L316" i="3" a="1"/>
  <c r="L316" i="3" s="1"/>
  <c r="L324" i="3" a="1"/>
  <c r="L324" i="3" s="1"/>
  <c r="L332" i="3" a="1"/>
  <c r="L332" i="3" s="1"/>
  <c r="L340" i="3" a="1"/>
  <c r="L340" i="3" s="1"/>
  <c r="L354" i="3" a="1"/>
  <c r="L354" i="3" s="1"/>
  <c r="L359" i="3" a="1"/>
  <c r="L359" i="3" s="1"/>
  <c r="L372" i="3" a="1"/>
  <c r="L372" i="3" s="1"/>
  <c r="L379" i="3" a="1"/>
  <c r="L379" i="3" s="1"/>
  <c r="L385" i="3" a="1"/>
  <c r="L385" i="3" s="1"/>
  <c r="L390" i="3" a="1"/>
  <c r="L390" i="3" s="1"/>
  <c r="L397" i="3" a="1"/>
  <c r="L397" i="3" s="1"/>
  <c r="L410" i="3" a="1"/>
  <c r="L410" i="3" s="1"/>
  <c r="L416" i="3" a="1"/>
  <c r="L416" i="3" s="1"/>
  <c r="L435" i="3" a="1"/>
  <c r="L435" i="3" s="1"/>
  <c r="L441" i="3" a="1"/>
  <c r="L441" i="3" s="1"/>
  <c r="L447" i="3" a="1"/>
  <c r="L447" i="3" s="1"/>
  <c r="L453" i="3" a="1"/>
  <c r="L453" i="3" s="1"/>
  <c r="L460" i="3" a="1"/>
  <c r="L460" i="3" s="1"/>
  <c r="L466" i="3" a="1"/>
  <c r="L466" i="3" s="1"/>
  <c r="L472" i="3" a="1"/>
  <c r="L472" i="3" s="1"/>
  <c r="L478" i="3" a="1"/>
  <c r="L478" i="3" s="1"/>
  <c r="L491" i="3" a="1"/>
  <c r="L491" i="3" s="1"/>
  <c r="L497" i="3" a="1"/>
  <c r="L497" i="3" s="1"/>
  <c r="L503" i="3" a="1"/>
  <c r="L503" i="3" s="1"/>
  <c r="L509" i="3" a="1"/>
  <c r="L509" i="3" s="1"/>
  <c r="L516" i="3" a="1"/>
  <c r="L516" i="3" s="1"/>
  <c r="L522" i="3" a="1"/>
  <c r="L522" i="3" s="1"/>
  <c r="L528" i="3" a="1"/>
  <c r="L528" i="3" s="1"/>
  <c r="L534" i="3" a="1"/>
  <c r="L534" i="3" s="1"/>
  <c r="L553" i="3" a="1"/>
  <c r="L553" i="3" s="1"/>
  <c r="L559" i="3" a="1"/>
  <c r="L559" i="3" s="1"/>
  <c r="L572" i="3" a="1"/>
  <c r="L572" i="3" s="1"/>
  <c r="L578" i="3" a="1"/>
  <c r="L578" i="3" s="1"/>
  <c r="L583" i="3" a="1"/>
  <c r="L583" i="3" s="1"/>
  <c r="L589" i="3" a="1"/>
  <c r="L589" i="3" s="1"/>
  <c r="L601" i="3" a="1"/>
  <c r="L601" i="3" s="1"/>
  <c r="L606" i="3" a="1"/>
  <c r="L606" i="3" s="1"/>
  <c r="L617" i="3" a="1"/>
  <c r="L617" i="3" s="1"/>
  <c r="L622" i="3" a="1"/>
  <c r="L622" i="3" s="1"/>
  <c r="L642" i="3" a="1"/>
  <c r="L642" i="3" s="1"/>
  <c r="L649" i="3" a="1"/>
  <c r="L649" i="3" s="1"/>
  <c r="L655" i="3" a="1"/>
  <c r="L655" i="3" s="1"/>
  <c r="L662" i="3" a="1"/>
  <c r="L662" i="3" s="1"/>
  <c r="L669" i="3" a="1"/>
  <c r="L669" i="3" s="1"/>
  <c r="L676" i="3" a="1"/>
  <c r="L676" i="3" s="1"/>
  <c r="L683" i="3" a="1"/>
  <c r="L683" i="3" s="1"/>
  <c r="L689" i="3" a="1"/>
  <c r="L689" i="3" s="1"/>
  <c r="L696" i="3" a="1"/>
  <c r="L696" i="3" s="1"/>
  <c r="L702" i="3" a="1"/>
  <c r="L702" i="3" s="1"/>
  <c r="L709" i="3" a="1"/>
  <c r="L709" i="3" s="1"/>
  <c r="L716" i="3" a="1"/>
  <c r="L716" i="3" s="1"/>
  <c r="L723" i="3" a="1"/>
  <c r="L723" i="3" s="1"/>
  <c r="L730" i="3" a="1"/>
  <c r="L730" i="3" s="1"/>
  <c r="L736" i="3" a="1"/>
  <c r="L736" i="3" s="1"/>
  <c r="L743" i="3" a="1"/>
  <c r="L743" i="3" s="1"/>
  <c r="L770" i="3" a="1"/>
  <c r="L770" i="3" s="1"/>
  <c r="L777" i="3" a="1"/>
  <c r="L777" i="3" s="1"/>
  <c r="L783" i="3" a="1"/>
  <c r="L783" i="3" s="1"/>
  <c r="L790" i="3" a="1"/>
  <c r="L790" i="3" s="1"/>
  <c r="L797" i="3" a="1"/>
  <c r="L797" i="3" s="1"/>
  <c r="L804" i="3" a="1"/>
  <c r="L804" i="3" s="1"/>
  <c r="L811" i="3" a="1"/>
  <c r="L811" i="3" s="1"/>
  <c r="L817" i="3" a="1"/>
  <c r="L817" i="3" s="1"/>
  <c r="L824" i="3" a="1"/>
  <c r="L824" i="3" s="1"/>
  <c r="L830" i="3" a="1"/>
  <c r="L830" i="3" s="1"/>
  <c r="L837" i="3" a="1"/>
  <c r="L837" i="3" s="1"/>
  <c r="L844" i="3" a="1"/>
  <c r="L844" i="3" s="1"/>
  <c r="L851" i="3" a="1"/>
  <c r="L851" i="3" s="1"/>
  <c r="L857" i="3" a="1"/>
  <c r="L857" i="3" s="1"/>
  <c r="L863" i="3" a="1"/>
  <c r="L863" i="3" s="1"/>
  <c r="L874" i="3" a="1"/>
  <c r="L874" i="3" s="1"/>
  <c r="L881" i="3" a="1"/>
  <c r="L881" i="3" s="1"/>
  <c r="L887" i="3" a="1"/>
  <c r="L887" i="3" s="1"/>
  <c r="L898" i="3" a="1"/>
  <c r="L898" i="3" s="1"/>
  <c r="L904" i="3" a="1"/>
  <c r="L904" i="3" s="1"/>
  <c r="L910" i="3" a="1"/>
  <c r="L910" i="3" s="1"/>
  <c r="L922" i="3" a="1"/>
  <c r="L922" i="3" s="1"/>
  <c r="L928" i="3" a="1"/>
  <c r="L928" i="3" s="1"/>
  <c r="L935" i="3" a="1"/>
  <c r="L935" i="3" s="1"/>
  <c r="L941" i="3" a="1"/>
  <c r="L941" i="3" s="1"/>
  <c r="L947" i="3" a="1"/>
  <c r="L947" i="3" s="1"/>
  <c r="L1549" i="3" a="1"/>
  <c r="L1549" i="3" s="1"/>
  <c r="L1533" i="3" a="1"/>
  <c r="L1533" i="3" s="1"/>
  <c r="L1517" i="3" a="1"/>
  <c r="L1517" i="3" s="1"/>
  <c r="L1556" i="3" a="1"/>
  <c r="L1556" i="3" s="1"/>
  <c r="L1548" i="3" a="1"/>
  <c r="L1548" i="3" s="1"/>
  <c r="L1540" i="3" a="1"/>
  <c r="L1540" i="3" s="1"/>
  <c r="L1532" i="3" a="1"/>
  <c r="L1532" i="3" s="1"/>
  <c r="L1524" i="3" a="1"/>
  <c r="L1524" i="3" s="1"/>
  <c r="L1516" i="3" a="1"/>
  <c r="L1516" i="3" s="1"/>
  <c r="L1508" i="3" a="1"/>
  <c r="L1508" i="3" s="1"/>
  <c r="L1500" i="3" a="1"/>
  <c r="L1500" i="3" s="1"/>
  <c r="L1492" i="3" a="1"/>
  <c r="L1492" i="3" s="1"/>
  <c r="L1484" i="3" a="1"/>
  <c r="L1484" i="3" s="1"/>
  <c r="L1476" i="3" a="1"/>
  <c r="L1476" i="3" s="1"/>
  <c r="L1468" i="3" a="1"/>
  <c r="L1468" i="3" s="1"/>
  <c r="L1461" i="3" a="1"/>
  <c r="L1461" i="3" s="1"/>
  <c r="L1442" i="3" a="1"/>
  <c r="L1442" i="3" s="1"/>
  <c r="L1431" i="3" a="1"/>
  <c r="L1431" i="3" s="1"/>
  <c r="L1425" i="3" a="1"/>
  <c r="L1425" i="3" s="1"/>
  <c r="L1419" i="3" a="1"/>
  <c r="L1419" i="3" s="1"/>
  <c r="L1391" i="3" a="1"/>
  <c r="L1391" i="3" s="1"/>
  <c r="L1384" i="3" a="1"/>
  <c r="L1384" i="3" s="1"/>
  <c r="L1378" i="3" a="1"/>
  <c r="L1378" i="3" s="1"/>
  <c r="L1367" i="3" a="1"/>
  <c r="L1367" i="3" s="1"/>
  <c r="L1361" i="3" a="1"/>
  <c r="L1361" i="3" s="1"/>
  <c r="L1355" i="3" a="1"/>
  <c r="L1355" i="3" s="1"/>
  <c r="L1343" i="3" a="1"/>
  <c r="L1343" i="3" s="1"/>
  <c r="L1337" i="3" a="1"/>
  <c r="L1337" i="3" s="1"/>
  <c r="L1330" i="3" a="1"/>
  <c r="L1330" i="3" s="1"/>
  <c r="L1324" i="3" a="1"/>
  <c r="L1324" i="3" s="1"/>
  <c r="L1318" i="3" a="1"/>
  <c r="L1318" i="3" s="1"/>
  <c r="L1305" i="3" a="1"/>
  <c r="L1305" i="3" s="1"/>
  <c r="L1291" i="3" a="1"/>
  <c r="L1291" i="3" s="1"/>
  <c r="L1285" i="3" a="1"/>
  <c r="L1285" i="3" s="1"/>
  <c r="L1278" i="3" a="1"/>
  <c r="L1278" i="3" s="1"/>
  <c r="L1271" i="3" a="1"/>
  <c r="L1271" i="3" s="1"/>
  <c r="L1257" i="3" a="1"/>
  <c r="L1257" i="3" s="1"/>
  <c r="L1252" i="3" a="1"/>
  <c r="L1252" i="3" s="1"/>
  <c r="L1245" i="3" a="1"/>
  <c r="L1245" i="3" s="1"/>
  <c r="L1239" i="3" a="1"/>
  <c r="L1239" i="3" s="1"/>
  <c r="L1233" i="3" a="1"/>
  <c r="L1233" i="3" s="1"/>
  <c r="L1226" i="3" a="1"/>
  <c r="L1226" i="3" s="1"/>
  <c r="L1221" i="3" a="1"/>
  <c r="L1221" i="3" s="1"/>
  <c r="L1214" i="3" a="1"/>
  <c r="L1214" i="3" s="1"/>
  <c r="L1208" i="3" a="1"/>
  <c r="L1208" i="3" s="1"/>
  <c r="L1195" i="3" a="1"/>
  <c r="L1195" i="3" s="1"/>
  <c r="L1183" i="3" a="1"/>
  <c r="L1183" i="3" s="1"/>
  <c r="L1177" i="3" a="1"/>
  <c r="L1177" i="3" s="1"/>
  <c r="L1170" i="3" a="1"/>
  <c r="L1170" i="3" s="1"/>
  <c r="L1164" i="3" a="1"/>
  <c r="L1164" i="3" s="1"/>
  <c r="L1158" i="3" a="1"/>
  <c r="L1158" i="3" s="1"/>
  <c r="L1139" i="3" a="1"/>
  <c r="L1139" i="3" s="1"/>
  <c r="L1133" i="3" a="1"/>
  <c r="L1133" i="3" s="1"/>
  <c r="L1127" i="3" a="1"/>
  <c r="L1127" i="3" s="1"/>
  <c r="L1120" i="3" a="1"/>
  <c r="L1120" i="3" s="1"/>
  <c r="L1114" i="3" a="1"/>
  <c r="L1114" i="3" s="1"/>
  <c r="L1102" i="3" a="1"/>
  <c r="L1102" i="3" s="1"/>
  <c r="L1096" i="3" a="1"/>
  <c r="L1096" i="3" s="1"/>
  <c r="L1089" i="3" a="1"/>
  <c r="L1089" i="3" s="1"/>
  <c r="L1084" i="3" a="1"/>
  <c r="L1084" i="3" s="1"/>
  <c r="L1077" i="3" a="1"/>
  <c r="L1077" i="3" s="1"/>
  <c r="L1072" i="3" a="1"/>
  <c r="L1072" i="3" s="1"/>
  <c r="L1059" i="3" a="1"/>
  <c r="L1059" i="3" s="1"/>
  <c r="L1046" i="3" a="1"/>
  <c r="L1046" i="3" s="1"/>
  <c r="L1033" i="3" a="1"/>
  <c r="L1033" i="3" s="1"/>
  <c r="L1028" i="3" a="1"/>
  <c r="L1028" i="3" s="1"/>
  <c r="L1021" i="3" a="1"/>
  <c r="L1021" i="3" s="1"/>
  <c r="L1015" i="3" a="1"/>
  <c r="L1015" i="3" s="1"/>
  <c r="L1009" i="3" a="1"/>
  <c r="L1009" i="3" s="1"/>
  <c r="L1002" i="3" a="1"/>
  <c r="L1002" i="3" s="1"/>
  <c r="L997" i="3" a="1"/>
  <c r="L997" i="3" s="1"/>
  <c r="L989" i="3" a="1"/>
  <c r="L989" i="3" s="1"/>
  <c r="L982" i="3" a="1"/>
  <c r="L982" i="3" s="1"/>
  <c r="L975" i="3" a="1"/>
  <c r="L975" i="3" s="1"/>
  <c r="L960" i="3" a="1"/>
  <c r="L960" i="3" s="1"/>
  <c r="L952" i="3" a="1"/>
  <c r="L952" i="3" s="1"/>
  <c r="L944" i="3" a="1"/>
  <c r="L944" i="3" s="1"/>
  <c r="L924" i="3" a="1"/>
  <c r="L924" i="3" s="1"/>
  <c r="L912" i="3" a="1"/>
  <c r="L912" i="3" s="1"/>
  <c r="L849" i="3" a="1"/>
  <c r="L849" i="3" s="1"/>
  <c r="L812" i="3" a="1"/>
  <c r="L812" i="3" s="1"/>
  <c r="L789" i="3" a="1"/>
  <c r="L789" i="3" s="1"/>
  <c r="L763" i="3" a="1"/>
  <c r="L763" i="3" s="1"/>
  <c r="L735" i="3" a="1"/>
  <c r="L735" i="3" s="1"/>
  <c r="L682" i="3" a="1"/>
  <c r="L682" i="3" s="1"/>
  <c r="L630" i="3" a="1"/>
  <c r="L630" i="3" s="1"/>
  <c r="L585" i="3" a="1"/>
  <c r="L585" i="3" s="1"/>
  <c r="L1521" i="3" a="1"/>
  <c r="L1521" i="3" s="1"/>
  <c r="L1473" i="3" a="1"/>
  <c r="L1473" i="3" s="1"/>
  <c r="L1434" i="3" a="1"/>
  <c r="L1434" i="3" s="1"/>
  <c r="L1382" i="3" a="1"/>
  <c r="L1382" i="3" s="1"/>
  <c r="L1321" i="3" a="1"/>
  <c r="L1321" i="3" s="1"/>
  <c r="L1275" i="3" a="1"/>
  <c r="L1275" i="3" s="1"/>
  <c r="L1231" i="3" a="1"/>
  <c r="L1231" i="3" s="1"/>
  <c r="L1187" i="3" a="1"/>
  <c r="L1187" i="3" s="1"/>
  <c r="L1137" i="3" a="1"/>
  <c r="L1137" i="3" s="1"/>
  <c r="L1099" i="3" a="1"/>
  <c r="L1099" i="3" s="1"/>
  <c r="L1056" i="3" a="1"/>
  <c r="L1056" i="3" s="1"/>
  <c r="L1007" i="3" a="1"/>
  <c r="L1007" i="3" s="1"/>
  <c r="L972" i="3" a="1"/>
  <c r="L972" i="3" s="1"/>
  <c r="L920" i="3" a="1"/>
  <c r="L920" i="3" s="1"/>
  <c r="L805" i="3" a="1"/>
  <c r="L805" i="3" s="1"/>
  <c r="L1555" i="3" a="1"/>
  <c r="L1555" i="3" s="1"/>
  <c r="L1547" i="3" a="1"/>
  <c r="L1547" i="3" s="1"/>
  <c r="L1539" i="3" a="1"/>
  <c r="L1539" i="3" s="1"/>
  <c r="L1531" i="3" a="1"/>
  <c r="L1531" i="3" s="1"/>
  <c r="L1523" i="3" a="1"/>
  <c r="L1523" i="3" s="1"/>
  <c r="L1515" i="3" a="1"/>
  <c r="L1515" i="3" s="1"/>
  <c r="L1507" i="3" a="1"/>
  <c r="L1507" i="3" s="1"/>
  <c r="L1499" i="3" a="1"/>
  <c r="L1499" i="3" s="1"/>
  <c r="L1491" i="3" a="1"/>
  <c r="L1491" i="3" s="1"/>
  <c r="L1483" i="3" a="1"/>
  <c r="L1483" i="3" s="1"/>
  <c r="L1475" i="3" a="1"/>
  <c r="L1475" i="3" s="1"/>
  <c r="L1467" i="3" a="1"/>
  <c r="L1467" i="3" s="1"/>
  <c r="L1460" i="3" a="1"/>
  <c r="L1460" i="3" s="1"/>
  <c r="L1455" i="3" a="1"/>
  <c r="L1455" i="3" s="1"/>
  <c r="L1448" i="3" a="1"/>
  <c r="L1448" i="3" s="1"/>
  <c r="L1436" i="3" a="1"/>
  <c r="L1436" i="3" s="1"/>
  <c r="L1430" i="3" a="1"/>
  <c r="L1430" i="3" s="1"/>
  <c r="L1418" i="3" a="1"/>
  <c r="L1418" i="3" s="1"/>
  <c r="L1413" i="3" a="1"/>
  <c r="L1413" i="3" s="1"/>
  <c r="L1407" i="3" a="1"/>
  <c r="L1407" i="3" s="1"/>
  <c r="L1401" i="3" a="1"/>
  <c r="L1401" i="3" s="1"/>
  <c r="L1395" i="3" a="1"/>
  <c r="L1395" i="3" s="1"/>
  <c r="L1390" i="3" a="1"/>
  <c r="L1390" i="3" s="1"/>
  <c r="L1372" i="3" a="1"/>
  <c r="L1372" i="3" s="1"/>
  <c r="L1366" i="3" a="1"/>
  <c r="L1366" i="3" s="1"/>
  <c r="L1354" i="3" a="1"/>
  <c r="L1354" i="3" s="1"/>
  <c r="L1349" i="3" a="1"/>
  <c r="L1349" i="3" s="1"/>
  <c r="L1342" i="3" a="1"/>
  <c r="L1342" i="3" s="1"/>
  <c r="L1336" i="3" a="1"/>
  <c r="L1336" i="3" s="1"/>
  <c r="L1323" i="3" a="1"/>
  <c r="L1323" i="3" s="1"/>
  <c r="L1311" i="3" a="1"/>
  <c r="L1311" i="3" s="1"/>
  <c r="L1304" i="3" a="1"/>
  <c r="L1304" i="3" s="1"/>
  <c r="L1297" i="3" a="1"/>
  <c r="L1297" i="3" s="1"/>
  <c r="L1290" i="3" a="1"/>
  <c r="L1290" i="3" s="1"/>
  <c r="L1284" i="3" a="1"/>
  <c r="L1284" i="3" s="1"/>
  <c r="L1277" i="3" a="1"/>
  <c r="L1277" i="3" s="1"/>
  <c r="L1270" i="3" a="1"/>
  <c r="L1270" i="3" s="1"/>
  <c r="L1264" i="3" a="1"/>
  <c r="L1264" i="3" s="1"/>
  <c r="L1251" i="3" a="1"/>
  <c r="L1251" i="3" s="1"/>
  <c r="L1238" i="3" a="1"/>
  <c r="L1238" i="3" s="1"/>
  <c r="L1225" i="3" a="1"/>
  <c r="L1225" i="3" s="1"/>
  <c r="L1220" i="3" a="1"/>
  <c r="L1220" i="3" s="1"/>
  <c r="L1213" i="3" a="1"/>
  <c r="L1213" i="3" s="1"/>
  <c r="L1207" i="3" a="1"/>
  <c r="L1207" i="3" s="1"/>
  <c r="L1201" i="3" a="1"/>
  <c r="L1201" i="3" s="1"/>
  <c r="L1194" i="3" a="1"/>
  <c r="L1194" i="3" s="1"/>
  <c r="L1189" i="3" a="1"/>
  <c r="L1189" i="3" s="1"/>
  <c r="L1182" i="3" a="1"/>
  <c r="L1182" i="3" s="1"/>
  <c r="L1176" i="3" a="1"/>
  <c r="L1176" i="3" s="1"/>
  <c r="L1163" i="3" a="1"/>
  <c r="L1163" i="3" s="1"/>
  <c r="L1151" i="3" a="1"/>
  <c r="L1151" i="3" s="1"/>
  <c r="L1145" i="3" a="1"/>
  <c r="L1145" i="3" s="1"/>
  <c r="L1138" i="3" a="1"/>
  <c r="L1138" i="3" s="1"/>
  <c r="L1132" i="3" a="1"/>
  <c r="L1132" i="3" s="1"/>
  <c r="L1126" i="3" a="1"/>
  <c r="L1126" i="3" s="1"/>
  <c r="L1107" i="3" a="1"/>
  <c r="L1107" i="3" s="1"/>
  <c r="L1101" i="3" a="1"/>
  <c r="L1101" i="3" s="1"/>
  <c r="L1083" i="3" a="1"/>
  <c r="L1083" i="3" s="1"/>
  <c r="L1076" i="3" a="1"/>
  <c r="L1076" i="3" s="1"/>
  <c r="L1071" i="3" a="1"/>
  <c r="L1071" i="3" s="1"/>
  <c r="L1064" i="3" a="1"/>
  <c r="L1064" i="3" s="1"/>
  <c r="L1058" i="3" a="1"/>
  <c r="L1058" i="3" s="1"/>
  <c r="L1052" i="3" a="1"/>
  <c r="L1052" i="3" s="1"/>
  <c r="L1045" i="3" a="1"/>
  <c r="L1045" i="3" s="1"/>
  <c r="L1040" i="3" a="1"/>
  <c r="L1040" i="3" s="1"/>
  <c r="L1027" i="3" a="1"/>
  <c r="L1027" i="3" s="1"/>
  <c r="L1014" i="3" a="1"/>
  <c r="L1014" i="3" s="1"/>
  <c r="L1001" i="3" a="1"/>
  <c r="L1001" i="3" s="1"/>
  <c r="L996" i="3" a="1"/>
  <c r="L996" i="3" s="1"/>
  <c r="L980" i="3" a="1"/>
  <c r="L980" i="3" s="1"/>
  <c r="L974" i="3" a="1"/>
  <c r="L974" i="3" s="1"/>
  <c r="L967" i="3" a="1"/>
  <c r="L967" i="3" s="1"/>
  <c r="L959" i="3" a="1"/>
  <c r="L959" i="3" s="1"/>
  <c r="L951" i="3" a="1"/>
  <c r="L951" i="3" s="1"/>
  <c r="L943" i="3" a="1"/>
  <c r="L943" i="3" s="1"/>
  <c r="L934" i="3" a="1"/>
  <c r="L934" i="3" s="1"/>
  <c r="L909" i="3" a="1"/>
  <c r="L909" i="3" s="1"/>
  <c r="L894" i="3" a="1"/>
  <c r="L894" i="3" s="1"/>
  <c r="L880" i="3" a="1"/>
  <c r="L880" i="3" s="1"/>
  <c r="L862" i="3" a="1"/>
  <c r="L862" i="3" s="1"/>
  <c r="L829" i="3" a="1"/>
  <c r="L829" i="3" s="1"/>
  <c r="L810" i="3" a="1"/>
  <c r="L810" i="3" s="1"/>
  <c r="L785" i="3" a="1"/>
  <c r="L785" i="3" s="1"/>
  <c r="L758" i="3" a="1"/>
  <c r="L758" i="3" s="1"/>
  <c r="L704" i="3" a="1"/>
  <c r="L704" i="3" s="1"/>
  <c r="L677" i="3" a="1"/>
  <c r="L677" i="3" s="1"/>
  <c r="M1462" i="3" l="1"/>
  <c r="M1465" i="3"/>
  <c r="M1321" i="3"/>
  <c r="M1370" i="3"/>
  <c r="M912" i="3"/>
  <c r="M844" i="3"/>
  <c r="M95" i="3"/>
  <c r="M1144" i="3"/>
  <c r="M1447" i="3"/>
  <c r="M1256" i="3"/>
  <c r="M1404" i="3"/>
  <c r="M1289" i="3"/>
  <c r="M888" i="3"/>
  <c r="M1544" i="3"/>
  <c r="M1351" i="3"/>
  <c r="M605" i="3"/>
  <c r="M919" i="3"/>
  <c r="M260" i="3"/>
  <c r="M1480" i="3"/>
  <c r="M1167" i="3"/>
  <c r="M1523" i="3"/>
  <c r="M507" i="3"/>
  <c r="M1190" i="3"/>
  <c r="M410" i="3"/>
  <c r="M1393" i="3"/>
  <c r="M887" i="3"/>
  <c r="M1498" i="3"/>
  <c r="M1336" i="3"/>
  <c r="M1334" i="3"/>
  <c r="M628" i="3"/>
  <c r="M313" i="3"/>
  <c r="M1434" i="3"/>
  <c r="M1200" i="3"/>
  <c r="M1000" i="3"/>
  <c r="M797" i="3"/>
  <c r="M192" i="3"/>
  <c r="M759" i="3"/>
  <c r="M1224" i="3"/>
  <c r="M951" i="3"/>
  <c r="M1175" i="3"/>
  <c r="M1143" i="3"/>
  <c r="M1506" i="3"/>
  <c r="M1442" i="3"/>
  <c r="M1378" i="3"/>
  <c r="M1314" i="3"/>
  <c r="M1176" i="3"/>
  <c r="M920" i="3"/>
  <c r="M516" i="3"/>
  <c r="M1552" i="3"/>
  <c r="M1488" i="3"/>
  <c r="M1416" i="3"/>
  <c r="M1344" i="3"/>
  <c r="M1243" i="3"/>
  <c r="M944" i="3"/>
  <c r="M452" i="3"/>
  <c r="M1471" i="3"/>
  <c r="M1367" i="3"/>
  <c r="M1199" i="3"/>
  <c r="M815" i="3"/>
  <c r="M1486" i="3"/>
  <c r="M1358" i="3"/>
  <c r="M1096" i="3"/>
  <c r="M1317" i="3"/>
  <c r="M1436" i="3"/>
  <c r="M1238" i="3"/>
  <c r="M726" i="3"/>
  <c r="M853" i="3"/>
  <c r="M908" i="3"/>
  <c r="M747" i="3"/>
  <c r="M596" i="3"/>
  <c r="M677" i="3"/>
  <c r="M579" i="3"/>
  <c r="M482" i="3"/>
  <c r="M377" i="3"/>
  <c r="M280" i="3"/>
  <c r="M167" i="3"/>
  <c r="N5" i="3"/>
  <c r="M46" i="3"/>
  <c r="M238" i="3"/>
  <c r="M430" i="3"/>
  <c r="M622" i="3"/>
  <c r="M143" i="3"/>
  <c r="M335" i="3"/>
  <c r="M527" i="3"/>
  <c r="M48" i="3"/>
  <c r="M240" i="3"/>
  <c r="M432" i="3"/>
  <c r="M624" i="3"/>
  <c r="M145" i="3"/>
  <c r="M337" i="3"/>
  <c r="M529" i="3"/>
  <c r="M50" i="3"/>
  <c r="M242" i="3"/>
  <c r="M434" i="3"/>
  <c r="M626" i="3"/>
  <c r="M163" i="3"/>
  <c r="M355" i="3"/>
  <c r="M547" i="3"/>
  <c r="M69" i="3"/>
  <c r="M261" i="3"/>
  <c r="M453" i="3"/>
  <c r="M645" i="3"/>
  <c r="M753" i="3"/>
  <c r="M945" i="3"/>
  <c r="M1137" i="3"/>
  <c r="M276" i="3"/>
  <c r="M826" i="3"/>
  <c r="M1018" i="3"/>
  <c r="M1210" i="3"/>
  <c r="M707" i="3"/>
  <c r="M899" i="3"/>
  <c r="M1091" i="3"/>
  <c r="M692" i="3"/>
  <c r="M876" i="3"/>
  <c r="M1044" i="3"/>
  <c r="M1188" i="3"/>
  <c r="M620" i="3"/>
  <c r="M829" i="3"/>
  <c r="M973" i="3"/>
  <c r="M1117" i="3"/>
  <c r="M1269" i="3"/>
  <c r="M702" i="3"/>
  <c r="M830" i="3"/>
  <c r="M958" i="3"/>
  <c r="M1086" i="3"/>
  <c r="M1214" i="3"/>
  <c r="M831" i="3"/>
  <c r="M1284" i="3"/>
  <c r="M1419" i="3"/>
  <c r="M1547" i="3"/>
  <c r="M864" i="3"/>
  <c r="M1184" i="3"/>
  <c r="M1340" i="3"/>
  <c r="M1428" i="3"/>
  <c r="M1508" i="3"/>
  <c r="M743" i="3"/>
  <c r="M999" i="3"/>
  <c r="M1235" i="3"/>
  <c r="M1333" i="3"/>
  <c r="M1397" i="3"/>
  <c r="M1461" i="3"/>
  <c r="M1525" i="3"/>
  <c r="M712" i="3"/>
  <c r="M968" i="3"/>
  <c r="M1216" i="3"/>
  <c r="M1326" i="3"/>
  <c r="M1390" i="3"/>
  <c r="M1454" i="3"/>
  <c r="M1518" i="3"/>
  <c r="M751" i="3"/>
  <c r="M1007" i="3"/>
  <c r="M1240" i="3"/>
  <c r="M1335" i="3"/>
  <c r="M1399" i="3"/>
  <c r="M1463" i="3"/>
  <c r="M1527" i="3"/>
  <c r="M102" i="3"/>
  <c r="M302" i="3"/>
  <c r="M494" i="3"/>
  <c r="M7" i="3"/>
  <c r="M199" i="3"/>
  <c r="M399" i="3"/>
  <c r="M591" i="3"/>
  <c r="M104" i="3"/>
  <c r="M304" i="3"/>
  <c r="M496" i="3"/>
  <c r="M9" i="3"/>
  <c r="M201" i="3"/>
  <c r="M401" i="3"/>
  <c r="M593" i="3"/>
  <c r="M106" i="3"/>
  <c r="M306" i="3"/>
  <c r="M498" i="3"/>
  <c r="M11" i="3"/>
  <c r="M203" i="3"/>
  <c r="M419" i="3"/>
  <c r="M611" i="3"/>
  <c r="M125" i="3"/>
  <c r="M325" i="3"/>
  <c r="M517" i="3"/>
  <c r="M140" i="3"/>
  <c r="M809" i="3"/>
  <c r="M1009" i="3"/>
  <c r="M1201" i="3"/>
  <c r="M690" i="3"/>
  <c r="M890" i="3"/>
  <c r="M1082" i="3"/>
  <c r="M1274" i="3"/>
  <c r="M763" i="3"/>
  <c r="M963" i="3"/>
  <c r="M1155" i="3"/>
  <c r="M748" i="3"/>
  <c r="M932" i="3"/>
  <c r="M1092" i="3"/>
  <c r="M1236" i="3"/>
  <c r="M725" i="3"/>
  <c r="M869" i="3"/>
  <c r="M1021" i="3"/>
  <c r="M1165" i="3"/>
  <c r="M52" i="3"/>
  <c r="M742" i="3"/>
  <c r="M870" i="3"/>
  <c r="M998" i="3"/>
  <c r="M1126" i="3"/>
  <c r="M1254" i="3"/>
  <c r="M991" i="3"/>
  <c r="M1331" i="3"/>
  <c r="M1459" i="3"/>
  <c r="M68" i="3"/>
  <c r="M928" i="3"/>
  <c r="M1255" i="3"/>
  <c r="M1364" i="3"/>
  <c r="M1444" i="3"/>
  <c r="M1532" i="3"/>
  <c r="M807" i="3"/>
  <c r="M1063" i="3"/>
  <c r="M1272" i="3"/>
  <c r="M1349" i="3"/>
  <c r="M1413" i="3"/>
  <c r="M1477" i="3"/>
  <c r="M1541" i="3"/>
  <c r="M776" i="3"/>
  <c r="M1032" i="3"/>
  <c r="M1259" i="3"/>
  <c r="M1342" i="3"/>
  <c r="M1406" i="3"/>
  <c r="M1470" i="3"/>
  <c r="M1534" i="3"/>
  <c r="M110" i="3"/>
  <c r="M310" i="3"/>
  <c r="M502" i="3"/>
  <c r="M15" i="3"/>
  <c r="M215" i="3"/>
  <c r="M407" i="3"/>
  <c r="M599" i="3"/>
  <c r="M112" i="3"/>
  <c r="M312" i="3"/>
  <c r="M504" i="3"/>
  <c r="M17" i="3"/>
  <c r="M217" i="3"/>
  <c r="M409" i="3"/>
  <c r="M601" i="3"/>
  <c r="M114" i="3"/>
  <c r="M330" i="3"/>
  <c r="M522" i="3"/>
  <c r="M35" i="3"/>
  <c r="M235" i="3"/>
  <c r="M427" i="3"/>
  <c r="M619" i="3"/>
  <c r="M133" i="3"/>
  <c r="M333" i="3"/>
  <c r="M525" i="3"/>
  <c r="M204" i="3"/>
  <c r="M825" i="3"/>
  <c r="M1017" i="3"/>
  <c r="M1209" i="3"/>
  <c r="M698" i="3"/>
  <c r="M898" i="3"/>
  <c r="M1090" i="3"/>
  <c r="M1282" i="3"/>
  <c r="M779" i="3"/>
  <c r="M971" i="3"/>
  <c r="M1163" i="3"/>
  <c r="M756" i="3"/>
  <c r="M940" i="3"/>
  <c r="M1100" i="3"/>
  <c r="M1244" i="3"/>
  <c r="M733" i="3"/>
  <c r="M885" i="3"/>
  <c r="M1029" i="3"/>
  <c r="M1173" i="3"/>
  <c r="M116" i="3"/>
  <c r="M750" i="3"/>
  <c r="M878" i="3"/>
  <c r="M1006" i="3"/>
  <c r="M1134" i="3"/>
  <c r="M1262" i="3"/>
  <c r="M1023" i="3"/>
  <c r="M1339" i="3"/>
  <c r="M1467" i="3"/>
  <c r="M324" i="3"/>
  <c r="M960" i="3"/>
  <c r="M1271" i="3"/>
  <c r="M1372" i="3"/>
  <c r="M1452" i="3"/>
  <c r="M1540" i="3"/>
  <c r="M839" i="3"/>
  <c r="M1095" i="3"/>
  <c r="M1287" i="3"/>
  <c r="M1357" i="3"/>
  <c r="M1421" i="3"/>
  <c r="M1485" i="3"/>
  <c r="M1549" i="3"/>
  <c r="M808" i="3"/>
  <c r="M1064" i="3"/>
  <c r="M1275" i="3"/>
  <c r="M1350" i="3"/>
  <c r="M1414" i="3"/>
  <c r="M1478" i="3"/>
  <c r="M1542" i="3"/>
  <c r="M847" i="3"/>
  <c r="M1103" i="3"/>
  <c r="M1291" i="3"/>
  <c r="M1359" i="3"/>
  <c r="M1423" i="3"/>
  <c r="M1487" i="3"/>
  <c r="M1551" i="3"/>
  <c r="M134" i="3"/>
  <c r="M326" i="3"/>
  <c r="M518" i="3"/>
  <c r="M39" i="3"/>
  <c r="M231" i="3"/>
  <c r="M423" i="3"/>
  <c r="M615" i="3"/>
  <c r="M152" i="3"/>
  <c r="M344" i="3"/>
  <c r="M536" i="3"/>
  <c r="M57" i="3"/>
  <c r="M249" i="3"/>
  <c r="M441" i="3"/>
  <c r="M633" i="3"/>
  <c r="M154" i="3"/>
  <c r="M346" i="3"/>
  <c r="M538" i="3"/>
  <c r="M59" i="3"/>
  <c r="M251" i="3"/>
  <c r="M443" i="3"/>
  <c r="M635" i="3"/>
  <c r="M157" i="3"/>
  <c r="M349" i="3"/>
  <c r="M541" i="3"/>
  <c r="M396" i="3"/>
  <c r="M841" i="3"/>
  <c r="M1033" i="3"/>
  <c r="M1225" i="3"/>
  <c r="M738" i="3"/>
  <c r="M930" i="3"/>
  <c r="M1122" i="3"/>
  <c r="M156" i="3"/>
  <c r="M811" i="3"/>
  <c r="M1003" i="3"/>
  <c r="M1195" i="3"/>
  <c r="M796" i="3"/>
  <c r="M964" i="3"/>
  <c r="M1116" i="3"/>
  <c r="M44" i="3"/>
  <c r="M757" i="3"/>
  <c r="M901" i="3"/>
  <c r="M1045" i="3"/>
  <c r="M1189" i="3"/>
  <c r="M308" i="3"/>
  <c r="M766" i="3"/>
  <c r="M894" i="3"/>
  <c r="M1022" i="3"/>
  <c r="M1150" i="3"/>
  <c r="M1278" i="3"/>
  <c r="M1087" i="3"/>
  <c r="M1355" i="3"/>
  <c r="M1483" i="3"/>
  <c r="M580" i="3"/>
  <c r="M1024" i="3"/>
  <c r="M1299" i="3"/>
  <c r="M1380" i="3"/>
  <c r="M1468" i="3"/>
  <c r="M1556" i="3"/>
  <c r="M124" i="3"/>
  <c r="M871" i="3"/>
  <c r="M1127" i="3"/>
  <c r="M1300" i="3"/>
  <c r="M1365" i="3"/>
  <c r="M1429" i="3"/>
  <c r="M1493" i="3"/>
  <c r="M174" i="3"/>
  <c r="M366" i="3"/>
  <c r="M566" i="3"/>
  <c r="M79" i="3"/>
  <c r="M271" i="3"/>
  <c r="M471" i="3"/>
  <c r="M663" i="3"/>
  <c r="M176" i="3"/>
  <c r="M368" i="3"/>
  <c r="M568" i="3"/>
  <c r="M81" i="3"/>
  <c r="M273" i="3"/>
  <c r="M473" i="3"/>
  <c r="M665" i="3"/>
  <c r="M178" i="3"/>
  <c r="M370" i="3"/>
  <c r="M586" i="3"/>
  <c r="M99" i="3"/>
  <c r="M291" i="3"/>
  <c r="M491" i="3"/>
  <c r="M683" i="3"/>
  <c r="M197" i="3"/>
  <c r="M389" i="3"/>
  <c r="M589" i="3"/>
  <c r="M689" i="3"/>
  <c r="M881" i="3"/>
  <c r="M1081" i="3"/>
  <c r="M1273" i="3"/>
  <c r="M762" i="3"/>
  <c r="M954" i="3"/>
  <c r="M1154" i="3"/>
  <c r="M348" i="3"/>
  <c r="M835" i="3"/>
  <c r="M1035" i="3"/>
  <c r="M228" i="3"/>
  <c r="M820" i="3"/>
  <c r="M988" i="3"/>
  <c r="M1140" i="3"/>
  <c r="M300" i="3"/>
  <c r="M781" i="3"/>
  <c r="M925" i="3"/>
  <c r="M1077" i="3"/>
  <c r="M1221" i="3"/>
  <c r="M500" i="3"/>
  <c r="M790" i="3"/>
  <c r="M918" i="3"/>
  <c r="M1046" i="3"/>
  <c r="M1174" i="3"/>
  <c r="M572" i="3"/>
  <c r="M1183" i="3"/>
  <c r="M1379" i="3"/>
  <c r="M1507" i="3"/>
  <c r="M704" i="3"/>
  <c r="M1056" i="3"/>
  <c r="M1308" i="3"/>
  <c r="M1388" i="3"/>
  <c r="M1476" i="3"/>
  <c r="M380" i="3"/>
  <c r="M903" i="3"/>
  <c r="M1159" i="3"/>
  <c r="M1309" i="3"/>
  <c r="M1373" i="3"/>
  <c r="M1437" i="3"/>
  <c r="M1501" i="3"/>
  <c r="M6" i="3"/>
  <c r="M206" i="3"/>
  <c r="M398" i="3"/>
  <c r="M590" i="3"/>
  <c r="M103" i="3"/>
  <c r="M319" i="3"/>
  <c r="M511" i="3"/>
  <c r="M24" i="3"/>
  <c r="M224" i="3"/>
  <c r="M416" i="3"/>
  <c r="M608" i="3"/>
  <c r="M121" i="3"/>
  <c r="M321" i="3"/>
  <c r="M513" i="3"/>
  <c r="M26" i="3"/>
  <c r="M226" i="3"/>
  <c r="M418" i="3"/>
  <c r="M610" i="3"/>
  <c r="M123" i="3"/>
  <c r="M323" i="3"/>
  <c r="M515" i="3"/>
  <c r="M29" i="3"/>
  <c r="M229" i="3"/>
  <c r="M421" i="3"/>
  <c r="M613" i="3"/>
  <c r="M713" i="3"/>
  <c r="M929" i="3"/>
  <c r="M1121" i="3"/>
  <c r="M84" i="3"/>
  <c r="M810" i="3"/>
  <c r="M1002" i="3"/>
  <c r="M1194" i="3"/>
  <c r="M668" i="3"/>
  <c r="M883" i="3"/>
  <c r="M1075" i="3"/>
  <c r="M548" i="3"/>
  <c r="M860" i="3"/>
  <c r="M1028" i="3"/>
  <c r="M1172" i="3"/>
  <c r="M492" i="3"/>
  <c r="M805" i="3"/>
  <c r="M957" i="3"/>
  <c r="M1101" i="3"/>
  <c r="M1245" i="3"/>
  <c r="M686" i="3"/>
  <c r="M814" i="3"/>
  <c r="M942" i="3"/>
  <c r="M1070" i="3"/>
  <c r="M1198" i="3"/>
  <c r="M767" i="3"/>
  <c r="M1251" i="3"/>
  <c r="M1403" i="3"/>
  <c r="M1531" i="3"/>
  <c r="M800" i="3"/>
  <c r="M1152" i="3"/>
  <c r="M1324" i="3"/>
  <c r="M1412" i="3"/>
  <c r="M1500" i="3"/>
  <c r="M711" i="3"/>
  <c r="M967" i="3"/>
  <c r="M1215" i="3"/>
  <c r="M1325" i="3"/>
  <c r="M1389" i="3"/>
  <c r="M1453" i="3"/>
  <c r="M1517" i="3"/>
  <c r="M644" i="3"/>
  <c r="M936" i="3"/>
  <c r="M1192" i="3"/>
  <c r="M1318" i="3"/>
  <c r="M1382" i="3"/>
  <c r="M1446" i="3"/>
  <c r="M1510" i="3"/>
  <c r="M719" i="3"/>
  <c r="M975" i="3"/>
  <c r="M1219" i="3"/>
  <c r="M1327" i="3"/>
  <c r="M1391" i="3"/>
  <c r="M1455" i="3"/>
  <c r="M1519" i="3"/>
  <c r="M720" i="3"/>
  <c r="M976" i="3"/>
  <c r="M1223" i="3"/>
  <c r="M1328" i="3"/>
  <c r="M1392" i="3"/>
  <c r="M1456" i="3"/>
  <c r="M727" i="3"/>
  <c r="M508" i="3"/>
  <c r="M252" i="3"/>
  <c r="M1554" i="3"/>
  <c r="M1490" i="3"/>
  <c r="M1426" i="3"/>
  <c r="M1362" i="3"/>
  <c r="M1295" i="3"/>
  <c r="M1112" i="3"/>
  <c r="M856" i="3"/>
  <c r="M1536" i="3"/>
  <c r="M1472" i="3"/>
  <c r="M1400" i="3"/>
  <c r="M1320" i="3"/>
  <c r="M1168" i="3"/>
  <c r="M880" i="3"/>
  <c r="M1543" i="3"/>
  <c r="M1439" i="3"/>
  <c r="M1343" i="3"/>
  <c r="M1135" i="3"/>
  <c r="M687" i="3"/>
  <c r="M1438" i="3"/>
  <c r="M1310" i="3"/>
  <c r="M904" i="3"/>
  <c r="M1509" i="3"/>
  <c r="M1191" i="3"/>
  <c r="M1348" i="3"/>
  <c r="M1443" i="3"/>
  <c r="M1110" i="3"/>
  <c r="M1293" i="3"/>
  <c r="M709" i="3"/>
  <c r="M732" i="3"/>
  <c r="M1258" i="3"/>
  <c r="M1185" i="3"/>
  <c r="M485" i="3"/>
  <c r="M379" i="3"/>
  <c r="M282" i="3"/>
  <c r="M185" i="3"/>
  <c r="M88" i="3"/>
  <c r="M654" i="3"/>
  <c r="M1513" i="3"/>
  <c r="M1546" i="3"/>
  <c r="M1482" i="3"/>
  <c r="M1418" i="3"/>
  <c r="M1354" i="3"/>
  <c r="M1283" i="3"/>
  <c r="M1080" i="3"/>
  <c r="M824" i="3"/>
  <c r="M1528" i="3"/>
  <c r="M1464" i="3"/>
  <c r="M1384" i="3"/>
  <c r="M1312" i="3"/>
  <c r="M1136" i="3"/>
  <c r="M848" i="3"/>
  <c r="M1535" i="3"/>
  <c r="M1431" i="3"/>
  <c r="M1319" i="3"/>
  <c r="M1071" i="3"/>
  <c r="M444" i="3"/>
  <c r="M1430" i="3"/>
  <c r="M1302" i="3"/>
  <c r="M872" i="3"/>
  <c r="M1469" i="3"/>
  <c r="M1031" i="3"/>
  <c r="M1316" i="3"/>
  <c r="M1395" i="3"/>
  <c r="M1062" i="3"/>
  <c r="M1237" i="3"/>
  <c r="M428" i="3"/>
  <c r="M484" i="3"/>
  <c r="M1186" i="3"/>
  <c r="M1097" i="3"/>
  <c r="M413" i="3"/>
  <c r="M315" i="3"/>
  <c r="M210" i="3"/>
  <c r="M113" i="3"/>
  <c r="M679" i="3"/>
  <c r="M582" i="3"/>
  <c r="M1521" i="3"/>
  <c r="M1449" i="3"/>
  <c r="M1505" i="3"/>
  <c r="M1497" i="3"/>
  <c r="M1538" i="3"/>
  <c r="M1474" i="3"/>
  <c r="M1410" i="3"/>
  <c r="M1346" i="3"/>
  <c r="M1267" i="3"/>
  <c r="M1048" i="3"/>
  <c r="M792" i="3"/>
  <c r="M1520" i="3"/>
  <c r="M1448" i="3"/>
  <c r="M1376" i="3"/>
  <c r="M1304" i="3"/>
  <c r="M1104" i="3"/>
  <c r="M816" i="3"/>
  <c r="M1511" i="3"/>
  <c r="M1415" i="3"/>
  <c r="M1311" i="3"/>
  <c r="M1039" i="3"/>
  <c r="M188" i="3"/>
  <c r="M1550" i="3"/>
  <c r="M1422" i="3"/>
  <c r="M1288" i="3"/>
  <c r="M840" i="3"/>
  <c r="M1445" i="3"/>
  <c r="M935" i="3"/>
  <c r="M1211" i="3"/>
  <c r="M1315" i="3"/>
  <c r="M982" i="3"/>
  <c r="M1149" i="3"/>
  <c r="M1220" i="3"/>
  <c r="M1139" i="3"/>
  <c r="M1066" i="3"/>
  <c r="M969" i="3"/>
  <c r="M285" i="3"/>
  <c r="M187" i="3"/>
  <c r="M90" i="3"/>
  <c r="M672" i="3"/>
  <c r="M575" i="3"/>
  <c r="M462" i="3"/>
  <c r="M1337" i="3"/>
  <c r="M1457" i="3"/>
  <c r="M1385" i="3"/>
  <c r="M1441" i="3"/>
  <c r="M1433" i="3"/>
  <c r="M1530" i="3"/>
  <c r="M1466" i="3"/>
  <c r="M1402" i="3"/>
  <c r="M1338" i="3"/>
  <c r="M1248" i="3"/>
  <c r="M1016" i="3"/>
  <c r="M760" i="3"/>
  <c r="M1512" i="3"/>
  <c r="M1440" i="3"/>
  <c r="M1368" i="3"/>
  <c r="M1292" i="3"/>
  <c r="M1072" i="3"/>
  <c r="M784" i="3"/>
  <c r="M1503" i="3"/>
  <c r="M1407" i="3"/>
  <c r="M1303" i="3"/>
  <c r="M943" i="3"/>
  <c r="M1526" i="3"/>
  <c r="M1398" i="3"/>
  <c r="M1239" i="3"/>
  <c r="M744" i="3"/>
  <c r="M1405" i="3"/>
  <c r="M775" i="3"/>
  <c r="M1120" i="3"/>
  <c r="M1231" i="3"/>
  <c r="M934" i="3"/>
  <c r="M1093" i="3"/>
  <c r="M1164" i="3"/>
  <c r="M1067" i="3"/>
  <c r="M994" i="3"/>
  <c r="M905" i="3"/>
  <c r="M213" i="3"/>
  <c r="M115" i="3"/>
  <c r="M18" i="3"/>
  <c r="M600" i="3"/>
  <c r="M487" i="3"/>
  <c r="M390" i="3"/>
  <c r="M1377" i="3"/>
  <c r="M1369" i="3"/>
  <c r="M1522" i="3"/>
  <c r="M1458" i="3"/>
  <c r="M1394" i="3"/>
  <c r="M1330" i="3"/>
  <c r="M1227" i="3"/>
  <c r="M984" i="3"/>
  <c r="M728" i="3"/>
  <c r="M1504" i="3"/>
  <c r="M1432" i="3"/>
  <c r="M1360" i="3"/>
  <c r="M1279" i="3"/>
  <c r="M1040" i="3"/>
  <c r="M752" i="3"/>
  <c r="M1495" i="3"/>
  <c r="M1383" i="3"/>
  <c r="M1276" i="3"/>
  <c r="M911" i="3"/>
  <c r="M1502" i="3"/>
  <c r="M1374" i="3"/>
  <c r="M1160" i="3"/>
  <c r="M388" i="3"/>
  <c r="M1381" i="3"/>
  <c r="M636" i="3"/>
  <c r="M1516" i="3"/>
  <c r="M896" i="3"/>
  <c r="M927" i="3"/>
  <c r="M854" i="3"/>
  <c r="M997" i="3"/>
  <c r="M1068" i="3"/>
  <c r="M939" i="3"/>
  <c r="M866" i="3"/>
  <c r="M777" i="3"/>
  <c r="M93" i="3"/>
  <c r="M674" i="3"/>
  <c r="M577" i="3"/>
  <c r="M480" i="3"/>
  <c r="M359" i="3"/>
  <c r="M262" i="3"/>
  <c r="M1015" i="3"/>
  <c r="M1329" i="3"/>
  <c r="M1203" i="3"/>
  <c r="M1313" i="3"/>
  <c r="M1305" i="3"/>
  <c r="M1514" i="3"/>
  <c r="M1450" i="3"/>
  <c r="M1386" i="3"/>
  <c r="M1322" i="3"/>
  <c r="M1207" i="3"/>
  <c r="M952" i="3"/>
  <c r="M696" i="3"/>
  <c r="M1496" i="3"/>
  <c r="M1424" i="3"/>
  <c r="M1352" i="3"/>
  <c r="M1263" i="3"/>
  <c r="M1008" i="3"/>
  <c r="M688" i="3"/>
  <c r="M1479" i="3"/>
  <c r="M1375" i="3"/>
  <c r="M1260" i="3"/>
  <c r="M879" i="3"/>
  <c r="M1494" i="3"/>
  <c r="M1366" i="3"/>
  <c r="M1128" i="3"/>
  <c r="M132" i="3"/>
  <c r="M1341" i="3"/>
  <c r="M1492" i="3"/>
  <c r="M768" i="3"/>
  <c r="M735" i="3"/>
  <c r="M806" i="3"/>
  <c r="M949" i="3"/>
  <c r="M1012" i="3"/>
  <c r="M875" i="3"/>
  <c r="M778" i="3"/>
  <c r="M705" i="3"/>
  <c r="M21" i="3"/>
  <c r="M602" i="3"/>
  <c r="M505" i="3"/>
  <c r="M408" i="3"/>
  <c r="M295" i="3"/>
  <c r="M190" i="3"/>
  <c r="M1524" i="3"/>
  <c r="M1460" i="3"/>
  <c r="M1396" i="3"/>
  <c r="M1332" i="3"/>
  <c r="M1232" i="3"/>
  <c r="M992" i="3"/>
  <c r="M736" i="3"/>
  <c r="M1539" i="3"/>
  <c r="M1475" i="3"/>
  <c r="M1411" i="3"/>
  <c r="M1347" i="3"/>
  <c r="M1268" i="3"/>
  <c r="M1055" i="3"/>
  <c r="M799" i="3"/>
  <c r="M1270" i="3"/>
  <c r="M1206" i="3"/>
  <c r="M1142" i="3"/>
  <c r="M1078" i="3"/>
  <c r="M1014" i="3"/>
  <c r="M950" i="3"/>
  <c r="M886" i="3"/>
  <c r="M822" i="3"/>
  <c r="M758" i="3"/>
  <c r="M694" i="3"/>
  <c r="M244" i="3"/>
  <c r="M1253" i="3"/>
  <c r="M1181" i="3"/>
  <c r="M1109" i="3"/>
  <c r="M1037" i="3"/>
  <c r="M965" i="3"/>
  <c r="M893" i="3"/>
  <c r="M821" i="3"/>
  <c r="M741" i="3"/>
  <c r="M556" i="3"/>
  <c r="M1252" i="3"/>
  <c r="M1180" i="3"/>
  <c r="M1108" i="3"/>
  <c r="M1036" i="3"/>
  <c r="M948" i="3"/>
  <c r="M868" i="3"/>
  <c r="M788" i="3"/>
  <c r="M612" i="3"/>
  <c r="M1187" i="3"/>
  <c r="M1083" i="3"/>
  <c r="M995" i="3"/>
  <c r="M891" i="3"/>
  <c r="M803" i="3"/>
  <c r="M699" i="3"/>
  <c r="M1290" i="3"/>
  <c r="M1202" i="3"/>
  <c r="M1098" i="3"/>
  <c r="M1010" i="3"/>
  <c r="M906" i="3"/>
  <c r="M818" i="3"/>
  <c r="M714" i="3"/>
  <c r="M148" i="3"/>
  <c r="M1217" i="3"/>
  <c r="M1129" i="3"/>
  <c r="M1025" i="3"/>
  <c r="M937" i="3"/>
  <c r="M833" i="3"/>
  <c r="M745" i="3"/>
  <c r="M268" i="3"/>
  <c r="M637" i="3"/>
  <c r="M533" i="3"/>
  <c r="M445" i="3"/>
  <c r="M341" i="3"/>
  <c r="M253" i="3"/>
  <c r="M149" i="3"/>
  <c r="M37" i="3"/>
  <c r="M627" i="3"/>
  <c r="M523" i="3"/>
  <c r="M435" i="3"/>
  <c r="M331" i="3"/>
  <c r="M243" i="3"/>
  <c r="M139" i="3"/>
  <c r="M43" i="3"/>
  <c r="M618" i="3"/>
  <c r="M530" i="3"/>
  <c r="M426" i="3"/>
  <c r="M338" i="3"/>
  <c r="M234" i="3"/>
  <c r="M146" i="3"/>
  <c r="M34" i="3"/>
  <c r="M625" i="3"/>
  <c r="M521" i="3"/>
  <c r="M433" i="3"/>
  <c r="M329" i="3"/>
  <c r="M241" i="3"/>
  <c r="M137" i="3"/>
  <c r="M25" i="3"/>
  <c r="M616" i="3"/>
  <c r="M512" i="3"/>
  <c r="M424" i="3"/>
  <c r="M320" i="3"/>
  <c r="M232" i="3"/>
  <c r="M128" i="3"/>
  <c r="M32" i="3"/>
  <c r="M607" i="3"/>
  <c r="M519" i="3"/>
  <c r="M415" i="3"/>
  <c r="M327" i="3"/>
  <c r="M223" i="3"/>
  <c r="M135" i="3"/>
  <c r="M23" i="3"/>
  <c r="M614" i="3"/>
  <c r="M510" i="3"/>
  <c r="M422" i="3"/>
  <c r="M318" i="3"/>
  <c r="M230" i="3"/>
  <c r="M126" i="3"/>
  <c r="M14" i="3"/>
  <c r="M1515" i="3"/>
  <c r="M1451" i="3"/>
  <c r="M1387" i="3"/>
  <c r="M1323" i="3"/>
  <c r="M1208" i="3"/>
  <c r="M959" i="3"/>
  <c r="M703" i="3"/>
  <c r="M1246" i="3"/>
  <c r="M1182" i="3"/>
  <c r="M1118" i="3"/>
  <c r="M1054" i="3"/>
  <c r="M990" i="3"/>
  <c r="M926" i="3"/>
  <c r="M862" i="3"/>
  <c r="M798" i="3"/>
  <c r="M734" i="3"/>
  <c r="M564" i="3"/>
  <c r="M1301" i="3"/>
  <c r="M1229" i="3"/>
  <c r="M1157" i="3"/>
  <c r="M1085" i="3"/>
  <c r="M1013" i="3"/>
  <c r="M933" i="3"/>
  <c r="M861" i="3"/>
  <c r="M789" i="3"/>
  <c r="M717" i="3"/>
  <c r="M364" i="3"/>
  <c r="M1228" i="3"/>
  <c r="M1156" i="3"/>
  <c r="M1076" i="3"/>
  <c r="M1004" i="3"/>
  <c r="M916" i="3"/>
  <c r="M836" i="3"/>
  <c r="M740" i="3"/>
  <c r="M420" i="3"/>
  <c r="M1147" i="3"/>
  <c r="M1059" i="3"/>
  <c r="M955" i="3"/>
  <c r="M843" i="3"/>
  <c r="M755" i="3"/>
  <c r="M412" i="3"/>
  <c r="M1266" i="3"/>
  <c r="M1162" i="3"/>
  <c r="M1074" i="3"/>
  <c r="M970" i="3"/>
  <c r="M874" i="3"/>
  <c r="M770" i="3"/>
  <c r="M660" i="3"/>
  <c r="M1281" i="3"/>
  <c r="M1193" i="3"/>
  <c r="M1089" i="3"/>
  <c r="M1001" i="3"/>
  <c r="M889" i="3"/>
  <c r="M801" i="3"/>
  <c r="M697" i="3"/>
  <c r="M76" i="3"/>
  <c r="M597" i="3"/>
  <c r="M509" i="3"/>
  <c r="M405" i="3"/>
  <c r="M293" i="3"/>
  <c r="M205" i="3"/>
  <c r="M101" i="3"/>
  <c r="M13" i="3"/>
  <c r="M587" i="3"/>
  <c r="M499" i="3"/>
  <c r="M395" i="3"/>
  <c r="M299" i="3"/>
  <c r="M195" i="3"/>
  <c r="M107" i="3"/>
  <c r="M682" i="3"/>
  <c r="M594" i="3"/>
  <c r="M490" i="3"/>
  <c r="M402" i="3"/>
  <c r="M290" i="3"/>
  <c r="M202" i="3"/>
  <c r="M98" i="3"/>
  <c r="M10" i="3"/>
  <c r="M585" i="3"/>
  <c r="M497" i="3"/>
  <c r="M393" i="3"/>
  <c r="M281" i="3"/>
  <c r="M193" i="3"/>
  <c r="M89" i="3"/>
  <c r="M680" i="3"/>
  <c r="M576" i="3"/>
  <c r="M488" i="3"/>
  <c r="M384" i="3"/>
  <c r="M288" i="3"/>
  <c r="M184" i="3"/>
  <c r="M96" i="3"/>
  <c r="M671" i="3"/>
  <c r="M583" i="3"/>
  <c r="M479" i="3"/>
  <c r="M391" i="3"/>
  <c r="M279" i="3"/>
  <c r="M191" i="3"/>
  <c r="M87" i="3"/>
  <c r="M678" i="3"/>
  <c r="M574" i="3"/>
  <c r="M486" i="3"/>
  <c r="M382" i="3"/>
  <c r="M270" i="3"/>
  <c r="M182" i="3"/>
  <c r="M78" i="3"/>
  <c r="M1548" i="3"/>
  <c r="M1484" i="3"/>
  <c r="M1420" i="3"/>
  <c r="M1356" i="3"/>
  <c r="M1286" i="3"/>
  <c r="M1088" i="3"/>
  <c r="M832" i="3"/>
  <c r="M1499" i="3"/>
  <c r="M1435" i="3"/>
  <c r="M1371" i="3"/>
  <c r="M1307" i="3"/>
  <c r="M1151" i="3"/>
  <c r="M895" i="3"/>
  <c r="M316" i="3"/>
  <c r="M1230" i="3"/>
  <c r="M1166" i="3"/>
  <c r="M1102" i="3"/>
  <c r="M1038" i="3"/>
  <c r="M974" i="3"/>
  <c r="M910" i="3"/>
  <c r="M846" i="3"/>
  <c r="M782" i="3"/>
  <c r="M718" i="3"/>
  <c r="M436" i="3"/>
  <c r="M1285" i="3"/>
  <c r="M1213" i="3"/>
  <c r="M1141" i="3"/>
  <c r="M1061" i="3"/>
  <c r="M989" i="3"/>
  <c r="M917" i="3"/>
  <c r="M845" i="3"/>
  <c r="M773" i="3"/>
  <c r="M701" i="3"/>
  <c r="M236" i="3"/>
  <c r="M1204" i="3"/>
  <c r="M1132" i="3"/>
  <c r="M1060" i="3"/>
  <c r="M980" i="3"/>
  <c r="M900" i="3"/>
  <c r="M812" i="3"/>
  <c r="M724" i="3"/>
  <c r="M164" i="3"/>
  <c r="M1131" i="3"/>
  <c r="M1019" i="3"/>
  <c r="M931" i="3"/>
  <c r="M827" i="3"/>
  <c r="M739" i="3"/>
  <c r="M284" i="3"/>
  <c r="M1250" i="3"/>
  <c r="M1146" i="3"/>
  <c r="M1034" i="3"/>
  <c r="M946" i="3"/>
  <c r="M842" i="3"/>
  <c r="M754" i="3"/>
  <c r="M404" i="3"/>
  <c r="M1265" i="3"/>
  <c r="M1161" i="3"/>
  <c r="M1065" i="3"/>
  <c r="M961" i="3"/>
  <c r="M873" i="3"/>
  <c r="M769" i="3"/>
  <c r="M652" i="3"/>
  <c r="M669" i="3"/>
  <c r="M581" i="3"/>
  <c r="M469" i="3"/>
  <c r="M381" i="3"/>
  <c r="M277" i="3"/>
  <c r="M189" i="3"/>
  <c r="M85" i="3"/>
  <c r="M675" i="3"/>
  <c r="M571" i="3"/>
  <c r="M459" i="3"/>
  <c r="M371" i="3"/>
  <c r="M267" i="3"/>
  <c r="M179" i="3"/>
  <c r="M75" i="3"/>
  <c r="M666" i="3"/>
  <c r="M562" i="3"/>
  <c r="M466" i="3"/>
  <c r="M362" i="3"/>
  <c r="M274" i="3"/>
  <c r="M170" i="3"/>
  <c r="M82" i="3"/>
  <c r="M657" i="3"/>
  <c r="M569" i="3"/>
  <c r="M457" i="3"/>
  <c r="M369" i="3"/>
  <c r="M265" i="3"/>
  <c r="M177" i="3"/>
  <c r="M73" i="3"/>
  <c r="M664" i="3"/>
  <c r="M560" i="3"/>
  <c r="M448" i="3"/>
  <c r="M360" i="3"/>
  <c r="M256" i="3"/>
  <c r="M168" i="3"/>
  <c r="M64" i="3"/>
  <c r="M655" i="3"/>
  <c r="M551" i="3"/>
  <c r="M455" i="3"/>
  <c r="M351" i="3"/>
  <c r="M263" i="3"/>
  <c r="M159" i="3"/>
  <c r="M71" i="3"/>
  <c r="M646" i="3"/>
  <c r="M558" i="3"/>
  <c r="M446" i="3"/>
  <c r="M358" i="3"/>
  <c r="M254" i="3"/>
  <c r="M166" i="3"/>
  <c r="M62" i="3"/>
  <c r="M1555" i="3"/>
  <c r="M1491" i="3"/>
  <c r="M1427" i="3"/>
  <c r="M1363" i="3"/>
  <c r="M1296" i="3"/>
  <c r="M1119" i="3"/>
  <c r="M863" i="3"/>
  <c r="M60" i="3"/>
  <c r="M1222" i="3"/>
  <c r="M1158" i="3"/>
  <c r="M1094" i="3"/>
  <c r="M1030" i="3"/>
  <c r="M966" i="3"/>
  <c r="M902" i="3"/>
  <c r="M838" i="3"/>
  <c r="M774" i="3"/>
  <c r="M710" i="3"/>
  <c r="M372" i="3"/>
  <c r="M1277" i="3"/>
  <c r="M1205" i="3"/>
  <c r="M1125" i="3"/>
  <c r="M1053" i="3"/>
  <c r="M981" i="3"/>
  <c r="M909" i="3"/>
  <c r="M837" i="3"/>
  <c r="M765" i="3"/>
  <c r="M693" i="3"/>
  <c r="M108" i="3"/>
  <c r="M1196" i="3"/>
  <c r="M1124" i="3"/>
  <c r="M1052" i="3"/>
  <c r="M972" i="3"/>
  <c r="M884" i="3"/>
  <c r="M804" i="3"/>
  <c r="M716" i="3"/>
  <c r="M100" i="3"/>
  <c r="M1099" i="3"/>
  <c r="M1011" i="3"/>
  <c r="M907" i="3"/>
  <c r="M819" i="3"/>
  <c r="M715" i="3"/>
  <c r="M220" i="3"/>
  <c r="M1226" i="3"/>
  <c r="M1130" i="3"/>
  <c r="M1026" i="3"/>
  <c r="M938" i="3"/>
  <c r="M834" i="3"/>
  <c r="M746" i="3"/>
  <c r="M340" i="3"/>
  <c r="M1257" i="3"/>
  <c r="M1145" i="3"/>
  <c r="M1057" i="3"/>
  <c r="M953" i="3"/>
  <c r="M865" i="3"/>
  <c r="M761" i="3"/>
  <c r="M588" i="3"/>
  <c r="M661" i="3"/>
  <c r="M549" i="3"/>
  <c r="M461" i="3"/>
  <c r="M357" i="3"/>
  <c r="M269" i="3"/>
  <c r="M165" i="3"/>
  <c r="M77" i="3"/>
  <c r="M651" i="3"/>
  <c r="M555" i="3"/>
  <c r="M451" i="3"/>
  <c r="M363" i="3"/>
  <c r="M259" i="3"/>
  <c r="M171" i="3"/>
  <c r="M67" i="3"/>
  <c r="M658" i="3"/>
  <c r="M546" i="3"/>
  <c r="M458" i="3"/>
  <c r="M354" i="3"/>
  <c r="M266" i="3"/>
  <c r="M162" i="3"/>
  <c r="M74" i="3"/>
  <c r="M649" i="3"/>
  <c r="M537" i="3"/>
  <c r="M449" i="3"/>
  <c r="M345" i="3"/>
  <c r="M257" i="3"/>
  <c r="M153" i="3"/>
  <c r="M65" i="3"/>
  <c r="M640" i="3"/>
  <c r="M544" i="3"/>
  <c r="M440" i="3"/>
  <c r="M352" i="3"/>
  <c r="M248" i="3"/>
  <c r="M160" i="3"/>
  <c r="M56" i="3"/>
  <c r="M647" i="3"/>
  <c r="M535" i="3"/>
  <c r="M447" i="3"/>
  <c r="M343" i="3"/>
  <c r="M255" i="3"/>
  <c r="M151" i="3"/>
  <c r="M63" i="3"/>
  <c r="M638" i="3"/>
  <c r="M526" i="3"/>
  <c r="M438" i="3"/>
  <c r="M334" i="3"/>
  <c r="M246" i="3"/>
  <c r="M142" i="3"/>
  <c r="M54" i="3"/>
  <c r="M38" i="3"/>
  <c r="M118" i="3"/>
  <c r="M198" i="3"/>
  <c r="M294" i="3"/>
  <c r="M374" i="3"/>
  <c r="M454" i="3"/>
  <c r="M550" i="3"/>
  <c r="M630" i="3"/>
  <c r="M31" i="3"/>
  <c r="M127" i="3"/>
  <c r="M207" i="3"/>
  <c r="M287" i="3"/>
  <c r="M383" i="3"/>
  <c r="M463" i="3"/>
  <c r="M543" i="3"/>
  <c r="M639" i="3"/>
  <c r="M40" i="3"/>
  <c r="M120" i="3"/>
  <c r="M216" i="3"/>
  <c r="M296" i="3"/>
  <c r="M376" i="3"/>
  <c r="M472" i="3"/>
  <c r="M552" i="3"/>
  <c r="M632" i="3"/>
  <c r="M49" i="3"/>
  <c r="M129" i="3"/>
  <c r="M209" i="3"/>
  <c r="M305" i="3"/>
  <c r="M385" i="3"/>
  <c r="M465" i="3"/>
  <c r="M561" i="3"/>
  <c r="M641" i="3"/>
  <c r="M42" i="3"/>
  <c r="M138" i="3"/>
  <c r="M218" i="3"/>
  <c r="M298" i="3"/>
  <c r="M394" i="3"/>
  <c r="M474" i="3"/>
  <c r="M554" i="3"/>
  <c r="M650" i="3"/>
  <c r="M51" i="3"/>
  <c r="M131" i="3"/>
  <c r="M227" i="3"/>
  <c r="M307" i="3"/>
  <c r="M387" i="3"/>
  <c r="M483" i="3"/>
  <c r="M563" i="3"/>
  <c r="M643" i="3"/>
  <c r="M61" i="3"/>
  <c r="M141" i="3"/>
  <c r="M221" i="3"/>
  <c r="M317" i="3"/>
  <c r="M397" i="3"/>
  <c r="M477" i="3"/>
  <c r="M573" i="3"/>
  <c r="M653" i="3"/>
  <c r="M332" i="3"/>
  <c r="M737" i="3"/>
  <c r="M817" i="3"/>
  <c r="M897" i="3"/>
  <c r="M993" i="3"/>
  <c r="M1073" i="3"/>
  <c r="M1153" i="3"/>
  <c r="M1249" i="3"/>
  <c r="M212" i="3"/>
  <c r="M706" i="3"/>
  <c r="M802" i="3"/>
  <c r="M882" i="3"/>
  <c r="M962" i="3"/>
  <c r="M1058" i="3"/>
  <c r="M1138" i="3"/>
  <c r="M1218" i="3"/>
  <c r="M92" i="3"/>
  <c r="M691" i="3"/>
  <c r="M771" i="3"/>
  <c r="M867" i="3"/>
  <c r="M947" i="3"/>
  <c r="M1027" i="3"/>
  <c r="M1123" i="3"/>
  <c r="M36" i="3"/>
  <c r="M676" i="3"/>
  <c r="M780" i="3"/>
  <c r="M852" i="3"/>
  <c r="M924" i="3"/>
  <c r="M996" i="3"/>
  <c r="M5" i="3"/>
  <c r="L5" i="3" a="1"/>
  <c r="L5" i="3" s="1"/>
  <c r="M772" i="3"/>
  <c r="M708" i="3"/>
  <c r="M356" i="3"/>
  <c r="M1179" i="3"/>
  <c r="M1115" i="3"/>
  <c r="M1051" i="3"/>
  <c r="M987" i="3"/>
  <c r="M923" i="3"/>
  <c r="M859" i="3"/>
  <c r="M795" i="3"/>
  <c r="M731" i="3"/>
  <c r="M540" i="3"/>
  <c r="M28" i="3"/>
  <c r="M1242" i="3"/>
  <c r="M1178" i="3"/>
  <c r="M1114" i="3"/>
  <c r="M1050" i="3"/>
  <c r="M986" i="3"/>
  <c r="M922" i="3"/>
  <c r="M858" i="3"/>
  <c r="M794" i="3"/>
  <c r="M730" i="3"/>
  <c r="M532" i="3"/>
  <c r="M20" i="3"/>
  <c r="M1241" i="3"/>
  <c r="M1177" i="3"/>
  <c r="M1113" i="3"/>
  <c r="M1049" i="3"/>
  <c r="M985" i="3"/>
  <c r="M921" i="3"/>
  <c r="M857" i="3"/>
  <c r="M793" i="3"/>
  <c r="M729" i="3"/>
  <c r="M524" i="3"/>
  <c r="M12" i="3"/>
  <c r="M629" i="3"/>
  <c r="M565" i="3"/>
  <c r="M501" i="3"/>
  <c r="M437" i="3"/>
  <c r="M373" i="3"/>
  <c r="M309" i="3"/>
  <c r="M245" i="3"/>
  <c r="M181" i="3"/>
  <c r="M117" i="3"/>
  <c r="M53" i="3"/>
  <c r="M667" i="3"/>
  <c r="M603" i="3"/>
  <c r="M539" i="3"/>
  <c r="M475" i="3"/>
  <c r="M411" i="3"/>
  <c r="M347" i="3"/>
  <c r="M283" i="3"/>
  <c r="M219" i="3"/>
  <c r="M155" i="3"/>
  <c r="M91" i="3"/>
  <c r="M27" i="3"/>
  <c r="M642" i="3"/>
  <c r="M578" i="3"/>
  <c r="M514" i="3"/>
  <c r="M450" i="3"/>
  <c r="M386" i="3"/>
  <c r="M322" i="3"/>
  <c r="M258" i="3"/>
  <c r="M194" i="3"/>
  <c r="M130" i="3"/>
  <c r="M66" i="3"/>
  <c r="M681" i="3"/>
  <c r="M617" i="3"/>
  <c r="M553" i="3"/>
  <c r="M489" i="3"/>
  <c r="M425" i="3"/>
  <c r="M361" i="3"/>
  <c r="M297" i="3"/>
  <c r="M233" i="3"/>
  <c r="M169" i="3"/>
  <c r="M105" i="3"/>
  <c r="M41" i="3"/>
  <c r="M656" i="3"/>
  <c r="M592" i="3"/>
  <c r="M528" i="3"/>
  <c r="M464" i="3"/>
  <c r="M400" i="3"/>
  <c r="M336" i="3"/>
  <c r="M272" i="3"/>
  <c r="M208" i="3"/>
  <c r="M144" i="3"/>
  <c r="M80" i="3"/>
  <c r="M16" i="3"/>
  <c r="M631" i="3"/>
  <c r="M567" i="3"/>
  <c r="M503" i="3"/>
  <c r="M439" i="3"/>
  <c r="M375" i="3"/>
  <c r="M311" i="3"/>
  <c r="M247" i="3"/>
  <c r="M183" i="3"/>
  <c r="M119" i="3"/>
  <c r="M55" i="3"/>
  <c r="M670" i="3"/>
  <c r="M606" i="3"/>
  <c r="M542" i="3"/>
  <c r="M478" i="3"/>
  <c r="M414" i="3"/>
  <c r="M350" i="3"/>
  <c r="M286" i="3"/>
  <c r="M222" i="3"/>
  <c r="M158" i="3"/>
  <c r="M94" i="3"/>
  <c r="M30" i="3"/>
  <c r="M180" i="3"/>
  <c r="M1261" i="3"/>
  <c r="M1197" i="3"/>
  <c r="M1133" i="3"/>
  <c r="M1069" i="3"/>
  <c r="M1005" i="3"/>
  <c r="M941" i="3"/>
  <c r="M877" i="3"/>
  <c r="M813" i="3"/>
  <c r="M749" i="3"/>
  <c r="M684" i="3"/>
  <c r="M172" i="3"/>
  <c r="M1212" i="3"/>
  <c r="M1148" i="3"/>
  <c r="M1084" i="3"/>
  <c r="M1020" i="3"/>
  <c r="M956" i="3"/>
  <c r="M892" i="3"/>
  <c r="M828" i="3"/>
  <c r="M764" i="3"/>
  <c r="M700" i="3"/>
  <c r="M292" i="3"/>
  <c r="M1171" i="3"/>
  <c r="M1107" i="3"/>
  <c r="M1043" i="3"/>
  <c r="M979" i="3"/>
  <c r="M915" i="3"/>
  <c r="M851" i="3"/>
  <c r="M787" i="3"/>
  <c r="M723" i="3"/>
  <c r="M476" i="3"/>
  <c r="M1298" i="3"/>
  <c r="M1234" i="3"/>
  <c r="M1170" i="3"/>
  <c r="M1106" i="3"/>
  <c r="M1042" i="3"/>
  <c r="M978" i="3"/>
  <c r="M914" i="3"/>
  <c r="M850" i="3"/>
  <c r="M786" i="3"/>
  <c r="M722" i="3"/>
  <c r="M468" i="3"/>
  <c r="M1297" i="3"/>
  <c r="M1233" i="3"/>
  <c r="M1169" i="3"/>
  <c r="M1105" i="3"/>
  <c r="M1041" i="3"/>
  <c r="M977" i="3"/>
  <c r="M913" i="3"/>
  <c r="M849" i="3"/>
  <c r="M785" i="3"/>
  <c r="M721" i="3"/>
  <c r="M460" i="3"/>
  <c r="M685" i="3"/>
  <c r="M621" i="3"/>
  <c r="M557" i="3"/>
  <c r="M493" i="3"/>
  <c r="M429" i="3"/>
  <c r="M365" i="3"/>
  <c r="M301" i="3"/>
  <c r="M237" i="3"/>
  <c r="M173" i="3"/>
  <c r="M109" i="3"/>
  <c r="M45" i="3"/>
  <c r="M659" i="3"/>
  <c r="M595" i="3"/>
  <c r="M531" i="3"/>
  <c r="M467" i="3"/>
  <c r="M403" i="3"/>
  <c r="M339" i="3"/>
  <c r="M275" i="3"/>
  <c r="M211" i="3"/>
  <c r="M147" i="3"/>
  <c r="M83" i="3"/>
  <c r="M19" i="3"/>
  <c r="M634" i="3"/>
  <c r="M570" i="3"/>
  <c r="M506" i="3"/>
  <c r="M442" i="3"/>
  <c r="M378" i="3"/>
  <c r="M314" i="3"/>
  <c r="M250" i="3"/>
  <c r="M186" i="3"/>
  <c r="M122" i="3"/>
  <c r="M58" i="3"/>
  <c r="M673" i="3"/>
  <c r="M609" i="3"/>
  <c r="M545" i="3"/>
  <c r="M481" i="3"/>
  <c r="M417" i="3"/>
  <c r="M353" i="3"/>
  <c r="M289" i="3"/>
  <c r="M225" i="3"/>
  <c r="M161" i="3"/>
  <c r="M97" i="3"/>
  <c r="M33" i="3"/>
  <c r="M648" i="3"/>
  <c r="M584" i="3"/>
  <c r="M520" i="3"/>
  <c r="M456" i="3"/>
  <c r="M392" i="3"/>
  <c r="M328" i="3"/>
  <c r="M264" i="3"/>
  <c r="M200" i="3"/>
  <c r="M136" i="3"/>
  <c r="M72" i="3"/>
  <c r="M8" i="3"/>
  <c r="M623" i="3"/>
  <c r="M559" i="3"/>
  <c r="M495" i="3"/>
  <c r="M431" i="3"/>
  <c r="M367" i="3"/>
  <c r="M303" i="3"/>
  <c r="M239" i="3"/>
  <c r="M175" i="3"/>
  <c r="M111" i="3"/>
  <c r="M47" i="3"/>
  <c r="M662" i="3"/>
  <c r="M598" i="3"/>
  <c r="M534" i="3"/>
  <c r="M470" i="3"/>
  <c r="M406" i="3"/>
  <c r="M342" i="3"/>
  <c r="M278" i="3"/>
  <c r="M214" i="3"/>
  <c r="M150" i="3"/>
  <c r="M86" i="3"/>
  <c r="M2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<sst xmlns="http://schemas.openxmlformats.org/spreadsheetml/2006/main" count="9316" uniqueCount="1792">
  <si>
    <t>ISIN</t>
  </si>
  <si>
    <t xml:space="preserve">Theme </t>
  </si>
  <si>
    <t>Group sales exposure</t>
  </si>
  <si>
    <t>NL0010273215</t>
  </si>
  <si>
    <t>FR0000121014</t>
  </si>
  <si>
    <t>DE0007164600</t>
  </si>
  <si>
    <t>FR0000052292</t>
  </si>
  <si>
    <t>FR0000120321</t>
  </si>
  <si>
    <t>GB00BP6MXD84</t>
  </si>
  <si>
    <t>DE0007236101</t>
  </si>
  <si>
    <t>NL0000235190</t>
  </si>
  <si>
    <t>US7475251036</t>
  </si>
  <si>
    <t>ES0148396007</t>
  </si>
  <si>
    <t>FR0000121667</t>
  </si>
  <si>
    <t>DE0008404005</t>
  </si>
  <si>
    <t>DE0005557508</t>
  </si>
  <si>
    <t>NL0013654783</t>
  </si>
  <si>
    <t>ES0113900J37</t>
  </si>
  <si>
    <t>FR0000121972</t>
  </si>
  <si>
    <t>FR0000120271</t>
  </si>
  <si>
    <t>FR0000073272</t>
  </si>
  <si>
    <t>ES0144580Y14</t>
  </si>
  <si>
    <t>FR0000120578</t>
  </si>
  <si>
    <t>ES0113211835</t>
  </si>
  <si>
    <t>IT0005239360</t>
  </si>
  <si>
    <t>IT0000072618</t>
  </si>
  <si>
    <t>BE0974293251</t>
  </si>
  <si>
    <t>FR0000120073</t>
  </si>
  <si>
    <t>IT0003128367</t>
  </si>
  <si>
    <t>DE000ENER6Y0</t>
  </si>
  <si>
    <t>FR0000120628</t>
  </si>
  <si>
    <t>FR0000131104</t>
  </si>
  <si>
    <t>FR0000125486</t>
  </si>
  <si>
    <t>DE0007030009</t>
  </si>
  <si>
    <t>DE0008430026</t>
  </si>
  <si>
    <t>ES0140609019</t>
  </si>
  <si>
    <t>NL0011585146</t>
  </si>
  <si>
    <t>NL0011821202</t>
  </si>
  <si>
    <t>GB00B2B0DG97</t>
  </si>
  <si>
    <t>DE0005140008</t>
  </si>
  <si>
    <t>DE0007100000</t>
  </si>
  <si>
    <t>FR0000120644</t>
  </si>
  <si>
    <t>FR0010208488</t>
  </si>
  <si>
    <t>DE0005552004</t>
  </si>
  <si>
    <t>IT0000062072</t>
  </si>
  <si>
    <t>IT0003132476</t>
  </si>
  <si>
    <t>FI4000297767</t>
  </si>
  <si>
    <t>NL0010832176</t>
  </si>
  <si>
    <t>FR0000045072</t>
  </si>
  <si>
    <t>DE0005190003</t>
  </si>
  <si>
    <t>DE000SHL1006</t>
  </si>
  <si>
    <t>FR0000121329</t>
  </si>
  <si>
    <t>BE0003739530</t>
  </si>
  <si>
    <t>BE0003565737</t>
  </si>
  <si>
    <t>FR0000130809</t>
  </si>
  <si>
    <t>NL0015000IY2</t>
  </si>
  <si>
    <t>DE0006231004</t>
  </si>
  <si>
    <t>DE0005810055</t>
  </si>
  <si>
    <t>NL0012969182</t>
  </si>
  <si>
    <t>DE000ENAG999</t>
  </si>
  <si>
    <t>NL0000009165</t>
  </si>
  <si>
    <t>FR0000125007</t>
  </si>
  <si>
    <t>NL0015001FS8</t>
  </si>
  <si>
    <t>DE000BASF111</t>
  </si>
  <si>
    <t>FR0000133308</t>
  </si>
  <si>
    <t>DE0006047004</t>
  </si>
  <si>
    <t>AT0000652011</t>
  </si>
  <si>
    <t>FR0000121485</t>
  </si>
  <si>
    <t>DE000CBK1001</t>
  </si>
  <si>
    <t>ES0105046017</t>
  </si>
  <si>
    <t>FR0010307819</t>
  </si>
  <si>
    <t>DE0007037129</t>
  </si>
  <si>
    <t>ES0130670112</t>
  </si>
  <si>
    <t>NL0011794037</t>
  </si>
  <si>
    <t>FR0014003TT8</t>
  </si>
  <si>
    <t>DE0008402215</t>
  </si>
  <si>
    <t>FI0009000681</t>
  </si>
  <si>
    <t>LU1598757687</t>
  </si>
  <si>
    <t>IE00BYTBXV33</t>
  </si>
  <si>
    <t>DE000TLX1005</t>
  </si>
  <si>
    <t>ES0109067019</t>
  </si>
  <si>
    <t>DE000A1EWWW0</t>
  </si>
  <si>
    <t>IT0003796171</t>
  </si>
  <si>
    <t>DE000DTR0CK8</t>
  </si>
  <si>
    <t>DE000BAY0017</t>
  </si>
  <si>
    <t>IT0003856405</t>
  </si>
  <si>
    <t>FI4000552500</t>
  </si>
  <si>
    <t>DE0005785604</t>
  </si>
  <si>
    <t>FI0009013403</t>
  </si>
  <si>
    <t>ES0116870314</t>
  </si>
  <si>
    <t>IT0005508921</t>
  </si>
  <si>
    <t>NL00150001Q9</t>
  </si>
  <si>
    <t>IT0004176001</t>
  </si>
  <si>
    <t>NL0000334118</t>
  </si>
  <si>
    <t>NL0000009538</t>
  </si>
  <si>
    <t>FR0000125338</t>
  </si>
  <si>
    <t>NL0011540547</t>
  </si>
  <si>
    <t>DE0005220008</t>
  </si>
  <si>
    <t>DE000A1ML7J1</t>
  </si>
  <si>
    <t>DE0005200000</t>
  </si>
  <si>
    <t>NL0000395903</t>
  </si>
  <si>
    <t>FR0000130577</t>
  </si>
  <si>
    <t>FR0000124141</t>
  </si>
  <si>
    <t>DE0006070006</t>
  </si>
  <si>
    <t>FR0014004L86</t>
  </si>
  <si>
    <t>ES0178430E18</t>
  </si>
  <si>
    <t>FR0000120693</t>
  </si>
  <si>
    <t>IT0000066123</t>
  </si>
  <si>
    <t>DE000PAG9113</t>
  </si>
  <si>
    <t>FR001400AJ45</t>
  </si>
  <si>
    <t>ES0167050915</t>
  </si>
  <si>
    <t>DE0007664039</t>
  </si>
  <si>
    <t>DE000HLAG475</t>
  </si>
  <si>
    <t>IT0003153415</t>
  </si>
  <si>
    <t>IT0005218380</t>
  </si>
  <si>
    <t>CH1216478797</t>
  </si>
  <si>
    <t>DE000A0D9PT0</t>
  </si>
  <si>
    <t>FR0013154002</t>
  </si>
  <si>
    <t>IT0003242622</t>
  </si>
  <si>
    <t>LU2598331598</t>
  </si>
  <si>
    <t>ES0105066007</t>
  </si>
  <si>
    <t>IE00BF0L3536</t>
  </si>
  <si>
    <t>ES0173516115</t>
  </si>
  <si>
    <t>NL0000226223</t>
  </si>
  <si>
    <t>FI0009007132</t>
  </si>
  <si>
    <t>NL0010773842</t>
  </si>
  <si>
    <t>FR0000120503</t>
  </si>
  <si>
    <t>PTEDP0AM0009</t>
  </si>
  <si>
    <t>FI0009003727</t>
  </si>
  <si>
    <t>AT0000743059</t>
  </si>
  <si>
    <t>ES0113860A34</t>
  </si>
  <si>
    <t>IT0004965148</t>
  </si>
  <si>
    <t>NL0014332678</t>
  </si>
  <si>
    <t>NL0000009082</t>
  </si>
  <si>
    <t>JE00BRX98089</t>
  </si>
  <si>
    <t>NL0012059018</t>
  </si>
  <si>
    <t>IE00BD1RP616</t>
  </si>
  <si>
    <t>DE0006599905</t>
  </si>
  <si>
    <t>DE000TRAT0N7</t>
  </si>
  <si>
    <t>IT0000062957</t>
  </si>
  <si>
    <t>IT0004776628</t>
  </si>
  <si>
    <t>FR0004125920</t>
  </si>
  <si>
    <t>PTJMT0AE0001</t>
  </si>
  <si>
    <t>IT0004810054</t>
  </si>
  <si>
    <t>DE000KBX1006</t>
  </si>
  <si>
    <t>NL0006294274</t>
  </si>
  <si>
    <t>FR0000039299</t>
  </si>
  <si>
    <t>FI0009013296</t>
  </si>
  <si>
    <t>FR0013326246</t>
  </si>
  <si>
    <t>FR0013280286</t>
  </si>
  <si>
    <t>IE0004906560</t>
  </si>
  <si>
    <t>IT0000072170</t>
  </si>
  <si>
    <t>DE0005439004</t>
  </si>
  <si>
    <t>DE0006048432</t>
  </si>
  <si>
    <t>BMG455841020</t>
  </si>
  <si>
    <t>FR0006174348</t>
  </si>
  <si>
    <t>PTGAL0AM0009</t>
  </si>
  <si>
    <t>ES0124244E34</t>
  </si>
  <si>
    <t>FI0009005987</t>
  </si>
  <si>
    <t>IE0004927939</t>
  </si>
  <si>
    <t>NL0011872643</t>
  </si>
  <si>
    <t>ES0113679I37</t>
  </si>
  <si>
    <t>FR0010340141</t>
  </si>
  <si>
    <t>DE0005785802</t>
  </si>
  <si>
    <t>ES0127797019</t>
  </si>
  <si>
    <t>PTBCP0AM0015</t>
  </si>
  <si>
    <t>BE0974264930</t>
  </si>
  <si>
    <t>DE0006062144</t>
  </si>
  <si>
    <t>BE0003822393</t>
  </si>
  <si>
    <t>FR0000120404</t>
  </si>
  <si>
    <t>FI0009014575</t>
  </si>
  <si>
    <t>FR0000130452</t>
  </si>
  <si>
    <t>AT0000606306</t>
  </si>
  <si>
    <t>BMG0112X1056</t>
  </si>
  <si>
    <t>FR0010259150</t>
  </si>
  <si>
    <t>AT0000746409</t>
  </si>
  <si>
    <t>IT0003828271</t>
  </si>
  <si>
    <t>FR0014000MR3</t>
  </si>
  <si>
    <t>FR0010220475</t>
  </si>
  <si>
    <t>DE0006452907</t>
  </si>
  <si>
    <t>DE000DWS1007</t>
  </si>
  <si>
    <t>FR0000131906</t>
  </si>
  <si>
    <t>NL0012866412</t>
  </si>
  <si>
    <t>DE000SYM9999</t>
  </si>
  <si>
    <t>BE0003797140</t>
  </si>
  <si>
    <t>IT0005211237</t>
  </si>
  <si>
    <t>IT0001347308</t>
  </si>
  <si>
    <t>FR0000120172</t>
  </si>
  <si>
    <t>DE0008232125</t>
  </si>
  <si>
    <t>FR0000121964</t>
  </si>
  <si>
    <t>DE0006602006</t>
  </si>
  <si>
    <t>ES0125220311</t>
  </si>
  <si>
    <t>FR0010451203</t>
  </si>
  <si>
    <t>NL0013267909</t>
  </si>
  <si>
    <t>BE0003823409</t>
  </si>
  <si>
    <t>DE000A13SX22</t>
  </si>
  <si>
    <t>BE0003717312</t>
  </si>
  <si>
    <t>NL0015002CX3</t>
  </si>
  <si>
    <t>FR0013258662</t>
  </si>
  <si>
    <t>FR0000062234</t>
  </si>
  <si>
    <t>AT000000STR1</t>
  </si>
  <si>
    <t>NL00150006R6</t>
  </si>
  <si>
    <t>AT0000BAWAG2</t>
  </si>
  <si>
    <t>DE0007165631</t>
  </si>
  <si>
    <t>FR0010533075</t>
  </si>
  <si>
    <t>DE000HAG0005</t>
  </si>
  <si>
    <t>ES0173093024</t>
  </si>
  <si>
    <t>DE0005470306</t>
  </si>
  <si>
    <t>FR0012333284</t>
  </si>
  <si>
    <t>ES0118594417</t>
  </si>
  <si>
    <t>BE0974259880</t>
  </si>
  <si>
    <t>DE000KGX8881</t>
  </si>
  <si>
    <t>IT0003497168</t>
  </si>
  <si>
    <t>IT0005482333</t>
  </si>
  <si>
    <t>IT0001233417</t>
  </si>
  <si>
    <t>FR0012757854</t>
  </si>
  <si>
    <t>IT0005090300</t>
  </si>
  <si>
    <t>BE0974464977</t>
  </si>
  <si>
    <t>DE0007010803</t>
  </si>
  <si>
    <t>BE0003764785</t>
  </si>
  <si>
    <t>DE000A1DAHH0</t>
  </si>
  <si>
    <t>ES0105025003</t>
  </si>
  <si>
    <t>FR0000121220</t>
  </si>
  <si>
    <t>NL0015435975</t>
  </si>
  <si>
    <t>DE000A12DM80</t>
  </si>
  <si>
    <t>IT0000784196</t>
  </si>
  <si>
    <t>DE0005773303</t>
  </si>
  <si>
    <t>FI0009014377</t>
  </si>
  <si>
    <t>FI0009005870</t>
  </si>
  <si>
    <t>FI0009007884</t>
  </si>
  <si>
    <t>AT0000730007</t>
  </si>
  <si>
    <t>FR0011726835</t>
  </si>
  <si>
    <t>BE0003604155</t>
  </si>
  <si>
    <t>DE000EVNK013</t>
  </si>
  <si>
    <t>IT0001031084</t>
  </si>
  <si>
    <t>ES0180907000</t>
  </si>
  <si>
    <t>IT0001250932</t>
  </si>
  <si>
    <t>FR0000064578</t>
  </si>
  <si>
    <t>AT0000937503</t>
  </si>
  <si>
    <t>FR0010040865</t>
  </si>
  <si>
    <t>IT0004764699</t>
  </si>
  <si>
    <t>DE000A0D6554</t>
  </si>
  <si>
    <t>NL0014559478</t>
  </si>
  <si>
    <t>ES0116920333</t>
  </si>
  <si>
    <t>IT0005278236</t>
  </si>
  <si>
    <t>AT0000908504</t>
  </si>
  <si>
    <t>FI0009005961</t>
  </si>
  <si>
    <t>NL0000379121</t>
  </si>
  <si>
    <t>DE000SHA0100</t>
  </si>
  <si>
    <t>FR0012435121</t>
  </si>
  <si>
    <t>DE000ZAL1111</t>
  </si>
  <si>
    <t>IT0005599938</t>
  </si>
  <si>
    <t>DE000PAH0038</t>
  </si>
  <si>
    <t>AT0000625108</t>
  </si>
  <si>
    <t>IT0003115950</t>
  </si>
  <si>
    <t>DE0007500001</t>
  </si>
  <si>
    <t>ES0122060314</t>
  </si>
  <si>
    <t>FR0000044448</t>
  </si>
  <si>
    <t>IT0005541336</t>
  </si>
  <si>
    <t>DE000A2LQ884</t>
  </si>
  <si>
    <t>BE0974349814</t>
  </si>
  <si>
    <t>LU0061462528</t>
  </si>
  <si>
    <t>DE000RENK730</t>
  </si>
  <si>
    <t>FI4000074984</t>
  </si>
  <si>
    <t>NL0015000LU4</t>
  </si>
  <si>
    <t>FI0009000202</t>
  </si>
  <si>
    <t>DE000LEG1110</t>
  </si>
  <si>
    <t>IT0003121677</t>
  </si>
  <si>
    <t>DE0005158703</t>
  </si>
  <si>
    <t>FR0010411983</t>
  </si>
  <si>
    <t>IT0003261697</t>
  </si>
  <si>
    <t>IT0001207098</t>
  </si>
  <si>
    <t>DE000A2E4K43</t>
  </si>
  <si>
    <t>DE0006766504</t>
  </si>
  <si>
    <t>LU2290522684</t>
  </si>
  <si>
    <t>LU1673108939</t>
  </si>
  <si>
    <t>AT0000741053</t>
  </si>
  <si>
    <t>DE0005089031</t>
  </si>
  <si>
    <t>NL0010801007</t>
  </si>
  <si>
    <t>IT0001078911</t>
  </si>
  <si>
    <t>DE000BCK2223</t>
  </si>
  <si>
    <t>IT0005495657</t>
  </si>
  <si>
    <t>FR0013451333</t>
  </si>
  <si>
    <t>AT00000VIE62</t>
  </si>
  <si>
    <t>IT0005366767</t>
  </si>
  <si>
    <t>ES0137650018</t>
  </si>
  <si>
    <t>FR0010908533</t>
  </si>
  <si>
    <t>IT0001206769</t>
  </si>
  <si>
    <t>ES0171996087</t>
  </si>
  <si>
    <t>NL0009432491</t>
  </si>
  <si>
    <t>AT0000821103</t>
  </si>
  <si>
    <t>IT0005282865</t>
  </si>
  <si>
    <t>IT0004931058</t>
  </si>
  <si>
    <t>NL0000360618</t>
  </si>
  <si>
    <t>BE0974256852</t>
  </si>
  <si>
    <t>DE0006335003</t>
  </si>
  <si>
    <t>ES0105027009</t>
  </si>
  <si>
    <t>DE0005313704</t>
  </si>
  <si>
    <t>DE000TKMS001</t>
  </si>
  <si>
    <t>FR0010313833</t>
  </si>
  <si>
    <t>DE0005545503</t>
  </si>
  <si>
    <t>GB00BNTJ3546</t>
  </si>
  <si>
    <t>FR0000060303</t>
  </si>
  <si>
    <t>DE000TUAG505</t>
  </si>
  <si>
    <t>FR0000121121</t>
  </si>
  <si>
    <t>DE000A3E00M1</t>
  </si>
  <si>
    <t>DE000AUM0V10</t>
  </si>
  <si>
    <t>ES0130960018</t>
  </si>
  <si>
    <t>FR0013506730</t>
  </si>
  <si>
    <t>DE0005772206</t>
  </si>
  <si>
    <t>FR0000051807</t>
  </si>
  <si>
    <t>BE0974320526</t>
  </si>
  <si>
    <t>DE000WCH8881</t>
  </si>
  <si>
    <t>IE0000669501</t>
  </si>
  <si>
    <t>ES0105630315</t>
  </si>
  <si>
    <t>DE0005909006</t>
  </si>
  <si>
    <t>FR0000121204</t>
  </si>
  <si>
    <t>BE0974413453</t>
  </si>
  <si>
    <t>IT0003027817</t>
  </si>
  <si>
    <t>BE0974338700</t>
  </si>
  <si>
    <t>FR0010282822</t>
  </si>
  <si>
    <t>DE000FTG1111</t>
  </si>
  <si>
    <t>IT0003492391</t>
  </si>
  <si>
    <t>FR0013269123</t>
  </si>
  <si>
    <t>DE000A0Z2ZZ5</t>
  </si>
  <si>
    <t>IT0001157020</t>
  </si>
  <si>
    <t>IT0003865570</t>
  </si>
  <si>
    <t>NL0006237562</t>
  </si>
  <si>
    <t>ES0139140174</t>
  </si>
  <si>
    <t>FR0000077919</t>
  </si>
  <si>
    <t>FR001400SF56</t>
  </si>
  <si>
    <t>FI4000552526</t>
  </si>
  <si>
    <t>IT0005162406</t>
  </si>
  <si>
    <t>BE0003851681</t>
  </si>
  <si>
    <t>FI0009000459</t>
  </si>
  <si>
    <t>GG00BQZCBZ44</t>
  </si>
  <si>
    <t>LU1068091351</t>
  </si>
  <si>
    <t>AT0000831706</t>
  </si>
  <si>
    <t>FR0000031577</t>
  </si>
  <si>
    <t>IT0004056880</t>
  </si>
  <si>
    <t>NL0015001KT6</t>
  </si>
  <si>
    <t>ES0157261019</t>
  </si>
  <si>
    <t>FR0000031775</t>
  </si>
  <si>
    <t>PTSON0AM0001</t>
  </si>
  <si>
    <t>FI0009004824</t>
  </si>
  <si>
    <t>BE0003470755</t>
  </si>
  <si>
    <t>BE0003593044</t>
  </si>
  <si>
    <t>ES0182870214</t>
  </si>
  <si>
    <t>NL0000852564</t>
  </si>
  <si>
    <t>ES0132105018</t>
  </si>
  <si>
    <t>ES0183746314</t>
  </si>
  <si>
    <t>FR0005691656</t>
  </si>
  <si>
    <t>ES0112501012</t>
  </si>
  <si>
    <t>BE0003878957</t>
  </si>
  <si>
    <t>IT0005331019</t>
  </si>
  <si>
    <t>DE0008303504</t>
  </si>
  <si>
    <t>FR001400J770</t>
  </si>
  <si>
    <t>ES0157097017</t>
  </si>
  <si>
    <t>FR0000121709</t>
  </si>
  <si>
    <t>FR0000050809</t>
  </si>
  <si>
    <t>DE000A1PHFF7</t>
  </si>
  <si>
    <t>FR0000127771</t>
  </si>
  <si>
    <t>MC0000031187</t>
  </si>
  <si>
    <t>FI4000312251</t>
  </si>
  <si>
    <t>FR0013176526</t>
  </si>
  <si>
    <t>DE000A3E5D64</t>
  </si>
  <si>
    <t>NL0013995087</t>
  </si>
  <si>
    <t>FI4000571013</t>
  </si>
  <si>
    <t>NL0011821392</t>
  </si>
  <si>
    <t>IT0005176406</t>
  </si>
  <si>
    <t>ES0105777017</t>
  </si>
  <si>
    <t>ES0184262212</t>
  </si>
  <si>
    <t>FR0010929125</t>
  </si>
  <si>
    <t>ES0129743318</t>
  </si>
  <si>
    <t>FR0000033219</t>
  </si>
  <si>
    <t>BE0003810273</t>
  </si>
  <si>
    <t>DE0006969603</t>
  </si>
  <si>
    <t>FR0010828137</t>
  </si>
  <si>
    <t>FR0000071946</t>
  </si>
  <si>
    <t>BE0974400328</t>
  </si>
  <si>
    <t>LU0569974404</t>
  </si>
  <si>
    <t>FR0000050353</t>
  </si>
  <si>
    <t>FR0010667147</t>
  </si>
  <si>
    <t>PTREL0AM0008</t>
  </si>
  <si>
    <t>LU0088087324</t>
  </si>
  <si>
    <t>FR0000130395</t>
  </si>
  <si>
    <t>FR001400Q9V2</t>
  </si>
  <si>
    <t>DE0007257503</t>
  </si>
  <si>
    <t>NL0000302636</t>
  </si>
  <si>
    <t>ES0178165017</t>
  </si>
  <si>
    <t>FI0009000277</t>
  </si>
  <si>
    <t>FR001400NLM4</t>
  </si>
  <si>
    <t>DE0007231326</t>
  </si>
  <si>
    <t>NL0000337319</t>
  </si>
  <si>
    <t>BE0165385973</t>
  </si>
  <si>
    <t>FR0000124570</t>
  </si>
  <si>
    <t>FR0000121147</t>
  </si>
  <si>
    <t>NL0015001W49</t>
  </si>
  <si>
    <t>FI4000571054</t>
  </si>
  <si>
    <t>Information technology</t>
  </si>
  <si>
    <t>Excluded</t>
  </si>
  <si>
    <t>Not included in a theme</t>
  </si>
  <si>
    <t>Circular economy</t>
  </si>
  <si>
    <t>Ecoconstruction</t>
  </si>
  <si>
    <t>Eco-efficient industries</t>
  </si>
  <si>
    <t>Clean transport</t>
  </si>
  <si>
    <t>Agriculture and forestry</t>
  </si>
  <si>
    <t>Green energy</t>
  </si>
  <si>
    <t>Climate change adaptation</t>
  </si>
  <si>
    <t>US67066G1040</t>
  </si>
  <si>
    <t>US0378331005</t>
  </si>
  <si>
    <t>US5949181045</t>
  </si>
  <si>
    <t>US0231351067</t>
  </si>
  <si>
    <t>US02079K3059</t>
  </si>
  <si>
    <t>US11135F1012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</si>
  <si>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</si>
  <si>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</si>
  <si>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</si>
  <si>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</si>
  <si>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</si>
  <si>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</si>
  <si>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</si>
  <si>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</si>
  <si>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</si>
  <si>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</si>
  <si>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</si>
  <si>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</si>
  <si>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</si>
  <si>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</si>
  <si>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</si>
  <si>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</si>
  <si>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</si>
  <si>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</si>
  <si>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</si>
  <si>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</si>
  <si>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</si>
  <si>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</si>
  <si>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</si>
  <si>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</si>
  <si>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GB0009895292</t>
  </si>
  <si>
    <t>US4592001014</t>
  </si>
  <si>
    <t>CH0012032048</t>
  </si>
  <si>
    <t>US9497461015</t>
  </si>
  <si>
    <t>US1491231015</t>
  </si>
  <si>
    <t>CH0038863350</t>
  </si>
  <si>
    <t>CH0012005267</t>
  </si>
  <si>
    <t>US58933Y1055</t>
  </si>
  <si>
    <t>US7181721090</t>
  </si>
  <si>
    <t>JP3633400001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</si>
  <si>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</si>
  <si>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</si>
  <si>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</si>
  <si>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</si>
  <si>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</si>
  <si>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</si>
  <si>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</si>
  <si>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GB0005405286</t>
  </si>
  <si>
    <t>CA7800871021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</si>
  <si>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</si>
  <si>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</si>
  <si>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</si>
  <si>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</si>
  <si>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</si>
  <si>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</si>
  <si>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</si>
  <si>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</si>
  <si>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</si>
  <si>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</si>
  <si>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</si>
  <si>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</si>
  <si>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JP3435000009</t>
  </si>
  <si>
    <t>US1729674242</t>
  </si>
  <si>
    <t>JP3902900004</t>
  </si>
  <si>
    <t>US90353T1007</t>
  </si>
  <si>
    <t>US65339F1012</t>
  </si>
  <si>
    <t>US92343V1044</t>
  </si>
  <si>
    <t>US81762P1021</t>
  </si>
  <si>
    <t>US8725401090</t>
  </si>
  <si>
    <t>AU000000CBA7</t>
  </si>
  <si>
    <t>US0320951017</t>
  </si>
  <si>
    <t>US3755581036</t>
  </si>
  <si>
    <t>IE00B4BNMY34</t>
  </si>
  <si>
    <t>US09857L1089</t>
  </si>
  <si>
    <t>US8085131055</t>
  </si>
  <si>
    <t>DK0062498333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</si>
  <si>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</si>
  <si>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</si>
  <si>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</si>
  <si>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</si>
  <si>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</si>
  <si>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</si>
  <si>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</si>
  <si>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</si>
  <si>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</si>
  <si>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CA8911605092</t>
  </si>
  <si>
    <t>JP3788600009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</si>
  <si>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</si>
  <si>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</si>
  <si>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</si>
  <si>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</si>
  <si>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</si>
  <si>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</si>
  <si>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</si>
  <si>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AU000000BHP4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</si>
  <si>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</si>
  <si>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</si>
  <si>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</si>
  <si>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</si>
  <si>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</si>
  <si>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</si>
  <si>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</si>
  <si>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GB0002875804</t>
  </si>
  <si>
    <t>US4385161066</t>
  </si>
  <si>
    <t>US03831W1080</t>
  </si>
  <si>
    <t>US8725901040</t>
  </si>
  <si>
    <t>CH0244767585</t>
  </si>
  <si>
    <t>US74340W1036</t>
  </si>
  <si>
    <t>US0326541051</t>
  </si>
  <si>
    <t>GB00B63H8491</t>
  </si>
  <si>
    <t>JP3890350006</t>
  </si>
  <si>
    <t>CH0210483332</t>
  </si>
  <si>
    <t>US92532F1003</t>
  </si>
  <si>
    <t>US20825C1045</t>
  </si>
  <si>
    <t>US58155Q1031</t>
  </si>
  <si>
    <t>US5398301094</t>
  </si>
  <si>
    <t>US7010941042</t>
  </si>
  <si>
    <t>CH0012221716</t>
  </si>
  <si>
    <t>CH0044328745</t>
  </si>
  <si>
    <t>US21037T1097</t>
  </si>
  <si>
    <t>US09260D1072</t>
  </si>
  <si>
    <t>CA29250N1050</t>
  </si>
  <si>
    <t>HK0000069689</t>
  </si>
  <si>
    <t>US0530151036</t>
  </si>
  <si>
    <t>CH0011075394</t>
  </si>
  <si>
    <t>JP3436100006</t>
  </si>
  <si>
    <t>US20030N1019</t>
  </si>
  <si>
    <t>JP3756600007</t>
  </si>
  <si>
    <t>US1266501006</t>
  </si>
  <si>
    <t>US12572Q1058</t>
  </si>
  <si>
    <t>US8425871071</t>
  </si>
  <si>
    <t>US02209S1033</t>
  </si>
  <si>
    <t>US8552441094</t>
  </si>
  <si>
    <t>US26441C2044</t>
  </si>
  <si>
    <t>GB00BN7SWP63</t>
  </si>
  <si>
    <t>US1101221083</t>
  </si>
  <si>
    <t>US58733R1023</t>
  </si>
  <si>
    <t>GB0007980591</t>
  </si>
  <si>
    <t>US6516391066</t>
  </si>
  <si>
    <t>IE00BK9ZQ967</t>
  </si>
  <si>
    <t>JP3571400005</t>
  </si>
  <si>
    <t>LU1778762911</t>
  </si>
  <si>
    <t>US88579Y1010</t>
  </si>
  <si>
    <t>US5717481023</t>
  </si>
  <si>
    <t>CA11271J1075</t>
  </si>
  <si>
    <t>US45866F1049</t>
  </si>
  <si>
    <t>CA0636711016</t>
  </si>
  <si>
    <t>JP3122400009</t>
  </si>
  <si>
    <t>US67103H1077</t>
  </si>
  <si>
    <t>US7707001027</t>
  </si>
  <si>
    <t>KYG9830T1067</t>
  </si>
  <si>
    <t>US03027X1000</t>
  </si>
  <si>
    <t>JP3900000005</t>
  </si>
  <si>
    <t>US94106L1098</t>
  </si>
  <si>
    <t>US3695501086</t>
  </si>
  <si>
    <t>CA0641491075</t>
  </si>
  <si>
    <t>JP3885780001</t>
  </si>
  <si>
    <t>US1273871087</t>
  </si>
  <si>
    <t>AU000000WBC1</t>
  </si>
  <si>
    <t>SG1L01001701</t>
  </si>
  <si>
    <t>US6668071029</t>
  </si>
  <si>
    <t>CA0084741085</t>
  </si>
  <si>
    <t>JP3898400001</t>
  </si>
  <si>
    <t>AU000000NAB4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</si>
  <si>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</si>
  <si>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</si>
  <si>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</si>
  <si>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</si>
  <si>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</si>
  <si>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</si>
  <si>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</si>
  <si>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</si>
  <si>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</si>
  <si>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</si>
  <si>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</si>
  <si>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</si>
  <si>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</si>
  <si>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GB0007188757</t>
  </si>
  <si>
    <t>CA1360691010</t>
  </si>
  <si>
    <t>GB00BDR05C01</t>
  </si>
  <si>
    <t>IE0001827041</t>
  </si>
  <si>
    <t>US6092071058</t>
  </si>
  <si>
    <t>JP3143600009</t>
  </si>
  <si>
    <t>US6934751057</t>
  </si>
  <si>
    <t>JP3970300004</t>
  </si>
  <si>
    <t>US9694571004</t>
  </si>
  <si>
    <t>US6153691059</t>
  </si>
  <si>
    <t>US8716071076</t>
  </si>
  <si>
    <t>US2910111044</t>
  </si>
  <si>
    <t>JP3236200006</t>
  </si>
  <si>
    <t>US0367521038</t>
  </si>
  <si>
    <t>GB0031348658</t>
  </si>
  <si>
    <t>US03073E1055</t>
  </si>
  <si>
    <t>US6558441084</t>
  </si>
  <si>
    <t>US9113121068</t>
  </si>
  <si>
    <t>CA1363851017</t>
  </si>
  <si>
    <t>IE00BY7QL619</t>
  </si>
  <si>
    <t>US25809K1051</t>
  </si>
  <si>
    <t>JP3910660004</t>
  </si>
  <si>
    <t>LR0008862868</t>
  </si>
  <si>
    <t>US2788651006</t>
  </si>
  <si>
    <t>GB0002634946</t>
  </si>
  <si>
    <t>GB0008706128</t>
  </si>
  <si>
    <t>AU000000ANZ3</t>
  </si>
  <si>
    <t>JP3802300008</t>
  </si>
  <si>
    <t>US5738741041</t>
  </si>
  <si>
    <t>JP3893600001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</si>
  <si>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</si>
  <si>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</si>
  <si>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</si>
  <si>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</si>
  <si>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</si>
  <si>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</si>
  <si>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</si>
  <si>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</si>
  <si>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</si>
  <si>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</si>
  <si>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</si>
  <si>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</si>
  <si>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</si>
  <si>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</si>
  <si>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HK0388045442</t>
  </si>
  <si>
    <t>CA13646K1084</t>
  </si>
  <si>
    <t>US0527691069</t>
  </si>
  <si>
    <t>CA06849F1080</t>
  </si>
  <si>
    <t>US6200763075</t>
  </si>
  <si>
    <t>US2193501051</t>
  </si>
  <si>
    <t>US92537N1081</t>
  </si>
  <si>
    <t>GB00BM8PJY71</t>
  </si>
  <si>
    <t>US31428X1063</t>
  </si>
  <si>
    <t>US8168511090</t>
  </si>
  <si>
    <t>CA8849038085</t>
  </si>
  <si>
    <t>KYG6683N1034</t>
  </si>
  <si>
    <t>US8288061091</t>
  </si>
  <si>
    <t>SE0015811963</t>
  </si>
  <si>
    <t>US18915M1071</t>
  </si>
  <si>
    <t>US7710491033</t>
  </si>
  <si>
    <t>AU000000WES1</t>
  </si>
  <si>
    <t>US89832Q1094</t>
  </si>
  <si>
    <t>CA56501R1064</t>
  </si>
  <si>
    <t>US26875P1012</t>
  </si>
  <si>
    <t>US45168D1046</t>
  </si>
  <si>
    <t>US02043Q1076</t>
  </si>
  <si>
    <t>US9344231041</t>
  </si>
  <si>
    <t>US56585A1025</t>
  </si>
  <si>
    <t>US0091581068</t>
  </si>
  <si>
    <t>US35671D8570</t>
  </si>
  <si>
    <t>US70450Y1038</t>
  </si>
  <si>
    <t>US7782961038</t>
  </si>
  <si>
    <t>JP3902400005</t>
  </si>
  <si>
    <t>US0200021014</t>
  </si>
  <si>
    <t>CA87807B1076</t>
  </si>
  <si>
    <t>AU000000CSL8</t>
  </si>
  <si>
    <t>US0758871091</t>
  </si>
  <si>
    <t>GB00B0SWJX34</t>
  </si>
  <si>
    <t>US19260Q1076</t>
  </si>
  <si>
    <t>GB00BD6K4575</t>
  </si>
  <si>
    <t>US92840M1027</t>
  </si>
  <si>
    <t>JP3371200001</t>
  </si>
  <si>
    <t>US6937181088</t>
  </si>
  <si>
    <t>AN8068571086</t>
  </si>
  <si>
    <t>US7185461040</t>
  </si>
  <si>
    <t>US98978V1035</t>
  </si>
  <si>
    <t>JP3735400008</t>
  </si>
  <si>
    <t>CA8672241079</t>
  </si>
  <si>
    <t>JP3733000008</t>
  </si>
  <si>
    <t>US91913Y1001</t>
  </si>
  <si>
    <t>US03769M1062</t>
  </si>
  <si>
    <t>US61174X1090</t>
  </si>
  <si>
    <t>US25746U1097</t>
  </si>
  <si>
    <t>US0010551028</t>
  </si>
  <si>
    <t>US7561091049</t>
  </si>
  <si>
    <t>GB00B24CGK77</t>
  </si>
  <si>
    <t>US5024311095</t>
  </si>
  <si>
    <t>GB0002374006</t>
  </si>
  <si>
    <t>CA1363751027</t>
  </si>
  <si>
    <t>US2538681030</t>
  </si>
  <si>
    <t>US23804L1035</t>
  </si>
  <si>
    <t>US49456B1017</t>
  </si>
  <si>
    <t>US29273V1008</t>
  </si>
  <si>
    <t>US9113631090</t>
  </si>
  <si>
    <t>JP3496400007</t>
  </si>
  <si>
    <t>JP3388200002</t>
  </si>
  <si>
    <t>IE00BKVD2N49</t>
  </si>
  <si>
    <t>JP3837800006</t>
  </si>
  <si>
    <t>US3453708600</t>
  </si>
  <si>
    <t>SG1S04926220</t>
  </si>
  <si>
    <t>US34959E1091</t>
  </si>
  <si>
    <t>US14149Y1082</t>
  </si>
  <si>
    <t>US28176E1082</t>
  </si>
  <si>
    <t>US2937921078</t>
  </si>
  <si>
    <t>US98138H1014</t>
  </si>
  <si>
    <t>US0090661010</t>
  </si>
  <si>
    <t>US05722G1004</t>
  </si>
  <si>
    <t>NL0009538784</t>
  </si>
  <si>
    <t>US7766961061</t>
  </si>
  <si>
    <t>AU000000MQG1</t>
  </si>
  <si>
    <t>US9581021055</t>
  </si>
  <si>
    <t>US98389B1008</t>
  </si>
  <si>
    <t>CH0012214059</t>
  </si>
  <si>
    <t>CA21037X1006</t>
  </si>
  <si>
    <t>US12504L1098</t>
  </si>
  <si>
    <t>US31488V1070</t>
  </si>
  <si>
    <t>CH0013841017</t>
  </si>
  <si>
    <t>JP3818000006</t>
  </si>
  <si>
    <t>US30161N1019</t>
  </si>
  <si>
    <t>CH0126881561</t>
  </si>
  <si>
    <t>US3119001044</t>
  </si>
  <si>
    <t>US5949724083</t>
  </si>
  <si>
    <t>JP3463000004</t>
  </si>
  <si>
    <t>US2855121099</t>
  </si>
  <si>
    <t>CA6330671034</t>
  </si>
  <si>
    <t>CA9628791027</t>
  </si>
  <si>
    <t>US0311001004</t>
  </si>
  <si>
    <t>CA94106B1013</t>
  </si>
  <si>
    <t>JP3475350009</t>
  </si>
  <si>
    <t>SE0000115446</t>
  </si>
  <si>
    <t>US6826801036</t>
  </si>
  <si>
    <t>US22052L1044</t>
  </si>
  <si>
    <t>US16411R2085</t>
  </si>
  <si>
    <t>US7607591002</t>
  </si>
  <si>
    <t>GB00BMX86B70</t>
  </si>
  <si>
    <t>US1468691027</t>
  </si>
  <si>
    <t>US3848021040</t>
  </si>
  <si>
    <t>JP3732000009</t>
  </si>
  <si>
    <t>US00846U1016</t>
  </si>
  <si>
    <t>US74460D1090</t>
  </si>
  <si>
    <t>GB00B1YW4409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</si>
  <si>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</si>
  <si>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</si>
  <si>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</si>
  <si>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</si>
  <si>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</si>
  <si>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</si>
  <si>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</si>
  <si>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</si>
  <si>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</si>
  <si>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GB00BTK05J60</t>
  </si>
  <si>
    <t>US03076C1062</t>
  </si>
  <si>
    <t>US8740541094</t>
  </si>
  <si>
    <t>JE00B4T3BW64</t>
  </si>
  <si>
    <t>US05464C1018</t>
  </si>
  <si>
    <t>DK0060079531</t>
  </si>
  <si>
    <t>US0268747849</t>
  </si>
  <si>
    <t>US23331A1097</t>
  </si>
  <si>
    <t>US7445731067</t>
  </si>
  <si>
    <t>JP3726800000</t>
  </si>
  <si>
    <t>GB00BRXH2664</t>
  </si>
  <si>
    <t>GB00B19NLV48</t>
  </si>
  <si>
    <t>SE0017486889</t>
  </si>
  <si>
    <t>US6311031081</t>
  </si>
  <si>
    <t>US87612E1064</t>
  </si>
  <si>
    <t>US5010441013</t>
  </si>
  <si>
    <t>US24703L2025</t>
  </si>
  <si>
    <t>US22822V1017</t>
  </si>
  <si>
    <t>JP3854600008</t>
  </si>
  <si>
    <t>CA01626P1484</t>
  </si>
  <si>
    <t>CA25675T1075</t>
  </si>
  <si>
    <t>US46266C1053</t>
  </si>
  <si>
    <t>US2473617023</t>
  </si>
  <si>
    <t>GB00BLGZ9862</t>
  </si>
  <si>
    <t>US4576693075</t>
  </si>
  <si>
    <t>US9291601097</t>
  </si>
  <si>
    <t>US4165151048</t>
  </si>
  <si>
    <t>CH0432492467</t>
  </si>
  <si>
    <t>CA3039011026</t>
  </si>
  <si>
    <t>US22266T1097</t>
  </si>
  <si>
    <t>US49271V1008</t>
  </si>
  <si>
    <t>AU000000GMG2</t>
  </si>
  <si>
    <t>US7443201022</t>
  </si>
  <si>
    <t>US92276F1003</t>
  </si>
  <si>
    <t>GB0004082847</t>
  </si>
  <si>
    <t>JP3877600001</t>
  </si>
  <si>
    <t>CA3518581051</t>
  </si>
  <si>
    <t>US8718291078</t>
  </si>
  <si>
    <t>SG1M31001969</t>
  </si>
  <si>
    <t>US1924461023</t>
  </si>
  <si>
    <t>JP3481800005</t>
  </si>
  <si>
    <t>US87612G1013</t>
  </si>
  <si>
    <t>US7611521078</t>
  </si>
  <si>
    <t>US2786421030</t>
  </si>
  <si>
    <t>SE0007100581</t>
  </si>
  <si>
    <t>US5732841060</t>
  </si>
  <si>
    <t>US92939U1060</t>
  </si>
  <si>
    <t>US2091151041</t>
  </si>
  <si>
    <t>JP3914400001</t>
  </si>
  <si>
    <t>US7043261079</t>
  </si>
  <si>
    <t>US9224751084</t>
  </si>
  <si>
    <t>JP3519400000</t>
  </si>
  <si>
    <t>CH1391448177</t>
  </si>
  <si>
    <t>AU000000FMG4</t>
  </si>
  <si>
    <t>US26884L1098</t>
  </si>
  <si>
    <t>AU000000TLS2</t>
  </si>
  <si>
    <t>US2172041061</t>
  </si>
  <si>
    <t>US4943681035</t>
  </si>
  <si>
    <t>US6703461052</t>
  </si>
  <si>
    <t>US36266G1076</t>
  </si>
  <si>
    <t>CA13321L1085</t>
  </si>
  <si>
    <t>US69331C1080</t>
  </si>
  <si>
    <t>GB0007908733</t>
  </si>
  <si>
    <t>US68902V1070</t>
  </si>
  <si>
    <t>US9297401088</t>
  </si>
  <si>
    <t>US98419M1009</t>
  </si>
  <si>
    <t>CH0010645932</t>
  </si>
  <si>
    <t>US8522341036</t>
  </si>
  <si>
    <t>BMG0450A1053</t>
  </si>
  <si>
    <t>GB0007099541</t>
  </si>
  <si>
    <t>US31620M1062</t>
  </si>
  <si>
    <t>CA8667961053</t>
  </si>
  <si>
    <t>JP3404600003</t>
  </si>
  <si>
    <t>US3377381088</t>
  </si>
  <si>
    <t>CA45823T1066</t>
  </si>
  <si>
    <t>CA15101Q2071</t>
  </si>
  <si>
    <t>GB0004544929</t>
  </si>
  <si>
    <t>US8574771031</t>
  </si>
  <si>
    <t>US49177J1025</t>
  </si>
  <si>
    <t>US6323071042</t>
  </si>
  <si>
    <t>US1999081045</t>
  </si>
  <si>
    <t>CH0114405324</t>
  </si>
  <si>
    <t>JP3893200000</t>
  </si>
  <si>
    <t>JP3811000003</t>
  </si>
  <si>
    <t>US92345Y1064</t>
  </si>
  <si>
    <t>AU0000224040</t>
  </si>
  <si>
    <t>US45687V1061</t>
  </si>
  <si>
    <t>SE0000667891</t>
  </si>
  <si>
    <t>US9256521090</t>
  </si>
  <si>
    <t>JP3304200003</t>
  </si>
  <si>
    <t>US6745991058</t>
  </si>
  <si>
    <t>US6293775085</t>
  </si>
  <si>
    <t>IE00BWT6H894</t>
  </si>
  <si>
    <t>CH0014852781</t>
  </si>
  <si>
    <t>US83406F1021</t>
  </si>
  <si>
    <t>US03990B1017</t>
  </si>
  <si>
    <t>JP3422950000</t>
  </si>
  <si>
    <t>JP3200450009</t>
  </si>
  <si>
    <t>SE0000148884</t>
  </si>
  <si>
    <t>IE00BDB6Q211</t>
  </si>
  <si>
    <t>JP3165000005</t>
  </si>
  <si>
    <t>JP3890310000</t>
  </si>
  <si>
    <t>JP3538800008</t>
  </si>
  <si>
    <t>CH0418792922</t>
  </si>
  <si>
    <t>SG1T75931496</t>
  </si>
  <si>
    <t>US9100471096</t>
  </si>
  <si>
    <t>CH1243598427</t>
  </si>
  <si>
    <t>AU000000TCL6</t>
  </si>
  <si>
    <t>US49338L1035</t>
  </si>
  <si>
    <t>US5926881054</t>
  </si>
  <si>
    <t>JP3397200001</t>
  </si>
  <si>
    <t>CA4969024047</t>
  </si>
  <si>
    <t>DK0010274414</t>
  </si>
  <si>
    <t>US55261F1049</t>
  </si>
  <si>
    <t>US30212P3038</t>
  </si>
  <si>
    <t>JP3407400005</t>
  </si>
  <si>
    <t>SE0000242455</t>
  </si>
  <si>
    <t>JP3783600004</t>
  </si>
  <si>
    <t>JP3802400006</t>
  </si>
  <si>
    <t>US22160N1090</t>
  </si>
  <si>
    <t>US0495601058</t>
  </si>
  <si>
    <t>US98980G1022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</si>
  <si>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</si>
  <si>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</si>
  <si>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</si>
  <si>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</si>
  <si>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</si>
  <si>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</si>
  <si>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</si>
  <si>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US80004C2008</t>
  </si>
  <si>
    <t>JP3899600005</t>
  </si>
  <si>
    <t>SE0000108656</t>
  </si>
  <si>
    <t>US5260571048</t>
  </si>
  <si>
    <t>US4278661081</t>
  </si>
  <si>
    <t>US50212V1008</t>
  </si>
  <si>
    <t>US5950171042</t>
  </si>
  <si>
    <t>US7547301090</t>
  </si>
  <si>
    <t>US1651677353</t>
  </si>
  <si>
    <t>US4448591028</t>
  </si>
  <si>
    <t>US25278X1090</t>
  </si>
  <si>
    <t>JP3866800000</t>
  </si>
  <si>
    <t>US45841N1072</t>
  </si>
  <si>
    <t>US42824C1099</t>
  </si>
  <si>
    <t>CA67077M1086</t>
  </si>
  <si>
    <t>US87165B1035</t>
  </si>
  <si>
    <t>US3364331070</t>
  </si>
  <si>
    <t>JP3188220002</t>
  </si>
  <si>
    <t>US69351T1060</t>
  </si>
  <si>
    <t>US11133T1034</t>
  </si>
  <si>
    <t>JP3830800003</t>
  </si>
  <si>
    <t>JP3476480003</t>
  </si>
  <si>
    <t>JP3814000000</t>
  </si>
  <si>
    <t>CH0030170408</t>
  </si>
  <si>
    <t>US2944291051</t>
  </si>
  <si>
    <t>US60937P1066</t>
  </si>
  <si>
    <t>CA7392391016</t>
  </si>
  <si>
    <t>CH1335392721</t>
  </si>
  <si>
    <t>US29084Q1004</t>
  </si>
  <si>
    <t>CA3495531079</t>
  </si>
  <si>
    <t>US1720621010</t>
  </si>
  <si>
    <t>US0304201033</t>
  </si>
  <si>
    <t>JP3548600000</t>
  </si>
  <si>
    <t>IE00BFY8C754</t>
  </si>
  <si>
    <t>US15189T1079</t>
  </si>
  <si>
    <t>US3703341046</t>
  </si>
  <si>
    <t>GB0000536739</t>
  </si>
  <si>
    <t>CH0024608827</t>
  </si>
  <si>
    <t>US3379321074</t>
  </si>
  <si>
    <t>US09062X1037</t>
  </si>
  <si>
    <t>US5705351048</t>
  </si>
  <si>
    <t>JP3566800003</t>
  </si>
  <si>
    <t>GB00BPQY8M80</t>
  </si>
  <si>
    <t>US75734B1008</t>
  </si>
  <si>
    <t>CH1430134226</t>
  </si>
  <si>
    <t>US2600031080</t>
  </si>
  <si>
    <t>JP3634600005</t>
  </si>
  <si>
    <t>US1717793095</t>
  </si>
  <si>
    <t>US46284V1017</t>
  </si>
  <si>
    <t>JP3551500006</t>
  </si>
  <si>
    <t>US4461501045</t>
  </si>
  <si>
    <t>US8807701029</t>
  </si>
  <si>
    <t>JP3242800005</t>
  </si>
  <si>
    <t>US4878361082</t>
  </si>
  <si>
    <t>US0494681010</t>
  </si>
  <si>
    <t>US92338C1036</t>
  </si>
  <si>
    <t>US74624M1027</t>
  </si>
  <si>
    <t>CA1130041058</t>
  </si>
  <si>
    <t>US0534841012</t>
  </si>
  <si>
    <t>US30040W1080</t>
  </si>
  <si>
    <t>US6658591044</t>
  </si>
  <si>
    <t>SE0015961909</t>
  </si>
  <si>
    <t>US6795801009</t>
  </si>
  <si>
    <t>GB00BH4HKS39</t>
  </si>
  <si>
    <t>CA15135U1093</t>
  </si>
  <si>
    <t>US5253271028</t>
  </si>
  <si>
    <t>US0844231029</t>
  </si>
  <si>
    <t>CA5394811015</t>
  </si>
  <si>
    <t>US2521311074</t>
  </si>
  <si>
    <t>AU000000NST8</t>
  </si>
  <si>
    <t>US9418481035</t>
  </si>
  <si>
    <t>US7458671010</t>
  </si>
  <si>
    <t>US1152361010</t>
  </si>
  <si>
    <t>US45784P1012</t>
  </si>
  <si>
    <t>JP3546800008</t>
  </si>
  <si>
    <t>NL0000687663</t>
  </si>
  <si>
    <t>US8793601050</t>
  </si>
  <si>
    <t>US90384S3031</t>
  </si>
  <si>
    <t>AU000000ALL7</t>
  </si>
  <si>
    <t>DK0061539921</t>
  </si>
  <si>
    <t>JP3500610005</t>
  </si>
  <si>
    <t>JP3198900007</t>
  </si>
  <si>
    <t>JP3942400007</t>
  </si>
  <si>
    <t>BRAXIAACNOR0</t>
  </si>
  <si>
    <t>US2810201077</t>
  </si>
  <si>
    <t>US1258961002</t>
  </si>
  <si>
    <t>US1746101054</t>
  </si>
  <si>
    <t>US4435106079</t>
  </si>
  <si>
    <t>US40434L1052</t>
  </si>
  <si>
    <t>US2566771059</t>
  </si>
  <si>
    <t>US25179M1036</t>
  </si>
  <si>
    <t>SE0012853455</t>
  </si>
  <si>
    <t>JP3119600009</t>
  </si>
  <si>
    <t>US6935061076</t>
  </si>
  <si>
    <t>CA7063271034</t>
  </si>
  <si>
    <t>AU000000WOW2</t>
  </si>
  <si>
    <t>US5049221055</t>
  </si>
  <si>
    <t>US8581191009</t>
  </si>
  <si>
    <t>CA76131D1033</t>
  </si>
  <si>
    <t>US74144T1088</t>
  </si>
  <si>
    <t>US7591EP1005</t>
  </si>
  <si>
    <t>DK0060336014</t>
  </si>
  <si>
    <t>US4062161017</t>
  </si>
  <si>
    <t>JP3409000001</t>
  </si>
  <si>
    <t>US8760301072</t>
  </si>
  <si>
    <t>CA05534B7604</t>
  </si>
  <si>
    <t>JP3762600009</t>
  </si>
  <si>
    <t>JP3164720009</t>
  </si>
  <si>
    <t>US64110D1046</t>
  </si>
  <si>
    <t>JP3381000003</t>
  </si>
  <si>
    <t>US0937121079</t>
  </si>
  <si>
    <t>US74834L1008</t>
  </si>
  <si>
    <t>US5380341090</t>
  </si>
  <si>
    <t>GB0032089863</t>
  </si>
  <si>
    <t>NO0010161896</t>
  </si>
  <si>
    <t>JP3505000004</t>
  </si>
  <si>
    <t>US5184391044</t>
  </si>
  <si>
    <t>IL0011334468</t>
  </si>
  <si>
    <t>US62944T1051</t>
  </si>
  <si>
    <t>US92343E1029</t>
  </si>
  <si>
    <t>US5007541064</t>
  </si>
  <si>
    <t>US98980L1017</t>
  </si>
  <si>
    <t>US5312297550</t>
  </si>
  <si>
    <t>JP3635000007</t>
  </si>
  <si>
    <t>US1475281036</t>
  </si>
  <si>
    <t>KYG254571055</t>
  </si>
  <si>
    <t>US78410G1040</t>
  </si>
  <si>
    <t>US29476L1070</t>
  </si>
  <si>
    <t>US69370C1009</t>
  </si>
  <si>
    <t>US88262P1021</t>
  </si>
  <si>
    <t>US9699041011</t>
  </si>
  <si>
    <t>CA87971M1032</t>
  </si>
  <si>
    <t>US7731211089</t>
  </si>
  <si>
    <t>NO0010096985</t>
  </si>
  <si>
    <t>SG9999000020</t>
  </si>
  <si>
    <t>US65473P1057</t>
  </si>
  <si>
    <t>SE0007100599</t>
  </si>
  <si>
    <t>AU000000BXB1</t>
  </si>
  <si>
    <t>US9022521051</t>
  </si>
  <si>
    <t>US2371941053</t>
  </si>
  <si>
    <t>US2199481068</t>
  </si>
  <si>
    <t>US1713401024</t>
  </si>
  <si>
    <t>JP3946750001</t>
  </si>
  <si>
    <t>US4663131039</t>
  </si>
  <si>
    <t>US4601461035</t>
  </si>
  <si>
    <t>US2315611010</t>
  </si>
  <si>
    <t>JP3892100003</t>
  </si>
  <si>
    <t>US2567461080</t>
  </si>
  <si>
    <t>JP3205800000</t>
  </si>
  <si>
    <t>US1270971039</t>
  </si>
  <si>
    <t>JE00BJ1F3079</t>
  </si>
  <si>
    <t>US5178341070</t>
  </si>
  <si>
    <t>US9553061055</t>
  </si>
  <si>
    <t>US4932671088</t>
  </si>
  <si>
    <t>DK0010272202</t>
  </si>
  <si>
    <t>US91307C1027</t>
  </si>
  <si>
    <t>US21873S1087</t>
  </si>
  <si>
    <t>AU0000030678</t>
  </si>
  <si>
    <t>US55336V1008</t>
  </si>
  <si>
    <t>US3021301094</t>
  </si>
  <si>
    <t>US04626A1034</t>
  </si>
  <si>
    <t>JP3162600005</t>
  </si>
  <si>
    <t>US30063P1057</t>
  </si>
  <si>
    <t>AU000000QBE9</t>
  </si>
  <si>
    <t>US7757111049</t>
  </si>
  <si>
    <t>US4523271090</t>
  </si>
  <si>
    <t>JP3778630008</t>
  </si>
  <si>
    <t>GB00BDCPN049</t>
  </si>
  <si>
    <t>US6821891057</t>
  </si>
  <si>
    <t>US1220171060</t>
  </si>
  <si>
    <t>US00827B1061</t>
  </si>
  <si>
    <t>US4435731009</t>
  </si>
  <si>
    <t>US21036P1084</t>
  </si>
  <si>
    <t>CA92938W2022</t>
  </si>
  <si>
    <t>JP3134800006</t>
  </si>
  <si>
    <t>US74251V1026</t>
  </si>
  <si>
    <t>CH1256740924</t>
  </si>
  <si>
    <t>KYG217651051</t>
  </si>
  <si>
    <t>CH0008742519</t>
  </si>
  <si>
    <t>GB00BHJYC057</t>
  </si>
  <si>
    <t>US8962391004</t>
  </si>
  <si>
    <t>US90138F1021</t>
  </si>
  <si>
    <t>US98956P1021</t>
  </si>
  <si>
    <t>US12514G1085</t>
  </si>
  <si>
    <t>CA8787422044</t>
  </si>
  <si>
    <t>US55024U1097</t>
  </si>
  <si>
    <t>JP3249600002</t>
  </si>
  <si>
    <t>US15135B1017</t>
  </si>
  <si>
    <t>NL0009805522</t>
  </si>
  <si>
    <t>US12541W2098</t>
  </si>
  <si>
    <t>JP3752900005</t>
  </si>
  <si>
    <t>US3724601055</t>
  </si>
  <si>
    <t>GB00BDSFG982</t>
  </si>
  <si>
    <t>JP3294460005</t>
  </si>
  <si>
    <t>JP3762800005</t>
  </si>
  <si>
    <t>CA74935Q1072</t>
  </si>
  <si>
    <t>US6951561090</t>
  </si>
  <si>
    <t>GB0005603997</t>
  </si>
  <si>
    <t>IE00028FXN24</t>
  </si>
  <si>
    <t>US5404241086</t>
  </si>
  <si>
    <t>GB0004052071</t>
  </si>
  <si>
    <t>JP3118000003</t>
  </si>
  <si>
    <t>US0188021085</t>
  </si>
  <si>
    <t>US19247G1076</t>
  </si>
  <si>
    <t>US8330341012</t>
  </si>
  <si>
    <t>US30034W1062</t>
  </si>
  <si>
    <t>US88339J1051</t>
  </si>
  <si>
    <t>US88023U1016</t>
  </si>
  <si>
    <t>US78467J1007</t>
  </si>
  <si>
    <t>US37940X1028</t>
  </si>
  <si>
    <t>JP3210200006</t>
  </si>
  <si>
    <t>US98850P1093</t>
  </si>
  <si>
    <t>US4595061015</t>
  </si>
  <si>
    <t>US5797802064</t>
  </si>
  <si>
    <t>US5500211090</t>
  </si>
  <si>
    <t>US3802371076</t>
  </si>
  <si>
    <t>IE00BLS09M33</t>
  </si>
  <si>
    <t>US40171V1008</t>
  </si>
  <si>
    <t>US31946M1036</t>
  </si>
  <si>
    <t>US16119P1084</t>
  </si>
  <si>
    <t>US45337C1027</t>
  </si>
  <si>
    <t>JP3116000005</t>
  </si>
  <si>
    <t>US3666511072</t>
  </si>
  <si>
    <t>US88033G4073</t>
  </si>
  <si>
    <t>US77311W1018</t>
  </si>
  <si>
    <t>US2971781057</t>
  </si>
  <si>
    <t>US8887871080</t>
  </si>
  <si>
    <t>US4364401012</t>
  </si>
  <si>
    <t>HK0002007356</t>
  </si>
  <si>
    <t>SE0009922164</t>
  </si>
  <si>
    <t>JP3684000007</t>
  </si>
  <si>
    <t>US86800U3023</t>
  </si>
  <si>
    <t>JP3228600007</t>
  </si>
  <si>
    <t>US89400J1079</t>
  </si>
  <si>
    <t>BMG162521014</t>
  </si>
  <si>
    <t>HK0016000132</t>
  </si>
  <si>
    <t>IE00BDVJJQ56</t>
  </si>
  <si>
    <t>KYG3730V1059</t>
  </si>
  <si>
    <t>US26614N1028</t>
  </si>
  <si>
    <t>CA89156V1067</t>
  </si>
  <si>
    <t>HK0669013440</t>
  </si>
  <si>
    <t>SE0021921269</t>
  </si>
  <si>
    <t>JE00BTDN8H13</t>
  </si>
  <si>
    <t>JP3979200007</t>
  </si>
  <si>
    <t>US34959J1088</t>
  </si>
  <si>
    <t>US9586691035</t>
  </si>
  <si>
    <t>US87422Q1094</t>
  </si>
  <si>
    <t>US74743L1008</t>
  </si>
  <si>
    <t>US9120081099</t>
  </si>
  <si>
    <t>JP3386450005</t>
  </si>
  <si>
    <t>US2605571031</t>
  </si>
  <si>
    <t>US9621661043</t>
  </si>
  <si>
    <t>US59522J1034</t>
  </si>
  <si>
    <t>US67059N1081</t>
  </si>
  <si>
    <t>US7802871084</t>
  </si>
  <si>
    <t>US46187W1071</t>
  </si>
  <si>
    <t>CH1300646267</t>
  </si>
  <si>
    <t>US05605H1005</t>
  </si>
  <si>
    <t>JP3300200007</t>
  </si>
  <si>
    <t>GB00BMJ6DW54</t>
  </si>
  <si>
    <t>CA6979001089</t>
  </si>
  <si>
    <t>US1442851036</t>
  </si>
  <si>
    <t>CA12532H1047</t>
  </si>
  <si>
    <t>US46982L1089</t>
  </si>
  <si>
    <t>US8447411088</t>
  </si>
  <si>
    <t>US0865161014</t>
  </si>
  <si>
    <t>IL0010824113</t>
  </si>
  <si>
    <t>US9024941034</t>
  </si>
  <si>
    <t>CA59162N1096</t>
  </si>
  <si>
    <t>US71377A1034</t>
  </si>
  <si>
    <t>JP3201200007</t>
  </si>
  <si>
    <t>US8666741041</t>
  </si>
  <si>
    <t>US0357108390</t>
  </si>
  <si>
    <t>US2166485019</t>
  </si>
  <si>
    <t>US9807451037</t>
  </si>
  <si>
    <t>US26142V1052</t>
  </si>
  <si>
    <t>CH0102484968</t>
  </si>
  <si>
    <t>US72352L1061</t>
  </si>
  <si>
    <t>US48020Q1076</t>
  </si>
  <si>
    <t>CH0025751329</t>
  </si>
  <si>
    <t>US46222L1089</t>
  </si>
  <si>
    <t>CA7751092007</t>
  </si>
  <si>
    <t>ES0177542018</t>
  </si>
  <si>
    <t>US6687711084</t>
  </si>
  <si>
    <t>US92936U1097</t>
  </si>
  <si>
    <t>US5261071071</t>
  </si>
  <si>
    <t>CH0010570767</t>
  </si>
  <si>
    <t>JP3347200002</t>
  </si>
  <si>
    <t>KYG970081173</t>
  </si>
  <si>
    <t>CA4530384086</t>
  </si>
  <si>
    <t>US69932A2042</t>
  </si>
  <si>
    <t>US6819191064</t>
  </si>
  <si>
    <t>US7595091023</t>
  </si>
  <si>
    <t>US27579R1041</t>
  </si>
  <si>
    <t>US8832031012</t>
  </si>
  <si>
    <t>JP3420600003</t>
  </si>
  <si>
    <t>CH1175448666</t>
  </si>
  <si>
    <t>CH0024638196</t>
  </si>
  <si>
    <t>AU000000EVN4</t>
  </si>
  <si>
    <t>CA2908761018</t>
  </si>
  <si>
    <t>US04010L1035</t>
  </si>
  <si>
    <t>JP3443600006</t>
  </si>
  <si>
    <t>US64125C1099</t>
  </si>
  <si>
    <t>GB00BMVP7Y09</t>
  </si>
  <si>
    <t>JP3190000004</t>
  </si>
  <si>
    <t>US91332U1016</t>
  </si>
  <si>
    <t>DK0060448595</t>
  </si>
  <si>
    <t>JP3266400005</t>
  </si>
  <si>
    <t>IE00BFRT3W74</t>
  </si>
  <si>
    <t>US9837931008</t>
  </si>
  <si>
    <t>KYG3323L1005</t>
  </si>
  <si>
    <t>US14316J1088</t>
  </si>
  <si>
    <t>US45073V1089</t>
  </si>
  <si>
    <t>JP3421800008</t>
  </si>
  <si>
    <t>US00187Y1001</t>
  </si>
  <si>
    <t>US49446R1095</t>
  </si>
  <si>
    <t>US2533931026</t>
  </si>
  <si>
    <t>CA0977518616</t>
  </si>
  <si>
    <t>US0126531013</t>
  </si>
  <si>
    <t>JP3753000003</t>
  </si>
  <si>
    <t>US35137L1052</t>
  </si>
  <si>
    <t>CA0115321089</t>
  </si>
  <si>
    <t>US00766T1007</t>
  </si>
  <si>
    <t>US3841091040</t>
  </si>
  <si>
    <t>US40131M1099</t>
  </si>
  <si>
    <t>US31620R3030</t>
  </si>
  <si>
    <t>AU000000SCG8</t>
  </si>
  <si>
    <t>KYG4124C1096</t>
  </si>
  <si>
    <t>CA3359341052</t>
  </si>
  <si>
    <t>US7496851038</t>
  </si>
  <si>
    <t>US3156161024</t>
  </si>
  <si>
    <t>AU000000STO6</t>
  </si>
  <si>
    <t>GB00B082RF11</t>
  </si>
  <si>
    <t>GB00B8C3BL03</t>
  </si>
  <si>
    <t>US0584981064</t>
  </si>
  <si>
    <t>US58506Q1094</t>
  </si>
  <si>
    <t>JP3180400008</t>
  </si>
  <si>
    <t>US6819361006</t>
  </si>
  <si>
    <t>GB0000456144</t>
  </si>
  <si>
    <t>US6792951054</t>
  </si>
  <si>
    <t>US1271903049</t>
  </si>
  <si>
    <t>IL0010811243</t>
  </si>
  <si>
    <t>US0536111091</t>
  </si>
  <si>
    <t>US7512121010</t>
  </si>
  <si>
    <t>JP3734800000</t>
  </si>
  <si>
    <t>US2561631068</t>
  </si>
  <si>
    <t>US2681501092</t>
  </si>
  <si>
    <t>US6556631025</t>
  </si>
  <si>
    <t>US01741R1023</t>
  </si>
  <si>
    <t>BMG93A5A1010</t>
  </si>
  <si>
    <t>US9139031002</t>
  </si>
  <si>
    <t>BMG3223R1088</t>
  </si>
  <si>
    <t>SE0000695876</t>
  </si>
  <si>
    <t>AU000000SUN6</t>
  </si>
  <si>
    <t>NZXROE0001S2</t>
  </si>
  <si>
    <t>US65290E1010</t>
  </si>
  <si>
    <t>US29452E1010</t>
  </si>
  <si>
    <t>US5745991068</t>
  </si>
  <si>
    <t>US1423391002</t>
  </si>
  <si>
    <t>CA5592224011</t>
  </si>
  <si>
    <t>JP3258000003</t>
  </si>
  <si>
    <t>US00217D1000</t>
  </si>
  <si>
    <t>BMG2519Y1084</t>
  </si>
  <si>
    <t>US79589L1061</t>
  </si>
  <si>
    <t>US00971T1016</t>
  </si>
  <si>
    <t>IE0005711209</t>
  </si>
  <si>
    <t>JP3814800003</t>
  </si>
  <si>
    <t>CA4488112083</t>
  </si>
  <si>
    <t>US45167R1041</t>
  </si>
  <si>
    <t>HK0011000095</t>
  </si>
  <si>
    <t>US8894781033</t>
  </si>
  <si>
    <t>US4456581077</t>
  </si>
  <si>
    <t>US1890541097</t>
  </si>
  <si>
    <t>AU000000ORG5</t>
  </si>
  <si>
    <t>KYG0146B1032</t>
  </si>
  <si>
    <t>US5339001068</t>
  </si>
  <si>
    <t>US4228061093</t>
  </si>
  <si>
    <t>GB0009223206</t>
  </si>
  <si>
    <t>CA39138C1068</t>
  </si>
  <si>
    <t>US2435371073</t>
  </si>
  <si>
    <t>US8926721064</t>
  </si>
  <si>
    <t>US42250P1030</t>
  </si>
  <si>
    <t>US25754A2015</t>
  </si>
  <si>
    <t>US4262811015</t>
  </si>
  <si>
    <t>SE0015658109</t>
  </si>
  <si>
    <t>US76155X1000</t>
  </si>
  <si>
    <t>US4622221004</t>
  </si>
  <si>
    <t>AU000000CPU5</t>
  </si>
  <si>
    <t>US7593516047</t>
  </si>
  <si>
    <t>US1252691001</t>
  </si>
  <si>
    <t>US95082P1057</t>
  </si>
  <si>
    <t>US83444M1018</t>
  </si>
  <si>
    <t>CH0012549785</t>
  </si>
  <si>
    <t>US29472R1086</t>
  </si>
  <si>
    <t>US9892071054</t>
  </si>
  <si>
    <t>US77543R1023</t>
  </si>
  <si>
    <t>US36467J1088</t>
  </si>
  <si>
    <t>SE0020050417</t>
  </si>
  <si>
    <t>US75524B1044</t>
  </si>
  <si>
    <t>US89055F1030</t>
  </si>
  <si>
    <t>JP3639650005</t>
  </si>
  <si>
    <t>US05550J1016</t>
  </si>
  <si>
    <t>JP3497400006</t>
  </si>
  <si>
    <t>US92556V1061</t>
  </si>
  <si>
    <t>HK0823032773</t>
  </si>
  <si>
    <t>US7265031051</t>
  </si>
  <si>
    <t>US4464131063</t>
  </si>
  <si>
    <t>US87256C1018</t>
  </si>
  <si>
    <t>BMG507361001</t>
  </si>
  <si>
    <t>US8606301021</t>
  </si>
  <si>
    <t>US23345M1071</t>
  </si>
  <si>
    <t>CA5503721063</t>
  </si>
  <si>
    <t>BMG7496G1033</t>
  </si>
  <si>
    <t>US29977A1051</t>
  </si>
  <si>
    <t>US6247561029</t>
  </si>
  <si>
    <t>US76954A1034</t>
  </si>
  <si>
    <t>US9426222009</t>
  </si>
  <si>
    <t>AU000000IAG3</t>
  </si>
  <si>
    <t>US50077B2079</t>
  </si>
  <si>
    <t>US7588491032</t>
  </si>
  <si>
    <t>JP3173400007</t>
  </si>
  <si>
    <t>CH0008038389</t>
  </si>
  <si>
    <t>JP3183200009</t>
  </si>
  <si>
    <t>NL0009434992</t>
  </si>
  <si>
    <t>JP3573000001</t>
  </si>
  <si>
    <t>NZFAPE0001S2</t>
  </si>
  <si>
    <t>US29261A1007</t>
  </si>
  <si>
    <t>US8826811098</t>
  </si>
  <si>
    <t>KYG9897K1058</t>
  </si>
  <si>
    <t>US5763231090</t>
  </si>
  <si>
    <t>US5128161099</t>
  </si>
  <si>
    <t>JP3436120004</t>
  </si>
  <si>
    <t>US91529Y1064</t>
  </si>
  <si>
    <t>DK0010181759</t>
  </si>
  <si>
    <t>US44107P1049</t>
  </si>
  <si>
    <t>AU0000185993</t>
  </si>
  <si>
    <t>US04621X1081</t>
  </si>
  <si>
    <t>US29670G1022</t>
  </si>
  <si>
    <t>US87162W1009</t>
  </si>
  <si>
    <t>JP3111200006</t>
  </si>
  <si>
    <t>US70975L1070</t>
  </si>
  <si>
    <t>JP3526600006</t>
  </si>
  <si>
    <t>US8326964058</t>
  </si>
  <si>
    <t>JP3502200003</t>
  </si>
  <si>
    <t>US12008R1077</t>
  </si>
  <si>
    <t>US94419L1017</t>
  </si>
  <si>
    <t>US2283681060</t>
  </si>
  <si>
    <t>US8175651046</t>
  </si>
  <si>
    <t>US1331311027</t>
  </si>
  <si>
    <t>US29362U1043</t>
  </si>
  <si>
    <t>US10806X1028</t>
  </si>
  <si>
    <t>US7140461093</t>
  </si>
  <si>
    <t>JP3166000004</t>
  </si>
  <si>
    <t>US4180561072</t>
  </si>
  <si>
    <t>US28414H1032</t>
  </si>
  <si>
    <t>GB00B5ZN1N88</t>
  </si>
  <si>
    <t>US00123Q1040</t>
  </si>
  <si>
    <t>US02156V1098</t>
  </si>
  <si>
    <t>US15677J1088</t>
  </si>
  <si>
    <t>US1844961078</t>
  </si>
  <si>
    <t>SG1U68934629</t>
  </si>
  <si>
    <t>AU000000SIG5</t>
  </si>
  <si>
    <t>CA36168Q1046</t>
  </si>
  <si>
    <t>JP3976300008</t>
  </si>
  <si>
    <t>US82846H4056</t>
  </si>
  <si>
    <t>SG1M51904654</t>
  </si>
  <si>
    <t>US00790R1041</t>
  </si>
  <si>
    <t>US02665T3068</t>
  </si>
  <si>
    <t>US6802231042</t>
  </si>
  <si>
    <t>IE00B4Q5ZN47</t>
  </si>
  <si>
    <t>GB00B02J6398</t>
  </si>
  <si>
    <t>JP3224200000</t>
  </si>
  <si>
    <t>US29358P1012</t>
  </si>
  <si>
    <t>CA85472N1096</t>
  </si>
  <si>
    <t>US00508Y1029</t>
  </si>
  <si>
    <t>US3205171057</t>
  </si>
  <si>
    <t>CH0311864901</t>
  </si>
  <si>
    <t>AU000000COH5</t>
  </si>
  <si>
    <t>US55405Y1001</t>
  </si>
  <si>
    <t>US7234841010</t>
  </si>
  <si>
    <t>US02005N1000</t>
  </si>
  <si>
    <t>GB00B39J2M42</t>
  </si>
  <si>
    <t>US98954M2008</t>
  </si>
  <si>
    <t>US9026531049</t>
  </si>
  <si>
    <t>US1011211018</t>
  </si>
  <si>
    <t>US37959E1029</t>
  </si>
  <si>
    <t>JP3539220008</t>
  </si>
  <si>
    <t>CH0012410517</t>
  </si>
  <si>
    <t>US09061G1013</t>
  </si>
  <si>
    <t>IL0010823792</t>
  </si>
  <si>
    <t>CA9611485090</t>
  </si>
  <si>
    <t>CA2861812014</t>
  </si>
  <si>
    <t>US71424F1057</t>
  </si>
  <si>
    <t>US3030751057</t>
  </si>
  <si>
    <t>JP3102000001</t>
  </si>
  <si>
    <t>US2244081046</t>
  </si>
  <si>
    <t>CH0025238863</t>
  </si>
  <si>
    <t>SG1J26887955</t>
  </si>
  <si>
    <t>JP3148800000</t>
  </si>
  <si>
    <t>GB00B1WY2338</t>
  </si>
  <si>
    <t>JP3820000002</t>
  </si>
  <si>
    <t>SG1F60858221</t>
  </si>
  <si>
    <t>GB00B033F229</t>
  </si>
  <si>
    <t>NO0013536151</t>
  </si>
  <si>
    <t>GB00B1FH8J72</t>
  </si>
  <si>
    <t>GB0031638363</t>
  </si>
  <si>
    <t>HK0027032686</t>
  </si>
  <si>
    <t>JP3362700001</t>
  </si>
  <si>
    <t>KYG2177B1014</t>
  </si>
  <si>
    <t>CH0198251305</t>
  </si>
  <si>
    <t>AU000000SGP0</t>
  </si>
  <si>
    <t>NO0003054108</t>
  </si>
  <si>
    <t>SE0000113250</t>
  </si>
  <si>
    <t>SE0012673267</t>
  </si>
  <si>
    <t>GB0001826634</t>
  </si>
  <si>
    <t>CNE100006WS8</t>
  </si>
  <si>
    <t>AU000000PME8</t>
  </si>
  <si>
    <t>DK0060252690</t>
  </si>
  <si>
    <t>HK0992009065</t>
  </si>
  <si>
    <t>GB0009465807</t>
  </si>
  <si>
    <t>CH1101098163</t>
  </si>
  <si>
    <t>AU000000QAN2</t>
  </si>
  <si>
    <t>SE0000667925</t>
  </si>
  <si>
    <t>HK0006000050</t>
  </si>
  <si>
    <t>JP3659000008</t>
  </si>
  <si>
    <t>JP3429800000</t>
  </si>
  <si>
    <t>JP3967200001</t>
  </si>
  <si>
    <t>GB00B0744B38</t>
  </si>
  <si>
    <t>JP3621000003</t>
  </si>
  <si>
    <t>DK0060094928</t>
  </si>
  <si>
    <t>SE0000108227</t>
  </si>
  <si>
    <t>GB0031274896</t>
  </si>
  <si>
    <t>JP3305990008</t>
  </si>
  <si>
    <t>GB00BNGDN821</t>
  </si>
  <si>
    <t>JP3240400006</t>
  </si>
  <si>
    <t>AU000000S320</t>
  </si>
  <si>
    <t>SE0000106270</t>
  </si>
  <si>
    <t>JP3758190007</t>
  </si>
  <si>
    <t>JP3358800005</t>
  </si>
  <si>
    <t>NO0005052605</t>
  </si>
  <si>
    <t>JP3160400002</t>
  </si>
  <si>
    <t>CH0466642201</t>
  </si>
  <si>
    <t>NO0010063308</t>
  </si>
  <si>
    <t>JP3236330001</t>
  </si>
  <si>
    <t>JP3137200006</t>
  </si>
  <si>
    <t>AU000000LYC6</t>
  </si>
  <si>
    <t>AU000000WTC3</t>
  </si>
  <si>
    <t>AU000000MPL3</t>
  </si>
  <si>
    <t>JP3585800000</t>
  </si>
  <si>
    <t>NL0010545661</t>
  </si>
  <si>
    <t>SE0005190238</t>
  </si>
  <si>
    <t>SE0014781795</t>
  </si>
  <si>
    <t>JP3402600005</t>
  </si>
  <si>
    <t>SE0015949201</t>
  </si>
  <si>
    <t>SG1M77906915</t>
  </si>
  <si>
    <t>JP3705200008</t>
  </si>
  <si>
    <t>KYG960071028</t>
  </si>
  <si>
    <t>JP3598600009</t>
  </si>
  <si>
    <t>AU000000CAR3</t>
  </si>
  <si>
    <t>GB0003718474</t>
  </si>
  <si>
    <t>GB0007669376</t>
  </si>
  <si>
    <t>AU000000PLS0</t>
  </si>
  <si>
    <t>JP3218900003</t>
  </si>
  <si>
    <t>CH0018294154</t>
  </si>
  <si>
    <t>SE0000114837</t>
  </si>
  <si>
    <t>GB0006731235</t>
  </si>
  <si>
    <t>JP3104890003</t>
  </si>
  <si>
    <t>JP3756100008</t>
  </si>
  <si>
    <t>JP3951600000</t>
  </si>
  <si>
    <t>JP3357200009</t>
  </si>
  <si>
    <t>AU000000APA1</t>
  </si>
  <si>
    <t>SG1V61937297</t>
  </si>
  <si>
    <t>NO0003733800</t>
  </si>
  <si>
    <t>GB00BGLP8L22</t>
  </si>
  <si>
    <t>NO0010345853</t>
  </si>
  <si>
    <t>JP3358000002</t>
  </si>
  <si>
    <t>JP3343200006</t>
  </si>
  <si>
    <t>GB00BYT1DJ19</t>
  </si>
  <si>
    <t>AU0000219529</t>
  </si>
  <si>
    <t>GB00BL9YR756</t>
  </si>
  <si>
    <t>JP3417200007</t>
  </si>
  <si>
    <t>JP3494600004</t>
  </si>
  <si>
    <t>JP3906000009</t>
  </si>
  <si>
    <t>DK0060636678</t>
  </si>
  <si>
    <t>GB0009697037</t>
  </si>
  <si>
    <t>JP3862400003</t>
  </si>
  <si>
    <t>JP3955000009</t>
  </si>
  <si>
    <t>JP3933800009</t>
  </si>
  <si>
    <t>JP3386030005</t>
  </si>
  <si>
    <t>JP3360800001</t>
  </si>
  <si>
    <t>JP3435750009</t>
  </si>
  <si>
    <t>NZAIAE0002S6</t>
  </si>
  <si>
    <t>GB00BVYVFW23</t>
  </si>
  <si>
    <t>JP3027670003</t>
  </si>
  <si>
    <t>GB00BGXQNP29</t>
  </si>
  <si>
    <t>JP3629000005</t>
  </si>
  <si>
    <t>AU000000SHL7</t>
  </si>
  <si>
    <t>JP3112000009</t>
  </si>
  <si>
    <t>SE0000163594</t>
  </si>
  <si>
    <t>GB00B019KW72</t>
  </si>
  <si>
    <t>CH1169360919</t>
  </si>
  <si>
    <t>JP3493800001</t>
  </si>
  <si>
    <t>AU000000ASX7</t>
  </si>
  <si>
    <t>SG1T56930848</t>
  </si>
  <si>
    <t>JP3738600000</t>
  </si>
  <si>
    <t>KYG8087W1015</t>
  </si>
  <si>
    <t>JP3142500002</t>
  </si>
  <si>
    <t>GB0006776081</t>
  </si>
  <si>
    <t>JP3613000003</t>
  </si>
  <si>
    <t>JP3897700005</t>
  </si>
  <si>
    <t>JP3351500008</t>
  </si>
  <si>
    <t>AU000000ALQ6</t>
  </si>
  <si>
    <t>JP3869010003</t>
  </si>
  <si>
    <t>JP3511800009</t>
  </si>
  <si>
    <t>JP3419400001</t>
  </si>
  <si>
    <t>GB0030913577</t>
  </si>
  <si>
    <t>JP3499800005</t>
  </si>
  <si>
    <t>JP3711600001</t>
  </si>
  <si>
    <t>KYG4212T1058</t>
  </si>
  <si>
    <t>SE0000112724</t>
  </si>
  <si>
    <t>HK0001200002</t>
  </si>
  <si>
    <t>SE0000872095</t>
  </si>
  <si>
    <t>JP3637300009</t>
  </si>
  <si>
    <t>GB00BYQ0JC66</t>
  </si>
  <si>
    <t>JP3749400002</t>
  </si>
  <si>
    <t>AU000000GPT8</t>
  </si>
  <si>
    <t>AU000000CHC0</t>
  </si>
  <si>
    <t>GB0000811801</t>
  </si>
  <si>
    <t>NO0003053605</t>
  </si>
  <si>
    <t>JP3888400003</t>
  </si>
  <si>
    <t>AU000000JBH7</t>
  </si>
  <si>
    <t>AU000000REA9</t>
  </si>
  <si>
    <t>JP3368000000</t>
  </si>
  <si>
    <t>GB00BKFB1C65</t>
  </si>
  <si>
    <t>AU000000ORI1</t>
  </si>
  <si>
    <t>JP3574200006</t>
  </si>
  <si>
    <t>JP3942800008</t>
  </si>
  <si>
    <t>GB00BWFGQN14</t>
  </si>
  <si>
    <t>DK0010244508</t>
  </si>
  <si>
    <t>JP3932000007</t>
  </si>
  <si>
    <t>JP3835250006</t>
  </si>
  <si>
    <t>NZIFTE0003S3</t>
  </si>
  <si>
    <t>SE0001515552</t>
  </si>
  <si>
    <t>NL0013056914</t>
  </si>
  <si>
    <t>DK0010287663</t>
  </si>
  <si>
    <t>SE0000107203</t>
  </si>
  <si>
    <t>JP3197600004</t>
  </si>
  <si>
    <t>AU000000SOL3</t>
  </si>
  <si>
    <t>SE0015949748</t>
  </si>
  <si>
    <t>AU000000VCX7</t>
  </si>
  <si>
    <t>AU000000BSL0</t>
  </si>
  <si>
    <t>GB00B1KJJ408</t>
  </si>
  <si>
    <t>BMG4587L1090</t>
  </si>
  <si>
    <t>IE0002424939</t>
  </si>
  <si>
    <t>JP3409800004</t>
  </si>
  <si>
    <t>HK0066009694</t>
  </si>
  <si>
    <t>JP3783420007</t>
  </si>
  <si>
    <t>CH0010675863</t>
  </si>
  <si>
    <t>JP3774200004</t>
  </si>
  <si>
    <t>CH0009002962</t>
  </si>
  <si>
    <t>SE0015988019</t>
  </si>
  <si>
    <t>CH0012255151</t>
  </si>
  <si>
    <t>GB0033195214</t>
  </si>
  <si>
    <t>JP3486800000</t>
  </si>
  <si>
    <t>NO0010208051</t>
  </si>
  <si>
    <t>JP3117700009</t>
  </si>
  <si>
    <t>IM00B5VQMV65</t>
  </si>
  <si>
    <t>JP3435350008</t>
  </si>
  <si>
    <t>AU0000364754</t>
  </si>
  <si>
    <t>JP3805010000</t>
  </si>
  <si>
    <t>GB00BVZK7T90</t>
  </si>
  <si>
    <t>Index</t>
  </si>
  <si>
    <t>EZ</t>
  </si>
  <si>
    <t>Global</t>
  </si>
  <si>
    <t>Is duplicate</t>
  </si>
  <si>
    <t>Universes</t>
  </si>
  <si>
    <t>Short Name</t>
  </si>
  <si>
    <t>MIC</t>
  </si>
  <si>
    <t>FLUGHAFEN WIEN AG</t>
  </si>
  <si>
    <t>WBAH</t>
  </si>
  <si>
    <t>OBERBANK AG</t>
  </si>
  <si>
    <t>RENK GROUP</t>
  </si>
  <si>
    <t>XETR</t>
  </si>
  <si>
    <t>MANDATUM</t>
  </si>
  <si>
    <t>XHEL</t>
  </si>
  <si>
    <t>QIAGEN NV</t>
  </si>
  <si>
    <t>FERROVIAL</t>
  </si>
  <si>
    <t>XMAD</t>
  </si>
  <si>
    <t>AROUNDTOWN SA</t>
  </si>
  <si>
    <t>CELLNEX TELECOM</t>
  </si>
  <si>
    <t>AENA SME</t>
  </si>
  <si>
    <t>MERLIN PROPERTIES</t>
  </si>
  <si>
    <t>ZALANDO SE</t>
  </si>
  <si>
    <t>COMMERZBANK AG</t>
  </si>
  <si>
    <t>BAYER AG</t>
  </si>
  <si>
    <t>FUCHS SE PREF</t>
  </si>
  <si>
    <t>DAIMLER TRUCK HLDNG</t>
  </si>
  <si>
    <t>AUTO1 GROUP SE</t>
  </si>
  <si>
    <t>DELIVERY HERO SE</t>
  </si>
  <si>
    <t>VONOVIA SE</t>
  </si>
  <si>
    <t>ADIDAS AG</t>
  </si>
  <si>
    <t>TUI AG</t>
  </si>
  <si>
    <t>TALANX AG</t>
  </si>
  <si>
    <t>SYMRISE AG</t>
  </si>
  <si>
    <t>SIEMENS HEALTHINEERS</t>
  </si>
  <si>
    <t>PORSCHE AG</t>
  </si>
  <si>
    <t>LEG IMMOBILIEN SE</t>
  </si>
  <si>
    <t>KION GROUP AG</t>
  </si>
  <si>
    <t>KNORR-BREMSE AG</t>
  </si>
  <si>
    <t>HENSOLDT AG</t>
  </si>
  <si>
    <t>FLATEXDEGIRO AG</t>
  </si>
  <si>
    <t>SCOUT24 SE</t>
  </si>
  <si>
    <t>METSO CORPORATION</t>
  </si>
  <si>
    <t>ORION OYJ CLASS B</t>
  </si>
  <si>
    <t>KONE OYJ</t>
  </si>
  <si>
    <t>ELISA OYJ</t>
  </si>
  <si>
    <t>UPM-KYMMENE OYJ</t>
  </si>
  <si>
    <t>STORA ENSO OYJ</t>
  </si>
  <si>
    <t>KONECRANES ABP</t>
  </si>
  <si>
    <t>VALMET</t>
  </si>
  <si>
    <t>SAMPO OYJ</t>
  </si>
  <si>
    <t>NORDEA BANK ABP</t>
  </si>
  <si>
    <t>CAIXABANK</t>
  </si>
  <si>
    <t>FLUIDRA</t>
  </si>
  <si>
    <t>ACERINOX SA</t>
  </si>
  <si>
    <t>INDITEX</t>
  </si>
  <si>
    <t>CORPORACION MAPFRE</t>
  </si>
  <si>
    <t>INDRA SISTEMAS SA</t>
  </si>
  <si>
    <t>BANCO SANTANDER CENT</t>
  </si>
  <si>
    <t>BANCO DE SABADELL</t>
  </si>
  <si>
    <t>BANKINTER SA</t>
  </si>
  <si>
    <t>BBVA</t>
  </si>
  <si>
    <t>AMADEUS IT GROUP</t>
  </si>
  <si>
    <t>ACCIONA</t>
  </si>
  <si>
    <t>NOKIA</t>
  </si>
  <si>
    <t>HUHTAMAKI OYJ</t>
  </si>
  <si>
    <t>KESKO B</t>
  </si>
  <si>
    <t>TELEFONICA</t>
  </si>
  <si>
    <t>REDEIA CORP</t>
  </si>
  <si>
    <t>GRIFOLS SA</t>
  </si>
  <si>
    <t>FREENET AG</t>
  </si>
  <si>
    <t>AURUBIS AG</t>
  </si>
  <si>
    <t>GEA GROUP AG</t>
  </si>
  <si>
    <t>MERCK KGA</t>
  </si>
  <si>
    <t>NEMETSCHEK SE</t>
  </si>
  <si>
    <t>INFINEON TECHNOLOGIE</t>
  </si>
  <si>
    <t>HENKEL AG &amp; CO PREF</t>
  </si>
  <si>
    <t>HEIDELBERG MAT</t>
  </si>
  <si>
    <t>DEUTSCHE BOERSE AG</t>
  </si>
  <si>
    <t>FRESENIUS MEDICAL</t>
  </si>
  <si>
    <t>FRESENIUS SE &amp; CO</t>
  </si>
  <si>
    <t>FRAPORT</t>
  </si>
  <si>
    <t>RATIONAL AG</t>
  </si>
  <si>
    <t>MTU AERO ENGINES AG</t>
  </si>
  <si>
    <t>NORDEX SE</t>
  </si>
  <si>
    <t>MUNICH RE</t>
  </si>
  <si>
    <t>ALLIANZ SE</t>
  </si>
  <si>
    <t>HANNOVER RUECK SE</t>
  </si>
  <si>
    <t>TAG IMMOBILIEN AG</t>
  </si>
  <si>
    <t>LUFTHANSA</t>
  </si>
  <si>
    <t>SARTORIUS AG PREF</t>
  </si>
  <si>
    <t>SAP</t>
  </si>
  <si>
    <t>MERCEDES-BENZ GROUP</t>
  </si>
  <si>
    <t>DEUTSCHE TELEKOM AG</t>
  </si>
  <si>
    <t>DEUTSCHE POST</t>
  </si>
  <si>
    <t>CTS EVENTIM AG</t>
  </si>
  <si>
    <t>CONTINENTAL AG</t>
  </si>
  <si>
    <t>BEIERSDORF AG</t>
  </si>
  <si>
    <t>BECHTLE AG</t>
  </si>
  <si>
    <t>DEUTSCHE BANK</t>
  </si>
  <si>
    <t>BMW</t>
  </si>
  <si>
    <t>WIENERBERGER AG</t>
  </si>
  <si>
    <t>VERBUND AG</t>
  </si>
  <si>
    <t>ERSTE GROUP BANK</t>
  </si>
  <si>
    <t>RAIFFEISEN BANK INTL</t>
  </si>
  <si>
    <t>BAWAG GROUP AG</t>
  </si>
  <si>
    <t>CTP</t>
  </si>
  <si>
    <t>XAMS</t>
  </si>
  <si>
    <t>RYANAIR HOLD. PLC</t>
  </si>
  <si>
    <t>XMSM</t>
  </si>
  <si>
    <t>ABIVAX</t>
  </si>
  <si>
    <t>XPAR</t>
  </si>
  <si>
    <t>LOTTOMATICA GROUP</t>
  </si>
  <si>
    <t>MTAA</t>
  </si>
  <si>
    <t>CVC CAPITAL</t>
  </si>
  <si>
    <t>TUBIZE-FIN</t>
  </si>
  <si>
    <t>XBRU</t>
  </si>
  <si>
    <t>UNIBAIL-RODAMCO-WE</t>
  </si>
  <si>
    <t>ALLFUNDS GROUP</t>
  </si>
  <si>
    <t>CAMPARI</t>
  </si>
  <si>
    <t>B.COM.PORTUGUES</t>
  </si>
  <si>
    <t>XLIS</t>
  </si>
  <si>
    <t>J.MARTINS,SGPS</t>
  </si>
  <si>
    <t>IVECO GROUP</t>
  </si>
  <si>
    <t>INPOST</t>
  </si>
  <si>
    <t>BAM GROEP KON</t>
  </si>
  <si>
    <t>ASM INTERNATIONAL</t>
  </si>
  <si>
    <t>STMICROELECTRONICS</t>
  </si>
  <si>
    <t>PHILIPS KON</t>
  </si>
  <si>
    <t>HEINEKEN</t>
  </si>
  <si>
    <t>KPN KON</t>
  </si>
  <si>
    <t>SES</t>
  </si>
  <si>
    <t>RANDSTAD NV</t>
  </si>
  <si>
    <t>WOLTERS KLUWER</t>
  </si>
  <si>
    <t>PROSUS</t>
  </si>
  <si>
    <t>AKZO NOBEL</t>
  </si>
  <si>
    <t>ADYEN</t>
  </si>
  <si>
    <t>BE SEMICONDUCTOR</t>
  </si>
  <si>
    <t>EXOR NV</t>
  </si>
  <si>
    <t>ASR NEDERLAND</t>
  </si>
  <si>
    <t>SIGNIFY NV</t>
  </si>
  <si>
    <t>JDE PEET'S</t>
  </si>
  <si>
    <t>UMG</t>
  </si>
  <si>
    <t>STELLANTIS</t>
  </si>
  <si>
    <t>ING GROEP N.V.</t>
  </si>
  <si>
    <t>AHOLD DEL</t>
  </si>
  <si>
    <t>EURONEXT</t>
  </si>
  <si>
    <t>ASML HOLDING</t>
  </si>
  <si>
    <t>FERRARI</t>
  </si>
  <si>
    <t>ABN AMRO BANK N.V.</t>
  </si>
  <si>
    <t>ARGENX SE</t>
  </si>
  <si>
    <t>IMCD</t>
  </si>
  <si>
    <t>NN GROUP</t>
  </si>
  <si>
    <t>EDP RENOVAVEIS</t>
  </si>
  <si>
    <t>DSM FIRMENICH AG</t>
  </si>
  <si>
    <t>VALEO</t>
  </si>
  <si>
    <t>SARTORIUS STED BIO</t>
  </si>
  <si>
    <t>ELIS</t>
  </si>
  <si>
    <t>FDJ UNITED</t>
  </si>
  <si>
    <t>BIOMERIEUX</t>
  </si>
  <si>
    <t>AYVENS</t>
  </si>
  <si>
    <t>ADP</t>
  </si>
  <si>
    <t>ARKEMA</t>
  </si>
  <si>
    <t>LEGRAND</t>
  </si>
  <si>
    <t>IPSEN</t>
  </si>
  <si>
    <t>ALSTOM</t>
  </si>
  <si>
    <t>EDENRED</t>
  </si>
  <si>
    <t>SCOR SE</t>
  </si>
  <si>
    <t>GETLINK SE</t>
  </si>
  <si>
    <t>REXEL</t>
  </si>
  <si>
    <t>EUROFINS SCIENT.</t>
  </si>
  <si>
    <t>DASSAULT SYSTEMES</t>
  </si>
  <si>
    <t>GECINA</t>
  </si>
  <si>
    <t>COVIVIO</t>
  </si>
  <si>
    <t>HERMES INTL</t>
  </si>
  <si>
    <t>TELEPERFORMANCE</t>
  </si>
  <si>
    <t>CREDIT AGRICOLE</t>
  </si>
  <si>
    <t>NEXANS</t>
  </si>
  <si>
    <t>ORANGE</t>
  </si>
  <si>
    <t>RENAULT</t>
  </si>
  <si>
    <t>BNP PARIBAS ACT.A</t>
  </si>
  <si>
    <t>SOCIETE GENERALE</t>
  </si>
  <si>
    <t>PUBLICIS GROUPE SA</t>
  </si>
  <si>
    <t>EIFFAGE</t>
  </si>
  <si>
    <t>AMUNDI</t>
  </si>
  <si>
    <t>KLEPIERRE</t>
  </si>
  <si>
    <t>SCHNEIDER ELECTRIC</t>
  </si>
  <si>
    <t>L'OREAL</t>
  </si>
  <si>
    <t>ESSILORLUXOTTICA</t>
  </si>
  <si>
    <t>KERING</t>
  </si>
  <si>
    <t>SODEXO</t>
  </si>
  <si>
    <t>WENDEL</t>
  </si>
  <si>
    <t>EURAZEO</t>
  </si>
  <si>
    <t>LVMH</t>
  </si>
  <si>
    <t>PERNOD RICARD</t>
  </si>
  <si>
    <t>DANONE</t>
  </si>
  <si>
    <t>AXA</t>
  </si>
  <si>
    <t>SANOFI</t>
  </si>
  <si>
    <t>BOUYGUES</t>
  </si>
  <si>
    <t>ACCOR</t>
  </si>
  <si>
    <t>KBC</t>
  </si>
  <si>
    <t>COFINIMMO</t>
  </si>
  <si>
    <t>UCB</t>
  </si>
  <si>
    <t>SOFINA</t>
  </si>
  <si>
    <t>LOTUS BAKERIES</t>
  </si>
  <si>
    <t>UMICORE</t>
  </si>
  <si>
    <t>AB INBEV</t>
  </si>
  <si>
    <t>WDP</t>
  </si>
  <si>
    <t>AEGON</t>
  </si>
  <si>
    <t>AEDIFICA</t>
  </si>
  <si>
    <t>ELIA GROUP</t>
  </si>
  <si>
    <t>GBL</t>
  </si>
  <si>
    <t>AGEAS</t>
  </si>
  <si>
    <t>D'IETEREN GROUP</t>
  </si>
  <si>
    <t>GLANBIA PLC</t>
  </si>
  <si>
    <t>KERRY GROUP PLC</t>
  </si>
  <si>
    <t>KINGSPAN GROUP PLC</t>
  </si>
  <si>
    <t>BANK OF IRELAND GP</t>
  </si>
  <si>
    <t>AIB GROUP PLC</t>
  </si>
  <si>
    <t>RELX</t>
  </si>
  <si>
    <t>NEXI</t>
  </si>
  <si>
    <t>REPLY</t>
  </si>
  <si>
    <t>PIRELLI &amp; C</t>
  </si>
  <si>
    <t>BANCA MONTE PASCHI SIENA</t>
  </si>
  <si>
    <t>MONCLER</t>
  </si>
  <si>
    <t>UNIPOL</t>
  </si>
  <si>
    <t>BANCA MEDIOLANUM</t>
  </si>
  <si>
    <t>BRUNELLO CUCINELLI</t>
  </si>
  <si>
    <t>UNICREDIT</t>
  </si>
  <si>
    <t>BANCO BPM</t>
  </si>
  <si>
    <t>INWIT</t>
  </si>
  <si>
    <t>TERNA</t>
  </si>
  <si>
    <t>AZIMUT</t>
  </si>
  <si>
    <t>RECORDATI ORD</t>
  </si>
  <si>
    <t>TELECOM ITALIA</t>
  </si>
  <si>
    <t>POSTE ITALIANE</t>
  </si>
  <si>
    <t>INTESA SANPAOLO</t>
  </si>
  <si>
    <t>FINECOBANK</t>
  </si>
  <si>
    <t>BPER BANCA</t>
  </si>
  <si>
    <t>GENERALI</t>
  </si>
  <si>
    <t>MEDIOBANCA</t>
  </si>
  <si>
    <t>BANCA GENERALI</t>
  </si>
  <si>
    <t>BUZZI</t>
  </si>
  <si>
    <t>INTERPUMP GROUP</t>
  </si>
  <si>
    <t>UNILEVER</t>
  </si>
  <si>
    <t>Eurozone S25</t>
  </si>
  <si>
    <t>EZ S25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</si>
</sst>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2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92AD-6714-46FA-AA95-B0DA52E82975}">
  <dimension ref="A1:C398"/>
  <sheetViews>
    <sheetView workbookViewId="0"/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s="2" t="s">
        <v>3</v>
      </c>
      <c r="B2" t="s">
        <v>399</v>
      </c>
      <c r="C2" s="1">
        <v>1</v>
      </c>
    </row>
    <row r="3" spans="1:3" x14ac:dyDescent="0.25">
      <c r="A3" s="2" t="s">
        <v>4</v>
      </c>
      <c r="B3" t="s">
        <v>400</v>
      </c>
      <c r="C3" s="1">
        <v>0</v>
      </c>
    </row>
    <row r="4" spans="1:3" x14ac:dyDescent="0.25">
      <c r="A4" s="2" t="s">
        <v>5</v>
      </c>
      <c r="B4" t="s">
        <v>399</v>
      </c>
      <c r="C4" s="1">
        <v>1</v>
      </c>
    </row>
    <row r="5" spans="1:3" x14ac:dyDescent="0.25">
      <c r="A5" s="2" t="s">
        <v>6</v>
      </c>
      <c r="B5" t="s">
        <v>401</v>
      </c>
      <c r="C5" s="1">
        <v>0</v>
      </c>
    </row>
    <row r="6" spans="1:3" x14ac:dyDescent="0.25">
      <c r="A6" s="2" t="s">
        <v>7</v>
      </c>
      <c r="B6" t="s">
        <v>402</v>
      </c>
      <c r="C6" s="1">
        <v>0.28999999999999998</v>
      </c>
    </row>
    <row r="7" spans="1:3" x14ac:dyDescent="0.25">
      <c r="A7" s="2" t="s">
        <v>8</v>
      </c>
      <c r="B7" t="s">
        <v>400</v>
      </c>
      <c r="C7" s="1">
        <v>0</v>
      </c>
    </row>
    <row r="8" spans="1:3" x14ac:dyDescent="0.25">
      <c r="A8" s="2" t="s">
        <v>9</v>
      </c>
      <c r="B8" t="s">
        <v>403</v>
      </c>
      <c r="C8" s="1">
        <v>0.73</v>
      </c>
    </row>
    <row r="9" spans="1:3" x14ac:dyDescent="0.25">
      <c r="A9" s="2" t="s">
        <v>10</v>
      </c>
      <c r="B9" t="s">
        <v>400</v>
      </c>
      <c r="C9" s="1">
        <v>0</v>
      </c>
    </row>
    <row r="10" spans="1:3" x14ac:dyDescent="0.25">
      <c r="A10" s="2" t="s">
        <v>11</v>
      </c>
      <c r="B10" t="s">
        <v>400</v>
      </c>
      <c r="C10" s="1">
        <v>0</v>
      </c>
    </row>
    <row r="11" spans="1:3" x14ac:dyDescent="0.25">
      <c r="A11" s="2" t="s">
        <v>12</v>
      </c>
      <c r="B11" t="s">
        <v>400</v>
      </c>
      <c r="C11" s="1">
        <v>0</v>
      </c>
    </row>
    <row r="12" spans="1:3" x14ac:dyDescent="0.25">
      <c r="A12" s="2" t="s">
        <v>13</v>
      </c>
      <c r="B12" t="s">
        <v>401</v>
      </c>
      <c r="C12" s="1">
        <v>0</v>
      </c>
    </row>
    <row r="13" spans="1:3" x14ac:dyDescent="0.25">
      <c r="A13" s="2" t="s">
        <v>14</v>
      </c>
      <c r="B13" t="s">
        <v>401</v>
      </c>
      <c r="C13" s="1">
        <v>0</v>
      </c>
    </row>
    <row r="14" spans="1:3" x14ac:dyDescent="0.25">
      <c r="A14" s="2" t="s">
        <v>15</v>
      </c>
      <c r="B14" t="s">
        <v>401</v>
      </c>
      <c r="C14" s="1">
        <v>0</v>
      </c>
    </row>
    <row r="15" spans="1:3" x14ac:dyDescent="0.25">
      <c r="A15" s="2" t="s">
        <v>16</v>
      </c>
      <c r="B15" t="s">
        <v>400</v>
      </c>
      <c r="C15" s="1">
        <v>0</v>
      </c>
    </row>
    <row r="16" spans="1:3" x14ac:dyDescent="0.25">
      <c r="A16" s="2" t="s">
        <v>17</v>
      </c>
      <c r="B16" t="s">
        <v>400</v>
      </c>
      <c r="C16" s="1">
        <v>0</v>
      </c>
    </row>
    <row r="17" spans="1:3" x14ac:dyDescent="0.25">
      <c r="A17" s="2" t="s">
        <v>1545</v>
      </c>
      <c r="B17" t="s">
        <v>400</v>
      </c>
      <c r="C17" s="1">
        <v>0</v>
      </c>
    </row>
    <row r="18" spans="1:3" x14ac:dyDescent="0.25">
      <c r="A18" s="2" t="s">
        <v>18</v>
      </c>
      <c r="B18" t="s">
        <v>404</v>
      </c>
      <c r="C18" s="1">
        <v>0.74</v>
      </c>
    </row>
    <row r="19" spans="1:3" x14ac:dyDescent="0.25">
      <c r="A19" s="2" t="s">
        <v>19</v>
      </c>
      <c r="B19" t="s">
        <v>400</v>
      </c>
      <c r="C19" s="1">
        <v>0</v>
      </c>
    </row>
    <row r="20" spans="1:3" x14ac:dyDescent="0.25">
      <c r="A20" s="2" t="s">
        <v>20</v>
      </c>
      <c r="B20" t="s">
        <v>400</v>
      </c>
      <c r="C20" s="1">
        <v>0</v>
      </c>
    </row>
    <row r="21" spans="1:3" x14ac:dyDescent="0.25">
      <c r="A21" s="2" t="s">
        <v>21</v>
      </c>
      <c r="B21" t="s">
        <v>400</v>
      </c>
      <c r="C21" s="1">
        <v>0</v>
      </c>
    </row>
    <row r="22" spans="1:3" x14ac:dyDescent="0.25">
      <c r="A22" s="2" t="s">
        <v>22</v>
      </c>
      <c r="B22" t="s">
        <v>401</v>
      </c>
      <c r="C22" s="1">
        <v>0</v>
      </c>
    </row>
    <row r="23" spans="1:3" x14ac:dyDescent="0.25">
      <c r="A23" s="2" t="s">
        <v>23</v>
      </c>
      <c r="B23" t="s">
        <v>401</v>
      </c>
      <c r="C23" s="1">
        <v>0</v>
      </c>
    </row>
    <row r="24" spans="1:3" x14ac:dyDescent="0.25">
      <c r="A24" s="2" t="s">
        <v>24</v>
      </c>
      <c r="B24" t="s">
        <v>401</v>
      </c>
      <c r="C24" s="1">
        <v>0</v>
      </c>
    </row>
    <row r="25" spans="1:3" x14ac:dyDescent="0.25">
      <c r="A25" s="2" t="s">
        <v>25</v>
      </c>
      <c r="B25" t="s">
        <v>401</v>
      </c>
      <c r="C25" s="1">
        <v>0</v>
      </c>
    </row>
    <row r="26" spans="1:3" x14ac:dyDescent="0.25">
      <c r="A26" s="2" t="s">
        <v>26</v>
      </c>
      <c r="B26" t="s">
        <v>400</v>
      </c>
      <c r="C26" s="1">
        <v>0</v>
      </c>
    </row>
    <row r="27" spans="1:3" x14ac:dyDescent="0.25">
      <c r="A27" s="2" t="s">
        <v>27</v>
      </c>
      <c r="B27" t="s">
        <v>400</v>
      </c>
      <c r="C27" s="1">
        <v>0</v>
      </c>
    </row>
    <row r="28" spans="1:3" x14ac:dyDescent="0.25">
      <c r="A28" s="2" t="s">
        <v>28</v>
      </c>
      <c r="B28" t="s">
        <v>400</v>
      </c>
      <c r="C28" s="1">
        <v>0</v>
      </c>
    </row>
    <row r="29" spans="1:3" x14ac:dyDescent="0.25">
      <c r="A29" s="2" t="s">
        <v>29</v>
      </c>
      <c r="B29" t="s">
        <v>400</v>
      </c>
      <c r="C29" s="1">
        <v>0</v>
      </c>
    </row>
    <row r="30" spans="1:3" x14ac:dyDescent="0.25">
      <c r="A30" s="2" t="s">
        <v>30</v>
      </c>
      <c r="B30" t="s">
        <v>401</v>
      </c>
      <c r="C30" s="1">
        <v>0</v>
      </c>
    </row>
    <row r="31" spans="1:3" x14ac:dyDescent="0.25">
      <c r="A31" s="2" t="s">
        <v>31</v>
      </c>
      <c r="B31" t="s">
        <v>401</v>
      </c>
      <c r="C31" s="1">
        <v>0</v>
      </c>
    </row>
    <row r="32" spans="1:3" x14ac:dyDescent="0.25">
      <c r="A32" s="2" t="s">
        <v>32</v>
      </c>
      <c r="B32" t="s">
        <v>403</v>
      </c>
      <c r="C32" s="1">
        <v>0.22</v>
      </c>
    </row>
    <row r="33" spans="1:3" x14ac:dyDescent="0.25">
      <c r="A33" s="2" t="s">
        <v>33</v>
      </c>
      <c r="B33" t="s">
        <v>400</v>
      </c>
      <c r="C33" s="1">
        <v>0</v>
      </c>
    </row>
    <row r="34" spans="1:3" x14ac:dyDescent="0.25">
      <c r="A34" s="2" t="s">
        <v>34</v>
      </c>
      <c r="B34" t="s">
        <v>401</v>
      </c>
      <c r="C34" s="1">
        <v>0</v>
      </c>
    </row>
    <row r="35" spans="1:3" x14ac:dyDescent="0.25">
      <c r="A35" s="2" t="s">
        <v>35</v>
      </c>
      <c r="B35" t="s">
        <v>401</v>
      </c>
      <c r="C35" s="1">
        <v>0</v>
      </c>
    </row>
    <row r="36" spans="1:3" x14ac:dyDescent="0.25">
      <c r="A36" s="2" t="s">
        <v>36</v>
      </c>
      <c r="B36" t="s">
        <v>400</v>
      </c>
      <c r="C36" s="1">
        <v>0</v>
      </c>
    </row>
    <row r="37" spans="1:3" x14ac:dyDescent="0.25">
      <c r="A37" s="2" t="s">
        <v>37</v>
      </c>
      <c r="B37" t="s">
        <v>401</v>
      </c>
      <c r="C37" s="1">
        <v>0</v>
      </c>
    </row>
    <row r="38" spans="1:3" x14ac:dyDescent="0.25">
      <c r="A38" s="2" t="s">
        <v>38</v>
      </c>
      <c r="B38" t="s">
        <v>400</v>
      </c>
      <c r="C38" s="1">
        <v>0</v>
      </c>
    </row>
    <row r="39" spans="1:3" x14ac:dyDescent="0.25">
      <c r="A39" s="2" t="s">
        <v>39</v>
      </c>
      <c r="B39" t="s">
        <v>401</v>
      </c>
      <c r="C39" s="1">
        <v>0</v>
      </c>
    </row>
    <row r="40" spans="1:3" x14ac:dyDescent="0.25">
      <c r="A40" s="2" t="s">
        <v>40</v>
      </c>
      <c r="B40" t="s">
        <v>405</v>
      </c>
      <c r="C40" s="1">
        <v>0.19</v>
      </c>
    </row>
    <row r="41" spans="1:3" x14ac:dyDescent="0.25">
      <c r="A41" s="2" t="s">
        <v>41</v>
      </c>
      <c r="B41" t="s">
        <v>400</v>
      </c>
      <c r="C41" s="1">
        <v>0</v>
      </c>
    </row>
    <row r="42" spans="1:3" x14ac:dyDescent="0.25">
      <c r="A42" s="2" t="s">
        <v>42</v>
      </c>
      <c r="B42" t="s">
        <v>400</v>
      </c>
      <c r="C42" s="1">
        <v>0</v>
      </c>
    </row>
    <row r="43" spans="1:3" x14ac:dyDescent="0.25">
      <c r="A43" s="2" t="s">
        <v>43</v>
      </c>
      <c r="B43" t="s">
        <v>401</v>
      </c>
      <c r="C43" s="1">
        <v>0</v>
      </c>
    </row>
    <row r="44" spans="1:3" x14ac:dyDescent="0.25">
      <c r="A44" s="2" t="s">
        <v>44</v>
      </c>
      <c r="B44" t="s">
        <v>400</v>
      </c>
      <c r="C44" s="1">
        <v>0</v>
      </c>
    </row>
    <row r="45" spans="1:3" x14ac:dyDescent="0.25">
      <c r="A45" s="2" t="s">
        <v>45</v>
      </c>
      <c r="B45" t="s">
        <v>400</v>
      </c>
      <c r="C45" s="1">
        <v>0</v>
      </c>
    </row>
    <row r="46" spans="1:3" x14ac:dyDescent="0.25">
      <c r="A46" s="2" t="s">
        <v>46</v>
      </c>
      <c r="B46" t="s">
        <v>401</v>
      </c>
      <c r="C46" s="1">
        <v>0</v>
      </c>
    </row>
    <row r="47" spans="1:3" x14ac:dyDescent="0.25">
      <c r="A47" s="2" t="s">
        <v>47</v>
      </c>
      <c r="B47" t="s">
        <v>401</v>
      </c>
      <c r="C47" s="1">
        <v>0</v>
      </c>
    </row>
    <row r="48" spans="1:3" x14ac:dyDescent="0.25">
      <c r="A48" s="2" t="s">
        <v>48</v>
      </c>
      <c r="B48" t="s">
        <v>401</v>
      </c>
      <c r="C48" s="1">
        <v>0</v>
      </c>
    </row>
    <row r="49" spans="1:3" x14ac:dyDescent="0.25">
      <c r="A49" s="2" t="s">
        <v>49</v>
      </c>
      <c r="B49" t="s">
        <v>405</v>
      </c>
      <c r="C49" s="1">
        <v>0.15</v>
      </c>
    </row>
    <row r="50" spans="1:3" x14ac:dyDescent="0.25">
      <c r="A50" s="2" t="s">
        <v>50</v>
      </c>
      <c r="B50" t="s">
        <v>401</v>
      </c>
      <c r="C50" s="1">
        <v>0</v>
      </c>
    </row>
    <row r="51" spans="1:3" x14ac:dyDescent="0.25">
      <c r="A51" s="2" t="s">
        <v>51</v>
      </c>
      <c r="B51" t="s">
        <v>400</v>
      </c>
      <c r="C51" s="1">
        <v>0</v>
      </c>
    </row>
    <row r="52" spans="1:3" x14ac:dyDescent="0.25">
      <c r="A52" s="2" t="s">
        <v>52</v>
      </c>
      <c r="B52" t="s">
        <v>401</v>
      </c>
      <c r="C52" s="1">
        <v>0</v>
      </c>
    </row>
    <row r="53" spans="1:3" x14ac:dyDescent="0.25">
      <c r="A53" s="2" t="s">
        <v>53</v>
      </c>
      <c r="B53" t="s">
        <v>401</v>
      </c>
      <c r="C53" s="1">
        <v>0</v>
      </c>
    </row>
    <row r="54" spans="1:3" x14ac:dyDescent="0.25">
      <c r="A54" s="2" t="s">
        <v>54</v>
      </c>
      <c r="B54" t="s">
        <v>401</v>
      </c>
      <c r="C54" s="1">
        <v>0</v>
      </c>
    </row>
    <row r="55" spans="1:3" x14ac:dyDescent="0.25">
      <c r="A55" s="2" t="s">
        <v>55</v>
      </c>
      <c r="B55" t="s">
        <v>401</v>
      </c>
      <c r="C55" s="1">
        <v>0</v>
      </c>
    </row>
    <row r="56" spans="1:3" x14ac:dyDescent="0.25">
      <c r="A56" s="2" t="s">
        <v>56</v>
      </c>
      <c r="B56" t="s">
        <v>399</v>
      </c>
      <c r="C56" s="1">
        <v>0.34</v>
      </c>
    </row>
    <row r="57" spans="1:3" x14ac:dyDescent="0.25">
      <c r="A57" s="2" t="s">
        <v>57</v>
      </c>
      <c r="B57" t="s">
        <v>401</v>
      </c>
      <c r="C57" s="1">
        <v>0</v>
      </c>
    </row>
    <row r="58" spans="1:3" x14ac:dyDescent="0.25">
      <c r="A58" s="2" t="s">
        <v>58</v>
      </c>
      <c r="B58" t="s">
        <v>400</v>
      </c>
      <c r="C58" s="1">
        <v>0</v>
      </c>
    </row>
    <row r="59" spans="1:3" x14ac:dyDescent="0.25">
      <c r="A59" s="2" t="s">
        <v>59</v>
      </c>
      <c r="B59" t="s">
        <v>400</v>
      </c>
      <c r="C59" s="1">
        <v>0</v>
      </c>
    </row>
    <row r="60" spans="1:3" x14ac:dyDescent="0.25">
      <c r="A60" s="2" t="s">
        <v>60</v>
      </c>
      <c r="B60" t="s">
        <v>400</v>
      </c>
      <c r="C60" s="1">
        <v>0</v>
      </c>
    </row>
    <row r="61" spans="1:3" x14ac:dyDescent="0.25">
      <c r="A61" s="2" t="s">
        <v>61</v>
      </c>
      <c r="B61" t="s">
        <v>403</v>
      </c>
      <c r="C61" s="1">
        <v>0.73</v>
      </c>
    </row>
    <row r="62" spans="1:3" x14ac:dyDescent="0.25">
      <c r="A62" s="2" t="s">
        <v>62</v>
      </c>
      <c r="B62" t="s">
        <v>405</v>
      </c>
      <c r="C62" s="1">
        <v>0.34</v>
      </c>
    </row>
    <row r="63" spans="1:3" x14ac:dyDescent="0.25">
      <c r="A63" s="2" t="s">
        <v>63</v>
      </c>
      <c r="B63" t="s">
        <v>400</v>
      </c>
      <c r="C63" s="1">
        <v>0</v>
      </c>
    </row>
    <row r="64" spans="1:3" x14ac:dyDescent="0.25">
      <c r="A64" s="2" t="s">
        <v>64</v>
      </c>
      <c r="B64" t="s">
        <v>401</v>
      </c>
      <c r="C64" s="1">
        <v>0</v>
      </c>
    </row>
    <row r="65" spans="1:3" x14ac:dyDescent="0.25">
      <c r="A65" s="2" t="s">
        <v>65</v>
      </c>
      <c r="B65" t="s">
        <v>400</v>
      </c>
      <c r="C65" s="1">
        <v>0</v>
      </c>
    </row>
    <row r="66" spans="1:3" x14ac:dyDescent="0.25">
      <c r="A66" s="2" t="s">
        <v>66</v>
      </c>
      <c r="B66" t="s">
        <v>401</v>
      </c>
      <c r="C66" s="1">
        <v>0</v>
      </c>
    </row>
    <row r="67" spans="1:3" x14ac:dyDescent="0.25">
      <c r="A67" s="2" t="s">
        <v>67</v>
      </c>
      <c r="B67" t="s">
        <v>400</v>
      </c>
      <c r="C67" s="1">
        <v>0</v>
      </c>
    </row>
    <row r="68" spans="1:3" x14ac:dyDescent="0.25">
      <c r="A68" s="2" t="s">
        <v>68</v>
      </c>
      <c r="B68" t="s">
        <v>401</v>
      </c>
      <c r="C68" s="1">
        <v>0</v>
      </c>
    </row>
    <row r="69" spans="1:3" x14ac:dyDescent="0.25">
      <c r="A69" s="2" t="s">
        <v>69</v>
      </c>
      <c r="B69" t="s">
        <v>400</v>
      </c>
      <c r="C69" s="1">
        <v>0</v>
      </c>
    </row>
    <row r="70" spans="1:3" x14ac:dyDescent="0.25">
      <c r="A70" s="2" t="s">
        <v>70</v>
      </c>
      <c r="B70" t="s">
        <v>404</v>
      </c>
      <c r="C70" s="1">
        <v>0.75</v>
      </c>
    </row>
    <row r="71" spans="1:3" x14ac:dyDescent="0.25">
      <c r="A71" s="2" t="s">
        <v>71</v>
      </c>
      <c r="B71" t="s">
        <v>400</v>
      </c>
      <c r="C71" s="1">
        <v>0</v>
      </c>
    </row>
    <row r="72" spans="1:3" x14ac:dyDescent="0.25">
      <c r="A72" s="2" t="s">
        <v>72</v>
      </c>
      <c r="B72" t="s">
        <v>400</v>
      </c>
      <c r="C72" s="1">
        <v>0</v>
      </c>
    </row>
    <row r="73" spans="1:3" x14ac:dyDescent="0.25">
      <c r="A73" s="2" t="s">
        <v>73</v>
      </c>
      <c r="B73" t="s">
        <v>400</v>
      </c>
      <c r="C73" s="1">
        <v>0</v>
      </c>
    </row>
    <row r="74" spans="1:3" x14ac:dyDescent="0.25">
      <c r="A74" s="2" t="s">
        <v>74</v>
      </c>
      <c r="B74" t="s">
        <v>399</v>
      </c>
      <c r="C74" s="1">
        <v>0.72</v>
      </c>
    </row>
    <row r="75" spans="1:3" x14ac:dyDescent="0.25">
      <c r="A75" s="2" t="s">
        <v>75</v>
      </c>
      <c r="B75" t="s">
        <v>401</v>
      </c>
      <c r="C75" s="1">
        <v>0</v>
      </c>
    </row>
    <row r="76" spans="1:3" x14ac:dyDescent="0.25">
      <c r="A76" s="2" t="s">
        <v>76</v>
      </c>
      <c r="B76" t="s">
        <v>399</v>
      </c>
      <c r="C76" s="1">
        <v>0.34</v>
      </c>
    </row>
    <row r="77" spans="1:3" x14ac:dyDescent="0.25">
      <c r="A77" s="2" t="s">
        <v>77</v>
      </c>
      <c r="B77" t="s">
        <v>400</v>
      </c>
      <c r="C77" s="1">
        <v>0</v>
      </c>
    </row>
    <row r="78" spans="1:3" x14ac:dyDescent="0.25">
      <c r="A78" s="2" t="s">
        <v>78</v>
      </c>
      <c r="B78" t="s">
        <v>400</v>
      </c>
      <c r="C78" s="1">
        <v>0</v>
      </c>
    </row>
    <row r="79" spans="1:3" x14ac:dyDescent="0.25">
      <c r="A79" s="2" t="s">
        <v>79</v>
      </c>
      <c r="B79" t="s">
        <v>401</v>
      </c>
      <c r="C79" s="1">
        <v>0</v>
      </c>
    </row>
    <row r="80" spans="1:3" x14ac:dyDescent="0.25">
      <c r="A80" s="2" t="s">
        <v>80</v>
      </c>
      <c r="B80" t="s">
        <v>401</v>
      </c>
      <c r="C80" s="1">
        <v>0</v>
      </c>
    </row>
    <row r="81" spans="1:3" x14ac:dyDescent="0.25">
      <c r="A81" s="2" t="s">
        <v>81</v>
      </c>
      <c r="B81" t="s">
        <v>401</v>
      </c>
      <c r="C81" s="1">
        <v>0</v>
      </c>
    </row>
    <row r="82" spans="1:3" x14ac:dyDescent="0.25">
      <c r="A82" s="2" t="s">
        <v>82</v>
      </c>
      <c r="B82" t="s">
        <v>401</v>
      </c>
      <c r="C82" s="1">
        <v>0</v>
      </c>
    </row>
    <row r="83" spans="1:3" x14ac:dyDescent="0.25">
      <c r="A83" s="2" t="s">
        <v>83</v>
      </c>
      <c r="B83" t="s">
        <v>401</v>
      </c>
      <c r="C83" s="1">
        <v>0</v>
      </c>
    </row>
    <row r="84" spans="1:3" x14ac:dyDescent="0.25">
      <c r="A84" s="2" t="s">
        <v>84</v>
      </c>
      <c r="B84" t="s">
        <v>400</v>
      </c>
      <c r="C84" s="1">
        <v>0</v>
      </c>
    </row>
    <row r="85" spans="1:3" x14ac:dyDescent="0.25">
      <c r="A85" s="2" t="s">
        <v>85</v>
      </c>
      <c r="B85" t="s">
        <v>400</v>
      </c>
      <c r="C85" s="1">
        <v>0</v>
      </c>
    </row>
    <row r="86" spans="1:3" x14ac:dyDescent="0.25">
      <c r="A86" s="2" t="s">
        <v>86</v>
      </c>
      <c r="B86" t="s">
        <v>400</v>
      </c>
      <c r="C86" s="1">
        <v>0</v>
      </c>
    </row>
    <row r="87" spans="1:3" x14ac:dyDescent="0.25">
      <c r="A87" s="2" t="s">
        <v>87</v>
      </c>
      <c r="B87" t="s">
        <v>401</v>
      </c>
      <c r="C87" s="1">
        <v>0</v>
      </c>
    </row>
    <row r="88" spans="1:3" x14ac:dyDescent="0.25">
      <c r="A88" s="2" t="s">
        <v>88</v>
      </c>
      <c r="B88" t="s">
        <v>403</v>
      </c>
      <c r="C88" s="1">
        <v>0.6</v>
      </c>
    </row>
    <row r="89" spans="1:3" x14ac:dyDescent="0.25">
      <c r="A89" s="2" t="s">
        <v>89</v>
      </c>
      <c r="B89" t="s">
        <v>400</v>
      </c>
      <c r="C89" s="1">
        <v>0</v>
      </c>
    </row>
    <row r="90" spans="1:3" x14ac:dyDescent="0.25">
      <c r="A90" s="2" t="s">
        <v>90</v>
      </c>
      <c r="B90" t="s">
        <v>401</v>
      </c>
      <c r="C90" s="1">
        <v>0</v>
      </c>
    </row>
    <row r="91" spans="1:3" x14ac:dyDescent="0.25">
      <c r="A91" s="2" t="s">
        <v>91</v>
      </c>
      <c r="B91" t="s">
        <v>405</v>
      </c>
      <c r="C91" s="1">
        <v>0.21</v>
      </c>
    </row>
    <row r="92" spans="1:3" x14ac:dyDescent="0.25">
      <c r="A92" s="2" t="s">
        <v>92</v>
      </c>
      <c r="B92" t="s">
        <v>400</v>
      </c>
      <c r="C92" s="1">
        <v>0</v>
      </c>
    </row>
    <row r="93" spans="1:3" x14ac:dyDescent="0.25">
      <c r="A93" s="2" t="s">
        <v>93</v>
      </c>
      <c r="B93" t="s">
        <v>399</v>
      </c>
      <c r="C93" s="1">
        <v>1</v>
      </c>
    </row>
    <row r="94" spans="1:3" x14ac:dyDescent="0.25">
      <c r="A94" s="2" t="s">
        <v>94</v>
      </c>
      <c r="B94" t="s">
        <v>401</v>
      </c>
      <c r="C94" s="1">
        <v>0</v>
      </c>
    </row>
    <row r="95" spans="1:3" x14ac:dyDescent="0.25">
      <c r="A95" s="2" t="s">
        <v>95</v>
      </c>
      <c r="B95" t="s">
        <v>399</v>
      </c>
      <c r="C95" s="1">
        <v>0.49</v>
      </c>
    </row>
    <row r="96" spans="1:3" x14ac:dyDescent="0.25">
      <c r="A96" s="2" t="s">
        <v>96</v>
      </c>
      <c r="B96" t="s">
        <v>401</v>
      </c>
      <c r="C96" s="1">
        <v>0</v>
      </c>
    </row>
    <row r="97" spans="1:3" x14ac:dyDescent="0.25">
      <c r="A97" s="2" t="s">
        <v>97</v>
      </c>
      <c r="B97" t="s">
        <v>400</v>
      </c>
      <c r="C97" s="1">
        <v>0</v>
      </c>
    </row>
    <row r="98" spans="1:3" x14ac:dyDescent="0.25">
      <c r="A98" s="2" t="s">
        <v>98</v>
      </c>
      <c r="B98" t="s">
        <v>403</v>
      </c>
      <c r="C98" s="1">
        <v>0.4</v>
      </c>
    </row>
    <row r="99" spans="1:3" x14ac:dyDescent="0.25">
      <c r="A99" s="2" t="s">
        <v>99</v>
      </c>
      <c r="B99" t="s">
        <v>401</v>
      </c>
      <c r="C99" s="1">
        <v>0</v>
      </c>
    </row>
    <row r="100" spans="1:3" x14ac:dyDescent="0.25">
      <c r="A100" s="2" t="s">
        <v>100</v>
      </c>
      <c r="B100" t="s">
        <v>401</v>
      </c>
      <c r="C100" s="1">
        <v>0</v>
      </c>
    </row>
    <row r="101" spans="1:3" x14ac:dyDescent="0.25">
      <c r="A101" s="2" t="s">
        <v>101</v>
      </c>
      <c r="B101" t="s">
        <v>400</v>
      </c>
      <c r="C101" s="1">
        <v>0</v>
      </c>
    </row>
    <row r="102" spans="1:3" x14ac:dyDescent="0.25">
      <c r="A102" s="2" t="s">
        <v>102</v>
      </c>
      <c r="B102" t="s">
        <v>400</v>
      </c>
      <c r="C102" s="1">
        <v>0</v>
      </c>
    </row>
    <row r="103" spans="1:3" x14ac:dyDescent="0.25">
      <c r="A103" s="2" t="s">
        <v>103</v>
      </c>
      <c r="B103" t="s">
        <v>403</v>
      </c>
      <c r="C103" s="1">
        <v>0.25</v>
      </c>
    </row>
    <row r="104" spans="1:3" x14ac:dyDescent="0.25">
      <c r="A104" s="2" t="s">
        <v>104</v>
      </c>
      <c r="B104" t="s">
        <v>400</v>
      </c>
      <c r="C104" s="1">
        <v>0</v>
      </c>
    </row>
    <row r="105" spans="1:3" x14ac:dyDescent="0.25">
      <c r="A105" s="2" t="s">
        <v>105</v>
      </c>
      <c r="B105" t="s">
        <v>401</v>
      </c>
      <c r="C105" s="1">
        <v>0</v>
      </c>
    </row>
    <row r="106" spans="1:3" x14ac:dyDescent="0.25">
      <c r="A106" s="2" t="s">
        <v>106</v>
      </c>
      <c r="B106" t="s">
        <v>400</v>
      </c>
      <c r="C106" s="1">
        <v>0</v>
      </c>
    </row>
    <row r="107" spans="1:3" x14ac:dyDescent="0.25">
      <c r="A107" s="2" t="s">
        <v>107</v>
      </c>
      <c r="B107" t="s">
        <v>401</v>
      </c>
      <c r="C107" s="1">
        <v>0</v>
      </c>
    </row>
    <row r="108" spans="1:3" x14ac:dyDescent="0.25">
      <c r="A108" s="2" t="s">
        <v>108</v>
      </c>
      <c r="B108" t="s">
        <v>400</v>
      </c>
      <c r="C108" s="1">
        <v>0</v>
      </c>
    </row>
    <row r="109" spans="1:3" x14ac:dyDescent="0.25">
      <c r="A109" s="2" t="s">
        <v>109</v>
      </c>
      <c r="B109" t="s">
        <v>400</v>
      </c>
      <c r="C109" s="1">
        <v>0</v>
      </c>
    </row>
    <row r="110" spans="1:3" x14ac:dyDescent="0.25">
      <c r="A110" s="2" t="s">
        <v>110</v>
      </c>
      <c r="B110" t="s">
        <v>400</v>
      </c>
      <c r="C110" s="1">
        <v>0</v>
      </c>
    </row>
    <row r="111" spans="1:3" x14ac:dyDescent="0.25">
      <c r="A111" s="2" t="s">
        <v>111</v>
      </c>
      <c r="B111" t="s">
        <v>400</v>
      </c>
      <c r="C111" s="1">
        <v>0</v>
      </c>
    </row>
    <row r="112" spans="1:3" x14ac:dyDescent="0.25">
      <c r="A112" s="2" t="s">
        <v>112</v>
      </c>
      <c r="B112" t="s">
        <v>401</v>
      </c>
      <c r="C112" s="1">
        <v>0</v>
      </c>
    </row>
    <row r="113" spans="1:3" x14ac:dyDescent="0.25">
      <c r="A113" s="2" t="s">
        <v>113</v>
      </c>
      <c r="B113" t="s">
        <v>400</v>
      </c>
      <c r="C113" s="1">
        <v>0</v>
      </c>
    </row>
    <row r="114" spans="1:3" x14ac:dyDescent="0.25">
      <c r="A114" s="2" t="s">
        <v>114</v>
      </c>
      <c r="B114" t="s">
        <v>401</v>
      </c>
      <c r="C114" s="1">
        <v>0</v>
      </c>
    </row>
    <row r="115" spans="1:3" x14ac:dyDescent="0.25">
      <c r="A115" s="2" t="s">
        <v>115</v>
      </c>
      <c r="B115" t="s">
        <v>406</v>
      </c>
      <c r="C115" s="1">
        <v>0.24</v>
      </c>
    </row>
    <row r="116" spans="1:3" x14ac:dyDescent="0.25">
      <c r="A116" s="2" t="s">
        <v>116</v>
      </c>
      <c r="B116" t="s">
        <v>401</v>
      </c>
      <c r="C116" s="1">
        <v>0</v>
      </c>
    </row>
    <row r="117" spans="1:3" x14ac:dyDescent="0.25">
      <c r="A117" s="2" t="s">
        <v>117</v>
      </c>
      <c r="B117" t="s">
        <v>401</v>
      </c>
      <c r="C117" s="1">
        <v>0</v>
      </c>
    </row>
    <row r="118" spans="1:3" x14ac:dyDescent="0.25">
      <c r="A118" s="2" t="s">
        <v>118</v>
      </c>
      <c r="B118" t="s">
        <v>407</v>
      </c>
      <c r="C118" s="1">
        <v>1</v>
      </c>
    </row>
    <row r="119" spans="1:3" x14ac:dyDescent="0.25">
      <c r="A119" s="2" t="s">
        <v>119</v>
      </c>
      <c r="B119" t="s">
        <v>400</v>
      </c>
      <c r="C119" s="1">
        <v>0</v>
      </c>
    </row>
    <row r="120" spans="1:3" x14ac:dyDescent="0.25">
      <c r="A120" s="2" t="s">
        <v>120</v>
      </c>
      <c r="B120" t="s">
        <v>401</v>
      </c>
      <c r="C120" s="1">
        <v>0</v>
      </c>
    </row>
    <row r="121" spans="1:3" x14ac:dyDescent="0.25">
      <c r="A121" s="2" t="s">
        <v>121</v>
      </c>
      <c r="B121" t="s">
        <v>401</v>
      </c>
      <c r="C121" s="1">
        <v>0</v>
      </c>
    </row>
    <row r="122" spans="1:3" x14ac:dyDescent="0.25">
      <c r="A122" s="2" t="s">
        <v>122</v>
      </c>
      <c r="B122" t="s">
        <v>400</v>
      </c>
      <c r="C122" s="1">
        <v>0</v>
      </c>
    </row>
    <row r="123" spans="1:3" x14ac:dyDescent="0.25">
      <c r="A123" s="2" t="s">
        <v>123</v>
      </c>
      <c r="B123" t="s">
        <v>399</v>
      </c>
      <c r="C123" s="1">
        <v>0.23</v>
      </c>
    </row>
    <row r="124" spans="1:3" x14ac:dyDescent="0.25">
      <c r="A124" s="2" t="s">
        <v>124</v>
      </c>
      <c r="B124" t="s">
        <v>400</v>
      </c>
      <c r="C124" s="1">
        <v>0</v>
      </c>
    </row>
    <row r="125" spans="1:3" x14ac:dyDescent="0.25">
      <c r="A125" s="2" t="s">
        <v>125</v>
      </c>
      <c r="B125" t="s">
        <v>400</v>
      </c>
      <c r="C125" s="1">
        <v>0</v>
      </c>
    </row>
    <row r="126" spans="1:3" x14ac:dyDescent="0.25">
      <c r="A126" s="2" t="s">
        <v>126</v>
      </c>
      <c r="B126" t="s">
        <v>400</v>
      </c>
      <c r="C126" s="1">
        <v>0</v>
      </c>
    </row>
    <row r="127" spans="1:3" x14ac:dyDescent="0.25">
      <c r="A127" s="2" t="s">
        <v>127</v>
      </c>
      <c r="B127" t="s">
        <v>400</v>
      </c>
      <c r="C127" s="1">
        <v>0</v>
      </c>
    </row>
    <row r="128" spans="1:3" x14ac:dyDescent="0.25">
      <c r="A128" s="2" t="s">
        <v>128</v>
      </c>
      <c r="B128" t="s">
        <v>400</v>
      </c>
      <c r="C128" s="1">
        <v>0</v>
      </c>
    </row>
    <row r="129" spans="1:3" x14ac:dyDescent="0.25">
      <c r="A129" s="2" t="s">
        <v>129</v>
      </c>
      <c r="B129" t="s">
        <v>400</v>
      </c>
      <c r="C129" s="1">
        <v>0</v>
      </c>
    </row>
    <row r="130" spans="1:3" x14ac:dyDescent="0.25">
      <c r="A130" s="2" t="s">
        <v>130</v>
      </c>
      <c r="B130" t="s">
        <v>401</v>
      </c>
      <c r="C130" s="1">
        <v>0</v>
      </c>
    </row>
    <row r="131" spans="1:3" x14ac:dyDescent="0.25">
      <c r="A131" s="2" t="s">
        <v>131</v>
      </c>
      <c r="B131" t="s">
        <v>400</v>
      </c>
      <c r="C131" s="1">
        <v>0</v>
      </c>
    </row>
    <row r="132" spans="1:3" x14ac:dyDescent="0.25">
      <c r="A132" s="2" t="s">
        <v>132</v>
      </c>
      <c r="B132" t="s">
        <v>406</v>
      </c>
      <c r="C132" s="1">
        <v>0.24</v>
      </c>
    </row>
    <row r="133" spans="1:3" x14ac:dyDescent="0.25">
      <c r="A133" s="2" t="s">
        <v>133</v>
      </c>
      <c r="B133" t="s">
        <v>401</v>
      </c>
      <c r="C133" s="1">
        <v>0</v>
      </c>
    </row>
    <row r="134" spans="1:3" x14ac:dyDescent="0.25">
      <c r="A134" s="2" t="s">
        <v>134</v>
      </c>
      <c r="B134" t="s">
        <v>400</v>
      </c>
      <c r="C134" s="1">
        <v>0</v>
      </c>
    </row>
    <row r="135" spans="1:3" x14ac:dyDescent="0.25">
      <c r="A135" s="2" t="s">
        <v>135</v>
      </c>
      <c r="B135" t="s">
        <v>400</v>
      </c>
      <c r="C135" s="1">
        <v>0</v>
      </c>
    </row>
    <row r="136" spans="1:3" x14ac:dyDescent="0.25">
      <c r="A136" s="2" t="s">
        <v>136</v>
      </c>
      <c r="B136" t="s">
        <v>401</v>
      </c>
      <c r="C136" s="1">
        <v>0</v>
      </c>
    </row>
    <row r="137" spans="1:3" x14ac:dyDescent="0.25">
      <c r="A137" s="2" t="s">
        <v>137</v>
      </c>
      <c r="B137" t="s">
        <v>401</v>
      </c>
      <c r="C137" s="1">
        <v>0</v>
      </c>
    </row>
    <row r="138" spans="1:3" x14ac:dyDescent="0.25">
      <c r="A138" s="2" t="s">
        <v>138</v>
      </c>
      <c r="B138" t="s">
        <v>400</v>
      </c>
      <c r="C138" s="1">
        <v>0</v>
      </c>
    </row>
    <row r="139" spans="1:3" x14ac:dyDescent="0.25">
      <c r="A139" s="2" t="s">
        <v>139</v>
      </c>
      <c r="B139" t="s">
        <v>401</v>
      </c>
      <c r="C139" s="1">
        <v>0</v>
      </c>
    </row>
    <row r="140" spans="1:3" x14ac:dyDescent="0.25">
      <c r="A140" s="2" t="s">
        <v>140</v>
      </c>
      <c r="B140" t="s">
        <v>401</v>
      </c>
      <c r="C140" s="1">
        <v>0</v>
      </c>
    </row>
    <row r="141" spans="1:3" x14ac:dyDescent="0.25">
      <c r="A141" s="2" t="s">
        <v>141</v>
      </c>
      <c r="B141" t="s">
        <v>400</v>
      </c>
      <c r="C141" s="1">
        <v>0</v>
      </c>
    </row>
    <row r="142" spans="1:3" x14ac:dyDescent="0.25">
      <c r="A142" s="2" t="s">
        <v>142</v>
      </c>
      <c r="B142" t="s">
        <v>401</v>
      </c>
      <c r="C142" s="1">
        <v>0</v>
      </c>
    </row>
    <row r="143" spans="1:3" x14ac:dyDescent="0.25">
      <c r="A143" s="2" t="s">
        <v>143</v>
      </c>
      <c r="B143" t="s">
        <v>401</v>
      </c>
      <c r="C143" s="1">
        <v>0</v>
      </c>
    </row>
    <row r="144" spans="1:3" x14ac:dyDescent="0.25">
      <c r="A144" s="2" t="s">
        <v>144</v>
      </c>
      <c r="B144" t="s">
        <v>405</v>
      </c>
      <c r="C144" s="1">
        <v>0.54</v>
      </c>
    </row>
    <row r="145" spans="1:3" x14ac:dyDescent="0.25">
      <c r="A145" s="2" t="s">
        <v>145</v>
      </c>
      <c r="B145" t="s">
        <v>400</v>
      </c>
      <c r="C145" s="1">
        <v>0</v>
      </c>
    </row>
    <row r="146" spans="1:3" x14ac:dyDescent="0.25">
      <c r="A146" s="2" t="s">
        <v>146</v>
      </c>
      <c r="B146" t="s">
        <v>400</v>
      </c>
      <c r="C146" s="1">
        <v>0</v>
      </c>
    </row>
    <row r="147" spans="1:3" x14ac:dyDescent="0.25">
      <c r="A147" s="2" t="s">
        <v>147</v>
      </c>
      <c r="B147" t="s">
        <v>400</v>
      </c>
      <c r="C147" s="1">
        <v>0</v>
      </c>
    </row>
    <row r="148" spans="1:3" x14ac:dyDescent="0.25">
      <c r="A148" s="2" t="s">
        <v>148</v>
      </c>
      <c r="B148" t="s">
        <v>403</v>
      </c>
      <c r="C148" s="1">
        <v>1</v>
      </c>
    </row>
    <row r="149" spans="1:3" x14ac:dyDescent="0.25">
      <c r="A149" s="2" t="s">
        <v>149</v>
      </c>
      <c r="B149" t="s">
        <v>401</v>
      </c>
      <c r="C149" s="1">
        <v>0</v>
      </c>
    </row>
    <row r="150" spans="1:3" x14ac:dyDescent="0.25">
      <c r="A150" s="2" t="s">
        <v>150</v>
      </c>
      <c r="B150" t="s">
        <v>406</v>
      </c>
      <c r="C150" s="1">
        <v>0.8</v>
      </c>
    </row>
    <row r="151" spans="1:3" x14ac:dyDescent="0.25">
      <c r="A151" s="2" t="s">
        <v>151</v>
      </c>
      <c r="B151" t="s">
        <v>401</v>
      </c>
      <c r="C151" s="1">
        <v>0</v>
      </c>
    </row>
    <row r="152" spans="1:3" x14ac:dyDescent="0.25">
      <c r="A152" s="2" t="s">
        <v>152</v>
      </c>
      <c r="B152" t="s">
        <v>400</v>
      </c>
      <c r="C152" s="1">
        <v>0</v>
      </c>
    </row>
    <row r="153" spans="1:3" x14ac:dyDescent="0.25">
      <c r="A153" s="2" t="s">
        <v>153</v>
      </c>
      <c r="B153" t="s">
        <v>401</v>
      </c>
      <c r="C153" s="1">
        <v>0</v>
      </c>
    </row>
    <row r="154" spans="1:3" x14ac:dyDescent="0.25">
      <c r="A154" s="2" t="s">
        <v>154</v>
      </c>
      <c r="B154" t="s">
        <v>400</v>
      </c>
      <c r="C154" s="1">
        <v>0</v>
      </c>
    </row>
    <row r="155" spans="1:3" x14ac:dyDescent="0.25">
      <c r="A155" s="2" t="s">
        <v>155</v>
      </c>
      <c r="B155" t="s">
        <v>404</v>
      </c>
      <c r="C155" s="1">
        <v>0.38</v>
      </c>
    </row>
    <row r="156" spans="1:3" x14ac:dyDescent="0.25">
      <c r="A156" s="2" t="s">
        <v>156</v>
      </c>
      <c r="B156" t="s">
        <v>400</v>
      </c>
      <c r="C156" s="1">
        <v>0</v>
      </c>
    </row>
    <row r="157" spans="1:3" x14ac:dyDescent="0.25">
      <c r="A157" s="2" t="s">
        <v>157</v>
      </c>
      <c r="B157" t="s">
        <v>401</v>
      </c>
      <c r="C157" s="1">
        <v>0</v>
      </c>
    </row>
    <row r="158" spans="1:3" x14ac:dyDescent="0.25">
      <c r="A158" s="2" t="s">
        <v>158</v>
      </c>
      <c r="B158" t="s">
        <v>402</v>
      </c>
      <c r="C158" s="1">
        <v>0.96</v>
      </c>
    </row>
    <row r="159" spans="1:3" x14ac:dyDescent="0.25">
      <c r="A159" s="2" t="s">
        <v>159</v>
      </c>
      <c r="B159" t="s">
        <v>403</v>
      </c>
      <c r="C159" s="1">
        <v>0.85</v>
      </c>
    </row>
    <row r="160" spans="1:3" x14ac:dyDescent="0.25">
      <c r="A160" s="2" t="s">
        <v>160</v>
      </c>
      <c r="B160" t="s">
        <v>400</v>
      </c>
      <c r="C160" s="1">
        <v>0</v>
      </c>
    </row>
    <row r="161" spans="1:3" x14ac:dyDescent="0.25">
      <c r="A161" s="2" t="s">
        <v>161</v>
      </c>
      <c r="B161" t="s">
        <v>401</v>
      </c>
      <c r="C161" s="1">
        <v>0</v>
      </c>
    </row>
    <row r="162" spans="1:3" x14ac:dyDescent="0.25">
      <c r="A162" s="2" t="s">
        <v>162</v>
      </c>
      <c r="B162" t="s">
        <v>401</v>
      </c>
      <c r="C162" s="1">
        <v>0</v>
      </c>
    </row>
    <row r="163" spans="1:3" x14ac:dyDescent="0.25">
      <c r="A163" s="2" t="s">
        <v>163</v>
      </c>
      <c r="B163" t="s">
        <v>401</v>
      </c>
      <c r="C163" s="1">
        <v>0</v>
      </c>
    </row>
    <row r="164" spans="1:3" x14ac:dyDescent="0.25">
      <c r="A164" s="2" t="s">
        <v>164</v>
      </c>
      <c r="B164" t="s">
        <v>407</v>
      </c>
      <c r="C164" s="1">
        <v>1</v>
      </c>
    </row>
    <row r="165" spans="1:3" x14ac:dyDescent="0.25">
      <c r="A165" s="2" t="s">
        <v>165</v>
      </c>
      <c r="B165" t="s">
        <v>401</v>
      </c>
      <c r="C165" s="1">
        <v>0</v>
      </c>
    </row>
    <row r="166" spans="1:3" x14ac:dyDescent="0.25">
      <c r="A166" s="2" t="s">
        <v>166</v>
      </c>
      <c r="B166" t="s">
        <v>401</v>
      </c>
      <c r="C166" s="1">
        <v>0</v>
      </c>
    </row>
    <row r="167" spans="1:3" x14ac:dyDescent="0.25">
      <c r="A167" s="2" t="s">
        <v>167</v>
      </c>
      <c r="B167" t="s">
        <v>404</v>
      </c>
      <c r="C167" s="1">
        <v>0.3</v>
      </c>
    </row>
    <row r="168" spans="1:3" x14ac:dyDescent="0.25">
      <c r="A168" s="2" t="s">
        <v>168</v>
      </c>
      <c r="B168" t="s">
        <v>407</v>
      </c>
      <c r="C168" s="1">
        <v>1</v>
      </c>
    </row>
    <row r="169" spans="1:3" x14ac:dyDescent="0.25">
      <c r="A169" s="2" t="s">
        <v>169</v>
      </c>
      <c r="B169" t="s">
        <v>401</v>
      </c>
      <c r="C169" s="1">
        <v>0</v>
      </c>
    </row>
    <row r="170" spans="1:3" x14ac:dyDescent="0.25">
      <c r="A170" s="2" t="s">
        <v>170</v>
      </c>
      <c r="B170" t="s">
        <v>404</v>
      </c>
      <c r="C170" s="1">
        <v>0.26</v>
      </c>
    </row>
    <row r="171" spans="1:3" x14ac:dyDescent="0.25">
      <c r="A171" s="2" t="s">
        <v>171</v>
      </c>
      <c r="B171" t="s">
        <v>403</v>
      </c>
      <c r="C171" s="1">
        <v>0.31</v>
      </c>
    </row>
    <row r="172" spans="1:3" x14ac:dyDescent="0.25">
      <c r="A172" s="2" t="s">
        <v>172</v>
      </c>
      <c r="B172" t="s">
        <v>401</v>
      </c>
      <c r="C172" s="1">
        <v>0</v>
      </c>
    </row>
    <row r="173" spans="1:3" x14ac:dyDescent="0.25">
      <c r="A173" s="2" t="s">
        <v>173</v>
      </c>
      <c r="B173" t="s">
        <v>400</v>
      </c>
      <c r="C173" s="1">
        <v>0</v>
      </c>
    </row>
    <row r="174" spans="1:3" x14ac:dyDescent="0.25">
      <c r="A174" s="2" t="s">
        <v>174</v>
      </c>
      <c r="B174" t="s">
        <v>401</v>
      </c>
      <c r="C174" s="1">
        <v>0</v>
      </c>
    </row>
    <row r="175" spans="1:3" x14ac:dyDescent="0.25">
      <c r="A175" s="2" t="s">
        <v>175</v>
      </c>
      <c r="B175" t="s">
        <v>407</v>
      </c>
      <c r="C175" s="1">
        <v>0.98</v>
      </c>
    </row>
    <row r="176" spans="1:3" x14ac:dyDescent="0.25">
      <c r="A176" s="2" t="s">
        <v>176</v>
      </c>
      <c r="B176" t="s">
        <v>401</v>
      </c>
      <c r="C176" s="1">
        <v>0</v>
      </c>
    </row>
    <row r="177" spans="1:3" x14ac:dyDescent="0.25">
      <c r="A177" s="2" t="s">
        <v>177</v>
      </c>
      <c r="B177" t="s">
        <v>401</v>
      </c>
      <c r="C177" s="1">
        <v>0</v>
      </c>
    </row>
    <row r="178" spans="1:3" x14ac:dyDescent="0.25">
      <c r="A178" s="2" t="s">
        <v>178</v>
      </c>
      <c r="B178" t="s">
        <v>405</v>
      </c>
      <c r="C178" s="1">
        <v>1</v>
      </c>
    </row>
    <row r="179" spans="1:3" x14ac:dyDescent="0.25">
      <c r="A179" s="2" t="s">
        <v>179</v>
      </c>
      <c r="B179" t="s">
        <v>403</v>
      </c>
      <c r="C179" s="1">
        <v>0.18</v>
      </c>
    </row>
    <row r="180" spans="1:3" x14ac:dyDescent="0.25">
      <c r="A180" s="2" t="s">
        <v>180</v>
      </c>
      <c r="B180" t="s">
        <v>400</v>
      </c>
      <c r="C180" s="1">
        <v>0</v>
      </c>
    </row>
    <row r="181" spans="1:3" x14ac:dyDescent="0.25">
      <c r="A181" s="2" t="s">
        <v>181</v>
      </c>
      <c r="B181" t="s">
        <v>400</v>
      </c>
      <c r="C181" s="1">
        <v>0</v>
      </c>
    </row>
    <row r="182" spans="1:3" x14ac:dyDescent="0.25">
      <c r="A182" s="2" t="s">
        <v>182</v>
      </c>
      <c r="B182" t="s">
        <v>399</v>
      </c>
      <c r="C182" s="1">
        <v>0.89</v>
      </c>
    </row>
    <row r="183" spans="1:3" x14ac:dyDescent="0.25">
      <c r="A183" s="2" t="s">
        <v>183</v>
      </c>
      <c r="B183" t="s">
        <v>402</v>
      </c>
      <c r="C183" s="1">
        <v>0.62</v>
      </c>
    </row>
    <row r="184" spans="1:3" x14ac:dyDescent="0.25">
      <c r="A184" s="2" t="s">
        <v>184</v>
      </c>
      <c r="B184" t="s">
        <v>400</v>
      </c>
      <c r="C184" s="1">
        <v>0</v>
      </c>
    </row>
    <row r="185" spans="1:3" x14ac:dyDescent="0.25">
      <c r="A185" s="2" t="s">
        <v>185</v>
      </c>
      <c r="B185" t="s">
        <v>400</v>
      </c>
      <c r="C185" s="1">
        <v>0</v>
      </c>
    </row>
    <row r="186" spans="1:3" x14ac:dyDescent="0.25">
      <c r="A186" s="2" t="s">
        <v>186</v>
      </c>
      <c r="B186" t="s">
        <v>400</v>
      </c>
      <c r="C186" s="1">
        <v>0</v>
      </c>
    </row>
    <row r="187" spans="1:3" x14ac:dyDescent="0.25">
      <c r="A187" s="2" t="s">
        <v>187</v>
      </c>
      <c r="B187" t="s">
        <v>400</v>
      </c>
      <c r="C187" s="1">
        <v>0</v>
      </c>
    </row>
    <row r="188" spans="1:3" x14ac:dyDescent="0.25">
      <c r="A188" s="2" t="s">
        <v>188</v>
      </c>
      <c r="B188" t="s">
        <v>400</v>
      </c>
      <c r="C188" s="1">
        <v>0</v>
      </c>
    </row>
    <row r="189" spans="1:3" x14ac:dyDescent="0.25">
      <c r="A189" s="2" t="s">
        <v>189</v>
      </c>
      <c r="B189" t="s">
        <v>403</v>
      </c>
      <c r="C189" s="1">
        <v>0.72</v>
      </c>
    </row>
    <row r="190" spans="1:3" x14ac:dyDescent="0.25">
      <c r="A190" s="2" t="s">
        <v>190</v>
      </c>
      <c r="B190" t="s">
        <v>404</v>
      </c>
      <c r="C190" s="1">
        <v>1</v>
      </c>
    </row>
    <row r="191" spans="1:3" x14ac:dyDescent="0.25">
      <c r="A191" s="2" t="s">
        <v>191</v>
      </c>
      <c r="B191" t="s">
        <v>407</v>
      </c>
      <c r="C191" s="1">
        <v>0.92</v>
      </c>
    </row>
    <row r="192" spans="1:3" x14ac:dyDescent="0.25">
      <c r="A192" s="2" t="s">
        <v>192</v>
      </c>
      <c r="B192" t="s">
        <v>407</v>
      </c>
      <c r="C192" s="1">
        <v>0.88</v>
      </c>
    </row>
    <row r="193" spans="1:3" x14ac:dyDescent="0.25">
      <c r="A193" s="2" t="s">
        <v>193</v>
      </c>
      <c r="B193" t="s">
        <v>403</v>
      </c>
      <c r="C193" s="1">
        <v>0.13</v>
      </c>
    </row>
    <row r="194" spans="1:3" x14ac:dyDescent="0.25">
      <c r="A194" s="2" t="s">
        <v>194</v>
      </c>
      <c r="B194" t="s">
        <v>400</v>
      </c>
      <c r="C194" s="1">
        <v>0</v>
      </c>
    </row>
    <row r="195" spans="1:3" x14ac:dyDescent="0.25">
      <c r="A195" s="2" t="s">
        <v>195</v>
      </c>
      <c r="B195" t="s">
        <v>404</v>
      </c>
      <c r="C195" s="1">
        <v>0.28000000000000003</v>
      </c>
    </row>
    <row r="196" spans="1:3" x14ac:dyDescent="0.25">
      <c r="A196" s="2" t="s">
        <v>196</v>
      </c>
      <c r="B196" t="s">
        <v>400</v>
      </c>
      <c r="C196" s="1">
        <v>0</v>
      </c>
    </row>
    <row r="197" spans="1:3" x14ac:dyDescent="0.25">
      <c r="A197" s="2" t="s">
        <v>197</v>
      </c>
      <c r="B197" t="s">
        <v>401</v>
      </c>
      <c r="C197" s="1">
        <v>0</v>
      </c>
    </row>
    <row r="198" spans="1:3" x14ac:dyDescent="0.25">
      <c r="A198" s="2" t="s">
        <v>198</v>
      </c>
      <c r="B198" t="s">
        <v>401</v>
      </c>
      <c r="C198" s="1">
        <v>0</v>
      </c>
    </row>
    <row r="199" spans="1:3" x14ac:dyDescent="0.25">
      <c r="A199" s="2" t="s">
        <v>199</v>
      </c>
      <c r="B199" t="s">
        <v>400</v>
      </c>
      <c r="C199" s="1">
        <v>0</v>
      </c>
    </row>
    <row r="200" spans="1:3" x14ac:dyDescent="0.25">
      <c r="A200" s="2" t="s">
        <v>200</v>
      </c>
      <c r="B200" t="s">
        <v>400</v>
      </c>
      <c r="C200" s="1">
        <v>0</v>
      </c>
    </row>
    <row r="201" spans="1:3" x14ac:dyDescent="0.25">
      <c r="A201" s="2" t="s">
        <v>201</v>
      </c>
      <c r="B201" t="s">
        <v>403</v>
      </c>
      <c r="C201" s="1">
        <v>0.57999999999999996</v>
      </c>
    </row>
    <row r="202" spans="1:3" x14ac:dyDescent="0.25">
      <c r="A202" s="2" t="s">
        <v>202</v>
      </c>
      <c r="B202" t="s">
        <v>401</v>
      </c>
      <c r="C202" s="1">
        <v>0</v>
      </c>
    </row>
    <row r="203" spans="1:3" x14ac:dyDescent="0.25">
      <c r="A203" s="2" t="s">
        <v>203</v>
      </c>
      <c r="B203" t="s">
        <v>400</v>
      </c>
      <c r="C203" s="1">
        <v>0</v>
      </c>
    </row>
    <row r="204" spans="1:3" x14ac:dyDescent="0.25">
      <c r="A204" s="2" t="s">
        <v>204</v>
      </c>
      <c r="B204" t="s">
        <v>405</v>
      </c>
      <c r="C204" s="1">
        <v>1</v>
      </c>
    </row>
    <row r="205" spans="1:3" x14ac:dyDescent="0.25">
      <c r="A205" s="2" t="s">
        <v>205</v>
      </c>
      <c r="B205" t="s">
        <v>401</v>
      </c>
      <c r="C205" s="1">
        <v>0</v>
      </c>
    </row>
    <row r="206" spans="1:3" x14ac:dyDescent="0.25">
      <c r="A206" s="2" t="s">
        <v>206</v>
      </c>
      <c r="B206" t="s">
        <v>407</v>
      </c>
      <c r="C206" s="1">
        <v>0.87</v>
      </c>
    </row>
    <row r="207" spans="1:3" x14ac:dyDescent="0.25">
      <c r="A207" s="2" t="s">
        <v>207</v>
      </c>
      <c r="B207" t="s">
        <v>401</v>
      </c>
      <c r="C207" s="1">
        <v>0</v>
      </c>
    </row>
    <row r="208" spans="1:3" x14ac:dyDescent="0.25">
      <c r="A208" s="2" t="s">
        <v>208</v>
      </c>
      <c r="B208" t="s">
        <v>400</v>
      </c>
      <c r="C208" s="1">
        <v>0</v>
      </c>
    </row>
    <row r="209" spans="1:3" x14ac:dyDescent="0.25">
      <c r="A209" s="2" t="s">
        <v>209</v>
      </c>
      <c r="B209" t="s">
        <v>399</v>
      </c>
      <c r="C209" s="1">
        <v>0.2</v>
      </c>
    </row>
    <row r="210" spans="1:3" x14ac:dyDescent="0.25">
      <c r="A210" s="2" t="s">
        <v>210</v>
      </c>
      <c r="B210" t="s">
        <v>402</v>
      </c>
      <c r="C210" s="1">
        <v>0.27</v>
      </c>
    </row>
    <row r="211" spans="1:3" x14ac:dyDescent="0.25">
      <c r="A211" s="2" t="s">
        <v>211</v>
      </c>
      <c r="B211" t="s">
        <v>405</v>
      </c>
      <c r="C211" s="1">
        <v>0.68</v>
      </c>
    </row>
    <row r="212" spans="1:3" x14ac:dyDescent="0.25">
      <c r="A212" s="2" t="s">
        <v>212</v>
      </c>
      <c r="B212" t="s">
        <v>401</v>
      </c>
      <c r="C212" s="1">
        <v>0</v>
      </c>
    </row>
    <row r="213" spans="1:3" x14ac:dyDescent="0.25">
      <c r="A213" s="2" t="s">
        <v>213</v>
      </c>
      <c r="B213" t="s">
        <v>400</v>
      </c>
      <c r="C213" s="1">
        <v>0</v>
      </c>
    </row>
    <row r="214" spans="1:3" x14ac:dyDescent="0.25">
      <c r="A214" s="2" t="s">
        <v>214</v>
      </c>
      <c r="B214" t="s">
        <v>400</v>
      </c>
      <c r="C214" s="1">
        <v>0</v>
      </c>
    </row>
    <row r="215" spans="1:3" x14ac:dyDescent="0.25">
      <c r="A215" s="2" t="s">
        <v>215</v>
      </c>
      <c r="B215" t="s">
        <v>404</v>
      </c>
      <c r="C215" s="1">
        <v>0.49</v>
      </c>
    </row>
    <row r="216" spans="1:3" x14ac:dyDescent="0.25">
      <c r="A216" s="2" t="s">
        <v>216</v>
      </c>
      <c r="B216" t="s">
        <v>401</v>
      </c>
      <c r="C216" s="1">
        <v>0</v>
      </c>
    </row>
    <row r="217" spans="1:3" x14ac:dyDescent="0.25">
      <c r="A217" s="2" t="s">
        <v>217</v>
      </c>
      <c r="B217" t="s">
        <v>400</v>
      </c>
      <c r="C217" s="1">
        <v>0</v>
      </c>
    </row>
    <row r="218" spans="1:3" x14ac:dyDescent="0.25">
      <c r="A218" s="2" t="s">
        <v>218</v>
      </c>
      <c r="B218" t="s">
        <v>400</v>
      </c>
      <c r="C218" s="1">
        <v>0</v>
      </c>
    </row>
    <row r="219" spans="1:3" x14ac:dyDescent="0.25">
      <c r="A219" s="2" t="s">
        <v>219</v>
      </c>
      <c r="B219" t="s">
        <v>400</v>
      </c>
      <c r="C219" s="1">
        <v>0</v>
      </c>
    </row>
    <row r="220" spans="1:3" x14ac:dyDescent="0.25">
      <c r="A220" s="2" t="s">
        <v>220</v>
      </c>
      <c r="B220" t="s">
        <v>400</v>
      </c>
      <c r="C220" s="1">
        <v>0</v>
      </c>
    </row>
    <row r="221" spans="1:3" x14ac:dyDescent="0.25">
      <c r="A221" s="2" t="s">
        <v>221</v>
      </c>
      <c r="B221" t="s">
        <v>400</v>
      </c>
      <c r="C221" s="1">
        <v>0</v>
      </c>
    </row>
    <row r="222" spans="1:3" x14ac:dyDescent="0.25">
      <c r="A222" s="2" t="s">
        <v>222</v>
      </c>
      <c r="B222" t="s">
        <v>400</v>
      </c>
      <c r="C222" s="1">
        <v>0</v>
      </c>
    </row>
    <row r="223" spans="1:3" x14ac:dyDescent="0.25">
      <c r="A223" s="2" t="s">
        <v>223</v>
      </c>
      <c r="B223" t="s">
        <v>400</v>
      </c>
      <c r="C223" s="1">
        <v>0</v>
      </c>
    </row>
    <row r="224" spans="1:3" x14ac:dyDescent="0.25">
      <c r="A224" s="2" t="s">
        <v>224</v>
      </c>
      <c r="B224" t="s">
        <v>400</v>
      </c>
      <c r="C224" s="1">
        <v>0</v>
      </c>
    </row>
    <row r="225" spans="1:3" x14ac:dyDescent="0.25">
      <c r="A225" s="2" t="s">
        <v>225</v>
      </c>
      <c r="B225" t="s">
        <v>401</v>
      </c>
      <c r="C225" s="1">
        <v>0</v>
      </c>
    </row>
    <row r="226" spans="1:3" x14ac:dyDescent="0.25">
      <c r="A226" s="2" t="s">
        <v>226</v>
      </c>
      <c r="B226" t="s">
        <v>401</v>
      </c>
      <c r="C226" s="1">
        <v>0</v>
      </c>
    </row>
    <row r="227" spans="1:3" x14ac:dyDescent="0.25">
      <c r="A227" s="2" t="s">
        <v>227</v>
      </c>
      <c r="B227" t="s">
        <v>401</v>
      </c>
      <c r="C227" s="1">
        <v>0</v>
      </c>
    </row>
    <row r="228" spans="1:3" x14ac:dyDescent="0.25">
      <c r="A228" s="2" t="s">
        <v>228</v>
      </c>
      <c r="B228" t="s">
        <v>405</v>
      </c>
      <c r="C228" s="1">
        <v>0.64</v>
      </c>
    </row>
    <row r="229" spans="1:3" x14ac:dyDescent="0.25">
      <c r="A229" s="2" t="s">
        <v>229</v>
      </c>
      <c r="B229" t="s">
        <v>401</v>
      </c>
      <c r="C229" s="1">
        <v>0</v>
      </c>
    </row>
    <row r="230" spans="1:3" x14ac:dyDescent="0.25">
      <c r="A230" s="2" t="s">
        <v>230</v>
      </c>
      <c r="B230" t="s">
        <v>400</v>
      </c>
      <c r="C230" s="1">
        <v>0</v>
      </c>
    </row>
    <row r="231" spans="1:3" x14ac:dyDescent="0.25">
      <c r="A231" s="2" t="s">
        <v>231</v>
      </c>
      <c r="B231" t="s">
        <v>400</v>
      </c>
      <c r="C231" s="1">
        <v>0</v>
      </c>
    </row>
    <row r="232" spans="1:3" x14ac:dyDescent="0.25">
      <c r="A232" s="2" t="s">
        <v>232</v>
      </c>
      <c r="B232" t="s">
        <v>400</v>
      </c>
      <c r="C232" s="1">
        <v>0</v>
      </c>
    </row>
    <row r="233" spans="1:3" x14ac:dyDescent="0.25">
      <c r="A233" s="2" t="s">
        <v>233</v>
      </c>
      <c r="B233" t="s">
        <v>404</v>
      </c>
      <c r="C233" s="1">
        <v>0.35</v>
      </c>
    </row>
    <row r="234" spans="1:3" x14ac:dyDescent="0.25">
      <c r="A234" s="2" t="s">
        <v>234</v>
      </c>
      <c r="B234" t="s">
        <v>401</v>
      </c>
      <c r="C234" s="1">
        <v>0</v>
      </c>
    </row>
    <row r="235" spans="1:3" x14ac:dyDescent="0.25">
      <c r="A235" s="2" t="s">
        <v>235</v>
      </c>
      <c r="B235" t="s">
        <v>401</v>
      </c>
      <c r="C235" s="1">
        <v>0</v>
      </c>
    </row>
    <row r="236" spans="1:3" x14ac:dyDescent="0.25">
      <c r="A236" s="2" t="s">
        <v>236</v>
      </c>
      <c r="B236" t="s">
        <v>400</v>
      </c>
      <c r="C236" s="1">
        <v>0</v>
      </c>
    </row>
    <row r="237" spans="1:3" x14ac:dyDescent="0.25">
      <c r="A237" s="2" t="s">
        <v>237</v>
      </c>
      <c r="B237" t="s">
        <v>403</v>
      </c>
      <c r="C237" s="1">
        <v>0.53</v>
      </c>
    </row>
    <row r="238" spans="1:3" x14ac:dyDescent="0.25">
      <c r="A238" s="2" t="s">
        <v>238</v>
      </c>
      <c r="B238" t="s">
        <v>404</v>
      </c>
      <c r="C238" s="1">
        <v>0.52</v>
      </c>
    </row>
    <row r="239" spans="1:3" x14ac:dyDescent="0.25">
      <c r="A239" s="2" t="s">
        <v>239</v>
      </c>
      <c r="B239" t="s">
        <v>403</v>
      </c>
      <c r="C239" s="1">
        <v>0.44</v>
      </c>
    </row>
    <row r="240" spans="1:3" x14ac:dyDescent="0.25">
      <c r="A240" s="2" t="s">
        <v>240</v>
      </c>
      <c r="B240" t="s">
        <v>400</v>
      </c>
      <c r="C240" s="1">
        <v>0</v>
      </c>
    </row>
    <row r="241" spans="1:3" x14ac:dyDescent="0.25">
      <c r="A241" s="2" t="s">
        <v>241</v>
      </c>
      <c r="B241" t="s">
        <v>407</v>
      </c>
      <c r="C241" s="1">
        <v>1</v>
      </c>
    </row>
    <row r="242" spans="1:3" x14ac:dyDescent="0.25">
      <c r="A242" s="2" t="s">
        <v>242</v>
      </c>
      <c r="B242" t="s">
        <v>400</v>
      </c>
      <c r="C242" s="1">
        <v>0</v>
      </c>
    </row>
    <row r="243" spans="1:3" x14ac:dyDescent="0.25">
      <c r="A243" s="2" t="s">
        <v>243</v>
      </c>
      <c r="B243" t="s">
        <v>401</v>
      </c>
      <c r="C243" s="1">
        <v>0</v>
      </c>
    </row>
    <row r="244" spans="1:3" x14ac:dyDescent="0.25">
      <c r="A244" s="2" t="s">
        <v>244</v>
      </c>
      <c r="B244" t="s">
        <v>400</v>
      </c>
      <c r="C244" s="1">
        <v>0</v>
      </c>
    </row>
    <row r="245" spans="1:3" x14ac:dyDescent="0.25">
      <c r="A245" s="2" t="s">
        <v>245</v>
      </c>
      <c r="B245" t="s">
        <v>400</v>
      </c>
      <c r="C245" s="1">
        <v>0</v>
      </c>
    </row>
    <row r="246" spans="1:3" x14ac:dyDescent="0.25">
      <c r="A246" s="2" t="s">
        <v>246</v>
      </c>
      <c r="B246" t="s">
        <v>406</v>
      </c>
      <c r="C246" s="1">
        <v>1</v>
      </c>
    </row>
    <row r="247" spans="1:3" x14ac:dyDescent="0.25">
      <c r="A247" s="2" t="s">
        <v>247</v>
      </c>
      <c r="B247" t="s">
        <v>400</v>
      </c>
      <c r="C247" s="1">
        <v>0</v>
      </c>
    </row>
    <row r="248" spans="1:3" x14ac:dyDescent="0.25">
      <c r="A248" s="2" t="s">
        <v>248</v>
      </c>
      <c r="B248" t="s">
        <v>400</v>
      </c>
      <c r="C248" s="1">
        <v>0</v>
      </c>
    </row>
    <row r="249" spans="1:3" x14ac:dyDescent="0.25">
      <c r="A249" s="2" t="s">
        <v>249</v>
      </c>
      <c r="B249" t="s">
        <v>402</v>
      </c>
      <c r="C249" s="1">
        <v>0.86</v>
      </c>
    </row>
    <row r="250" spans="1:3" x14ac:dyDescent="0.25">
      <c r="A250" s="2" t="s">
        <v>250</v>
      </c>
      <c r="B250" t="s">
        <v>400</v>
      </c>
      <c r="C250" s="1">
        <v>0</v>
      </c>
    </row>
    <row r="251" spans="1:3" x14ac:dyDescent="0.25">
      <c r="A251" s="2" t="s">
        <v>251</v>
      </c>
      <c r="B251" t="s">
        <v>400</v>
      </c>
      <c r="C251" s="1">
        <v>0</v>
      </c>
    </row>
    <row r="252" spans="1:3" x14ac:dyDescent="0.25">
      <c r="A252" s="2" t="s">
        <v>252</v>
      </c>
      <c r="B252" t="s">
        <v>400</v>
      </c>
      <c r="C252" s="1">
        <v>0</v>
      </c>
    </row>
    <row r="253" spans="1:3" x14ac:dyDescent="0.25">
      <c r="A253" s="2" t="s">
        <v>253</v>
      </c>
      <c r="B253" t="s">
        <v>401</v>
      </c>
      <c r="C253" s="1">
        <v>0</v>
      </c>
    </row>
    <row r="254" spans="1:3" x14ac:dyDescent="0.25">
      <c r="A254" s="2" t="s">
        <v>254</v>
      </c>
      <c r="B254" t="s">
        <v>400</v>
      </c>
      <c r="C254" s="1">
        <v>0</v>
      </c>
    </row>
    <row r="255" spans="1:3" x14ac:dyDescent="0.25">
      <c r="A255" s="2" t="s">
        <v>255</v>
      </c>
      <c r="B255" t="s">
        <v>400</v>
      </c>
      <c r="C255" s="1">
        <v>0</v>
      </c>
    </row>
    <row r="256" spans="1:3" x14ac:dyDescent="0.25">
      <c r="A256" s="2" t="s">
        <v>256</v>
      </c>
      <c r="B256" t="s">
        <v>400</v>
      </c>
      <c r="C256" s="1">
        <v>0</v>
      </c>
    </row>
    <row r="257" spans="1:3" x14ac:dyDescent="0.25">
      <c r="A257" s="2" t="s">
        <v>257</v>
      </c>
      <c r="B257" t="s">
        <v>407</v>
      </c>
      <c r="C257" s="1">
        <v>0.76</v>
      </c>
    </row>
    <row r="258" spans="1:3" x14ac:dyDescent="0.25">
      <c r="A258" s="2" t="s">
        <v>258</v>
      </c>
      <c r="B258" t="s">
        <v>400</v>
      </c>
      <c r="C258" s="1">
        <v>0</v>
      </c>
    </row>
    <row r="259" spans="1:3" x14ac:dyDescent="0.25">
      <c r="A259" s="2" t="s">
        <v>259</v>
      </c>
      <c r="B259" t="s">
        <v>402</v>
      </c>
      <c r="C259" s="1">
        <v>1</v>
      </c>
    </row>
    <row r="260" spans="1:3" x14ac:dyDescent="0.25">
      <c r="A260" s="2" t="s">
        <v>260</v>
      </c>
      <c r="B260" t="s">
        <v>403</v>
      </c>
      <c r="C260" s="1">
        <v>0.26</v>
      </c>
    </row>
    <row r="261" spans="1:3" x14ac:dyDescent="0.25">
      <c r="A261" s="2" t="s">
        <v>261</v>
      </c>
      <c r="B261" t="s">
        <v>400</v>
      </c>
      <c r="C261" s="1">
        <v>0</v>
      </c>
    </row>
    <row r="262" spans="1:3" x14ac:dyDescent="0.25">
      <c r="A262" s="2" t="s">
        <v>262</v>
      </c>
      <c r="B262" t="s">
        <v>400</v>
      </c>
      <c r="C262" s="1">
        <v>0</v>
      </c>
    </row>
    <row r="263" spans="1:3" x14ac:dyDescent="0.25">
      <c r="A263" s="2" t="s">
        <v>263</v>
      </c>
      <c r="B263" t="s">
        <v>404</v>
      </c>
      <c r="C263" s="1">
        <v>0.62</v>
      </c>
    </row>
    <row r="264" spans="1:3" x14ac:dyDescent="0.25">
      <c r="A264" s="2" t="s">
        <v>264</v>
      </c>
      <c r="B264" t="s">
        <v>405</v>
      </c>
      <c r="C264" s="1">
        <v>0.64</v>
      </c>
    </row>
    <row r="265" spans="1:3" x14ac:dyDescent="0.25">
      <c r="A265" s="2" t="s">
        <v>265</v>
      </c>
      <c r="B265" t="s">
        <v>405</v>
      </c>
      <c r="C265" s="1">
        <v>0.31</v>
      </c>
    </row>
    <row r="266" spans="1:3" x14ac:dyDescent="0.25">
      <c r="A266" s="2" t="s">
        <v>266</v>
      </c>
      <c r="B266" t="s">
        <v>403</v>
      </c>
      <c r="C266" s="1">
        <v>0.28999999999999998</v>
      </c>
    </row>
    <row r="267" spans="1:3" x14ac:dyDescent="0.25">
      <c r="A267" s="2" t="s">
        <v>267</v>
      </c>
      <c r="B267" t="s">
        <v>401</v>
      </c>
      <c r="C267" s="1">
        <v>0</v>
      </c>
    </row>
    <row r="268" spans="1:3" x14ac:dyDescent="0.25">
      <c r="A268" s="2" t="s">
        <v>268</v>
      </c>
      <c r="B268" t="s">
        <v>401</v>
      </c>
      <c r="C268" s="1">
        <v>0</v>
      </c>
    </row>
    <row r="269" spans="1:3" x14ac:dyDescent="0.25">
      <c r="A269" s="2" t="s">
        <v>269</v>
      </c>
      <c r="B269" t="s">
        <v>401</v>
      </c>
      <c r="C269" s="1">
        <v>0</v>
      </c>
    </row>
    <row r="270" spans="1:3" x14ac:dyDescent="0.25">
      <c r="A270" s="2" t="s">
        <v>270</v>
      </c>
      <c r="B270" t="s">
        <v>400</v>
      </c>
      <c r="C270" s="1">
        <v>0</v>
      </c>
    </row>
    <row r="271" spans="1:3" x14ac:dyDescent="0.25">
      <c r="A271" s="2" t="s">
        <v>271</v>
      </c>
      <c r="B271" t="s">
        <v>400</v>
      </c>
      <c r="C271" s="1">
        <v>0</v>
      </c>
    </row>
    <row r="272" spans="1:3" x14ac:dyDescent="0.25">
      <c r="A272" s="2" t="s">
        <v>272</v>
      </c>
      <c r="B272" t="s">
        <v>400</v>
      </c>
      <c r="C272" s="1">
        <v>0</v>
      </c>
    </row>
    <row r="273" spans="1:3" x14ac:dyDescent="0.25">
      <c r="A273" s="2" t="s">
        <v>273</v>
      </c>
      <c r="B273" t="s">
        <v>404</v>
      </c>
      <c r="C273" s="1">
        <v>1</v>
      </c>
    </row>
    <row r="274" spans="1:3" x14ac:dyDescent="0.25">
      <c r="A274" s="2" t="s">
        <v>274</v>
      </c>
      <c r="B274" t="s">
        <v>405</v>
      </c>
      <c r="C274" s="1">
        <v>0.4</v>
      </c>
    </row>
    <row r="275" spans="1:3" x14ac:dyDescent="0.25">
      <c r="A275" s="2" t="s">
        <v>275</v>
      </c>
      <c r="B275" t="s">
        <v>401</v>
      </c>
      <c r="C275" s="1">
        <v>0</v>
      </c>
    </row>
    <row r="276" spans="1:3" x14ac:dyDescent="0.25">
      <c r="A276" s="2" t="s">
        <v>276</v>
      </c>
      <c r="B276" t="s">
        <v>400</v>
      </c>
      <c r="C276" s="1">
        <v>0</v>
      </c>
    </row>
    <row r="277" spans="1:3" x14ac:dyDescent="0.25">
      <c r="A277" s="2" t="s">
        <v>277</v>
      </c>
      <c r="B277" t="s">
        <v>399</v>
      </c>
      <c r="C277" s="1">
        <v>0.78</v>
      </c>
    </row>
    <row r="278" spans="1:3" x14ac:dyDescent="0.25">
      <c r="A278" s="2" t="s">
        <v>278</v>
      </c>
      <c r="B278" t="s">
        <v>400</v>
      </c>
      <c r="C278" s="1">
        <v>0</v>
      </c>
    </row>
    <row r="279" spans="1:3" x14ac:dyDescent="0.25">
      <c r="A279" s="2" t="s">
        <v>279</v>
      </c>
      <c r="B279" t="s">
        <v>400</v>
      </c>
      <c r="C279" s="1">
        <v>0</v>
      </c>
    </row>
    <row r="280" spans="1:3" x14ac:dyDescent="0.25">
      <c r="A280" s="2" t="s">
        <v>280</v>
      </c>
      <c r="B280" t="s">
        <v>400</v>
      </c>
      <c r="C280" s="1">
        <v>0</v>
      </c>
    </row>
    <row r="281" spans="1:3" x14ac:dyDescent="0.25">
      <c r="A281" s="2" t="s">
        <v>281</v>
      </c>
      <c r="B281" t="s">
        <v>400</v>
      </c>
      <c r="C281" s="1">
        <v>0</v>
      </c>
    </row>
    <row r="282" spans="1:3" x14ac:dyDescent="0.25">
      <c r="A282" s="2" t="s">
        <v>282</v>
      </c>
      <c r="B282" t="s">
        <v>400</v>
      </c>
      <c r="C282" s="1">
        <v>0</v>
      </c>
    </row>
    <row r="283" spans="1:3" x14ac:dyDescent="0.25">
      <c r="A283" s="2" t="s">
        <v>283</v>
      </c>
      <c r="B283" t="s">
        <v>400</v>
      </c>
      <c r="C283" s="1">
        <v>0</v>
      </c>
    </row>
    <row r="284" spans="1:3" x14ac:dyDescent="0.25">
      <c r="A284" s="2" t="s">
        <v>284</v>
      </c>
      <c r="B284" t="s">
        <v>400</v>
      </c>
      <c r="C284" s="1">
        <v>0</v>
      </c>
    </row>
    <row r="285" spans="1:3" x14ac:dyDescent="0.25">
      <c r="A285" s="2" t="s">
        <v>285</v>
      </c>
      <c r="B285" t="s">
        <v>408</v>
      </c>
      <c r="C285" s="1">
        <v>0.12</v>
      </c>
    </row>
    <row r="286" spans="1:3" x14ac:dyDescent="0.25">
      <c r="A286" s="2" t="s">
        <v>286</v>
      </c>
      <c r="B286" t="s">
        <v>402</v>
      </c>
      <c r="C286" s="1">
        <v>0.61</v>
      </c>
    </row>
    <row r="287" spans="1:3" x14ac:dyDescent="0.25">
      <c r="A287" s="2" t="s">
        <v>287</v>
      </c>
      <c r="B287" t="s">
        <v>404</v>
      </c>
      <c r="C287" s="1">
        <v>0.4</v>
      </c>
    </row>
    <row r="288" spans="1:3" x14ac:dyDescent="0.25">
      <c r="A288" s="2" t="s">
        <v>288</v>
      </c>
      <c r="B288" t="s">
        <v>400</v>
      </c>
      <c r="C288" s="1">
        <v>0</v>
      </c>
    </row>
    <row r="289" spans="1:3" x14ac:dyDescent="0.25">
      <c r="A289" s="2" t="s">
        <v>289</v>
      </c>
      <c r="B289" t="s">
        <v>400</v>
      </c>
      <c r="C289" s="1">
        <v>0</v>
      </c>
    </row>
    <row r="290" spans="1:3" x14ac:dyDescent="0.25">
      <c r="A290" s="2" t="s">
        <v>290</v>
      </c>
      <c r="B290" t="s">
        <v>401</v>
      </c>
      <c r="C290" s="1">
        <v>0</v>
      </c>
    </row>
    <row r="291" spans="1:3" x14ac:dyDescent="0.25">
      <c r="A291" s="2" t="s">
        <v>291</v>
      </c>
      <c r="B291" t="s">
        <v>399</v>
      </c>
      <c r="C291" s="1">
        <v>0.14000000000000001</v>
      </c>
    </row>
    <row r="292" spans="1:3" x14ac:dyDescent="0.25">
      <c r="A292" s="2" t="s">
        <v>292</v>
      </c>
      <c r="B292" t="s">
        <v>400</v>
      </c>
      <c r="C292" s="1">
        <v>0</v>
      </c>
    </row>
    <row r="293" spans="1:3" x14ac:dyDescent="0.25">
      <c r="A293" s="2" t="s">
        <v>293</v>
      </c>
      <c r="B293" t="s">
        <v>400</v>
      </c>
      <c r="C293" s="1">
        <v>0</v>
      </c>
    </row>
    <row r="294" spans="1:3" x14ac:dyDescent="0.25">
      <c r="A294" s="2" t="s">
        <v>294</v>
      </c>
      <c r="B294" t="s">
        <v>400</v>
      </c>
      <c r="C294" s="1">
        <v>0</v>
      </c>
    </row>
    <row r="295" spans="1:3" x14ac:dyDescent="0.25">
      <c r="A295" s="2" t="s">
        <v>295</v>
      </c>
      <c r="B295" t="s">
        <v>404</v>
      </c>
      <c r="C295" s="1">
        <v>0.16</v>
      </c>
    </row>
    <row r="296" spans="1:3" x14ac:dyDescent="0.25">
      <c r="A296" s="2" t="s">
        <v>296</v>
      </c>
      <c r="B296" t="s">
        <v>400</v>
      </c>
      <c r="C296" s="1">
        <v>0</v>
      </c>
    </row>
    <row r="297" spans="1:3" x14ac:dyDescent="0.25">
      <c r="A297" s="2" t="s">
        <v>297</v>
      </c>
      <c r="B297" t="s">
        <v>400</v>
      </c>
      <c r="C297" s="1">
        <v>0</v>
      </c>
    </row>
    <row r="298" spans="1:3" x14ac:dyDescent="0.25">
      <c r="A298" s="2" t="s">
        <v>298</v>
      </c>
      <c r="B298" t="s">
        <v>400</v>
      </c>
      <c r="C298" s="1">
        <v>0</v>
      </c>
    </row>
    <row r="299" spans="1:3" x14ac:dyDescent="0.25">
      <c r="A299" s="2" t="s">
        <v>299</v>
      </c>
      <c r="B299" t="s">
        <v>403</v>
      </c>
      <c r="C299" s="1">
        <v>0.51</v>
      </c>
    </row>
    <row r="300" spans="1:3" x14ac:dyDescent="0.25">
      <c r="A300" s="2" t="s">
        <v>300</v>
      </c>
      <c r="B300" t="s">
        <v>401</v>
      </c>
      <c r="C300" s="1">
        <v>0</v>
      </c>
    </row>
    <row r="301" spans="1:3" x14ac:dyDescent="0.25">
      <c r="A301" s="2" t="s">
        <v>301</v>
      </c>
      <c r="B301" t="s">
        <v>400</v>
      </c>
      <c r="C301" s="1">
        <v>0</v>
      </c>
    </row>
    <row r="302" spans="1:3" x14ac:dyDescent="0.25">
      <c r="A302" s="2" t="s">
        <v>302</v>
      </c>
      <c r="B302" t="s">
        <v>400</v>
      </c>
      <c r="C302" s="1">
        <v>0</v>
      </c>
    </row>
    <row r="303" spans="1:3" x14ac:dyDescent="0.25">
      <c r="A303" s="2" t="s">
        <v>303</v>
      </c>
      <c r="B303" t="s">
        <v>400</v>
      </c>
      <c r="C303" s="1">
        <v>0</v>
      </c>
    </row>
    <row r="304" spans="1:3" x14ac:dyDescent="0.25">
      <c r="A304" s="2" t="s">
        <v>304</v>
      </c>
      <c r="B304" t="s">
        <v>400</v>
      </c>
      <c r="C304" s="1">
        <v>0</v>
      </c>
    </row>
    <row r="305" spans="1:3" x14ac:dyDescent="0.25">
      <c r="A305" s="2" t="s">
        <v>305</v>
      </c>
      <c r="B305" t="s">
        <v>399</v>
      </c>
      <c r="C305" s="1">
        <v>1</v>
      </c>
    </row>
    <row r="306" spans="1:3" x14ac:dyDescent="0.25">
      <c r="A306" s="2" t="s">
        <v>306</v>
      </c>
      <c r="B306" t="s">
        <v>400</v>
      </c>
      <c r="C306" s="1">
        <v>0</v>
      </c>
    </row>
    <row r="307" spans="1:3" x14ac:dyDescent="0.25">
      <c r="A307" s="2" t="s">
        <v>307</v>
      </c>
      <c r="B307" t="s">
        <v>400</v>
      </c>
      <c r="C307" s="1">
        <v>0</v>
      </c>
    </row>
    <row r="308" spans="1:3" x14ac:dyDescent="0.25">
      <c r="A308" s="2" t="s">
        <v>308</v>
      </c>
      <c r="B308" t="s">
        <v>400</v>
      </c>
      <c r="C308" s="1">
        <v>0</v>
      </c>
    </row>
    <row r="309" spans="1:3" x14ac:dyDescent="0.25">
      <c r="A309" s="2" t="s">
        <v>309</v>
      </c>
      <c r="B309" t="s">
        <v>400</v>
      </c>
      <c r="C309" s="1">
        <v>0</v>
      </c>
    </row>
    <row r="310" spans="1:3" x14ac:dyDescent="0.25">
      <c r="A310" s="2" t="s">
        <v>310</v>
      </c>
      <c r="B310" t="s">
        <v>401</v>
      </c>
      <c r="C310" s="1">
        <v>0</v>
      </c>
    </row>
    <row r="311" spans="1:3" x14ac:dyDescent="0.25">
      <c r="A311" s="2" t="s">
        <v>311</v>
      </c>
      <c r="B311" t="s">
        <v>402</v>
      </c>
      <c r="C311" s="1">
        <v>0.77</v>
      </c>
    </row>
    <row r="312" spans="1:3" x14ac:dyDescent="0.25">
      <c r="A312" s="2" t="s">
        <v>312</v>
      </c>
      <c r="B312" t="s">
        <v>400</v>
      </c>
      <c r="C312" s="1">
        <v>0</v>
      </c>
    </row>
    <row r="313" spans="1:3" x14ac:dyDescent="0.25">
      <c r="A313" s="2" t="s">
        <v>313</v>
      </c>
      <c r="B313" t="s">
        <v>401</v>
      </c>
      <c r="C313" s="1">
        <v>0</v>
      </c>
    </row>
    <row r="314" spans="1:3" x14ac:dyDescent="0.25">
      <c r="A314" s="2" t="s">
        <v>314</v>
      </c>
      <c r="B314" t="s">
        <v>400</v>
      </c>
      <c r="C314" s="1">
        <v>0</v>
      </c>
    </row>
    <row r="315" spans="1:3" x14ac:dyDescent="0.25">
      <c r="A315" s="2" t="s">
        <v>315</v>
      </c>
      <c r="B315" t="s">
        <v>400</v>
      </c>
      <c r="C315" s="1">
        <v>0</v>
      </c>
    </row>
    <row r="316" spans="1:3" x14ac:dyDescent="0.25">
      <c r="A316" s="2" t="s">
        <v>316</v>
      </c>
      <c r="B316" t="s">
        <v>400</v>
      </c>
      <c r="C316" s="1">
        <v>0</v>
      </c>
    </row>
    <row r="317" spans="1:3" x14ac:dyDescent="0.25">
      <c r="A317" s="2" t="s">
        <v>317</v>
      </c>
      <c r="B317" t="s">
        <v>407</v>
      </c>
      <c r="C317" s="1">
        <v>0.48</v>
      </c>
    </row>
    <row r="318" spans="1:3" x14ac:dyDescent="0.25">
      <c r="A318" s="2" t="s">
        <v>318</v>
      </c>
      <c r="B318" t="s">
        <v>400</v>
      </c>
      <c r="C318" s="1">
        <v>0</v>
      </c>
    </row>
    <row r="319" spans="1:3" x14ac:dyDescent="0.25">
      <c r="A319" s="2" t="s">
        <v>319</v>
      </c>
      <c r="B319" t="s">
        <v>404</v>
      </c>
      <c r="C319" s="1">
        <v>0.23</v>
      </c>
    </row>
    <row r="320" spans="1:3" x14ac:dyDescent="0.25">
      <c r="A320" s="2" t="s">
        <v>320</v>
      </c>
      <c r="B320" t="s">
        <v>399</v>
      </c>
      <c r="C320" s="1">
        <v>1</v>
      </c>
    </row>
    <row r="321" spans="1:3" x14ac:dyDescent="0.25">
      <c r="A321" s="2" t="s">
        <v>321</v>
      </c>
      <c r="B321" t="s">
        <v>401</v>
      </c>
      <c r="C321" s="1">
        <v>0</v>
      </c>
    </row>
    <row r="322" spans="1:3" x14ac:dyDescent="0.25">
      <c r="A322" s="2" t="s">
        <v>322</v>
      </c>
      <c r="B322" t="s">
        <v>401</v>
      </c>
      <c r="C322" s="1">
        <v>0</v>
      </c>
    </row>
    <row r="323" spans="1:3" x14ac:dyDescent="0.25">
      <c r="A323" s="2" t="s">
        <v>323</v>
      </c>
      <c r="B323" t="s">
        <v>400</v>
      </c>
      <c r="C323" s="1">
        <v>0</v>
      </c>
    </row>
    <row r="324" spans="1:3" x14ac:dyDescent="0.25">
      <c r="A324" s="2" t="s">
        <v>324</v>
      </c>
      <c r="B324" t="s">
        <v>401</v>
      </c>
      <c r="C324" s="1">
        <v>0</v>
      </c>
    </row>
    <row r="325" spans="1:3" x14ac:dyDescent="0.25">
      <c r="A325" s="2" t="s">
        <v>325</v>
      </c>
      <c r="B325" t="s">
        <v>407</v>
      </c>
      <c r="C325" s="1">
        <v>1</v>
      </c>
    </row>
    <row r="326" spans="1:3" x14ac:dyDescent="0.25">
      <c r="A326" s="2" t="s">
        <v>326</v>
      </c>
      <c r="B326" t="s">
        <v>405</v>
      </c>
      <c r="C326" s="1">
        <v>0.92</v>
      </c>
    </row>
    <row r="327" spans="1:3" x14ac:dyDescent="0.25">
      <c r="A327" s="2" t="s">
        <v>327</v>
      </c>
      <c r="B327" t="s">
        <v>403</v>
      </c>
      <c r="C327" s="1">
        <v>0.78</v>
      </c>
    </row>
    <row r="328" spans="1:3" x14ac:dyDescent="0.25">
      <c r="A328" s="2" t="s">
        <v>328</v>
      </c>
      <c r="B328" t="s">
        <v>403</v>
      </c>
      <c r="C328" s="1">
        <v>0.93</v>
      </c>
    </row>
    <row r="329" spans="1:3" x14ac:dyDescent="0.25">
      <c r="A329" s="2" t="s">
        <v>329</v>
      </c>
      <c r="B329" t="s">
        <v>401</v>
      </c>
      <c r="C329" s="1">
        <v>0</v>
      </c>
    </row>
    <row r="330" spans="1:3" x14ac:dyDescent="0.25">
      <c r="A330" s="2" t="s">
        <v>330</v>
      </c>
      <c r="B330" t="s">
        <v>400</v>
      </c>
      <c r="C330" s="1">
        <v>0</v>
      </c>
    </row>
    <row r="331" spans="1:3" x14ac:dyDescent="0.25">
      <c r="A331" s="2" t="s">
        <v>331</v>
      </c>
      <c r="B331" t="s">
        <v>400</v>
      </c>
      <c r="C331" s="1">
        <v>0</v>
      </c>
    </row>
    <row r="332" spans="1:3" x14ac:dyDescent="0.25">
      <c r="A332" s="2" t="s">
        <v>332</v>
      </c>
      <c r="B332" t="s">
        <v>400</v>
      </c>
      <c r="C332" s="1">
        <v>0</v>
      </c>
    </row>
    <row r="333" spans="1:3" x14ac:dyDescent="0.25">
      <c r="A333" s="2" t="s">
        <v>333</v>
      </c>
      <c r="B333" t="s">
        <v>403</v>
      </c>
      <c r="C333" s="1">
        <v>0.56999999999999995</v>
      </c>
    </row>
    <row r="334" spans="1:3" x14ac:dyDescent="0.25">
      <c r="A334" s="2" t="s">
        <v>334</v>
      </c>
      <c r="B334" t="s">
        <v>402</v>
      </c>
      <c r="C334" s="1">
        <v>0.7</v>
      </c>
    </row>
    <row r="335" spans="1:3" x14ac:dyDescent="0.25">
      <c r="A335" s="2" t="s">
        <v>335</v>
      </c>
      <c r="B335" t="s">
        <v>403</v>
      </c>
      <c r="C335" s="1">
        <v>0.24</v>
      </c>
    </row>
    <row r="336" spans="1:3" x14ac:dyDescent="0.25">
      <c r="A336" s="2" t="s">
        <v>336</v>
      </c>
      <c r="B336" t="s">
        <v>400</v>
      </c>
      <c r="C336" s="1">
        <v>0</v>
      </c>
    </row>
    <row r="337" spans="1:3" x14ac:dyDescent="0.25">
      <c r="A337" s="2" t="s">
        <v>337</v>
      </c>
      <c r="B337" t="s">
        <v>403</v>
      </c>
      <c r="C337" s="1">
        <v>0.45</v>
      </c>
    </row>
    <row r="338" spans="1:3" x14ac:dyDescent="0.25">
      <c r="A338" s="2" t="s">
        <v>338</v>
      </c>
      <c r="B338" t="s">
        <v>401</v>
      </c>
      <c r="C338" s="1">
        <v>0</v>
      </c>
    </row>
    <row r="339" spans="1:3" x14ac:dyDescent="0.25">
      <c r="A339" s="2" t="s">
        <v>339</v>
      </c>
      <c r="B339" t="s">
        <v>400</v>
      </c>
      <c r="C339" s="1">
        <v>0</v>
      </c>
    </row>
    <row r="340" spans="1:3" x14ac:dyDescent="0.25">
      <c r="A340" s="2" t="s">
        <v>340</v>
      </c>
      <c r="B340" t="s">
        <v>400</v>
      </c>
      <c r="C340" s="1">
        <v>0</v>
      </c>
    </row>
    <row r="341" spans="1:3" x14ac:dyDescent="0.25">
      <c r="A341" s="2" t="s">
        <v>341</v>
      </c>
      <c r="B341" t="s">
        <v>401</v>
      </c>
      <c r="C341" s="1">
        <v>0</v>
      </c>
    </row>
    <row r="342" spans="1:3" x14ac:dyDescent="0.25">
      <c r="A342" s="2" t="s">
        <v>342</v>
      </c>
      <c r="B342" t="s">
        <v>400</v>
      </c>
      <c r="C342" s="1">
        <v>0</v>
      </c>
    </row>
    <row r="343" spans="1:3" x14ac:dyDescent="0.25">
      <c r="A343" s="2" t="s">
        <v>343</v>
      </c>
      <c r="B343" t="s">
        <v>400</v>
      </c>
      <c r="C343" s="1">
        <v>0</v>
      </c>
    </row>
    <row r="344" spans="1:3" x14ac:dyDescent="0.25">
      <c r="A344" s="2" t="s">
        <v>344</v>
      </c>
      <c r="B344" t="s">
        <v>408</v>
      </c>
      <c r="C344" s="1">
        <v>0.59</v>
      </c>
    </row>
    <row r="345" spans="1:3" x14ac:dyDescent="0.25">
      <c r="A345" s="2" t="s">
        <v>345</v>
      </c>
      <c r="B345" t="s">
        <v>401</v>
      </c>
      <c r="C345" s="1">
        <v>0</v>
      </c>
    </row>
    <row r="346" spans="1:3" x14ac:dyDescent="0.25">
      <c r="A346" s="2" t="s">
        <v>346</v>
      </c>
      <c r="B346" t="s">
        <v>403</v>
      </c>
      <c r="C346" s="1">
        <v>0.12</v>
      </c>
    </row>
    <row r="347" spans="1:3" x14ac:dyDescent="0.25">
      <c r="A347" s="2" t="s">
        <v>347</v>
      </c>
      <c r="B347" t="s">
        <v>408</v>
      </c>
      <c r="C347" s="1">
        <v>0.38</v>
      </c>
    </row>
    <row r="348" spans="1:3" x14ac:dyDescent="0.25">
      <c r="A348" s="2" t="s">
        <v>348</v>
      </c>
      <c r="B348" t="s">
        <v>403</v>
      </c>
      <c r="C348" s="1">
        <v>0.71</v>
      </c>
    </row>
    <row r="349" spans="1:3" x14ac:dyDescent="0.25">
      <c r="A349" s="2" t="s">
        <v>349</v>
      </c>
      <c r="B349" t="s">
        <v>400</v>
      </c>
      <c r="C349" s="1">
        <v>0</v>
      </c>
    </row>
    <row r="350" spans="1:3" x14ac:dyDescent="0.25">
      <c r="A350" s="2" t="s">
        <v>350</v>
      </c>
      <c r="B350" t="s">
        <v>400</v>
      </c>
      <c r="C350" s="1">
        <v>0</v>
      </c>
    </row>
    <row r="351" spans="1:3" x14ac:dyDescent="0.25">
      <c r="A351" s="2" t="s">
        <v>351</v>
      </c>
      <c r="B351" t="s">
        <v>400</v>
      </c>
      <c r="C351" s="1">
        <v>0</v>
      </c>
    </row>
    <row r="352" spans="1:3" x14ac:dyDescent="0.25">
      <c r="A352" s="2" t="s">
        <v>352</v>
      </c>
      <c r="B352" t="s">
        <v>400</v>
      </c>
      <c r="C352" s="1">
        <v>0</v>
      </c>
    </row>
    <row r="353" spans="1:3" x14ac:dyDescent="0.25">
      <c r="A353" s="2" t="s">
        <v>353</v>
      </c>
      <c r="B353" t="s">
        <v>400</v>
      </c>
      <c r="C353" s="1">
        <v>0</v>
      </c>
    </row>
    <row r="354" spans="1:3" x14ac:dyDescent="0.25">
      <c r="A354" s="2" t="s">
        <v>354</v>
      </c>
      <c r="B354" t="s">
        <v>403</v>
      </c>
      <c r="C354" s="1">
        <v>1</v>
      </c>
    </row>
    <row r="355" spans="1:3" x14ac:dyDescent="0.25">
      <c r="A355" s="2" t="s">
        <v>355</v>
      </c>
      <c r="B355" t="s">
        <v>403</v>
      </c>
      <c r="C355" s="1">
        <v>0.14000000000000001</v>
      </c>
    </row>
    <row r="356" spans="1:3" x14ac:dyDescent="0.25">
      <c r="A356" s="2" t="s">
        <v>356</v>
      </c>
      <c r="B356" t="s">
        <v>400</v>
      </c>
      <c r="C356" s="1">
        <v>0</v>
      </c>
    </row>
    <row r="357" spans="1:3" x14ac:dyDescent="0.25">
      <c r="A357" s="2" t="s">
        <v>357</v>
      </c>
      <c r="B357" t="s">
        <v>401</v>
      </c>
      <c r="C357" s="1">
        <v>0</v>
      </c>
    </row>
    <row r="358" spans="1:3" x14ac:dyDescent="0.25">
      <c r="A358" s="2" t="s">
        <v>358</v>
      </c>
      <c r="B358" t="s">
        <v>402</v>
      </c>
      <c r="C358" s="1">
        <v>0.4</v>
      </c>
    </row>
    <row r="359" spans="1:3" x14ac:dyDescent="0.25">
      <c r="A359" s="2" t="s">
        <v>359</v>
      </c>
      <c r="B359" t="s">
        <v>399</v>
      </c>
      <c r="C359" s="1">
        <v>0.17</v>
      </c>
    </row>
    <row r="360" spans="1:3" x14ac:dyDescent="0.25">
      <c r="A360" s="2" t="s">
        <v>360</v>
      </c>
      <c r="B360" t="s">
        <v>400</v>
      </c>
      <c r="C360" s="1">
        <v>0</v>
      </c>
    </row>
    <row r="361" spans="1:3" x14ac:dyDescent="0.25">
      <c r="A361" s="2" t="s">
        <v>361</v>
      </c>
      <c r="B361" t="s">
        <v>401</v>
      </c>
      <c r="C361" s="1">
        <v>0</v>
      </c>
    </row>
    <row r="362" spans="1:3" x14ac:dyDescent="0.25">
      <c r="A362" s="2" t="s">
        <v>362</v>
      </c>
      <c r="B362" t="s">
        <v>400</v>
      </c>
      <c r="C362" s="1">
        <v>0</v>
      </c>
    </row>
    <row r="363" spans="1:3" x14ac:dyDescent="0.25">
      <c r="A363" s="2" t="s">
        <v>363</v>
      </c>
      <c r="B363" t="s">
        <v>403</v>
      </c>
      <c r="C363" s="1">
        <v>0.29199999999999998</v>
      </c>
    </row>
    <row r="364" spans="1:3" x14ac:dyDescent="0.25">
      <c r="A364" s="2" t="s">
        <v>364</v>
      </c>
      <c r="B364" t="s">
        <v>400</v>
      </c>
      <c r="C364" s="1">
        <v>0</v>
      </c>
    </row>
    <row r="365" spans="1:3" x14ac:dyDescent="0.25">
      <c r="A365" s="2" t="s">
        <v>365</v>
      </c>
      <c r="B365" t="s">
        <v>400</v>
      </c>
      <c r="C365" s="1">
        <v>0</v>
      </c>
    </row>
    <row r="366" spans="1:3" x14ac:dyDescent="0.25">
      <c r="A366" s="2" t="s">
        <v>366</v>
      </c>
      <c r="B366" t="s">
        <v>400</v>
      </c>
      <c r="C366" s="1">
        <v>0</v>
      </c>
    </row>
    <row r="367" spans="1:3" x14ac:dyDescent="0.25">
      <c r="A367" s="2" t="s">
        <v>367</v>
      </c>
      <c r="B367" t="s">
        <v>405</v>
      </c>
      <c r="C367" s="1">
        <v>0.28999999999999998</v>
      </c>
    </row>
    <row r="368" spans="1:3" x14ac:dyDescent="0.25">
      <c r="A368" s="2" t="s">
        <v>368</v>
      </c>
      <c r="B368" t="s">
        <v>403</v>
      </c>
      <c r="C368" s="1">
        <v>0.85</v>
      </c>
    </row>
    <row r="369" spans="1:3" x14ac:dyDescent="0.25">
      <c r="A369" s="2" t="s">
        <v>369</v>
      </c>
      <c r="B369" t="s">
        <v>401</v>
      </c>
      <c r="C369" s="1">
        <v>0</v>
      </c>
    </row>
    <row r="370" spans="1:3" x14ac:dyDescent="0.25">
      <c r="A370" s="2" t="s">
        <v>370</v>
      </c>
      <c r="B370" t="s">
        <v>400</v>
      </c>
      <c r="C370" s="1">
        <v>0</v>
      </c>
    </row>
    <row r="371" spans="1:3" x14ac:dyDescent="0.25">
      <c r="A371" s="2" t="s">
        <v>371</v>
      </c>
      <c r="B371" t="s">
        <v>400</v>
      </c>
      <c r="C371" s="1">
        <v>0</v>
      </c>
    </row>
    <row r="372" spans="1:3" x14ac:dyDescent="0.25">
      <c r="A372" s="2" t="s">
        <v>372</v>
      </c>
      <c r="B372" t="s">
        <v>405</v>
      </c>
      <c r="C372" s="1">
        <v>1</v>
      </c>
    </row>
    <row r="373" spans="1:3" x14ac:dyDescent="0.25">
      <c r="A373" s="2" t="s">
        <v>373</v>
      </c>
      <c r="B373" t="s">
        <v>400</v>
      </c>
      <c r="C373" s="1">
        <v>0</v>
      </c>
    </row>
    <row r="374" spans="1:3" x14ac:dyDescent="0.25">
      <c r="A374" s="2" t="s">
        <v>374</v>
      </c>
      <c r="B374" t="s">
        <v>403</v>
      </c>
      <c r="C374" s="1">
        <v>0.48</v>
      </c>
    </row>
    <row r="375" spans="1:3" x14ac:dyDescent="0.25">
      <c r="A375" s="2" t="s">
        <v>375</v>
      </c>
      <c r="B375" t="s">
        <v>401</v>
      </c>
      <c r="C375" s="1">
        <v>0</v>
      </c>
    </row>
    <row r="376" spans="1:3" x14ac:dyDescent="0.25">
      <c r="A376" s="2" t="s">
        <v>376</v>
      </c>
      <c r="B376" t="s">
        <v>400</v>
      </c>
      <c r="C376" s="1">
        <v>0</v>
      </c>
    </row>
    <row r="377" spans="1:3" x14ac:dyDescent="0.25">
      <c r="A377" s="2" t="s">
        <v>377</v>
      </c>
      <c r="B377" t="s">
        <v>400</v>
      </c>
      <c r="C377" s="1">
        <v>0</v>
      </c>
    </row>
    <row r="378" spans="1:3" x14ac:dyDescent="0.25">
      <c r="A378" s="2" t="s">
        <v>378</v>
      </c>
      <c r="B378" t="s">
        <v>399</v>
      </c>
      <c r="C378" s="1">
        <v>0.31</v>
      </c>
    </row>
    <row r="379" spans="1:3" x14ac:dyDescent="0.25">
      <c r="A379" s="2" t="s">
        <v>379</v>
      </c>
      <c r="B379" t="s">
        <v>400</v>
      </c>
      <c r="C379" s="1">
        <v>0</v>
      </c>
    </row>
    <row r="380" spans="1:3" x14ac:dyDescent="0.25">
      <c r="A380" s="2" t="s">
        <v>380</v>
      </c>
      <c r="B380" t="s">
        <v>404</v>
      </c>
      <c r="C380" s="1">
        <v>0.83</v>
      </c>
    </row>
    <row r="381" spans="1:3" x14ac:dyDescent="0.25">
      <c r="A381" s="2" t="s">
        <v>381</v>
      </c>
      <c r="B381" t="s">
        <v>401</v>
      </c>
      <c r="C381" s="1">
        <v>0</v>
      </c>
    </row>
    <row r="382" spans="1:3" x14ac:dyDescent="0.25">
      <c r="A382" s="2" t="s">
        <v>382</v>
      </c>
      <c r="B382" t="s">
        <v>400</v>
      </c>
      <c r="C382" s="1">
        <v>0</v>
      </c>
    </row>
    <row r="383" spans="1:3" x14ac:dyDescent="0.25">
      <c r="A383" s="2" t="s">
        <v>383</v>
      </c>
      <c r="B383" t="s">
        <v>400</v>
      </c>
      <c r="C383" s="1">
        <v>0</v>
      </c>
    </row>
    <row r="384" spans="1:3" x14ac:dyDescent="0.25">
      <c r="A384" s="2" t="s">
        <v>384</v>
      </c>
      <c r="B384" t="s">
        <v>401</v>
      </c>
      <c r="C384" s="1">
        <v>0</v>
      </c>
    </row>
    <row r="385" spans="1:3" x14ac:dyDescent="0.25">
      <c r="A385" s="2" t="s">
        <v>385</v>
      </c>
      <c r="B385" t="s">
        <v>400</v>
      </c>
      <c r="C385" s="1">
        <v>0</v>
      </c>
    </row>
    <row r="386" spans="1:3" x14ac:dyDescent="0.25">
      <c r="A386" s="2" t="s">
        <v>386</v>
      </c>
      <c r="B386" t="s">
        <v>400</v>
      </c>
      <c r="C386" s="1">
        <v>0</v>
      </c>
    </row>
    <row r="387" spans="1:3" x14ac:dyDescent="0.25">
      <c r="A387" s="2" t="s">
        <v>387</v>
      </c>
      <c r="B387" t="s">
        <v>401</v>
      </c>
      <c r="C387" s="1">
        <v>0</v>
      </c>
    </row>
    <row r="388" spans="1:3" x14ac:dyDescent="0.25">
      <c r="A388" s="2" t="s">
        <v>388</v>
      </c>
      <c r="B388" t="s">
        <v>401</v>
      </c>
      <c r="C388" s="1">
        <v>0</v>
      </c>
    </row>
    <row r="389" spans="1:3" x14ac:dyDescent="0.25">
      <c r="A389" s="2" t="s">
        <v>389</v>
      </c>
      <c r="B389" t="s">
        <v>400</v>
      </c>
      <c r="C389" s="1">
        <v>0</v>
      </c>
    </row>
    <row r="390" spans="1:3" x14ac:dyDescent="0.25">
      <c r="A390" s="2" t="s">
        <v>390</v>
      </c>
      <c r="B390" t="s">
        <v>399</v>
      </c>
      <c r="C390" s="1">
        <v>0.1</v>
      </c>
    </row>
    <row r="391" spans="1:3" x14ac:dyDescent="0.25">
      <c r="A391" s="2" t="s">
        <v>391</v>
      </c>
      <c r="B391" t="s">
        <v>400</v>
      </c>
      <c r="C391" s="1">
        <v>0</v>
      </c>
    </row>
    <row r="392" spans="1:3" x14ac:dyDescent="0.25">
      <c r="A392" s="2" t="s">
        <v>392</v>
      </c>
      <c r="B392" t="s">
        <v>400</v>
      </c>
      <c r="C392" s="1">
        <v>0</v>
      </c>
    </row>
    <row r="393" spans="1:3" x14ac:dyDescent="0.25">
      <c r="A393" s="2" t="s">
        <v>393</v>
      </c>
      <c r="B393" t="s">
        <v>403</v>
      </c>
      <c r="C393" s="1">
        <v>0.19</v>
      </c>
    </row>
    <row r="394" spans="1:3" x14ac:dyDescent="0.25">
      <c r="A394" s="2" t="s">
        <v>394</v>
      </c>
      <c r="B394" t="s">
        <v>404</v>
      </c>
      <c r="C394" s="1">
        <v>1</v>
      </c>
    </row>
    <row r="395" spans="1:3" x14ac:dyDescent="0.25">
      <c r="A395" s="2" t="s">
        <v>395</v>
      </c>
      <c r="B395" t="s">
        <v>404</v>
      </c>
      <c r="C395" s="1">
        <v>0.22</v>
      </c>
    </row>
    <row r="396" spans="1:3" x14ac:dyDescent="0.25">
      <c r="A396" s="2" t="s">
        <v>396</v>
      </c>
      <c r="B396" t="s">
        <v>400</v>
      </c>
      <c r="C396" s="1">
        <v>0</v>
      </c>
    </row>
    <row r="397" spans="1:3" x14ac:dyDescent="0.25">
      <c r="A397" s="2" t="s">
        <v>397</v>
      </c>
      <c r="B397" t="s">
        <v>400</v>
      </c>
      <c r="C397" s="1">
        <v>0</v>
      </c>
    </row>
    <row r="398" spans="1:3" x14ac:dyDescent="0.25">
      <c r="A398" s="2" t="s">
        <v>398</v>
      </c>
      <c r="B398" t="s">
        <v>400</v>
      </c>
      <c r="C398" s="1">
        <v>0</v>
      </c>
    </row>
  </sheetData>
  <pageMargins left="0.7" right="0.7" top="0.75" bottom="0.75" header="0.3" footer="0.3"/>
  <headerFooter>
    <oddFooter>&amp;C_x000D_&amp;1#&amp;"Aptos"&amp;10&amp;KFFEF00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C825-5469-4162-9BE3-E33238DB98B4}">
  <dimension ref="A1:C1327"/>
  <sheetViews>
    <sheetView topLeftCell="A1295" workbookViewId="0">
      <selection activeCell="A2" sqref="A2:C1327"/>
    </sheetView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s="2" t="s">
        <v>409</v>
      </c>
      <c r="B2" t="s">
        <v>399</v>
      </c>
      <c r="C2" s="3">
        <v>0.9</v>
      </c>
    </row>
    <row r="3" spans="1:3" x14ac:dyDescent="0.25">
      <c r="A3" s="2" t="s">
        <v>410</v>
      </c>
      <c r="B3" t="s">
        <v>400</v>
      </c>
      <c r="C3" s="3">
        <v>0</v>
      </c>
    </row>
    <row r="4" spans="1:3" x14ac:dyDescent="0.25">
      <c r="A4" s="2" t="s">
        <v>411</v>
      </c>
      <c r="B4" t="s">
        <v>400</v>
      </c>
      <c r="C4" s="3">
        <v>0</v>
      </c>
    </row>
    <row r="5" spans="1:3" x14ac:dyDescent="0.25">
      <c r="A5" s="2" t="s">
        <v>412</v>
      </c>
      <c r="B5" t="s">
        <v>400</v>
      </c>
      <c r="C5" s="3">
        <v>0</v>
      </c>
    </row>
    <row r="6" spans="1:3" x14ac:dyDescent="0.25">
      <c r="A6" s="2" t="s">
        <v>413</v>
      </c>
      <c r="B6" t="s">
        <v>399</v>
      </c>
      <c r="C6" s="3">
        <v>0.64</v>
      </c>
    </row>
    <row r="7" spans="1:3" x14ac:dyDescent="0.25">
      <c r="A7" s="2" t="s">
        <v>414</v>
      </c>
      <c r="B7" t="s">
        <v>399</v>
      </c>
      <c r="C7" s="3">
        <v>0.57999999999999996</v>
      </c>
    </row>
    <row r="8" spans="1:3" x14ac:dyDescent="0.25">
      <c r="A8" s="2" t="s">
        <v>415</v>
      </c>
      <c r="B8" t="s">
        <v>400</v>
      </c>
      <c r="C8" s="3">
        <v>0</v>
      </c>
    </row>
    <row r="9" spans="1:3" x14ac:dyDescent="0.25">
      <c r="A9" s="2" t="s">
        <v>416</v>
      </c>
      <c r="B9" t="s">
        <v>400</v>
      </c>
      <c r="C9" s="3">
        <v>0</v>
      </c>
    </row>
    <row r="10" spans="1:3" x14ac:dyDescent="0.25">
      <c r="A10" s="2" t="s">
        <v>417</v>
      </c>
      <c r="B10" t="s">
        <v>401</v>
      </c>
      <c r="C10" s="3">
        <v>0</v>
      </c>
    </row>
    <row r="11" spans="1:3" x14ac:dyDescent="0.25">
      <c r="A11" s="2" t="s">
        <v>418</v>
      </c>
      <c r="B11" t="s">
        <v>400</v>
      </c>
      <c r="C11" s="3">
        <v>0</v>
      </c>
    </row>
    <row r="12" spans="1:3" x14ac:dyDescent="0.25">
      <c r="A12" s="2" t="s">
        <v>419</v>
      </c>
      <c r="B12" t="s">
        <v>400</v>
      </c>
      <c r="C12" s="3">
        <v>0</v>
      </c>
    </row>
    <row r="13" spans="1:3" x14ac:dyDescent="0.25">
      <c r="A13" s="2" t="s">
        <v>420</v>
      </c>
      <c r="B13" t="s">
        <v>400</v>
      </c>
      <c r="C13" s="3">
        <v>0</v>
      </c>
    </row>
    <row r="14" spans="1:3" x14ac:dyDescent="0.25">
      <c r="A14" s="2" t="s">
        <v>421</v>
      </c>
      <c r="B14" t="s">
        <v>400</v>
      </c>
      <c r="C14" s="3">
        <v>0</v>
      </c>
    </row>
    <row r="15" spans="1:3" x14ac:dyDescent="0.25">
      <c r="A15" s="2" t="s">
        <v>422</v>
      </c>
      <c r="B15" t="s">
        <v>400</v>
      </c>
      <c r="C15" s="3">
        <v>0</v>
      </c>
    </row>
    <row r="16" spans="1:3" x14ac:dyDescent="0.25">
      <c r="A16" s="2" t="s">
        <v>423</v>
      </c>
      <c r="B16" t="s">
        <v>400</v>
      </c>
      <c r="C16" s="3">
        <v>0</v>
      </c>
    </row>
    <row r="17" spans="1:3" x14ac:dyDescent="0.25">
      <c r="A17" s="2" t="s">
        <v>424</v>
      </c>
      <c r="B17" t="s">
        <v>400</v>
      </c>
      <c r="C17" s="3">
        <v>0</v>
      </c>
    </row>
    <row r="18" spans="1:3" x14ac:dyDescent="0.25">
      <c r="A18" s="2" t="s">
        <v>425</v>
      </c>
      <c r="B18" t="s">
        <v>400</v>
      </c>
      <c r="C18" s="3">
        <v>0</v>
      </c>
    </row>
    <row r="19" spans="1:3" x14ac:dyDescent="0.25">
      <c r="A19" s="2" t="s">
        <v>426</v>
      </c>
      <c r="B19" t="s">
        <v>401</v>
      </c>
      <c r="C19" s="3">
        <v>0</v>
      </c>
    </row>
    <row r="20" spans="1:3" x14ac:dyDescent="0.25">
      <c r="A20" s="2" t="s">
        <v>427</v>
      </c>
      <c r="B20" t="s">
        <v>400</v>
      </c>
      <c r="C20" s="3">
        <v>0</v>
      </c>
    </row>
    <row r="21" spans="1:3" x14ac:dyDescent="0.25">
      <c r="A21" s="2" t="s">
        <v>3</v>
      </c>
      <c r="B21" t="s">
        <v>399</v>
      </c>
      <c r="C21" s="3">
        <v>1</v>
      </c>
    </row>
    <row r="22" spans="1:3" x14ac:dyDescent="0.25">
      <c r="A22" s="2" t="s">
        <v>428</v>
      </c>
      <c r="B22" t="s">
        <v>400</v>
      </c>
      <c r="C22" s="3">
        <v>0</v>
      </c>
    </row>
    <row r="23" spans="1:3" x14ac:dyDescent="0.25">
      <c r="A23" s="2" t="s">
        <v>429</v>
      </c>
      <c r="B23" t="s">
        <v>400</v>
      </c>
      <c r="C23" s="3">
        <v>0</v>
      </c>
    </row>
    <row r="24" spans="1:3" x14ac:dyDescent="0.25">
      <c r="A24" s="2" t="s">
        <v>430</v>
      </c>
      <c r="B24" t="s">
        <v>403</v>
      </c>
      <c r="C24" s="3">
        <v>0.15</v>
      </c>
    </row>
    <row r="25" spans="1:3" x14ac:dyDescent="0.25">
      <c r="A25" s="2" t="s">
        <v>431</v>
      </c>
      <c r="B25" t="s">
        <v>399</v>
      </c>
      <c r="C25" s="3">
        <v>1</v>
      </c>
    </row>
    <row r="26" spans="1:3" x14ac:dyDescent="0.25">
      <c r="A26" s="2" t="s">
        <v>432</v>
      </c>
      <c r="B26" t="s">
        <v>400</v>
      </c>
      <c r="C26" s="3">
        <v>0</v>
      </c>
    </row>
    <row r="27" spans="1:3" x14ac:dyDescent="0.25">
      <c r="A27" s="2" t="s">
        <v>433</v>
      </c>
      <c r="B27" t="s">
        <v>399</v>
      </c>
      <c r="C27" s="3">
        <v>0.9</v>
      </c>
    </row>
    <row r="28" spans="1:3" x14ac:dyDescent="0.25">
      <c r="A28" s="2" t="s">
        <v>434</v>
      </c>
      <c r="B28" t="s">
        <v>400</v>
      </c>
      <c r="C28" s="3">
        <v>0</v>
      </c>
    </row>
    <row r="29" spans="1:3" x14ac:dyDescent="0.25">
      <c r="A29" s="2" t="s">
        <v>435</v>
      </c>
      <c r="B29" t="s">
        <v>401</v>
      </c>
      <c r="C29" s="3">
        <v>0</v>
      </c>
    </row>
    <row r="30" spans="1:3" x14ac:dyDescent="0.25">
      <c r="A30" s="2" t="s">
        <v>436</v>
      </c>
      <c r="B30" t="s">
        <v>401</v>
      </c>
      <c r="C30" s="3">
        <v>0</v>
      </c>
    </row>
    <row r="31" spans="1:3" x14ac:dyDescent="0.25">
      <c r="A31" s="2" t="s">
        <v>437</v>
      </c>
      <c r="B31" t="s">
        <v>400</v>
      </c>
      <c r="C31" s="3">
        <v>0</v>
      </c>
    </row>
    <row r="32" spans="1:3" x14ac:dyDescent="0.25">
      <c r="A32" s="2" t="s">
        <v>438</v>
      </c>
      <c r="B32" t="s">
        <v>400</v>
      </c>
      <c r="C32" s="3">
        <v>0</v>
      </c>
    </row>
    <row r="33" spans="1:3" x14ac:dyDescent="0.25">
      <c r="A33" s="2" t="s">
        <v>439</v>
      </c>
      <c r="B33" t="s">
        <v>401</v>
      </c>
      <c r="C33" s="3">
        <v>0</v>
      </c>
    </row>
    <row r="34" spans="1:3" x14ac:dyDescent="0.25">
      <c r="A34" s="2" t="s">
        <v>440</v>
      </c>
      <c r="B34" t="s">
        <v>400</v>
      </c>
      <c r="C34" s="3">
        <v>0</v>
      </c>
    </row>
    <row r="35" spans="1:3" x14ac:dyDescent="0.25">
      <c r="A35" s="2" t="s">
        <v>441</v>
      </c>
      <c r="B35" t="s">
        <v>401</v>
      </c>
      <c r="C35" s="3">
        <v>0</v>
      </c>
    </row>
    <row r="36" spans="1:3" x14ac:dyDescent="0.25">
      <c r="A36" s="2" t="s">
        <v>442</v>
      </c>
      <c r="B36" t="s">
        <v>400</v>
      </c>
      <c r="C36" s="3">
        <v>0</v>
      </c>
    </row>
    <row r="37" spans="1:3" x14ac:dyDescent="0.25">
      <c r="A37" s="2" t="s">
        <v>5</v>
      </c>
      <c r="B37" t="s">
        <v>399</v>
      </c>
      <c r="C37" s="3">
        <v>1</v>
      </c>
    </row>
    <row r="38" spans="1:3" x14ac:dyDescent="0.25">
      <c r="A38" s="2" t="s">
        <v>443</v>
      </c>
      <c r="B38" t="s">
        <v>400</v>
      </c>
      <c r="C38" s="3">
        <v>0</v>
      </c>
    </row>
    <row r="39" spans="1:3" x14ac:dyDescent="0.25">
      <c r="A39" s="2" t="s">
        <v>444</v>
      </c>
      <c r="B39" t="s">
        <v>400</v>
      </c>
      <c r="C39" s="3">
        <v>0</v>
      </c>
    </row>
    <row r="40" spans="1:3" x14ac:dyDescent="0.25">
      <c r="A40" s="2" t="s">
        <v>445</v>
      </c>
      <c r="B40" t="s">
        <v>401</v>
      </c>
      <c r="C40" s="3">
        <v>0</v>
      </c>
    </row>
    <row r="41" spans="1:3" x14ac:dyDescent="0.25">
      <c r="A41" s="2" t="s">
        <v>446</v>
      </c>
      <c r="B41" t="s">
        <v>401</v>
      </c>
      <c r="C41" s="3">
        <v>0</v>
      </c>
    </row>
    <row r="42" spans="1:3" x14ac:dyDescent="0.25">
      <c r="A42" s="2" t="s">
        <v>447</v>
      </c>
      <c r="B42" t="s">
        <v>400</v>
      </c>
      <c r="C42" s="3">
        <v>0</v>
      </c>
    </row>
    <row r="43" spans="1:3" x14ac:dyDescent="0.25">
      <c r="A43" s="2" t="s">
        <v>448</v>
      </c>
      <c r="B43" t="s">
        <v>400</v>
      </c>
      <c r="C43" s="3">
        <v>0</v>
      </c>
    </row>
    <row r="44" spans="1:3" x14ac:dyDescent="0.25">
      <c r="A44" s="2" t="s">
        <v>449</v>
      </c>
      <c r="B44" t="s">
        <v>399</v>
      </c>
      <c r="C44" s="3">
        <v>1</v>
      </c>
    </row>
    <row r="45" spans="1:3" x14ac:dyDescent="0.25">
      <c r="A45" s="2" t="s">
        <v>450</v>
      </c>
      <c r="B45" t="s">
        <v>400</v>
      </c>
      <c r="C45" s="3">
        <v>0</v>
      </c>
    </row>
    <row r="46" spans="1:3" x14ac:dyDescent="0.25">
      <c r="A46" s="2" t="s">
        <v>451</v>
      </c>
      <c r="B46" t="s">
        <v>400</v>
      </c>
      <c r="C46" s="3">
        <v>0</v>
      </c>
    </row>
    <row r="47" spans="1:3" x14ac:dyDescent="0.25">
      <c r="A47" s="2" t="s">
        <v>452</v>
      </c>
      <c r="B47" t="s">
        <v>401</v>
      </c>
      <c r="C47" s="3">
        <v>0</v>
      </c>
    </row>
    <row r="48" spans="1:3" x14ac:dyDescent="0.25">
      <c r="A48" s="2" t="s">
        <v>453</v>
      </c>
      <c r="B48" t="s">
        <v>400</v>
      </c>
      <c r="C48" s="3">
        <v>0</v>
      </c>
    </row>
    <row r="49" spans="1:3" x14ac:dyDescent="0.25">
      <c r="A49" s="2" t="s">
        <v>454</v>
      </c>
      <c r="B49" t="s">
        <v>400</v>
      </c>
      <c r="C49" s="3">
        <v>0</v>
      </c>
    </row>
    <row r="50" spans="1:3" x14ac:dyDescent="0.25">
      <c r="A50" s="2" t="s">
        <v>455</v>
      </c>
      <c r="B50" t="s">
        <v>399</v>
      </c>
      <c r="C50" s="3">
        <v>1</v>
      </c>
    </row>
    <row r="51" spans="1:3" x14ac:dyDescent="0.25">
      <c r="A51" s="2" t="s">
        <v>456</v>
      </c>
      <c r="B51" t="s">
        <v>400</v>
      </c>
      <c r="C51" s="3">
        <v>0</v>
      </c>
    </row>
    <row r="52" spans="1:3" x14ac:dyDescent="0.25">
      <c r="A52" s="2" t="s">
        <v>8</v>
      </c>
      <c r="B52" t="s">
        <v>400</v>
      </c>
      <c r="C52" s="3">
        <v>0</v>
      </c>
    </row>
    <row r="53" spans="1:3" x14ac:dyDescent="0.25">
      <c r="A53" s="2" t="s">
        <v>457</v>
      </c>
      <c r="B53" t="s">
        <v>400</v>
      </c>
      <c r="C53" s="3">
        <v>0</v>
      </c>
    </row>
    <row r="54" spans="1:3" x14ac:dyDescent="0.25">
      <c r="A54" s="2" t="s">
        <v>458</v>
      </c>
      <c r="B54" t="s">
        <v>400</v>
      </c>
      <c r="C54" s="3">
        <v>0</v>
      </c>
    </row>
    <row r="55" spans="1:3" x14ac:dyDescent="0.25">
      <c r="A55" s="2" t="s">
        <v>459</v>
      </c>
      <c r="B55" t="s">
        <v>400</v>
      </c>
      <c r="C55" s="3">
        <v>0</v>
      </c>
    </row>
    <row r="56" spans="1:3" x14ac:dyDescent="0.25">
      <c r="A56" s="2" t="s">
        <v>460</v>
      </c>
      <c r="B56" t="s">
        <v>400</v>
      </c>
      <c r="C56" s="3">
        <v>0</v>
      </c>
    </row>
    <row r="57" spans="1:3" x14ac:dyDescent="0.25">
      <c r="A57" s="2" t="s">
        <v>461</v>
      </c>
      <c r="B57" t="s">
        <v>400</v>
      </c>
      <c r="C57" s="3">
        <v>0</v>
      </c>
    </row>
    <row r="58" spans="1:3" x14ac:dyDescent="0.25">
      <c r="A58" s="2" t="s">
        <v>9</v>
      </c>
      <c r="B58" t="s">
        <v>400</v>
      </c>
      <c r="C58" s="3">
        <v>0</v>
      </c>
    </row>
    <row r="59" spans="1:3" x14ac:dyDescent="0.25">
      <c r="A59" s="2" t="s">
        <v>462</v>
      </c>
      <c r="B59" t="s">
        <v>400</v>
      </c>
      <c r="C59" s="3">
        <v>0</v>
      </c>
    </row>
    <row r="60" spans="1:3" x14ac:dyDescent="0.25">
      <c r="A60" s="2" t="s">
        <v>463</v>
      </c>
      <c r="B60" t="s">
        <v>401</v>
      </c>
      <c r="C60" s="3">
        <v>0</v>
      </c>
    </row>
    <row r="61" spans="1:3" x14ac:dyDescent="0.25">
      <c r="A61" s="2" t="s">
        <v>464</v>
      </c>
      <c r="B61" t="s">
        <v>399</v>
      </c>
      <c r="C61" s="3">
        <v>1</v>
      </c>
    </row>
    <row r="62" spans="1:3" x14ac:dyDescent="0.25">
      <c r="A62" s="2" t="s">
        <v>465</v>
      </c>
      <c r="B62" t="s">
        <v>401</v>
      </c>
      <c r="C62" s="3">
        <v>0</v>
      </c>
    </row>
    <row r="63" spans="1:3" x14ac:dyDescent="0.25">
      <c r="A63" s="2" t="s">
        <v>466</v>
      </c>
      <c r="B63" t="s">
        <v>401</v>
      </c>
      <c r="C63" s="3">
        <v>0</v>
      </c>
    </row>
    <row r="64" spans="1:3" x14ac:dyDescent="0.25">
      <c r="A64" s="2" t="s">
        <v>467</v>
      </c>
      <c r="B64" t="s">
        <v>401</v>
      </c>
      <c r="C64" s="3">
        <v>0</v>
      </c>
    </row>
    <row r="65" spans="1:3" x14ac:dyDescent="0.25">
      <c r="A65" s="2" t="s">
        <v>468</v>
      </c>
      <c r="B65" t="s">
        <v>399</v>
      </c>
      <c r="C65" s="3">
        <v>1</v>
      </c>
    </row>
    <row r="66" spans="1:3" x14ac:dyDescent="0.25">
      <c r="A66" s="2" t="s">
        <v>469</v>
      </c>
      <c r="B66" t="s">
        <v>399</v>
      </c>
      <c r="C66" s="3">
        <v>1</v>
      </c>
    </row>
    <row r="67" spans="1:3" x14ac:dyDescent="0.25">
      <c r="A67" s="2" t="s">
        <v>4</v>
      </c>
      <c r="B67" t="s">
        <v>400</v>
      </c>
      <c r="C67" s="3">
        <v>0</v>
      </c>
    </row>
    <row r="68" spans="1:3" x14ac:dyDescent="0.25">
      <c r="A68" s="2" t="s">
        <v>470</v>
      </c>
      <c r="B68" t="s">
        <v>401</v>
      </c>
      <c r="C68" s="3">
        <v>0</v>
      </c>
    </row>
    <row r="69" spans="1:3" x14ac:dyDescent="0.25">
      <c r="A69" s="2" t="s">
        <v>471</v>
      </c>
      <c r="B69" t="s">
        <v>400</v>
      </c>
      <c r="C69" s="3">
        <v>0</v>
      </c>
    </row>
    <row r="70" spans="1:3" x14ac:dyDescent="0.25">
      <c r="A70" s="2" t="s">
        <v>11</v>
      </c>
      <c r="B70" t="s">
        <v>399</v>
      </c>
      <c r="C70" s="3">
        <v>1</v>
      </c>
    </row>
    <row r="71" spans="1:3" x14ac:dyDescent="0.25">
      <c r="A71" s="2" t="s">
        <v>472</v>
      </c>
      <c r="B71" t="s">
        <v>400</v>
      </c>
      <c r="C71" s="3">
        <v>0</v>
      </c>
    </row>
    <row r="72" spans="1:3" x14ac:dyDescent="0.25">
      <c r="A72" s="2" t="s">
        <v>473</v>
      </c>
      <c r="B72" t="s">
        <v>400</v>
      </c>
      <c r="C72" s="3">
        <v>0</v>
      </c>
    </row>
    <row r="73" spans="1:3" x14ac:dyDescent="0.25">
      <c r="A73" s="2" t="s">
        <v>474</v>
      </c>
      <c r="B73" t="s">
        <v>400</v>
      </c>
      <c r="C73" s="3">
        <v>0</v>
      </c>
    </row>
    <row r="74" spans="1:3" x14ac:dyDescent="0.25">
      <c r="A74" s="2" t="s">
        <v>475</v>
      </c>
      <c r="B74" t="s">
        <v>401</v>
      </c>
      <c r="C74" s="3">
        <v>0</v>
      </c>
    </row>
    <row r="75" spans="1:3" x14ac:dyDescent="0.25">
      <c r="A75" s="2" t="s">
        <v>476</v>
      </c>
      <c r="B75" t="s">
        <v>399</v>
      </c>
      <c r="C75" s="3">
        <v>1</v>
      </c>
    </row>
    <row r="76" spans="1:3" x14ac:dyDescent="0.25">
      <c r="A76" s="2" t="s">
        <v>477</v>
      </c>
      <c r="B76" t="s">
        <v>400</v>
      </c>
      <c r="C76" s="3">
        <v>0</v>
      </c>
    </row>
    <row r="77" spans="1:3" x14ac:dyDescent="0.25">
      <c r="A77" s="2" t="s">
        <v>478</v>
      </c>
      <c r="B77" t="s">
        <v>400</v>
      </c>
      <c r="C77" s="3">
        <v>0</v>
      </c>
    </row>
    <row r="78" spans="1:3" x14ac:dyDescent="0.25">
      <c r="A78" s="2" t="s">
        <v>14</v>
      </c>
      <c r="B78" t="s">
        <v>400</v>
      </c>
      <c r="C78" s="3">
        <v>0</v>
      </c>
    </row>
    <row r="79" spans="1:3" x14ac:dyDescent="0.25">
      <c r="A79" s="2" t="s">
        <v>479</v>
      </c>
      <c r="B79" t="s">
        <v>399</v>
      </c>
      <c r="C79" s="3">
        <v>1</v>
      </c>
    </row>
    <row r="80" spans="1:3" x14ac:dyDescent="0.25">
      <c r="A80" s="2" t="s">
        <v>480</v>
      </c>
      <c r="B80" t="s">
        <v>401</v>
      </c>
      <c r="C80" s="3">
        <v>0</v>
      </c>
    </row>
    <row r="81" spans="1:3" x14ac:dyDescent="0.25">
      <c r="A81" s="2" t="s">
        <v>481</v>
      </c>
      <c r="B81" t="s">
        <v>401</v>
      </c>
      <c r="C81" s="3">
        <v>0</v>
      </c>
    </row>
    <row r="82" spans="1:3" x14ac:dyDescent="0.25">
      <c r="A82" s="2" t="s">
        <v>482</v>
      </c>
      <c r="B82" t="s">
        <v>400</v>
      </c>
      <c r="C82" s="3">
        <v>0</v>
      </c>
    </row>
    <row r="83" spans="1:3" x14ac:dyDescent="0.25">
      <c r="A83" s="2" t="s">
        <v>483</v>
      </c>
      <c r="B83" t="s">
        <v>400</v>
      </c>
      <c r="C83" s="3">
        <v>0</v>
      </c>
    </row>
    <row r="84" spans="1:3" x14ac:dyDescent="0.25">
      <c r="A84" s="2" t="s">
        <v>484</v>
      </c>
      <c r="B84" t="s">
        <v>401</v>
      </c>
      <c r="C84" s="3">
        <v>0</v>
      </c>
    </row>
    <row r="85" spans="1:3" x14ac:dyDescent="0.25">
      <c r="A85" s="2" t="s">
        <v>485</v>
      </c>
      <c r="B85" t="s">
        <v>400</v>
      </c>
      <c r="C85" s="3">
        <v>0</v>
      </c>
    </row>
    <row r="86" spans="1:3" x14ac:dyDescent="0.25">
      <c r="A86" s="2" t="s">
        <v>17</v>
      </c>
      <c r="B86" t="s">
        <v>400</v>
      </c>
      <c r="C86" s="3">
        <v>0</v>
      </c>
    </row>
    <row r="87" spans="1:3" x14ac:dyDescent="0.25">
      <c r="A87" s="2" t="s">
        <v>486</v>
      </c>
      <c r="B87" t="s">
        <v>400</v>
      </c>
      <c r="C87" s="3">
        <v>0</v>
      </c>
    </row>
    <row r="88" spans="1:3" x14ac:dyDescent="0.25">
      <c r="A88" s="2" t="s">
        <v>487</v>
      </c>
      <c r="B88" t="s">
        <v>401</v>
      </c>
      <c r="C88" s="3">
        <v>0</v>
      </c>
    </row>
    <row r="89" spans="1:3" x14ac:dyDescent="0.25">
      <c r="A89" s="2" t="s">
        <v>488</v>
      </c>
      <c r="B89" t="s">
        <v>399</v>
      </c>
      <c r="C89" s="3">
        <v>1</v>
      </c>
    </row>
    <row r="90" spans="1:3" x14ac:dyDescent="0.25">
      <c r="A90" s="2" t="s">
        <v>1545</v>
      </c>
      <c r="B90" t="s">
        <v>400</v>
      </c>
      <c r="C90" s="3">
        <v>0</v>
      </c>
    </row>
    <row r="91" spans="1:3" x14ac:dyDescent="0.25">
      <c r="A91" s="2" t="s">
        <v>18</v>
      </c>
      <c r="B91" t="s">
        <v>404</v>
      </c>
      <c r="C91" s="3">
        <v>0.74</v>
      </c>
    </row>
    <row r="92" spans="1:3" x14ac:dyDescent="0.25">
      <c r="A92" s="2" t="s">
        <v>489</v>
      </c>
      <c r="B92" t="s">
        <v>399</v>
      </c>
      <c r="C92" s="3">
        <v>0.74</v>
      </c>
    </row>
    <row r="93" spans="1:3" x14ac:dyDescent="0.25">
      <c r="A93" s="2" t="s">
        <v>490</v>
      </c>
      <c r="B93" t="s">
        <v>401</v>
      </c>
      <c r="C93" s="3">
        <v>0</v>
      </c>
    </row>
    <row r="94" spans="1:3" x14ac:dyDescent="0.25">
      <c r="A94" s="2" t="s">
        <v>491</v>
      </c>
      <c r="B94" t="s">
        <v>399</v>
      </c>
      <c r="C94" s="3">
        <v>1</v>
      </c>
    </row>
    <row r="95" spans="1:3" x14ac:dyDescent="0.25">
      <c r="A95" s="2" t="s">
        <v>492</v>
      </c>
      <c r="B95" t="s">
        <v>401</v>
      </c>
      <c r="C95" s="3">
        <v>0</v>
      </c>
    </row>
    <row r="96" spans="1:3" x14ac:dyDescent="0.25">
      <c r="A96" s="2" t="s">
        <v>493</v>
      </c>
      <c r="B96" t="s">
        <v>401</v>
      </c>
      <c r="C96" s="3">
        <v>0</v>
      </c>
    </row>
    <row r="97" spans="1:3" x14ac:dyDescent="0.25">
      <c r="A97" s="2" t="s">
        <v>494</v>
      </c>
      <c r="B97" t="s">
        <v>400</v>
      </c>
      <c r="C97" s="3">
        <v>0</v>
      </c>
    </row>
    <row r="98" spans="1:3" x14ac:dyDescent="0.25">
      <c r="A98" s="2" t="s">
        <v>10</v>
      </c>
      <c r="B98" t="s">
        <v>400</v>
      </c>
      <c r="C98" s="3">
        <v>0</v>
      </c>
    </row>
    <row r="99" spans="1:3" x14ac:dyDescent="0.25">
      <c r="A99" s="2" t="s">
        <v>495</v>
      </c>
      <c r="B99" t="s">
        <v>407</v>
      </c>
      <c r="C99" s="3">
        <v>0.8</v>
      </c>
    </row>
    <row r="100" spans="1:3" x14ac:dyDescent="0.25">
      <c r="A100" s="2" t="s">
        <v>496</v>
      </c>
      <c r="B100" t="s">
        <v>403</v>
      </c>
      <c r="C100" s="3">
        <v>0.89</v>
      </c>
    </row>
    <row r="101" spans="1:3" x14ac:dyDescent="0.25">
      <c r="A101" s="2" t="s">
        <v>497</v>
      </c>
      <c r="B101" t="s">
        <v>400</v>
      </c>
      <c r="C101" s="3">
        <v>0</v>
      </c>
    </row>
    <row r="102" spans="1:3" x14ac:dyDescent="0.25">
      <c r="A102" s="2" t="s">
        <v>498</v>
      </c>
      <c r="B102" t="s">
        <v>401</v>
      </c>
      <c r="C102" s="3">
        <v>0</v>
      </c>
    </row>
    <row r="103" spans="1:3" x14ac:dyDescent="0.25">
      <c r="A103" s="2" t="s">
        <v>499</v>
      </c>
      <c r="B103" t="s">
        <v>400</v>
      </c>
      <c r="C103" s="3">
        <v>0</v>
      </c>
    </row>
    <row r="104" spans="1:3" x14ac:dyDescent="0.25">
      <c r="A104" s="2" t="s">
        <v>500</v>
      </c>
      <c r="B104" t="s">
        <v>400</v>
      </c>
      <c r="C104" s="3">
        <v>0</v>
      </c>
    </row>
    <row r="105" spans="1:3" x14ac:dyDescent="0.25">
      <c r="A105" s="2" t="s">
        <v>501</v>
      </c>
      <c r="B105" t="s">
        <v>401</v>
      </c>
      <c r="C105" s="3">
        <v>0</v>
      </c>
    </row>
    <row r="106" spans="1:3" x14ac:dyDescent="0.25">
      <c r="A106" s="2" t="s">
        <v>502</v>
      </c>
      <c r="B106" t="s">
        <v>400</v>
      </c>
      <c r="C106" s="3">
        <v>0</v>
      </c>
    </row>
    <row r="107" spans="1:3" x14ac:dyDescent="0.25">
      <c r="A107" s="2" t="s">
        <v>503</v>
      </c>
      <c r="B107" t="s">
        <v>400</v>
      </c>
      <c r="C107" s="3">
        <v>0</v>
      </c>
    </row>
    <row r="108" spans="1:3" x14ac:dyDescent="0.25">
      <c r="A108" s="2" t="s">
        <v>504</v>
      </c>
      <c r="B108" t="s">
        <v>403</v>
      </c>
      <c r="C108" s="3">
        <v>0.12</v>
      </c>
    </row>
    <row r="109" spans="1:3" x14ac:dyDescent="0.25">
      <c r="A109" s="2" t="s">
        <v>505</v>
      </c>
      <c r="B109" t="s">
        <v>401</v>
      </c>
      <c r="C109" s="3">
        <v>0</v>
      </c>
    </row>
    <row r="110" spans="1:3" x14ac:dyDescent="0.25">
      <c r="A110" s="2" t="s">
        <v>506</v>
      </c>
      <c r="B110" t="s">
        <v>404</v>
      </c>
      <c r="C110" s="3">
        <v>0.71</v>
      </c>
    </row>
    <row r="111" spans="1:3" x14ac:dyDescent="0.25">
      <c r="A111" s="2" t="s">
        <v>19</v>
      </c>
      <c r="B111" t="s">
        <v>400</v>
      </c>
      <c r="C111" s="3">
        <v>0</v>
      </c>
    </row>
    <row r="112" spans="1:3" x14ac:dyDescent="0.25">
      <c r="A112" s="2" t="s">
        <v>507</v>
      </c>
      <c r="B112" t="s">
        <v>399</v>
      </c>
      <c r="C112" s="3">
        <v>1</v>
      </c>
    </row>
    <row r="113" spans="1:3" x14ac:dyDescent="0.25">
      <c r="A113" s="2" t="s">
        <v>508</v>
      </c>
      <c r="B113" t="s">
        <v>399</v>
      </c>
      <c r="C113" s="3">
        <v>1</v>
      </c>
    </row>
    <row r="114" spans="1:3" x14ac:dyDescent="0.25">
      <c r="A114" s="2" t="s">
        <v>509</v>
      </c>
      <c r="B114" t="s">
        <v>400</v>
      </c>
      <c r="C114" s="3">
        <v>0</v>
      </c>
    </row>
    <row r="115" spans="1:3" x14ac:dyDescent="0.25">
      <c r="A115" s="2" t="s">
        <v>21</v>
      </c>
      <c r="B115" t="s">
        <v>400</v>
      </c>
      <c r="C115" s="3">
        <v>0</v>
      </c>
    </row>
    <row r="116" spans="1:3" x14ac:dyDescent="0.25">
      <c r="A116" s="2" t="s">
        <v>510</v>
      </c>
      <c r="B116" t="s">
        <v>399</v>
      </c>
      <c r="C116" s="3">
        <v>1</v>
      </c>
    </row>
    <row r="117" spans="1:3" x14ac:dyDescent="0.25">
      <c r="A117" s="2" t="s">
        <v>511</v>
      </c>
      <c r="B117" t="s">
        <v>400</v>
      </c>
      <c r="C117" s="3">
        <v>0</v>
      </c>
    </row>
    <row r="118" spans="1:3" x14ac:dyDescent="0.25">
      <c r="A118" s="2" t="s">
        <v>512</v>
      </c>
      <c r="B118" t="s">
        <v>400</v>
      </c>
      <c r="C118" s="3">
        <v>0</v>
      </c>
    </row>
    <row r="119" spans="1:3" x14ac:dyDescent="0.25">
      <c r="A119" s="2" t="s">
        <v>513</v>
      </c>
      <c r="B119" t="s">
        <v>400</v>
      </c>
      <c r="C119" s="3">
        <v>0</v>
      </c>
    </row>
    <row r="120" spans="1:3" x14ac:dyDescent="0.25">
      <c r="A120" s="2" t="s">
        <v>23</v>
      </c>
      <c r="B120" t="s">
        <v>401</v>
      </c>
      <c r="C120" s="3">
        <v>0</v>
      </c>
    </row>
    <row r="121" spans="1:3" x14ac:dyDescent="0.25">
      <c r="A121" s="2" t="s">
        <v>514</v>
      </c>
      <c r="B121" t="s">
        <v>401</v>
      </c>
      <c r="C121" s="3">
        <v>0</v>
      </c>
    </row>
    <row r="122" spans="1:3" x14ac:dyDescent="0.25">
      <c r="A122" s="2" t="s">
        <v>515</v>
      </c>
      <c r="B122" t="s">
        <v>400</v>
      </c>
      <c r="C122" s="3">
        <v>0</v>
      </c>
    </row>
    <row r="123" spans="1:3" x14ac:dyDescent="0.25">
      <c r="A123" s="2" t="s">
        <v>516</v>
      </c>
      <c r="B123" t="s">
        <v>403</v>
      </c>
      <c r="C123" s="3">
        <v>0.23</v>
      </c>
    </row>
    <row r="124" spans="1:3" x14ac:dyDescent="0.25">
      <c r="A124" s="2" t="s">
        <v>22</v>
      </c>
      <c r="B124" t="s">
        <v>400</v>
      </c>
      <c r="C124" s="3">
        <v>0</v>
      </c>
    </row>
    <row r="125" spans="1:3" x14ac:dyDescent="0.25">
      <c r="A125" s="2" t="s">
        <v>517</v>
      </c>
      <c r="B125" t="s">
        <v>399</v>
      </c>
      <c r="C125" s="3">
        <v>0.87</v>
      </c>
    </row>
    <row r="126" spans="1:3" x14ac:dyDescent="0.25">
      <c r="A126" s="2" t="s">
        <v>518</v>
      </c>
      <c r="B126" t="s">
        <v>400</v>
      </c>
      <c r="C126" s="3">
        <v>0</v>
      </c>
    </row>
    <row r="127" spans="1:3" x14ac:dyDescent="0.25">
      <c r="A127" s="2" t="s">
        <v>13</v>
      </c>
      <c r="B127" t="s">
        <v>401</v>
      </c>
      <c r="C127" s="3">
        <v>0</v>
      </c>
    </row>
    <row r="128" spans="1:3" x14ac:dyDescent="0.25">
      <c r="A128" s="2" t="s">
        <v>24</v>
      </c>
      <c r="B128" t="s">
        <v>401</v>
      </c>
      <c r="C128" s="3">
        <v>0</v>
      </c>
    </row>
    <row r="129" spans="1:3" x14ac:dyDescent="0.25">
      <c r="A129" s="2" t="s">
        <v>27</v>
      </c>
      <c r="B129" t="s">
        <v>400</v>
      </c>
      <c r="C129" s="3">
        <v>0</v>
      </c>
    </row>
    <row r="130" spans="1:3" x14ac:dyDescent="0.25">
      <c r="A130" s="2" t="s">
        <v>519</v>
      </c>
      <c r="B130" t="s">
        <v>400</v>
      </c>
      <c r="C130" s="3">
        <v>0</v>
      </c>
    </row>
    <row r="131" spans="1:3" x14ac:dyDescent="0.25">
      <c r="A131" s="2" t="s">
        <v>15</v>
      </c>
      <c r="B131" t="s">
        <v>401</v>
      </c>
      <c r="C131" s="3">
        <v>0</v>
      </c>
    </row>
    <row r="132" spans="1:3" x14ac:dyDescent="0.25">
      <c r="A132" s="2" t="s">
        <v>520</v>
      </c>
      <c r="B132" t="s">
        <v>400</v>
      </c>
      <c r="C132" s="3">
        <v>0</v>
      </c>
    </row>
    <row r="133" spans="1:3" x14ac:dyDescent="0.25">
      <c r="A133" s="2" t="s">
        <v>521</v>
      </c>
      <c r="B133" t="s">
        <v>401</v>
      </c>
      <c r="C133" s="3">
        <v>0</v>
      </c>
    </row>
    <row r="134" spans="1:3" x14ac:dyDescent="0.25">
      <c r="A134" s="2" t="s">
        <v>522</v>
      </c>
      <c r="B134" t="s">
        <v>400</v>
      </c>
      <c r="C134" s="3">
        <v>0</v>
      </c>
    </row>
    <row r="135" spans="1:3" x14ac:dyDescent="0.25">
      <c r="A135" s="2" t="s">
        <v>523</v>
      </c>
      <c r="B135" t="s">
        <v>400</v>
      </c>
      <c r="C135" s="3">
        <v>0</v>
      </c>
    </row>
    <row r="136" spans="1:3" x14ac:dyDescent="0.25">
      <c r="A136" s="2" t="s">
        <v>524</v>
      </c>
      <c r="B136" t="s">
        <v>400</v>
      </c>
      <c r="C136" s="3">
        <v>0</v>
      </c>
    </row>
    <row r="137" spans="1:3" x14ac:dyDescent="0.25">
      <c r="A137" s="2" t="s">
        <v>525</v>
      </c>
      <c r="B137" t="s">
        <v>400</v>
      </c>
      <c r="C137" s="3">
        <v>0</v>
      </c>
    </row>
    <row r="138" spans="1:3" x14ac:dyDescent="0.25">
      <c r="A138" s="2" t="s">
        <v>526</v>
      </c>
      <c r="B138" t="s">
        <v>404</v>
      </c>
      <c r="C138" s="3">
        <v>1</v>
      </c>
    </row>
    <row r="139" spans="1:3" x14ac:dyDescent="0.25">
      <c r="A139" s="2" t="s">
        <v>20</v>
      </c>
      <c r="B139" t="s">
        <v>400</v>
      </c>
      <c r="C139" s="3">
        <v>0</v>
      </c>
    </row>
    <row r="140" spans="1:3" x14ac:dyDescent="0.25">
      <c r="A140" s="2" t="s">
        <v>527</v>
      </c>
      <c r="B140" t="s">
        <v>401</v>
      </c>
      <c r="C140" s="3">
        <v>0</v>
      </c>
    </row>
    <row r="141" spans="1:3" x14ac:dyDescent="0.25">
      <c r="A141" s="2" t="s">
        <v>528</v>
      </c>
      <c r="B141" t="s">
        <v>400</v>
      </c>
      <c r="C141" s="3">
        <v>0</v>
      </c>
    </row>
    <row r="142" spans="1:3" x14ac:dyDescent="0.25">
      <c r="A142" s="2" t="s">
        <v>529</v>
      </c>
      <c r="B142" t="s">
        <v>400</v>
      </c>
      <c r="C142" s="3">
        <v>0</v>
      </c>
    </row>
    <row r="143" spans="1:3" x14ac:dyDescent="0.25">
      <c r="A143" s="2" t="s">
        <v>530</v>
      </c>
      <c r="B143" t="s">
        <v>400</v>
      </c>
      <c r="C143" s="3">
        <v>0</v>
      </c>
    </row>
    <row r="144" spans="1:3" x14ac:dyDescent="0.25">
      <c r="A144" s="2" t="s">
        <v>531</v>
      </c>
      <c r="B144" t="s">
        <v>400</v>
      </c>
      <c r="C144" s="3">
        <v>0</v>
      </c>
    </row>
    <row r="145" spans="1:3" x14ac:dyDescent="0.25">
      <c r="A145" s="2" t="s">
        <v>532</v>
      </c>
      <c r="B145" t="s">
        <v>400</v>
      </c>
      <c r="C145" s="3">
        <v>0</v>
      </c>
    </row>
    <row r="146" spans="1:3" x14ac:dyDescent="0.25">
      <c r="A146" s="2" t="s">
        <v>533</v>
      </c>
      <c r="B146" t="s">
        <v>401</v>
      </c>
      <c r="C146" s="3">
        <v>0</v>
      </c>
    </row>
    <row r="147" spans="1:3" x14ac:dyDescent="0.25">
      <c r="A147" s="2" t="s">
        <v>534</v>
      </c>
      <c r="B147" t="s">
        <v>400</v>
      </c>
      <c r="C147" s="3">
        <v>0</v>
      </c>
    </row>
    <row r="148" spans="1:3" x14ac:dyDescent="0.25">
      <c r="A148" s="2" t="s">
        <v>7</v>
      </c>
      <c r="B148" t="s">
        <v>400</v>
      </c>
      <c r="C148" s="3">
        <v>0</v>
      </c>
    </row>
    <row r="149" spans="1:3" x14ac:dyDescent="0.25">
      <c r="A149" s="2" t="s">
        <v>535</v>
      </c>
      <c r="B149" t="s">
        <v>401</v>
      </c>
      <c r="C149" s="3">
        <v>0</v>
      </c>
    </row>
    <row r="150" spans="1:3" x14ac:dyDescent="0.25">
      <c r="A150" s="2" t="s">
        <v>536</v>
      </c>
      <c r="B150" t="s">
        <v>401</v>
      </c>
      <c r="C150" s="3">
        <v>0</v>
      </c>
    </row>
    <row r="151" spans="1:3" x14ac:dyDescent="0.25">
      <c r="A151" s="2" t="s">
        <v>537</v>
      </c>
      <c r="B151" t="s">
        <v>401</v>
      </c>
      <c r="C151" s="3">
        <v>0</v>
      </c>
    </row>
    <row r="152" spans="1:3" x14ac:dyDescent="0.25">
      <c r="A152" s="2" t="s">
        <v>538</v>
      </c>
      <c r="B152" t="s">
        <v>401</v>
      </c>
      <c r="C152" s="3">
        <v>0</v>
      </c>
    </row>
    <row r="153" spans="1:3" x14ac:dyDescent="0.25">
      <c r="A153" s="2" t="s">
        <v>539</v>
      </c>
      <c r="B153" t="s">
        <v>400</v>
      </c>
      <c r="C153" s="3">
        <v>0</v>
      </c>
    </row>
    <row r="154" spans="1:3" x14ac:dyDescent="0.25">
      <c r="A154" s="2" t="s">
        <v>540</v>
      </c>
      <c r="B154" t="s">
        <v>400</v>
      </c>
      <c r="C154" s="3">
        <v>0</v>
      </c>
    </row>
    <row r="155" spans="1:3" x14ac:dyDescent="0.25">
      <c r="A155" s="2" t="s">
        <v>541</v>
      </c>
      <c r="B155" t="s">
        <v>400</v>
      </c>
      <c r="C155" s="3">
        <v>0</v>
      </c>
    </row>
    <row r="156" spans="1:3" x14ac:dyDescent="0.25">
      <c r="A156" s="2" t="s">
        <v>542</v>
      </c>
      <c r="B156" t="s">
        <v>400</v>
      </c>
      <c r="C156" s="3">
        <v>0</v>
      </c>
    </row>
    <row r="157" spans="1:3" x14ac:dyDescent="0.25">
      <c r="A157" s="2" t="s">
        <v>543</v>
      </c>
      <c r="B157" t="s">
        <v>401</v>
      </c>
      <c r="C157" s="3">
        <v>0</v>
      </c>
    </row>
    <row r="158" spans="1:3" x14ac:dyDescent="0.25">
      <c r="A158" s="2" t="s">
        <v>544</v>
      </c>
      <c r="B158" t="s">
        <v>401</v>
      </c>
      <c r="C158" s="3">
        <v>0</v>
      </c>
    </row>
    <row r="159" spans="1:3" x14ac:dyDescent="0.25">
      <c r="A159" s="2" t="s">
        <v>545</v>
      </c>
      <c r="B159" t="s">
        <v>401</v>
      </c>
      <c r="C159" s="3">
        <v>0</v>
      </c>
    </row>
    <row r="160" spans="1:3" x14ac:dyDescent="0.25">
      <c r="A160" s="2" t="s">
        <v>546</v>
      </c>
      <c r="B160" t="s">
        <v>400</v>
      </c>
      <c r="C160" s="3">
        <v>0</v>
      </c>
    </row>
    <row r="161" spans="1:3" x14ac:dyDescent="0.25">
      <c r="A161" s="2" t="s">
        <v>547</v>
      </c>
      <c r="B161" t="s">
        <v>404</v>
      </c>
      <c r="C161" s="3">
        <v>1</v>
      </c>
    </row>
    <row r="162" spans="1:3" x14ac:dyDescent="0.25">
      <c r="A162" s="2" t="s">
        <v>548</v>
      </c>
      <c r="B162" t="s">
        <v>403</v>
      </c>
      <c r="C162" s="3">
        <v>0.46</v>
      </c>
    </row>
    <row r="163" spans="1:3" x14ac:dyDescent="0.25">
      <c r="A163" s="2" t="s">
        <v>549</v>
      </c>
      <c r="B163" t="s">
        <v>400</v>
      </c>
      <c r="C163" s="3">
        <v>0</v>
      </c>
    </row>
    <row r="164" spans="1:3" x14ac:dyDescent="0.25">
      <c r="A164" s="2" t="s">
        <v>550</v>
      </c>
      <c r="B164" t="s">
        <v>401</v>
      </c>
      <c r="C164" s="3">
        <v>0</v>
      </c>
    </row>
    <row r="165" spans="1:3" x14ac:dyDescent="0.25">
      <c r="A165" s="2" t="s">
        <v>25</v>
      </c>
      <c r="B165" t="s">
        <v>401</v>
      </c>
      <c r="C165" s="3">
        <v>0</v>
      </c>
    </row>
    <row r="166" spans="1:3" x14ac:dyDescent="0.25">
      <c r="A166" s="2" t="s">
        <v>29</v>
      </c>
      <c r="B166" t="s">
        <v>400</v>
      </c>
      <c r="C166" s="3">
        <v>0</v>
      </c>
    </row>
    <row r="167" spans="1:3" x14ac:dyDescent="0.25">
      <c r="A167" s="2" t="s">
        <v>551</v>
      </c>
      <c r="B167" t="s">
        <v>402</v>
      </c>
      <c r="C167" s="3">
        <v>1</v>
      </c>
    </row>
    <row r="168" spans="1:3" x14ac:dyDescent="0.25">
      <c r="A168" s="2" t="s">
        <v>552</v>
      </c>
      <c r="B168" t="s">
        <v>401</v>
      </c>
      <c r="C168" s="3">
        <v>0</v>
      </c>
    </row>
    <row r="169" spans="1:3" x14ac:dyDescent="0.25">
      <c r="A169" s="2" t="s">
        <v>553</v>
      </c>
      <c r="B169" t="s">
        <v>400</v>
      </c>
      <c r="C169" s="3">
        <v>0</v>
      </c>
    </row>
    <row r="170" spans="1:3" x14ac:dyDescent="0.25">
      <c r="A170" s="2" t="s">
        <v>554</v>
      </c>
      <c r="B170" t="s">
        <v>400</v>
      </c>
      <c r="C170" s="3">
        <v>0</v>
      </c>
    </row>
    <row r="171" spans="1:3" x14ac:dyDescent="0.25">
      <c r="A171" s="2" t="s">
        <v>555</v>
      </c>
      <c r="B171" t="s">
        <v>400</v>
      </c>
      <c r="C171" s="3">
        <v>0</v>
      </c>
    </row>
    <row r="172" spans="1:3" x14ac:dyDescent="0.25">
      <c r="A172" s="2" t="s">
        <v>31</v>
      </c>
      <c r="B172" t="s">
        <v>400</v>
      </c>
      <c r="C172" s="3">
        <v>0</v>
      </c>
    </row>
    <row r="173" spans="1:3" x14ac:dyDescent="0.25">
      <c r="A173" s="2" t="s">
        <v>556</v>
      </c>
      <c r="B173" t="s">
        <v>399</v>
      </c>
      <c r="C173" s="3">
        <v>1</v>
      </c>
    </row>
    <row r="174" spans="1:3" x14ac:dyDescent="0.25">
      <c r="A174" s="2" t="s">
        <v>557</v>
      </c>
      <c r="B174" t="s">
        <v>400</v>
      </c>
      <c r="C174" s="3">
        <v>0</v>
      </c>
    </row>
    <row r="175" spans="1:3" x14ac:dyDescent="0.25">
      <c r="A175" s="2" t="s">
        <v>558</v>
      </c>
      <c r="B175" t="s">
        <v>400</v>
      </c>
      <c r="C175" s="3">
        <v>0</v>
      </c>
    </row>
    <row r="176" spans="1:3" x14ac:dyDescent="0.25">
      <c r="A176" s="2" t="s">
        <v>559</v>
      </c>
      <c r="B176" t="s">
        <v>400</v>
      </c>
      <c r="C176" s="3">
        <v>0</v>
      </c>
    </row>
    <row r="177" spans="1:3" x14ac:dyDescent="0.25">
      <c r="A177" s="2" t="s">
        <v>560</v>
      </c>
      <c r="B177" t="s">
        <v>401</v>
      </c>
      <c r="C177" s="3">
        <v>0</v>
      </c>
    </row>
    <row r="178" spans="1:3" x14ac:dyDescent="0.25">
      <c r="A178" s="2" t="s">
        <v>561</v>
      </c>
      <c r="B178" t="s">
        <v>400</v>
      </c>
      <c r="C178" s="3">
        <v>0</v>
      </c>
    </row>
    <row r="179" spans="1:3" x14ac:dyDescent="0.25">
      <c r="A179" s="2" t="s">
        <v>562</v>
      </c>
      <c r="B179" t="s">
        <v>402</v>
      </c>
      <c r="C179" s="3">
        <v>0.75</v>
      </c>
    </row>
    <row r="180" spans="1:3" x14ac:dyDescent="0.25">
      <c r="A180" s="2" t="s">
        <v>563</v>
      </c>
      <c r="B180" t="s">
        <v>400</v>
      </c>
      <c r="C180" s="3">
        <v>0</v>
      </c>
    </row>
    <row r="181" spans="1:3" x14ac:dyDescent="0.25">
      <c r="A181" s="2" t="s">
        <v>564</v>
      </c>
      <c r="B181" t="s">
        <v>400</v>
      </c>
      <c r="C181" s="3">
        <v>0</v>
      </c>
    </row>
    <row r="182" spans="1:3" x14ac:dyDescent="0.25">
      <c r="A182" s="2" t="s">
        <v>565</v>
      </c>
      <c r="B182" t="s">
        <v>400</v>
      </c>
      <c r="C182" s="3">
        <v>0</v>
      </c>
    </row>
    <row r="183" spans="1:3" x14ac:dyDescent="0.25">
      <c r="A183" s="2" t="s">
        <v>566</v>
      </c>
      <c r="B183" t="s">
        <v>399</v>
      </c>
      <c r="C183" s="3">
        <v>1</v>
      </c>
    </row>
    <row r="184" spans="1:3" x14ac:dyDescent="0.25">
      <c r="A184" s="2" t="s">
        <v>567</v>
      </c>
      <c r="B184" t="s">
        <v>400</v>
      </c>
      <c r="C184" s="3">
        <v>0</v>
      </c>
    </row>
    <row r="185" spans="1:3" x14ac:dyDescent="0.25">
      <c r="A185" s="2" t="s">
        <v>568</v>
      </c>
      <c r="B185" t="s">
        <v>400</v>
      </c>
      <c r="C185" s="3">
        <v>0</v>
      </c>
    </row>
    <row r="186" spans="1:3" x14ac:dyDescent="0.25">
      <c r="A186" s="2" t="s">
        <v>569</v>
      </c>
      <c r="B186" t="s">
        <v>400</v>
      </c>
      <c r="C186" s="3">
        <v>0</v>
      </c>
    </row>
    <row r="187" spans="1:3" x14ac:dyDescent="0.25">
      <c r="A187" s="2" t="s">
        <v>33</v>
      </c>
      <c r="B187" t="s">
        <v>400</v>
      </c>
      <c r="C187" s="3">
        <v>0</v>
      </c>
    </row>
    <row r="188" spans="1:3" x14ac:dyDescent="0.25">
      <c r="A188" s="2" t="s">
        <v>570</v>
      </c>
      <c r="B188" t="s">
        <v>400</v>
      </c>
      <c r="C188" s="3">
        <v>0</v>
      </c>
    </row>
    <row r="189" spans="1:3" x14ac:dyDescent="0.25">
      <c r="A189" s="2" t="s">
        <v>571</v>
      </c>
      <c r="B189" t="s">
        <v>400</v>
      </c>
      <c r="C189" s="3">
        <v>0</v>
      </c>
    </row>
    <row r="190" spans="1:3" x14ac:dyDescent="0.25">
      <c r="A190" s="2" t="s">
        <v>34</v>
      </c>
      <c r="B190" t="s">
        <v>401</v>
      </c>
      <c r="C190" s="3">
        <v>0</v>
      </c>
    </row>
    <row r="191" spans="1:3" x14ac:dyDescent="0.25">
      <c r="A191" s="2" t="s">
        <v>572</v>
      </c>
      <c r="B191" t="s">
        <v>400</v>
      </c>
      <c r="C191" s="3">
        <v>0</v>
      </c>
    </row>
    <row r="192" spans="1:3" x14ac:dyDescent="0.25">
      <c r="A192" s="2" t="s">
        <v>573</v>
      </c>
      <c r="B192" t="s">
        <v>403</v>
      </c>
      <c r="C192" s="3">
        <v>0.47</v>
      </c>
    </row>
    <row r="193" spans="1:3" x14ac:dyDescent="0.25">
      <c r="A193" s="2" t="s">
        <v>574</v>
      </c>
      <c r="B193" t="s">
        <v>400</v>
      </c>
      <c r="C193" s="3">
        <v>0</v>
      </c>
    </row>
    <row r="194" spans="1:3" x14ac:dyDescent="0.25">
      <c r="A194" s="2" t="s">
        <v>575</v>
      </c>
      <c r="B194" t="s">
        <v>401</v>
      </c>
      <c r="C194" s="3">
        <v>0</v>
      </c>
    </row>
    <row r="195" spans="1:3" x14ac:dyDescent="0.25">
      <c r="A195" s="2" t="s">
        <v>576</v>
      </c>
      <c r="B195" t="s">
        <v>399</v>
      </c>
      <c r="C195" s="3">
        <v>1</v>
      </c>
    </row>
    <row r="196" spans="1:3" x14ac:dyDescent="0.25">
      <c r="A196" s="2" t="s">
        <v>30</v>
      </c>
      <c r="B196" t="s">
        <v>400</v>
      </c>
      <c r="C196" s="3">
        <v>0</v>
      </c>
    </row>
    <row r="197" spans="1:3" x14ac:dyDescent="0.25">
      <c r="A197" s="2" t="s">
        <v>577</v>
      </c>
      <c r="B197" t="s">
        <v>401</v>
      </c>
      <c r="C197" s="3">
        <v>0</v>
      </c>
    </row>
    <row r="198" spans="1:3" x14ac:dyDescent="0.25">
      <c r="A198" s="2" t="s">
        <v>578</v>
      </c>
      <c r="B198" t="s">
        <v>401</v>
      </c>
      <c r="C198" s="3">
        <v>0</v>
      </c>
    </row>
    <row r="199" spans="1:3" x14ac:dyDescent="0.25">
      <c r="A199" s="2" t="s">
        <v>16</v>
      </c>
      <c r="B199" t="s">
        <v>400</v>
      </c>
      <c r="C199" s="3">
        <v>0</v>
      </c>
    </row>
    <row r="200" spans="1:3" x14ac:dyDescent="0.25">
      <c r="A200" s="2" t="s">
        <v>6</v>
      </c>
      <c r="B200" t="s">
        <v>400</v>
      </c>
      <c r="C200" s="3">
        <v>0</v>
      </c>
    </row>
    <row r="201" spans="1:3" x14ac:dyDescent="0.25">
      <c r="A201" s="2" t="s">
        <v>28</v>
      </c>
      <c r="B201" t="s">
        <v>400</v>
      </c>
      <c r="C201" s="3">
        <v>0</v>
      </c>
    </row>
    <row r="202" spans="1:3" x14ac:dyDescent="0.25">
      <c r="A202" s="2" t="s">
        <v>579</v>
      </c>
      <c r="B202" t="s">
        <v>400</v>
      </c>
      <c r="C202" s="3">
        <v>0</v>
      </c>
    </row>
    <row r="203" spans="1:3" x14ac:dyDescent="0.25">
      <c r="A203" s="2" t="s">
        <v>37</v>
      </c>
      <c r="B203" t="s">
        <v>401</v>
      </c>
      <c r="C203" s="3">
        <v>0</v>
      </c>
    </row>
    <row r="204" spans="1:3" x14ac:dyDescent="0.25">
      <c r="A204" s="2" t="s">
        <v>580</v>
      </c>
      <c r="B204" t="s">
        <v>400</v>
      </c>
      <c r="C204" s="3">
        <v>0</v>
      </c>
    </row>
    <row r="205" spans="1:3" x14ac:dyDescent="0.25">
      <c r="A205" s="2" t="s">
        <v>581</v>
      </c>
      <c r="B205" t="s">
        <v>401</v>
      </c>
      <c r="C205" s="3">
        <v>0</v>
      </c>
    </row>
    <row r="206" spans="1:3" x14ac:dyDescent="0.25">
      <c r="A206" s="2" t="s">
        <v>582</v>
      </c>
      <c r="B206" t="s">
        <v>401</v>
      </c>
      <c r="C206" s="3">
        <v>0</v>
      </c>
    </row>
    <row r="207" spans="1:3" x14ac:dyDescent="0.25">
      <c r="A207" s="2" t="s">
        <v>583</v>
      </c>
      <c r="B207" t="s">
        <v>400</v>
      </c>
      <c r="C207" s="3">
        <v>0</v>
      </c>
    </row>
    <row r="208" spans="1:3" x14ac:dyDescent="0.25">
      <c r="A208" s="2" t="s">
        <v>584</v>
      </c>
      <c r="B208" t="s">
        <v>400</v>
      </c>
      <c r="C208" s="3">
        <v>0</v>
      </c>
    </row>
    <row r="209" spans="1:3" x14ac:dyDescent="0.25">
      <c r="A209" s="2" t="s">
        <v>585</v>
      </c>
      <c r="B209" t="s">
        <v>399</v>
      </c>
      <c r="C209" s="3">
        <v>0.96</v>
      </c>
    </row>
    <row r="210" spans="1:3" x14ac:dyDescent="0.25">
      <c r="A210" s="2" t="s">
        <v>586</v>
      </c>
      <c r="B210" t="s">
        <v>400</v>
      </c>
      <c r="C210" s="3">
        <v>0</v>
      </c>
    </row>
    <row r="211" spans="1:3" x14ac:dyDescent="0.25">
      <c r="A211" s="2" t="s">
        <v>587</v>
      </c>
      <c r="B211" t="s">
        <v>400</v>
      </c>
      <c r="C211" s="3">
        <v>0</v>
      </c>
    </row>
    <row r="212" spans="1:3" x14ac:dyDescent="0.25">
      <c r="A212" s="2" t="s">
        <v>38</v>
      </c>
      <c r="B212" t="s">
        <v>400</v>
      </c>
      <c r="C212" s="3">
        <v>0</v>
      </c>
    </row>
    <row r="213" spans="1:3" x14ac:dyDescent="0.25">
      <c r="A213" s="2" t="s">
        <v>588</v>
      </c>
      <c r="B213" t="s">
        <v>400</v>
      </c>
      <c r="C213" s="3">
        <v>0</v>
      </c>
    </row>
    <row r="214" spans="1:3" x14ac:dyDescent="0.25">
      <c r="A214" s="2" t="s">
        <v>589</v>
      </c>
      <c r="B214" t="s">
        <v>400</v>
      </c>
      <c r="C214" s="3">
        <v>0</v>
      </c>
    </row>
    <row r="215" spans="1:3" x14ac:dyDescent="0.25">
      <c r="A215" s="2" t="s">
        <v>590</v>
      </c>
      <c r="B215" t="s">
        <v>400</v>
      </c>
      <c r="C215" s="3">
        <v>0</v>
      </c>
    </row>
    <row r="216" spans="1:3" x14ac:dyDescent="0.25">
      <c r="A216" s="2" t="s">
        <v>591</v>
      </c>
      <c r="B216" t="s">
        <v>400</v>
      </c>
      <c r="C216" s="3">
        <v>0</v>
      </c>
    </row>
    <row r="217" spans="1:3" x14ac:dyDescent="0.25">
      <c r="A217" s="2" t="s">
        <v>592</v>
      </c>
      <c r="B217" t="s">
        <v>400</v>
      </c>
      <c r="C217" s="3">
        <v>0</v>
      </c>
    </row>
    <row r="218" spans="1:3" x14ac:dyDescent="0.25">
      <c r="A218" s="2" t="s">
        <v>593</v>
      </c>
      <c r="B218" t="s">
        <v>400</v>
      </c>
      <c r="C218" s="3">
        <v>0</v>
      </c>
    </row>
    <row r="219" spans="1:3" x14ac:dyDescent="0.25">
      <c r="A219" s="2" t="s">
        <v>594</v>
      </c>
      <c r="B219" t="s">
        <v>400</v>
      </c>
      <c r="C219" s="3">
        <v>0</v>
      </c>
    </row>
    <row r="220" spans="1:3" x14ac:dyDescent="0.25">
      <c r="A220" s="2" t="s">
        <v>595</v>
      </c>
      <c r="B220" t="s">
        <v>400</v>
      </c>
      <c r="C220" s="3">
        <v>0</v>
      </c>
    </row>
    <row r="221" spans="1:3" x14ac:dyDescent="0.25">
      <c r="A221" s="2" t="s">
        <v>32</v>
      </c>
      <c r="B221" t="s">
        <v>403</v>
      </c>
      <c r="C221" s="3">
        <v>0.22</v>
      </c>
    </row>
    <row r="222" spans="1:3" x14ac:dyDescent="0.25">
      <c r="A222" s="2" t="s">
        <v>596</v>
      </c>
      <c r="B222" t="s">
        <v>399</v>
      </c>
      <c r="C222" s="3">
        <v>1</v>
      </c>
    </row>
    <row r="223" spans="1:3" x14ac:dyDescent="0.25">
      <c r="A223" s="2" t="s">
        <v>597</v>
      </c>
      <c r="B223" t="s">
        <v>400</v>
      </c>
      <c r="C223" s="3">
        <v>0</v>
      </c>
    </row>
    <row r="224" spans="1:3" x14ac:dyDescent="0.25">
      <c r="A224" s="2" t="s">
        <v>598</v>
      </c>
      <c r="B224" t="s">
        <v>400</v>
      </c>
      <c r="C224" s="3">
        <v>0</v>
      </c>
    </row>
    <row r="225" spans="1:3" x14ac:dyDescent="0.25">
      <c r="A225" s="2" t="s">
        <v>599</v>
      </c>
      <c r="B225" t="s">
        <v>401</v>
      </c>
      <c r="C225" s="3">
        <v>0</v>
      </c>
    </row>
    <row r="226" spans="1:3" x14ac:dyDescent="0.25">
      <c r="A226" s="2" t="s">
        <v>600</v>
      </c>
      <c r="B226" t="s">
        <v>400</v>
      </c>
      <c r="C226" s="3">
        <v>0</v>
      </c>
    </row>
    <row r="227" spans="1:3" x14ac:dyDescent="0.25">
      <c r="A227" s="2" t="s">
        <v>601</v>
      </c>
      <c r="B227" t="s">
        <v>400</v>
      </c>
      <c r="C227" s="3">
        <v>0</v>
      </c>
    </row>
    <row r="228" spans="1:3" x14ac:dyDescent="0.25">
      <c r="A228" s="2" t="s">
        <v>602</v>
      </c>
      <c r="B228" t="s">
        <v>400</v>
      </c>
      <c r="C228" s="3">
        <v>0</v>
      </c>
    </row>
    <row r="229" spans="1:3" x14ac:dyDescent="0.25">
      <c r="A229" s="2" t="s">
        <v>603</v>
      </c>
      <c r="B229" t="s">
        <v>400</v>
      </c>
      <c r="C229" s="3">
        <v>0</v>
      </c>
    </row>
    <row r="230" spans="1:3" x14ac:dyDescent="0.25">
      <c r="A230" s="2" t="s">
        <v>604</v>
      </c>
      <c r="B230" t="s">
        <v>400</v>
      </c>
      <c r="C230" s="3">
        <v>0</v>
      </c>
    </row>
    <row r="231" spans="1:3" x14ac:dyDescent="0.25">
      <c r="A231" s="2" t="s">
        <v>605</v>
      </c>
      <c r="B231" t="s">
        <v>403</v>
      </c>
      <c r="C231" s="3">
        <v>0.59</v>
      </c>
    </row>
    <row r="232" spans="1:3" x14ac:dyDescent="0.25">
      <c r="A232" s="2" t="s">
        <v>606</v>
      </c>
      <c r="B232" t="s">
        <v>400</v>
      </c>
      <c r="C232" s="3">
        <v>0</v>
      </c>
    </row>
    <row r="233" spans="1:3" x14ac:dyDescent="0.25">
      <c r="A233" s="2" t="s">
        <v>605</v>
      </c>
      <c r="B233" t="s">
        <v>403</v>
      </c>
      <c r="C233" s="3">
        <v>0.59</v>
      </c>
    </row>
    <row r="234" spans="1:3" x14ac:dyDescent="0.25">
      <c r="A234" s="2" t="s">
        <v>607</v>
      </c>
      <c r="B234" t="s">
        <v>401</v>
      </c>
      <c r="C234" s="3">
        <v>0</v>
      </c>
    </row>
    <row r="235" spans="1:3" x14ac:dyDescent="0.25">
      <c r="A235" s="2" t="s">
        <v>608</v>
      </c>
      <c r="B235" t="s">
        <v>400</v>
      </c>
      <c r="C235" s="3">
        <v>0</v>
      </c>
    </row>
    <row r="236" spans="1:3" x14ac:dyDescent="0.25">
      <c r="A236" s="2" t="s">
        <v>609</v>
      </c>
      <c r="B236" t="s">
        <v>408</v>
      </c>
      <c r="C236" s="3">
        <v>0.7</v>
      </c>
    </row>
    <row r="237" spans="1:3" x14ac:dyDescent="0.25">
      <c r="A237" s="2" t="s">
        <v>610</v>
      </c>
      <c r="B237" t="s">
        <v>400</v>
      </c>
      <c r="C237" s="3">
        <v>0</v>
      </c>
    </row>
    <row r="238" spans="1:3" x14ac:dyDescent="0.25">
      <c r="A238" s="2" t="s">
        <v>611</v>
      </c>
      <c r="B238" t="s">
        <v>400</v>
      </c>
      <c r="C238" s="3">
        <v>0</v>
      </c>
    </row>
    <row r="239" spans="1:3" x14ac:dyDescent="0.25">
      <c r="A239" s="2" t="s">
        <v>612</v>
      </c>
      <c r="B239" t="s">
        <v>400</v>
      </c>
      <c r="C239" s="3">
        <v>0</v>
      </c>
    </row>
    <row r="240" spans="1:3" x14ac:dyDescent="0.25">
      <c r="A240" s="2" t="s">
        <v>613</v>
      </c>
      <c r="B240" t="s">
        <v>400</v>
      </c>
      <c r="C240" s="3">
        <v>0</v>
      </c>
    </row>
    <row r="241" spans="1:3" x14ac:dyDescent="0.25">
      <c r="A241" s="2" t="s">
        <v>614</v>
      </c>
      <c r="B241" t="s">
        <v>399</v>
      </c>
      <c r="C241" s="3">
        <v>1</v>
      </c>
    </row>
    <row r="242" spans="1:3" x14ac:dyDescent="0.25">
      <c r="A242" s="2" t="s">
        <v>615</v>
      </c>
      <c r="B242" t="s">
        <v>400</v>
      </c>
      <c r="C242" s="3">
        <v>0</v>
      </c>
    </row>
    <row r="243" spans="1:3" x14ac:dyDescent="0.25">
      <c r="A243" s="2" t="s">
        <v>39</v>
      </c>
      <c r="B243" t="s">
        <v>400</v>
      </c>
      <c r="C243" s="3">
        <v>0</v>
      </c>
    </row>
    <row r="244" spans="1:3" x14ac:dyDescent="0.25">
      <c r="A244" s="2" t="s">
        <v>616</v>
      </c>
      <c r="B244" t="s">
        <v>400</v>
      </c>
      <c r="C244" s="3">
        <v>0</v>
      </c>
    </row>
    <row r="245" spans="1:3" x14ac:dyDescent="0.25">
      <c r="A245" s="2" t="s">
        <v>617</v>
      </c>
      <c r="B245" t="s">
        <v>400</v>
      </c>
      <c r="C245" s="3">
        <v>0</v>
      </c>
    </row>
    <row r="246" spans="1:3" x14ac:dyDescent="0.25">
      <c r="A246" s="2" t="s">
        <v>618</v>
      </c>
      <c r="B246" t="s">
        <v>400</v>
      </c>
      <c r="C246" s="3">
        <v>0</v>
      </c>
    </row>
    <row r="247" spans="1:3" x14ac:dyDescent="0.25">
      <c r="A247" s="2" t="s">
        <v>619</v>
      </c>
      <c r="B247" t="s">
        <v>400</v>
      </c>
      <c r="C247" s="3">
        <v>0</v>
      </c>
    </row>
    <row r="248" spans="1:3" x14ac:dyDescent="0.25">
      <c r="A248" s="2" t="s">
        <v>620</v>
      </c>
      <c r="B248" t="s">
        <v>401</v>
      </c>
      <c r="C248" s="3">
        <v>0</v>
      </c>
    </row>
    <row r="249" spans="1:3" x14ac:dyDescent="0.25">
      <c r="A249" s="2" t="s">
        <v>621</v>
      </c>
      <c r="B249" t="s">
        <v>404</v>
      </c>
      <c r="C249" s="3">
        <v>0.32</v>
      </c>
    </row>
    <row r="250" spans="1:3" x14ac:dyDescent="0.25">
      <c r="A250" s="2" t="s">
        <v>622</v>
      </c>
      <c r="B250" t="s">
        <v>400</v>
      </c>
      <c r="C250" s="3">
        <v>0</v>
      </c>
    </row>
    <row r="251" spans="1:3" x14ac:dyDescent="0.25">
      <c r="A251" s="2" t="s">
        <v>623</v>
      </c>
      <c r="B251" t="s">
        <v>401</v>
      </c>
      <c r="C251" s="3">
        <v>0</v>
      </c>
    </row>
    <row r="252" spans="1:3" x14ac:dyDescent="0.25">
      <c r="A252" s="2" t="s">
        <v>624</v>
      </c>
      <c r="B252" t="s">
        <v>404</v>
      </c>
      <c r="C252" s="3">
        <v>0.14000000000000001</v>
      </c>
    </row>
    <row r="253" spans="1:3" x14ac:dyDescent="0.25">
      <c r="A253" s="2" t="s">
        <v>625</v>
      </c>
      <c r="B253" t="s">
        <v>407</v>
      </c>
      <c r="C253" s="3">
        <v>0.76</v>
      </c>
    </row>
    <row r="254" spans="1:3" x14ac:dyDescent="0.25">
      <c r="A254" s="2" t="s">
        <v>626</v>
      </c>
      <c r="B254" t="s">
        <v>400</v>
      </c>
      <c r="C254" s="3">
        <v>0</v>
      </c>
    </row>
    <row r="255" spans="1:3" x14ac:dyDescent="0.25">
      <c r="A255" s="2" t="s">
        <v>627</v>
      </c>
      <c r="B255" t="s">
        <v>401</v>
      </c>
      <c r="C255" s="3">
        <v>0</v>
      </c>
    </row>
    <row r="256" spans="1:3" x14ac:dyDescent="0.25">
      <c r="A256" s="2" t="s">
        <v>628</v>
      </c>
      <c r="B256" t="s">
        <v>401</v>
      </c>
      <c r="C256" s="3">
        <v>0</v>
      </c>
    </row>
    <row r="257" spans="1:3" x14ac:dyDescent="0.25">
      <c r="A257" s="2" t="s">
        <v>629</v>
      </c>
      <c r="B257" t="s">
        <v>402</v>
      </c>
      <c r="C257" s="3">
        <v>0.78</v>
      </c>
    </row>
    <row r="258" spans="1:3" x14ac:dyDescent="0.25">
      <c r="A258" s="2" t="s">
        <v>630</v>
      </c>
      <c r="B258" t="s">
        <v>400</v>
      </c>
      <c r="C258" s="3">
        <v>0</v>
      </c>
    </row>
    <row r="259" spans="1:3" x14ac:dyDescent="0.25">
      <c r="A259" s="2" t="s">
        <v>631</v>
      </c>
      <c r="B259" t="s">
        <v>400</v>
      </c>
      <c r="C259" s="3">
        <v>0</v>
      </c>
    </row>
    <row r="260" spans="1:3" x14ac:dyDescent="0.25">
      <c r="A260" s="2" t="s">
        <v>632</v>
      </c>
      <c r="B260" t="s">
        <v>399</v>
      </c>
      <c r="C260" s="3">
        <v>1</v>
      </c>
    </row>
    <row r="261" spans="1:3" x14ac:dyDescent="0.25">
      <c r="A261" s="2" t="s">
        <v>26</v>
      </c>
      <c r="B261" t="s">
        <v>400</v>
      </c>
      <c r="C261" s="3">
        <v>0</v>
      </c>
    </row>
    <row r="262" spans="1:3" x14ac:dyDescent="0.25">
      <c r="A262" s="2" t="s">
        <v>633</v>
      </c>
      <c r="B262" t="s">
        <v>400</v>
      </c>
      <c r="C262" s="3">
        <v>0</v>
      </c>
    </row>
    <row r="263" spans="1:3" x14ac:dyDescent="0.25">
      <c r="A263" s="2" t="s">
        <v>634</v>
      </c>
      <c r="B263" t="s">
        <v>401</v>
      </c>
      <c r="C263" s="3">
        <v>0</v>
      </c>
    </row>
    <row r="264" spans="1:3" x14ac:dyDescent="0.25">
      <c r="A264" s="2" t="s">
        <v>635</v>
      </c>
      <c r="B264" t="s">
        <v>399</v>
      </c>
      <c r="C264" s="3">
        <v>0.13</v>
      </c>
    </row>
    <row r="265" spans="1:3" x14ac:dyDescent="0.25">
      <c r="A265" s="2" t="s">
        <v>636</v>
      </c>
      <c r="B265" t="s">
        <v>404</v>
      </c>
      <c r="C265" s="3">
        <v>1</v>
      </c>
    </row>
    <row r="266" spans="1:3" x14ac:dyDescent="0.25">
      <c r="A266" s="2" t="s">
        <v>637</v>
      </c>
      <c r="B266" t="s">
        <v>400</v>
      </c>
      <c r="C266" s="3">
        <v>0</v>
      </c>
    </row>
    <row r="267" spans="1:3" x14ac:dyDescent="0.25">
      <c r="A267" s="2" t="s">
        <v>638</v>
      </c>
      <c r="B267" t="s">
        <v>400</v>
      </c>
      <c r="C267" s="3">
        <v>0</v>
      </c>
    </row>
    <row r="268" spans="1:3" x14ac:dyDescent="0.25">
      <c r="A268" s="2" t="s">
        <v>639</v>
      </c>
      <c r="B268" t="s">
        <v>400</v>
      </c>
      <c r="C268" s="3">
        <v>0</v>
      </c>
    </row>
    <row r="269" spans="1:3" x14ac:dyDescent="0.25">
      <c r="A269" s="2" t="s">
        <v>640</v>
      </c>
      <c r="B269" t="s">
        <v>400</v>
      </c>
      <c r="C269" s="3">
        <v>0</v>
      </c>
    </row>
    <row r="270" spans="1:3" x14ac:dyDescent="0.25">
      <c r="A270" s="2" t="s">
        <v>641</v>
      </c>
      <c r="B270" t="s">
        <v>400</v>
      </c>
      <c r="C270" s="3">
        <v>0</v>
      </c>
    </row>
    <row r="271" spans="1:3" x14ac:dyDescent="0.25">
      <c r="A271" s="2" t="s">
        <v>642</v>
      </c>
      <c r="B271" t="s">
        <v>403</v>
      </c>
      <c r="C271" s="3">
        <v>0.4</v>
      </c>
    </row>
    <row r="272" spans="1:3" x14ac:dyDescent="0.25">
      <c r="A272" s="2" t="s">
        <v>643</v>
      </c>
      <c r="B272" t="s">
        <v>401</v>
      </c>
      <c r="C272" s="3">
        <v>0</v>
      </c>
    </row>
    <row r="273" spans="1:3" x14ac:dyDescent="0.25">
      <c r="A273" s="2" t="s">
        <v>644</v>
      </c>
      <c r="B273" t="s">
        <v>399</v>
      </c>
      <c r="C273" s="3">
        <v>1</v>
      </c>
    </row>
    <row r="274" spans="1:3" x14ac:dyDescent="0.25">
      <c r="A274" s="2" t="s">
        <v>645</v>
      </c>
      <c r="B274" t="s">
        <v>400</v>
      </c>
      <c r="C274" s="3">
        <v>0</v>
      </c>
    </row>
    <row r="275" spans="1:3" x14ac:dyDescent="0.25">
      <c r="A275" s="2" t="s">
        <v>646</v>
      </c>
      <c r="B275" t="s">
        <v>400</v>
      </c>
      <c r="C275" s="3">
        <v>0</v>
      </c>
    </row>
    <row r="276" spans="1:3" x14ac:dyDescent="0.25">
      <c r="A276" s="2" t="s">
        <v>41</v>
      </c>
      <c r="B276" t="s">
        <v>400</v>
      </c>
      <c r="C276" s="3">
        <v>0</v>
      </c>
    </row>
    <row r="277" spans="1:3" x14ac:dyDescent="0.25">
      <c r="A277" s="2" t="s">
        <v>12</v>
      </c>
      <c r="B277" t="s">
        <v>400</v>
      </c>
      <c r="C277" s="3">
        <v>0</v>
      </c>
    </row>
    <row r="278" spans="1:3" x14ac:dyDescent="0.25">
      <c r="A278" s="2" t="s">
        <v>647</v>
      </c>
      <c r="B278" t="s">
        <v>400</v>
      </c>
      <c r="C278" s="3">
        <v>0</v>
      </c>
    </row>
    <row r="279" spans="1:3" x14ac:dyDescent="0.25">
      <c r="A279" s="2" t="s">
        <v>648</v>
      </c>
      <c r="B279" t="s">
        <v>400</v>
      </c>
      <c r="C279" s="3">
        <v>0</v>
      </c>
    </row>
    <row r="280" spans="1:3" x14ac:dyDescent="0.25">
      <c r="A280" s="2" t="s">
        <v>649</v>
      </c>
      <c r="B280" t="s">
        <v>400</v>
      </c>
      <c r="C280" s="3">
        <v>0</v>
      </c>
    </row>
    <row r="281" spans="1:3" x14ac:dyDescent="0.25">
      <c r="A281" s="2" t="s">
        <v>650</v>
      </c>
      <c r="B281" t="s">
        <v>400</v>
      </c>
      <c r="C281" s="3">
        <v>0</v>
      </c>
    </row>
    <row r="282" spans="1:3" x14ac:dyDescent="0.25">
      <c r="A282" s="2" t="s">
        <v>651</v>
      </c>
      <c r="B282" t="s">
        <v>401</v>
      </c>
      <c r="C282" s="3">
        <v>0</v>
      </c>
    </row>
    <row r="283" spans="1:3" x14ac:dyDescent="0.25">
      <c r="A283" s="2" t="s">
        <v>652</v>
      </c>
      <c r="B283" t="s">
        <v>400</v>
      </c>
      <c r="C283" s="3">
        <v>0</v>
      </c>
    </row>
    <row r="284" spans="1:3" x14ac:dyDescent="0.25">
      <c r="A284" s="2" t="s">
        <v>653</v>
      </c>
      <c r="B284" t="s">
        <v>400</v>
      </c>
      <c r="C284" s="3">
        <v>0</v>
      </c>
    </row>
    <row r="285" spans="1:3" x14ac:dyDescent="0.25">
      <c r="A285" s="2" t="s">
        <v>654</v>
      </c>
      <c r="B285" t="s">
        <v>400</v>
      </c>
      <c r="C285" s="3">
        <v>0</v>
      </c>
    </row>
    <row r="286" spans="1:3" x14ac:dyDescent="0.25">
      <c r="A286" s="2" t="s">
        <v>655</v>
      </c>
      <c r="B286" t="s">
        <v>400</v>
      </c>
      <c r="C286" s="3">
        <v>0</v>
      </c>
    </row>
    <row r="287" spans="1:3" x14ac:dyDescent="0.25">
      <c r="A287" s="2" t="s">
        <v>47</v>
      </c>
      <c r="B287" t="s">
        <v>401</v>
      </c>
      <c r="C287" s="3">
        <v>0</v>
      </c>
    </row>
    <row r="288" spans="1:3" x14ac:dyDescent="0.25">
      <c r="A288" s="2" t="s">
        <v>656</v>
      </c>
      <c r="B288" t="s">
        <v>400</v>
      </c>
      <c r="C288" s="3">
        <v>0</v>
      </c>
    </row>
    <row r="289" spans="1:3" x14ac:dyDescent="0.25">
      <c r="A289" s="2" t="s">
        <v>657</v>
      </c>
      <c r="B289" t="s">
        <v>400</v>
      </c>
      <c r="C289" s="3">
        <v>0</v>
      </c>
    </row>
    <row r="290" spans="1:3" x14ac:dyDescent="0.25">
      <c r="A290" s="2" t="s">
        <v>658</v>
      </c>
      <c r="B290" t="s">
        <v>403</v>
      </c>
      <c r="C290" s="3">
        <v>0.93</v>
      </c>
    </row>
    <row r="291" spans="1:3" x14ac:dyDescent="0.25">
      <c r="A291" s="2" t="s">
        <v>659</v>
      </c>
      <c r="B291" t="s">
        <v>401</v>
      </c>
      <c r="C291" s="3">
        <v>0</v>
      </c>
    </row>
    <row r="292" spans="1:3" x14ac:dyDescent="0.25">
      <c r="A292" s="2" t="s">
        <v>660</v>
      </c>
      <c r="B292" t="s">
        <v>400</v>
      </c>
      <c r="C292" s="3">
        <v>0</v>
      </c>
    </row>
    <row r="293" spans="1:3" x14ac:dyDescent="0.25">
      <c r="A293" s="2" t="s">
        <v>661</v>
      </c>
      <c r="B293" t="s">
        <v>401</v>
      </c>
      <c r="C293" s="3">
        <v>0</v>
      </c>
    </row>
    <row r="294" spans="1:3" x14ac:dyDescent="0.25">
      <c r="A294" s="2" t="s">
        <v>46</v>
      </c>
      <c r="B294" t="s">
        <v>401</v>
      </c>
      <c r="C294" s="3">
        <v>0</v>
      </c>
    </row>
    <row r="295" spans="1:3" x14ac:dyDescent="0.25">
      <c r="A295" s="2" t="s">
        <v>662</v>
      </c>
      <c r="B295" t="s">
        <v>401</v>
      </c>
      <c r="C295" s="3">
        <v>0</v>
      </c>
    </row>
    <row r="296" spans="1:3" x14ac:dyDescent="0.25">
      <c r="A296" s="2" t="s">
        <v>663</v>
      </c>
      <c r="B296" t="s">
        <v>400</v>
      </c>
      <c r="C296" s="3">
        <v>0</v>
      </c>
    </row>
    <row r="297" spans="1:3" x14ac:dyDescent="0.25">
      <c r="A297" s="2" t="s">
        <v>664</v>
      </c>
      <c r="B297" t="s">
        <v>400</v>
      </c>
      <c r="C297" s="3">
        <v>0</v>
      </c>
    </row>
    <row r="298" spans="1:3" x14ac:dyDescent="0.25">
      <c r="A298" s="2" t="s">
        <v>665</v>
      </c>
      <c r="B298" t="s">
        <v>400</v>
      </c>
      <c r="C298" s="3">
        <v>0</v>
      </c>
    </row>
    <row r="299" spans="1:3" x14ac:dyDescent="0.25">
      <c r="A299" s="2" t="s">
        <v>666</v>
      </c>
      <c r="B299" t="s">
        <v>400</v>
      </c>
      <c r="C299" s="3">
        <v>0</v>
      </c>
    </row>
    <row r="300" spans="1:3" x14ac:dyDescent="0.25">
      <c r="A300" s="2" t="s">
        <v>667</v>
      </c>
      <c r="B300" t="s">
        <v>400</v>
      </c>
      <c r="C300" s="3">
        <v>0</v>
      </c>
    </row>
    <row r="301" spans="1:3" x14ac:dyDescent="0.25">
      <c r="A301" s="2" t="s">
        <v>668</v>
      </c>
      <c r="B301" t="s">
        <v>401</v>
      </c>
      <c r="C301" s="3">
        <v>0</v>
      </c>
    </row>
    <row r="302" spans="1:3" x14ac:dyDescent="0.25">
      <c r="A302" s="2" t="s">
        <v>669</v>
      </c>
      <c r="B302" t="s">
        <v>400</v>
      </c>
      <c r="C302" s="3">
        <v>0</v>
      </c>
    </row>
    <row r="303" spans="1:3" x14ac:dyDescent="0.25">
      <c r="A303" s="2" t="s">
        <v>670</v>
      </c>
      <c r="B303" t="s">
        <v>400</v>
      </c>
      <c r="C303" s="3">
        <v>0</v>
      </c>
    </row>
    <row r="304" spans="1:3" x14ac:dyDescent="0.25">
      <c r="A304" s="2" t="s">
        <v>671</v>
      </c>
      <c r="B304" t="s">
        <v>401</v>
      </c>
      <c r="C304" s="3">
        <v>0</v>
      </c>
    </row>
    <row r="305" spans="1:3" x14ac:dyDescent="0.25">
      <c r="A305" s="2" t="s">
        <v>672</v>
      </c>
      <c r="B305" t="s">
        <v>400</v>
      </c>
      <c r="C305" s="3">
        <v>0</v>
      </c>
    </row>
    <row r="306" spans="1:3" x14ac:dyDescent="0.25">
      <c r="A306" s="2" t="s">
        <v>673</v>
      </c>
      <c r="B306" t="s">
        <v>400</v>
      </c>
      <c r="C306" s="3">
        <v>0</v>
      </c>
    </row>
    <row r="307" spans="1:3" x14ac:dyDescent="0.25">
      <c r="A307" s="2" t="s">
        <v>674</v>
      </c>
      <c r="B307" t="s">
        <v>399</v>
      </c>
      <c r="C307" s="3">
        <v>1</v>
      </c>
    </row>
    <row r="308" spans="1:3" x14ac:dyDescent="0.25">
      <c r="A308" s="2" t="s">
        <v>675</v>
      </c>
      <c r="B308" t="s">
        <v>400</v>
      </c>
      <c r="C308" s="3">
        <v>0</v>
      </c>
    </row>
    <row r="309" spans="1:3" x14ac:dyDescent="0.25">
      <c r="A309" s="2" t="s">
        <v>676</v>
      </c>
      <c r="B309" t="s">
        <v>400</v>
      </c>
      <c r="C309" s="3">
        <v>0</v>
      </c>
    </row>
    <row r="310" spans="1:3" x14ac:dyDescent="0.25">
      <c r="A310" s="2" t="s">
        <v>677</v>
      </c>
      <c r="B310" t="s">
        <v>400</v>
      </c>
      <c r="C310" s="3">
        <v>0</v>
      </c>
    </row>
    <row r="311" spans="1:3" x14ac:dyDescent="0.25">
      <c r="A311" s="2" t="s">
        <v>678</v>
      </c>
      <c r="B311" t="s">
        <v>400</v>
      </c>
      <c r="C311" s="3">
        <v>0</v>
      </c>
    </row>
    <row r="312" spans="1:3" x14ac:dyDescent="0.25">
      <c r="A312" s="2" t="s">
        <v>679</v>
      </c>
      <c r="B312" t="s">
        <v>400</v>
      </c>
      <c r="C312" s="3">
        <v>0</v>
      </c>
    </row>
    <row r="313" spans="1:3" x14ac:dyDescent="0.25">
      <c r="A313" s="2" t="s">
        <v>680</v>
      </c>
      <c r="B313" t="s">
        <v>401</v>
      </c>
      <c r="C313" s="3">
        <v>0</v>
      </c>
    </row>
    <row r="314" spans="1:3" x14ac:dyDescent="0.25">
      <c r="A314" s="2" t="s">
        <v>681</v>
      </c>
      <c r="B314" t="s">
        <v>402</v>
      </c>
      <c r="C314" s="3">
        <v>0.35</v>
      </c>
    </row>
    <row r="315" spans="1:3" x14ac:dyDescent="0.25">
      <c r="A315" s="2" t="s">
        <v>682</v>
      </c>
      <c r="B315" t="s">
        <v>400</v>
      </c>
      <c r="C315" s="3">
        <v>0</v>
      </c>
    </row>
    <row r="316" spans="1:3" x14ac:dyDescent="0.25">
      <c r="A316" s="2" t="s">
        <v>683</v>
      </c>
      <c r="B316" t="s">
        <v>400</v>
      </c>
      <c r="C316" s="3">
        <v>0</v>
      </c>
    </row>
    <row r="317" spans="1:3" x14ac:dyDescent="0.25">
      <c r="A317" s="2" t="s">
        <v>684</v>
      </c>
      <c r="B317" t="s">
        <v>400</v>
      </c>
      <c r="C317" s="3">
        <v>0</v>
      </c>
    </row>
    <row r="318" spans="1:3" x14ac:dyDescent="0.25">
      <c r="A318" s="2" t="s">
        <v>685</v>
      </c>
      <c r="B318" t="s">
        <v>399</v>
      </c>
      <c r="C318" s="3">
        <v>1</v>
      </c>
    </row>
    <row r="319" spans="1:3" x14ac:dyDescent="0.25">
      <c r="A319" s="2" t="s">
        <v>686</v>
      </c>
      <c r="B319" t="s">
        <v>399</v>
      </c>
      <c r="C319" s="3">
        <v>1</v>
      </c>
    </row>
    <row r="320" spans="1:3" x14ac:dyDescent="0.25">
      <c r="A320" s="2" t="s">
        <v>687</v>
      </c>
      <c r="B320" t="s">
        <v>400</v>
      </c>
      <c r="C320" s="3">
        <v>0</v>
      </c>
    </row>
    <row r="321" spans="1:3" x14ac:dyDescent="0.25">
      <c r="A321" s="2" t="s">
        <v>688</v>
      </c>
      <c r="B321" t="s">
        <v>400</v>
      </c>
      <c r="C321" s="3">
        <v>0</v>
      </c>
    </row>
    <row r="322" spans="1:3" x14ac:dyDescent="0.25">
      <c r="A322" s="2" t="s">
        <v>689</v>
      </c>
      <c r="B322" t="s">
        <v>400</v>
      </c>
      <c r="C322" s="3">
        <v>0</v>
      </c>
    </row>
    <row r="323" spans="1:3" x14ac:dyDescent="0.25">
      <c r="A323" s="2" t="s">
        <v>690</v>
      </c>
      <c r="B323" t="s">
        <v>401</v>
      </c>
      <c r="C323" s="3">
        <v>0</v>
      </c>
    </row>
    <row r="324" spans="1:3" x14ac:dyDescent="0.25">
      <c r="A324" s="2" t="s">
        <v>691</v>
      </c>
      <c r="B324" t="s">
        <v>400</v>
      </c>
      <c r="C324" s="3">
        <v>0</v>
      </c>
    </row>
    <row r="325" spans="1:3" x14ac:dyDescent="0.25">
      <c r="A325" s="2" t="s">
        <v>692</v>
      </c>
      <c r="B325" t="s">
        <v>401</v>
      </c>
      <c r="C325" s="3">
        <v>0</v>
      </c>
    </row>
    <row r="326" spans="1:3" x14ac:dyDescent="0.25">
      <c r="A326" s="2" t="s">
        <v>693</v>
      </c>
      <c r="B326" t="s">
        <v>400</v>
      </c>
      <c r="C326" s="3">
        <v>0</v>
      </c>
    </row>
    <row r="327" spans="1:3" x14ac:dyDescent="0.25">
      <c r="A327" s="2" t="s">
        <v>43</v>
      </c>
      <c r="B327" t="s">
        <v>401</v>
      </c>
      <c r="C327" s="3">
        <v>0</v>
      </c>
    </row>
    <row r="328" spans="1:3" x14ac:dyDescent="0.25">
      <c r="A328" s="2" t="s">
        <v>694</v>
      </c>
      <c r="B328" t="s">
        <v>400</v>
      </c>
      <c r="C328" s="3">
        <v>0</v>
      </c>
    </row>
    <row r="329" spans="1:3" x14ac:dyDescent="0.25">
      <c r="A329" s="2" t="s">
        <v>695</v>
      </c>
      <c r="B329" t="s">
        <v>400</v>
      </c>
      <c r="C329" s="3">
        <v>0</v>
      </c>
    </row>
    <row r="330" spans="1:3" x14ac:dyDescent="0.25">
      <c r="A330" s="2" t="s">
        <v>696</v>
      </c>
      <c r="B330" t="s">
        <v>399</v>
      </c>
      <c r="C330" s="3">
        <v>1</v>
      </c>
    </row>
    <row r="331" spans="1:3" x14ac:dyDescent="0.25">
      <c r="A331" s="2" t="s">
        <v>697</v>
      </c>
      <c r="B331" t="s">
        <v>400</v>
      </c>
      <c r="C331" s="3">
        <v>0</v>
      </c>
    </row>
    <row r="332" spans="1:3" x14ac:dyDescent="0.25">
      <c r="A332" s="2" t="s">
        <v>698</v>
      </c>
      <c r="B332" t="s">
        <v>401</v>
      </c>
      <c r="C332" s="3">
        <v>0</v>
      </c>
    </row>
    <row r="333" spans="1:3" x14ac:dyDescent="0.25">
      <c r="A333" s="2" t="s">
        <v>699</v>
      </c>
      <c r="B333" t="s">
        <v>400</v>
      </c>
      <c r="C333" s="3">
        <v>0</v>
      </c>
    </row>
    <row r="334" spans="1:3" x14ac:dyDescent="0.25">
      <c r="A334" s="2" t="s">
        <v>700</v>
      </c>
      <c r="B334" t="s">
        <v>399</v>
      </c>
      <c r="C334" s="3">
        <v>0.43</v>
      </c>
    </row>
    <row r="335" spans="1:3" x14ac:dyDescent="0.25">
      <c r="A335" s="2" t="s">
        <v>701</v>
      </c>
      <c r="B335" t="s">
        <v>400</v>
      </c>
      <c r="C335" s="3">
        <v>0</v>
      </c>
    </row>
    <row r="336" spans="1:3" x14ac:dyDescent="0.25">
      <c r="A336" s="2" t="s">
        <v>702</v>
      </c>
      <c r="B336" t="s">
        <v>400</v>
      </c>
      <c r="C336" s="3">
        <v>0</v>
      </c>
    </row>
    <row r="337" spans="1:3" x14ac:dyDescent="0.25">
      <c r="A337" s="2" t="s">
        <v>703</v>
      </c>
      <c r="B337" t="s">
        <v>399</v>
      </c>
      <c r="C337" s="3">
        <v>0.9</v>
      </c>
    </row>
    <row r="338" spans="1:3" x14ac:dyDescent="0.25">
      <c r="A338" s="2" t="s">
        <v>704</v>
      </c>
      <c r="B338" t="s">
        <v>399</v>
      </c>
      <c r="C338" s="3">
        <v>0.45</v>
      </c>
    </row>
    <row r="339" spans="1:3" x14ac:dyDescent="0.25">
      <c r="A339" s="2" t="s">
        <v>56</v>
      </c>
      <c r="B339" t="s">
        <v>399</v>
      </c>
      <c r="C339" s="3">
        <v>0.34</v>
      </c>
    </row>
    <row r="340" spans="1:3" x14ac:dyDescent="0.25">
      <c r="A340" s="2" t="s">
        <v>705</v>
      </c>
      <c r="B340" t="s">
        <v>400</v>
      </c>
      <c r="C340" s="3">
        <v>0</v>
      </c>
    </row>
    <row r="341" spans="1:3" x14ac:dyDescent="0.25">
      <c r="A341" s="2" t="s">
        <v>706</v>
      </c>
      <c r="B341" t="s">
        <v>401</v>
      </c>
      <c r="C341" s="3">
        <v>0</v>
      </c>
    </row>
    <row r="342" spans="1:3" x14ac:dyDescent="0.25">
      <c r="A342" s="2" t="s">
        <v>57</v>
      </c>
      <c r="B342" t="s">
        <v>401</v>
      </c>
      <c r="C342" s="3">
        <v>0</v>
      </c>
    </row>
    <row r="343" spans="1:3" x14ac:dyDescent="0.25">
      <c r="A343" s="2" t="s">
        <v>40</v>
      </c>
      <c r="B343" t="s">
        <v>400</v>
      </c>
      <c r="C343" s="3">
        <v>0</v>
      </c>
    </row>
    <row r="344" spans="1:3" x14ac:dyDescent="0.25">
      <c r="A344" s="2" t="s">
        <v>58</v>
      </c>
      <c r="B344" t="s">
        <v>400</v>
      </c>
      <c r="C344" s="3">
        <v>0</v>
      </c>
    </row>
    <row r="345" spans="1:3" x14ac:dyDescent="0.25">
      <c r="A345" s="2" t="s">
        <v>707</v>
      </c>
      <c r="B345" t="s">
        <v>400</v>
      </c>
      <c r="C345" s="3">
        <v>0</v>
      </c>
    </row>
    <row r="346" spans="1:3" x14ac:dyDescent="0.25">
      <c r="A346" s="2" t="s">
        <v>708</v>
      </c>
      <c r="B346" t="s">
        <v>400</v>
      </c>
      <c r="C346" s="3">
        <v>0</v>
      </c>
    </row>
    <row r="347" spans="1:3" x14ac:dyDescent="0.25">
      <c r="A347" s="2" t="s">
        <v>709</v>
      </c>
      <c r="B347" t="s">
        <v>401</v>
      </c>
      <c r="C347" s="3">
        <v>0</v>
      </c>
    </row>
    <row r="348" spans="1:3" x14ac:dyDescent="0.25">
      <c r="A348" s="2" t="s">
        <v>710</v>
      </c>
      <c r="B348" t="s">
        <v>403</v>
      </c>
      <c r="C348" s="3">
        <v>0.57999999999999996</v>
      </c>
    </row>
    <row r="349" spans="1:3" x14ac:dyDescent="0.25">
      <c r="A349" s="2" t="s">
        <v>711</v>
      </c>
      <c r="B349" t="s">
        <v>400</v>
      </c>
      <c r="C349" s="3">
        <v>0</v>
      </c>
    </row>
    <row r="350" spans="1:3" x14ac:dyDescent="0.25">
      <c r="A350" s="2" t="s">
        <v>712</v>
      </c>
      <c r="B350" t="s">
        <v>400</v>
      </c>
      <c r="C350" s="3">
        <v>0</v>
      </c>
    </row>
    <row r="351" spans="1:3" x14ac:dyDescent="0.25">
      <c r="A351" s="2" t="s">
        <v>713</v>
      </c>
      <c r="B351" t="s">
        <v>399</v>
      </c>
      <c r="C351" s="3">
        <v>0.56999999999999995</v>
      </c>
    </row>
    <row r="352" spans="1:3" x14ac:dyDescent="0.25">
      <c r="A352" s="2" t="s">
        <v>714</v>
      </c>
      <c r="B352" t="s">
        <v>400</v>
      </c>
      <c r="C352" s="3">
        <v>0</v>
      </c>
    </row>
    <row r="353" spans="1:3" x14ac:dyDescent="0.25">
      <c r="A353" s="2" t="s">
        <v>715</v>
      </c>
      <c r="B353" t="s">
        <v>400</v>
      </c>
      <c r="C353" s="3">
        <v>0</v>
      </c>
    </row>
    <row r="354" spans="1:3" x14ac:dyDescent="0.25">
      <c r="A354" s="2" t="s">
        <v>716</v>
      </c>
      <c r="B354" t="s">
        <v>400</v>
      </c>
      <c r="C354" s="3">
        <v>0</v>
      </c>
    </row>
    <row r="355" spans="1:3" x14ac:dyDescent="0.25">
      <c r="A355" s="2" t="s">
        <v>717</v>
      </c>
      <c r="B355" t="s">
        <v>401</v>
      </c>
      <c r="C355" s="3">
        <v>0</v>
      </c>
    </row>
    <row r="356" spans="1:3" x14ac:dyDescent="0.25">
      <c r="A356" s="2" t="s">
        <v>42</v>
      </c>
      <c r="B356" t="s">
        <v>400</v>
      </c>
      <c r="C356" s="3">
        <v>0</v>
      </c>
    </row>
    <row r="357" spans="1:3" x14ac:dyDescent="0.25">
      <c r="A357" s="2" t="s">
        <v>36</v>
      </c>
      <c r="B357" t="s">
        <v>400</v>
      </c>
      <c r="C357" s="3">
        <v>0</v>
      </c>
    </row>
    <row r="358" spans="1:3" x14ac:dyDescent="0.25">
      <c r="A358" s="2" t="s">
        <v>718</v>
      </c>
      <c r="B358" t="s">
        <v>401</v>
      </c>
      <c r="C358" s="3">
        <v>0</v>
      </c>
    </row>
    <row r="359" spans="1:3" x14ac:dyDescent="0.25">
      <c r="A359" s="2" t="s">
        <v>719</v>
      </c>
      <c r="B359" t="s">
        <v>400</v>
      </c>
      <c r="C359" s="3">
        <v>0</v>
      </c>
    </row>
    <row r="360" spans="1:3" x14ac:dyDescent="0.25">
      <c r="A360" s="2" t="s">
        <v>63</v>
      </c>
      <c r="B360" t="s">
        <v>400</v>
      </c>
      <c r="C360" s="3">
        <v>0</v>
      </c>
    </row>
    <row r="361" spans="1:3" x14ac:dyDescent="0.25">
      <c r="A361" s="2" t="s">
        <v>720</v>
      </c>
      <c r="B361" t="s">
        <v>400</v>
      </c>
      <c r="C361" s="3">
        <v>0</v>
      </c>
    </row>
    <row r="362" spans="1:3" x14ac:dyDescent="0.25">
      <c r="A362" s="2" t="s">
        <v>721</v>
      </c>
      <c r="B362" t="s">
        <v>400</v>
      </c>
      <c r="C362" s="3">
        <v>0</v>
      </c>
    </row>
    <row r="363" spans="1:3" x14ac:dyDescent="0.25">
      <c r="A363" s="2" t="s">
        <v>722</v>
      </c>
      <c r="B363" t="s">
        <v>404</v>
      </c>
      <c r="C363" s="3">
        <v>1</v>
      </c>
    </row>
    <row r="364" spans="1:3" x14ac:dyDescent="0.25">
      <c r="A364" s="2" t="s">
        <v>54</v>
      </c>
      <c r="B364" t="s">
        <v>400</v>
      </c>
      <c r="C364" s="3">
        <v>0</v>
      </c>
    </row>
    <row r="365" spans="1:3" x14ac:dyDescent="0.25">
      <c r="A365" s="2" t="s">
        <v>723</v>
      </c>
      <c r="B365" t="s">
        <v>402</v>
      </c>
      <c r="C365" s="3">
        <v>0.92</v>
      </c>
    </row>
    <row r="366" spans="1:3" x14ac:dyDescent="0.25">
      <c r="A366" s="2" t="s">
        <v>724</v>
      </c>
      <c r="B366" t="s">
        <v>401</v>
      </c>
      <c r="C366" s="3">
        <v>0</v>
      </c>
    </row>
    <row r="367" spans="1:3" x14ac:dyDescent="0.25">
      <c r="A367" s="2" t="s">
        <v>725</v>
      </c>
      <c r="B367" t="s">
        <v>400</v>
      </c>
      <c r="C367" s="3">
        <v>0</v>
      </c>
    </row>
    <row r="368" spans="1:3" x14ac:dyDescent="0.25">
      <c r="A368" s="2" t="s">
        <v>726</v>
      </c>
      <c r="B368" t="s">
        <v>400</v>
      </c>
      <c r="C368" s="3">
        <v>0</v>
      </c>
    </row>
    <row r="369" spans="1:3" x14ac:dyDescent="0.25">
      <c r="A369" s="2" t="s">
        <v>727</v>
      </c>
      <c r="B369" t="s">
        <v>400</v>
      </c>
      <c r="C369" s="3">
        <v>0</v>
      </c>
    </row>
    <row r="370" spans="1:3" x14ac:dyDescent="0.25">
      <c r="A370" s="2" t="s">
        <v>728</v>
      </c>
      <c r="B370" t="s">
        <v>400</v>
      </c>
      <c r="C370" s="3">
        <v>0</v>
      </c>
    </row>
    <row r="371" spans="1:3" x14ac:dyDescent="0.25">
      <c r="A371" s="2" t="s">
        <v>729</v>
      </c>
      <c r="B371" t="s">
        <v>402</v>
      </c>
      <c r="C371" s="3">
        <v>0.97</v>
      </c>
    </row>
    <row r="372" spans="1:3" x14ac:dyDescent="0.25">
      <c r="A372" s="2" t="s">
        <v>730</v>
      </c>
      <c r="B372" t="s">
        <v>401</v>
      </c>
      <c r="C372" s="3">
        <v>0</v>
      </c>
    </row>
    <row r="373" spans="1:3" x14ac:dyDescent="0.25">
      <c r="A373" s="2" t="s">
        <v>731</v>
      </c>
      <c r="B373" t="s">
        <v>400</v>
      </c>
      <c r="C373" s="3">
        <v>0</v>
      </c>
    </row>
    <row r="374" spans="1:3" x14ac:dyDescent="0.25">
      <c r="A374" s="2" t="s">
        <v>732</v>
      </c>
      <c r="B374" t="s">
        <v>404</v>
      </c>
      <c r="C374" s="3">
        <v>0.1176</v>
      </c>
    </row>
    <row r="375" spans="1:3" x14ac:dyDescent="0.25">
      <c r="A375" s="2" t="s">
        <v>733</v>
      </c>
      <c r="B375" t="s">
        <v>400</v>
      </c>
      <c r="C375" s="3">
        <v>0</v>
      </c>
    </row>
    <row r="376" spans="1:3" x14ac:dyDescent="0.25">
      <c r="A376" s="2" t="s">
        <v>734</v>
      </c>
      <c r="B376" t="s">
        <v>400</v>
      </c>
      <c r="C376" s="3">
        <v>0</v>
      </c>
    </row>
    <row r="377" spans="1:3" x14ac:dyDescent="0.25">
      <c r="A377" s="2" t="s">
        <v>735</v>
      </c>
      <c r="B377" t="s">
        <v>403</v>
      </c>
      <c r="C377" s="3">
        <v>0.14000000000000001</v>
      </c>
    </row>
    <row r="378" spans="1:3" x14ac:dyDescent="0.25">
      <c r="A378" s="2" t="s">
        <v>736</v>
      </c>
      <c r="B378" t="s">
        <v>400</v>
      </c>
      <c r="C378" s="3">
        <v>0</v>
      </c>
    </row>
    <row r="379" spans="1:3" x14ac:dyDescent="0.25">
      <c r="A379" s="2" t="s">
        <v>737</v>
      </c>
      <c r="B379" t="s">
        <v>404</v>
      </c>
      <c r="C379" s="3">
        <v>0.23</v>
      </c>
    </row>
    <row r="380" spans="1:3" x14ac:dyDescent="0.25">
      <c r="A380" s="2" t="s">
        <v>738</v>
      </c>
      <c r="B380" t="s">
        <v>400</v>
      </c>
      <c r="C380" s="3">
        <v>0</v>
      </c>
    </row>
    <row r="381" spans="1:3" x14ac:dyDescent="0.25">
      <c r="A381" s="2" t="s">
        <v>739</v>
      </c>
      <c r="B381" t="s">
        <v>400</v>
      </c>
      <c r="C381" s="3">
        <v>0</v>
      </c>
    </row>
    <row r="382" spans="1:3" x14ac:dyDescent="0.25">
      <c r="A382" s="2" t="s">
        <v>740</v>
      </c>
      <c r="B382" t="s">
        <v>400</v>
      </c>
      <c r="C382" s="3">
        <v>0</v>
      </c>
    </row>
    <row r="383" spans="1:3" x14ac:dyDescent="0.25">
      <c r="A383" s="2" t="s">
        <v>741</v>
      </c>
      <c r="B383" t="s">
        <v>400</v>
      </c>
      <c r="C383" s="3">
        <v>0</v>
      </c>
    </row>
    <row r="384" spans="1:3" x14ac:dyDescent="0.25">
      <c r="A384" s="2" t="s">
        <v>61</v>
      </c>
      <c r="B384" t="s">
        <v>403</v>
      </c>
      <c r="C384" s="3">
        <v>0.73</v>
      </c>
    </row>
    <row r="385" spans="1:3" x14ac:dyDescent="0.25">
      <c r="A385" s="2" t="s">
        <v>742</v>
      </c>
      <c r="B385" t="s">
        <v>400</v>
      </c>
      <c r="C385" s="3">
        <v>0</v>
      </c>
    </row>
    <row r="386" spans="1:3" x14ac:dyDescent="0.25">
      <c r="A386" s="2" t="s">
        <v>743</v>
      </c>
      <c r="B386" t="s">
        <v>400</v>
      </c>
      <c r="C386" s="3">
        <v>0</v>
      </c>
    </row>
    <row r="387" spans="1:3" x14ac:dyDescent="0.25">
      <c r="A387" s="2" t="s">
        <v>744</v>
      </c>
      <c r="B387" t="s">
        <v>400</v>
      </c>
      <c r="C387" s="3">
        <v>0</v>
      </c>
    </row>
    <row r="388" spans="1:3" x14ac:dyDescent="0.25">
      <c r="A388" s="2" t="s">
        <v>745</v>
      </c>
      <c r="B388" t="s">
        <v>399</v>
      </c>
      <c r="C388" s="3">
        <v>1</v>
      </c>
    </row>
    <row r="389" spans="1:3" x14ac:dyDescent="0.25">
      <c r="A389" s="2" t="s">
        <v>746</v>
      </c>
      <c r="B389" t="s">
        <v>400</v>
      </c>
      <c r="C389" s="3">
        <v>0</v>
      </c>
    </row>
    <row r="390" spans="1:3" x14ac:dyDescent="0.25">
      <c r="A390" s="2" t="s">
        <v>747</v>
      </c>
      <c r="B390" t="s">
        <v>400</v>
      </c>
      <c r="C390" s="3">
        <v>0</v>
      </c>
    </row>
    <row r="391" spans="1:3" x14ac:dyDescent="0.25">
      <c r="A391" s="2" t="s">
        <v>748</v>
      </c>
      <c r="B391" t="s">
        <v>400</v>
      </c>
      <c r="C391" s="3">
        <v>0</v>
      </c>
    </row>
    <row r="392" spans="1:3" x14ac:dyDescent="0.25">
      <c r="A392" s="2" t="s">
        <v>749</v>
      </c>
      <c r="B392" t="s">
        <v>400</v>
      </c>
      <c r="C392" s="3">
        <v>0</v>
      </c>
    </row>
    <row r="393" spans="1:3" x14ac:dyDescent="0.25">
      <c r="A393" s="2" t="s">
        <v>750</v>
      </c>
      <c r="B393" t="s">
        <v>400</v>
      </c>
      <c r="C393" s="3">
        <v>0</v>
      </c>
    </row>
    <row r="394" spans="1:3" x14ac:dyDescent="0.25">
      <c r="A394" s="2" t="s">
        <v>751</v>
      </c>
      <c r="B394" t="s">
        <v>400</v>
      </c>
      <c r="C394" s="3">
        <v>0</v>
      </c>
    </row>
    <row r="395" spans="1:3" x14ac:dyDescent="0.25">
      <c r="A395" s="2" t="s">
        <v>752</v>
      </c>
      <c r="B395" t="s">
        <v>401</v>
      </c>
      <c r="C395" s="3">
        <v>0</v>
      </c>
    </row>
    <row r="396" spans="1:3" x14ac:dyDescent="0.25">
      <c r="A396" s="2" t="s">
        <v>753</v>
      </c>
      <c r="B396" t="s">
        <v>403</v>
      </c>
      <c r="C396" s="3">
        <v>0.13</v>
      </c>
    </row>
    <row r="397" spans="1:3" x14ac:dyDescent="0.25">
      <c r="A397" s="2" t="s">
        <v>754</v>
      </c>
      <c r="B397" t="s">
        <v>400</v>
      </c>
      <c r="C397" s="3">
        <v>0</v>
      </c>
    </row>
    <row r="398" spans="1:3" x14ac:dyDescent="0.25">
      <c r="A398" s="2" t="s">
        <v>755</v>
      </c>
      <c r="B398" t="s">
        <v>400</v>
      </c>
      <c r="C398" s="3">
        <v>0</v>
      </c>
    </row>
    <row r="399" spans="1:3" x14ac:dyDescent="0.25">
      <c r="A399" s="2" t="s">
        <v>756</v>
      </c>
      <c r="B399" t="s">
        <v>400</v>
      </c>
      <c r="C399" s="3">
        <v>0</v>
      </c>
    </row>
    <row r="400" spans="1:3" x14ac:dyDescent="0.25">
      <c r="A400" s="2" t="s">
        <v>757</v>
      </c>
      <c r="B400" t="s">
        <v>400</v>
      </c>
      <c r="C400" s="3">
        <v>0</v>
      </c>
    </row>
    <row r="401" spans="1:3" x14ac:dyDescent="0.25">
      <c r="A401" s="2" t="s">
        <v>758</v>
      </c>
      <c r="B401" t="s">
        <v>400</v>
      </c>
      <c r="C401" s="3">
        <v>0</v>
      </c>
    </row>
    <row r="402" spans="1:3" x14ac:dyDescent="0.25">
      <c r="A402" s="2" t="s">
        <v>759</v>
      </c>
      <c r="B402" t="s">
        <v>400</v>
      </c>
      <c r="C402" s="3">
        <v>0</v>
      </c>
    </row>
    <row r="403" spans="1:3" x14ac:dyDescent="0.25">
      <c r="A403" s="2" t="s">
        <v>59</v>
      </c>
      <c r="B403" t="s">
        <v>400</v>
      </c>
      <c r="C403" s="3">
        <v>0</v>
      </c>
    </row>
    <row r="404" spans="1:3" x14ac:dyDescent="0.25">
      <c r="A404" s="2" t="s">
        <v>760</v>
      </c>
      <c r="B404" t="s">
        <v>400</v>
      </c>
      <c r="C404" s="3">
        <v>0</v>
      </c>
    </row>
    <row r="405" spans="1:3" x14ac:dyDescent="0.25">
      <c r="A405" s="2" t="s">
        <v>761</v>
      </c>
      <c r="B405" t="s">
        <v>400</v>
      </c>
      <c r="C405" s="3">
        <v>0</v>
      </c>
    </row>
    <row r="406" spans="1:3" x14ac:dyDescent="0.25">
      <c r="A406" s="2" t="s">
        <v>762</v>
      </c>
      <c r="B406" t="s">
        <v>399</v>
      </c>
      <c r="C406" s="3">
        <v>0.69</v>
      </c>
    </row>
    <row r="407" spans="1:3" x14ac:dyDescent="0.25">
      <c r="A407" s="2" t="s">
        <v>763</v>
      </c>
      <c r="B407" t="s">
        <v>401</v>
      </c>
      <c r="C407" s="3">
        <v>0</v>
      </c>
    </row>
    <row r="408" spans="1:3" x14ac:dyDescent="0.25">
      <c r="A408" s="2" t="s">
        <v>764</v>
      </c>
      <c r="B408" t="s">
        <v>400</v>
      </c>
      <c r="C408" s="3">
        <v>0</v>
      </c>
    </row>
    <row r="409" spans="1:3" x14ac:dyDescent="0.25">
      <c r="A409" s="2" t="s">
        <v>765</v>
      </c>
      <c r="B409" t="s">
        <v>400</v>
      </c>
      <c r="C409" s="3">
        <v>0</v>
      </c>
    </row>
    <row r="410" spans="1:3" x14ac:dyDescent="0.25">
      <c r="A410" s="2" t="s">
        <v>766</v>
      </c>
      <c r="B410" t="s">
        <v>400</v>
      </c>
      <c r="C410" s="3">
        <v>0</v>
      </c>
    </row>
    <row r="411" spans="1:3" x14ac:dyDescent="0.25">
      <c r="A411" s="2" t="s">
        <v>767</v>
      </c>
      <c r="B411" t="s">
        <v>400</v>
      </c>
      <c r="C411" s="3">
        <v>0</v>
      </c>
    </row>
    <row r="412" spans="1:3" x14ac:dyDescent="0.25">
      <c r="A412" s="2" t="s">
        <v>70</v>
      </c>
      <c r="B412" t="s">
        <v>404</v>
      </c>
      <c r="C412" s="3">
        <v>0.75</v>
      </c>
    </row>
    <row r="413" spans="1:3" x14ac:dyDescent="0.25">
      <c r="A413" s="2" t="s">
        <v>44</v>
      </c>
      <c r="B413" t="s">
        <v>400</v>
      </c>
      <c r="C413" s="3">
        <v>0</v>
      </c>
    </row>
    <row r="414" spans="1:3" x14ac:dyDescent="0.25">
      <c r="A414" s="2" t="s">
        <v>768</v>
      </c>
      <c r="B414" t="s">
        <v>400</v>
      </c>
      <c r="C414" s="3">
        <v>0</v>
      </c>
    </row>
    <row r="415" spans="1:3" x14ac:dyDescent="0.25">
      <c r="A415" s="2" t="s">
        <v>769</v>
      </c>
      <c r="B415" t="s">
        <v>400</v>
      </c>
      <c r="C415" s="3">
        <v>0</v>
      </c>
    </row>
    <row r="416" spans="1:3" x14ac:dyDescent="0.25">
      <c r="A416" s="2" t="s">
        <v>770</v>
      </c>
      <c r="B416" t="s">
        <v>400</v>
      </c>
      <c r="C416" s="3">
        <v>0</v>
      </c>
    </row>
    <row r="417" spans="1:3" x14ac:dyDescent="0.25">
      <c r="A417" s="2" t="s">
        <v>771</v>
      </c>
      <c r="B417" t="s">
        <v>400</v>
      </c>
      <c r="C417" s="3">
        <v>0</v>
      </c>
    </row>
    <row r="418" spans="1:3" x14ac:dyDescent="0.25">
      <c r="A418" s="2" t="s">
        <v>772</v>
      </c>
      <c r="B418" t="s">
        <v>401</v>
      </c>
      <c r="C418" s="3">
        <v>0</v>
      </c>
    </row>
    <row r="419" spans="1:3" x14ac:dyDescent="0.25">
      <c r="A419" s="2" t="s">
        <v>773</v>
      </c>
      <c r="B419" t="s">
        <v>401</v>
      </c>
      <c r="C419" s="3">
        <v>0</v>
      </c>
    </row>
    <row r="420" spans="1:3" x14ac:dyDescent="0.25">
      <c r="A420" s="2" t="s">
        <v>45</v>
      </c>
      <c r="B420" t="s">
        <v>400</v>
      </c>
      <c r="C420" s="3">
        <v>0</v>
      </c>
    </row>
    <row r="421" spans="1:3" x14ac:dyDescent="0.25">
      <c r="A421" s="2" t="s">
        <v>774</v>
      </c>
      <c r="B421" t="s">
        <v>401</v>
      </c>
      <c r="C421" s="3">
        <v>0</v>
      </c>
    </row>
    <row r="422" spans="1:3" x14ac:dyDescent="0.25">
      <c r="A422" s="2" t="s">
        <v>775</v>
      </c>
      <c r="B422" t="s">
        <v>400</v>
      </c>
      <c r="C422" s="3">
        <v>0</v>
      </c>
    </row>
    <row r="423" spans="1:3" x14ac:dyDescent="0.25">
      <c r="A423" s="2" t="s">
        <v>35</v>
      </c>
      <c r="B423" t="s">
        <v>401</v>
      </c>
      <c r="C423" s="3">
        <v>0</v>
      </c>
    </row>
    <row r="424" spans="1:3" x14ac:dyDescent="0.25">
      <c r="A424" s="2" t="s">
        <v>776</v>
      </c>
      <c r="B424" t="s">
        <v>401</v>
      </c>
      <c r="C424" s="3">
        <v>0</v>
      </c>
    </row>
    <row r="425" spans="1:3" x14ac:dyDescent="0.25">
      <c r="A425" s="2" t="s">
        <v>777</v>
      </c>
      <c r="B425" t="s">
        <v>403</v>
      </c>
      <c r="C425" s="3">
        <v>0.28999999999999998</v>
      </c>
    </row>
    <row r="426" spans="1:3" x14ac:dyDescent="0.25">
      <c r="A426" s="2" t="s">
        <v>778</v>
      </c>
      <c r="B426" t="s">
        <v>400</v>
      </c>
      <c r="C426" s="3">
        <v>0</v>
      </c>
    </row>
    <row r="427" spans="1:3" x14ac:dyDescent="0.25">
      <c r="A427" s="2" t="s">
        <v>779</v>
      </c>
      <c r="B427" t="s">
        <v>403</v>
      </c>
      <c r="C427" s="3">
        <v>0.22</v>
      </c>
    </row>
    <row r="428" spans="1:3" x14ac:dyDescent="0.25">
      <c r="A428" s="2" t="s">
        <v>780</v>
      </c>
      <c r="B428" t="s">
        <v>400</v>
      </c>
      <c r="C428" s="3">
        <v>0</v>
      </c>
    </row>
    <row r="429" spans="1:3" x14ac:dyDescent="0.25">
      <c r="A429" s="2" t="s">
        <v>781</v>
      </c>
      <c r="B429" t="s">
        <v>400</v>
      </c>
      <c r="C429" s="3">
        <v>0</v>
      </c>
    </row>
    <row r="430" spans="1:3" x14ac:dyDescent="0.25">
      <c r="A430" s="2" t="s">
        <v>782</v>
      </c>
      <c r="B430" t="s">
        <v>400</v>
      </c>
      <c r="C430" s="3">
        <v>0</v>
      </c>
    </row>
    <row r="431" spans="1:3" x14ac:dyDescent="0.25">
      <c r="A431" s="2" t="s">
        <v>783</v>
      </c>
      <c r="B431" t="s">
        <v>400</v>
      </c>
      <c r="C431" s="3">
        <v>0</v>
      </c>
    </row>
    <row r="432" spans="1:3" x14ac:dyDescent="0.25">
      <c r="A432" s="2" t="s">
        <v>784</v>
      </c>
      <c r="B432" t="s">
        <v>400</v>
      </c>
      <c r="C432" s="3">
        <v>0</v>
      </c>
    </row>
    <row r="433" spans="1:3" x14ac:dyDescent="0.25">
      <c r="A433" s="2" t="s">
        <v>785</v>
      </c>
      <c r="B433" t="s">
        <v>399</v>
      </c>
      <c r="C433" s="3">
        <v>0.24</v>
      </c>
    </row>
    <row r="434" spans="1:3" x14ac:dyDescent="0.25">
      <c r="A434" s="2" t="s">
        <v>786</v>
      </c>
      <c r="B434" t="s">
        <v>403</v>
      </c>
      <c r="C434" s="3">
        <v>0.9</v>
      </c>
    </row>
    <row r="435" spans="1:3" x14ac:dyDescent="0.25">
      <c r="A435" s="2" t="s">
        <v>787</v>
      </c>
      <c r="B435" t="s">
        <v>400</v>
      </c>
      <c r="C435" s="3">
        <v>0</v>
      </c>
    </row>
    <row r="436" spans="1:3" x14ac:dyDescent="0.25">
      <c r="A436" s="2" t="s">
        <v>788</v>
      </c>
      <c r="B436" t="s">
        <v>401</v>
      </c>
      <c r="C436" s="3">
        <v>0</v>
      </c>
    </row>
    <row r="437" spans="1:3" x14ac:dyDescent="0.25">
      <c r="A437" s="2" t="s">
        <v>789</v>
      </c>
      <c r="B437" t="s">
        <v>402</v>
      </c>
      <c r="C437" s="3">
        <v>0.4</v>
      </c>
    </row>
    <row r="438" spans="1:3" x14ac:dyDescent="0.25">
      <c r="A438" s="2" t="s">
        <v>73</v>
      </c>
      <c r="B438" t="s">
        <v>400</v>
      </c>
      <c r="C438" s="3">
        <v>0</v>
      </c>
    </row>
    <row r="439" spans="1:3" x14ac:dyDescent="0.25">
      <c r="A439" s="2" t="s">
        <v>790</v>
      </c>
      <c r="B439" t="s">
        <v>403</v>
      </c>
      <c r="C439" s="3">
        <v>1</v>
      </c>
    </row>
    <row r="440" spans="1:3" x14ac:dyDescent="0.25">
      <c r="A440" s="2" t="s">
        <v>791</v>
      </c>
      <c r="B440" t="s">
        <v>401</v>
      </c>
      <c r="C440" s="3">
        <v>0</v>
      </c>
    </row>
    <row r="441" spans="1:3" x14ac:dyDescent="0.25">
      <c r="A441" s="2" t="s">
        <v>792</v>
      </c>
      <c r="B441" t="s">
        <v>400</v>
      </c>
      <c r="C441" s="3">
        <v>0</v>
      </c>
    </row>
    <row r="442" spans="1:3" x14ac:dyDescent="0.25">
      <c r="A442" s="2" t="s">
        <v>793</v>
      </c>
      <c r="B442" t="s">
        <v>400</v>
      </c>
      <c r="C442" s="3">
        <v>0</v>
      </c>
    </row>
    <row r="443" spans="1:3" x14ac:dyDescent="0.25">
      <c r="A443" s="2" t="s">
        <v>794</v>
      </c>
      <c r="B443" t="s">
        <v>399</v>
      </c>
      <c r="C443" s="3">
        <v>1</v>
      </c>
    </row>
    <row r="444" spans="1:3" x14ac:dyDescent="0.25">
      <c r="A444" s="2" t="s">
        <v>795</v>
      </c>
      <c r="B444" t="s">
        <v>400</v>
      </c>
      <c r="C444" s="3">
        <v>0</v>
      </c>
    </row>
    <row r="445" spans="1:3" x14ac:dyDescent="0.25">
      <c r="A445" s="2" t="s">
        <v>796</v>
      </c>
      <c r="B445" t="s">
        <v>401</v>
      </c>
      <c r="C445" s="3">
        <v>0</v>
      </c>
    </row>
    <row r="446" spans="1:3" x14ac:dyDescent="0.25">
      <c r="A446" s="2" t="s">
        <v>797</v>
      </c>
      <c r="B446" t="s">
        <v>401</v>
      </c>
      <c r="C446" s="3">
        <v>0</v>
      </c>
    </row>
    <row r="447" spans="1:3" x14ac:dyDescent="0.25">
      <c r="A447" s="2" t="s">
        <v>798</v>
      </c>
      <c r="B447" t="s">
        <v>401</v>
      </c>
      <c r="C447" s="3">
        <v>0</v>
      </c>
    </row>
    <row r="448" spans="1:3" x14ac:dyDescent="0.25">
      <c r="A448" s="2" t="s">
        <v>799</v>
      </c>
      <c r="B448" t="s">
        <v>400</v>
      </c>
      <c r="C448" s="3">
        <v>0</v>
      </c>
    </row>
    <row r="449" spans="1:3" x14ac:dyDescent="0.25">
      <c r="A449" s="2" t="s">
        <v>800</v>
      </c>
      <c r="B449" t="s">
        <v>400</v>
      </c>
      <c r="C449" s="3">
        <v>0</v>
      </c>
    </row>
    <row r="450" spans="1:3" x14ac:dyDescent="0.25">
      <c r="A450" s="2" t="s">
        <v>801</v>
      </c>
      <c r="B450" t="s">
        <v>401</v>
      </c>
      <c r="C450" s="3">
        <v>0</v>
      </c>
    </row>
    <row r="451" spans="1:3" x14ac:dyDescent="0.25">
      <c r="A451" s="2" t="s">
        <v>802</v>
      </c>
      <c r="B451" t="s">
        <v>402</v>
      </c>
      <c r="C451" s="3">
        <v>1</v>
      </c>
    </row>
    <row r="452" spans="1:3" x14ac:dyDescent="0.25">
      <c r="A452" s="2" t="s">
        <v>803</v>
      </c>
      <c r="B452" t="s">
        <v>402</v>
      </c>
      <c r="C452" s="3">
        <v>0.64</v>
      </c>
    </row>
    <row r="453" spans="1:3" x14ac:dyDescent="0.25">
      <c r="A453" s="2" t="s">
        <v>804</v>
      </c>
      <c r="B453" t="s">
        <v>400</v>
      </c>
      <c r="C453" s="3">
        <v>0</v>
      </c>
    </row>
    <row r="454" spans="1:3" x14ac:dyDescent="0.25">
      <c r="A454" s="2" t="s">
        <v>805</v>
      </c>
      <c r="B454" t="s">
        <v>400</v>
      </c>
      <c r="C454" s="3">
        <v>0</v>
      </c>
    </row>
    <row r="455" spans="1:3" x14ac:dyDescent="0.25">
      <c r="A455" s="2" t="s">
        <v>806</v>
      </c>
      <c r="B455" t="s">
        <v>400</v>
      </c>
      <c r="C455" s="3">
        <v>0</v>
      </c>
    </row>
    <row r="456" spans="1:3" x14ac:dyDescent="0.25">
      <c r="A456" s="2" t="s">
        <v>807</v>
      </c>
      <c r="B456" t="s">
        <v>400</v>
      </c>
      <c r="C456" s="3">
        <v>0</v>
      </c>
    </row>
    <row r="457" spans="1:3" x14ac:dyDescent="0.25">
      <c r="A457" s="2" t="s">
        <v>808</v>
      </c>
      <c r="B457" t="s">
        <v>400</v>
      </c>
      <c r="C457" s="3">
        <v>0</v>
      </c>
    </row>
    <row r="458" spans="1:3" x14ac:dyDescent="0.25">
      <c r="A458" s="2" t="s">
        <v>809</v>
      </c>
      <c r="B458" t="s">
        <v>403</v>
      </c>
      <c r="C458" s="3">
        <v>0.49</v>
      </c>
    </row>
    <row r="459" spans="1:3" x14ac:dyDescent="0.25">
      <c r="A459" s="2" t="s">
        <v>810</v>
      </c>
      <c r="B459" t="s">
        <v>405</v>
      </c>
      <c r="C459" s="3">
        <v>1</v>
      </c>
    </row>
    <row r="460" spans="1:3" x14ac:dyDescent="0.25">
      <c r="A460" s="2" t="s">
        <v>811</v>
      </c>
      <c r="B460" t="s">
        <v>408</v>
      </c>
      <c r="C460" s="3">
        <v>1</v>
      </c>
    </row>
    <row r="461" spans="1:3" x14ac:dyDescent="0.25">
      <c r="A461" s="2" t="s">
        <v>812</v>
      </c>
      <c r="B461" t="s">
        <v>406</v>
      </c>
      <c r="C461" s="3">
        <v>0.53</v>
      </c>
    </row>
    <row r="462" spans="1:3" x14ac:dyDescent="0.25">
      <c r="A462" s="2" t="s">
        <v>813</v>
      </c>
      <c r="B462" t="s">
        <v>400</v>
      </c>
      <c r="C462" s="3">
        <v>0</v>
      </c>
    </row>
    <row r="463" spans="1:3" x14ac:dyDescent="0.25">
      <c r="A463" s="2" t="s">
        <v>71</v>
      </c>
      <c r="B463" t="s">
        <v>400</v>
      </c>
      <c r="C463" s="3">
        <v>0</v>
      </c>
    </row>
    <row r="464" spans="1:3" x14ac:dyDescent="0.25">
      <c r="A464" s="2" t="s">
        <v>52</v>
      </c>
      <c r="B464" t="s">
        <v>401</v>
      </c>
      <c r="C464" s="3">
        <v>0</v>
      </c>
    </row>
    <row r="465" spans="1:3" x14ac:dyDescent="0.25">
      <c r="A465" s="2" t="s">
        <v>66</v>
      </c>
      <c r="B465" t="s">
        <v>401</v>
      </c>
      <c r="C465" s="3">
        <v>0</v>
      </c>
    </row>
    <row r="466" spans="1:3" x14ac:dyDescent="0.25">
      <c r="A466" s="2" t="s">
        <v>814</v>
      </c>
      <c r="B466" t="s">
        <v>401</v>
      </c>
      <c r="C466" s="3">
        <v>0</v>
      </c>
    </row>
    <row r="467" spans="1:3" x14ac:dyDescent="0.25">
      <c r="A467" s="2" t="s">
        <v>815</v>
      </c>
      <c r="B467" t="s">
        <v>400</v>
      </c>
      <c r="C467" s="3">
        <v>0</v>
      </c>
    </row>
    <row r="468" spans="1:3" x14ac:dyDescent="0.25">
      <c r="A468" s="2" t="s">
        <v>816</v>
      </c>
      <c r="B468" t="s">
        <v>400</v>
      </c>
      <c r="C468" s="3">
        <v>0</v>
      </c>
    </row>
    <row r="469" spans="1:3" x14ac:dyDescent="0.25">
      <c r="A469" s="2" t="s">
        <v>817</v>
      </c>
      <c r="B469" t="s">
        <v>400</v>
      </c>
      <c r="C469" s="3">
        <v>0</v>
      </c>
    </row>
    <row r="470" spans="1:3" x14ac:dyDescent="0.25">
      <c r="A470" s="2" t="s">
        <v>818</v>
      </c>
      <c r="B470" t="s">
        <v>400</v>
      </c>
      <c r="C470" s="3">
        <v>0</v>
      </c>
    </row>
    <row r="471" spans="1:3" x14ac:dyDescent="0.25">
      <c r="A471" s="2" t="s">
        <v>819</v>
      </c>
      <c r="B471" t="s">
        <v>400</v>
      </c>
      <c r="C471" s="3">
        <v>0</v>
      </c>
    </row>
    <row r="472" spans="1:3" x14ac:dyDescent="0.25">
      <c r="A472" s="2" t="s">
        <v>820</v>
      </c>
      <c r="B472" t="s">
        <v>401</v>
      </c>
      <c r="C472" s="3">
        <v>0</v>
      </c>
    </row>
    <row r="473" spans="1:3" x14ac:dyDescent="0.25">
      <c r="A473" s="2" t="s">
        <v>78</v>
      </c>
      <c r="B473" t="s">
        <v>400</v>
      </c>
      <c r="C473" s="3">
        <v>0</v>
      </c>
    </row>
    <row r="474" spans="1:3" x14ac:dyDescent="0.25">
      <c r="A474" s="2" t="s">
        <v>76</v>
      </c>
      <c r="B474" t="s">
        <v>399</v>
      </c>
      <c r="C474" s="3">
        <v>0.34</v>
      </c>
    </row>
    <row r="475" spans="1:3" x14ac:dyDescent="0.25">
      <c r="A475" s="2" t="s">
        <v>821</v>
      </c>
      <c r="B475" t="s">
        <v>399</v>
      </c>
      <c r="C475" s="3">
        <v>1</v>
      </c>
    </row>
    <row r="476" spans="1:3" x14ac:dyDescent="0.25">
      <c r="A476" s="2" t="s">
        <v>822</v>
      </c>
      <c r="B476" t="s">
        <v>400</v>
      </c>
      <c r="C476" s="3">
        <v>0</v>
      </c>
    </row>
    <row r="477" spans="1:3" x14ac:dyDescent="0.25">
      <c r="A477" s="2" t="s">
        <v>80</v>
      </c>
      <c r="B477" t="s">
        <v>401</v>
      </c>
      <c r="C477" s="3">
        <v>0</v>
      </c>
    </row>
    <row r="478" spans="1:3" x14ac:dyDescent="0.25">
      <c r="A478" s="2" t="s">
        <v>823</v>
      </c>
      <c r="B478" t="s">
        <v>400</v>
      </c>
      <c r="C478" s="3">
        <v>0</v>
      </c>
    </row>
    <row r="479" spans="1:3" x14ac:dyDescent="0.25">
      <c r="A479" s="2" t="s">
        <v>824</v>
      </c>
      <c r="B479" t="s">
        <v>400</v>
      </c>
      <c r="C479" s="3">
        <v>0</v>
      </c>
    </row>
    <row r="480" spans="1:3" x14ac:dyDescent="0.25">
      <c r="A480" s="2" t="s">
        <v>825</v>
      </c>
      <c r="B480" t="s">
        <v>400</v>
      </c>
      <c r="C480" s="3">
        <v>0</v>
      </c>
    </row>
    <row r="481" spans="1:3" x14ac:dyDescent="0.25">
      <c r="A481" s="2" t="s">
        <v>826</v>
      </c>
      <c r="B481" t="s">
        <v>400</v>
      </c>
      <c r="C481" s="3">
        <v>0</v>
      </c>
    </row>
    <row r="482" spans="1:3" x14ac:dyDescent="0.25">
      <c r="A482" s="2" t="s">
        <v>827</v>
      </c>
      <c r="B482" t="s">
        <v>405</v>
      </c>
      <c r="C482" s="3">
        <v>0.41</v>
      </c>
    </row>
    <row r="483" spans="1:3" x14ac:dyDescent="0.25">
      <c r="A483" s="2" t="s">
        <v>828</v>
      </c>
      <c r="B483" t="s">
        <v>400</v>
      </c>
      <c r="C483" s="3">
        <v>0</v>
      </c>
    </row>
    <row r="484" spans="1:3" x14ac:dyDescent="0.25">
      <c r="A484" s="2" t="s">
        <v>84</v>
      </c>
      <c r="B484" t="s">
        <v>400</v>
      </c>
      <c r="C484" s="3">
        <v>0</v>
      </c>
    </row>
    <row r="485" spans="1:3" x14ac:dyDescent="0.25">
      <c r="A485" s="2" t="s">
        <v>829</v>
      </c>
      <c r="B485" t="s">
        <v>404</v>
      </c>
      <c r="C485" s="3">
        <v>0.62</v>
      </c>
    </row>
    <row r="486" spans="1:3" x14ac:dyDescent="0.25">
      <c r="A486" s="2" t="s">
        <v>830</v>
      </c>
      <c r="B486" t="s">
        <v>401</v>
      </c>
      <c r="C486" s="3">
        <v>0</v>
      </c>
    </row>
    <row r="487" spans="1:3" x14ac:dyDescent="0.25">
      <c r="A487" s="2" t="s">
        <v>831</v>
      </c>
      <c r="B487" t="s">
        <v>400</v>
      </c>
      <c r="C487" s="3">
        <v>0</v>
      </c>
    </row>
    <row r="488" spans="1:3" x14ac:dyDescent="0.25">
      <c r="A488" s="2" t="s">
        <v>832</v>
      </c>
      <c r="B488" t="s">
        <v>400</v>
      </c>
      <c r="C488" s="3">
        <v>0</v>
      </c>
    </row>
    <row r="489" spans="1:3" x14ac:dyDescent="0.25">
      <c r="A489" s="2" t="s">
        <v>833</v>
      </c>
      <c r="B489" t="s">
        <v>404</v>
      </c>
      <c r="C489" s="3">
        <v>0.51</v>
      </c>
    </row>
    <row r="490" spans="1:3" x14ac:dyDescent="0.25">
      <c r="A490" s="2" t="s">
        <v>834</v>
      </c>
      <c r="B490" t="s">
        <v>400</v>
      </c>
      <c r="C490" s="3">
        <v>0</v>
      </c>
    </row>
    <row r="491" spans="1:3" x14ac:dyDescent="0.25">
      <c r="A491" s="2" t="s">
        <v>835</v>
      </c>
      <c r="B491" t="s">
        <v>402</v>
      </c>
      <c r="C491" s="3">
        <v>0.47</v>
      </c>
    </row>
    <row r="492" spans="1:3" x14ac:dyDescent="0.25">
      <c r="A492" s="2" t="s">
        <v>836</v>
      </c>
      <c r="B492" t="s">
        <v>400</v>
      </c>
      <c r="C492" s="3">
        <v>0</v>
      </c>
    </row>
    <row r="493" spans="1:3" x14ac:dyDescent="0.25">
      <c r="A493" s="2" t="s">
        <v>837</v>
      </c>
      <c r="B493" t="s">
        <v>400</v>
      </c>
      <c r="C493" s="3">
        <v>0</v>
      </c>
    </row>
    <row r="494" spans="1:3" x14ac:dyDescent="0.25">
      <c r="A494" s="2" t="s">
        <v>838</v>
      </c>
      <c r="B494" t="s">
        <v>400</v>
      </c>
      <c r="C494" s="3">
        <v>0</v>
      </c>
    </row>
    <row r="495" spans="1:3" x14ac:dyDescent="0.25">
      <c r="A495" s="2" t="s">
        <v>839</v>
      </c>
      <c r="B495" t="s">
        <v>400</v>
      </c>
      <c r="C495" s="3">
        <v>0</v>
      </c>
    </row>
    <row r="496" spans="1:3" x14ac:dyDescent="0.25">
      <c r="A496" s="2" t="s">
        <v>840</v>
      </c>
      <c r="B496" t="s">
        <v>400</v>
      </c>
      <c r="C496" s="3">
        <v>0</v>
      </c>
    </row>
    <row r="497" spans="1:3" x14ac:dyDescent="0.25">
      <c r="A497" s="2" t="s">
        <v>841</v>
      </c>
      <c r="B497" t="s">
        <v>400</v>
      </c>
      <c r="C497" s="3">
        <v>0</v>
      </c>
    </row>
    <row r="498" spans="1:3" x14ac:dyDescent="0.25">
      <c r="A498" s="2" t="s">
        <v>842</v>
      </c>
      <c r="B498" t="s">
        <v>400</v>
      </c>
      <c r="C498" s="3">
        <v>0</v>
      </c>
    </row>
    <row r="499" spans="1:3" x14ac:dyDescent="0.25">
      <c r="A499" s="2" t="s">
        <v>843</v>
      </c>
      <c r="B499" t="s">
        <v>400</v>
      </c>
      <c r="C499" s="3">
        <v>0</v>
      </c>
    </row>
    <row r="500" spans="1:3" x14ac:dyDescent="0.25">
      <c r="A500" s="2" t="s">
        <v>844</v>
      </c>
      <c r="B500" t="s">
        <v>401</v>
      </c>
      <c r="C500" s="3">
        <v>0</v>
      </c>
    </row>
    <row r="501" spans="1:3" x14ac:dyDescent="0.25">
      <c r="A501" s="2" t="s">
        <v>845</v>
      </c>
      <c r="B501" t="s">
        <v>401</v>
      </c>
      <c r="C501" s="3">
        <v>0</v>
      </c>
    </row>
    <row r="502" spans="1:3" x14ac:dyDescent="0.25">
      <c r="A502" s="2" t="s">
        <v>846</v>
      </c>
      <c r="B502" t="s">
        <v>401</v>
      </c>
      <c r="C502" s="3">
        <v>0</v>
      </c>
    </row>
    <row r="503" spans="1:3" x14ac:dyDescent="0.25">
      <c r="A503" s="2" t="s">
        <v>847</v>
      </c>
      <c r="B503" t="s">
        <v>401</v>
      </c>
      <c r="C503" s="3">
        <v>0</v>
      </c>
    </row>
    <row r="504" spans="1:3" x14ac:dyDescent="0.25">
      <c r="A504" s="2" t="s">
        <v>848</v>
      </c>
      <c r="B504" t="s">
        <v>404</v>
      </c>
      <c r="C504" s="3">
        <v>0.53</v>
      </c>
    </row>
    <row r="505" spans="1:3" x14ac:dyDescent="0.25">
      <c r="A505" s="2" t="s">
        <v>849</v>
      </c>
      <c r="B505" t="s">
        <v>403</v>
      </c>
      <c r="C505" s="3">
        <v>0.86</v>
      </c>
    </row>
    <row r="506" spans="1:3" x14ac:dyDescent="0.25">
      <c r="A506" s="2" t="s">
        <v>850</v>
      </c>
      <c r="B506" t="s">
        <v>401</v>
      </c>
      <c r="C506" s="3">
        <v>0</v>
      </c>
    </row>
    <row r="507" spans="1:3" x14ac:dyDescent="0.25">
      <c r="A507" s="2" t="s">
        <v>851</v>
      </c>
      <c r="B507" t="s">
        <v>400</v>
      </c>
      <c r="C507" s="3">
        <v>0</v>
      </c>
    </row>
    <row r="508" spans="1:3" x14ac:dyDescent="0.25">
      <c r="A508" s="2" t="s">
        <v>81</v>
      </c>
      <c r="B508" t="s">
        <v>400</v>
      </c>
      <c r="C508" s="3">
        <v>0</v>
      </c>
    </row>
    <row r="509" spans="1:3" x14ac:dyDescent="0.25">
      <c r="A509" s="2" t="s">
        <v>852</v>
      </c>
      <c r="B509" t="s">
        <v>400</v>
      </c>
      <c r="C509" s="3">
        <v>0</v>
      </c>
    </row>
    <row r="510" spans="1:3" x14ac:dyDescent="0.25">
      <c r="A510" s="2" t="s">
        <v>853</v>
      </c>
      <c r="B510" t="s">
        <v>401</v>
      </c>
      <c r="C510" s="3">
        <v>0</v>
      </c>
    </row>
    <row r="511" spans="1:3" x14ac:dyDescent="0.25">
      <c r="A511" s="2" t="s">
        <v>62</v>
      </c>
      <c r="B511" t="s">
        <v>400</v>
      </c>
      <c r="C511" s="3">
        <v>0</v>
      </c>
    </row>
    <row r="512" spans="1:3" x14ac:dyDescent="0.25">
      <c r="A512" s="2" t="s">
        <v>854</v>
      </c>
      <c r="B512" t="s">
        <v>401</v>
      </c>
      <c r="C512" s="3">
        <v>0</v>
      </c>
    </row>
    <row r="513" spans="1:3" x14ac:dyDescent="0.25">
      <c r="A513" s="2" t="s">
        <v>855</v>
      </c>
      <c r="B513" t="s">
        <v>400</v>
      </c>
      <c r="C513" s="3">
        <v>0</v>
      </c>
    </row>
    <row r="514" spans="1:3" x14ac:dyDescent="0.25">
      <c r="A514" s="2" t="s">
        <v>65</v>
      </c>
      <c r="B514" t="s">
        <v>400</v>
      </c>
      <c r="C514" s="3">
        <v>0</v>
      </c>
    </row>
    <row r="515" spans="1:3" x14ac:dyDescent="0.25">
      <c r="A515" s="2" t="s">
        <v>856</v>
      </c>
      <c r="B515" t="s">
        <v>400</v>
      </c>
      <c r="C515" s="3">
        <v>0</v>
      </c>
    </row>
    <row r="516" spans="1:3" x14ac:dyDescent="0.25">
      <c r="A516" s="2" t="s">
        <v>857</v>
      </c>
      <c r="B516" t="s">
        <v>400</v>
      </c>
      <c r="C516" s="3">
        <v>0</v>
      </c>
    </row>
    <row r="517" spans="1:3" x14ac:dyDescent="0.25">
      <c r="A517" s="2" t="s">
        <v>858</v>
      </c>
      <c r="B517" t="s">
        <v>401</v>
      </c>
      <c r="C517" s="3">
        <v>0</v>
      </c>
    </row>
    <row r="518" spans="1:3" x14ac:dyDescent="0.25">
      <c r="A518" s="2" t="s">
        <v>86</v>
      </c>
      <c r="B518" t="s">
        <v>400</v>
      </c>
      <c r="C518" s="3">
        <v>0</v>
      </c>
    </row>
    <row r="519" spans="1:3" x14ac:dyDescent="0.25">
      <c r="A519" s="2" t="s">
        <v>859</v>
      </c>
      <c r="B519" t="s">
        <v>400</v>
      </c>
      <c r="C519" s="3">
        <v>0</v>
      </c>
    </row>
    <row r="520" spans="1:3" x14ac:dyDescent="0.25">
      <c r="A520" s="2" t="s">
        <v>860</v>
      </c>
      <c r="B520" t="s">
        <v>400</v>
      </c>
      <c r="C520" s="3">
        <v>0</v>
      </c>
    </row>
    <row r="521" spans="1:3" x14ac:dyDescent="0.25">
      <c r="A521" s="2" t="s">
        <v>861</v>
      </c>
      <c r="B521" t="s">
        <v>400</v>
      </c>
      <c r="C521" s="3">
        <v>0</v>
      </c>
    </row>
    <row r="522" spans="1:3" x14ac:dyDescent="0.25">
      <c r="A522" s="2" t="s">
        <v>862</v>
      </c>
      <c r="B522" t="s">
        <v>401</v>
      </c>
      <c r="C522" s="3">
        <v>0</v>
      </c>
    </row>
    <row r="523" spans="1:3" x14ac:dyDescent="0.25">
      <c r="A523" s="2" t="s">
        <v>863</v>
      </c>
      <c r="B523" t="s">
        <v>405</v>
      </c>
      <c r="C523" s="3">
        <v>0.68</v>
      </c>
    </row>
    <row r="524" spans="1:3" x14ac:dyDescent="0.25">
      <c r="A524" s="2" t="s">
        <v>864</v>
      </c>
      <c r="B524" t="s">
        <v>400</v>
      </c>
      <c r="C524" s="3">
        <v>0</v>
      </c>
    </row>
    <row r="525" spans="1:3" x14ac:dyDescent="0.25">
      <c r="A525" s="2" t="s">
        <v>55</v>
      </c>
      <c r="B525" t="s">
        <v>401</v>
      </c>
      <c r="C525" s="3">
        <v>0</v>
      </c>
    </row>
    <row r="526" spans="1:3" x14ac:dyDescent="0.25">
      <c r="A526" s="2" t="s">
        <v>865</v>
      </c>
      <c r="B526" t="s">
        <v>401</v>
      </c>
      <c r="C526" s="3">
        <v>0</v>
      </c>
    </row>
    <row r="527" spans="1:3" x14ac:dyDescent="0.25">
      <c r="A527" s="2" t="s">
        <v>866</v>
      </c>
      <c r="B527" t="s">
        <v>400</v>
      </c>
      <c r="C527" s="3">
        <v>0</v>
      </c>
    </row>
    <row r="528" spans="1:3" x14ac:dyDescent="0.25">
      <c r="A528" s="2" t="s">
        <v>867</v>
      </c>
      <c r="B528" t="s">
        <v>399</v>
      </c>
      <c r="C528" s="3">
        <v>1</v>
      </c>
    </row>
    <row r="529" spans="1:3" x14ac:dyDescent="0.25">
      <c r="A529" s="2" t="s">
        <v>868</v>
      </c>
      <c r="B529" t="s">
        <v>400</v>
      </c>
      <c r="C529" s="3">
        <v>0</v>
      </c>
    </row>
    <row r="530" spans="1:3" x14ac:dyDescent="0.25">
      <c r="A530" s="2" t="s">
        <v>869</v>
      </c>
      <c r="B530" t="s">
        <v>400</v>
      </c>
      <c r="C530" s="3">
        <v>0</v>
      </c>
    </row>
    <row r="531" spans="1:3" x14ac:dyDescent="0.25">
      <c r="A531" s="2" t="s">
        <v>870</v>
      </c>
      <c r="B531" t="s">
        <v>400</v>
      </c>
      <c r="C531" s="3">
        <v>0</v>
      </c>
    </row>
    <row r="532" spans="1:3" x14ac:dyDescent="0.25">
      <c r="A532" s="2" t="s">
        <v>871</v>
      </c>
      <c r="B532" t="s">
        <v>400</v>
      </c>
      <c r="C532" s="3">
        <v>0</v>
      </c>
    </row>
    <row r="533" spans="1:3" x14ac:dyDescent="0.25">
      <c r="A533" s="2" t="s">
        <v>872</v>
      </c>
      <c r="B533" t="s">
        <v>400</v>
      </c>
      <c r="C533" s="3">
        <v>0</v>
      </c>
    </row>
    <row r="534" spans="1:3" x14ac:dyDescent="0.25">
      <c r="A534" s="2" t="s">
        <v>873</v>
      </c>
      <c r="B534" t="s">
        <v>401</v>
      </c>
      <c r="C534" s="3">
        <v>0</v>
      </c>
    </row>
    <row r="535" spans="1:3" x14ac:dyDescent="0.25">
      <c r="A535" s="2" t="s">
        <v>874</v>
      </c>
      <c r="B535" t="s">
        <v>403</v>
      </c>
      <c r="C535" s="3">
        <v>1</v>
      </c>
    </row>
    <row r="536" spans="1:3" x14ac:dyDescent="0.25">
      <c r="A536" s="2" t="s">
        <v>875</v>
      </c>
      <c r="B536" t="s">
        <v>400</v>
      </c>
      <c r="C536" s="3">
        <v>0</v>
      </c>
    </row>
    <row r="537" spans="1:3" x14ac:dyDescent="0.25">
      <c r="A537" s="2" t="s">
        <v>876</v>
      </c>
      <c r="B537" t="s">
        <v>400</v>
      </c>
      <c r="C537" s="3">
        <v>0</v>
      </c>
    </row>
    <row r="538" spans="1:3" x14ac:dyDescent="0.25">
      <c r="A538" s="2" t="s">
        <v>53</v>
      </c>
      <c r="B538" t="s">
        <v>401</v>
      </c>
      <c r="C538" s="3">
        <v>0</v>
      </c>
    </row>
    <row r="539" spans="1:3" x14ac:dyDescent="0.25">
      <c r="A539" s="2" t="s">
        <v>877</v>
      </c>
      <c r="B539" t="s">
        <v>399</v>
      </c>
      <c r="C539" s="3">
        <v>1</v>
      </c>
    </row>
    <row r="540" spans="1:3" x14ac:dyDescent="0.25">
      <c r="A540" s="2" t="s">
        <v>64</v>
      </c>
      <c r="B540" t="s">
        <v>401</v>
      </c>
      <c r="C540" s="3">
        <v>0</v>
      </c>
    </row>
    <row r="541" spans="1:3" x14ac:dyDescent="0.25">
      <c r="A541" s="2" t="s">
        <v>878</v>
      </c>
      <c r="B541" t="s">
        <v>403</v>
      </c>
      <c r="C541" s="3">
        <v>0.18</v>
      </c>
    </row>
    <row r="542" spans="1:3" x14ac:dyDescent="0.25">
      <c r="A542" s="2" t="s">
        <v>879</v>
      </c>
      <c r="B542" t="s">
        <v>400</v>
      </c>
      <c r="C542" s="3">
        <v>0</v>
      </c>
    </row>
    <row r="543" spans="1:3" x14ac:dyDescent="0.25">
      <c r="A543" s="2" t="s">
        <v>92</v>
      </c>
      <c r="B543" t="s">
        <v>400</v>
      </c>
      <c r="C543" s="3">
        <v>0</v>
      </c>
    </row>
    <row r="544" spans="1:3" x14ac:dyDescent="0.25">
      <c r="A544" s="2" t="s">
        <v>880</v>
      </c>
      <c r="B544" t="s">
        <v>400</v>
      </c>
      <c r="C544" s="3">
        <v>0</v>
      </c>
    </row>
    <row r="545" spans="1:3" x14ac:dyDescent="0.25">
      <c r="A545" s="2" t="s">
        <v>881</v>
      </c>
      <c r="B545" t="s">
        <v>399</v>
      </c>
      <c r="C545" s="3">
        <v>1</v>
      </c>
    </row>
    <row r="546" spans="1:3" x14ac:dyDescent="0.25">
      <c r="A546" s="2" t="s">
        <v>49</v>
      </c>
      <c r="B546" t="s">
        <v>400</v>
      </c>
      <c r="C546" s="3">
        <v>0</v>
      </c>
    </row>
    <row r="547" spans="1:3" x14ac:dyDescent="0.25">
      <c r="A547" s="2" t="s">
        <v>882</v>
      </c>
      <c r="B547" t="s">
        <v>400</v>
      </c>
      <c r="C547" s="3">
        <v>0</v>
      </c>
    </row>
    <row r="548" spans="1:3" x14ac:dyDescent="0.25">
      <c r="A548" s="2" t="s">
        <v>883</v>
      </c>
      <c r="B548" t="s">
        <v>400</v>
      </c>
      <c r="C548" s="3">
        <v>0</v>
      </c>
    </row>
    <row r="549" spans="1:3" x14ac:dyDescent="0.25">
      <c r="A549" s="2" t="s">
        <v>884</v>
      </c>
      <c r="B549" t="s">
        <v>401</v>
      </c>
      <c r="C549" s="3">
        <v>0</v>
      </c>
    </row>
    <row r="550" spans="1:3" x14ac:dyDescent="0.25">
      <c r="A550" s="2" t="s">
        <v>885</v>
      </c>
      <c r="B550" t="s">
        <v>400</v>
      </c>
      <c r="C550" s="3">
        <v>0</v>
      </c>
    </row>
    <row r="551" spans="1:3" x14ac:dyDescent="0.25">
      <c r="A551" s="2" t="s">
        <v>886</v>
      </c>
      <c r="B551" t="s">
        <v>404</v>
      </c>
      <c r="C551" s="3">
        <v>0.42</v>
      </c>
    </row>
    <row r="552" spans="1:3" x14ac:dyDescent="0.25">
      <c r="A552" s="2" t="s">
        <v>887</v>
      </c>
      <c r="B552" t="s">
        <v>400</v>
      </c>
      <c r="C552" s="3">
        <v>0</v>
      </c>
    </row>
    <row r="553" spans="1:3" x14ac:dyDescent="0.25">
      <c r="A553" s="2" t="s">
        <v>888</v>
      </c>
      <c r="B553" t="s">
        <v>399</v>
      </c>
      <c r="C553" s="3">
        <v>0.6</v>
      </c>
    </row>
    <row r="554" spans="1:3" x14ac:dyDescent="0.25">
      <c r="A554" s="2" t="s">
        <v>889</v>
      </c>
      <c r="B554" t="s">
        <v>400</v>
      </c>
      <c r="C554" s="3">
        <v>0</v>
      </c>
    </row>
    <row r="555" spans="1:3" x14ac:dyDescent="0.25">
      <c r="A555" s="2" t="s">
        <v>93</v>
      </c>
      <c r="B555" t="s">
        <v>399</v>
      </c>
      <c r="C555" s="3">
        <v>1</v>
      </c>
    </row>
    <row r="556" spans="1:3" x14ac:dyDescent="0.25">
      <c r="A556" s="2" t="s">
        <v>890</v>
      </c>
      <c r="B556" t="s">
        <v>400</v>
      </c>
      <c r="C556" s="3">
        <v>0</v>
      </c>
    </row>
    <row r="557" spans="1:3" x14ac:dyDescent="0.25">
      <c r="A557" s="2" t="s">
        <v>891</v>
      </c>
      <c r="B557" t="s">
        <v>407</v>
      </c>
      <c r="C557" s="3">
        <v>1</v>
      </c>
    </row>
    <row r="558" spans="1:3" x14ac:dyDescent="0.25">
      <c r="A558" s="2" t="s">
        <v>892</v>
      </c>
      <c r="B558" t="s">
        <v>401</v>
      </c>
      <c r="C558" s="3">
        <v>0</v>
      </c>
    </row>
    <row r="559" spans="1:3" x14ac:dyDescent="0.25">
      <c r="A559" s="2" t="s">
        <v>893</v>
      </c>
      <c r="B559" t="s">
        <v>400</v>
      </c>
      <c r="C559" s="3">
        <v>0</v>
      </c>
    </row>
    <row r="560" spans="1:3" x14ac:dyDescent="0.25">
      <c r="A560" s="2" t="s">
        <v>894</v>
      </c>
      <c r="B560" t="s">
        <v>400</v>
      </c>
      <c r="C560" s="3">
        <v>0</v>
      </c>
    </row>
    <row r="561" spans="1:3" x14ac:dyDescent="0.25">
      <c r="A561" s="2" t="s">
        <v>895</v>
      </c>
      <c r="B561" t="s">
        <v>400</v>
      </c>
      <c r="C561" s="3">
        <v>0</v>
      </c>
    </row>
    <row r="562" spans="1:3" x14ac:dyDescent="0.25">
      <c r="A562" s="2" t="s">
        <v>896</v>
      </c>
      <c r="B562" t="s">
        <v>400</v>
      </c>
      <c r="C562" s="3">
        <v>0</v>
      </c>
    </row>
    <row r="563" spans="1:3" x14ac:dyDescent="0.25">
      <c r="A563" s="2" t="s">
        <v>897</v>
      </c>
      <c r="B563" t="s">
        <v>401</v>
      </c>
      <c r="C563" s="3">
        <v>0</v>
      </c>
    </row>
    <row r="564" spans="1:3" x14ac:dyDescent="0.25">
      <c r="A564" s="2" t="s">
        <v>898</v>
      </c>
      <c r="B564" t="s">
        <v>408</v>
      </c>
      <c r="C564" s="3">
        <v>1</v>
      </c>
    </row>
    <row r="565" spans="1:3" x14ac:dyDescent="0.25">
      <c r="A565" s="2" t="s">
        <v>899</v>
      </c>
      <c r="B565" t="s">
        <v>400</v>
      </c>
      <c r="C565" s="3">
        <v>0</v>
      </c>
    </row>
    <row r="566" spans="1:3" x14ac:dyDescent="0.25">
      <c r="A566" s="2" t="s">
        <v>900</v>
      </c>
      <c r="B566" t="s">
        <v>399</v>
      </c>
      <c r="C566" s="3">
        <v>1</v>
      </c>
    </row>
    <row r="567" spans="1:3" x14ac:dyDescent="0.25">
      <c r="A567" s="2" t="s">
        <v>901</v>
      </c>
      <c r="B567" t="s">
        <v>400</v>
      </c>
      <c r="C567" s="3">
        <v>0</v>
      </c>
    </row>
    <row r="568" spans="1:3" x14ac:dyDescent="0.25">
      <c r="A568" s="2" t="s">
        <v>902</v>
      </c>
      <c r="B568" t="s">
        <v>400</v>
      </c>
      <c r="C568" s="3">
        <v>0</v>
      </c>
    </row>
    <row r="569" spans="1:3" x14ac:dyDescent="0.25">
      <c r="A569" s="2" t="s">
        <v>903</v>
      </c>
      <c r="B569" t="s">
        <v>400</v>
      </c>
      <c r="C569" s="3">
        <v>0</v>
      </c>
    </row>
    <row r="570" spans="1:3" x14ac:dyDescent="0.25">
      <c r="A570" s="2" t="s">
        <v>904</v>
      </c>
      <c r="B570" t="s">
        <v>400</v>
      </c>
      <c r="C570" s="3">
        <v>0</v>
      </c>
    </row>
    <row r="571" spans="1:3" x14ac:dyDescent="0.25">
      <c r="A571" s="2" t="s">
        <v>905</v>
      </c>
      <c r="B571" t="s">
        <v>400</v>
      </c>
      <c r="C571" s="3">
        <v>0</v>
      </c>
    </row>
    <row r="572" spans="1:3" x14ac:dyDescent="0.25">
      <c r="A572" s="2" t="s">
        <v>906</v>
      </c>
      <c r="B572" t="s">
        <v>408</v>
      </c>
      <c r="C572" s="3">
        <v>1</v>
      </c>
    </row>
    <row r="573" spans="1:3" x14ac:dyDescent="0.25">
      <c r="A573" s="2" t="s">
        <v>907</v>
      </c>
      <c r="B573" t="s">
        <v>400</v>
      </c>
      <c r="C573" s="3">
        <v>0</v>
      </c>
    </row>
    <row r="574" spans="1:3" x14ac:dyDescent="0.25">
      <c r="A574" s="2" t="s">
        <v>908</v>
      </c>
      <c r="B574" t="s">
        <v>401</v>
      </c>
      <c r="C574" s="3">
        <v>0</v>
      </c>
    </row>
    <row r="575" spans="1:3" x14ac:dyDescent="0.25">
      <c r="A575" s="2" t="s">
        <v>909</v>
      </c>
      <c r="B575" t="s">
        <v>400</v>
      </c>
      <c r="C575" s="3">
        <v>0</v>
      </c>
    </row>
    <row r="576" spans="1:3" x14ac:dyDescent="0.25">
      <c r="A576" s="2" t="s">
        <v>910</v>
      </c>
      <c r="B576" t="s">
        <v>406</v>
      </c>
      <c r="C576" s="3">
        <v>0.1</v>
      </c>
    </row>
    <row r="577" spans="1:3" x14ac:dyDescent="0.25">
      <c r="A577" s="2" t="s">
        <v>911</v>
      </c>
      <c r="B577" t="s">
        <v>402</v>
      </c>
      <c r="C577" s="3">
        <v>0.18</v>
      </c>
    </row>
    <row r="578" spans="1:3" x14ac:dyDescent="0.25">
      <c r="A578" s="2" t="s">
        <v>96</v>
      </c>
      <c r="B578" t="s">
        <v>401</v>
      </c>
      <c r="C578" s="3">
        <v>0</v>
      </c>
    </row>
    <row r="579" spans="1:3" x14ac:dyDescent="0.25">
      <c r="A579" s="2" t="s">
        <v>912</v>
      </c>
      <c r="B579" t="s">
        <v>400</v>
      </c>
      <c r="C579" s="3">
        <v>0</v>
      </c>
    </row>
    <row r="580" spans="1:3" x14ac:dyDescent="0.25">
      <c r="A580" s="2" t="s">
        <v>913</v>
      </c>
      <c r="B580" t="s">
        <v>400</v>
      </c>
      <c r="C580" s="3">
        <v>0</v>
      </c>
    </row>
    <row r="581" spans="1:3" x14ac:dyDescent="0.25">
      <c r="A581" s="2" t="s">
        <v>914</v>
      </c>
      <c r="B581" t="s">
        <v>401</v>
      </c>
      <c r="C581" s="3">
        <v>0</v>
      </c>
    </row>
    <row r="582" spans="1:3" x14ac:dyDescent="0.25">
      <c r="A582" s="2" t="s">
        <v>915</v>
      </c>
      <c r="B582" t="s">
        <v>401</v>
      </c>
      <c r="C582" s="3">
        <v>0</v>
      </c>
    </row>
    <row r="583" spans="1:3" x14ac:dyDescent="0.25">
      <c r="A583" s="2" t="s">
        <v>916</v>
      </c>
      <c r="B583" t="s">
        <v>400</v>
      </c>
      <c r="C583" s="3">
        <v>0</v>
      </c>
    </row>
    <row r="584" spans="1:3" x14ac:dyDescent="0.25">
      <c r="A584" s="2" t="s">
        <v>917</v>
      </c>
      <c r="B584" t="s">
        <v>401</v>
      </c>
      <c r="C584" s="3">
        <v>0</v>
      </c>
    </row>
    <row r="585" spans="1:3" x14ac:dyDescent="0.25">
      <c r="A585" s="2" t="s">
        <v>88</v>
      </c>
      <c r="B585" t="s">
        <v>403</v>
      </c>
      <c r="C585" s="3">
        <v>0.6</v>
      </c>
    </row>
    <row r="586" spans="1:3" x14ac:dyDescent="0.25">
      <c r="A586" s="2" t="s">
        <v>918</v>
      </c>
      <c r="B586" t="s">
        <v>400</v>
      </c>
      <c r="C586" s="3">
        <v>0</v>
      </c>
    </row>
    <row r="587" spans="1:3" x14ac:dyDescent="0.25">
      <c r="A587" s="2" t="s">
        <v>919</v>
      </c>
      <c r="B587" t="s">
        <v>400</v>
      </c>
      <c r="C587" s="3">
        <v>0</v>
      </c>
    </row>
    <row r="588" spans="1:3" x14ac:dyDescent="0.25">
      <c r="A588" s="2" t="s">
        <v>67</v>
      </c>
      <c r="B588" t="s">
        <v>400</v>
      </c>
      <c r="C588" s="3">
        <v>0</v>
      </c>
    </row>
    <row r="589" spans="1:3" x14ac:dyDescent="0.25">
      <c r="A589" s="2" t="s">
        <v>920</v>
      </c>
      <c r="B589" t="s">
        <v>400</v>
      </c>
      <c r="C589" s="3">
        <v>0</v>
      </c>
    </row>
    <row r="590" spans="1:3" x14ac:dyDescent="0.25">
      <c r="A590" s="2" t="s">
        <v>921</v>
      </c>
      <c r="B590" t="s">
        <v>400</v>
      </c>
      <c r="C590" s="3">
        <v>0</v>
      </c>
    </row>
    <row r="591" spans="1:3" x14ac:dyDescent="0.25">
      <c r="A591" s="2" t="s">
        <v>922</v>
      </c>
      <c r="B591" t="s">
        <v>399</v>
      </c>
      <c r="C591" s="3">
        <v>0.76</v>
      </c>
    </row>
    <row r="592" spans="1:3" x14ac:dyDescent="0.25">
      <c r="A592" s="2" t="s">
        <v>923</v>
      </c>
      <c r="B592" t="s">
        <v>399</v>
      </c>
      <c r="C592" s="3">
        <v>1</v>
      </c>
    </row>
    <row r="593" spans="1:3" x14ac:dyDescent="0.25">
      <c r="A593" s="2" t="s">
        <v>924</v>
      </c>
      <c r="B593" t="s">
        <v>400</v>
      </c>
      <c r="C593" s="3">
        <v>0</v>
      </c>
    </row>
    <row r="594" spans="1:3" x14ac:dyDescent="0.25">
      <c r="A594" s="2" t="s">
        <v>925</v>
      </c>
      <c r="B594" t="s">
        <v>400</v>
      </c>
      <c r="C594" s="3">
        <v>0</v>
      </c>
    </row>
    <row r="595" spans="1:3" x14ac:dyDescent="0.25">
      <c r="A595" s="2" t="s">
        <v>926</v>
      </c>
      <c r="B595" t="s">
        <v>399</v>
      </c>
      <c r="C595" s="3">
        <v>1</v>
      </c>
    </row>
    <row r="596" spans="1:3" x14ac:dyDescent="0.25">
      <c r="A596" s="2" t="s">
        <v>927</v>
      </c>
      <c r="B596" t="s">
        <v>401</v>
      </c>
      <c r="C596" s="3">
        <v>0</v>
      </c>
    </row>
    <row r="597" spans="1:3" x14ac:dyDescent="0.25">
      <c r="A597" s="2" t="s">
        <v>100</v>
      </c>
      <c r="B597" t="s">
        <v>401</v>
      </c>
      <c r="C597" s="3">
        <v>0</v>
      </c>
    </row>
    <row r="598" spans="1:3" x14ac:dyDescent="0.25">
      <c r="A598" s="2" t="s">
        <v>68</v>
      </c>
      <c r="B598" t="s">
        <v>401</v>
      </c>
      <c r="C598" s="3">
        <v>0</v>
      </c>
    </row>
    <row r="599" spans="1:3" x14ac:dyDescent="0.25">
      <c r="A599" s="2" t="s">
        <v>928</v>
      </c>
      <c r="B599" t="s">
        <v>401</v>
      </c>
      <c r="C599" s="3">
        <v>0</v>
      </c>
    </row>
    <row r="600" spans="1:3" x14ac:dyDescent="0.25">
      <c r="A600" s="2" t="s">
        <v>929</v>
      </c>
      <c r="B600" t="s">
        <v>399</v>
      </c>
      <c r="C600" s="3">
        <v>1</v>
      </c>
    </row>
    <row r="601" spans="1:3" x14ac:dyDescent="0.25">
      <c r="A601" s="2" t="s">
        <v>930</v>
      </c>
      <c r="B601" t="s">
        <v>408</v>
      </c>
      <c r="C601" s="3">
        <v>0.6</v>
      </c>
    </row>
    <row r="602" spans="1:3" x14ac:dyDescent="0.25">
      <c r="A602" s="2" t="s">
        <v>931</v>
      </c>
      <c r="B602" t="s">
        <v>399</v>
      </c>
      <c r="C602" s="3">
        <v>1</v>
      </c>
    </row>
    <row r="603" spans="1:3" x14ac:dyDescent="0.25">
      <c r="A603" s="2" t="s">
        <v>932</v>
      </c>
      <c r="B603" t="s">
        <v>400</v>
      </c>
      <c r="C603" s="3">
        <v>0</v>
      </c>
    </row>
    <row r="604" spans="1:3" x14ac:dyDescent="0.25">
      <c r="A604" s="2" t="s">
        <v>933</v>
      </c>
      <c r="B604" t="s">
        <v>403</v>
      </c>
      <c r="C604" s="3">
        <v>0.224</v>
      </c>
    </row>
    <row r="605" spans="1:3" x14ac:dyDescent="0.25">
      <c r="A605" s="2" t="s">
        <v>934</v>
      </c>
      <c r="B605" t="s">
        <v>400</v>
      </c>
      <c r="C605" s="3">
        <v>0</v>
      </c>
    </row>
    <row r="606" spans="1:3" x14ac:dyDescent="0.25">
      <c r="A606" s="2" t="s">
        <v>51</v>
      </c>
      <c r="B606" t="s">
        <v>400</v>
      </c>
      <c r="C606" s="3">
        <v>0</v>
      </c>
    </row>
    <row r="607" spans="1:3" x14ac:dyDescent="0.25">
      <c r="A607" s="2" t="s">
        <v>935</v>
      </c>
      <c r="B607" t="s">
        <v>400</v>
      </c>
      <c r="C607" s="3">
        <v>0</v>
      </c>
    </row>
    <row r="608" spans="1:3" x14ac:dyDescent="0.25">
      <c r="A608" s="2" t="s">
        <v>936</v>
      </c>
      <c r="B608" t="s">
        <v>399</v>
      </c>
      <c r="C608" s="3">
        <v>1</v>
      </c>
    </row>
    <row r="609" spans="1:3" x14ac:dyDescent="0.25">
      <c r="A609" s="2" t="s">
        <v>937</v>
      </c>
      <c r="B609" t="s">
        <v>400</v>
      </c>
      <c r="C609" s="3">
        <v>0</v>
      </c>
    </row>
    <row r="610" spans="1:3" x14ac:dyDescent="0.25">
      <c r="A610" s="2" t="s">
        <v>938</v>
      </c>
      <c r="B610" t="s">
        <v>401</v>
      </c>
      <c r="C610" s="3">
        <v>0</v>
      </c>
    </row>
    <row r="611" spans="1:3" x14ac:dyDescent="0.25">
      <c r="A611" s="2" t="s">
        <v>939</v>
      </c>
      <c r="B611" t="s">
        <v>400</v>
      </c>
      <c r="C611" s="3">
        <v>0</v>
      </c>
    </row>
    <row r="612" spans="1:3" x14ac:dyDescent="0.25">
      <c r="A612" s="2" t="s">
        <v>940</v>
      </c>
      <c r="B612" t="s">
        <v>400</v>
      </c>
      <c r="C612" s="3">
        <v>0</v>
      </c>
    </row>
    <row r="613" spans="1:3" x14ac:dyDescent="0.25">
      <c r="A613" s="2" t="s">
        <v>941</v>
      </c>
      <c r="B613" t="s">
        <v>401</v>
      </c>
      <c r="C613" s="3">
        <v>0</v>
      </c>
    </row>
    <row r="614" spans="1:3" x14ac:dyDescent="0.25">
      <c r="A614" s="2" t="s">
        <v>942</v>
      </c>
      <c r="B614" t="s">
        <v>400</v>
      </c>
      <c r="C614" s="3">
        <v>0</v>
      </c>
    </row>
    <row r="615" spans="1:3" x14ac:dyDescent="0.25">
      <c r="A615" s="2" t="s">
        <v>943</v>
      </c>
      <c r="B615" t="s">
        <v>401</v>
      </c>
      <c r="C615" s="3">
        <v>0</v>
      </c>
    </row>
    <row r="616" spans="1:3" x14ac:dyDescent="0.25">
      <c r="A616" s="2" t="s">
        <v>944</v>
      </c>
      <c r="B616" t="s">
        <v>400</v>
      </c>
      <c r="C616" s="3">
        <v>0</v>
      </c>
    </row>
    <row r="617" spans="1:3" x14ac:dyDescent="0.25">
      <c r="A617" s="2" t="s">
        <v>945</v>
      </c>
      <c r="B617" t="s">
        <v>400</v>
      </c>
      <c r="C617" s="3">
        <v>0</v>
      </c>
    </row>
    <row r="618" spans="1:3" x14ac:dyDescent="0.25">
      <c r="A618" s="2" t="s">
        <v>946</v>
      </c>
      <c r="B618" t="s">
        <v>400</v>
      </c>
      <c r="C618" s="3">
        <v>0</v>
      </c>
    </row>
    <row r="619" spans="1:3" x14ac:dyDescent="0.25">
      <c r="A619" s="2" t="s">
        <v>60</v>
      </c>
      <c r="B619" t="s">
        <v>400</v>
      </c>
      <c r="C619" s="3">
        <v>0</v>
      </c>
    </row>
    <row r="620" spans="1:3" x14ac:dyDescent="0.25">
      <c r="A620" s="2" t="s">
        <v>101</v>
      </c>
      <c r="B620" t="s">
        <v>400</v>
      </c>
      <c r="C620" s="3">
        <v>0</v>
      </c>
    </row>
    <row r="621" spans="1:3" x14ac:dyDescent="0.25">
      <c r="A621" s="2" t="s">
        <v>947</v>
      </c>
      <c r="B621" t="s">
        <v>401</v>
      </c>
      <c r="C621" s="3">
        <v>0</v>
      </c>
    </row>
    <row r="622" spans="1:3" x14ac:dyDescent="0.25">
      <c r="A622" s="2" t="s">
        <v>948</v>
      </c>
      <c r="B622" t="s">
        <v>401</v>
      </c>
      <c r="C622" s="3">
        <v>0</v>
      </c>
    </row>
    <row r="623" spans="1:3" x14ac:dyDescent="0.25">
      <c r="A623" s="2" t="s">
        <v>949</v>
      </c>
      <c r="B623" t="s">
        <v>401</v>
      </c>
      <c r="C623" s="3">
        <v>0</v>
      </c>
    </row>
    <row r="624" spans="1:3" x14ac:dyDescent="0.25">
      <c r="A624" s="2" t="s">
        <v>950</v>
      </c>
      <c r="B624" t="s">
        <v>400</v>
      </c>
      <c r="C624" s="3">
        <v>0</v>
      </c>
    </row>
    <row r="625" spans="1:3" x14ac:dyDescent="0.25">
      <c r="A625" s="2" t="s">
        <v>951</v>
      </c>
      <c r="B625" t="s">
        <v>399</v>
      </c>
      <c r="C625" s="3">
        <v>0.62</v>
      </c>
    </row>
    <row r="626" spans="1:3" x14ac:dyDescent="0.25">
      <c r="A626" s="2" t="s">
        <v>952</v>
      </c>
      <c r="B626" t="s">
        <v>400</v>
      </c>
      <c r="C626" s="3">
        <v>0</v>
      </c>
    </row>
    <row r="627" spans="1:3" x14ac:dyDescent="0.25">
      <c r="A627" s="2" t="s">
        <v>953</v>
      </c>
      <c r="B627" t="s">
        <v>400</v>
      </c>
      <c r="C627" s="3">
        <v>0</v>
      </c>
    </row>
    <row r="628" spans="1:3" x14ac:dyDescent="0.25">
      <c r="A628" s="2" t="s">
        <v>954</v>
      </c>
      <c r="B628" t="s">
        <v>407</v>
      </c>
      <c r="C628" s="3">
        <v>1</v>
      </c>
    </row>
    <row r="629" spans="1:3" x14ac:dyDescent="0.25">
      <c r="A629" s="2" t="s">
        <v>955</v>
      </c>
      <c r="B629" t="s">
        <v>400</v>
      </c>
      <c r="C629" s="3">
        <v>0</v>
      </c>
    </row>
    <row r="630" spans="1:3" x14ac:dyDescent="0.25">
      <c r="A630" s="2" t="s">
        <v>956</v>
      </c>
      <c r="B630" t="s">
        <v>401</v>
      </c>
      <c r="C630" s="3">
        <v>0</v>
      </c>
    </row>
    <row r="631" spans="1:3" x14ac:dyDescent="0.25">
      <c r="A631" s="2" t="s">
        <v>87</v>
      </c>
      <c r="B631" t="s">
        <v>401</v>
      </c>
      <c r="C631" s="3">
        <v>0</v>
      </c>
    </row>
    <row r="632" spans="1:3" x14ac:dyDescent="0.25">
      <c r="A632" s="2" t="s">
        <v>957</v>
      </c>
      <c r="B632" t="s">
        <v>401</v>
      </c>
      <c r="C632" s="3">
        <v>0</v>
      </c>
    </row>
    <row r="633" spans="1:3" x14ac:dyDescent="0.25">
      <c r="A633" s="2" t="s">
        <v>958</v>
      </c>
      <c r="B633" t="s">
        <v>400</v>
      </c>
      <c r="C633" s="3">
        <v>0</v>
      </c>
    </row>
    <row r="634" spans="1:3" x14ac:dyDescent="0.25">
      <c r="A634" s="2" t="s">
        <v>109</v>
      </c>
      <c r="B634" t="s">
        <v>400</v>
      </c>
      <c r="C634" s="3">
        <v>0</v>
      </c>
    </row>
    <row r="635" spans="1:3" x14ac:dyDescent="0.25">
      <c r="A635" s="2" t="s">
        <v>959</v>
      </c>
      <c r="B635" t="s">
        <v>400</v>
      </c>
      <c r="C635" s="3">
        <v>0</v>
      </c>
    </row>
    <row r="636" spans="1:3" x14ac:dyDescent="0.25">
      <c r="A636" s="2" t="s">
        <v>960</v>
      </c>
      <c r="B636" t="s">
        <v>400</v>
      </c>
      <c r="C636" s="3">
        <v>0</v>
      </c>
    </row>
    <row r="637" spans="1:3" x14ac:dyDescent="0.25">
      <c r="A637" s="2" t="s">
        <v>111</v>
      </c>
      <c r="B637" t="s">
        <v>400</v>
      </c>
      <c r="C637" s="3">
        <v>0</v>
      </c>
    </row>
    <row r="638" spans="1:3" x14ac:dyDescent="0.25">
      <c r="A638" s="2" t="s">
        <v>961</v>
      </c>
      <c r="B638" t="s">
        <v>400</v>
      </c>
      <c r="C638" s="3">
        <v>0</v>
      </c>
    </row>
    <row r="639" spans="1:3" x14ac:dyDescent="0.25">
      <c r="A639" s="2" t="s">
        <v>962</v>
      </c>
      <c r="B639" t="s">
        <v>407</v>
      </c>
      <c r="C639" s="3">
        <v>0.66</v>
      </c>
    </row>
    <row r="640" spans="1:3" x14ac:dyDescent="0.25">
      <c r="A640" s="2" t="s">
        <v>963</v>
      </c>
      <c r="B640" t="s">
        <v>401</v>
      </c>
      <c r="C640" s="3">
        <v>0</v>
      </c>
    </row>
    <row r="641" spans="1:3" x14ac:dyDescent="0.25">
      <c r="A641" s="2" t="s">
        <v>964</v>
      </c>
      <c r="B641" t="s">
        <v>400</v>
      </c>
      <c r="C641" s="3">
        <v>0</v>
      </c>
    </row>
    <row r="642" spans="1:3" x14ac:dyDescent="0.25">
      <c r="A642" s="2" t="s">
        <v>965</v>
      </c>
      <c r="B642" t="s">
        <v>400</v>
      </c>
      <c r="C642" s="3">
        <v>0</v>
      </c>
    </row>
    <row r="643" spans="1:3" x14ac:dyDescent="0.25">
      <c r="A643" s="2" t="s">
        <v>966</v>
      </c>
      <c r="B643" t="s">
        <v>400</v>
      </c>
      <c r="C643" s="3">
        <v>0</v>
      </c>
    </row>
    <row r="644" spans="1:3" x14ac:dyDescent="0.25">
      <c r="A644" s="2" t="s">
        <v>967</v>
      </c>
      <c r="B644" t="s">
        <v>402</v>
      </c>
      <c r="C644" s="3">
        <v>0.56000000000000005</v>
      </c>
    </row>
    <row r="645" spans="1:3" x14ac:dyDescent="0.25">
      <c r="A645" s="2" t="s">
        <v>968</v>
      </c>
      <c r="B645" t="s">
        <v>403</v>
      </c>
      <c r="C645" s="3">
        <v>0.41</v>
      </c>
    </row>
    <row r="646" spans="1:3" x14ac:dyDescent="0.25">
      <c r="A646" s="2" t="s">
        <v>969</v>
      </c>
      <c r="B646" t="s">
        <v>400</v>
      </c>
      <c r="C646" s="3">
        <v>0</v>
      </c>
    </row>
    <row r="647" spans="1:3" x14ac:dyDescent="0.25">
      <c r="A647" s="2" t="s">
        <v>970</v>
      </c>
      <c r="B647" t="s">
        <v>401</v>
      </c>
      <c r="C647" s="3">
        <v>0</v>
      </c>
    </row>
    <row r="648" spans="1:3" x14ac:dyDescent="0.25">
      <c r="A648" s="2" t="s">
        <v>95</v>
      </c>
      <c r="B648" t="s">
        <v>399</v>
      </c>
      <c r="C648" s="3">
        <v>0.49</v>
      </c>
    </row>
    <row r="649" spans="1:3" x14ac:dyDescent="0.25">
      <c r="A649" s="2" t="s">
        <v>971</v>
      </c>
      <c r="B649" t="s">
        <v>400</v>
      </c>
      <c r="C649" s="3">
        <v>0</v>
      </c>
    </row>
    <row r="650" spans="1:3" x14ac:dyDescent="0.25">
      <c r="A650" s="2" t="s">
        <v>972</v>
      </c>
      <c r="B650" t="s">
        <v>404</v>
      </c>
      <c r="C650" s="3">
        <v>0.82</v>
      </c>
    </row>
    <row r="651" spans="1:3" x14ac:dyDescent="0.25">
      <c r="A651" s="2" t="s">
        <v>973</v>
      </c>
      <c r="B651" t="s">
        <v>400</v>
      </c>
      <c r="C651" s="3">
        <v>0</v>
      </c>
    </row>
    <row r="652" spans="1:3" x14ac:dyDescent="0.25">
      <c r="A652" s="2" t="s">
        <v>974</v>
      </c>
      <c r="B652" t="s">
        <v>400</v>
      </c>
      <c r="C652" s="3">
        <v>0</v>
      </c>
    </row>
    <row r="653" spans="1:3" x14ac:dyDescent="0.25">
      <c r="A653" s="2" t="s">
        <v>975</v>
      </c>
      <c r="B653" t="s">
        <v>400</v>
      </c>
      <c r="C653" s="3">
        <v>0</v>
      </c>
    </row>
    <row r="654" spans="1:3" x14ac:dyDescent="0.25">
      <c r="A654" s="2" t="s">
        <v>976</v>
      </c>
      <c r="B654" t="s">
        <v>402</v>
      </c>
      <c r="C654" s="3">
        <v>0.55000000000000004</v>
      </c>
    </row>
    <row r="655" spans="1:3" x14ac:dyDescent="0.25">
      <c r="A655" s="2" t="s">
        <v>977</v>
      </c>
      <c r="B655" t="s">
        <v>400</v>
      </c>
      <c r="C655" s="3">
        <v>0</v>
      </c>
    </row>
    <row r="656" spans="1:3" x14ac:dyDescent="0.25">
      <c r="A656" s="2" t="s">
        <v>978</v>
      </c>
      <c r="B656" t="s">
        <v>400</v>
      </c>
      <c r="C656" s="3">
        <v>0</v>
      </c>
    </row>
    <row r="657" spans="1:3" x14ac:dyDescent="0.25">
      <c r="A657" s="2" t="s">
        <v>98</v>
      </c>
      <c r="B657" t="s">
        <v>403</v>
      </c>
      <c r="C657" s="3">
        <v>0.4</v>
      </c>
    </row>
    <row r="658" spans="1:3" x14ac:dyDescent="0.25">
      <c r="A658" s="2" t="s">
        <v>116</v>
      </c>
      <c r="B658" t="s">
        <v>400</v>
      </c>
      <c r="C658" s="3">
        <v>0</v>
      </c>
    </row>
    <row r="659" spans="1:3" x14ac:dyDescent="0.25">
      <c r="A659" s="2" t="s">
        <v>979</v>
      </c>
      <c r="B659" t="s">
        <v>400</v>
      </c>
      <c r="C659" s="3">
        <v>0</v>
      </c>
    </row>
    <row r="660" spans="1:3" x14ac:dyDescent="0.25">
      <c r="A660" s="2" t="s">
        <v>980</v>
      </c>
      <c r="B660" t="s">
        <v>399</v>
      </c>
      <c r="C660" s="3">
        <v>1</v>
      </c>
    </row>
    <row r="661" spans="1:3" x14ac:dyDescent="0.25">
      <c r="A661" s="2" t="s">
        <v>981</v>
      </c>
      <c r="B661" t="s">
        <v>400</v>
      </c>
      <c r="C661" s="3">
        <v>0</v>
      </c>
    </row>
    <row r="662" spans="1:3" x14ac:dyDescent="0.25">
      <c r="A662" s="2" t="s">
        <v>982</v>
      </c>
      <c r="B662" t="s">
        <v>399</v>
      </c>
      <c r="C662" s="3">
        <v>0.7</v>
      </c>
    </row>
    <row r="663" spans="1:3" x14ac:dyDescent="0.25">
      <c r="A663" s="2" t="s">
        <v>85</v>
      </c>
      <c r="B663" t="s">
        <v>400</v>
      </c>
      <c r="C663" s="3">
        <v>0</v>
      </c>
    </row>
    <row r="664" spans="1:3" x14ac:dyDescent="0.25">
      <c r="A664" s="2" t="s">
        <v>983</v>
      </c>
      <c r="B664" t="s">
        <v>399</v>
      </c>
      <c r="C664" s="3">
        <v>1</v>
      </c>
    </row>
    <row r="665" spans="1:3" x14ac:dyDescent="0.25">
      <c r="A665" s="2" t="s">
        <v>984</v>
      </c>
      <c r="B665" t="s">
        <v>400</v>
      </c>
      <c r="C665" s="3">
        <v>0</v>
      </c>
    </row>
    <row r="666" spans="1:3" x14ac:dyDescent="0.25">
      <c r="A666" s="2" t="s">
        <v>985</v>
      </c>
      <c r="B666" t="s">
        <v>407</v>
      </c>
      <c r="C666" s="3">
        <v>1</v>
      </c>
    </row>
    <row r="667" spans="1:3" x14ac:dyDescent="0.25">
      <c r="A667" s="2" t="s">
        <v>986</v>
      </c>
      <c r="B667" t="s">
        <v>400</v>
      </c>
      <c r="C667" s="3">
        <v>0</v>
      </c>
    </row>
    <row r="668" spans="1:3" x14ac:dyDescent="0.25">
      <c r="A668" s="2" t="s">
        <v>987</v>
      </c>
      <c r="B668" t="s">
        <v>401</v>
      </c>
      <c r="C668" s="3">
        <v>0</v>
      </c>
    </row>
    <row r="669" spans="1:3" x14ac:dyDescent="0.25">
      <c r="A669" s="2" t="s">
        <v>988</v>
      </c>
      <c r="B669" t="s">
        <v>400</v>
      </c>
      <c r="C669" s="3">
        <v>0</v>
      </c>
    </row>
    <row r="670" spans="1:3" x14ac:dyDescent="0.25">
      <c r="A670" s="2" t="s">
        <v>989</v>
      </c>
      <c r="B670" t="s">
        <v>401</v>
      </c>
      <c r="C670" s="3">
        <v>0</v>
      </c>
    </row>
    <row r="671" spans="1:3" x14ac:dyDescent="0.25">
      <c r="A671" s="2" t="s">
        <v>990</v>
      </c>
      <c r="B671" t="s">
        <v>400</v>
      </c>
      <c r="C671" s="3">
        <v>0</v>
      </c>
    </row>
    <row r="672" spans="1:3" x14ac:dyDescent="0.25">
      <c r="A672" s="2" t="s">
        <v>991</v>
      </c>
      <c r="B672" t="s">
        <v>400</v>
      </c>
      <c r="C672" s="3">
        <v>0</v>
      </c>
    </row>
    <row r="673" spans="1:3" x14ac:dyDescent="0.25">
      <c r="A673" s="2" t="s">
        <v>992</v>
      </c>
      <c r="B673" t="s">
        <v>401</v>
      </c>
      <c r="C673" s="3">
        <v>0</v>
      </c>
    </row>
    <row r="674" spans="1:3" x14ac:dyDescent="0.25">
      <c r="A674" s="2" t="s">
        <v>993</v>
      </c>
      <c r="B674" t="s">
        <v>403</v>
      </c>
      <c r="C674" s="3">
        <v>0.4</v>
      </c>
    </row>
    <row r="675" spans="1:3" x14ac:dyDescent="0.25">
      <c r="A675" s="2" t="s">
        <v>994</v>
      </c>
      <c r="B675" t="s">
        <v>400</v>
      </c>
      <c r="C675" s="3">
        <v>0</v>
      </c>
    </row>
    <row r="676" spans="1:3" x14ac:dyDescent="0.25">
      <c r="A676" s="2" t="s">
        <v>995</v>
      </c>
      <c r="B676" t="s">
        <v>400</v>
      </c>
      <c r="C676" s="3">
        <v>0</v>
      </c>
    </row>
    <row r="677" spans="1:3" x14ac:dyDescent="0.25">
      <c r="A677" s="2" t="s">
        <v>996</v>
      </c>
      <c r="B677" t="s">
        <v>399</v>
      </c>
      <c r="C677" s="3">
        <v>1</v>
      </c>
    </row>
    <row r="678" spans="1:3" x14ac:dyDescent="0.25">
      <c r="A678" s="2" t="s">
        <v>997</v>
      </c>
      <c r="B678" t="s">
        <v>400</v>
      </c>
      <c r="C678" s="3">
        <v>0</v>
      </c>
    </row>
    <row r="679" spans="1:3" x14ac:dyDescent="0.25">
      <c r="A679" s="2" t="s">
        <v>998</v>
      </c>
      <c r="B679" t="s">
        <v>400</v>
      </c>
      <c r="C679" s="3">
        <v>0</v>
      </c>
    </row>
    <row r="680" spans="1:3" x14ac:dyDescent="0.25">
      <c r="A680" s="2" t="s">
        <v>999</v>
      </c>
      <c r="B680" t="s">
        <v>400</v>
      </c>
      <c r="C680" s="3">
        <v>0</v>
      </c>
    </row>
    <row r="681" spans="1:3" x14ac:dyDescent="0.25">
      <c r="A681" s="2" t="s">
        <v>94</v>
      </c>
      <c r="B681" t="s">
        <v>401</v>
      </c>
      <c r="C681" s="3">
        <v>0</v>
      </c>
    </row>
    <row r="682" spans="1:3" x14ac:dyDescent="0.25">
      <c r="A682" s="2" t="s">
        <v>1000</v>
      </c>
      <c r="B682" t="s">
        <v>400</v>
      </c>
      <c r="C682" s="3">
        <v>0</v>
      </c>
    </row>
    <row r="683" spans="1:3" x14ac:dyDescent="0.25">
      <c r="A683" s="2" t="s">
        <v>1001</v>
      </c>
      <c r="B683" t="s">
        <v>401</v>
      </c>
      <c r="C683" s="3">
        <v>0</v>
      </c>
    </row>
    <row r="684" spans="1:3" x14ac:dyDescent="0.25">
      <c r="A684" s="2" t="s">
        <v>1002</v>
      </c>
      <c r="B684" t="s">
        <v>403</v>
      </c>
      <c r="C684" s="3">
        <v>0.13</v>
      </c>
    </row>
    <row r="685" spans="1:3" x14ac:dyDescent="0.25">
      <c r="A685" s="2" t="s">
        <v>102</v>
      </c>
      <c r="B685" t="s">
        <v>400</v>
      </c>
      <c r="C685" s="3">
        <v>0</v>
      </c>
    </row>
    <row r="686" spans="1:3" x14ac:dyDescent="0.25">
      <c r="A686" s="2" t="s">
        <v>1003</v>
      </c>
      <c r="B686" t="s">
        <v>399</v>
      </c>
      <c r="C686" s="3">
        <v>1</v>
      </c>
    </row>
    <row r="687" spans="1:3" x14ac:dyDescent="0.25">
      <c r="A687" s="2" t="s">
        <v>121</v>
      </c>
      <c r="B687" t="s">
        <v>401</v>
      </c>
      <c r="C687" s="3">
        <v>0</v>
      </c>
    </row>
    <row r="688" spans="1:3" x14ac:dyDescent="0.25">
      <c r="A688" s="2" t="s">
        <v>1004</v>
      </c>
      <c r="B688" t="s">
        <v>400</v>
      </c>
      <c r="C688" s="3">
        <v>0</v>
      </c>
    </row>
    <row r="689" spans="1:3" x14ac:dyDescent="0.25">
      <c r="A689" s="2" t="s">
        <v>1005</v>
      </c>
      <c r="B689" t="s">
        <v>402</v>
      </c>
      <c r="C689" s="3">
        <v>0.49</v>
      </c>
    </row>
    <row r="690" spans="1:3" x14ac:dyDescent="0.25">
      <c r="A690" s="2" t="s">
        <v>1006</v>
      </c>
      <c r="B690" t="s">
        <v>399</v>
      </c>
      <c r="C690" s="3">
        <v>0.9</v>
      </c>
    </row>
    <row r="691" spans="1:3" x14ac:dyDescent="0.25">
      <c r="A691" s="2" t="s">
        <v>1007</v>
      </c>
      <c r="B691" t="s">
        <v>400</v>
      </c>
      <c r="C691" s="3">
        <v>0</v>
      </c>
    </row>
    <row r="692" spans="1:3" x14ac:dyDescent="0.25">
      <c r="A692" s="2" t="s">
        <v>1008</v>
      </c>
      <c r="B692" t="s">
        <v>400</v>
      </c>
      <c r="C692" s="3">
        <v>0</v>
      </c>
    </row>
    <row r="693" spans="1:3" x14ac:dyDescent="0.25">
      <c r="A693" s="2" t="s">
        <v>1009</v>
      </c>
      <c r="B693" t="s">
        <v>399</v>
      </c>
      <c r="C693" s="3">
        <v>1</v>
      </c>
    </row>
    <row r="694" spans="1:3" x14ac:dyDescent="0.25">
      <c r="A694" s="2" t="s">
        <v>1010</v>
      </c>
      <c r="B694" t="s">
        <v>400</v>
      </c>
      <c r="C694" s="3">
        <v>0</v>
      </c>
    </row>
    <row r="695" spans="1:3" x14ac:dyDescent="0.25">
      <c r="A695" s="2" t="s">
        <v>1011</v>
      </c>
      <c r="B695" t="s">
        <v>401</v>
      </c>
      <c r="C695" s="3">
        <v>0</v>
      </c>
    </row>
    <row r="696" spans="1:3" x14ac:dyDescent="0.25">
      <c r="A696" s="2" t="s">
        <v>1012</v>
      </c>
      <c r="B696" t="s">
        <v>406</v>
      </c>
      <c r="C696" s="3">
        <v>1</v>
      </c>
    </row>
    <row r="697" spans="1:3" x14ac:dyDescent="0.25">
      <c r="A697" s="2" t="s">
        <v>122</v>
      </c>
      <c r="B697" t="s">
        <v>400</v>
      </c>
      <c r="C697" s="3">
        <v>0</v>
      </c>
    </row>
    <row r="698" spans="1:3" x14ac:dyDescent="0.25">
      <c r="A698" s="2" t="s">
        <v>1013</v>
      </c>
      <c r="B698" t="s">
        <v>401</v>
      </c>
      <c r="C698" s="3">
        <v>0</v>
      </c>
    </row>
    <row r="699" spans="1:3" x14ac:dyDescent="0.25">
      <c r="A699" s="2" t="s">
        <v>1014</v>
      </c>
      <c r="B699" t="s">
        <v>400</v>
      </c>
      <c r="C699" s="3">
        <v>0</v>
      </c>
    </row>
    <row r="700" spans="1:3" x14ac:dyDescent="0.25">
      <c r="A700" s="2" t="s">
        <v>1015</v>
      </c>
      <c r="B700" t="s">
        <v>400</v>
      </c>
      <c r="C700" s="3">
        <v>0</v>
      </c>
    </row>
    <row r="701" spans="1:3" x14ac:dyDescent="0.25">
      <c r="A701" s="2" t="s">
        <v>1016</v>
      </c>
      <c r="B701" t="s">
        <v>401</v>
      </c>
      <c r="C701" s="3">
        <v>0</v>
      </c>
    </row>
    <row r="702" spans="1:3" x14ac:dyDescent="0.25">
      <c r="A702" s="2" t="s">
        <v>1017</v>
      </c>
      <c r="B702" t="s">
        <v>400</v>
      </c>
      <c r="C702" s="3">
        <v>0</v>
      </c>
    </row>
    <row r="703" spans="1:3" x14ac:dyDescent="0.25">
      <c r="A703" s="2" t="s">
        <v>1018</v>
      </c>
      <c r="B703" t="s">
        <v>404</v>
      </c>
      <c r="C703" s="3">
        <v>1</v>
      </c>
    </row>
    <row r="704" spans="1:3" x14ac:dyDescent="0.25">
      <c r="A704" s="2" t="s">
        <v>69</v>
      </c>
      <c r="B704" t="s">
        <v>400</v>
      </c>
      <c r="C704" s="3">
        <v>0</v>
      </c>
    </row>
    <row r="705" spans="1:3" x14ac:dyDescent="0.25">
      <c r="A705" s="2" t="s">
        <v>1019</v>
      </c>
      <c r="B705" t="s">
        <v>400</v>
      </c>
      <c r="C705" s="3">
        <v>0</v>
      </c>
    </row>
    <row r="706" spans="1:3" x14ac:dyDescent="0.25">
      <c r="A706" s="2" t="s">
        <v>1020</v>
      </c>
      <c r="B706" t="s">
        <v>400</v>
      </c>
      <c r="C706" s="3">
        <v>0</v>
      </c>
    </row>
    <row r="707" spans="1:3" x14ac:dyDescent="0.25">
      <c r="A707" s="2" t="s">
        <v>1021</v>
      </c>
      <c r="B707" t="s">
        <v>400</v>
      </c>
      <c r="C707" s="3">
        <v>0</v>
      </c>
    </row>
    <row r="708" spans="1:3" x14ac:dyDescent="0.25">
      <c r="A708" s="2" t="s">
        <v>1022</v>
      </c>
      <c r="B708" t="s">
        <v>400</v>
      </c>
      <c r="C708" s="3">
        <v>0</v>
      </c>
    </row>
    <row r="709" spans="1:3" x14ac:dyDescent="0.25">
      <c r="A709" s="2" t="s">
        <v>1023</v>
      </c>
      <c r="B709" t="s">
        <v>402</v>
      </c>
      <c r="C709" s="3">
        <v>0.17</v>
      </c>
    </row>
    <row r="710" spans="1:3" x14ac:dyDescent="0.25">
      <c r="A710" s="2" t="s">
        <v>1024</v>
      </c>
      <c r="B710" t="s">
        <v>400</v>
      </c>
      <c r="C710" s="3">
        <v>0</v>
      </c>
    </row>
    <row r="711" spans="1:3" x14ac:dyDescent="0.25">
      <c r="A711" s="2" t="s">
        <v>91</v>
      </c>
      <c r="B711" t="s">
        <v>405</v>
      </c>
      <c r="C711" s="3">
        <v>0.21</v>
      </c>
    </row>
    <row r="712" spans="1:3" x14ac:dyDescent="0.25">
      <c r="A712" s="2" t="s">
        <v>1025</v>
      </c>
      <c r="B712" t="s">
        <v>402</v>
      </c>
      <c r="C712" s="3">
        <v>0.35</v>
      </c>
    </row>
    <row r="713" spans="1:3" x14ac:dyDescent="0.25">
      <c r="A713" s="2" t="s">
        <v>1026</v>
      </c>
      <c r="B713" t="s">
        <v>401</v>
      </c>
      <c r="C713" s="3">
        <v>0</v>
      </c>
    </row>
    <row r="714" spans="1:3" x14ac:dyDescent="0.25">
      <c r="A714" s="2" t="s">
        <v>1027</v>
      </c>
      <c r="B714" t="s">
        <v>400</v>
      </c>
      <c r="C714" s="3">
        <v>0</v>
      </c>
    </row>
    <row r="715" spans="1:3" x14ac:dyDescent="0.25">
      <c r="A715" s="2" t="s">
        <v>1028</v>
      </c>
      <c r="B715" t="s">
        <v>400</v>
      </c>
      <c r="C715" s="3">
        <v>0</v>
      </c>
    </row>
    <row r="716" spans="1:3" x14ac:dyDescent="0.25">
      <c r="A716" s="2" t="s">
        <v>1029</v>
      </c>
      <c r="B716" t="s">
        <v>401</v>
      </c>
      <c r="C716" s="3">
        <v>0</v>
      </c>
    </row>
    <row r="717" spans="1:3" x14ac:dyDescent="0.25">
      <c r="A717" s="2" t="s">
        <v>1030</v>
      </c>
      <c r="B717" t="s">
        <v>400</v>
      </c>
      <c r="C717" s="3">
        <v>0</v>
      </c>
    </row>
    <row r="718" spans="1:3" x14ac:dyDescent="0.25">
      <c r="A718" s="2" t="s">
        <v>1031</v>
      </c>
      <c r="B718" t="s">
        <v>400</v>
      </c>
      <c r="C718" s="3">
        <v>0</v>
      </c>
    </row>
    <row r="719" spans="1:3" x14ac:dyDescent="0.25">
      <c r="A719" s="2" t="s">
        <v>1032</v>
      </c>
      <c r="B719" t="s">
        <v>401</v>
      </c>
      <c r="C719" s="3">
        <v>0</v>
      </c>
    </row>
    <row r="720" spans="1:3" x14ac:dyDescent="0.25">
      <c r="A720" s="2" t="s">
        <v>1033</v>
      </c>
      <c r="B720" t="s">
        <v>400</v>
      </c>
      <c r="C720" s="3">
        <v>0</v>
      </c>
    </row>
    <row r="721" spans="1:3" x14ac:dyDescent="0.25">
      <c r="A721" s="2" t="s">
        <v>1034</v>
      </c>
      <c r="B721" t="s">
        <v>400</v>
      </c>
      <c r="C721" s="3">
        <v>0</v>
      </c>
    </row>
    <row r="722" spans="1:3" x14ac:dyDescent="0.25">
      <c r="A722" s="2" t="s">
        <v>1035</v>
      </c>
      <c r="B722" t="s">
        <v>400</v>
      </c>
      <c r="C722" s="3">
        <v>0</v>
      </c>
    </row>
    <row r="723" spans="1:3" x14ac:dyDescent="0.25">
      <c r="A723" s="2" t="s">
        <v>1036</v>
      </c>
      <c r="B723" t="s">
        <v>400</v>
      </c>
      <c r="C723" s="3">
        <v>0</v>
      </c>
    </row>
    <row r="724" spans="1:3" x14ac:dyDescent="0.25">
      <c r="A724" s="2" t="s">
        <v>1037</v>
      </c>
      <c r="B724" t="s">
        <v>400</v>
      </c>
      <c r="C724" s="3">
        <v>0</v>
      </c>
    </row>
    <row r="725" spans="1:3" x14ac:dyDescent="0.25">
      <c r="A725" s="2" t="s">
        <v>90</v>
      </c>
      <c r="B725" t="s">
        <v>400</v>
      </c>
      <c r="C725" s="3">
        <v>0</v>
      </c>
    </row>
    <row r="726" spans="1:3" x14ac:dyDescent="0.25">
      <c r="A726" s="2" t="s">
        <v>1038</v>
      </c>
      <c r="B726" t="s">
        <v>401</v>
      </c>
      <c r="C726" s="3">
        <v>0</v>
      </c>
    </row>
    <row r="727" spans="1:3" x14ac:dyDescent="0.25">
      <c r="A727" s="2" t="s">
        <v>1039</v>
      </c>
      <c r="B727" t="s">
        <v>400</v>
      </c>
      <c r="C727" s="3">
        <v>0</v>
      </c>
    </row>
    <row r="728" spans="1:3" x14ac:dyDescent="0.25">
      <c r="A728" s="2" t="s">
        <v>1040</v>
      </c>
      <c r="B728" t="s">
        <v>400</v>
      </c>
      <c r="C728" s="3">
        <v>0</v>
      </c>
    </row>
    <row r="729" spans="1:3" x14ac:dyDescent="0.25">
      <c r="A729" s="2" t="s">
        <v>1041</v>
      </c>
      <c r="B729" t="s">
        <v>400</v>
      </c>
      <c r="C729" s="3">
        <v>0</v>
      </c>
    </row>
    <row r="730" spans="1:3" x14ac:dyDescent="0.25">
      <c r="A730" s="2" t="s">
        <v>1042</v>
      </c>
      <c r="B730" t="s">
        <v>400</v>
      </c>
      <c r="C730" s="3">
        <v>0</v>
      </c>
    </row>
    <row r="731" spans="1:3" x14ac:dyDescent="0.25">
      <c r="A731" s="2" t="s">
        <v>106</v>
      </c>
      <c r="B731" t="s">
        <v>400</v>
      </c>
      <c r="C731" s="3">
        <v>0</v>
      </c>
    </row>
    <row r="732" spans="1:3" x14ac:dyDescent="0.25">
      <c r="A732" s="2" t="s">
        <v>1043</v>
      </c>
      <c r="B732" t="s">
        <v>399</v>
      </c>
      <c r="C732" s="3">
        <v>0.64</v>
      </c>
    </row>
    <row r="733" spans="1:3" x14ac:dyDescent="0.25">
      <c r="A733" s="2" t="s">
        <v>83</v>
      </c>
      <c r="B733" t="s">
        <v>400</v>
      </c>
      <c r="C733" s="3">
        <v>0</v>
      </c>
    </row>
    <row r="734" spans="1:3" x14ac:dyDescent="0.25">
      <c r="A734" s="2" t="s">
        <v>1044</v>
      </c>
      <c r="B734" t="s">
        <v>400</v>
      </c>
      <c r="C734" s="3">
        <v>0</v>
      </c>
    </row>
    <row r="735" spans="1:3" x14ac:dyDescent="0.25">
      <c r="A735" s="2" t="s">
        <v>1045</v>
      </c>
      <c r="B735" t="s">
        <v>400</v>
      </c>
      <c r="C735" s="3">
        <v>0</v>
      </c>
    </row>
    <row r="736" spans="1:3" x14ac:dyDescent="0.25">
      <c r="A736" s="2" t="s">
        <v>1046</v>
      </c>
      <c r="B736" t="s">
        <v>399</v>
      </c>
      <c r="C736" s="3">
        <v>1</v>
      </c>
    </row>
    <row r="737" spans="1:3" x14ac:dyDescent="0.25">
      <c r="A737" s="2" t="s">
        <v>1047</v>
      </c>
      <c r="B737" t="s">
        <v>400</v>
      </c>
      <c r="C737" s="3">
        <v>0</v>
      </c>
    </row>
    <row r="738" spans="1:3" x14ac:dyDescent="0.25">
      <c r="A738" s="2" t="s">
        <v>1048</v>
      </c>
      <c r="B738" t="s">
        <v>403</v>
      </c>
      <c r="C738" s="3">
        <v>0.53</v>
      </c>
    </row>
    <row r="739" spans="1:3" x14ac:dyDescent="0.25">
      <c r="A739" s="2" t="s">
        <v>1049</v>
      </c>
      <c r="B739" t="s">
        <v>400</v>
      </c>
      <c r="C739" s="3">
        <v>0</v>
      </c>
    </row>
    <row r="740" spans="1:3" x14ac:dyDescent="0.25">
      <c r="A740" s="2" t="s">
        <v>1050</v>
      </c>
      <c r="B740" t="s">
        <v>401</v>
      </c>
      <c r="C740" s="3">
        <v>0</v>
      </c>
    </row>
    <row r="741" spans="1:3" x14ac:dyDescent="0.25">
      <c r="A741" s="2" t="s">
        <v>1051</v>
      </c>
      <c r="B741" t="s">
        <v>404</v>
      </c>
      <c r="C741" s="3">
        <v>0.1</v>
      </c>
    </row>
    <row r="742" spans="1:3" x14ac:dyDescent="0.25">
      <c r="A742" s="2" t="s">
        <v>1052</v>
      </c>
      <c r="B742" t="s">
        <v>400</v>
      </c>
      <c r="C742" s="3">
        <v>0</v>
      </c>
    </row>
    <row r="743" spans="1:3" x14ac:dyDescent="0.25">
      <c r="A743" s="2" t="s">
        <v>1053</v>
      </c>
      <c r="B743" t="s">
        <v>401</v>
      </c>
      <c r="C743" s="3">
        <v>0</v>
      </c>
    </row>
    <row r="744" spans="1:3" x14ac:dyDescent="0.25">
      <c r="A744" s="2" t="s">
        <v>1054</v>
      </c>
      <c r="B744" t="s">
        <v>400</v>
      </c>
      <c r="C744" s="3">
        <v>0</v>
      </c>
    </row>
    <row r="745" spans="1:3" x14ac:dyDescent="0.25">
      <c r="A745" s="2" t="s">
        <v>1055</v>
      </c>
      <c r="B745" t="s">
        <v>400</v>
      </c>
      <c r="C745" s="3">
        <v>0</v>
      </c>
    </row>
    <row r="746" spans="1:3" x14ac:dyDescent="0.25">
      <c r="A746" s="2" t="s">
        <v>1056</v>
      </c>
      <c r="B746" t="s">
        <v>399</v>
      </c>
      <c r="C746" s="3">
        <v>1</v>
      </c>
    </row>
    <row r="747" spans="1:3" x14ac:dyDescent="0.25">
      <c r="A747" s="2" t="s">
        <v>1057</v>
      </c>
      <c r="B747" t="s">
        <v>400</v>
      </c>
      <c r="C747" s="3">
        <v>0</v>
      </c>
    </row>
    <row r="748" spans="1:3" x14ac:dyDescent="0.25">
      <c r="A748" s="2" t="s">
        <v>1058</v>
      </c>
      <c r="B748" t="s">
        <v>401</v>
      </c>
      <c r="C748" s="3">
        <v>0</v>
      </c>
    </row>
    <row r="749" spans="1:3" x14ac:dyDescent="0.25">
      <c r="A749" s="2" t="s">
        <v>1059</v>
      </c>
      <c r="B749" t="s">
        <v>400</v>
      </c>
      <c r="C749" s="3">
        <v>0</v>
      </c>
    </row>
    <row r="750" spans="1:3" x14ac:dyDescent="0.25">
      <c r="A750" s="2" t="s">
        <v>1060</v>
      </c>
      <c r="B750" t="s">
        <v>400</v>
      </c>
      <c r="C750" s="3">
        <v>0</v>
      </c>
    </row>
    <row r="751" spans="1:3" x14ac:dyDescent="0.25">
      <c r="A751" s="2" t="s">
        <v>74</v>
      </c>
      <c r="B751" t="s">
        <v>399</v>
      </c>
      <c r="C751" s="3">
        <v>0.72</v>
      </c>
    </row>
    <row r="752" spans="1:3" x14ac:dyDescent="0.25">
      <c r="A752" s="2" t="s">
        <v>1061</v>
      </c>
      <c r="B752" t="s">
        <v>400</v>
      </c>
      <c r="C752" s="3">
        <v>0</v>
      </c>
    </row>
    <row r="753" spans="1:3" x14ac:dyDescent="0.25">
      <c r="A753" s="2" t="s">
        <v>1062</v>
      </c>
      <c r="B753" t="s">
        <v>401</v>
      </c>
      <c r="C753" s="3">
        <v>0</v>
      </c>
    </row>
    <row r="754" spans="1:3" x14ac:dyDescent="0.25">
      <c r="A754" s="2" t="s">
        <v>1063</v>
      </c>
      <c r="B754" t="s">
        <v>400</v>
      </c>
      <c r="C754" s="3">
        <v>0</v>
      </c>
    </row>
    <row r="755" spans="1:3" x14ac:dyDescent="0.25">
      <c r="A755" s="2" t="s">
        <v>1064</v>
      </c>
      <c r="B755" t="s">
        <v>401</v>
      </c>
      <c r="C755" s="3">
        <v>0</v>
      </c>
    </row>
    <row r="756" spans="1:3" x14ac:dyDescent="0.25">
      <c r="A756" s="2" t="s">
        <v>1065</v>
      </c>
      <c r="B756" t="s">
        <v>401</v>
      </c>
      <c r="C756" s="3">
        <v>0</v>
      </c>
    </row>
    <row r="757" spans="1:3" x14ac:dyDescent="0.25">
      <c r="A757" s="2" t="s">
        <v>1066</v>
      </c>
      <c r="B757" t="s">
        <v>402</v>
      </c>
      <c r="C757" s="3">
        <v>1</v>
      </c>
    </row>
    <row r="758" spans="1:3" x14ac:dyDescent="0.25">
      <c r="A758" s="2" t="s">
        <v>130</v>
      </c>
      <c r="B758" t="s">
        <v>401</v>
      </c>
      <c r="C758" s="3">
        <v>0</v>
      </c>
    </row>
    <row r="759" spans="1:3" x14ac:dyDescent="0.25">
      <c r="A759" s="2" t="s">
        <v>1067</v>
      </c>
      <c r="B759" t="s">
        <v>400</v>
      </c>
      <c r="C759" s="3">
        <v>0</v>
      </c>
    </row>
    <row r="760" spans="1:3" x14ac:dyDescent="0.25">
      <c r="A760" s="2" t="s">
        <v>1068</v>
      </c>
      <c r="B760" t="s">
        <v>400</v>
      </c>
      <c r="C760" s="3">
        <v>0</v>
      </c>
    </row>
    <row r="761" spans="1:3" x14ac:dyDescent="0.25">
      <c r="A761" s="2" t="s">
        <v>1069</v>
      </c>
      <c r="B761" t="s">
        <v>401</v>
      </c>
      <c r="C761" s="3">
        <v>0</v>
      </c>
    </row>
    <row r="762" spans="1:3" x14ac:dyDescent="0.25">
      <c r="A762" s="2" t="s">
        <v>1070</v>
      </c>
      <c r="B762" t="s">
        <v>400</v>
      </c>
      <c r="C762" s="3">
        <v>0</v>
      </c>
    </row>
    <row r="763" spans="1:3" x14ac:dyDescent="0.25">
      <c r="A763" s="2" t="s">
        <v>125</v>
      </c>
      <c r="B763" t="s">
        <v>400</v>
      </c>
      <c r="C763" s="3">
        <v>0</v>
      </c>
    </row>
    <row r="764" spans="1:3" x14ac:dyDescent="0.25">
      <c r="A764" s="2" t="s">
        <v>1071</v>
      </c>
      <c r="B764" t="s">
        <v>400</v>
      </c>
      <c r="C764" s="3">
        <v>0</v>
      </c>
    </row>
    <row r="765" spans="1:3" x14ac:dyDescent="0.25">
      <c r="A765" s="2" t="s">
        <v>120</v>
      </c>
      <c r="B765" t="s">
        <v>401</v>
      </c>
      <c r="C765" s="3">
        <v>0</v>
      </c>
    </row>
    <row r="766" spans="1:3" x14ac:dyDescent="0.25">
      <c r="A766" s="2" t="s">
        <v>1072</v>
      </c>
      <c r="B766" t="s">
        <v>400</v>
      </c>
      <c r="C766" s="3">
        <v>0</v>
      </c>
    </row>
    <row r="767" spans="1:3" x14ac:dyDescent="0.25">
      <c r="A767" s="2" t="s">
        <v>75</v>
      </c>
      <c r="B767" t="s">
        <v>401</v>
      </c>
      <c r="C767" s="3">
        <v>0</v>
      </c>
    </row>
    <row r="768" spans="1:3" x14ac:dyDescent="0.25">
      <c r="A768" s="2" t="s">
        <v>1073</v>
      </c>
      <c r="B768" t="s">
        <v>400</v>
      </c>
      <c r="C768" s="3">
        <v>0</v>
      </c>
    </row>
    <row r="769" spans="1:3" x14ac:dyDescent="0.25">
      <c r="A769" s="2" t="s">
        <v>1074</v>
      </c>
      <c r="B769" t="s">
        <v>400</v>
      </c>
      <c r="C769" s="3">
        <v>0</v>
      </c>
    </row>
    <row r="770" spans="1:3" x14ac:dyDescent="0.25">
      <c r="A770" s="2" t="s">
        <v>1075</v>
      </c>
      <c r="B770" t="s">
        <v>402</v>
      </c>
      <c r="C770" s="3">
        <v>0.35</v>
      </c>
    </row>
    <row r="771" spans="1:3" x14ac:dyDescent="0.25">
      <c r="A771" s="2" t="s">
        <v>133</v>
      </c>
      <c r="B771" t="s">
        <v>401</v>
      </c>
      <c r="C771" s="3">
        <v>0</v>
      </c>
    </row>
    <row r="772" spans="1:3" x14ac:dyDescent="0.25">
      <c r="A772" s="2" t="s">
        <v>1076</v>
      </c>
      <c r="B772" t="s">
        <v>400</v>
      </c>
      <c r="C772" s="3">
        <v>0</v>
      </c>
    </row>
    <row r="773" spans="1:3" x14ac:dyDescent="0.25">
      <c r="A773" s="2" t="s">
        <v>1077</v>
      </c>
      <c r="B773" t="s">
        <v>400</v>
      </c>
      <c r="C773" s="3">
        <v>0</v>
      </c>
    </row>
    <row r="774" spans="1:3" x14ac:dyDescent="0.25">
      <c r="A774" s="2" t="s">
        <v>1078</v>
      </c>
      <c r="B774" t="s">
        <v>399</v>
      </c>
      <c r="C774" s="3">
        <v>0.7</v>
      </c>
    </row>
    <row r="775" spans="1:3" x14ac:dyDescent="0.25">
      <c r="A775" s="2" t="s">
        <v>1079</v>
      </c>
      <c r="B775" t="s">
        <v>400</v>
      </c>
      <c r="C775" s="3">
        <v>0</v>
      </c>
    </row>
    <row r="776" spans="1:3" x14ac:dyDescent="0.25">
      <c r="A776" s="2" t="s">
        <v>1080</v>
      </c>
      <c r="B776" t="s">
        <v>400</v>
      </c>
      <c r="C776" s="3">
        <v>0</v>
      </c>
    </row>
    <row r="777" spans="1:3" x14ac:dyDescent="0.25">
      <c r="A777" s="2" t="s">
        <v>1081</v>
      </c>
      <c r="B777" t="s">
        <v>400</v>
      </c>
      <c r="C777" s="3">
        <v>0</v>
      </c>
    </row>
    <row r="778" spans="1:3" x14ac:dyDescent="0.25">
      <c r="A778" s="2" t="s">
        <v>1082</v>
      </c>
      <c r="B778" t="s">
        <v>400</v>
      </c>
      <c r="C778" s="3">
        <v>0</v>
      </c>
    </row>
    <row r="779" spans="1:3" x14ac:dyDescent="0.25">
      <c r="A779" s="2" t="s">
        <v>1083</v>
      </c>
      <c r="B779" t="s">
        <v>401</v>
      </c>
      <c r="C779" s="3">
        <v>0</v>
      </c>
    </row>
    <row r="780" spans="1:3" x14ac:dyDescent="0.25">
      <c r="A780" s="2" t="s">
        <v>1084</v>
      </c>
      <c r="B780" t="s">
        <v>400</v>
      </c>
      <c r="C780" s="3">
        <v>0</v>
      </c>
    </row>
    <row r="781" spans="1:3" x14ac:dyDescent="0.25">
      <c r="A781" s="2" t="s">
        <v>1085</v>
      </c>
      <c r="B781" t="s">
        <v>400</v>
      </c>
      <c r="C781" s="3">
        <v>0</v>
      </c>
    </row>
    <row r="782" spans="1:3" x14ac:dyDescent="0.25">
      <c r="A782" s="2" t="s">
        <v>1086</v>
      </c>
      <c r="B782" t="s">
        <v>400</v>
      </c>
      <c r="C782" s="3">
        <v>0</v>
      </c>
    </row>
    <row r="783" spans="1:3" x14ac:dyDescent="0.25">
      <c r="A783" s="2" t="s">
        <v>1087</v>
      </c>
      <c r="B783" t="s">
        <v>406</v>
      </c>
      <c r="C783" s="3">
        <v>0.91</v>
      </c>
    </row>
    <row r="784" spans="1:3" x14ac:dyDescent="0.25">
      <c r="A784" s="2" t="s">
        <v>1088</v>
      </c>
      <c r="B784" t="s">
        <v>406</v>
      </c>
      <c r="C784" s="3">
        <v>0.65</v>
      </c>
    </row>
    <row r="785" spans="1:3" x14ac:dyDescent="0.25">
      <c r="A785" s="2" t="s">
        <v>107</v>
      </c>
      <c r="B785" t="s">
        <v>401</v>
      </c>
      <c r="C785" s="3">
        <v>0</v>
      </c>
    </row>
    <row r="786" spans="1:3" x14ac:dyDescent="0.25">
      <c r="A786" s="2" t="s">
        <v>1089</v>
      </c>
      <c r="B786" t="s">
        <v>402</v>
      </c>
      <c r="C786" s="3">
        <v>0.12</v>
      </c>
    </row>
    <row r="787" spans="1:3" x14ac:dyDescent="0.25">
      <c r="A787" s="2" t="s">
        <v>1090</v>
      </c>
      <c r="B787" t="s">
        <v>401</v>
      </c>
      <c r="C787" s="3">
        <v>0</v>
      </c>
    </row>
    <row r="788" spans="1:3" x14ac:dyDescent="0.25">
      <c r="A788" s="2" t="s">
        <v>1091</v>
      </c>
      <c r="B788" t="s">
        <v>408</v>
      </c>
      <c r="C788" s="3">
        <v>0.65</v>
      </c>
    </row>
    <row r="789" spans="1:3" x14ac:dyDescent="0.25">
      <c r="A789" s="2" t="s">
        <v>1092</v>
      </c>
      <c r="B789" t="s">
        <v>401</v>
      </c>
      <c r="C789" s="3">
        <v>0</v>
      </c>
    </row>
    <row r="790" spans="1:3" x14ac:dyDescent="0.25">
      <c r="A790" s="2" t="s">
        <v>1093</v>
      </c>
      <c r="B790" t="s">
        <v>400</v>
      </c>
      <c r="C790" s="3">
        <v>0</v>
      </c>
    </row>
    <row r="791" spans="1:3" x14ac:dyDescent="0.25">
      <c r="A791" s="2" t="s">
        <v>1094</v>
      </c>
      <c r="B791" t="s">
        <v>400</v>
      </c>
      <c r="C791" s="3">
        <v>0</v>
      </c>
    </row>
    <row r="792" spans="1:3" x14ac:dyDescent="0.25">
      <c r="A792" s="2" t="s">
        <v>1095</v>
      </c>
      <c r="B792" t="s">
        <v>401</v>
      </c>
      <c r="C792" s="3">
        <v>0</v>
      </c>
    </row>
    <row r="793" spans="1:3" x14ac:dyDescent="0.25">
      <c r="A793" s="2" t="s">
        <v>1096</v>
      </c>
      <c r="B793" t="s">
        <v>400</v>
      </c>
      <c r="C793" s="3">
        <v>0</v>
      </c>
    </row>
    <row r="794" spans="1:3" x14ac:dyDescent="0.25">
      <c r="A794" s="2" t="s">
        <v>110</v>
      </c>
      <c r="B794" t="s">
        <v>400</v>
      </c>
      <c r="C794" s="3">
        <v>0</v>
      </c>
    </row>
    <row r="795" spans="1:3" x14ac:dyDescent="0.25">
      <c r="A795" s="2" t="s">
        <v>1097</v>
      </c>
      <c r="B795" t="s">
        <v>401</v>
      </c>
      <c r="C795" s="3">
        <v>0</v>
      </c>
    </row>
    <row r="796" spans="1:3" x14ac:dyDescent="0.25">
      <c r="A796" s="2" t="s">
        <v>1098</v>
      </c>
      <c r="B796" t="s">
        <v>401</v>
      </c>
      <c r="C796" s="3">
        <v>0</v>
      </c>
    </row>
    <row r="797" spans="1:3" x14ac:dyDescent="0.25">
      <c r="A797" s="2" t="s">
        <v>1099</v>
      </c>
      <c r="B797" t="s">
        <v>400</v>
      </c>
      <c r="C797" s="3">
        <v>0</v>
      </c>
    </row>
    <row r="798" spans="1:3" x14ac:dyDescent="0.25">
      <c r="A798" s="2" t="s">
        <v>1100</v>
      </c>
      <c r="B798" t="s">
        <v>400</v>
      </c>
      <c r="C798" s="3">
        <v>0</v>
      </c>
    </row>
    <row r="799" spans="1:3" x14ac:dyDescent="0.25">
      <c r="A799" s="2" t="s">
        <v>48</v>
      </c>
      <c r="B799" t="s">
        <v>400</v>
      </c>
      <c r="C799" s="3">
        <v>0</v>
      </c>
    </row>
    <row r="800" spans="1:3" x14ac:dyDescent="0.25">
      <c r="A800" s="2" t="s">
        <v>77</v>
      </c>
      <c r="B800" t="s">
        <v>400</v>
      </c>
      <c r="C800" s="3">
        <v>0</v>
      </c>
    </row>
    <row r="801" spans="1:3" x14ac:dyDescent="0.25">
      <c r="A801" s="2" t="s">
        <v>137</v>
      </c>
      <c r="B801" t="s">
        <v>401</v>
      </c>
      <c r="C801" s="3">
        <v>0</v>
      </c>
    </row>
    <row r="802" spans="1:3" x14ac:dyDescent="0.25">
      <c r="A802" s="2" t="s">
        <v>1101</v>
      </c>
      <c r="B802" t="s">
        <v>400</v>
      </c>
      <c r="C802" s="3">
        <v>0</v>
      </c>
    </row>
    <row r="803" spans="1:3" x14ac:dyDescent="0.25">
      <c r="A803" s="2" t="s">
        <v>1102</v>
      </c>
      <c r="B803" t="s">
        <v>401</v>
      </c>
      <c r="C803" s="3">
        <v>0</v>
      </c>
    </row>
    <row r="804" spans="1:3" x14ac:dyDescent="0.25">
      <c r="A804" s="2" t="s">
        <v>1103</v>
      </c>
      <c r="B804" t="s">
        <v>400</v>
      </c>
      <c r="C804" s="3">
        <v>0</v>
      </c>
    </row>
    <row r="805" spans="1:3" x14ac:dyDescent="0.25">
      <c r="A805" s="2" t="s">
        <v>1104</v>
      </c>
      <c r="B805" t="s">
        <v>406</v>
      </c>
      <c r="C805" s="3">
        <v>0.8</v>
      </c>
    </row>
    <row r="806" spans="1:3" x14ac:dyDescent="0.25">
      <c r="A806" s="2" t="s">
        <v>1105</v>
      </c>
      <c r="B806" t="s">
        <v>403</v>
      </c>
      <c r="C806" s="3">
        <v>0.36</v>
      </c>
    </row>
    <row r="807" spans="1:3" x14ac:dyDescent="0.25">
      <c r="A807" s="2" t="s">
        <v>1106</v>
      </c>
      <c r="B807" t="s">
        <v>400</v>
      </c>
      <c r="C807" s="3">
        <v>0</v>
      </c>
    </row>
    <row r="808" spans="1:3" x14ac:dyDescent="0.25">
      <c r="A808" s="2" t="s">
        <v>114</v>
      </c>
      <c r="B808" t="s">
        <v>401</v>
      </c>
      <c r="C808" s="3">
        <v>0</v>
      </c>
    </row>
    <row r="809" spans="1:3" x14ac:dyDescent="0.25">
      <c r="A809" s="2" t="s">
        <v>115</v>
      </c>
      <c r="B809" t="s">
        <v>406</v>
      </c>
      <c r="C809" s="3">
        <v>0.24</v>
      </c>
    </row>
    <row r="810" spans="1:3" x14ac:dyDescent="0.25">
      <c r="A810" s="2" t="s">
        <v>1107</v>
      </c>
      <c r="B810" t="s">
        <v>400</v>
      </c>
      <c r="C810" s="3">
        <v>0</v>
      </c>
    </row>
    <row r="811" spans="1:3" x14ac:dyDescent="0.25">
      <c r="A811" s="2" t="s">
        <v>1108</v>
      </c>
      <c r="B811" t="s">
        <v>400</v>
      </c>
      <c r="C811" s="3">
        <v>0</v>
      </c>
    </row>
    <row r="812" spans="1:3" x14ac:dyDescent="0.25">
      <c r="A812" s="2" t="s">
        <v>1109</v>
      </c>
      <c r="B812" t="s">
        <v>400</v>
      </c>
      <c r="C812" s="3">
        <v>0</v>
      </c>
    </row>
    <row r="813" spans="1:3" x14ac:dyDescent="0.25">
      <c r="A813" s="2" t="s">
        <v>50</v>
      </c>
      <c r="B813" t="s">
        <v>401</v>
      </c>
      <c r="C813" s="3">
        <v>0</v>
      </c>
    </row>
    <row r="814" spans="1:3" x14ac:dyDescent="0.25">
      <c r="A814" s="2" t="s">
        <v>1110</v>
      </c>
      <c r="B814" t="s">
        <v>400</v>
      </c>
      <c r="C814" s="3">
        <v>0</v>
      </c>
    </row>
    <row r="815" spans="1:3" x14ac:dyDescent="0.25">
      <c r="A815" s="2" t="s">
        <v>1111</v>
      </c>
      <c r="B815" t="s">
        <v>404</v>
      </c>
      <c r="C815" s="3">
        <v>0.85</v>
      </c>
    </row>
    <row r="816" spans="1:3" x14ac:dyDescent="0.25">
      <c r="A816" s="2" t="s">
        <v>1112</v>
      </c>
      <c r="B816" t="s">
        <v>400</v>
      </c>
      <c r="C816" s="3">
        <v>0</v>
      </c>
    </row>
    <row r="817" spans="1:3" x14ac:dyDescent="0.25">
      <c r="A817" s="2" t="s">
        <v>1113</v>
      </c>
      <c r="B817" t="s">
        <v>400</v>
      </c>
      <c r="C817" s="3">
        <v>0</v>
      </c>
    </row>
    <row r="818" spans="1:3" x14ac:dyDescent="0.25">
      <c r="A818" s="2" t="s">
        <v>1114</v>
      </c>
      <c r="B818" t="s">
        <v>400</v>
      </c>
      <c r="C818" s="3">
        <v>0</v>
      </c>
    </row>
    <row r="819" spans="1:3" x14ac:dyDescent="0.25">
      <c r="A819" s="2" t="s">
        <v>1115</v>
      </c>
      <c r="B819" t="s">
        <v>400</v>
      </c>
      <c r="C819" s="3">
        <v>0</v>
      </c>
    </row>
    <row r="820" spans="1:3" x14ac:dyDescent="0.25">
      <c r="A820" s="2" t="s">
        <v>1116</v>
      </c>
      <c r="B820" t="s">
        <v>400</v>
      </c>
      <c r="C820" s="3">
        <v>0</v>
      </c>
    </row>
    <row r="821" spans="1:3" x14ac:dyDescent="0.25">
      <c r="A821" s="2" t="s">
        <v>1117</v>
      </c>
      <c r="B821" t="s">
        <v>400</v>
      </c>
      <c r="C821" s="3">
        <v>0</v>
      </c>
    </row>
    <row r="822" spans="1:3" x14ac:dyDescent="0.25">
      <c r="A822" s="2" t="s">
        <v>1118</v>
      </c>
      <c r="B822" t="s">
        <v>400</v>
      </c>
      <c r="C822" s="3">
        <v>0</v>
      </c>
    </row>
    <row r="823" spans="1:3" x14ac:dyDescent="0.25">
      <c r="A823" s="2" t="s">
        <v>1119</v>
      </c>
      <c r="B823" t="s">
        <v>404</v>
      </c>
      <c r="C823" s="3">
        <v>0.6</v>
      </c>
    </row>
    <row r="824" spans="1:3" x14ac:dyDescent="0.25">
      <c r="A824" s="2" t="s">
        <v>136</v>
      </c>
      <c r="B824" t="s">
        <v>401</v>
      </c>
      <c r="C824" s="3">
        <v>0</v>
      </c>
    </row>
    <row r="825" spans="1:3" x14ac:dyDescent="0.25">
      <c r="A825" s="2" t="s">
        <v>1120</v>
      </c>
      <c r="B825" t="s">
        <v>400</v>
      </c>
      <c r="C825" s="3">
        <v>0</v>
      </c>
    </row>
    <row r="826" spans="1:3" x14ac:dyDescent="0.25">
      <c r="A826" s="2" t="s">
        <v>1121</v>
      </c>
      <c r="B826" t="s">
        <v>400</v>
      </c>
      <c r="C826" s="3">
        <v>0</v>
      </c>
    </row>
    <row r="827" spans="1:3" x14ac:dyDescent="0.25">
      <c r="A827" s="2" t="s">
        <v>1122</v>
      </c>
      <c r="B827" t="s">
        <v>400</v>
      </c>
      <c r="C827" s="3">
        <v>0</v>
      </c>
    </row>
    <row r="828" spans="1:3" x14ac:dyDescent="0.25">
      <c r="A828" s="2" t="s">
        <v>1123</v>
      </c>
      <c r="B828" t="s">
        <v>401</v>
      </c>
      <c r="C828" s="3">
        <v>0</v>
      </c>
    </row>
    <row r="829" spans="1:3" x14ac:dyDescent="0.25">
      <c r="A829" s="2" t="s">
        <v>1124</v>
      </c>
      <c r="B829" t="s">
        <v>400</v>
      </c>
      <c r="C829" s="3">
        <v>0</v>
      </c>
    </row>
    <row r="830" spans="1:3" x14ac:dyDescent="0.25">
      <c r="A830" s="2" t="s">
        <v>1125</v>
      </c>
      <c r="B830" t="s">
        <v>400</v>
      </c>
      <c r="C830" s="3">
        <v>0</v>
      </c>
    </row>
    <row r="831" spans="1:3" x14ac:dyDescent="0.25">
      <c r="A831" s="2" t="s">
        <v>1126</v>
      </c>
      <c r="B831" t="s">
        <v>400</v>
      </c>
      <c r="C831" s="3">
        <v>0</v>
      </c>
    </row>
    <row r="832" spans="1:3" x14ac:dyDescent="0.25">
      <c r="A832" s="2" t="s">
        <v>1127</v>
      </c>
      <c r="B832" t="s">
        <v>400</v>
      </c>
      <c r="C832" s="3">
        <v>0</v>
      </c>
    </row>
    <row r="833" spans="1:3" x14ac:dyDescent="0.25">
      <c r="A833" s="2" t="s">
        <v>1128</v>
      </c>
      <c r="B833" t="s">
        <v>399</v>
      </c>
      <c r="C833" s="3">
        <v>0.5</v>
      </c>
    </row>
    <row r="834" spans="1:3" x14ac:dyDescent="0.25">
      <c r="A834" s="2" t="s">
        <v>1129</v>
      </c>
      <c r="B834" t="s">
        <v>400</v>
      </c>
      <c r="C834" s="3">
        <v>0</v>
      </c>
    </row>
    <row r="835" spans="1:3" x14ac:dyDescent="0.25">
      <c r="A835" s="2" t="s">
        <v>105</v>
      </c>
      <c r="B835" t="s">
        <v>401</v>
      </c>
      <c r="C835" s="3">
        <v>0</v>
      </c>
    </row>
    <row r="836" spans="1:3" x14ac:dyDescent="0.25">
      <c r="A836" s="2" t="s">
        <v>1130</v>
      </c>
      <c r="B836" t="s">
        <v>403</v>
      </c>
      <c r="C836" s="3">
        <v>1</v>
      </c>
    </row>
    <row r="837" spans="1:3" x14ac:dyDescent="0.25">
      <c r="A837" s="2" t="s">
        <v>1131</v>
      </c>
      <c r="B837" t="s">
        <v>400</v>
      </c>
      <c r="C837" s="3">
        <v>0</v>
      </c>
    </row>
    <row r="838" spans="1:3" x14ac:dyDescent="0.25">
      <c r="A838" s="2" t="s">
        <v>1132</v>
      </c>
      <c r="B838" t="s">
        <v>400</v>
      </c>
      <c r="C838" s="3">
        <v>0</v>
      </c>
    </row>
    <row r="839" spans="1:3" x14ac:dyDescent="0.25">
      <c r="A839" s="2" t="s">
        <v>1133</v>
      </c>
      <c r="B839" t="s">
        <v>401</v>
      </c>
      <c r="C839" s="3">
        <v>0</v>
      </c>
    </row>
    <row r="840" spans="1:3" x14ac:dyDescent="0.25">
      <c r="A840" s="2" t="s">
        <v>1134</v>
      </c>
      <c r="B840" t="s">
        <v>400</v>
      </c>
      <c r="C840" s="3">
        <v>0</v>
      </c>
    </row>
    <row r="841" spans="1:3" x14ac:dyDescent="0.25">
      <c r="A841" s="2" t="s">
        <v>1135</v>
      </c>
      <c r="B841" t="s">
        <v>400</v>
      </c>
      <c r="C841" s="3">
        <v>0</v>
      </c>
    </row>
    <row r="842" spans="1:3" x14ac:dyDescent="0.25">
      <c r="A842" s="2" t="s">
        <v>1136</v>
      </c>
      <c r="B842" t="s">
        <v>400</v>
      </c>
      <c r="C842" s="3">
        <v>0</v>
      </c>
    </row>
    <row r="843" spans="1:3" x14ac:dyDescent="0.25">
      <c r="A843" s="2" t="s">
        <v>1137</v>
      </c>
      <c r="B843" t="s">
        <v>401</v>
      </c>
      <c r="C843" s="3">
        <v>0</v>
      </c>
    </row>
    <row r="844" spans="1:3" x14ac:dyDescent="0.25">
      <c r="A844" s="2" t="s">
        <v>1138</v>
      </c>
      <c r="B844" t="s">
        <v>400</v>
      </c>
      <c r="C844" s="3">
        <v>0</v>
      </c>
    </row>
    <row r="845" spans="1:3" x14ac:dyDescent="0.25">
      <c r="A845" s="2" t="s">
        <v>1139</v>
      </c>
      <c r="B845" t="s">
        <v>400</v>
      </c>
      <c r="C845" s="3">
        <v>0</v>
      </c>
    </row>
    <row r="846" spans="1:3" x14ac:dyDescent="0.25">
      <c r="A846" s="2" t="s">
        <v>1140</v>
      </c>
      <c r="B846" t="s">
        <v>401</v>
      </c>
      <c r="C846" s="3">
        <v>0</v>
      </c>
    </row>
    <row r="847" spans="1:3" x14ac:dyDescent="0.25">
      <c r="A847" s="2" t="s">
        <v>1141</v>
      </c>
      <c r="B847" t="s">
        <v>401</v>
      </c>
      <c r="C847" s="3">
        <v>0</v>
      </c>
    </row>
    <row r="848" spans="1:3" x14ac:dyDescent="0.25">
      <c r="A848" s="2" t="s">
        <v>1142</v>
      </c>
      <c r="B848" t="s">
        <v>400</v>
      </c>
      <c r="C848" s="3">
        <v>0</v>
      </c>
    </row>
    <row r="849" spans="1:3" x14ac:dyDescent="0.25">
      <c r="A849" s="2" t="s">
        <v>1143</v>
      </c>
      <c r="B849" t="s">
        <v>401</v>
      </c>
      <c r="C849" s="3">
        <v>0</v>
      </c>
    </row>
    <row r="850" spans="1:3" x14ac:dyDescent="0.25">
      <c r="A850" s="2" t="s">
        <v>1144</v>
      </c>
      <c r="B850" t="s">
        <v>400</v>
      </c>
      <c r="C850" s="3">
        <v>0</v>
      </c>
    </row>
    <row r="851" spans="1:3" x14ac:dyDescent="0.25">
      <c r="A851" s="2" t="s">
        <v>1145</v>
      </c>
      <c r="B851" t="s">
        <v>401</v>
      </c>
      <c r="C851" s="3">
        <v>0</v>
      </c>
    </row>
    <row r="852" spans="1:3" x14ac:dyDescent="0.25">
      <c r="A852" s="2" t="s">
        <v>1146</v>
      </c>
      <c r="B852" t="s">
        <v>401</v>
      </c>
      <c r="C852" s="3">
        <v>0</v>
      </c>
    </row>
    <row r="853" spans="1:3" x14ac:dyDescent="0.25">
      <c r="A853" s="2" t="s">
        <v>1147</v>
      </c>
      <c r="B853" t="s">
        <v>400</v>
      </c>
      <c r="C853" s="3">
        <v>0</v>
      </c>
    </row>
    <row r="854" spans="1:3" x14ac:dyDescent="0.25">
      <c r="A854" s="2" t="s">
        <v>1148</v>
      </c>
      <c r="B854" t="s">
        <v>400</v>
      </c>
      <c r="C854" s="3">
        <v>0</v>
      </c>
    </row>
    <row r="855" spans="1:3" x14ac:dyDescent="0.25">
      <c r="A855" s="2" t="s">
        <v>1149</v>
      </c>
      <c r="B855" t="s">
        <v>400</v>
      </c>
      <c r="C855" s="3">
        <v>0</v>
      </c>
    </row>
    <row r="856" spans="1:3" x14ac:dyDescent="0.25">
      <c r="A856" s="2" t="s">
        <v>1150</v>
      </c>
      <c r="B856" t="s">
        <v>400</v>
      </c>
      <c r="C856" s="3">
        <v>0</v>
      </c>
    </row>
    <row r="857" spans="1:3" x14ac:dyDescent="0.25">
      <c r="A857" s="2" t="s">
        <v>1151</v>
      </c>
      <c r="B857" t="s">
        <v>400</v>
      </c>
      <c r="C857" s="3">
        <v>0</v>
      </c>
    </row>
    <row r="858" spans="1:3" x14ac:dyDescent="0.25">
      <c r="A858" s="2" t="s">
        <v>1152</v>
      </c>
      <c r="B858" t="s">
        <v>400</v>
      </c>
      <c r="C858" s="3">
        <v>0</v>
      </c>
    </row>
    <row r="859" spans="1:3" x14ac:dyDescent="0.25">
      <c r="A859" s="2" t="s">
        <v>1153</v>
      </c>
      <c r="B859" t="s">
        <v>401</v>
      </c>
      <c r="C859" s="3">
        <v>0</v>
      </c>
    </row>
    <row r="860" spans="1:3" x14ac:dyDescent="0.25">
      <c r="A860" s="2" t="s">
        <v>118</v>
      </c>
      <c r="B860" t="s">
        <v>407</v>
      </c>
      <c r="C860" s="3">
        <v>1</v>
      </c>
    </row>
    <row r="861" spans="1:3" x14ac:dyDescent="0.25">
      <c r="A861" s="2" t="s">
        <v>1154</v>
      </c>
      <c r="B861" t="s">
        <v>399</v>
      </c>
      <c r="C861" s="3">
        <v>0.57999999999999996</v>
      </c>
    </row>
    <row r="862" spans="1:3" x14ac:dyDescent="0.25">
      <c r="A862" s="2" t="s">
        <v>1155</v>
      </c>
      <c r="B862" t="s">
        <v>400</v>
      </c>
      <c r="C862" s="3">
        <v>0</v>
      </c>
    </row>
    <row r="863" spans="1:3" x14ac:dyDescent="0.25">
      <c r="A863" s="2" t="s">
        <v>1156</v>
      </c>
      <c r="B863" t="s">
        <v>401</v>
      </c>
      <c r="C863" s="3">
        <v>0</v>
      </c>
    </row>
    <row r="864" spans="1:3" x14ac:dyDescent="0.25">
      <c r="A864" s="2" t="s">
        <v>1157</v>
      </c>
      <c r="B864" t="s">
        <v>400</v>
      </c>
      <c r="C864" s="3">
        <v>0</v>
      </c>
    </row>
    <row r="865" spans="1:3" x14ac:dyDescent="0.25">
      <c r="A865" s="2" t="s">
        <v>1158</v>
      </c>
      <c r="B865" t="s">
        <v>401</v>
      </c>
      <c r="C865" s="3">
        <v>0</v>
      </c>
    </row>
    <row r="866" spans="1:3" x14ac:dyDescent="0.25">
      <c r="A866" s="2" t="s">
        <v>1159</v>
      </c>
      <c r="B866" t="s">
        <v>401</v>
      </c>
      <c r="C866" s="3">
        <v>0</v>
      </c>
    </row>
    <row r="867" spans="1:3" x14ac:dyDescent="0.25">
      <c r="A867" s="2" t="s">
        <v>1160</v>
      </c>
      <c r="B867" t="s">
        <v>400</v>
      </c>
      <c r="C867" s="3">
        <v>0</v>
      </c>
    </row>
    <row r="868" spans="1:3" x14ac:dyDescent="0.25">
      <c r="A868" s="2" t="s">
        <v>1161</v>
      </c>
      <c r="B868" t="s">
        <v>406</v>
      </c>
      <c r="C868" s="3">
        <v>0.82</v>
      </c>
    </row>
    <row r="869" spans="1:3" x14ac:dyDescent="0.25">
      <c r="A869" s="2" t="s">
        <v>1162</v>
      </c>
      <c r="B869" t="s">
        <v>401</v>
      </c>
      <c r="C869" s="3">
        <v>0</v>
      </c>
    </row>
    <row r="870" spans="1:3" x14ac:dyDescent="0.25">
      <c r="A870" s="2" t="s">
        <v>150</v>
      </c>
      <c r="B870" t="s">
        <v>406</v>
      </c>
      <c r="C870" s="3">
        <v>0.8</v>
      </c>
    </row>
    <row r="871" spans="1:3" x14ac:dyDescent="0.25">
      <c r="A871" s="2" t="s">
        <v>1163</v>
      </c>
      <c r="B871" t="s">
        <v>400</v>
      </c>
      <c r="C871" s="3">
        <v>0</v>
      </c>
    </row>
    <row r="872" spans="1:3" x14ac:dyDescent="0.25">
      <c r="A872" s="2" t="s">
        <v>151</v>
      </c>
      <c r="B872" t="s">
        <v>401</v>
      </c>
      <c r="C872" s="3">
        <v>0</v>
      </c>
    </row>
    <row r="873" spans="1:3" x14ac:dyDescent="0.25">
      <c r="A873" s="2" t="s">
        <v>1164</v>
      </c>
      <c r="B873" t="s">
        <v>400</v>
      </c>
      <c r="C873" s="3">
        <v>0</v>
      </c>
    </row>
    <row r="874" spans="1:3" x14ac:dyDescent="0.25">
      <c r="A874" s="2" t="s">
        <v>1165</v>
      </c>
      <c r="B874" t="s">
        <v>400</v>
      </c>
      <c r="C874" s="3">
        <v>0</v>
      </c>
    </row>
    <row r="875" spans="1:3" x14ac:dyDescent="0.25">
      <c r="A875" s="2" t="s">
        <v>128</v>
      </c>
      <c r="B875" t="s">
        <v>400</v>
      </c>
      <c r="C875" s="3">
        <v>0</v>
      </c>
    </row>
    <row r="876" spans="1:3" x14ac:dyDescent="0.25">
      <c r="A876" s="2" t="s">
        <v>1166</v>
      </c>
      <c r="B876" t="s">
        <v>400</v>
      </c>
      <c r="C876" s="3">
        <v>0</v>
      </c>
    </row>
    <row r="877" spans="1:3" x14ac:dyDescent="0.25">
      <c r="A877" s="2" t="s">
        <v>1167</v>
      </c>
      <c r="B877" t="s">
        <v>400</v>
      </c>
      <c r="C877" s="3">
        <v>0</v>
      </c>
    </row>
    <row r="878" spans="1:3" x14ac:dyDescent="0.25">
      <c r="A878" s="2" t="s">
        <v>1168</v>
      </c>
      <c r="B878" t="s">
        <v>400</v>
      </c>
      <c r="C878" s="3">
        <v>0</v>
      </c>
    </row>
    <row r="879" spans="1:3" x14ac:dyDescent="0.25">
      <c r="A879" s="2" t="s">
        <v>1169</v>
      </c>
      <c r="B879" t="s">
        <v>400</v>
      </c>
      <c r="C879" s="3">
        <v>0</v>
      </c>
    </row>
    <row r="880" spans="1:3" x14ac:dyDescent="0.25">
      <c r="A880" s="2" t="s">
        <v>1170</v>
      </c>
      <c r="B880" t="s">
        <v>403</v>
      </c>
      <c r="C880" s="3">
        <v>0.83499999999999996</v>
      </c>
    </row>
    <row r="881" spans="1:3" x14ac:dyDescent="0.25">
      <c r="A881" s="2" t="s">
        <v>1171</v>
      </c>
      <c r="B881" t="s">
        <v>400</v>
      </c>
      <c r="C881" s="3">
        <v>0</v>
      </c>
    </row>
    <row r="882" spans="1:3" x14ac:dyDescent="0.25">
      <c r="A882" s="2" t="s">
        <v>1172</v>
      </c>
      <c r="B882" t="s">
        <v>400</v>
      </c>
      <c r="C882" s="3">
        <v>0</v>
      </c>
    </row>
    <row r="883" spans="1:3" x14ac:dyDescent="0.25">
      <c r="A883" s="2" t="s">
        <v>1173</v>
      </c>
      <c r="B883" t="s">
        <v>400</v>
      </c>
      <c r="C883" s="3">
        <v>0</v>
      </c>
    </row>
    <row r="884" spans="1:3" x14ac:dyDescent="0.25">
      <c r="A884" s="2" t="s">
        <v>1174</v>
      </c>
      <c r="B884" t="s">
        <v>400</v>
      </c>
      <c r="C884" s="3">
        <v>0</v>
      </c>
    </row>
    <row r="885" spans="1:3" x14ac:dyDescent="0.25">
      <c r="A885" s="2" t="s">
        <v>131</v>
      </c>
      <c r="B885" t="s">
        <v>400</v>
      </c>
      <c r="C885" s="3">
        <v>0</v>
      </c>
    </row>
    <row r="886" spans="1:3" x14ac:dyDescent="0.25">
      <c r="A886" s="2" t="s">
        <v>1175</v>
      </c>
      <c r="B886" t="s">
        <v>400</v>
      </c>
      <c r="C886" s="3">
        <v>0</v>
      </c>
    </row>
    <row r="887" spans="1:3" x14ac:dyDescent="0.25">
      <c r="A887" s="2" t="s">
        <v>1176</v>
      </c>
      <c r="B887" t="s">
        <v>400</v>
      </c>
      <c r="C887" s="3">
        <v>0</v>
      </c>
    </row>
    <row r="888" spans="1:3" x14ac:dyDescent="0.25">
      <c r="A888" s="2" t="s">
        <v>1177</v>
      </c>
      <c r="B888" t="s">
        <v>400</v>
      </c>
      <c r="C888" s="3">
        <v>0</v>
      </c>
    </row>
    <row r="889" spans="1:3" x14ac:dyDescent="0.25">
      <c r="A889" s="2" t="s">
        <v>1178</v>
      </c>
      <c r="B889" t="s">
        <v>400</v>
      </c>
      <c r="C889" s="3">
        <v>0</v>
      </c>
    </row>
    <row r="890" spans="1:3" x14ac:dyDescent="0.25">
      <c r="A890" s="2" t="s">
        <v>1179</v>
      </c>
      <c r="B890" t="s">
        <v>400</v>
      </c>
      <c r="C890" s="3">
        <v>0</v>
      </c>
    </row>
    <row r="891" spans="1:3" x14ac:dyDescent="0.25">
      <c r="A891" s="2" t="s">
        <v>1180</v>
      </c>
      <c r="B891" t="s">
        <v>401</v>
      </c>
      <c r="C891" s="3">
        <v>0</v>
      </c>
    </row>
    <row r="892" spans="1:3" x14ac:dyDescent="0.25">
      <c r="A892" s="2" t="s">
        <v>1181</v>
      </c>
      <c r="B892" t="s">
        <v>401</v>
      </c>
      <c r="C892" s="3">
        <v>0</v>
      </c>
    </row>
    <row r="893" spans="1:3" x14ac:dyDescent="0.25">
      <c r="A893" s="2" t="s">
        <v>1182</v>
      </c>
      <c r="B893" t="s">
        <v>400</v>
      </c>
      <c r="C893" s="3">
        <v>0</v>
      </c>
    </row>
    <row r="894" spans="1:3" x14ac:dyDescent="0.25">
      <c r="A894" s="2" t="s">
        <v>1183</v>
      </c>
      <c r="B894" t="s">
        <v>403</v>
      </c>
      <c r="C894" s="3">
        <v>0.33</v>
      </c>
    </row>
    <row r="895" spans="1:3" x14ac:dyDescent="0.25">
      <c r="A895" s="2" t="s">
        <v>1184</v>
      </c>
      <c r="B895" t="s">
        <v>401</v>
      </c>
      <c r="C895" s="3">
        <v>0</v>
      </c>
    </row>
    <row r="896" spans="1:3" x14ac:dyDescent="0.25">
      <c r="A896" s="2" t="s">
        <v>1185</v>
      </c>
      <c r="B896" t="s">
        <v>400</v>
      </c>
      <c r="C896" s="3">
        <v>0</v>
      </c>
    </row>
    <row r="897" spans="1:3" x14ac:dyDescent="0.25">
      <c r="A897" s="2" t="s">
        <v>1186</v>
      </c>
      <c r="B897" t="s">
        <v>400</v>
      </c>
      <c r="C897" s="3">
        <v>0</v>
      </c>
    </row>
    <row r="898" spans="1:3" x14ac:dyDescent="0.25">
      <c r="A898" s="2" t="s">
        <v>1187</v>
      </c>
      <c r="B898" t="s">
        <v>400</v>
      </c>
      <c r="C898" s="3">
        <v>0</v>
      </c>
    </row>
    <row r="899" spans="1:3" x14ac:dyDescent="0.25">
      <c r="A899" s="2" t="s">
        <v>158</v>
      </c>
      <c r="B899" t="s">
        <v>402</v>
      </c>
      <c r="C899" s="3">
        <v>0.96</v>
      </c>
    </row>
    <row r="900" spans="1:3" x14ac:dyDescent="0.25">
      <c r="A900" s="2" t="s">
        <v>1188</v>
      </c>
      <c r="B900" t="s">
        <v>399</v>
      </c>
      <c r="C900" s="3">
        <v>0.1071</v>
      </c>
    </row>
    <row r="901" spans="1:3" x14ac:dyDescent="0.25">
      <c r="A901" s="2" t="s">
        <v>123</v>
      </c>
      <c r="B901" t="s">
        <v>399</v>
      </c>
      <c r="C901" s="3">
        <v>0.23</v>
      </c>
    </row>
    <row r="902" spans="1:3" x14ac:dyDescent="0.25">
      <c r="A902" s="2" t="s">
        <v>1189</v>
      </c>
      <c r="B902" t="s">
        <v>400</v>
      </c>
      <c r="C902" s="3">
        <v>0</v>
      </c>
    </row>
    <row r="903" spans="1:3" x14ac:dyDescent="0.25">
      <c r="A903" s="2" t="s">
        <v>1190</v>
      </c>
      <c r="B903" t="s">
        <v>401</v>
      </c>
      <c r="C903" s="3">
        <v>0</v>
      </c>
    </row>
    <row r="904" spans="1:3" x14ac:dyDescent="0.25">
      <c r="A904" s="2" t="s">
        <v>1191</v>
      </c>
      <c r="B904" t="s">
        <v>400</v>
      </c>
      <c r="C904" s="3">
        <v>0</v>
      </c>
    </row>
    <row r="905" spans="1:3" x14ac:dyDescent="0.25">
      <c r="A905" s="2" t="s">
        <v>1192</v>
      </c>
      <c r="B905" t="s">
        <v>400</v>
      </c>
      <c r="C905" s="3">
        <v>0</v>
      </c>
    </row>
    <row r="906" spans="1:3" x14ac:dyDescent="0.25">
      <c r="A906" s="2" t="s">
        <v>1193</v>
      </c>
      <c r="B906" t="s">
        <v>407</v>
      </c>
      <c r="C906" s="3">
        <v>0.81</v>
      </c>
    </row>
    <row r="907" spans="1:3" x14ac:dyDescent="0.25">
      <c r="A907" s="2" t="s">
        <v>1194</v>
      </c>
      <c r="B907" t="s">
        <v>400</v>
      </c>
      <c r="C907" s="3">
        <v>0</v>
      </c>
    </row>
    <row r="908" spans="1:3" x14ac:dyDescent="0.25">
      <c r="A908" s="2" t="s">
        <v>1195</v>
      </c>
      <c r="B908" t="s">
        <v>401</v>
      </c>
      <c r="C908" s="3">
        <v>0</v>
      </c>
    </row>
    <row r="909" spans="1:3" x14ac:dyDescent="0.25">
      <c r="A909" s="2" t="s">
        <v>1196</v>
      </c>
      <c r="B909" t="s">
        <v>400</v>
      </c>
      <c r="C909" s="3">
        <v>0</v>
      </c>
    </row>
    <row r="910" spans="1:3" x14ac:dyDescent="0.25">
      <c r="A910" s="2" t="s">
        <v>1197</v>
      </c>
      <c r="B910" t="s">
        <v>400</v>
      </c>
      <c r="C910" s="3">
        <v>0</v>
      </c>
    </row>
    <row r="911" spans="1:3" x14ac:dyDescent="0.25">
      <c r="A911" s="2" t="s">
        <v>1198</v>
      </c>
      <c r="B911" t="s">
        <v>404</v>
      </c>
      <c r="C911" s="3">
        <v>0.24</v>
      </c>
    </row>
    <row r="912" spans="1:3" x14ac:dyDescent="0.25">
      <c r="A912" s="2" t="s">
        <v>1199</v>
      </c>
      <c r="B912" t="s">
        <v>400</v>
      </c>
      <c r="C912" s="3">
        <v>0</v>
      </c>
    </row>
    <row r="913" spans="1:3" x14ac:dyDescent="0.25">
      <c r="A913" s="2" t="s">
        <v>1200</v>
      </c>
      <c r="B913" t="s">
        <v>400</v>
      </c>
      <c r="C913" s="3">
        <v>0</v>
      </c>
    </row>
    <row r="914" spans="1:3" x14ac:dyDescent="0.25">
      <c r="A914" s="2" t="s">
        <v>1201</v>
      </c>
      <c r="B914" t="s">
        <v>401</v>
      </c>
      <c r="C914" s="3">
        <v>0</v>
      </c>
    </row>
    <row r="915" spans="1:3" x14ac:dyDescent="0.25">
      <c r="A915" s="2" t="s">
        <v>1202</v>
      </c>
      <c r="B915" t="s">
        <v>400</v>
      </c>
      <c r="C915" s="3">
        <v>0</v>
      </c>
    </row>
    <row r="916" spans="1:3" x14ac:dyDescent="0.25">
      <c r="A916" s="2" t="s">
        <v>1203</v>
      </c>
      <c r="B916" t="s">
        <v>400</v>
      </c>
      <c r="C916" s="3">
        <v>0</v>
      </c>
    </row>
    <row r="917" spans="1:3" x14ac:dyDescent="0.25">
      <c r="A917" s="2" t="s">
        <v>1204</v>
      </c>
      <c r="B917" t="s">
        <v>403</v>
      </c>
      <c r="C917" s="3">
        <v>1</v>
      </c>
    </row>
    <row r="918" spans="1:3" x14ac:dyDescent="0.25">
      <c r="A918" s="2" t="s">
        <v>1205</v>
      </c>
      <c r="B918" t="s">
        <v>399</v>
      </c>
      <c r="C918" s="3">
        <v>0.42</v>
      </c>
    </row>
    <row r="919" spans="1:3" x14ac:dyDescent="0.25">
      <c r="A919" s="2" t="s">
        <v>1206</v>
      </c>
      <c r="B919" t="s">
        <v>400</v>
      </c>
      <c r="C919" s="3">
        <v>0</v>
      </c>
    </row>
    <row r="920" spans="1:3" x14ac:dyDescent="0.25">
      <c r="A920" s="2" t="s">
        <v>1207</v>
      </c>
      <c r="B920" t="s">
        <v>400</v>
      </c>
      <c r="C920" s="3">
        <v>0</v>
      </c>
    </row>
    <row r="921" spans="1:3" x14ac:dyDescent="0.25">
      <c r="A921" s="2" t="s">
        <v>1208</v>
      </c>
      <c r="B921" t="s">
        <v>399</v>
      </c>
      <c r="C921" s="3">
        <v>0.84</v>
      </c>
    </row>
    <row r="922" spans="1:3" x14ac:dyDescent="0.25">
      <c r="A922" s="2" t="s">
        <v>1209</v>
      </c>
      <c r="B922" t="s">
        <v>402</v>
      </c>
      <c r="C922" s="3">
        <v>1</v>
      </c>
    </row>
    <row r="923" spans="1:3" x14ac:dyDescent="0.25">
      <c r="A923" s="2" t="s">
        <v>1210</v>
      </c>
      <c r="B923" t="s">
        <v>400</v>
      </c>
      <c r="C923" s="3">
        <v>0</v>
      </c>
    </row>
    <row r="924" spans="1:3" x14ac:dyDescent="0.25">
      <c r="A924" s="2" t="s">
        <v>1211</v>
      </c>
      <c r="B924" t="s">
        <v>400</v>
      </c>
      <c r="C924" s="3">
        <v>0</v>
      </c>
    </row>
    <row r="925" spans="1:3" x14ac:dyDescent="0.25">
      <c r="A925" s="2" t="s">
        <v>1212</v>
      </c>
      <c r="B925" t="s">
        <v>401</v>
      </c>
      <c r="C925" s="3">
        <v>0</v>
      </c>
    </row>
    <row r="926" spans="1:3" x14ac:dyDescent="0.25">
      <c r="A926" s="2" t="s">
        <v>1213</v>
      </c>
      <c r="B926" t="s">
        <v>400</v>
      </c>
      <c r="C926" s="3">
        <v>0</v>
      </c>
    </row>
    <row r="927" spans="1:3" x14ac:dyDescent="0.25">
      <c r="A927" s="2" t="s">
        <v>113</v>
      </c>
      <c r="B927" t="s">
        <v>400</v>
      </c>
      <c r="C927" s="3">
        <v>0</v>
      </c>
    </row>
    <row r="928" spans="1:3" x14ac:dyDescent="0.25">
      <c r="A928" s="2" t="s">
        <v>1214</v>
      </c>
      <c r="B928" t="s">
        <v>401</v>
      </c>
      <c r="C928" s="3">
        <v>0</v>
      </c>
    </row>
    <row r="929" spans="1:3" x14ac:dyDescent="0.25">
      <c r="A929" s="2" t="s">
        <v>1215</v>
      </c>
      <c r="B929" t="s">
        <v>401</v>
      </c>
      <c r="C929" s="3">
        <v>0</v>
      </c>
    </row>
    <row r="930" spans="1:3" x14ac:dyDescent="0.25">
      <c r="A930" s="2" t="s">
        <v>1216</v>
      </c>
      <c r="B930" t="s">
        <v>400</v>
      </c>
      <c r="C930" s="3">
        <v>0</v>
      </c>
    </row>
    <row r="931" spans="1:3" x14ac:dyDescent="0.25">
      <c r="A931" s="2" t="s">
        <v>1217</v>
      </c>
      <c r="B931" t="s">
        <v>400</v>
      </c>
      <c r="C931" s="3">
        <v>0</v>
      </c>
    </row>
    <row r="932" spans="1:3" x14ac:dyDescent="0.25">
      <c r="A932" s="2" t="s">
        <v>1218</v>
      </c>
      <c r="B932" t="s">
        <v>400</v>
      </c>
      <c r="C932" s="3">
        <v>0</v>
      </c>
    </row>
    <row r="933" spans="1:3" x14ac:dyDescent="0.25">
      <c r="A933" s="2" t="s">
        <v>1219</v>
      </c>
      <c r="B933" t="s">
        <v>404</v>
      </c>
      <c r="C933" s="3">
        <v>1</v>
      </c>
    </row>
    <row r="934" spans="1:3" x14ac:dyDescent="0.25">
      <c r="A934" s="2" t="s">
        <v>1220</v>
      </c>
      <c r="B934" t="s">
        <v>399</v>
      </c>
      <c r="C934" s="3">
        <v>1</v>
      </c>
    </row>
    <row r="935" spans="1:3" x14ac:dyDescent="0.25">
      <c r="A935" s="2" t="s">
        <v>1221</v>
      </c>
      <c r="B935" t="s">
        <v>399</v>
      </c>
      <c r="C935" s="3">
        <v>1</v>
      </c>
    </row>
    <row r="936" spans="1:3" x14ac:dyDescent="0.25">
      <c r="A936" s="2" t="s">
        <v>1222</v>
      </c>
      <c r="B936" t="s">
        <v>400</v>
      </c>
      <c r="C936" s="3">
        <v>0</v>
      </c>
    </row>
    <row r="937" spans="1:3" x14ac:dyDescent="0.25">
      <c r="A937" s="2" t="s">
        <v>1223</v>
      </c>
      <c r="B937" t="s">
        <v>400</v>
      </c>
      <c r="C937" s="3">
        <v>0</v>
      </c>
    </row>
    <row r="938" spans="1:3" x14ac:dyDescent="0.25">
      <c r="A938" s="2" t="s">
        <v>1224</v>
      </c>
      <c r="B938" t="s">
        <v>400</v>
      </c>
      <c r="C938" s="3">
        <v>0</v>
      </c>
    </row>
    <row r="939" spans="1:3" x14ac:dyDescent="0.25">
      <c r="A939" s="2" t="s">
        <v>1225</v>
      </c>
      <c r="B939" t="s">
        <v>400</v>
      </c>
      <c r="C939" s="3">
        <v>0</v>
      </c>
    </row>
    <row r="940" spans="1:3" x14ac:dyDescent="0.25">
      <c r="A940" s="2" t="s">
        <v>1226</v>
      </c>
      <c r="B940" t="s">
        <v>401</v>
      </c>
      <c r="C940" s="3">
        <v>0</v>
      </c>
    </row>
    <row r="941" spans="1:3" x14ac:dyDescent="0.25">
      <c r="A941" s="2" t="s">
        <v>1227</v>
      </c>
      <c r="B941" t="s">
        <v>400</v>
      </c>
      <c r="C941" s="3">
        <v>0</v>
      </c>
    </row>
    <row r="942" spans="1:3" x14ac:dyDescent="0.25">
      <c r="A942" s="2" t="s">
        <v>1228</v>
      </c>
      <c r="B942" t="s">
        <v>401</v>
      </c>
      <c r="C942" s="3">
        <v>0</v>
      </c>
    </row>
    <row r="943" spans="1:3" x14ac:dyDescent="0.25">
      <c r="A943" s="2" t="s">
        <v>1229</v>
      </c>
      <c r="B943" t="s">
        <v>399</v>
      </c>
      <c r="C943" s="3">
        <v>1</v>
      </c>
    </row>
    <row r="944" spans="1:3" x14ac:dyDescent="0.25">
      <c r="A944" s="2" t="s">
        <v>153</v>
      </c>
      <c r="B944" t="s">
        <v>401</v>
      </c>
      <c r="C944" s="3">
        <v>0</v>
      </c>
    </row>
    <row r="945" spans="1:3" x14ac:dyDescent="0.25">
      <c r="A945" s="2" t="s">
        <v>1230</v>
      </c>
      <c r="B945" t="s">
        <v>407</v>
      </c>
      <c r="C945" s="3">
        <v>1</v>
      </c>
    </row>
    <row r="946" spans="1:3" x14ac:dyDescent="0.25">
      <c r="A946" s="2" t="s">
        <v>1231</v>
      </c>
      <c r="B946" t="s">
        <v>400</v>
      </c>
      <c r="C946" s="3">
        <v>0</v>
      </c>
    </row>
    <row r="947" spans="1:3" x14ac:dyDescent="0.25">
      <c r="A947" s="2" t="s">
        <v>1232</v>
      </c>
      <c r="B947" t="s">
        <v>403</v>
      </c>
      <c r="C947" s="3">
        <v>0.5</v>
      </c>
    </row>
    <row r="948" spans="1:3" x14ac:dyDescent="0.25">
      <c r="A948" s="2" t="s">
        <v>1233</v>
      </c>
      <c r="B948" t="s">
        <v>403</v>
      </c>
      <c r="C948" s="3">
        <v>0.7</v>
      </c>
    </row>
    <row r="949" spans="1:3" x14ac:dyDescent="0.25">
      <c r="A949" s="2" t="s">
        <v>1234</v>
      </c>
      <c r="B949" t="s">
        <v>400</v>
      </c>
      <c r="C949" s="3">
        <v>0</v>
      </c>
    </row>
    <row r="950" spans="1:3" x14ac:dyDescent="0.25">
      <c r="A950" s="2" t="s">
        <v>1235</v>
      </c>
      <c r="B950" t="s">
        <v>401</v>
      </c>
      <c r="C950" s="3">
        <v>0</v>
      </c>
    </row>
    <row r="951" spans="1:3" x14ac:dyDescent="0.25">
      <c r="A951" s="2" t="s">
        <v>1236</v>
      </c>
      <c r="B951" t="s">
        <v>400</v>
      </c>
      <c r="C951" s="3">
        <v>0</v>
      </c>
    </row>
    <row r="952" spans="1:3" x14ac:dyDescent="0.25">
      <c r="A952" s="2" t="s">
        <v>1237</v>
      </c>
      <c r="B952" t="s">
        <v>400</v>
      </c>
      <c r="C952" s="3">
        <v>0</v>
      </c>
    </row>
    <row r="953" spans="1:3" x14ac:dyDescent="0.25">
      <c r="A953" s="2" t="s">
        <v>1238</v>
      </c>
      <c r="B953" t="s">
        <v>401</v>
      </c>
      <c r="C953" s="3">
        <v>0</v>
      </c>
    </row>
    <row r="954" spans="1:3" x14ac:dyDescent="0.25">
      <c r="A954" s="2" t="s">
        <v>1239</v>
      </c>
      <c r="B954" t="s">
        <v>399</v>
      </c>
      <c r="C954" s="3">
        <v>0.67</v>
      </c>
    </row>
    <row r="955" spans="1:3" x14ac:dyDescent="0.25">
      <c r="A955" s="2" t="s">
        <v>1240</v>
      </c>
      <c r="B955" t="s">
        <v>400</v>
      </c>
      <c r="C955" s="3">
        <v>0</v>
      </c>
    </row>
    <row r="956" spans="1:3" x14ac:dyDescent="0.25">
      <c r="A956" s="2" t="s">
        <v>1241</v>
      </c>
      <c r="B956" t="s">
        <v>400</v>
      </c>
      <c r="C956" s="3">
        <v>0</v>
      </c>
    </row>
    <row r="957" spans="1:3" x14ac:dyDescent="0.25">
      <c r="A957" s="2" t="s">
        <v>1242</v>
      </c>
      <c r="B957" t="s">
        <v>407</v>
      </c>
      <c r="C957" s="3">
        <v>1</v>
      </c>
    </row>
    <row r="958" spans="1:3" x14ac:dyDescent="0.25">
      <c r="A958" s="2" t="s">
        <v>1243</v>
      </c>
      <c r="B958" t="s">
        <v>404</v>
      </c>
      <c r="C958" s="3">
        <v>0.37</v>
      </c>
    </row>
    <row r="959" spans="1:3" x14ac:dyDescent="0.25">
      <c r="A959" s="2" t="s">
        <v>1244</v>
      </c>
      <c r="B959" t="s">
        <v>400</v>
      </c>
      <c r="C959" s="3">
        <v>0</v>
      </c>
    </row>
    <row r="960" spans="1:3" x14ac:dyDescent="0.25">
      <c r="A960" s="2" t="s">
        <v>1245</v>
      </c>
      <c r="B960" t="s">
        <v>401</v>
      </c>
      <c r="C960" s="3">
        <v>0</v>
      </c>
    </row>
    <row r="961" spans="1:3" x14ac:dyDescent="0.25">
      <c r="A961" s="2" t="s">
        <v>1246</v>
      </c>
      <c r="B961" t="s">
        <v>401</v>
      </c>
      <c r="C961" s="3">
        <v>0</v>
      </c>
    </row>
    <row r="962" spans="1:3" x14ac:dyDescent="0.25">
      <c r="A962" s="2" t="s">
        <v>1247</v>
      </c>
      <c r="B962" t="s">
        <v>401</v>
      </c>
      <c r="C962" s="3">
        <v>0</v>
      </c>
    </row>
    <row r="963" spans="1:3" x14ac:dyDescent="0.25">
      <c r="A963" s="2" t="s">
        <v>1248</v>
      </c>
      <c r="B963" t="s">
        <v>400</v>
      </c>
      <c r="C963" s="3">
        <v>0</v>
      </c>
    </row>
    <row r="964" spans="1:3" x14ac:dyDescent="0.25">
      <c r="A964" s="2" t="s">
        <v>127</v>
      </c>
      <c r="B964" t="s">
        <v>400</v>
      </c>
      <c r="C964" s="3">
        <v>0</v>
      </c>
    </row>
    <row r="965" spans="1:3" x14ac:dyDescent="0.25">
      <c r="A965" s="2" t="s">
        <v>1249</v>
      </c>
      <c r="B965" t="s">
        <v>401</v>
      </c>
      <c r="C965" s="3">
        <v>0</v>
      </c>
    </row>
    <row r="966" spans="1:3" x14ac:dyDescent="0.25">
      <c r="A966" s="2" t="s">
        <v>1250</v>
      </c>
      <c r="B966" t="s">
        <v>400</v>
      </c>
      <c r="C966" s="3">
        <v>0</v>
      </c>
    </row>
    <row r="967" spans="1:3" x14ac:dyDescent="0.25">
      <c r="A967" s="2" t="s">
        <v>1251</v>
      </c>
      <c r="B967" t="s">
        <v>400</v>
      </c>
      <c r="C967" s="3">
        <v>0</v>
      </c>
    </row>
    <row r="968" spans="1:3" x14ac:dyDescent="0.25">
      <c r="A968" s="2" t="s">
        <v>148</v>
      </c>
      <c r="B968" t="s">
        <v>403</v>
      </c>
      <c r="C968" s="3">
        <v>1</v>
      </c>
    </row>
    <row r="969" spans="1:3" x14ac:dyDescent="0.25">
      <c r="A969" s="2" t="s">
        <v>1252</v>
      </c>
      <c r="B969" t="s">
        <v>401</v>
      </c>
      <c r="C969" s="3">
        <v>0</v>
      </c>
    </row>
    <row r="970" spans="1:3" x14ac:dyDescent="0.25">
      <c r="A970" s="2" t="s">
        <v>1253</v>
      </c>
      <c r="B970" t="s">
        <v>400</v>
      </c>
      <c r="C970" s="3">
        <v>0</v>
      </c>
    </row>
    <row r="971" spans="1:3" x14ac:dyDescent="0.25">
      <c r="A971" s="2" t="s">
        <v>1254</v>
      </c>
      <c r="B971" t="s">
        <v>400</v>
      </c>
      <c r="C971" s="3">
        <v>0</v>
      </c>
    </row>
    <row r="972" spans="1:3" x14ac:dyDescent="0.25">
      <c r="A972" s="2" t="s">
        <v>1255</v>
      </c>
      <c r="B972" t="s">
        <v>400</v>
      </c>
      <c r="C972" s="3">
        <v>0</v>
      </c>
    </row>
    <row r="973" spans="1:3" x14ac:dyDescent="0.25">
      <c r="A973" s="2" t="s">
        <v>1256</v>
      </c>
      <c r="B973" t="s">
        <v>403</v>
      </c>
      <c r="C973" s="3">
        <v>0.36</v>
      </c>
    </row>
    <row r="974" spans="1:3" x14ac:dyDescent="0.25">
      <c r="A974" s="2" t="s">
        <v>1257</v>
      </c>
      <c r="B974" t="s">
        <v>400</v>
      </c>
      <c r="C974" s="3">
        <v>0</v>
      </c>
    </row>
    <row r="975" spans="1:3" x14ac:dyDescent="0.25">
      <c r="A975" s="2" t="s">
        <v>1258</v>
      </c>
      <c r="B975" t="s">
        <v>400</v>
      </c>
      <c r="C975" s="3">
        <v>0</v>
      </c>
    </row>
    <row r="976" spans="1:3" x14ac:dyDescent="0.25">
      <c r="A976" s="2" t="s">
        <v>1259</v>
      </c>
      <c r="B976" t="s">
        <v>400</v>
      </c>
      <c r="C976" s="3">
        <v>0</v>
      </c>
    </row>
    <row r="977" spans="1:3" x14ac:dyDescent="0.25">
      <c r="A977" s="2" t="s">
        <v>1260</v>
      </c>
      <c r="B977" t="s">
        <v>400</v>
      </c>
      <c r="C977" s="3">
        <v>0</v>
      </c>
    </row>
    <row r="978" spans="1:3" x14ac:dyDescent="0.25">
      <c r="A978" s="2" t="s">
        <v>1261</v>
      </c>
      <c r="B978" t="s">
        <v>401</v>
      </c>
      <c r="C978" s="3">
        <v>0</v>
      </c>
    </row>
    <row r="979" spans="1:3" x14ac:dyDescent="0.25">
      <c r="A979" s="2" t="s">
        <v>1262</v>
      </c>
      <c r="B979" t="s">
        <v>400</v>
      </c>
      <c r="C979" s="3">
        <v>0</v>
      </c>
    </row>
    <row r="980" spans="1:3" x14ac:dyDescent="0.25">
      <c r="A980" s="2" t="s">
        <v>1263</v>
      </c>
      <c r="B980" t="s">
        <v>400</v>
      </c>
      <c r="C980" s="3">
        <v>0</v>
      </c>
    </row>
    <row r="981" spans="1:3" x14ac:dyDescent="0.25">
      <c r="A981" s="2" t="s">
        <v>1264</v>
      </c>
      <c r="B981" t="s">
        <v>400</v>
      </c>
      <c r="C981" s="3">
        <v>0</v>
      </c>
    </row>
    <row r="982" spans="1:3" x14ac:dyDescent="0.25">
      <c r="A982" s="2" t="s">
        <v>1265</v>
      </c>
      <c r="B982" t="s">
        <v>404</v>
      </c>
      <c r="C982" s="3">
        <v>1</v>
      </c>
    </row>
    <row r="983" spans="1:3" x14ac:dyDescent="0.25">
      <c r="A983" s="2" t="s">
        <v>1266</v>
      </c>
      <c r="B983" t="s">
        <v>400</v>
      </c>
      <c r="C983" s="3">
        <v>0</v>
      </c>
    </row>
    <row r="984" spans="1:3" x14ac:dyDescent="0.25">
      <c r="A984" s="2" t="s">
        <v>1267</v>
      </c>
      <c r="B984" t="s">
        <v>401</v>
      </c>
      <c r="C984" s="3">
        <v>0</v>
      </c>
    </row>
    <row r="985" spans="1:3" x14ac:dyDescent="0.25">
      <c r="A985" s="2" t="s">
        <v>1268</v>
      </c>
      <c r="B985" t="s">
        <v>403</v>
      </c>
      <c r="C985" s="3">
        <v>0.57999999999999996</v>
      </c>
    </row>
    <row r="986" spans="1:3" x14ac:dyDescent="0.25">
      <c r="A986" s="2" t="s">
        <v>1269</v>
      </c>
      <c r="B986" t="s">
        <v>404</v>
      </c>
      <c r="C986" s="3">
        <v>1</v>
      </c>
    </row>
    <row r="987" spans="1:3" x14ac:dyDescent="0.25">
      <c r="A987" s="2" t="s">
        <v>1270</v>
      </c>
      <c r="B987" t="s">
        <v>400</v>
      </c>
      <c r="C987" s="3">
        <v>0</v>
      </c>
    </row>
    <row r="988" spans="1:3" x14ac:dyDescent="0.25">
      <c r="A988" s="2" t="s">
        <v>1271</v>
      </c>
      <c r="B988" t="s">
        <v>401</v>
      </c>
      <c r="C988" s="3">
        <v>0</v>
      </c>
    </row>
    <row r="989" spans="1:3" x14ac:dyDescent="0.25">
      <c r="A989" s="2" t="s">
        <v>1272</v>
      </c>
      <c r="B989" t="s">
        <v>404</v>
      </c>
      <c r="C989" s="3">
        <v>1</v>
      </c>
    </row>
    <row r="990" spans="1:3" x14ac:dyDescent="0.25">
      <c r="A990" s="2" t="s">
        <v>1273</v>
      </c>
      <c r="B990" t="s">
        <v>400</v>
      </c>
      <c r="C990" s="3">
        <v>0</v>
      </c>
    </row>
    <row r="991" spans="1:3" x14ac:dyDescent="0.25">
      <c r="A991" s="2" t="s">
        <v>1274</v>
      </c>
      <c r="B991" t="s">
        <v>403</v>
      </c>
      <c r="C991" s="3">
        <v>1</v>
      </c>
    </row>
    <row r="992" spans="1:3" x14ac:dyDescent="0.25">
      <c r="A992" s="2" t="s">
        <v>1275</v>
      </c>
      <c r="B992" t="s">
        <v>400</v>
      </c>
      <c r="C992" s="3">
        <v>0</v>
      </c>
    </row>
    <row r="993" spans="1:3" x14ac:dyDescent="0.25">
      <c r="A993" s="2" t="s">
        <v>1276</v>
      </c>
      <c r="B993" t="s">
        <v>400</v>
      </c>
      <c r="C993" s="3">
        <v>0</v>
      </c>
    </row>
    <row r="994" spans="1:3" x14ac:dyDescent="0.25">
      <c r="A994" s="2" t="s">
        <v>1277</v>
      </c>
      <c r="B994" t="s">
        <v>404</v>
      </c>
      <c r="C994" s="3">
        <v>0.33100000000000002</v>
      </c>
    </row>
    <row r="995" spans="1:3" x14ac:dyDescent="0.25">
      <c r="A995" s="2" t="s">
        <v>1278</v>
      </c>
      <c r="B995" t="s">
        <v>401</v>
      </c>
      <c r="C995" s="3">
        <v>0</v>
      </c>
    </row>
    <row r="996" spans="1:3" x14ac:dyDescent="0.25">
      <c r="A996" s="2" t="s">
        <v>1279</v>
      </c>
      <c r="B996" t="s">
        <v>400</v>
      </c>
      <c r="C996" s="3">
        <v>0</v>
      </c>
    </row>
    <row r="997" spans="1:3" x14ac:dyDescent="0.25">
      <c r="A997" s="2" t="s">
        <v>1280</v>
      </c>
      <c r="B997" t="s">
        <v>400</v>
      </c>
      <c r="C997" s="3">
        <v>0</v>
      </c>
    </row>
    <row r="998" spans="1:3" x14ac:dyDescent="0.25">
      <c r="A998" s="2" t="s">
        <v>1281</v>
      </c>
      <c r="B998" t="s">
        <v>400</v>
      </c>
      <c r="C998" s="3">
        <v>0</v>
      </c>
    </row>
    <row r="999" spans="1:3" x14ac:dyDescent="0.25">
      <c r="A999" s="2" t="s">
        <v>1282</v>
      </c>
      <c r="B999" t="s">
        <v>400</v>
      </c>
      <c r="C999" s="3">
        <v>0</v>
      </c>
    </row>
    <row r="1000" spans="1:3" x14ac:dyDescent="0.25">
      <c r="A1000" s="2" t="s">
        <v>1283</v>
      </c>
      <c r="B1000" t="s">
        <v>400</v>
      </c>
      <c r="C1000" s="3">
        <v>0</v>
      </c>
    </row>
    <row r="1001" spans="1:3" x14ac:dyDescent="0.25">
      <c r="A1001" s="2" t="s">
        <v>1284</v>
      </c>
      <c r="B1001" t="s">
        <v>400</v>
      </c>
      <c r="C1001" s="3">
        <v>0</v>
      </c>
    </row>
    <row r="1002" spans="1:3" x14ac:dyDescent="0.25">
      <c r="A1002" s="2" t="s">
        <v>1285</v>
      </c>
      <c r="B1002" t="s">
        <v>400</v>
      </c>
      <c r="C1002" s="3">
        <v>0</v>
      </c>
    </row>
    <row r="1003" spans="1:3" x14ac:dyDescent="0.25">
      <c r="A1003" s="2" t="s">
        <v>1286</v>
      </c>
      <c r="B1003" t="s">
        <v>400</v>
      </c>
      <c r="C1003" s="3">
        <v>0</v>
      </c>
    </row>
    <row r="1004" spans="1:3" x14ac:dyDescent="0.25">
      <c r="A1004" s="2" t="s">
        <v>1287</v>
      </c>
      <c r="B1004" t="s">
        <v>401</v>
      </c>
      <c r="C1004" s="3">
        <v>0</v>
      </c>
    </row>
    <row r="1005" spans="1:3" x14ac:dyDescent="0.25">
      <c r="A1005" s="2" t="s">
        <v>1288</v>
      </c>
      <c r="B1005" t="s">
        <v>400</v>
      </c>
      <c r="C1005" s="3">
        <v>0</v>
      </c>
    </row>
    <row r="1006" spans="1:3" x14ac:dyDescent="0.25">
      <c r="A1006" s="2" t="s">
        <v>1289</v>
      </c>
      <c r="B1006" t="s">
        <v>400</v>
      </c>
      <c r="C1006" s="3">
        <v>0</v>
      </c>
    </row>
    <row r="1007" spans="1:3" x14ac:dyDescent="0.25">
      <c r="A1007" s="2" t="s">
        <v>1290</v>
      </c>
      <c r="B1007" t="s">
        <v>405</v>
      </c>
      <c r="C1007" s="3">
        <v>1</v>
      </c>
    </row>
    <row r="1008" spans="1:3" x14ac:dyDescent="0.25">
      <c r="A1008" s="2" t="s">
        <v>167</v>
      </c>
      <c r="B1008" t="s">
        <v>404</v>
      </c>
      <c r="C1008" s="3">
        <v>0.3</v>
      </c>
    </row>
    <row r="1009" spans="1:3" x14ac:dyDescent="0.25">
      <c r="A1009" s="2" t="s">
        <v>159</v>
      </c>
      <c r="B1009" t="s">
        <v>403</v>
      </c>
      <c r="C1009" s="3">
        <v>0.85</v>
      </c>
    </row>
    <row r="1010" spans="1:3" x14ac:dyDescent="0.25">
      <c r="A1010" s="2" t="s">
        <v>1291</v>
      </c>
      <c r="B1010" t="s">
        <v>403</v>
      </c>
      <c r="C1010" s="3">
        <v>1</v>
      </c>
    </row>
    <row r="1011" spans="1:3" x14ac:dyDescent="0.25">
      <c r="A1011" s="2" t="s">
        <v>1292</v>
      </c>
      <c r="B1011" t="s">
        <v>401</v>
      </c>
      <c r="C1011" s="3">
        <v>0</v>
      </c>
    </row>
    <row r="1012" spans="1:3" x14ac:dyDescent="0.25">
      <c r="A1012" s="2" t="s">
        <v>1293</v>
      </c>
      <c r="B1012" t="s">
        <v>400</v>
      </c>
      <c r="C1012" s="3">
        <v>0</v>
      </c>
    </row>
    <row r="1013" spans="1:3" x14ac:dyDescent="0.25">
      <c r="A1013" s="2" t="s">
        <v>1294</v>
      </c>
      <c r="B1013" t="s">
        <v>401</v>
      </c>
      <c r="C1013" s="3">
        <v>0</v>
      </c>
    </row>
    <row r="1014" spans="1:3" x14ac:dyDescent="0.25">
      <c r="A1014" s="2" t="s">
        <v>1295</v>
      </c>
      <c r="B1014" t="s">
        <v>400</v>
      </c>
      <c r="C1014" s="3">
        <v>0</v>
      </c>
    </row>
    <row r="1015" spans="1:3" x14ac:dyDescent="0.25">
      <c r="A1015" s="2" t="s">
        <v>1296</v>
      </c>
      <c r="B1015" t="s">
        <v>403</v>
      </c>
      <c r="C1015" s="3">
        <v>0.94</v>
      </c>
    </row>
    <row r="1016" spans="1:3" x14ac:dyDescent="0.25">
      <c r="A1016" s="2" t="s">
        <v>1297</v>
      </c>
      <c r="B1016" t="s">
        <v>400</v>
      </c>
      <c r="C1016" s="3">
        <v>0</v>
      </c>
    </row>
    <row r="1017" spans="1:3" x14ac:dyDescent="0.25">
      <c r="A1017" s="2" t="s">
        <v>1298</v>
      </c>
      <c r="B1017" t="s">
        <v>400</v>
      </c>
      <c r="C1017" s="3">
        <v>0</v>
      </c>
    </row>
    <row r="1018" spans="1:3" x14ac:dyDescent="0.25">
      <c r="A1018" s="2" t="s">
        <v>1299</v>
      </c>
      <c r="B1018" t="s">
        <v>400</v>
      </c>
      <c r="C1018" s="3">
        <v>0</v>
      </c>
    </row>
    <row r="1019" spans="1:3" x14ac:dyDescent="0.25">
      <c r="A1019" s="2" t="s">
        <v>1300</v>
      </c>
      <c r="B1019" t="s">
        <v>401</v>
      </c>
      <c r="C1019" s="3">
        <v>0</v>
      </c>
    </row>
    <row r="1020" spans="1:3" x14ac:dyDescent="0.25">
      <c r="A1020" s="2" t="s">
        <v>1301</v>
      </c>
      <c r="B1020" t="s">
        <v>400</v>
      </c>
      <c r="C1020" s="3">
        <v>0</v>
      </c>
    </row>
    <row r="1021" spans="1:3" x14ac:dyDescent="0.25">
      <c r="A1021" s="2" t="s">
        <v>1302</v>
      </c>
      <c r="B1021" t="s">
        <v>400</v>
      </c>
      <c r="C1021" s="3">
        <v>0</v>
      </c>
    </row>
    <row r="1022" spans="1:3" x14ac:dyDescent="0.25">
      <c r="A1022" s="2" t="s">
        <v>1303</v>
      </c>
      <c r="B1022" t="s">
        <v>400</v>
      </c>
      <c r="C1022" s="3">
        <v>0</v>
      </c>
    </row>
    <row r="1023" spans="1:3" x14ac:dyDescent="0.25">
      <c r="A1023" s="2" t="s">
        <v>1304</v>
      </c>
      <c r="B1023" t="s">
        <v>400</v>
      </c>
      <c r="C1023" s="3">
        <v>0</v>
      </c>
    </row>
    <row r="1024" spans="1:3" x14ac:dyDescent="0.25">
      <c r="A1024" s="2" t="s">
        <v>1305</v>
      </c>
      <c r="B1024" t="s">
        <v>400</v>
      </c>
      <c r="C1024" s="3">
        <v>0</v>
      </c>
    </row>
    <row r="1025" spans="1:3" x14ac:dyDescent="0.25">
      <c r="A1025" s="2" t="s">
        <v>1306</v>
      </c>
      <c r="B1025" t="s">
        <v>400</v>
      </c>
      <c r="C1025" s="3">
        <v>0</v>
      </c>
    </row>
    <row r="1026" spans="1:3" x14ac:dyDescent="0.25">
      <c r="A1026" s="2" t="s">
        <v>1307</v>
      </c>
      <c r="B1026" t="s">
        <v>400</v>
      </c>
      <c r="C1026" s="3">
        <v>0</v>
      </c>
    </row>
    <row r="1027" spans="1:3" x14ac:dyDescent="0.25">
      <c r="A1027" s="2" t="s">
        <v>1308</v>
      </c>
      <c r="B1027" t="s">
        <v>400</v>
      </c>
      <c r="C1027" s="3">
        <v>0</v>
      </c>
    </row>
    <row r="1028" spans="1:3" x14ac:dyDescent="0.25">
      <c r="A1028" s="2" t="s">
        <v>1309</v>
      </c>
      <c r="B1028" t="s">
        <v>401</v>
      </c>
      <c r="C1028" s="3">
        <v>0</v>
      </c>
    </row>
    <row r="1029" spans="1:3" x14ac:dyDescent="0.25">
      <c r="A1029" s="2" t="s">
        <v>1310</v>
      </c>
      <c r="B1029" t="s">
        <v>400</v>
      </c>
      <c r="C1029" s="3">
        <v>0</v>
      </c>
    </row>
    <row r="1030" spans="1:3" x14ac:dyDescent="0.25">
      <c r="A1030" s="2" t="s">
        <v>1311</v>
      </c>
      <c r="B1030" t="s">
        <v>401</v>
      </c>
      <c r="C1030" s="3">
        <v>0</v>
      </c>
    </row>
    <row r="1031" spans="1:3" x14ac:dyDescent="0.25">
      <c r="A1031" s="2" t="s">
        <v>1312</v>
      </c>
      <c r="B1031" t="s">
        <v>400</v>
      </c>
      <c r="C1031" s="3">
        <v>0</v>
      </c>
    </row>
    <row r="1032" spans="1:3" x14ac:dyDescent="0.25">
      <c r="A1032" s="2" t="s">
        <v>1313</v>
      </c>
      <c r="B1032" t="s">
        <v>399</v>
      </c>
      <c r="C1032" s="3">
        <v>0.59</v>
      </c>
    </row>
    <row r="1033" spans="1:3" x14ac:dyDescent="0.25">
      <c r="A1033" s="2" t="s">
        <v>1314</v>
      </c>
      <c r="B1033" t="s">
        <v>403</v>
      </c>
      <c r="C1033" s="3">
        <v>0.28999999999999998</v>
      </c>
    </row>
    <row r="1034" spans="1:3" x14ac:dyDescent="0.25">
      <c r="A1034" s="2" t="s">
        <v>1315</v>
      </c>
      <c r="B1034" t="s">
        <v>401</v>
      </c>
      <c r="C1034" s="3">
        <v>0</v>
      </c>
    </row>
    <row r="1035" spans="1:3" x14ac:dyDescent="0.25">
      <c r="A1035" s="2" t="s">
        <v>145</v>
      </c>
      <c r="B1035" t="s">
        <v>400</v>
      </c>
      <c r="C1035" s="3">
        <v>0</v>
      </c>
    </row>
    <row r="1036" spans="1:3" x14ac:dyDescent="0.25">
      <c r="A1036" s="2" t="s">
        <v>72</v>
      </c>
      <c r="B1036" t="s">
        <v>400</v>
      </c>
      <c r="C1036" s="3">
        <v>0</v>
      </c>
    </row>
    <row r="1037" spans="1:3" x14ac:dyDescent="0.25">
      <c r="A1037" s="2" t="s">
        <v>1316</v>
      </c>
      <c r="B1037" t="s">
        <v>400</v>
      </c>
      <c r="C1037" s="3">
        <v>0</v>
      </c>
    </row>
    <row r="1038" spans="1:3" x14ac:dyDescent="0.25">
      <c r="A1038" s="2" t="s">
        <v>1317</v>
      </c>
      <c r="B1038" t="s">
        <v>401</v>
      </c>
      <c r="C1038" s="3">
        <v>0</v>
      </c>
    </row>
    <row r="1039" spans="1:3" x14ac:dyDescent="0.25">
      <c r="A1039" s="2" t="s">
        <v>1318</v>
      </c>
      <c r="B1039" t="s">
        <v>400</v>
      </c>
      <c r="C1039" s="3">
        <v>0</v>
      </c>
    </row>
    <row r="1040" spans="1:3" x14ac:dyDescent="0.25">
      <c r="A1040" s="2" t="s">
        <v>1319</v>
      </c>
      <c r="B1040" t="s">
        <v>403</v>
      </c>
      <c r="C1040" s="3">
        <v>0.5</v>
      </c>
    </row>
    <row r="1041" spans="1:3" x14ac:dyDescent="0.25">
      <c r="A1041" s="2" t="s">
        <v>1320</v>
      </c>
      <c r="B1041" t="s">
        <v>400</v>
      </c>
      <c r="C1041" s="3">
        <v>0</v>
      </c>
    </row>
    <row r="1042" spans="1:3" x14ac:dyDescent="0.25">
      <c r="A1042" s="2" t="s">
        <v>1321</v>
      </c>
      <c r="B1042" t="s">
        <v>402</v>
      </c>
      <c r="C1042" s="3">
        <v>0.56000000000000005</v>
      </c>
    </row>
    <row r="1043" spans="1:3" x14ac:dyDescent="0.25">
      <c r="A1043" s="2" t="s">
        <v>1322</v>
      </c>
      <c r="B1043" t="s">
        <v>400</v>
      </c>
      <c r="C1043" s="3">
        <v>0</v>
      </c>
    </row>
    <row r="1044" spans="1:3" x14ac:dyDescent="0.25">
      <c r="A1044" s="2" t="s">
        <v>1323</v>
      </c>
      <c r="B1044" t="s">
        <v>401</v>
      </c>
      <c r="C1044" s="3">
        <v>0</v>
      </c>
    </row>
    <row r="1045" spans="1:3" x14ac:dyDescent="0.25">
      <c r="A1045" s="2" t="s">
        <v>1324</v>
      </c>
      <c r="B1045" t="s">
        <v>399</v>
      </c>
      <c r="C1045" s="3">
        <v>0.63</v>
      </c>
    </row>
    <row r="1046" spans="1:3" x14ac:dyDescent="0.25">
      <c r="A1046" s="2" t="s">
        <v>1325</v>
      </c>
      <c r="B1046" t="s">
        <v>400</v>
      </c>
      <c r="C1046" s="3">
        <v>0</v>
      </c>
    </row>
    <row r="1047" spans="1:3" x14ac:dyDescent="0.25">
      <c r="A1047" s="2" t="s">
        <v>1326</v>
      </c>
      <c r="B1047" t="s">
        <v>401</v>
      </c>
      <c r="C1047" s="3">
        <v>0</v>
      </c>
    </row>
    <row r="1048" spans="1:3" x14ac:dyDescent="0.25">
      <c r="A1048" s="2" t="s">
        <v>1327</v>
      </c>
      <c r="B1048" t="s">
        <v>400</v>
      </c>
      <c r="C1048" s="3">
        <v>0</v>
      </c>
    </row>
    <row r="1049" spans="1:3" x14ac:dyDescent="0.25">
      <c r="A1049" s="2" t="s">
        <v>1328</v>
      </c>
      <c r="B1049" t="s">
        <v>400</v>
      </c>
      <c r="C1049" s="3">
        <v>0</v>
      </c>
    </row>
    <row r="1050" spans="1:3" x14ac:dyDescent="0.25">
      <c r="A1050" s="2" t="s">
        <v>1329</v>
      </c>
      <c r="B1050" t="s">
        <v>400</v>
      </c>
      <c r="C1050" s="3">
        <v>0</v>
      </c>
    </row>
    <row r="1051" spans="1:3" x14ac:dyDescent="0.25">
      <c r="A1051" s="2" t="s">
        <v>1330</v>
      </c>
      <c r="B1051" t="s">
        <v>403</v>
      </c>
      <c r="C1051" s="3">
        <v>0.51</v>
      </c>
    </row>
    <row r="1052" spans="1:3" x14ac:dyDescent="0.25">
      <c r="A1052" s="2" t="s">
        <v>1331</v>
      </c>
      <c r="B1052" t="s">
        <v>400</v>
      </c>
      <c r="C1052" s="3">
        <v>0</v>
      </c>
    </row>
    <row r="1053" spans="1:3" x14ac:dyDescent="0.25">
      <c r="A1053" s="2" t="s">
        <v>1332</v>
      </c>
      <c r="B1053" t="s">
        <v>400</v>
      </c>
      <c r="C1053" s="3">
        <v>0</v>
      </c>
    </row>
    <row r="1054" spans="1:3" x14ac:dyDescent="0.25">
      <c r="A1054" s="2" t="s">
        <v>1333</v>
      </c>
      <c r="B1054" t="s">
        <v>399</v>
      </c>
      <c r="C1054" s="3">
        <v>0.89</v>
      </c>
    </row>
    <row r="1055" spans="1:3" x14ac:dyDescent="0.25">
      <c r="A1055" s="2" t="s">
        <v>1334</v>
      </c>
      <c r="B1055" t="s">
        <v>402</v>
      </c>
      <c r="C1055" s="3">
        <v>0.88</v>
      </c>
    </row>
    <row r="1056" spans="1:3" x14ac:dyDescent="0.25">
      <c r="A1056" s="2" t="s">
        <v>1335</v>
      </c>
      <c r="B1056" t="s">
        <v>400</v>
      </c>
      <c r="C1056" s="3">
        <v>0</v>
      </c>
    </row>
    <row r="1057" spans="1:3" x14ac:dyDescent="0.25">
      <c r="A1057" s="2" t="s">
        <v>82</v>
      </c>
      <c r="B1057" t="s">
        <v>401</v>
      </c>
      <c r="C1057" s="3">
        <v>0</v>
      </c>
    </row>
    <row r="1058" spans="1:3" x14ac:dyDescent="0.25">
      <c r="A1058" s="2" t="s">
        <v>1336</v>
      </c>
      <c r="B1058" t="s">
        <v>400</v>
      </c>
      <c r="C1058" s="3">
        <v>0</v>
      </c>
    </row>
    <row r="1059" spans="1:3" x14ac:dyDescent="0.25">
      <c r="A1059" s="2" t="s">
        <v>1337</v>
      </c>
      <c r="B1059" t="s">
        <v>400</v>
      </c>
      <c r="C1059" s="3">
        <v>0</v>
      </c>
    </row>
    <row r="1060" spans="1:3" x14ac:dyDescent="0.25">
      <c r="A1060" s="2" t="s">
        <v>1338</v>
      </c>
      <c r="B1060" t="s">
        <v>400</v>
      </c>
      <c r="C1060" s="3">
        <v>0</v>
      </c>
    </row>
    <row r="1061" spans="1:3" x14ac:dyDescent="0.25">
      <c r="A1061" s="2" t="s">
        <v>1339</v>
      </c>
      <c r="B1061" t="s">
        <v>401</v>
      </c>
      <c r="C1061" s="3">
        <v>0</v>
      </c>
    </row>
    <row r="1062" spans="1:3" x14ac:dyDescent="0.25">
      <c r="A1062" s="2" t="s">
        <v>1340</v>
      </c>
      <c r="B1062" t="s">
        <v>403</v>
      </c>
      <c r="C1062" s="3">
        <v>0.6</v>
      </c>
    </row>
    <row r="1063" spans="1:3" x14ac:dyDescent="0.25">
      <c r="A1063" s="2" t="s">
        <v>1341</v>
      </c>
      <c r="B1063" t="s">
        <v>400</v>
      </c>
      <c r="C1063" s="3">
        <v>0</v>
      </c>
    </row>
    <row r="1064" spans="1:3" x14ac:dyDescent="0.25">
      <c r="A1064" s="2" t="s">
        <v>183</v>
      </c>
      <c r="B1064" t="s">
        <v>402</v>
      </c>
      <c r="C1064" s="3">
        <v>0.62</v>
      </c>
    </row>
    <row r="1065" spans="1:3" x14ac:dyDescent="0.25">
      <c r="A1065" s="2" t="s">
        <v>1342</v>
      </c>
      <c r="B1065" t="s">
        <v>403</v>
      </c>
      <c r="C1065" s="3">
        <v>0.16</v>
      </c>
    </row>
    <row r="1066" spans="1:3" x14ac:dyDescent="0.25">
      <c r="A1066" s="2" t="s">
        <v>1343</v>
      </c>
      <c r="B1066" t="s">
        <v>400</v>
      </c>
      <c r="C1066" s="3">
        <v>0</v>
      </c>
    </row>
    <row r="1067" spans="1:3" x14ac:dyDescent="0.25">
      <c r="A1067" s="2" t="s">
        <v>1344</v>
      </c>
      <c r="B1067" t="s">
        <v>400</v>
      </c>
      <c r="C1067" s="3">
        <v>0</v>
      </c>
    </row>
    <row r="1068" spans="1:3" x14ac:dyDescent="0.25">
      <c r="A1068" s="2" t="s">
        <v>1345</v>
      </c>
      <c r="B1068" t="s">
        <v>401</v>
      </c>
      <c r="C1068" s="3">
        <v>0</v>
      </c>
    </row>
    <row r="1069" spans="1:3" x14ac:dyDescent="0.25">
      <c r="A1069" s="2" t="s">
        <v>1346</v>
      </c>
      <c r="B1069" t="s">
        <v>400</v>
      </c>
      <c r="C1069" s="3">
        <v>0</v>
      </c>
    </row>
    <row r="1070" spans="1:3" x14ac:dyDescent="0.25">
      <c r="A1070" s="2" t="s">
        <v>1347</v>
      </c>
      <c r="B1070" t="s">
        <v>400</v>
      </c>
      <c r="C1070" s="3">
        <v>0</v>
      </c>
    </row>
    <row r="1071" spans="1:3" x14ac:dyDescent="0.25">
      <c r="A1071" s="2" t="s">
        <v>1348</v>
      </c>
      <c r="B1071" t="s">
        <v>403</v>
      </c>
      <c r="C1071" s="3">
        <v>0.62</v>
      </c>
    </row>
    <row r="1072" spans="1:3" x14ac:dyDescent="0.25">
      <c r="A1072" s="2" t="s">
        <v>1349</v>
      </c>
      <c r="B1072" t="s">
        <v>403</v>
      </c>
      <c r="C1072" s="3">
        <v>0.87</v>
      </c>
    </row>
    <row r="1073" spans="1:3" x14ac:dyDescent="0.25">
      <c r="A1073" s="2" t="s">
        <v>1350</v>
      </c>
      <c r="B1073" t="s">
        <v>400</v>
      </c>
      <c r="C1073" s="3">
        <v>0</v>
      </c>
    </row>
    <row r="1074" spans="1:3" x14ac:dyDescent="0.25">
      <c r="A1074" s="2" t="s">
        <v>1351</v>
      </c>
      <c r="B1074" t="s">
        <v>404</v>
      </c>
      <c r="C1074" s="3">
        <v>0.82</v>
      </c>
    </row>
    <row r="1075" spans="1:3" x14ac:dyDescent="0.25">
      <c r="A1075" s="2" t="s">
        <v>1352</v>
      </c>
      <c r="B1075" t="s">
        <v>401</v>
      </c>
      <c r="C1075" s="3">
        <v>0</v>
      </c>
    </row>
    <row r="1076" spans="1:3" x14ac:dyDescent="0.25">
      <c r="A1076" s="2" t="s">
        <v>1353</v>
      </c>
      <c r="B1076" t="s">
        <v>401</v>
      </c>
      <c r="C1076" s="3">
        <v>0</v>
      </c>
    </row>
    <row r="1077" spans="1:3" x14ac:dyDescent="0.25">
      <c r="A1077" s="2" t="s">
        <v>1354</v>
      </c>
      <c r="B1077" t="s">
        <v>400</v>
      </c>
      <c r="C1077" s="3">
        <v>0</v>
      </c>
    </row>
    <row r="1078" spans="1:3" x14ac:dyDescent="0.25">
      <c r="A1078" s="2" t="s">
        <v>1355</v>
      </c>
      <c r="B1078" t="s">
        <v>400</v>
      </c>
      <c r="C1078" s="3">
        <v>0</v>
      </c>
    </row>
    <row r="1079" spans="1:3" x14ac:dyDescent="0.25">
      <c r="A1079" s="2" t="s">
        <v>166</v>
      </c>
      <c r="B1079" t="s">
        <v>401</v>
      </c>
      <c r="C1079" s="3">
        <v>0</v>
      </c>
    </row>
    <row r="1080" spans="1:3" x14ac:dyDescent="0.25">
      <c r="A1080" s="2" t="s">
        <v>1356</v>
      </c>
      <c r="B1080" t="s">
        <v>408</v>
      </c>
      <c r="C1080" s="3">
        <v>1</v>
      </c>
    </row>
    <row r="1081" spans="1:3" x14ac:dyDescent="0.25">
      <c r="A1081" s="2" t="s">
        <v>155</v>
      </c>
      <c r="B1081" t="s">
        <v>404</v>
      </c>
      <c r="C1081" s="3">
        <v>0.38</v>
      </c>
    </row>
    <row r="1082" spans="1:3" x14ac:dyDescent="0.25">
      <c r="A1082" s="2" t="s">
        <v>1357</v>
      </c>
      <c r="B1082" t="s">
        <v>400</v>
      </c>
      <c r="C1082" s="3">
        <v>0</v>
      </c>
    </row>
    <row r="1083" spans="1:3" x14ac:dyDescent="0.25">
      <c r="A1083" s="2" t="s">
        <v>1358</v>
      </c>
      <c r="B1083" t="s">
        <v>403</v>
      </c>
      <c r="C1083" s="3">
        <v>0.19</v>
      </c>
    </row>
    <row r="1084" spans="1:3" x14ac:dyDescent="0.25">
      <c r="A1084" s="2" t="s">
        <v>1359</v>
      </c>
      <c r="B1084" t="s">
        <v>403</v>
      </c>
      <c r="C1084" s="3">
        <v>0.57999999999999996</v>
      </c>
    </row>
    <row r="1085" spans="1:3" x14ac:dyDescent="0.25">
      <c r="A1085" s="2" t="s">
        <v>1360</v>
      </c>
      <c r="B1085" t="s">
        <v>400</v>
      </c>
      <c r="C1085" s="3">
        <v>0</v>
      </c>
    </row>
    <row r="1086" spans="1:3" x14ac:dyDescent="0.25">
      <c r="A1086" s="2" t="s">
        <v>1361</v>
      </c>
      <c r="B1086" t="s">
        <v>400</v>
      </c>
      <c r="C1086" s="3">
        <v>0</v>
      </c>
    </row>
    <row r="1087" spans="1:3" x14ac:dyDescent="0.25">
      <c r="A1087" s="2" t="s">
        <v>1362</v>
      </c>
      <c r="B1087" t="s">
        <v>401</v>
      </c>
      <c r="C1087" s="3">
        <v>0</v>
      </c>
    </row>
    <row r="1088" spans="1:3" x14ac:dyDescent="0.25">
      <c r="A1088" s="2" t="s">
        <v>1363</v>
      </c>
      <c r="B1088" t="s">
        <v>401</v>
      </c>
      <c r="C1088" s="3">
        <v>0</v>
      </c>
    </row>
    <row r="1089" spans="1:3" x14ac:dyDescent="0.25">
      <c r="A1089" s="2" t="s">
        <v>1364</v>
      </c>
      <c r="B1089" t="s">
        <v>400</v>
      </c>
      <c r="C1089" s="3">
        <v>0</v>
      </c>
    </row>
    <row r="1090" spans="1:3" x14ac:dyDescent="0.25">
      <c r="A1090" s="2" t="s">
        <v>187</v>
      </c>
      <c r="B1090" t="s">
        <v>400</v>
      </c>
      <c r="C1090" s="3">
        <v>0</v>
      </c>
    </row>
    <row r="1091" spans="1:3" x14ac:dyDescent="0.25">
      <c r="A1091" s="2" t="s">
        <v>1365</v>
      </c>
      <c r="B1091" t="s">
        <v>400</v>
      </c>
      <c r="C1091" s="3">
        <v>0</v>
      </c>
    </row>
    <row r="1092" spans="1:3" x14ac:dyDescent="0.25">
      <c r="A1092" s="2" t="s">
        <v>1366</v>
      </c>
      <c r="B1092" t="s">
        <v>401</v>
      </c>
      <c r="C1092" s="3">
        <v>0</v>
      </c>
    </row>
    <row r="1093" spans="1:3" x14ac:dyDescent="0.25">
      <c r="A1093" s="2" t="s">
        <v>1367</v>
      </c>
      <c r="B1093" t="s">
        <v>400</v>
      </c>
      <c r="C1093" s="3">
        <v>0</v>
      </c>
    </row>
    <row r="1094" spans="1:3" x14ac:dyDescent="0.25">
      <c r="A1094" s="2" t="s">
        <v>1368</v>
      </c>
      <c r="B1094" t="s">
        <v>401</v>
      </c>
      <c r="C1094" s="3">
        <v>0</v>
      </c>
    </row>
    <row r="1095" spans="1:3" x14ac:dyDescent="0.25">
      <c r="A1095" s="2" t="s">
        <v>1369</v>
      </c>
      <c r="B1095" t="s">
        <v>400</v>
      </c>
      <c r="C1095" s="3">
        <v>0</v>
      </c>
    </row>
    <row r="1096" spans="1:3" x14ac:dyDescent="0.25">
      <c r="A1096" s="2" t="s">
        <v>182</v>
      </c>
      <c r="B1096" t="s">
        <v>399</v>
      </c>
      <c r="C1096" s="3">
        <v>0.89</v>
      </c>
    </row>
    <row r="1097" spans="1:3" x14ac:dyDescent="0.25">
      <c r="A1097" s="2" t="s">
        <v>1370</v>
      </c>
      <c r="B1097" t="s">
        <v>401</v>
      </c>
      <c r="C1097" s="3">
        <v>0</v>
      </c>
    </row>
    <row r="1098" spans="1:3" x14ac:dyDescent="0.25">
      <c r="A1098" s="2" t="s">
        <v>1371</v>
      </c>
      <c r="B1098" t="s">
        <v>401</v>
      </c>
      <c r="C1098" s="3">
        <v>0</v>
      </c>
    </row>
    <row r="1099" spans="1:3" x14ac:dyDescent="0.25">
      <c r="A1099" s="2" t="s">
        <v>1372</v>
      </c>
      <c r="B1099" t="s">
        <v>400</v>
      </c>
      <c r="C1099" s="3">
        <v>0</v>
      </c>
    </row>
    <row r="1100" spans="1:3" x14ac:dyDescent="0.25">
      <c r="A1100" s="2" t="s">
        <v>1373</v>
      </c>
      <c r="B1100" t="s">
        <v>399</v>
      </c>
      <c r="C1100" s="3">
        <v>1</v>
      </c>
    </row>
    <row r="1101" spans="1:3" x14ac:dyDescent="0.25">
      <c r="A1101" s="2" t="s">
        <v>1374</v>
      </c>
      <c r="B1101" t="s">
        <v>404</v>
      </c>
      <c r="C1101" s="3">
        <v>0.89</v>
      </c>
    </row>
    <row r="1102" spans="1:3" x14ac:dyDescent="0.25">
      <c r="A1102" s="2" t="s">
        <v>1375</v>
      </c>
      <c r="B1102" t="s">
        <v>407</v>
      </c>
      <c r="C1102" s="3">
        <v>0.78</v>
      </c>
    </row>
    <row r="1103" spans="1:3" x14ac:dyDescent="0.25">
      <c r="A1103" s="2" t="s">
        <v>197</v>
      </c>
      <c r="B1103" t="s">
        <v>401</v>
      </c>
      <c r="C1103" s="3">
        <v>0</v>
      </c>
    </row>
    <row r="1104" spans="1:3" x14ac:dyDescent="0.25">
      <c r="A1104" s="2" t="s">
        <v>193</v>
      </c>
      <c r="B1104" t="s">
        <v>403</v>
      </c>
      <c r="C1104" s="3">
        <v>0.13</v>
      </c>
    </row>
    <row r="1105" spans="1:3" x14ac:dyDescent="0.25">
      <c r="A1105" s="2" t="s">
        <v>1376</v>
      </c>
      <c r="B1105" t="s">
        <v>400</v>
      </c>
      <c r="C1105" s="3">
        <v>0</v>
      </c>
    </row>
    <row r="1106" spans="1:3" x14ac:dyDescent="0.25">
      <c r="A1106" s="2" t="s">
        <v>1377</v>
      </c>
      <c r="B1106" t="s">
        <v>400</v>
      </c>
      <c r="C1106" s="3">
        <v>0</v>
      </c>
    </row>
    <row r="1107" spans="1:3" x14ac:dyDescent="0.25">
      <c r="A1107" s="2" t="s">
        <v>1378</v>
      </c>
      <c r="B1107" t="s">
        <v>400</v>
      </c>
      <c r="C1107" s="3">
        <v>0</v>
      </c>
    </row>
    <row r="1108" spans="1:3" x14ac:dyDescent="0.25">
      <c r="A1108" s="2" t="s">
        <v>202</v>
      </c>
      <c r="B1108" t="s">
        <v>401</v>
      </c>
      <c r="C1108" s="3">
        <v>0</v>
      </c>
    </row>
    <row r="1109" spans="1:3" x14ac:dyDescent="0.25">
      <c r="A1109" s="2" t="s">
        <v>1379</v>
      </c>
      <c r="B1109" t="s">
        <v>408</v>
      </c>
      <c r="C1109" s="3">
        <v>0.74</v>
      </c>
    </row>
    <row r="1110" spans="1:3" x14ac:dyDescent="0.25">
      <c r="A1110" s="2" t="s">
        <v>1380</v>
      </c>
      <c r="B1110" t="s">
        <v>404</v>
      </c>
      <c r="C1110" s="3">
        <v>0.57999999999999996</v>
      </c>
    </row>
    <row r="1111" spans="1:3" x14ac:dyDescent="0.25">
      <c r="A1111" s="2" t="s">
        <v>1381</v>
      </c>
      <c r="B1111" t="s">
        <v>400</v>
      </c>
      <c r="C1111" s="3">
        <v>0</v>
      </c>
    </row>
    <row r="1112" spans="1:3" x14ac:dyDescent="0.25">
      <c r="A1112" s="2" t="s">
        <v>1382</v>
      </c>
      <c r="B1112" t="s">
        <v>400</v>
      </c>
      <c r="C1112" s="3">
        <v>0</v>
      </c>
    </row>
    <row r="1113" spans="1:3" x14ac:dyDescent="0.25">
      <c r="A1113" s="2" t="s">
        <v>190</v>
      </c>
      <c r="B1113" t="s">
        <v>404</v>
      </c>
      <c r="C1113" s="3">
        <v>1</v>
      </c>
    </row>
    <row r="1114" spans="1:3" x14ac:dyDescent="0.25">
      <c r="A1114" s="2" t="s">
        <v>160</v>
      </c>
      <c r="B1114" t="s">
        <v>400</v>
      </c>
      <c r="C1114" s="3">
        <v>0</v>
      </c>
    </row>
    <row r="1115" spans="1:3" x14ac:dyDescent="0.25">
      <c r="A1115" s="2" t="s">
        <v>161</v>
      </c>
      <c r="B1115" t="s">
        <v>401</v>
      </c>
      <c r="C1115" s="3">
        <v>0</v>
      </c>
    </row>
    <row r="1116" spans="1:3" x14ac:dyDescent="0.25">
      <c r="A1116" s="2" t="s">
        <v>1383</v>
      </c>
      <c r="B1116" t="s">
        <v>401</v>
      </c>
      <c r="C1116" s="3">
        <v>0</v>
      </c>
    </row>
    <row r="1117" spans="1:3" x14ac:dyDescent="0.25">
      <c r="A1117" s="2" t="s">
        <v>169</v>
      </c>
      <c r="B1117" t="s">
        <v>401</v>
      </c>
      <c r="C1117" s="3">
        <v>0</v>
      </c>
    </row>
    <row r="1118" spans="1:3" x14ac:dyDescent="0.25">
      <c r="A1118" s="2" t="s">
        <v>170</v>
      </c>
      <c r="B1118" t="s">
        <v>400</v>
      </c>
      <c r="C1118" s="3">
        <v>0</v>
      </c>
    </row>
    <row r="1119" spans="1:3" x14ac:dyDescent="0.25">
      <c r="A1119" s="2" t="s">
        <v>1384</v>
      </c>
      <c r="B1119" t="s">
        <v>400</v>
      </c>
      <c r="C1119" s="3">
        <v>0</v>
      </c>
    </row>
    <row r="1120" spans="1:3" x14ac:dyDescent="0.25">
      <c r="A1120" s="2" t="s">
        <v>163</v>
      </c>
      <c r="B1120" t="s">
        <v>401</v>
      </c>
      <c r="C1120" s="3">
        <v>0</v>
      </c>
    </row>
    <row r="1121" spans="1:3" x14ac:dyDescent="0.25">
      <c r="A1121" s="2" t="s">
        <v>1385</v>
      </c>
      <c r="B1121" t="s">
        <v>403</v>
      </c>
      <c r="C1121" s="3">
        <v>0.4</v>
      </c>
    </row>
    <row r="1122" spans="1:3" x14ac:dyDescent="0.25">
      <c r="A1122" s="2" t="s">
        <v>1386</v>
      </c>
      <c r="B1122" t="s">
        <v>400</v>
      </c>
      <c r="C1122" s="3">
        <v>0</v>
      </c>
    </row>
    <row r="1123" spans="1:3" x14ac:dyDescent="0.25">
      <c r="A1123" s="2" t="s">
        <v>1387</v>
      </c>
      <c r="B1123" t="s">
        <v>400</v>
      </c>
      <c r="C1123" s="3">
        <v>0</v>
      </c>
    </row>
    <row r="1124" spans="1:3" x14ac:dyDescent="0.25">
      <c r="A1124" s="2" t="s">
        <v>171</v>
      </c>
      <c r="B1124" t="s">
        <v>403</v>
      </c>
      <c r="C1124" s="3">
        <v>0.31</v>
      </c>
    </row>
    <row r="1125" spans="1:3" x14ac:dyDescent="0.25">
      <c r="A1125" s="2" t="s">
        <v>1388</v>
      </c>
      <c r="B1125" t="s">
        <v>400</v>
      </c>
      <c r="C1125" s="3">
        <v>0</v>
      </c>
    </row>
    <row r="1126" spans="1:3" x14ac:dyDescent="0.25">
      <c r="A1126" s="2" t="s">
        <v>1389</v>
      </c>
      <c r="B1126" t="s">
        <v>404</v>
      </c>
      <c r="C1126" s="3">
        <v>0.36</v>
      </c>
    </row>
    <row r="1127" spans="1:3" x14ac:dyDescent="0.25">
      <c r="A1127" s="2" t="s">
        <v>1390</v>
      </c>
      <c r="B1127" t="s">
        <v>405</v>
      </c>
      <c r="C1127" s="3">
        <v>0.95</v>
      </c>
    </row>
    <row r="1128" spans="1:3" x14ac:dyDescent="0.25">
      <c r="A1128" s="2" t="s">
        <v>124</v>
      </c>
      <c r="B1128" t="s">
        <v>400</v>
      </c>
      <c r="C1128" s="3">
        <v>0</v>
      </c>
    </row>
    <row r="1129" spans="1:3" x14ac:dyDescent="0.25">
      <c r="A1129" s="2" t="s">
        <v>188</v>
      </c>
      <c r="B1129" t="s">
        <v>400</v>
      </c>
      <c r="C1129" s="3">
        <v>0</v>
      </c>
    </row>
    <row r="1130" spans="1:3" x14ac:dyDescent="0.25">
      <c r="A1130" s="2" t="s">
        <v>173</v>
      </c>
      <c r="B1130" t="s">
        <v>400</v>
      </c>
      <c r="C1130" s="3">
        <v>0</v>
      </c>
    </row>
    <row r="1131" spans="1:3" x14ac:dyDescent="0.25">
      <c r="A1131" s="2" t="s">
        <v>1391</v>
      </c>
      <c r="B1131" t="s">
        <v>400</v>
      </c>
      <c r="C1131" s="3">
        <v>0</v>
      </c>
    </row>
    <row r="1132" spans="1:3" x14ac:dyDescent="0.25">
      <c r="A1132" s="2" t="s">
        <v>1392</v>
      </c>
      <c r="B1132" t="s">
        <v>400</v>
      </c>
      <c r="C1132" s="3">
        <v>0</v>
      </c>
    </row>
    <row r="1133" spans="1:3" x14ac:dyDescent="0.25">
      <c r="A1133" s="2" t="s">
        <v>1393</v>
      </c>
      <c r="B1133" t="s">
        <v>399</v>
      </c>
      <c r="C1133" s="3">
        <v>1</v>
      </c>
    </row>
    <row r="1134" spans="1:3" x14ac:dyDescent="0.25">
      <c r="A1134" s="2" t="s">
        <v>1394</v>
      </c>
      <c r="B1134" t="s">
        <v>400</v>
      </c>
      <c r="C1134" s="3">
        <v>0</v>
      </c>
    </row>
    <row r="1135" spans="1:3" x14ac:dyDescent="0.25">
      <c r="A1135" s="2" t="s">
        <v>126</v>
      </c>
      <c r="B1135" t="s">
        <v>400</v>
      </c>
      <c r="C1135" s="3">
        <v>0</v>
      </c>
    </row>
    <row r="1136" spans="1:3" x14ac:dyDescent="0.25">
      <c r="A1136" s="2" t="s">
        <v>1395</v>
      </c>
      <c r="B1136" t="s">
        <v>403</v>
      </c>
      <c r="C1136" s="3">
        <v>1</v>
      </c>
    </row>
    <row r="1137" spans="1:3" x14ac:dyDescent="0.25">
      <c r="A1137" s="2" t="s">
        <v>1396</v>
      </c>
      <c r="B1137" t="s">
        <v>400</v>
      </c>
      <c r="C1137" s="3">
        <v>0</v>
      </c>
    </row>
    <row r="1138" spans="1:3" x14ac:dyDescent="0.25">
      <c r="A1138" s="2" t="s">
        <v>1397</v>
      </c>
      <c r="B1138" t="s">
        <v>401</v>
      </c>
      <c r="C1138" s="3">
        <v>0</v>
      </c>
    </row>
    <row r="1139" spans="1:3" x14ac:dyDescent="0.25">
      <c r="A1139" s="2" t="s">
        <v>1398</v>
      </c>
      <c r="B1139" t="s">
        <v>400</v>
      </c>
      <c r="C1139" s="3">
        <v>0</v>
      </c>
    </row>
    <row r="1140" spans="1:3" x14ac:dyDescent="0.25">
      <c r="A1140" s="2" t="s">
        <v>1399</v>
      </c>
      <c r="B1140" t="s">
        <v>405</v>
      </c>
      <c r="C1140" s="3">
        <v>0.73</v>
      </c>
    </row>
    <row r="1141" spans="1:3" x14ac:dyDescent="0.25">
      <c r="A1141" s="2" t="s">
        <v>1400</v>
      </c>
      <c r="B1141" t="s">
        <v>400</v>
      </c>
      <c r="C1141" s="3">
        <v>0</v>
      </c>
    </row>
    <row r="1142" spans="1:3" x14ac:dyDescent="0.25">
      <c r="A1142" s="2" t="s">
        <v>1401</v>
      </c>
      <c r="B1142" t="s">
        <v>401</v>
      </c>
      <c r="C1142" s="3">
        <v>0</v>
      </c>
    </row>
    <row r="1143" spans="1:3" x14ac:dyDescent="0.25">
      <c r="A1143" s="2" t="s">
        <v>1402</v>
      </c>
      <c r="B1143" t="s">
        <v>400</v>
      </c>
      <c r="C1143" s="3">
        <v>0</v>
      </c>
    </row>
    <row r="1144" spans="1:3" x14ac:dyDescent="0.25">
      <c r="A1144" s="2" t="s">
        <v>1403</v>
      </c>
      <c r="B1144" t="s">
        <v>402</v>
      </c>
      <c r="C1144" s="3">
        <v>0.53</v>
      </c>
    </row>
    <row r="1145" spans="1:3" x14ac:dyDescent="0.25">
      <c r="A1145" s="2" t="s">
        <v>1404</v>
      </c>
      <c r="B1145" t="s">
        <v>400</v>
      </c>
      <c r="C1145" s="3">
        <v>0</v>
      </c>
    </row>
    <row r="1146" spans="1:3" x14ac:dyDescent="0.25">
      <c r="A1146" s="2" t="s">
        <v>1405</v>
      </c>
      <c r="B1146" t="s">
        <v>401</v>
      </c>
      <c r="C1146" s="3">
        <v>0</v>
      </c>
    </row>
    <row r="1147" spans="1:3" x14ac:dyDescent="0.25">
      <c r="A1147" s="2" t="s">
        <v>1406</v>
      </c>
      <c r="B1147" t="s">
        <v>401</v>
      </c>
      <c r="C1147" s="3">
        <v>0</v>
      </c>
    </row>
    <row r="1148" spans="1:3" x14ac:dyDescent="0.25">
      <c r="A1148" s="2" t="s">
        <v>1407</v>
      </c>
      <c r="B1148" t="s">
        <v>400</v>
      </c>
      <c r="C1148" s="3">
        <v>0</v>
      </c>
    </row>
    <row r="1149" spans="1:3" x14ac:dyDescent="0.25">
      <c r="A1149" s="2" t="s">
        <v>178</v>
      </c>
      <c r="B1149" t="s">
        <v>405</v>
      </c>
      <c r="C1149" s="3">
        <v>1</v>
      </c>
    </row>
    <row r="1150" spans="1:3" x14ac:dyDescent="0.25">
      <c r="A1150" s="2" t="s">
        <v>1408</v>
      </c>
      <c r="B1150" t="s">
        <v>400</v>
      </c>
      <c r="C1150" s="3">
        <v>0</v>
      </c>
    </row>
    <row r="1151" spans="1:3" x14ac:dyDescent="0.25">
      <c r="A1151" s="2" t="s">
        <v>1409</v>
      </c>
      <c r="B1151" t="s">
        <v>401</v>
      </c>
      <c r="C1151" s="3">
        <v>0</v>
      </c>
    </row>
    <row r="1152" spans="1:3" x14ac:dyDescent="0.25">
      <c r="A1152" s="2" t="s">
        <v>1410</v>
      </c>
      <c r="B1152" t="s">
        <v>400</v>
      </c>
      <c r="C1152" s="3">
        <v>0</v>
      </c>
    </row>
    <row r="1153" spans="1:3" x14ac:dyDescent="0.25">
      <c r="A1153" s="2" t="s">
        <v>1411</v>
      </c>
      <c r="B1153" t="s">
        <v>400</v>
      </c>
      <c r="C1153" s="3">
        <v>0</v>
      </c>
    </row>
    <row r="1154" spans="1:3" x14ac:dyDescent="0.25">
      <c r="A1154" s="2" t="s">
        <v>1412</v>
      </c>
      <c r="B1154" t="s">
        <v>400</v>
      </c>
      <c r="C1154" s="3">
        <v>0</v>
      </c>
    </row>
    <row r="1155" spans="1:3" x14ac:dyDescent="0.25">
      <c r="A1155" s="2" t="s">
        <v>1413</v>
      </c>
      <c r="B1155" t="s">
        <v>401</v>
      </c>
      <c r="C1155" s="3">
        <v>0</v>
      </c>
    </row>
    <row r="1156" spans="1:3" x14ac:dyDescent="0.25">
      <c r="A1156" s="2" t="s">
        <v>1414</v>
      </c>
      <c r="B1156" t="s">
        <v>400</v>
      </c>
      <c r="C1156" s="3">
        <v>0</v>
      </c>
    </row>
    <row r="1157" spans="1:3" x14ac:dyDescent="0.25">
      <c r="A1157" s="2" t="s">
        <v>1415</v>
      </c>
      <c r="B1157" t="s">
        <v>401</v>
      </c>
      <c r="C1157" s="3">
        <v>0</v>
      </c>
    </row>
    <row r="1158" spans="1:3" x14ac:dyDescent="0.25">
      <c r="A1158" s="2" t="s">
        <v>1416</v>
      </c>
      <c r="B1158" t="s">
        <v>401</v>
      </c>
      <c r="C1158" s="3">
        <v>0</v>
      </c>
    </row>
    <row r="1159" spans="1:3" x14ac:dyDescent="0.25">
      <c r="A1159" s="2" t="s">
        <v>99</v>
      </c>
      <c r="B1159" t="s">
        <v>401</v>
      </c>
      <c r="C1159" s="3">
        <v>0</v>
      </c>
    </row>
    <row r="1160" spans="1:3" x14ac:dyDescent="0.25">
      <c r="A1160" s="2" t="s">
        <v>1417</v>
      </c>
      <c r="B1160" t="s">
        <v>401</v>
      </c>
      <c r="C1160" s="3">
        <v>0</v>
      </c>
    </row>
    <row r="1161" spans="1:3" x14ac:dyDescent="0.25">
      <c r="A1161" s="2" t="s">
        <v>189</v>
      </c>
      <c r="B1161" t="s">
        <v>403</v>
      </c>
      <c r="C1161" s="3">
        <v>0.72</v>
      </c>
    </row>
    <row r="1162" spans="1:3" x14ac:dyDescent="0.25">
      <c r="A1162" s="2" t="s">
        <v>1418</v>
      </c>
      <c r="B1162" t="s">
        <v>400</v>
      </c>
      <c r="C1162" s="3">
        <v>0</v>
      </c>
    </row>
    <row r="1163" spans="1:3" x14ac:dyDescent="0.25">
      <c r="A1163" s="2" t="s">
        <v>1419</v>
      </c>
      <c r="B1163" t="s">
        <v>400</v>
      </c>
      <c r="C1163" s="3">
        <v>0</v>
      </c>
    </row>
    <row r="1164" spans="1:3" x14ac:dyDescent="0.25">
      <c r="A1164" s="2" t="s">
        <v>1420</v>
      </c>
      <c r="B1164" t="s">
        <v>400</v>
      </c>
      <c r="C1164" s="3">
        <v>0</v>
      </c>
    </row>
    <row r="1165" spans="1:3" x14ac:dyDescent="0.25">
      <c r="A1165" s="2" t="s">
        <v>143</v>
      </c>
      <c r="B1165" t="s">
        <v>401</v>
      </c>
      <c r="C1165" s="3">
        <v>0</v>
      </c>
    </row>
    <row r="1166" spans="1:3" x14ac:dyDescent="0.25">
      <c r="A1166" s="2" t="s">
        <v>1421</v>
      </c>
      <c r="B1166" t="s">
        <v>405</v>
      </c>
      <c r="C1166" s="3">
        <v>1</v>
      </c>
    </row>
    <row r="1167" spans="1:3" x14ac:dyDescent="0.25">
      <c r="A1167" s="2" t="s">
        <v>1422</v>
      </c>
      <c r="B1167" t="s">
        <v>401</v>
      </c>
      <c r="C1167" s="3">
        <v>0</v>
      </c>
    </row>
    <row r="1168" spans="1:3" x14ac:dyDescent="0.25">
      <c r="A1168" s="2" t="s">
        <v>156</v>
      </c>
      <c r="B1168" t="s">
        <v>400</v>
      </c>
      <c r="C1168" s="3">
        <v>0</v>
      </c>
    </row>
    <row r="1169" spans="1:3" x14ac:dyDescent="0.25">
      <c r="A1169" s="2" t="s">
        <v>1423</v>
      </c>
      <c r="B1169" t="s">
        <v>400</v>
      </c>
      <c r="C1169" s="3">
        <v>0</v>
      </c>
    </row>
    <row r="1170" spans="1:3" x14ac:dyDescent="0.25">
      <c r="A1170" s="2" t="s">
        <v>1424</v>
      </c>
      <c r="B1170" t="s">
        <v>401</v>
      </c>
      <c r="C1170" s="3">
        <v>0</v>
      </c>
    </row>
    <row r="1171" spans="1:3" x14ac:dyDescent="0.25">
      <c r="A1171" s="2" t="s">
        <v>1425</v>
      </c>
      <c r="B1171" t="s">
        <v>401</v>
      </c>
      <c r="C1171" s="3">
        <v>0</v>
      </c>
    </row>
    <row r="1172" spans="1:3" x14ac:dyDescent="0.25">
      <c r="A1172" s="2" t="s">
        <v>1426</v>
      </c>
      <c r="B1172" t="s">
        <v>407</v>
      </c>
      <c r="C1172" s="3">
        <v>0.67</v>
      </c>
    </row>
    <row r="1173" spans="1:3" x14ac:dyDescent="0.25">
      <c r="A1173" s="2" t="s">
        <v>1427</v>
      </c>
      <c r="B1173" t="s">
        <v>400</v>
      </c>
      <c r="C1173" s="3">
        <v>0</v>
      </c>
    </row>
    <row r="1174" spans="1:3" x14ac:dyDescent="0.25">
      <c r="A1174" s="2" t="s">
        <v>1428</v>
      </c>
      <c r="B1174" t="s">
        <v>404</v>
      </c>
      <c r="C1174" s="3">
        <v>0.495</v>
      </c>
    </row>
    <row r="1175" spans="1:3" x14ac:dyDescent="0.25">
      <c r="A1175" s="2" t="s">
        <v>1429</v>
      </c>
      <c r="B1175" t="s">
        <v>403</v>
      </c>
      <c r="C1175" s="3">
        <v>1</v>
      </c>
    </row>
    <row r="1176" spans="1:3" x14ac:dyDescent="0.25">
      <c r="A1176" s="2" t="s">
        <v>1430</v>
      </c>
      <c r="B1176" t="s">
        <v>400</v>
      </c>
      <c r="C1176" s="3">
        <v>0</v>
      </c>
    </row>
    <row r="1177" spans="1:3" x14ac:dyDescent="0.25">
      <c r="A1177" s="2" t="s">
        <v>1431</v>
      </c>
      <c r="B1177" t="s">
        <v>400</v>
      </c>
      <c r="C1177" s="3">
        <v>0</v>
      </c>
    </row>
    <row r="1178" spans="1:3" x14ac:dyDescent="0.25">
      <c r="A1178" s="2" t="s">
        <v>1432</v>
      </c>
      <c r="B1178" t="s">
        <v>401</v>
      </c>
      <c r="C1178" s="3">
        <v>0</v>
      </c>
    </row>
    <row r="1179" spans="1:3" x14ac:dyDescent="0.25">
      <c r="A1179" s="2" t="s">
        <v>165</v>
      </c>
      <c r="B1179" t="s">
        <v>401</v>
      </c>
      <c r="C1179" s="3">
        <v>0</v>
      </c>
    </row>
    <row r="1180" spans="1:3" x14ac:dyDescent="0.25">
      <c r="A1180" s="2" t="s">
        <v>147</v>
      </c>
      <c r="B1180" t="s">
        <v>400</v>
      </c>
      <c r="C1180" s="3">
        <v>0</v>
      </c>
    </row>
    <row r="1181" spans="1:3" x14ac:dyDescent="0.25">
      <c r="A1181" s="2" t="s">
        <v>1433</v>
      </c>
      <c r="B1181" t="s">
        <v>402</v>
      </c>
      <c r="C1181" s="3">
        <v>1</v>
      </c>
    </row>
    <row r="1182" spans="1:3" x14ac:dyDescent="0.25">
      <c r="A1182" s="2" t="s">
        <v>129</v>
      </c>
      <c r="B1182" t="s">
        <v>400</v>
      </c>
      <c r="C1182" s="3">
        <v>0</v>
      </c>
    </row>
    <row r="1183" spans="1:3" x14ac:dyDescent="0.25">
      <c r="A1183" s="2" t="s">
        <v>1434</v>
      </c>
      <c r="B1183" t="s">
        <v>400</v>
      </c>
      <c r="C1183" s="3">
        <v>0</v>
      </c>
    </row>
    <row r="1184" spans="1:3" x14ac:dyDescent="0.25">
      <c r="A1184" s="2" t="s">
        <v>1435</v>
      </c>
      <c r="B1184" t="s">
        <v>400</v>
      </c>
      <c r="C1184" s="3">
        <v>0</v>
      </c>
    </row>
    <row r="1185" spans="1:3" x14ac:dyDescent="0.25">
      <c r="A1185" s="2" t="s">
        <v>1436</v>
      </c>
      <c r="B1185" t="s">
        <v>400</v>
      </c>
      <c r="C1185" s="3">
        <v>0</v>
      </c>
    </row>
    <row r="1186" spans="1:3" x14ac:dyDescent="0.25">
      <c r="A1186" s="2" t="s">
        <v>79</v>
      </c>
      <c r="B1186" t="s">
        <v>401</v>
      </c>
      <c r="C1186" s="3">
        <v>0</v>
      </c>
    </row>
    <row r="1187" spans="1:3" x14ac:dyDescent="0.25">
      <c r="A1187" s="2" t="s">
        <v>1437</v>
      </c>
      <c r="B1187" t="s">
        <v>400</v>
      </c>
      <c r="C1187" s="3">
        <v>0</v>
      </c>
    </row>
    <row r="1188" spans="1:3" x14ac:dyDescent="0.25">
      <c r="A1188" s="2" t="s">
        <v>192</v>
      </c>
      <c r="B1188" t="s">
        <v>407</v>
      </c>
      <c r="C1188" s="3">
        <v>0.88</v>
      </c>
    </row>
    <row r="1189" spans="1:3" x14ac:dyDescent="0.25">
      <c r="A1189" s="2" t="s">
        <v>152</v>
      </c>
      <c r="B1189" t="s">
        <v>400</v>
      </c>
      <c r="C1189" s="3">
        <v>0</v>
      </c>
    </row>
    <row r="1190" spans="1:3" x14ac:dyDescent="0.25">
      <c r="A1190" s="2" t="s">
        <v>1438</v>
      </c>
      <c r="B1190" t="s">
        <v>403</v>
      </c>
      <c r="C1190" s="3">
        <v>0.99</v>
      </c>
    </row>
    <row r="1191" spans="1:3" x14ac:dyDescent="0.25">
      <c r="A1191" s="2" t="s">
        <v>1439</v>
      </c>
      <c r="B1191" t="s">
        <v>400</v>
      </c>
      <c r="C1191" s="3">
        <v>0</v>
      </c>
    </row>
    <row r="1192" spans="1:3" x14ac:dyDescent="0.25">
      <c r="A1192" s="2" t="s">
        <v>1440</v>
      </c>
      <c r="B1192" t="s">
        <v>400</v>
      </c>
      <c r="C1192" s="3">
        <v>0</v>
      </c>
    </row>
    <row r="1193" spans="1:3" x14ac:dyDescent="0.25">
      <c r="A1193" s="2" t="s">
        <v>1441</v>
      </c>
      <c r="B1193" t="s">
        <v>401</v>
      </c>
      <c r="C1193" s="3">
        <v>0</v>
      </c>
    </row>
    <row r="1194" spans="1:3" x14ac:dyDescent="0.25">
      <c r="A1194" s="2" t="s">
        <v>1442</v>
      </c>
      <c r="B1194" t="s">
        <v>400</v>
      </c>
      <c r="C1194" s="3">
        <v>0</v>
      </c>
    </row>
    <row r="1195" spans="1:3" x14ac:dyDescent="0.25">
      <c r="A1195" s="2" t="s">
        <v>1443</v>
      </c>
      <c r="B1195" t="s">
        <v>400</v>
      </c>
      <c r="C1195" s="3">
        <v>0</v>
      </c>
    </row>
    <row r="1196" spans="1:3" x14ac:dyDescent="0.25">
      <c r="A1196" s="2" t="s">
        <v>177</v>
      </c>
      <c r="B1196" t="s">
        <v>401</v>
      </c>
      <c r="C1196" s="3">
        <v>0</v>
      </c>
    </row>
    <row r="1197" spans="1:3" x14ac:dyDescent="0.25">
      <c r="A1197" s="2" t="s">
        <v>1444</v>
      </c>
      <c r="B1197" t="s">
        <v>404</v>
      </c>
      <c r="C1197" s="3">
        <v>0.21</v>
      </c>
    </row>
    <row r="1198" spans="1:3" x14ac:dyDescent="0.25">
      <c r="A1198" s="2" t="s">
        <v>1445</v>
      </c>
      <c r="B1198" t="s">
        <v>400</v>
      </c>
      <c r="C1198" s="3">
        <v>0</v>
      </c>
    </row>
    <row r="1199" spans="1:3" x14ac:dyDescent="0.25">
      <c r="A1199" s="2" t="s">
        <v>1446</v>
      </c>
      <c r="B1199" t="s">
        <v>400</v>
      </c>
      <c r="C1199" s="3">
        <v>0</v>
      </c>
    </row>
    <row r="1200" spans="1:3" x14ac:dyDescent="0.25">
      <c r="A1200" s="2" t="s">
        <v>1447</v>
      </c>
      <c r="B1200" t="s">
        <v>400</v>
      </c>
      <c r="C1200" s="3">
        <v>0</v>
      </c>
    </row>
    <row r="1201" spans="1:3" x14ac:dyDescent="0.25">
      <c r="A1201" s="2" t="s">
        <v>1448</v>
      </c>
      <c r="B1201" t="s">
        <v>400</v>
      </c>
      <c r="C1201" s="3">
        <v>0</v>
      </c>
    </row>
    <row r="1202" spans="1:3" x14ac:dyDescent="0.25">
      <c r="A1202" s="2" t="s">
        <v>1449</v>
      </c>
      <c r="B1202" t="s">
        <v>400</v>
      </c>
      <c r="C1202" s="3">
        <v>0</v>
      </c>
    </row>
    <row r="1203" spans="1:3" x14ac:dyDescent="0.25">
      <c r="A1203" s="2" t="s">
        <v>1450</v>
      </c>
      <c r="B1203" t="s">
        <v>400</v>
      </c>
      <c r="C1203" s="3">
        <v>0</v>
      </c>
    </row>
    <row r="1204" spans="1:3" x14ac:dyDescent="0.25">
      <c r="A1204" s="2" t="s">
        <v>1451</v>
      </c>
      <c r="B1204" t="s">
        <v>400</v>
      </c>
      <c r="C1204" s="3">
        <v>0</v>
      </c>
    </row>
    <row r="1205" spans="1:3" x14ac:dyDescent="0.25">
      <c r="A1205" s="2" t="s">
        <v>1452</v>
      </c>
      <c r="B1205" t="s">
        <v>400</v>
      </c>
      <c r="C1205" s="3">
        <v>0</v>
      </c>
    </row>
    <row r="1206" spans="1:3" x14ac:dyDescent="0.25">
      <c r="A1206" s="2" t="s">
        <v>215</v>
      </c>
      <c r="B1206" t="s">
        <v>404</v>
      </c>
      <c r="C1206" s="3">
        <v>0.49</v>
      </c>
    </row>
    <row r="1207" spans="1:3" x14ac:dyDescent="0.25">
      <c r="A1207" s="2" t="s">
        <v>1453</v>
      </c>
      <c r="B1207" t="s">
        <v>400</v>
      </c>
      <c r="C1207" s="3">
        <v>0</v>
      </c>
    </row>
    <row r="1208" spans="1:3" x14ac:dyDescent="0.25">
      <c r="A1208" s="2" t="s">
        <v>1454</v>
      </c>
      <c r="B1208" t="s">
        <v>400</v>
      </c>
      <c r="C1208" s="3">
        <v>0</v>
      </c>
    </row>
    <row r="1209" spans="1:3" x14ac:dyDescent="0.25">
      <c r="A1209" s="2" t="s">
        <v>181</v>
      </c>
      <c r="B1209" t="s">
        <v>400</v>
      </c>
      <c r="C1209" s="3">
        <v>0</v>
      </c>
    </row>
    <row r="1210" spans="1:3" x14ac:dyDescent="0.25">
      <c r="A1210" s="2" t="s">
        <v>135</v>
      </c>
      <c r="B1210" t="s">
        <v>400</v>
      </c>
      <c r="C1210" s="3">
        <v>0</v>
      </c>
    </row>
    <row r="1211" spans="1:3" x14ac:dyDescent="0.25">
      <c r="A1211" s="2" t="s">
        <v>1455</v>
      </c>
      <c r="B1211" t="s">
        <v>400</v>
      </c>
      <c r="C1211" s="3">
        <v>0</v>
      </c>
    </row>
    <row r="1212" spans="1:3" x14ac:dyDescent="0.25">
      <c r="A1212" s="2" t="s">
        <v>1456</v>
      </c>
      <c r="B1212" t="s">
        <v>399</v>
      </c>
      <c r="C1212" s="3">
        <v>0.94</v>
      </c>
    </row>
    <row r="1213" spans="1:3" x14ac:dyDescent="0.25">
      <c r="A1213" s="2" t="s">
        <v>1457</v>
      </c>
      <c r="B1213" t="s">
        <v>404</v>
      </c>
      <c r="C1213" s="3">
        <v>0.9</v>
      </c>
    </row>
    <row r="1214" spans="1:3" x14ac:dyDescent="0.25">
      <c r="A1214" s="2" t="s">
        <v>1458</v>
      </c>
      <c r="B1214" t="s">
        <v>401</v>
      </c>
      <c r="C1214" s="3">
        <v>0</v>
      </c>
    </row>
    <row r="1215" spans="1:3" x14ac:dyDescent="0.25">
      <c r="A1215" s="2" t="s">
        <v>227</v>
      </c>
      <c r="B1215" t="s">
        <v>401</v>
      </c>
      <c r="C1215" s="3">
        <v>0</v>
      </c>
    </row>
    <row r="1216" spans="1:3" x14ac:dyDescent="0.25">
      <c r="A1216" s="2" t="s">
        <v>1459</v>
      </c>
      <c r="B1216" t="s">
        <v>400</v>
      </c>
      <c r="C1216" s="3">
        <v>0</v>
      </c>
    </row>
    <row r="1217" spans="1:3" x14ac:dyDescent="0.25">
      <c r="A1217" s="2" t="s">
        <v>1460</v>
      </c>
      <c r="B1217" t="s">
        <v>400</v>
      </c>
      <c r="C1217" s="3">
        <v>0</v>
      </c>
    </row>
    <row r="1218" spans="1:3" x14ac:dyDescent="0.25">
      <c r="A1218" s="2" t="s">
        <v>1461</v>
      </c>
      <c r="B1218" t="s">
        <v>400</v>
      </c>
      <c r="C1218" s="3">
        <v>0</v>
      </c>
    </row>
    <row r="1219" spans="1:3" x14ac:dyDescent="0.25">
      <c r="A1219" s="2" t="s">
        <v>1462</v>
      </c>
      <c r="B1219" t="s">
        <v>400</v>
      </c>
      <c r="C1219" s="3">
        <v>0</v>
      </c>
    </row>
    <row r="1220" spans="1:3" x14ac:dyDescent="0.25">
      <c r="A1220" s="2" t="s">
        <v>1463</v>
      </c>
      <c r="B1220" t="s">
        <v>400</v>
      </c>
      <c r="C1220" s="3">
        <v>0</v>
      </c>
    </row>
    <row r="1221" spans="1:3" x14ac:dyDescent="0.25">
      <c r="A1221" s="2" t="s">
        <v>1464</v>
      </c>
      <c r="B1221" t="s">
        <v>400</v>
      </c>
      <c r="C1221" s="3">
        <v>0</v>
      </c>
    </row>
    <row r="1222" spans="1:3" x14ac:dyDescent="0.25">
      <c r="A1222" s="2" t="s">
        <v>1465</v>
      </c>
      <c r="B1222" t="s">
        <v>400</v>
      </c>
      <c r="C1222" s="3">
        <v>0</v>
      </c>
    </row>
    <row r="1223" spans="1:3" x14ac:dyDescent="0.25">
      <c r="A1223" s="2" t="s">
        <v>1466</v>
      </c>
      <c r="B1223" t="s">
        <v>400</v>
      </c>
      <c r="C1223" s="3">
        <v>0</v>
      </c>
    </row>
    <row r="1224" spans="1:3" x14ac:dyDescent="0.25">
      <c r="A1224" s="2" t="s">
        <v>119</v>
      </c>
      <c r="B1224" t="s">
        <v>400</v>
      </c>
      <c r="C1224" s="3">
        <v>0</v>
      </c>
    </row>
    <row r="1225" spans="1:3" x14ac:dyDescent="0.25">
      <c r="A1225" s="2" t="s">
        <v>1467</v>
      </c>
      <c r="B1225" t="s">
        <v>402</v>
      </c>
      <c r="C1225" s="3">
        <v>0.6</v>
      </c>
    </row>
    <row r="1226" spans="1:3" x14ac:dyDescent="0.25">
      <c r="A1226" s="2" t="s">
        <v>1468</v>
      </c>
      <c r="B1226" t="s">
        <v>403</v>
      </c>
      <c r="C1226" s="3">
        <v>1</v>
      </c>
    </row>
    <row r="1227" spans="1:3" x14ac:dyDescent="0.25">
      <c r="A1227" s="2" t="s">
        <v>1469</v>
      </c>
      <c r="B1227" t="s">
        <v>400</v>
      </c>
      <c r="C1227" s="3">
        <v>0</v>
      </c>
    </row>
    <row r="1228" spans="1:3" x14ac:dyDescent="0.25">
      <c r="A1228" s="2" t="s">
        <v>89</v>
      </c>
      <c r="B1228" t="s">
        <v>400</v>
      </c>
      <c r="C1228" s="3">
        <v>0</v>
      </c>
    </row>
    <row r="1229" spans="1:3" x14ac:dyDescent="0.25">
      <c r="A1229" s="2" t="s">
        <v>1470</v>
      </c>
      <c r="B1229" t="s">
        <v>404</v>
      </c>
      <c r="C1229" s="3">
        <v>0.73</v>
      </c>
    </row>
    <row r="1230" spans="1:3" x14ac:dyDescent="0.25">
      <c r="A1230" s="2" t="s">
        <v>1471</v>
      </c>
      <c r="B1230" t="s">
        <v>400</v>
      </c>
      <c r="C1230" s="3">
        <v>0</v>
      </c>
    </row>
    <row r="1231" spans="1:3" x14ac:dyDescent="0.25">
      <c r="A1231" s="2" t="s">
        <v>231</v>
      </c>
      <c r="B1231" t="s">
        <v>400</v>
      </c>
      <c r="C1231" s="3">
        <v>0</v>
      </c>
    </row>
    <row r="1232" spans="1:3" x14ac:dyDescent="0.25">
      <c r="A1232" s="2" t="s">
        <v>224</v>
      </c>
      <c r="B1232" t="s">
        <v>400</v>
      </c>
      <c r="C1232" s="3">
        <v>0</v>
      </c>
    </row>
    <row r="1233" spans="1:3" x14ac:dyDescent="0.25">
      <c r="A1233" s="2" t="s">
        <v>1472</v>
      </c>
      <c r="B1233" t="s">
        <v>401</v>
      </c>
      <c r="C1233" s="3">
        <v>0</v>
      </c>
    </row>
    <row r="1234" spans="1:3" x14ac:dyDescent="0.25">
      <c r="A1234" s="2" t="s">
        <v>1473</v>
      </c>
      <c r="B1234" t="s">
        <v>400</v>
      </c>
      <c r="C1234" s="3">
        <v>0</v>
      </c>
    </row>
    <row r="1235" spans="1:3" x14ac:dyDescent="0.25">
      <c r="A1235" s="2" t="s">
        <v>1474</v>
      </c>
      <c r="B1235" t="s">
        <v>400</v>
      </c>
      <c r="C1235" s="3">
        <v>0</v>
      </c>
    </row>
    <row r="1236" spans="1:3" x14ac:dyDescent="0.25">
      <c r="A1236" s="2" t="s">
        <v>185</v>
      </c>
      <c r="B1236" t="s">
        <v>400</v>
      </c>
      <c r="C1236" s="3">
        <v>0</v>
      </c>
    </row>
    <row r="1237" spans="1:3" x14ac:dyDescent="0.25">
      <c r="A1237" s="2" t="s">
        <v>1475</v>
      </c>
      <c r="B1237" t="s">
        <v>400</v>
      </c>
      <c r="C1237" s="3">
        <v>0</v>
      </c>
    </row>
    <row r="1238" spans="1:3" x14ac:dyDescent="0.25">
      <c r="A1238" s="2" t="s">
        <v>1476</v>
      </c>
      <c r="B1238" t="s">
        <v>401</v>
      </c>
      <c r="C1238" s="3">
        <v>0</v>
      </c>
    </row>
    <row r="1239" spans="1:3" x14ac:dyDescent="0.25">
      <c r="A1239" s="2" t="s">
        <v>1477</v>
      </c>
      <c r="B1239" t="s">
        <v>400</v>
      </c>
      <c r="C1239" s="3">
        <v>0</v>
      </c>
    </row>
    <row r="1240" spans="1:3" x14ac:dyDescent="0.25">
      <c r="A1240" s="2" t="s">
        <v>1478</v>
      </c>
      <c r="B1240" t="s">
        <v>400</v>
      </c>
      <c r="C1240" s="3">
        <v>0</v>
      </c>
    </row>
    <row r="1241" spans="1:3" x14ac:dyDescent="0.25">
      <c r="A1241" s="2" t="s">
        <v>179</v>
      </c>
      <c r="B1241" t="s">
        <v>403</v>
      </c>
      <c r="C1241" s="3">
        <v>0.18</v>
      </c>
    </row>
    <row r="1242" spans="1:3" x14ac:dyDescent="0.25">
      <c r="A1242" s="2" t="s">
        <v>1479</v>
      </c>
      <c r="B1242" t="s">
        <v>405</v>
      </c>
      <c r="C1242" s="3">
        <v>0.4</v>
      </c>
    </row>
    <row r="1243" spans="1:3" x14ac:dyDescent="0.25">
      <c r="A1243" s="2" t="s">
        <v>1480</v>
      </c>
      <c r="B1243" t="s">
        <v>400</v>
      </c>
      <c r="C1243" s="3">
        <v>0</v>
      </c>
    </row>
    <row r="1244" spans="1:3" x14ac:dyDescent="0.25">
      <c r="A1244" s="2" t="s">
        <v>1481</v>
      </c>
      <c r="B1244" t="s">
        <v>400</v>
      </c>
      <c r="C1244" s="3">
        <v>0</v>
      </c>
    </row>
    <row r="1245" spans="1:3" x14ac:dyDescent="0.25">
      <c r="A1245" s="2" t="s">
        <v>1482</v>
      </c>
      <c r="B1245" t="s">
        <v>401</v>
      </c>
      <c r="C1245" s="3">
        <v>0</v>
      </c>
    </row>
    <row r="1246" spans="1:3" x14ac:dyDescent="0.25">
      <c r="A1246" s="2" t="s">
        <v>1483</v>
      </c>
      <c r="B1246" t="s">
        <v>401</v>
      </c>
      <c r="C1246" s="3">
        <v>0</v>
      </c>
    </row>
    <row r="1247" spans="1:3" x14ac:dyDescent="0.25">
      <c r="A1247" s="2" t="s">
        <v>142</v>
      </c>
      <c r="B1247" t="s">
        <v>401</v>
      </c>
      <c r="C1247" s="3">
        <v>0</v>
      </c>
    </row>
    <row r="1248" spans="1:3" x14ac:dyDescent="0.25">
      <c r="A1248" s="2" t="s">
        <v>206</v>
      </c>
      <c r="B1248" t="s">
        <v>407</v>
      </c>
      <c r="C1248" s="3">
        <v>0.87</v>
      </c>
    </row>
    <row r="1249" spans="1:3" x14ac:dyDescent="0.25">
      <c r="A1249" s="2" t="s">
        <v>1484</v>
      </c>
      <c r="B1249" t="s">
        <v>400</v>
      </c>
      <c r="C1249" s="3">
        <v>0</v>
      </c>
    </row>
    <row r="1250" spans="1:3" x14ac:dyDescent="0.25">
      <c r="A1250" s="2" t="s">
        <v>1485</v>
      </c>
      <c r="B1250" t="s">
        <v>400</v>
      </c>
      <c r="C1250" s="3">
        <v>0</v>
      </c>
    </row>
    <row r="1251" spans="1:3" x14ac:dyDescent="0.25">
      <c r="A1251" s="2" t="s">
        <v>1486</v>
      </c>
      <c r="B1251" t="s">
        <v>401</v>
      </c>
      <c r="C1251" s="3">
        <v>0</v>
      </c>
    </row>
    <row r="1252" spans="1:3" x14ac:dyDescent="0.25">
      <c r="A1252" s="2" t="s">
        <v>1487</v>
      </c>
      <c r="B1252" t="s">
        <v>400</v>
      </c>
      <c r="C1252" s="3">
        <v>0</v>
      </c>
    </row>
    <row r="1253" spans="1:3" x14ac:dyDescent="0.25">
      <c r="A1253" s="2" t="s">
        <v>1488</v>
      </c>
      <c r="B1253" t="s">
        <v>400</v>
      </c>
      <c r="C1253" s="3">
        <v>0</v>
      </c>
    </row>
    <row r="1254" spans="1:3" x14ac:dyDescent="0.25">
      <c r="A1254" s="2" t="s">
        <v>1489</v>
      </c>
      <c r="B1254" t="s">
        <v>403</v>
      </c>
      <c r="C1254" s="3">
        <v>0.7</v>
      </c>
    </row>
    <row r="1255" spans="1:3" x14ac:dyDescent="0.25">
      <c r="A1255" s="2" t="s">
        <v>1490</v>
      </c>
      <c r="B1255" t="s">
        <v>401</v>
      </c>
      <c r="C1255" s="3">
        <v>0</v>
      </c>
    </row>
    <row r="1256" spans="1:3" x14ac:dyDescent="0.25">
      <c r="A1256" s="2" t="s">
        <v>1491</v>
      </c>
      <c r="B1256" t="s">
        <v>400</v>
      </c>
      <c r="C1256" s="3">
        <v>0</v>
      </c>
    </row>
    <row r="1257" spans="1:3" x14ac:dyDescent="0.25">
      <c r="A1257" s="2" t="s">
        <v>1492</v>
      </c>
      <c r="B1257" t="s">
        <v>401</v>
      </c>
      <c r="C1257" s="3">
        <v>0</v>
      </c>
    </row>
    <row r="1258" spans="1:3" x14ac:dyDescent="0.25">
      <c r="A1258" s="2" t="s">
        <v>220</v>
      </c>
      <c r="B1258" t="s">
        <v>400</v>
      </c>
      <c r="C1258" s="3">
        <v>0</v>
      </c>
    </row>
    <row r="1259" spans="1:3" x14ac:dyDescent="0.25">
      <c r="A1259" s="2" t="s">
        <v>1493</v>
      </c>
      <c r="B1259" t="s">
        <v>400</v>
      </c>
      <c r="C1259" s="3">
        <v>0</v>
      </c>
    </row>
    <row r="1260" spans="1:3" x14ac:dyDescent="0.25">
      <c r="A1260" s="2" t="s">
        <v>1494</v>
      </c>
      <c r="B1260" t="s">
        <v>400</v>
      </c>
      <c r="C1260" s="3">
        <v>0</v>
      </c>
    </row>
    <row r="1261" spans="1:3" x14ac:dyDescent="0.25">
      <c r="A1261" s="2" t="s">
        <v>1495</v>
      </c>
      <c r="B1261" t="s">
        <v>400</v>
      </c>
      <c r="C1261" s="3">
        <v>0</v>
      </c>
    </row>
    <row r="1262" spans="1:3" x14ac:dyDescent="0.25">
      <c r="A1262" s="2" t="s">
        <v>1496</v>
      </c>
      <c r="B1262" t="s">
        <v>401</v>
      </c>
      <c r="C1262" s="3">
        <v>0</v>
      </c>
    </row>
    <row r="1263" spans="1:3" x14ac:dyDescent="0.25">
      <c r="A1263" s="2" t="s">
        <v>246</v>
      </c>
      <c r="B1263" t="s">
        <v>406</v>
      </c>
      <c r="C1263" s="3">
        <v>1</v>
      </c>
    </row>
    <row r="1264" spans="1:3" x14ac:dyDescent="0.25">
      <c r="A1264" s="2" t="s">
        <v>248</v>
      </c>
      <c r="B1264" t="s">
        <v>400</v>
      </c>
      <c r="C1264" s="3">
        <v>0</v>
      </c>
    </row>
    <row r="1265" spans="1:3" x14ac:dyDescent="0.25">
      <c r="A1265" s="2" t="s">
        <v>1497</v>
      </c>
      <c r="B1265" t="s">
        <v>401</v>
      </c>
      <c r="C1265" s="3">
        <v>0</v>
      </c>
    </row>
    <row r="1266" spans="1:3" x14ac:dyDescent="0.25">
      <c r="A1266" s="2" t="s">
        <v>1498</v>
      </c>
      <c r="B1266" t="s">
        <v>401</v>
      </c>
      <c r="C1266" s="3">
        <v>0</v>
      </c>
    </row>
    <row r="1267" spans="1:3" x14ac:dyDescent="0.25">
      <c r="A1267" s="2" t="s">
        <v>1499</v>
      </c>
      <c r="B1267" t="s">
        <v>400</v>
      </c>
      <c r="C1267" s="3">
        <v>0</v>
      </c>
    </row>
    <row r="1268" spans="1:3" x14ac:dyDescent="0.25">
      <c r="A1268" s="2" t="s">
        <v>1500</v>
      </c>
      <c r="B1268" t="s">
        <v>400</v>
      </c>
      <c r="C1268" s="3">
        <v>0</v>
      </c>
    </row>
    <row r="1269" spans="1:3" x14ac:dyDescent="0.25">
      <c r="A1269" s="2" t="s">
        <v>1501</v>
      </c>
      <c r="B1269" t="s">
        <v>403</v>
      </c>
      <c r="C1269" s="3">
        <v>0.65</v>
      </c>
    </row>
    <row r="1270" spans="1:3" x14ac:dyDescent="0.25">
      <c r="A1270" s="2" t="s">
        <v>1502</v>
      </c>
      <c r="B1270" t="s">
        <v>403</v>
      </c>
      <c r="C1270" s="3">
        <v>0.99</v>
      </c>
    </row>
    <row r="1271" spans="1:3" x14ac:dyDescent="0.25">
      <c r="A1271" s="2" t="s">
        <v>176</v>
      </c>
      <c r="B1271" t="s">
        <v>401</v>
      </c>
      <c r="C1271" s="3">
        <v>0</v>
      </c>
    </row>
    <row r="1272" spans="1:3" x14ac:dyDescent="0.25">
      <c r="A1272" s="2" t="s">
        <v>1503</v>
      </c>
      <c r="B1272" t="s">
        <v>401</v>
      </c>
      <c r="C1272" s="3">
        <v>0</v>
      </c>
    </row>
    <row r="1273" spans="1:3" x14ac:dyDescent="0.25">
      <c r="A1273" s="2" t="s">
        <v>1504</v>
      </c>
      <c r="B1273" t="s">
        <v>401</v>
      </c>
      <c r="C1273" s="3">
        <v>0</v>
      </c>
    </row>
    <row r="1274" spans="1:3" x14ac:dyDescent="0.25">
      <c r="A1274" s="2" t="s">
        <v>228</v>
      </c>
      <c r="B1274" t="s">
        <v>405</v>
      </c>
      <c r="C1274" s="3">
        <v>0.64</v>
      </c>
    </row>
    <row r="1275" spans="1:3" x14ac:dyDescent="0.25">
      <c r="A1275" s="2" t="s">
        <v>1505</v>
      </c>
      <c r="B1275" t="s">
        <v>401</v>
      </c>
      <c r="C1275" s="3">
        <v>0</v>
      </c>
    </row>
    <row r="1276" spans="1:3" x14ac:dyDescent="0.25">
      <c r="A1276" s="2" t="s">
        <v>1506</v>
      </c>
      <c r="B1276" t="s">
        <v>400</v>
      </c>
      <c r="C1276" s="3">
        <v>0</v>
      </c>
    </row>
    <row r="1277" spans="1:3" x14ac:dyDescent="0.25">
      <c r="A1277" s="2" t="s">
        <v>1507</v>
      </c>
      <c r="B1277" t="s">
        <v>400</v>
      </c>
      <c r="C1277" s="3">
        <v>0</v>
      </c>
    </row>
    <row r="1278" spans="1:3" x14ac:dyDescent="0.25">
      <c r="A1278" s="2" t="s">
        <v>229</v>
      </c>
      <c r="B1278" t="s">
        <v>401</v>
      </c>
      <c r="C1278" s="3">
        <v>0</v>
      </c>
    </row>
    <row r="1279" spans="1:3" x14ac:dyDescent="0.25">
      <c r="A1279" s="2" t="s">
        <v>1508</v>
      </c>
      <c r="B1279" t="s">
        <v>400</v>
      </c>
      <c r="C1279" s="3">
        <v>0</v>
      </c>
    </row>
    <row r="1280" spans="1:3" x14ac:dyDescent="0.25">
      <c r="A1280" s="2" t="s">
        <v>1509</v>
      </c>
      <c r="B1280" t="s">
        <v>400</v>
      </c>
      <c r="C1280" s="3">
        <v>0</v>
      </c>
    </row>
    <row r="1281" spans="1:3" x14ac:dyDescent="0.25">
      <c r="A1281" s="2" t="s">
        <v>1510</v>
      </c>
      <c r="B1281" t="s">
        <v>405</v>
      </c>
      <c r="C1281" s="3">
        <v>0.19</v>
      </c>
    </row>
    <row r="1282" spans="1:3" x14ac:dyDescent="0.25">
      <c r="A1282" s="2" t="s">
        <v>1511</v>
      </c>
      <c r="B1282" t="s">
        <v>400</v>
      </c>
      <c r="C1282" s="3">
        <v>0</v>
      </c>
    </row>
    <row r="1283" spans="1:3" x14ac:dyDescent="0.25">
      <c r="A1283" s="2" t="s">
        <v>1512</v>
      </c>
      <c r="B1283" t="s">
        <v>400</v>
      </c>
      <c r="C1283" s="3">
        <v>0</v>
      </c>
    </row>
    <row r="1284" spans="1:3" x14ac:dyDescent="0.25">
      <c r="A1284" s="2" t="s">
        <v>1513</v>
      </c>
      <c r="B1284" t="s">
        <v>400</v>
      </c>
      <c r="C1284" s="3">
        <v>0</v>
      </c>
    </row>
    <row r="1285" spans="1:3" x14ac:dyDescent="0.25">
      <c r="A1285" s="2" t="s">
        <v>1514</v>
      </c>
      <c r="B1285" t="s">
        <v>400</v>
      </c>
      <c r="C1285" s="3">
        <v>0</v>
      </c>
    </row>
    <row r="1286" spans="1:3" x14ac:dyDescent="0.25">
      <c r="A1286" s="2" t="s">
        <v>1515</v>
      </c>
      <c r="B1286" t="s">
        <v>400</v>
      </c>
      <c r="C1286" s="3">
        <v>0</v>
      </c>
    </row>
    <row r="1287" spans="1:3" x14ac:dyDescent="0.25">
      <c r="A1287" s="2" t="s">
        <v>1516</v>
      </c>
      <c r="B1287" t="s">
        <v>400</v>
      </c>
      <c r="C1287" s="3">
        <v>0</v>
      </c>
    </row>
    <row r="1288" spans="1:3" x14ac:dyDescent="0.25">
      <c r="A1288" s="2" t="s">
        <v>212</v>
      </c>
      <c r="B1288" t="s">
        <v>401</v>
      </c>
      <c r="C1288" s="3">
        <v>0</v>
      </c>
    </row>
    <row r="1289" spans="1:3" x14ac:dyDescent="0.25">
      <c r="A1289" s="2" t="s">
        <v>208</v>
      </c>
      <c r="B1289" t="s">
        <v>400</v>
      </c>
      <c r="C1289" s="3">
        <v>0</v>
      </c>
    </row>
    <row r="1290" spans="1:3" x14ac:dyDescent="0.25">
      <c r="A1290" s="2" t="s">
        <v>1517</v>
      </c>
      <c r="B1290" t="s">
        <v>404</v>
      </c>
      <c r="C1290" s="3">
        <v>0.31</v>
      </c>
    </row>
    <row r="1291" spans="1:3" x14ac:dyDescent="0.25">
      <c r="A1291" s="2" t="s">
        <v>117</v>
      </c>
      <c r="B1291" t="s">
        <v>401</v>
      </c>
      <c r="C1291" s="3">
        <v>0</v>
      </c>
    </row>
    <row r="1292" spans="1:3" x14ac:dyDescent="0.25">
      <c r="A1292" s="2" t="s">
        <v>1518</v>
      </c>
      <c r="B1292" t="s">
        <v>401</v>
      </c>
      <c r="C1292" s="3">
        <v>0</v>
      </c>
    </row>
    <row r="1293" spans="1:3" x14ac:dyDescent="0.25">
      <c r="A1293" s="2" t="s">
        <v>1519</v>
      </c>
      <c r="B1293" t="s">
        <v>400</v>
      </c>
      <c r="C1293" s="3">
        <v>0</v>
      </c>
    </row>
    <row r="1294" spans="1:3" x14ac:dyDescent="0.25">
      <c r="A1294" s="2" t="s">
        <v>1520</v>
      </c>
      <c r="B1294" t="s">
        <v>400</v>
      </c>
      <c r="C1294" s="3">
        <v>0</v>
      </c>
    </row>
    <row r="1295" spans="1:3" x14ac:dyDescent="0.25">
      <c r="A1295" s="2" t="s">
        <v>203</v>
      </c>
      <c r="B1295" t="s">
        <v>400</v>
      </c>
      <c r="C1295" s="3">
        <v>0</v>
      </c>
    </row>
    <row r="1296" spans="1:3" x14ac:dyDescent="0.25">
      <c r="A1296" s="2" t="s">
        <v>252</v>
      </c>
      <c r="B1296" t="s">
        <v>400</v>
      </c>
      <c r="C1296" s="3">
        <v>0</v>
      </c>
    </row>
    <row r="1297" spans="1:3" x14ac:dyDescent="0.25">
      <c r="A1297" s="2" t="s">
        <v>1521</v>
      </c>
      <c r="B1297" t="s">
        <v>401</v>
      </c>
      <c r="C1297" s="3">
        <v>0</v>
      </c>
    </row>
    <row r="1298" spans="1:3" x14ac:dyDescent="0.25">
      <c r="A1298" s="2" t="s">
        <v>1522</v>
      </c>
      <c r="B1298" t="s">
        <v>400</v>
      </c>
      <c r="C1298" s="3">
        <v>0</v>
      </c>
    </row>
    <row r="1299" spans="1:3" x14ac:dyDescent="0.25">
      <c r="A1299" s="2" t="s">
        <v>1523</v>
      </c>
      <c r="B1299" t="s">
        <v>404</v>
      </c>
      <c r="C1299" s="3">
        <v>1</v>
      </c>
    </row>
    <row r="1300" spans="1:3" x14ac:dyDescent="0.25">
      <c r="A1300" s="2" t="s">
        <v>1524</v>
      </c>
      <c r="B1300" t="s">
        <v>403</v>
      </c>
      <c r="C1300" s="3">
        <v>0.65</v>
      </c>
    </row>
    <row r="1301" spans="1:3" x14ac:dyDescent="0.25">
      <c r="A1301" s="2" t="s">
        <v>144</v>
      </c>
      <c r="B1301" t="s">
        <v>405</v>
      </c>
      <c r="C1301" s="3">
        <v>0.54</v>
      </c>
    </row>
    <row r="1302" spans="1:3" x14ac:dyDescent="0.25">
      <c r="A1302" s="2" t="s">
        <v>1525</v>
      </c>
      <c r="B1302" t="s">
        <v>404</v>
      </c>
      <c r="C1302" s="3">
        <v>0.12</v>
      </c>
    </row>
    <row r="1303" spans="1:3" x14ac:dyDescent="0.25">
      <c r="A1303" s="2" t="s">
        <v>1526</v>
      </c>
      <c r="B1303" t="s">
        <v>401</v>
      </c>
      <c r="C1303" s="3">
        <v>0</v>
      </c>
    </row>
    <row r="1304" spans="1:3" x14ac:dyDescent="0.25">
      <c r="A1304" s="2" t="s">
        <v>1527</v>
      </c>
      <c r="B1304" t="s">
        <v>400</v>
      </c>
      <c r="C1304" s="3">
        <v>0</v>
      </c>
    </row>
    <row r="1305" spans="1:3" x14ac:dyDescent="0.25">
      <c r="A1305" s="2" t="s">
        <v>1528</v>
      </c>
      <c r="B1305" t="s">
        <v>400</v>
      </c>
      <c r="C1305" s="3">
        <v>0</v>
      </c>
    </row>
    <row r="1306" spans="1:3" x14ac:dyDescent="0.25">
      <c r="A1306" s="2" t="s">
        <v>184</v>
      </c>
      <c r="B1306" t="s">
        <v>400</v>
      </c>
      <c r="C1306" s="3">
        <v>0</v>
      </c>
    </row>
    <row r="1307" spans="1:3" x14ac:dyDescent="0.25">
      <c r="A1307" s="2" t="s">
        <v>1529</v>
      </c>
      <c r="B1307" t="s">
        <v>406</v>
      </c>
      <c r="C1307" s="3">
        <v>0.62</v>
      </c>
    </row>
    <row r="1308" spans="1:3" x14ac:dyDescent="0.25">
      <c r="A1308" s="2" t="s">
        <v>1530</v>
      </c>
      <c r="B1308" t="s">
        <v>405</v>
      </c>
      <c r="C1308" s="3">
        <v>0.83</v>
      </c>
    </row>
    <row r="1309" spans="1:3" x14ac:dyDescent="0.25">
      <c r="A1309" s="2" t="s">
        <v>1531</v>
      </c>
      <c r="B1309" t="s">
        <v>400</v>
      </c>
      <c r="C1309" s="3">
        <v>0</v>
      </c>
    </row>
    <row r="1310" spans="1:3" x14ac:dyDescent="0.25">
      <c r="A1310" s="2" t="s">
        <v>250</v>
      </c>
      <c r="B1310" t="s">
        <v>400</v>
      </c>
      <c r="C1310" s="3">
        <v>0</v>
      </c>
    </row>
    <row r="1311" spans="1:3" x14ac:dyDescent="0.25">
      <c r="A1311" s="2" t="s">
        <v>1532</v>
      </c>
      <c r="B1311" t="s">
        <v>400</v>
      </c>
      <c r="C1311" s="3">
        <v>0</v>
      </c>
    </row>
    <row r="1312" spans="1:3" x14ac:dyDescent="0.25">
      <c r="A1312" s="2" t="s">
        <v>1533</v>
      </c>
      <c r="B1312" t="s">
        <v>405</v>
      </c>
      <c r="C1312" s="3">
        <v>0.19</v>
      </c>
    </row>
    <row r="1313" spans="1:3" x14ac:dyDescent="0.25">
      <c r="A1313" s="2" t="s">
        <v>104</v>
      </c>
      <c r="B1313" t="s">
        <v>400</v>
      </c>
      <c r="C1313" s="3">
        <v>0</v>
      </c>
    </row>
    <row r="1314" spans="1:3" x14ac:dyDescent="0.25">
      <c r="A1314" s="2" t="s">
        <v>1534</v>
      </c>
      <c r="B1314" t="s">
        <v>400</v>
      </c>
      <c r="C1314" s="3">
        <v>0</v>
      </c>
    </row>
    <row r="1315" spans="1:3" x14ac:dyDescent="0.25">
      <c r="A1315" s="2" t="s">
        <v>258</v>
      </c>
      <c r="B1315" t="s">
        <v>400</v>
      </c>
      <c r="C1315" s="3">
        <v>0</v>
      </c>
    </row>
    <row r="1316" spans="1:3" x14ac:dyDescent="0.25">
      <c r="A1316" s="2" t="s">
        <v>1535</v>
      </c>
      <c r="B1316" t="s">
        <v>403</v>
      </c>
      <c r="C1316" s="3">
        <v>0.7</v>
      </c>
    </row>
    <row r="1317" spans="1:3" x14ac:dyDescent="0.25">
      <c r="A1317" s="2" t="s">
        <v>1536</v>
      </c>
      <c r="B1317" t="s">
        <v>400</v>
      </c>
      <c r="C1317" s="3">
        <v>0</v>
      </c>
    </row>
    <row r="1318" spans="1:3" x14ac:dyDescent="0.25">
      <c r="A1318" s="2" t="s">
        <v>1537</v>
      </c>
      <c r="B1318" t="s">
        <v>403</v>
      </c>
      <c r="C1318" s="3">
        <v>0.42</v>
      </c>
    </row>
    <row r="1319" spans="1:3" x14ac:dyDescent="0.25">
      <c r="A1319" s="2" t="s">
        <v>1538</v>
      </c>
      <c r="B1319" t="s">
        <v>400</v>
      </c>
      <c r="C1319" s="3">
        <v>0</v>
      </c>
    </row>
    <row r="1320" spans="1:3" x14ac:dyDescent="0.25">
      <c r="A1320" s="2" t="s">
        <v>1539</v>
      </c>
      <c r="B1320" t="s">
        <v>400</v>
      </c>
      <c r="C1320" s="3">
        <v>0</v>
      </c>
    </row>
    <row r="1321" spans="1:3" x14ac:dyDescent="0.25">
      <c r="A1321" s="2" t="s">
        <v>168</v>
      </c>
      <c r="B1321" t="s">
        <v>407</v>
      </c>
      <c r="C1321" s="3">
        <v>1</v>
      </c>
    </row>
    <row r="1322" spans="1:3" x14ac:dyDescent="0.25">
      <c r="A1322" s="2" t="s">
        <v>149</v>
      </c>
      <c r="B1322" t="s">
        <v>401</v>
      </c>
      <c r="C1322" s="3">
        <v>0</v>
      </c>
    </row>
    <row r="1323" spans="1:3" x14ac:dyDescent="0.25">
      <c r="A1323" s="2" t="s">
        <v>1540</v>
      </c>
      <c r="B1323" t="s">
        <v>400</v>
      </c>
      <c r="C1323" s="3">
        <v>0</v>
      </c>
    </row>
    <row r="1324" spans="1:3" x14ac:dyDescent="0.25">
      <c r="A1324" s="2" t="s">
        <v>1541</v>
      </c>
      <c r="B1324" t="s">
        <v>400</v>
      </c>
      <c r="C1324" s="3">
        <v>0</v>
      </c>
    </row>
    <row r="1325" spans="1:3" x14ac:dyDescent="0.25">
      <c r="A1325" s="2" t="s">
        <v>1542</v>
      </c>
      <c r="B1325" t="s">
        <v>400</v>
      </c>
      <c r="C1325" s="3">
        <v>0</v>
      </c>
    </row>
    <row r="1326" spans="1:3" x14ac:dyDescent="0.25">
      <c r="A1326" s="2" t="s">
        <v>1543</v>
      </c>
      <c r="B1326" t="s">
        <v>400</v>
      </c>
      <c r="C1326" s="3">
        <v>0</v>
      </c>
    </row>
    <row r="1327" spans="1:3" x14ac:dyDescent="0.25">
      <c r="A1327" s="2" t="s">
        <v>1544</v>
      </c>
      <c r="B1327" t="s">
        <v>400</v>
      </c>
      <c r="C1327" s="3">
        <v>0</v>
      </c>
    </row>
  </sheetData>
  <pageMargins left="0.7" right="0.7" top="0.75" bottom="0.75" header="0.3" footer="0.3"/>
  <headerFooter>
    <oddFooter>&amp;C_x000D_&amp;1#&amp;"Aptos"&amp;10&amp;KFFEF00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9EBC-729F-4745-8E19-798AA40BC97E}">
  <dimension ref="C3:V1727"/>
  <sheetViews>
    <sheetView tabSelected="1" workbookViewId="0">
      <selection activeCell="Q2" sqref="Q2"/>
    </sheetView>
  </sheetViews>
  <sheetFormatPr defaultRowHeight="15" x14ac:dyDescent="0.25"/>
  <cols>
    <col min="3" max="3" width="6.85546875" bestFit="1" customWidth="1"/>
    <col min="4" max="4" width="16.28515625" bestFit="1" customWidth="1"/>
    <col min="5" max="5" width="25.140625" bestFit="1" customWidth="1"/>
    <col min="6" max="6" width="20.28515625" bestFit="1" customWidth="1"/>
    <col min="9" max="9" width="15.7109375" bestFit="1" customWidth="1"/>
    <col min="10" max="10" width="25.140625" bestFit="1" customWidth="1"/>
    <col min="11" max="11" width="7" bestFit="1" customWidth="1"/>
  </cols>
  <sheetData>
    <row r="3" spans="3:22" x14ac:dyDescent="0.25">
      <c r="T3" t="s">
        <v>1790</v>
      </c>
    </row>
    <row r="4" spans="3:22" x14ac:dyDescent="0.25">
      <c r="C4" t="s">
        <v>1546</v>
      </c>
      <c r="D4" t="s">
        <v>0</v>
      </c>
      <c r="E4" t="s">
        <v>1</v>
      </c>
      <c r="F4" s="1" t="s">
        <v>2</v>
      </c>
      <c r="I4" t="s">
        <v>0</v>
      </c>
      <c r="J4" t="s">
        <v>1</v>
      </c>
      <c r="K4" t="s">
        <v>2</v>
      </c>
      <c r="L4" t="s">
        <v>1550</v>
      </c>
      <c r="M4" t="s">
        <v>1549</v>
      </c>
      <c r="N4" t="s">
        <v>1791</v>
      </c>
      <c r="T4" t="s">
        <v>1551</v>
      </c>
      <c r="U4" t="s">
        <v>0</v>
      </c>
      <c r="V4" t="s">
        <v>1552</v>
      </c>
    </row>
    <row r="5" spans="3:22" x14ac:dyDescent="0.25">
      <c r="C5" t="s">
        <v>1547</v>
      </c>
      <c r="D5" s="2" t="s">
        <v>3</v>
      </c>
      <c r="E5" t="s">
        <v>399</v>
      </c>
      <c r="F5" s="1">
        <v>1</v>
      </c>
      <c r="I5" t="str" cm="1">
        <f t="array" ref="I5:K1556">_xlfn.LET(_xlpm.a, _xlfn.UNIQUE(D5:F1727),
_xlfn.SORTBY(_xlpm.a, _xlfn.CHOOSECOLS(_xlpm.a,1)))</f>
        <v>AN8068571086</v>
      </c>
      <c r="J5" t="str">
        <v>Excluded</v>
      </c>
      <c r="K5">
        <v>0</v>
      </c>
      <c r="L5" t="str" cm="1">
        <f t="array" ref="L5">_xlfn.TEXTJOIN(",",TRUE,_xlfn._xlws.FILTER($C$5:$C$1727,($D$5:$D$1727=I5)*($E$5:$E$1727=J5)*($F$5:$F$1727=K5)))</f>
        <v>Global</v>
      </c>
      <c r="M5" t="b">
        <f>COUNTIFS($I$5:$I$1556,I5)&gt;1</f>
        <v>0</v>
      </c>
      <c r="N5">
        <f>COUNTIFS($U$5:$U$231,I5)</f>
        <v>0</v>
      </c>
      <c r="T5" t="s">
        <v>1553</v>
      </c>
      <c r="U5" t="s">
        <v>283</v>
      </c>
      <c r="V5" t="s">
        <v>1554</v>
      </c>
    </row>
    <row r="6" spans="3:22" x14ac:dyDescent="0.25">
      <c r="C6" t="s">
        <v>1547</v>
      </c>
      <c r="D6" s="2" t="s">
        <v>4</v>
      </c>
      <c r="E6" t="s">
        <v>400</v>
      </c>
      <c r="F6" s="1">
        <v>0</v>
      </c>
      <c r="I6" t="str">
        <v>AT000000STR1</v>
      </c>
      <c r="J6" t="str">
        <v>Excluded</v>
      </c>
      <c r="K6">
        <v>0</v>
      </c>
      <c r="L6" t="str" cm="1">
        <f t="array" ref="L6">_xlfn.TEXTJOIN(",",TRUE,_xlfn._xlws.FILTER($C$5:$C$1727,($D$5:$D$1727=I6)*($E$5:$E$1727=J6)*($F$5:$F$1727=K6)))</f>
        <v>EZ</v>
      </c>
      <c r="M6" t="b">
        <f t="shared" ref="M6:M69" si="0">COUNTIFS($I$5:$I$1556,I6)&gt;1</f>
        <v>0</v>
      </c>
      <c r="N6">
        <f t="shared" ref="N6:N69" si="1">COUNTIFS($U$5:$U$231,I6)</f>
        <v>0</v>
      </c>
      <c r="T6" t="s">
        <v>1555</v>
      </c>
      <c r="U6" t="s">
        <v>253</v>
      </c>
      <c r="V6" t="s">
        <v>1554</v>
      </c>
    </row>
    <row r="7" spans="3:22" x14ac:dyDescent="0.25">
      <c r="C7" t="s">
        <v>1547</v>
      </c>
      <c r="D7" s="2" t="s">
        <v>5</v>
      </c>
      <c r="E7" t="s">
        <v>399</v>
      </c>
      <c r="F7" s="1">
        <v>1</v>
      </c>
      <c r="I7" t="str">
        <v>AT00000VIE62</v>
      </c>
      <c r="J7" t="str">
        <v>Excluded</v>
      </c>
      <c r="K7">
        <v>0</v>
      </c>
      <c r="L7" t="str" cm="1">
        <f t="array" ref="L7">_xlfn.TEXTJOIN(",",TRUE,_xlfn._xlws.FILTER($C$5:$C$1727,($D$5:$D$1727=I7)*($E$5:$E$1727=J7)*($F$5:$F$1727=K7)))</f>
        <v>EZ</v>
      </c>
      <c r="M7" t="b">
        <f t="shared" si="0"/>
        <v>0</v>
      </c>
      <c r="N7">
        <f t="shared" si="1"/>
        <v>1</v>
      </c>
      <c r="T7" t="s">
        <v>1556</v>
      </c>
      <c r="U7" t="s">
        <v>262</v>
      </c>
      <c r="V7" t="s">
        <v>1557</v>
      </c>
    </row>
    <row r="8" spans="3:22" x14ac:dyDescent="0.25">
      <c r="C8" t="s">
        <v>1547</v>
      </c>
      <c r="D8" s="2" t="s">
        <v>6</v>
      </c>
      <c r="E8" t="s">
        <v>401</v>
      </c>
      <c r="F8" s="1">
        <v>0</v>
      </c>
      <c r="I8" t="str">
        <v>AT0000606306</v>
      </c>
      <c r="J8" t="str">
        <v>Not included in a theme</v>
      </c>
      <c r="K8">
        <v>0</v>
      </c>
      <c r="L8" t="str" cm="1">
        <f t="array" ref="L8">_xlfn.TEXTJOIN(",",TRUE,_xlfn._xlws.FILTER($C$5:$C$1727,($D$5:$D$1727=I8)*($E$5:$E$1727=J8)*($F$5:$F$1727=K8)))</f>
        <v>EZ</v>
      </c>
      <c r="M8" t="b">
        <f t="shared" si="0"/>
        <v>0</v>
      </c>
      <c r="N8">
        <f t="shared" si="1"/>
        <v>1</v>
      </c>
      <c r="T8" t="s">
        <v>1558</v>
      </c>
      <c r="U8" t="s">
        <v>331</v>
      </c>
      <c r="V8" t="s">
        <v>1559</v>
      </c>
    </row>
    <row r="9" spans="3:22" x14ac:dyDescent="0.25">
      <c r="C9" t="s">
        <v>1547</v>
      </c>
      <c r="D9" s="2" t="s">
        <v>7</v>
      </c>
      <c r="E9" t="s">
        <v>402</v>
      </c>
      <c r="F9" s="1">
        <v>0.28999999999999998</v>
      </c>
      <c r="I9" t="str">
        <v>AT0000625108</v>
      </c>
      <c r="J9" t="str">
        <v>Not included in a theme</v>
      </c>
      <c r="K9">
        <v>0</v>
      </c>
      <c r="L9" t="str" cm="1">
        <f t="array" ref="L9">_xlfn.TEXTJOIN(",",TRUE,_xlfn._xlws.FILTER($C$5:$C$1727,($D$5:$D$1727=I9)*($E$5:$E$1727=J9)*($F$5:$F$1727=K9)))</f>
        <v>EZ</v>
      </c>
      <c r="M9" t="b">
        <f t="shared" si="0"/>
        <v>0</v>
      </c>
      <c r="N9">
        <f t="shared" si="1"/>
        <v>1</v>
      </c>
      <c r="T9" t="s">
        <v>1560</v>
      </c>
      <c r="U9" t="s">
        <v>197</v>
      </c>
      <c r="V9" t="s">
        <v>1557</v>
      </c>
    </row>
    <row r="10" spans="3:22" x14ac:dyDescent="0.25">
      <c r="C10" t="s">
        <v>1547</v>
      </c>
      <c r="D10" s="2" t="s">
        <v>8</v>
      </c>
      <c r="E10" t="s">
        <v>400</v>
      </c>
      <c r="F10" s="1">
        <v>0</v>
      </c>
      <c r="I10" t="str">
        <v>AT0000652011</v>
      </c>
      <c r="J10" t="str">
        <v>Not included in a theme</v>
      </c>
      <c r="K10">
        <v>0</v>
      </c>
      <c r="L10" t="str" cm="1">
        <f t="array" ref="L10">_xlfn.TEXTJOIN(",",TRUE,_xlfn._xlws.FILTER($C$5:$C$1727,($D$5:$D$1727=I10)*($E$5:$E$1727=J10)*($F$5:$F$1727=K10)))</f>
        <v>EZ,Global</v>
      </c>
      <c r="M10" t="b">
        <f t="shared" si="0"/>
        <v>0</v>
      </c>
      <c r="N10">
        <f t="shared" si="1"/>
        <v>1</v>
      </c>
      <c r="T10" t="s">
        <v>1561</v>
      </c>
      <c r="U10" t="s">
        <v>62</v>
      </c>
      <c r="V10" t="s">
        <v>1562</v>
      </c>
    </row>
    <row r="11" spans="3:22" x14ac:dyDescent="0.25">
      <c r="C11" t="s">
        <v>1547</v>
      </c>
      <c r="D11" s="2" t="s">
        <v>9</v>
      </c>
      <c r="E11" t="s">
        <v>403</v>
      </c>
      <c r="F11" s="1">
        <v>0.73</v>
      </c>
      <c r="I11" t="str">
        <v>AT0000730007</v>
      </c>
      <c r="J11" t="str">
        <v>Excluded</v>
      </c>
      <c r="K11">
        <v>0</v>
      </c>
      <c r="L11" t="str" cm="1">
        <f t="array" ref="L11">_xlfn.TEXTJOIN(",",TRUE,_xlfn._xlws.FILTER($C$5:$C$1727,($D$5:$D$1727=I11)*($E$5:$E$1727=J11)*($F$5:$F$1727=K11)))</f>
        <v>EZ</v>
      </c>
      <c r="M11" t="b">
        <f t="shared" si="0"/>
        <v>0</v>
      </c>
      <c r="N11">
        <f t="shared" si="1"/>
        <v>0</v>
      </c>
      <c r="T11" t="s">
        <v>1563</v>
      </c>
      <c r="U11" t="s">
        <v>275</v>
      </c>
      <c r="V11" t="s">
        <v>1557</v>
      </c>
    </row>
    <row r="12" spans="3:22" x14ac:dyDescent="0.25">
      <c r="C12" t="s">
        <v>1547</v>
      </c>
      <c r="D12" s="2" t="s">
        <v>10</v>
      </c>
      <c r="E12" t="s">
        <v>400</v>
      </c>
      <c r="F12" s="1">
        <v>0</v>
      </c>
      <c r="I12" t="str">
        <v>AT0000741053</v>
      </c>
      <c r="J12" t="str">
        <v>Excluded</v>
      </c>
      <c r="K12">
        <v>0</v>
      </c>
      <c r="L12" t="str" cm="1">
        <f t="array" ref="L12">_xlfn.TEXTJOIN(",",TRUE,_xlfn._xlws.FILTER($C$5:$C$1727,($D$5:$D$1727=I12)*($E$5:$E$1727=J12)*($F$5:$F$1727=K12)))</f>
        <v>EZ</v>
      </c>
      <c r="M12" t="b">
        <f t="shared" si="0"/>
        <v>0</v>
      </c>
      <c r="N12">
        <f t="shared" si="1"/>
        <v>0</v>
      </c>
      <c r="T12" t="s">
        <v>1564</v>
      </c>
      <c r="U12" t="s">
        <v>120</v>
      </c>
      <c r="V12" t="s">
        <v>1562</v>
      </c>
    </row>
    <row r="13" spans="3:22" x14ac:dyDescent="0.25">
      <c r="C13" t="s">
        <v>1547</v>
      </c>
      <c r="D13" s="2" t="s">
        <v>11</v>
      </c>
      <c r="E13" t="s">
        <v>400</v>
      </c>
      <c r="F13" s="1">
        <v>0</v>
      </c>
      <c r="I13" t="str">
        <v>AT0000743059</v>
      </c>
      <c r="J13" t="str">
        <v>Excluded</v>
      </c>
      <c r="K13">
        <v>0</v>
      </c>
      <c r="L13" t="str" cm="1">
        <f t="array" ref="L13">_xlfn.TEXTJOIN(",",TRUE,_xlfn._xlws.FILTER($C$5:$C$1727,($D$5:$D$1727=I13)*($E$5:$E$1727=J13)*($F$5:$F$1727=K13)))</f>
        <v>EZ,Global</v>
      </c>
      <c r="M13" t="b">
        <f t="shared" si="0"/>
        <v>0</v>
      </c>
      <c r="N13">
        <f t="shared" si="1"/>
        <v>0</v>
      </c>
      <c r="T13" t="s">
        <v>1565</v>
      </c>
      <c r="U13" t="s">
        <v>69</v>
      </c>
      <c r="V13" t="s">
        <v>1562</v>
      </c>
    </row>
    <row r="14" spans="3:22" x14ac:dyDescent="0.25">
      <c r="C14" t="s">
        <v>1547</v>
      </c>
      <c r="D14" s="2" t="s">
        <v>12</v>
      </c>
      <c r="E14" t="s">
        <v>400</v>
      </c>
      <c r="F14" s="1">
        <v>0</v>
      </c>
      <c r="I14" t="str">
        <v>AT0000746409</v>
      </c>
      <c r="J14" t="str">
        <v>Green energy</v>
      </c>
      <c r="K14">
        <v>0.98</v>
      </c>
      <c r="L14" t="str" cm="1">
        <f t="array" ref="L14">_xlfn.TEXTJOIN(",",TRUE,_xlfn._xlws.FILTER($C$5:$C$1727,($D$5:$D$1727=I14)*($E$5:$E$1727=J14)*($F$5:$F$1727=K14)))</f>
        <v>EZ</v>
      </c>
      <c r="M14" t="b">
        <f t="shared" si="0"/>
        <v>0</v>
      </c>
      <c r="N14">
        <f t="shared" si="1"/>
        <v>1</v>
      </c>
      <c r="T14" t="s">
        <v>1566</v>
      </c>
      <c r="U14" t="s">
        <v>221</v>
      </c>
      <c r="V14" t="s">
        <v>1562</v>
      </c>
    </row>
    <row r="15" spans="3:22" x14ac:dyDescent="0.25">
      <c r="C15" t="s">
        <v>1547</v>
      </c>
      <c r="D15" s="2" t="s">
        <v>13</v>
      </c>
      <c r="E15" t="s">
        <v>401</v>
      </c>
      <c r="F15" s="1">
        <v>0</v>
      </c>
      <c r="I15" t="str">
        <v>AT0000821103</v>
      </c>
      <c r="J15" t="str">
        <v>Not included in a theme</v>
      </c>
      <c r="K15">
        <v>0</v>
      </c>
      <c r="L15" t="str" cm="1">
        <f t="array" ref="L15">_xlfn.TEXTJOIN(",",TRUE,_xlfn._xlws.FILTER($C$5:$C$1727,($D$5:$D$1727=I15)*($E$5:$E$1727=J15)*($F$5:$F$1727=K15)))</f>
        <v>EZ</v>
      </c>
      <c r="M15" t="b">
        <f t="shared" si="0"/>
        <v>0</v>
      </c>
      <c r="N15">
        <f t="shared" si="1"/>
        <v>0</v>
      </c>
      <c r="T15" t="s">
        <v>1567</v>
      </c>
      <c r="U15" t="s">
        <v>250</v>
      </c>
      <c r="V15" t="s">
        <v>1557</v>
      </c>
    </row>
    <row r="16" spans="3:22" x14ac:dyDescent="0.25">
      <c r="C16" t="s">
        <v>1547</v>
      </c>
      <c r="D16" s="2" t="s">
        <v>14</v>
      </c>
      <c r="E16" t="s">
        <v>401</v>
      </c>
      <c r="F16" s="1">
        <v>0</v>
      </c>
      <c r="I16" t="str">
        <v>AT0000831706</v>
      </c>
      <c r="J16" t="str">
        <v>Ecoconstruction</v>
      </c>
      <c r="K16">
        <v>0.45</v>
      </c>
      <c r="L16" t="str" cm="1">
        <f t="array" ref="L16">_xlfn.TEXTJOIN(",",TRUE,_xlfn._xlws.FILTER($C$5:$C$1727,($D$5:$D$1727=I16)*($E$5:$E$1727=J16)*($F$5:$F$1727=K16)))</f>
        <v>EZ</v>
      </c>
      <c r="M16" t="b">
        <f t="shared" si="0"/>
        <v>0</v>
      </c>
      <c r="N16">
        <f t="shared" si="1"/>
        <v>1</v>
      </c>
      <c r="T16" t="s">
        <v>1568</v>
      </c>
      <c r="U16" t="s">
        <v>68</v>
      </c>
      <c r="V16" t="s">
        <v>1557</v>
      </c>
    </row>
    <row r="17" spans="3:22" x14ac:dyDescent="0.25">
      <c r="C17" t="s">
        <v>1547</v>
      </c>
      <c r="D17" s="2" t="s">
        <v>15</v>
      </c>
      <c r="E17" t="s">
        <v>401</v>
      </c>
      <c r="F17" s="1">
        <v>0</v>
      </c>
      <c r="I17" t="str">
        <v>AT0000908504</v>
      </c>
      <c r="J17" t="str">
        <v>Excluded</v>
      </c>
      <c r="K17">
        <v>0</v>
      </c>
      <c r="L17" t="str" cm="1">
        <f t="array" ref="L17">_xlfn.TEXTJOIN(",",TRUE,_xlfn._xlws.FILTER($C$5:$C$1727,($D$5:$D$1727=I17)*($E$5:$E$1727=J17)*($F$5:$F$1727=K17)))</f>
        <v>EZ</v>
      </c>
      <c r="M17" t="b">
        <f t="shared" si="0"/>
        <v>0</v>
      </c>
      <c r="N17">
        <f t="shared" si="1"/>
        <v>0</v>
      </c>
      <c r="T17" t="s">
        <v>1569</v>
      </c>
      <c r="U17" t="s">
        <v>84</v>
      </c>
      <c r="V17" t="s">
        <v>1557</v>
      </c>
    </row>
    <row r="18" spans="3:22" x14ac:dyDescent="0.25">
      <c r="C18" t="s">
        <v>1547</v>
      </c>
      <c r="D18" s="2" t="s">
        <v>16</v>
      </c>
      <c r="E18" t="s">
        <v>400</v>
      </c>
      <c r="F18" s="1">
        <v>0</v>
      </c>
      <c r="I18" t="str">
        <v>AT0000937503</v>
      </c>
      <c r="J18" t="str">
        <v>Eco-efficient industries</v>
      </c>
      <c r="K18">
        <v>0.52</v>
      </c>
      <c r="L18" t="str" cm="1">
        <f t="array" ref="L18">_xlfn.TEXTJOIN(",",TRUE,_xlfn._xlws.FILTER($C$5:$C$1727,($D$5:$D$1727=I18)*($E$5:$E$1727=J18)*($F$5:$F$1727=K18)))</f>
        <v>EZ</v>
      </c>
      <c r="M18" t="b">
        <f t="shared" si="0"/>
        <v>0</v>
      </c>
      <c r="N18">
        <f t="shared" si="1"/>
        <v>0</v>
      </c>
      <c r="T18" t="s">
        <v>1570</v>
      </c>
      <c r="U18" t="s">
        <v>365</v>
      </c>
      <c r="V18" t="s">
        <v>1557</v>
      </c>
    </row>
    <row r="19" spans="3:22" x14ac:dyDescent="0.25">
      <c r="C19" t="s">
        <v>1547</v>
      </c>
      <c r="D19" s="2" t="s">
        <v>17</v>
      </c>
      <c r="E19" t="s">
        <v>400</v>
      </c>
      <c r="F19" s="1">
        <v>0</v>
      </c>
      <c r="I19" t="str">
        <v>AT0000BAWAG2</v>
      </c>
      <c r="J19" t="str">
        <v>Not included in a theme</v>
      </c>
      <c r="K19">
        <v>0</v>
      </c>
      <c r="L19" t="str" cm="1">
        <f t="array" ref="L19">_xlfn.TEXTJOIN(",",TRUE,_xlfn._xlws.FILTER($C$5:$C$1727,($D$5:$D$1727=I19)*($E$5:$E$1727=J19)*($F$5:$F$1727=K19)))</f>
        <v>EZ,Global</v>
      </c>
      <c r="M19" t="b">
        <f t="shared" si="0"/>
        <v>0</v>
      </c>
      <c r="N19">
        <f t="shared" si="1"/>
        <v>1</v>
      </c>
      <c r="T19" t="s">
        <v>1571</v>
      </c>
      <c r="U19" t="s">
        <v>83</v>
      </c>
      <c r="V19" t="s">
        <v>1557</v>
      </c>
    </row>
    <row r="20" spans="3:22" x14ac:dyDescent="0.25">
      <c r="C20" t="s">
        <v>1547</v>
      </c>
      <c r="D20" s="2" t="s">
        <v>1545</v>
      </c>
      <c r="E20" t="s">
        <v>400</v>
      </c>
      <c r="F20" s="1">
        <v>0</v>
      </c>
      <c r="I20" t="str">
        <v>AU000000ALL7</v>
      </c>
      <c r="J20" t="str">
        <v>Excluded</v>
      </c>
      <c r="K20">
        <v>0</v>
      </c>
      <c r="L20" t="str" cm="1">
        <f t="array" ref="L20">_xlfn.TEXTJOIN(",",TRUE,_xlfn._xlws.FILTER($C$5:$C$1727,($D$5:$D$1727=I20)*($E$5:$E$1727=J20)*($F$5:$F$1727=K20)))</f>
        <v>Global</v>
      </c>
      <c r="M20" t="b">
        <f t="shared" si="0"/>
        <v>0</v>
      </c>
      <c r="N20">
        <f t="shared" si="1"/>
        <v>0</v>
      </c>
      <c r="T20" t="s">
        <v>1572</v>
      </c>
      <c r="U20" t="s">
        <v>259</v>
      </c>
      <c r="V20" t="s">
        <v>1557</v>
      </c>
    </row>
    <row r="21" spans="3:22" x14ac:dyDescent="0.25">
      <c r="C21" t="s">
        <v>1547</v>
      </c>
      <c r="D21" s="2" t="s">
        <v>18</v>
      </c>
      <c r="E21" t="s">
        <v>404</v>
      </c>
      <c r="F21" s="1">
        <v>0.74</v>
      </c>
      <c r="I21" t="str">
        <v>AU000000ALQ6</v>
      </c>
      <c r="J21" t="str">
        <v>Not included in a theme</v>
      </c>
      <c r="K21">
        <v>0</v>
      </c>
      <c r="L21" t="str" cm="1">
        <f t="array" ref="L21">_xlfn.TEXTJOIN(",",TRUE,_xlfn._xlws.FILTER($C$5:$C$1727,($D$5:$D$1727=I21)*($E$5:$E$1727=J21)*($F$5:$F$1727=K21)))</f>
        <v>Global</v>
      </c>
      <c r="M21" t="b">
        <f t="shared" si="0"/>
        <v>0</v>
      </c>
      <c r="N21">
        <f t="shared" si="1"/>
        <v>0</v>
      </c>
      <c r="T21" t="s">
        <v>1573</v>
      </c>
      <c r="U21" t="s">
        <v>272</v>
      </c>
      <c r="V21" t="s">
        <v>1557</v>
      </c>
    </row>
    <row r="22" spans="3:22" x14ac:dyDescent="0.25">
      <c r="C22" t="s">
        <v>1547</v>
      </c>
      <c r="D22" s="2" t="s">
        <v>19</v>
      </c>
      <c r="E22" t="s">
        <v>400</v>
      </c>
      <c r="F22" s="1">
        <v>0</v>
      </c>
      <c r="I22" t="str">
        <v>AU000000ANZ3</v>
      </c>
      <c r="J22" t="str">
        <v>Excluded</v>
      </c>
      <c r="K22">
        <v>0</v>
      </c>
      <c r="L22" t="str" cm="1">
        <f t="array" ref="L22">_xlfn.TEXTJOIN(",",TRUE,_xlfn._xlws.FILTER($C$5:$C$1727,($D$5:$D$1727=I22)*($E$5:$E$1727=J22)*($F$5:$F$1727=K22)))</f>
        <v>Global</v>
      </c>
      <c r="M22" t="b">
        <f t="shared" si="0"/>
        <v>0</v>
      </c>
      <c r="N22">
        <f t="shared" si="1"/>
        <v>0</v>
      </c>
      <c r="T22" t="s">
        <v>1574</v>
      </c>
      <c r="U22" t="s">
        <v>98</v>
      </c>
      <c r="V22" t="s">
        <v>1557</v>
      </c>
    </row>
    <row r="23" spans="3:22" x14ac:dyDescent="0.25">
      <c r="C23" t="s">
        <v>1547</v>
      </c>
      <c r="D23" s="2" t="s">
        <v>20</v>
      </c>
      <c r="E23" t="s">
        <v>400</v>
      </c>
      <c r="F23" s="1">
        <v>0</v>
      </c>
      <c r="I23" t="str">
        <v>AU000000APA1</v>
      </c>
      <c r="J23" t="str">
        <v>Excluded</v>
      </c>
      <c r="K23">
        <v>0</v>
      </c>
      <c r="L23" t="str" cm="1">
        <f t="array" ref="L23">_xlfn.TEXTJOIN(",",TRUE,_xlfn._xlws.FILTER($C$5:$C$1727,($D$5:$D$1727=I23)*($E$5:$E$1727=J23)*($F$5:$F$1727=K23)))</f>
        <v>Global</v>
      </c>
      <c r="M23" t="b">
        <f t="shared" si="0"/>
        <v>0</v>
      </c>
      <c r="N23">
        <f t="shared" si="1"/>
        <v>0</v>
      </c>
      <c r="T23" t="s">
        <v>1575</v>
      </c>
      <c r="U23" t="s">
        <v>81</v>
      </c>
      <c r="V23" t="s">
        <v>1557</v>
      </c>
    </row>
    <row r="24" spans="3:22" x14ac:dyDescent="0.25">
      <c r="C24" t="s">
        <v>1547</v>
      </c>
      <c r="D24" s="2" t="s">
        <v>21</v>
      </c>
      <c r="E24" t="s">
        <v>400</v>
      </c>
      <c r="F24" s="1">
        <v>0</v>
      </c>
      <c r="I24" t="str">
        <v>AU000000ASX7</v>
      </c>
      <c r="J24" t="str">
        <v>Excluded</v>
      </c>
      <c r="K24">
        <v>0</v>
      </c>
      <c r="L24" t="str" cm="1">
        <f t="array" ref="L24">_xlfn.TEXTJOIN(",",TRUE,_xlfn._xlws.FILTER($C$5:$C$1727,($D$5:$D$1727=I24)*($E$5:$E$1727=J24)*($F$5:$F$1727=K24)))</f>
        <v>Global</v>
      </c>
      <c r="M24" t="b">
        <f t="shared" si="0"/>
        <v>0</v>
      </c>
      <c r="N24">
        <f t="shared" si="1"/>
        <v>0</v>
      </c>
      <c r="T24" t="s">
        <v>1576</v>
      </c>
      <c r="U24" t="s">
        <v>303</v>
      </c>
      <c r="V24" t="s">
        <v>1557</v>
      </c>
    </row>
    <row r="25" spans="3:22" x14ac:dyDescent="0.25">
      <c r="C25" t="s">
        <v>1547</v>
      </c>
      <c r="D25" s="2" t="s">
        <v>22</v>
      </c>
      <c r="E25" t="s">
        <v>401</v>
      </c>
      <c r="F25" s="1">
        <v>0</v>
      </c>
      <c r="I25" t="str">
        <v>AU000000BHP4</v>
      </c>
      <c r="J25" t="str">
        <v>Excluded</v>
      </c>
      <c r="K25">
        <v>0</v>
      </c>
      <c r="L25" t="str" cm="1">
        <f t="array" ref="L25">_xlfn.TEXTJOIN(",",TRUE,_xlfn._xlws.FILTER($C$5:$C$1727,($D$5:$D$1727=I25)*($E$5:$E$1727=J25)*($F$5:$F$1727=K25)))</f>
        <v>Global</v>
      </c>
      <c r="M25" t="b">
        <f t="shared" si="0"/>
        <v>0</v>
      </c>
      <c r="N25">
        <f t="shared" si="1"/>
        <v>0</v>
      </c>
      <c r="T25" t="s">
        <v>1577</v>
      </c>
      <c r="U25" t="s">
        <v>79</v>
      </c>
      <c r="V25" t="s">
        <v>1557</v>
      </c>
    </row>
    <row r="26" spans="3:22" x14ac:dyDescent="0.25">
      <c r="C26" t="s">
        <v>1547</v>
      </c>
      <c r="D26" s="2" t="s">
        <v>23</v>
      </c>
      <c r="E26" t="s">
        <v>401</v>
      </c>
      <c r="F26" s="1">
        <v>0</v>
      </c>
      <c r="I26" t="str">
        <v>AU000000BSL0</v>
      </c>
      <c r="J26" t="str">
        <v>Eco-efficient industries</v>
      </c>
      <c r="K26">
        <v>0.12</v>
      </c>
      <c r="L26" t="str" cm="1">
        <f t="array" ref="L26">_xlfn.TEXTJOIN(",",TRUE,_xlfn._xlws.FILTER($C$5:$C$1727,($D$5:$D$1727=I26)*($E$5:$E$1727=J26)*($F$5:$F$1727=K26)))</f>
        <v>Global</v>
      </c>
      <c r="M26" t="b">
        <f t="shared" si="0"/>
        <v>0</v>
      </c>
      <c r="N26">
        <f t="shared" si="1"/>
        <v>0</v>
      </c>
      <c r="T26" t="s">
        <v>1578</v>
      </c>
      <c r="U26" t="s">
        <v>183</v>
      </c>
      <c r="V26" t="s">
        <v>1557</v>
      </c>
    </row>
    <row r="27" spans="3:22" x14ac:dyDescent="0.25">
      <c r="C27" t="s">
        <v>1547</v>
      </c>
      <c r="D27" s="2" t="s">
        <v>24</v>
      </c>
      <c r="E27" t="s">
        <v>401</v>
      </c>
      <c r="F27" s="1">
        <v>0</v>
      </c>
      <c r="I27" t="str">
        <v>AU000000BXB1</v>
      </c>
      <c r="J27" t="str">
        <v>Agriculture and forestry</v>
      </c>
      <c r="K27">
        <v>1</v>
      </c>
      <c r="L27" t="str" cm="1">
        <f t="array" ref="L27">_xlfn.TEXTJOIN(",",TRUE,_xlfn._xlws.FILTER($C$5:$C$1727,($D$5:$D$1727=I27)*($E$5:$E$1727=J27)*($F$5:$F$1727=K27)))</f>
        <v>Global</v>
      </c>
      <c r="M27" t="b">
        <f t="shared" si="0"/>
        <v>0</v>
      </c>
      <c r="N27">
        <f t="shared" si="1"/>
        <v>0</v>
      </c>
      <c r="T27" t="s">
        <v>1579</v>
      </c>
      <c r="U27" t="s">
        <v>50</v>
      </c>
      <c r="V27" t="s">
        <v>1557</v>
      </c>
    </row>
    <row r="28" spans="3:22" x14ac:dyDescent="0.25">
      <c r="C28" t="s">
        <v>1547</v>
      </c>
      <c r="D28" s="2" t="s">
        <v>25</v>
      </c>
      <c r="E28" t="s">
        <v>401</v>
      </c>
      <c r="F28" s="1">
        <v>0</v>
      </c>
      <c r="I28" t="str">
        <v>AU000000CAR3</v>
      </c>
      <c r="J28" t="str">
        <v>Circular economy</v>
      </c>
      <c r="K28">
        <v>1</v>
      </c>
      <c r="L28" t="str" cm="1">
        <f t="array" ref="L28">_xlfn.TEXTJOIN(",",TRUE,_xlfn._xlws.FILTER($C$5:$C$1727,($D$5:$D$1727=I28)*($E$5:$E$1727=J28)*($F$5:$F$1727=K28)))</f>
        <v>Global</v>
      </c>
      <c r="M28" t="b">
        <f t="shared" si="0"/>
        <v>0</v>
      </c>
      <c r="N28">
        <f t="shared" si="1"/>
        <v>0</v>
      </c>
      <c r="T28" t="s">
        <v>1580</v>
      </c>
      <c r="U28" t="s">
        <v>108</v>
      </c>
      <c r="V28" t="s">
        <v>1557</v>
      </c>
    </row>
    <row r="29" spans="3:22" x14ac:dyDescent="0.25">
      <c r="C29" t="s">
        <v>1547</v>
      </c>
      <c r="D29" s="2" t="s">
        <v>26</v>
      </c>
      <c r="E29" t="s">
        <v>400</v>
      </c>
      <c r="F29" s="1">
        <v>0</v>
      </c>
      <c r="I29" t="str">
        <v>AU000000CBA7</v>
      </c>
      <c r="J29" t="str">
        <v>Excluded</v>
      </c>
      <c r="K29">
        <v>0</v>
      </c>
      <c r="L29" t="str" cm="1">
        <f t="array" ref="L29">_xlfn.TEXTJOIN(",",TRUE,_xlfn._xlws.FILTER($C$5:$C$1727,($D$5:$D$1727=I29)*($E$5:$E$1727=J29)*($F$5:$F$1727=K29)))</f>
        <v>Global</v>
      </c>
      <c r="M29" t="b">
        <f t="shared" si="0"/>
        <v>0</v>
      </c>
      <c r="N29">
        <f t="shared" si="1"/>
        <v>0</v>
      </c>
      <c r="T29" t="s">
        <v>1581</v>
      </c>
      <c r="U29" t="s">
        <v>266</v>
      </c>
      <c r="V29" t="s">
        <v>1557</v>
      </c>
    </row>
    <row r="30" spans="3:22" x14ac:dyDescent="0.25">
      <c r="C30" t="s">
        <v>1547</v>
      </c>
      <c r="D30" s="2" t="s">
        <v>27</v>
      </c>
      <c r="E30" t="s">
        <v>400</v>
      </c>
      <c r="F30" s="1">
        <v>0</v>
      </c>
      <c r="I30" t="str">
        <v>AU000000CHC0</v>
      </c>
      <c r="J30" t="str">
        <v>Ecoconstruction</v>
      </c>
      <c r="K30">
        <v>0.65</v>
      </c>
      <c r="L30" t="str" cm="1">
        <f t="array" ref="L30">_xlfn.TEXTJOIN(",",TRUE,_xlfn._xlws.FILTER($C$5:$C$1727,($D$5:$D$1727=I30)*($E$5:$E$1727=J30)*($F$5:$F$1727=K30)))</f>
        <v>Global</v>
      </c>
      <c r="M30" t="b">
        <f t="shared" si="0"/>
        <v>0</v>
      </c>
      <c r="N30">
        <f t="shared" si="1"/>
        <v>0</v>
      </c>
      <c r="T30" t="s">
        <v>1582</v>
      </c>
      <c r="U30" t="s">
        <v>211</v>
      </c>
      <c r="V30" t="s">
        <v>1557</v>
      </c>
    </row>
    <row r="31" spans="3:22" x14ac:dyDescent="0.25">
      <c r="C31" t="s">
        <v>1547</v>
      </c>
      <c r="D31" s="2" t="s">
        <v>28</v>
      </c>
      <c r="E31" t="s">
        <v>400</v>
      </c>
      <c r="F31" s="1">
        <v>0</v>
      </c>
      <c r="I31" t="str">
        <v>AU000000COH5</v>
      </c>
      <c r="J31" t="str">
        <v>Not included in a theme</v>
      </c>
      <c r="K31">
        <v>0</v>
      </c>
      <c r="L31" t="str" cm="1">
        <f t="array" ref="L31">_xlfn.TEXTJOIN(",",TRUE,_xlfn._xlws.FILTER($C$5:$C$1727,($D$5:$D$1727=I31)*($E$5:$E$1727=J31)*($F$5:$F$1727=K31)))</f>
        <v>Global</v>
      </c>
      <c r="M31" t="b">
        <f t="shared" si="0"/>
        <v>0</v>
      </c>
      <c r="N31">
        <f t="shared" si="1"/>
        <v>0</v>
      </c>
      <c r="T31" t="s">
        <v>1583</v>
      </c>
      <c r="U31" t="s">
        <v>144</v>
      </c>
      <c r="V31" t="s">
        <v>1557</v>
      </c>
    </row>
    <row r="32" spans="3:22" x14ac:dyDescent="0.25">
      <c r="C32" t="s">
        <v>1547</v>
      </c>
      <c r="D32" s="2" t="s">
        <v>29</v>
      </c>
      <c r="E32" t="s">
        <v>400</v>
      </c>
      <c r="F32" s="1">
        <v>0</v>
      </c>
      <c r="I32" t="str">
        <v>AU000000CPU5</v>
      </c>
      <c r="J32" t="str">
        <v>Excluded</v>
      </c>
      <c r="K32">
        <v>0</v>
      </c>
      <c r="L32" t="str" cm="1">
        <f t="array" ref="L32">_xlfn.TEXTJOIN(",",TRUE,_xlfn._xlws.FILTER($C$5:$C$1727,($D$5:$D$1727=I32)*($E$5:$E$1727=J32)*($F$5:$F$1727=K32)))</f>
        <v>Global</v>
      </c>
      <c r="M32" t="b">
        <f t="shared" si="0"/>
        <v>0</v>
      </c>
      <c r="N32">
        <f t="shared" si="1"/>
        <v>0</v>
      </c>
      <c r="T32" t="s">
        <v>1584</v>
      </c>
      <c r="U32" t="s">
        <v>205</v>
      </c>
      <c r="V32" t="s">
        <v>1557</v>
      </c>
    </row>
    <row r="33" spans="3:22" x14ac:dyDescent="0.25">
      <c r="C33" t="s">
        <v>1547</v>
      </c>
      <c r="D33" s="2" t="s">
        <v>30</v>
      </c>
      <c r="E33" t="s">
        <v>401</v>
      </c>
      <c r="F33" s="1">
        <v>0</v>
      </c>
      <c r="I33" t="str">
        <v>AU000000CSL8</v>
      </c>
      <c r="J33" t="str">
        <v>Not included in a theme</v>
      </c>
      <c r="K33">
        <v>0</v>
      </c>
      <c r="L33" t="str" cm="1">
        <f t="array" ref="L33">_xlfn.TEXTJOIN(",",TRUE,_xlfn._xlws.FILTER($C$5:$C$1727,($D$5:$D$1727=I33)*($E$5:$E$1727=J33)*($F$5:$F$1727=K33)))</f>
        <v>Global</v>
      </c>
      <c r="M33" t="b">
        <f t="shared" si="0"/>
        <v>0</v>
      </c>
      <c r="N33">
        <f t="shared" si="1"/>
        <v>0</v>
      </c>
      <c r="T33" t="s">
        <v>1585</v>
      </c>
      <c r="U33" t="s">
        <v>321</v>
      </c>
      <c r="V33" t="s">
        <v>1557</v>
      </c>
    </row>
    <row r="34" spans="3:22" x14ac:dyDescent="0.25">
      <c r="C34" t="s">
        <v>1547</v>
      </c>
      <c r="D34" s="2" t="s">
        <v>31</v>
      </c>
      <c r="E34" t="s">
        <v>401</v>
      </c>
      <c r="F34" s="1">
        <v>0</v>
      </c>
      <c r="I34" t="str">
        <v>AU000000EVN4</v>
      </c>
      <c r="J34" t="str">
        <v>Excluded</v>
      </c>
      <c r="K34">
        <v>0</v>
      </c>
      <c r="L34" t="str" cm="1">
        <f t="array" ref="L34">_xlfn.TEXTJOIN(",",TRUE,_xlfn._xlws.FILTER($C$5:$C$1727,($D$5:$D$1727=I34)*($E$5:$E$1727=J34)*($F$5:$F$1727=K34)))</f>
        <v>Global</v>
      </c>
      <c r="M34" t="b">
        <f t="shared" si="0"/>
        <v>0</v>
      </c>
      <c r="N34">
        <f t="shared" si="1"/>
        <v>0</v>
      </c>
      <c r="T34" t="s">
        <v>1586</v>
      </c>
      <c r="U34" t="s">
        <v>224</v>
      </c>
      <c r="V34" t="s">
        <v>1557</v>
      </c>
    </row>
    <row r="35" spans="3:22" x14ac:dyDescent="0.25">
      <c r="C35" t="s">
        <v>1547</v>
      </c>
      <c r="D35" s="2" t="s">
        <v>32</v>
      </c>
      <c r="E35" t="s">
        <v>403</v>
      </c>
      <c r="F35" s="1">
        <v>0.22</v>
      </c>
      <c r="I35" t="str">
        <v>AU000000FMG4</v>
      </c>
      <c r="J35" t="str">
        <v>Excluded</v>
      </c>
      <c r="K35">
        <v>0</v>
      </c>
      <c r="L35" t="str" cm="1">
        <f t="array" ref="L35">_xlfn.TEXTJOIN(",",TRUE,_xlfn._xlws.FILTER($C$5:$C$1727,($D$5:$D$1727=I35)*($E$5:$E$1727=J35)*($F$5:$F$1727=K35)))</f>
        <v>Global</v>
      </c>
      <c r="M35" t="b">
        <f t="shared" si="0"/>
        <v>0</v>
      </c>
      <c r="N35">
        <f t="shared" si="1"/>
        <v>0</v>
      </c>
      <c r="T35" t="s">
        <v>1587</v>
      </c>
      <c r="U35" t="s">
        <v>170</v>
      </c>
      <c r="V35" t="s">
        <v>1559</v>
      </c>
    </row>
    <row r="36" spans="3:22" x14ac:dyDescent="0.25">
      <c r="C36" t="s">
        <v>1547</v>
      </c>
      <c r="D36" s="2" t="s">
        <v>33</v>
      </c>
      <c r="E36" t="s">
        <v>400</v>
      </c>
      <c r="F36" s="1">
        <v>0</v>
      </c>
      <c r="I36" t="str">
        <v>AU000000GMG2</v>
      </c>
      <c r="J36" t="str">
        <v>Ecoconstruction</v>
      </c>
      <c r="K36">
        <v>0.28999999999999998</v>
      </c>
      <c r="L36" t="str" cm="1">
        <f t="array" ref="L36">_xlfn.TEXTJOIN(",",TRUE,_xlfn._xlws.FILTER($C$5:$C$1727,($D$5:$D$1727=I36)*($E$5:$E$1727=J36)*($F$5:$F$1727=K36)))</f>
        <v>Global</v>
      </c>
      <c r="M36" t="b">
        <f t="shared" si="0"/>
        <v>0</v>
      </c>
      <c r="N36">
        <f t="shared" si="1"/>
        <v>0</v>
      </c>
      <c r="T36" t="s">
        <v>1588</v>
      </c>
      <c r="U36" t="s">
        <v>227</v>
      </c>
      <c r="V36" t="s">
        <v>1559</v>
      </c>
    </row>
    <row r="37" spans="3:22" x14ac:dyDescent="0.25">
      <c r="C37" t="s">
        <v>1547</v>
      </c>
      <c r="D37" s="2" t="s">
        <v>34</v>
      </c>
      <c r="E37" t="s">
        <v>401</v>
      </c>
      <c r="F37" s="1">
        <v>0</v>
      </c>
      <c r="I37" t="str">
        <v>AU000000GPT8</v>
      </c>
      <c r="J37" t="str">
        <v>Excluded</v>
      </c>
      <c r="K37">
        <v>0</v>
      </c>
      <c r="L37" t="str" cm="1">
        <f t="array" ref="L37">_xlfn.TEXTJOIN(",",TRUE,_xlfn._xlws.FILTER($C$5:$C$1727,($D$5:$D$1727=I37)*($E$5:$E$1727=J37)*($F$5:$F$1727=K37)))</f>
        <v>Global</v>
      </c>
      <c r="M37" t="b">
        <f t="shared" si="0"/>
        <v>0</v>
      </c>
      <c r="N37">
        <f t="shared" si="1"/>
        <v>0</v>
      </c>
      <c r="T37" t="s">
        <v>1589</v>
      </c>
      <c r="U37" t="s">
        <v>88</v>
      </c>
      <c r="V37" t="s">
        <v>1559</v>
      </c>
    </row>
    <row r="38" spans="3:22" x14ac:dyDescent="0.25">
      <c r="C38" t="s">
        <v>1547</v>
      </c>
      <c r="D38" s="2" t="s">
        <v>35</v>
      </c>
      <c r="E38" t="s">
        <v>401</v>
      </c>
      <c r="F38" s="1">
        <v>0</v>
      </c>
      <c r="I38" t="str">
        <v>AU000000IAG3</v>
      </c>
      <c r="J38" t="str">
        <v>Not included in a theme</v>
      </c>
      <c r="K38">
        <v>0</v>
      </c>
      <c r="L38" t="str" cm="1">
        <f t="array" ref="L38">_xlfn.TEXTJOIN(",",TRUE,_xlfn._xlws.FILTER($C$5:$C$1727,($D$5:$D$1727=I38)*($E$5:$E$1727=J38)*($F$5:$F$1727=K38)))</f>
        <v>Global</v>
      </c>
      <c r="M38" t="b">
        <f t="shared" si="0"/>
        <v>0</v>
      </c>
      <c r="N38">
        <f t="shared" si="1"/>
        <v>0</v>
      </c>
      <c r="T38" t="s">
        <v>1590</v>
      </c>
      <c r="U38" t="s">
        <v>229</v>
      </c>
      <c r="V38" t="s">
        <v>1559</v>
      </c>
    </row>
    <row r="39" spans="3:22" x14ac:dyDescent="0.25">
      <c r="C39" t="s">
        <v>1547</v>
      </c>
      <c r="D39" s="2" t="s">
        <v>36</v>
      </c>
      <c r="E39" t="s">
        <v>400</v>
      </c>
      <c r="F39" s="1">
        <v>0</v>
      </c>
      <c r="I39" t="str">
        <v>AU000000JBH7</v>
      </c>
      <c r="J39" t="str">
        <v>Not included in a theme</v>
      </c>
      <c r="K39">
        <v>0</v>
      </c>
      <c r="L39" t="str" cm="1">
        <f t="array" ref="L39">_xlfn.TEXTJOIN(",",TRUE,_xlfn._xlws.FILTER($C$5:$C$1727,($D$5:$D$1727=I39)*($E$5:$E$1727=J39)*($F$5:$F$1727=K39)))</f>
        <v>Global</v>
      </c>
      <c r="M39" t="b">
        <f t="shared" si="0"/>
        <v>0</v>
      </c>
      <c r="N39">
        <f t="shared" si="1"/>
        <v>0</v>
      </c>
      <c r="T39" t="s">
        <v>1591</v>
      </c>
      <c r="U39" t="s">
        <v>158</v>
      </c>
      <c r="V39" t="s">
        <v>1559</v>
      </c>
    </row>
    <row r="40" spans="3:22" x14ac:dyDescent="0.25">
      <c r="C40" t="s">
        <v>1547</v>
      </c>
      <c r="D40" s="2" t="s">
        <v>37</v>
      </c>
      <c r="E40" t="s">
        <v>401</v>
      </c>
      <c r="F40" s="1">
        <v>0</v>
      </c>
      <c r="I40" t="str">
        <v>AU000000LYC6</v>
      </c>
      <c r="J40" t="str">
        <v>Excluded</v>
      </c>
      <c r="K40">
        <v>0</v>
      </c>
      <c r="L40" t="str" cm="1">
        <f t="array" ref="L40">_xlfn.TEXTJOIN(",",TRUE,_xlfn._xlws.FILTER($C$5:$C$1727,($D$5:$D$1727=I40)*($E$5:$E$1727=J40)*($F$5:$F$1727=K40)))</f>
        <v>Global</v>
      </c>
      <c r="M40" t="b">
        <f t="shared" si="0"/>
        <v>0</v>
      </c>
      <c r="N40">
        <f t="shared" si="1"/>
        <v>0</v>
      </c>
      <c r="T40" t="s">
        <v>1592</v>
      </c>
      <c r="U40" t="s">
        <v>246</v>
      </c>
      <c r="V40" t="s">
        <v>1559</v>
      </c>
    </row>
    <row r="41" spans="3:22" x14ac:dyDescent="0.25">
      <c r="C41" t="s">
        <v>1547</v>
      </c>
      <c r="D41" s="2" t="s">
        <v>38</v>
      </c>
      <c r="E41" t="s">
        <v>400</v>
      </c>
      <c r="F41" s="1">
        <v>0</v>
      </c>
      <c r="I41" t="str">
        <v>AU000000MPL3</v>
      </c>
      <c r="J41" t="str">
        <v>Not included in a theme</v>
      </c>
      <c r="K41">
        <v>0</v>
      </c>
      <c r="L41" t="str" cm="1">
        <f t="array" ref="L41">_xlfn.TEXTJOIN(",",TRUE,_xlfn._xlws.FILTER($C$5:$C$1727,($D$5:$D$1727=I41)*($E$5:$E$1727=J41)*($F$5:$F$1727=K41)))</f>
        <v>Global</v>
      </c>
      <c r="M41" t="b">
        <f t="shared" si="0"/>
        <v>0</v>
      </c>
      <c r="N41">
        <f t="shared" si="1"/>
        <v>0</v>
      </c>
      <c r="T41" t="s">
        <v>1593</v>
      </c>
      <c r="U41" t="s">
        <v>228</v>
      </c>
      <c r="V41" t="s">
        <v>1559</v>
      </c>
    </row>
    <row r="42" spans="3:22" x14ac:dyDescent="0.25">
      <c r="C42" t="s">
        <v>1547</v>
      </c>
      <c r="D42" s="2" t="s">
        <v>39</v>
      </c>
      <c r="E42" t="s">
        <v>401</v>
      </c>
      <c r="F42" s="1">
        <v>0</v>
      </c>
      <c r="I42" t="str">
        <v>AU000000MQG1</v>
      </c>
      <c r="J42" t="str">
        <v>Excluded</v>
      </c>
      <c r="K42">
        <v>0</v>
      </c>
      <c r="L42" t="str" cm="1">
        <f t="array" ref="L42">_xlfn.TEXTJOIN(",",TRUE,_xlfn._xlws.FILTER($C$5:$C$1727,($D$5:$D$1727=I42)*($E$5:$E$1727=J42)*($F$5:$F$1727=K42)))</f>
        <v>Global</v>
      </c>
      <c r="M42" t="b">
        <f t="shared" si="0"/>
        <v>0</v>
      </c>
      <c r="N42">
        <f t="shared" si="1"/>
        <v>0</v>
      </c>
      <c r="T42" t="s">
        <v>1594</v>
      </c>
      <c r="U42" t="s">
        <v>263</v>
      </c>
      <c r="V42" t="s">
        <v>1559</v>
      </c>
    </row>
    <row r="43" spans="3:22" x14ac:dyDescent="0.25">
      <c r="C43" t="s">
        <v>1547</v>
      </c>
      <c r="D43" s="2" t="s">
        <v>40</v>
      </c>
      <c r="E43" t="s">
        <v>405</v>
      </c>
      <c r="F43" s="1">
        <v>0.19</v>
      </c>
      <c r="I43" t="str">
        <v>AU000000NAB4</v>
      </c>
      <c r="J43" t="str">
        <v>Excluded</v>
      </c>
      <c r="K43">
        <v>0</v>
      </c>
      <c r="L43" t="str" cm="1">
        <f t="array" ref="L43">_xlfn.TEXTJOIN(",",TRUE,_xlfn._xlws.FILTER($C$5:$C$1727,($D$5:$D$1727=I43)*($E$5:$E$1727=J43)*($F$5:$F$1727=K43)))</f>
        <v>Global</v>
      </c>
      <c r="M43" t="b">
        <f t="shared" si="0"/>
        <v>0</v>
      </c>
      <c r="N43">
        <f t="shared" si="1"/>
        <v>0</v>
      </c>
      <c r="T43" t="s">
        <v>1595</v>
      </c>
      <c r="U43" t="s">
        <v>86</v>
      </c>
      <c r="V43" t="s">
        <v>1559</v>
      </c>
    </row>
    <row r="44" spans="3:22" x14ac:dyDescent="0.25">
      <c r="C44" t="s">
        <v>1547</v>
      </c>
      <c r="D44" s="2" t="s">
        <v>41</v>
      </c>
      <c r="E44" t="s">
        <v>400</v>
      </c>
      <c r="F44" s="1">
        <v>0</v>
      </c>
      <c r="I44" t="str">
        <v>AU000000NST8</v>
      </c>
      <c r="J44" t="str">
        <v>Excluded</v>
      </c>
      <c r="K44">
        <v>0</v>
      </c>
      <c r="L44" t="str" cm="1">
        <f t="array" ref="L44">_xlfn.TEXTJOIN(",",TRUE,_xlfn._xlws.FILTER($C$5:$C$1727,($D$5:$D$1727=I44)*($E$5:$E$1727=J44)*($F$5:$F$1727=K44)))</f>
        <v>Global</v>
      </c>
      <c r="M44" t="b">
        <f t="shared" si="0"/>
        <v>0</v>
      </c>
      <c r="N44">
        <f t="shared" si="1"/>
        <v>0</v>
      </c>
      <c r="T44" t="s">
        <v>1596</v>
      </c>
      <c r="U44" t="s">
        <v>46</v>
      </c>
      <c r="V44" t="s">
        <v>1559</v>
      </c>
    </row>
    <row r="45" spans="3:22" x14ac:dyDescent="0.25">
      <c r="C45" t="s">
        <v>1547</v>
      </c>
      <c r="D45" s="2" t="s">
        <v>42</v>
      </c>
      <c r="E45" t="s">
        <v>400</v>
      </c>
      <c r="F45" s="1">
        <v>0</v>
      </c>
      <c r="I45" t="str">
        <v>AU000000ORG5</v>
      </c>
      <c r="J45" t="str">
        <v>Excluded</v>
      </c>
      <c r="K45">
        <v>0</v>
      </c>
      <c r="L45" t="str" cm="1">
        <f t="array" ref="L45">_xlfn.TEXTJOIN(",",TRUE,_xlfn._xlws.FILTER($C$5:$C$1727,($D$5:$D$1727=I45)*($E$5:$E$1727=J45)*($F$5:$F$1727=K45)))</f>
        <v>Global</v>
      </c>
      <c r="M45" t="b">
        <f t="shared" si="0"/>
        <v>0</v>
      </c>
      <c r="N45">
        <f t="shared" si="1"/>
        <v>0</v>
      </c>
      <c r="T45" t="s">
        <v>1597</v>
      </c>
      <c r="U45" t="s">
        <v>35</v>
      </c>
      <c r="V45" t="s">
        <v>1562</v>
      </c>
    </row>
    <row r="46" spans="3:22" x14ac:dyDescent="0.25">
      <c r="C46" t="s">
        <v>1547</v>
      </c>
      <c r="D46" s="2" t="s">
        <v>43</v>
      </c>
      <c r="E46" t="s">
        <v>401</v>
      </c>
      <c r="F46" s="1">
        <v>0</v>
      </c>
      <c r="I46" t="str">
        <v>AU000000ORI1</v>
      </c>
      <c r="J46" t="str">
        <v>Excluded</v>
      </c>
      <c r="K46">
        <v>0</v>
      </c>
      <c r="L46" t="str" cm="1">
        <f t="array" ref="L46">_xlfn.TEXTJOIN(",",TRUE,_xlfn._xlws.FILTER($C$5:$C$1727,($D$5:$D$1727=I46)*($E$5:$E$1727=J46)*($F$5:$F$1727=K46)))</f>
        <v>Global</v>
      </c>
      <c r="M46" t="b">
        <f t="shared" si="0"/>
        <v>0</v>
      </c>
      <c r="N46">
        <f t="shared" si="1"/>
        <v>0</v>
      </c>
      <c r="T46" t="s">
        <v>1598</v>
      </c>
      <c r="U46" t="s">
        <v>285</v>
      </c>
      <c r="V46" t="s">
        <v>1562</v>
      </c>
    </row>
    <row r="47" spans="3:22" x14ac:dyDescent="0.25">
      <c r="C47" t="s">
        <v>1547</v>
      </c>
      <c r="D47" s="2" t="s">
        <v>44</v>
      </c>
      <c r="E47" t="s">
        <v>400</v>
      </c>
      <c r="F47" s="1">
        <v>0</v>
      </c>
      <c r="I47" t="str">
        <v>AU000000PLS0</v>
      </c>
      <c r="J47" t="str">
        <v>Excluded</v>
      </c>
      <c r="K47">
        <v>0</v>
      </c>
      <c r="L47" t="str" cm="1">
        <f t="array" ref="L47">_xlfn.TEXTJOIN(",",TRUE,_xlfn._xlws.FILTER($C$5:$C$1727,($D$5:$D$1727=I47)*($E$5:$E$1727=J47)*($F$5:$F$1727=K47)))</f>
        <v>Global</v>
      </c>
      <c r="M47" t="b">
        <f t="shared" si="0"/>
        <v>0</v>
      </c>
      <c r="N47">
        <f t="shared" si="1"/>
        <v>0</v>
      </c>
      <c r="T47" t="s">
        <v>1599</v>
      </c>
      <c r="U47" t="s">
        <v>349</v>
      </c>
      <c r="V47" t="s">
        <v>1562</v>
      </c>
    </row>
    <row r="48" spans="3:22" x14ac:dyDescent="0.25">
      <c r="C48" t="s">
        <v>1547</v>
      </c>
      <c r="D48" s="2" t="s">
        <v>45</v>
      </c>
      <c r="E48" t="s">
        <v>400</v>
      </c>
      <c r="F48" s="1">
        <v>0</v>
      </c>
      <c r="I48" t="str">
        <v>AU000000PME8</v>
      </c>
      <c r="J48" t="str">
        <v>Excluded</v>
      </c>
      <c r="K48">
        <v>0</v>
      </c>
      <c r="L48" t="str" cm="1">
        <f t="array" ref="L48">_xlfn.TEXTJOIN(",",TRUE,_xlfn._xlws.FILTER($C$5:$C$1727,($D$5:$D$1727=I48)*($E$5:$E$1727=J48)*($F$5:$F$1727=K48)))</f>
        <v>Global</v>
      </c>
      <c r="M48" t="b">
        <f t="shared" si="0"/>
        <v>0</v>
      </c>
      <c r="N48">
        <f t="shared" si="1"/>
        <v>0</v>
      </c>
      <c r="T48" t="s">
        <v>1600</v>
      </c>
      <c r="U48" t="s">
        <v>12</v>
      </c>
      <c r="V48" t="s">
        <v>1562</v>
      </c>
    </row>
    <row r="49" spans="3:22" x14ac:dyDescent="0.25">
      <c r="C49" t="s">
        <v>1547</v>
      </c>
      <c r="D49" s="2" t="s">
        <v>46</v>
      </c>
      <c r="E49" t="s">
        <v>401</v>
      </c>
      <c r="F49" s="1">
        <v>0</v>
      </c>
      <c r="I49" t="str">
        <v>AU000000QAN2</v>
      </c>
      <c r="J49" t="str">
        <v>Excluded</v>
      </c>
      <c r="K49">
        <v>0</v>
      </c>
      <c r="L49" t="str" cm="1">
        <f t="array" ref="L49">_xlfn.TEXTJOIN(",",TRUE,_xlfn._xlws.FILTER($C$5:$C$1727,($D$5:$D$1727=I49)*($E$5:$E$1727=J49)*($F$5:$F$1727=K49)))</f>
        <v>Global</v>
      </c>
      <c r="M49" t="b">
        <f t="shared" si="0"/>
        <v>0</v>
      </c>
      <c r="N49">
        <f t="shared" si="1"/>
        <v>0</v>
      </c>
      <c r="T49" t="s">
        <v>1601</v>
      </c>
      <c r="U49" t="s">
        <v>157</v>
      </c>
      <c r="V49" t="s">
        <v>1562</v>
      </c>
    </row>
    <row r="50" spans="3:22" x14ac:dyDescent="0.25">
      <c r="C50" t="s">
        <v>1547</v>
      </c>
      <c r="D50" s="2" t="s">
        <v>47</v>
      </c>
      <c r="E50" t="s">
        <v>401</v>
      </c>
      <c r="F50" s="1">
        <v>0</v>
      </c>
      <c r="I50" t="str">
        <v>AU000000QBE9</v>
      </c>
      <c r="J50" t="str">
        <v>Not included in a theme</v>
      </c>
      <c r="K50">
        <v>0</v>
      </c>
      <c r="L50" t="str" cm="1">
        <f t="array" ref="L50">_xlfn.TEXTJOIN(",",TRUE,_xlfn._xlws.FILTER($C$5:$C$1727,($D$5:$D$1727=I50)*($E$5:$E$1727=J50)*($F$5:$F$1727=K50)))</f>
        <v>Global</v>
      </c>
      <c r="M50" t="b">
        <f t="shared" si="0"/>
        <v>0</v>
      </c>
      <c r="N50">
        <f t="shared" si="1"/>
        <v>0</v>
      </c>
      <c r="T50" t="s">
        <v>1602</v>
      </c>
      <c r="U50" t="s">
        <v>209</v>
      </c>
      <c r="V50" t="s">
        <v>1562</v>
      </c>
    </row>
    <row r="51" spans="3:22" x14ac:dyDescent="0.25">
      <c r="C51" t="s">
        <v>1547</v>
      </c>
      <c r="D51" s="2" t="s">
        <v>48</v>
      </c>
      <c r="E51" t="s">
        <v>401</v>
      </c>
      <c r="F51" s="1">
        <v>0</v>
      </c>
      <c r="I51" t="str">
        <v>AU000000REA9</v>
      </c>
      <c r="J51" t="str">
        <v>Excluded</v>
      </c>
      <c r="K51">
        <v>0</v>
      </c>
      <c r="L51" t="str" cm="1">
        <f t="array" ref="L51">_xlfn.TEXTJOIN(",",TRUE,_xlfn._xlws.FILTER($C$5:$C$1727,($D$5:$D$1727=I51)*($E$5:$E$1727=J51)*($F$5:$F$1727=K51)))</f>
        <v>Global</v>
      </c>
      <c r="M51" t="b">
        <f t="shared" si="0"/>
        <v>0</v>
      </c>
      <c r="N51">
        <f t="shared" si="1"/>
        <v>0</v>
      </c>
      <c r="T51" t="s">
        <v>1603</v>
      </c>
      <c r="U51" t="s">
        <v>17</v>
      </c>
      <c r="V51" t="s">
        <v>1562</v>
      </c>
    </row>
    <row r="52" spans="3:22" x14ac:dyDescent="0.25">
      <c r="C52" t="s">
        <v>1547</v>
      </c>
      <c r="D52" s="2" t="s">
        <v>49</v>
      </c>
      <c r="E52" t="s">
        <v>405</v>
      </c>
      <c r="F52" s="1">
        <v>0.15</v>
      </c>
      <c r="I52" t="str">
        <v>AU000000S320</v>
      </c>
      <c r="J52" t="str">
        <v>Excluded</v>
      </c>
      <c r="K52">
        <v>0</v>
      </c>
      <c r="L52" t="str" cm="1">
        <f t="array" ref="L52">_xlfn.TEXTJOIN(",",TRUE,_xlfn._xlws.FILTER($C$5:$C$1727,($D$5:$D$1727=I52)*($E$5:$E$1727=J52)*($F$5:$F$1727=K52)))</f>
        <v>Global</v>
      </c>
      <c r="M52" t="b">
        <f t="shared" si="0"/>
        <v>0</v>
      </c>
      <c r="N52">
        <f t="shared" si="1"/>
        <v>0</v>
      </c>
      <c r="T52" t="s">
        <v>1604</v>
      </c>
      <c r="U52" t="s">
        <v>130</v>
      </c>
      <c r="V52" t="s">
        <v>1562</v>
      </c>
    </row>
    <row r="53" spans="3:22" x14ac:dyDescent="0.25">
      <c r="C53" t="s">
        <v>1547</v>
      </c>
      <c r="D53" s="2" t="s">
        <v>50</v>
      </c>
      <c r="E53" t="s">
        <v>401</v>
      </c>
      <c r="F53" s="1">
        <v>0</v>
      </c>
      <c r="I53" t="str">
        <v>AU000000SCG8</v>
      </c>
      <c r="J53" t="str">
        <v>Not included in a theme</v>
      </c>
      <c r="K53">
        <v>0</v>
      </c>
      <c r="L53" t="str" cm="1">
        <f t="array" ref="L53">_xlfn.TEXTJOIN(",",TRUE,_xlfn._xlws.FILTER($C$5:$C$1727,($D$5:$D$1727=I53)*($E$5:$E$1727=J53)*($F$5:$F$1727=K53)))</f>
        <v>Global</v>
      </c>
      <c r="M53" t="b">
        <f t="shared" si="0"/>
        <v>0</v>
      </c>
      <c r="N53">
        <f t="shared" si="1"/>
        <v>0</v>
      </c>
      <c r="T53" t="s">
        <v>1605</v>
      </c>
      <c r="U53" t="s">
        <v>161</v>
      </c>
      <c r="V53" t="s">
        <v>1562</v>
      </c>
    </row>
    <row r="54" spans="3:22" x14ac:dyDescent="0.25">
      <c r="C54" t="s">
        <v>1547</v>
      </c>
      <c r="D54" s="2" t="s">
        <v>51</v>
      </c>
      <c r="E54" t="s">
        <v>400</v>
      </c>
      <c r="F54" s="1">
        <v>0</v>
      </c>
      <c r="I54" t="str">
        <v>AU000000SGP0</v>
      </c>
      <c r="J54" t="str">
        <v>Ecoconstruction</v>
      </c>
      <c r="K54">
        <v>0.4</v>
      </c>
      <c r="L54" t="str" cm="1">
        <f t="array" ref="L54">_xlfn.TEXTJOIN(",",TRUE,_xlfn._xlws.FILTER($C$5:$C$1727,($D$5:$D$1727=I54)*($E$5:$E$1727=J54)*($F$5:$F$1727=K54)))</f>
        <v>Global</v>
      </c>
      <c r="M54" t="b">
        <f t="shared" si="0"/>
        <v>0</v>
      </c>
      <c r="N54">
        <f t="shared" si="1"/>
        <v>0</v>
      </c>
      <c r="T54" t="s">
        <v>1606</v>
      </c>
      <c r="U54" t="s">
        <v>23</v>
      </c>
      <c r="V54" t="s">
        <v>1562</v>
      </c>
    </row>
    <row r="55" spans="3:22" x14ac:dyDescent="0.25">
      <c r="C55" t="s">
        <v>1547</v>
      </c>
      <c r="D55" s="2" t="s">
        <v>52</v>
      </c>
      <c r="E55" t="s">
        <v>401</v>
      </c>
      <c r="F55" s="1">
        <v>0</v>
      </c>
      <c r="I55" t="str">
        <v>AU000000SHL7</v>
      </c>
      <c r="J55" t="str">
        <v>Excluded</v>
      </c>
      <c r="K55">
        <v>0</v>
      </c>
      <c r="L55" t="str" cm="1">
        <f t="array" ref="L55">_xlfn.TEXTJOIN(",",TRUE,_xlfn._xlws.FILTER($C$5:$C$1727,($D$5:$D$1727=I55)*($E$5:$E$1727=J55)*($F$5:$F$1727=K55)))</f>
        <v>Global</v>
      </c>
      <c r="M55" t="b">
        <f t="shared" si="0"/>
        <v>0</v>
      </c>
      <c r="N55">
        <f t="shared" si="1"/>
        <v>0</v>
      </c>
      <c r="T55" t="s">
        <v>1607</v>
      </c>
      <c r="U55" t="s">
        <v>80</v>
      </c>
      <c r="V55" t="s">
        <v>1562</v>
      </c>
    </row>
    <row r="56" spans="3:22" x14ac:dyDescent="0.25">
      <c r="C56" t="s">
        <v>1547</v>
      </c>
      <c r="D56" s="2" t="s">
        <v>53</v>
      </c>
      <c r="E56" t="s">
        <v>401</v>
      </c>
      <c r="F56" s="1">
        <v>0</v>
      </c>
      <c r="I56" t="str">
        <v>AU000000SIG5</v>
      </c>
      <c r="J56" t="str">
        <v>Excluded</v>
      </c>
      <c r="K56">
        <v>0</v>
      </c>
      <c r="L56" t="str" cm="1">
        <f t="array" ref="L56">_xlfn.TEXTJOIN(",",TRUE,_xlfn._xlws.FILTER($C$5:$C$1727,($D$5:$D$1727=I56)*($E$5:$E$1727=J56)*($F$5:$F$1727=K56)))</f>
        <v>Global</v>
      </c>
      <c r="M56" t="b">
        <f t="shared" si="0"/>
        <v>0</v>
      </c>
      <c r="N56">
        <f t="shared" si="1"/>
        <v>0</v>
      </c>
      <c r="T56" t="s">
        <v>1608</v>
      </c>
      <c r="U56" t="s">
        <v>191</v>
      </c>
      <c r="V56" t="s">
        <v>1562</v>
      </c>
    </row>
    <row r="57" spans="3:22" x14ac:dyDescent="0.25">
      <c r="C57" t="s">
        <v>1547</v>
      </c>
      <c r="D57" s="2" t="s">
        <v>54</v>
      </c>
      <c r="E57" t="s">
        <v>401</v>
      </c>
      <c r="F57" s="1">
        <v>0</v>
      </c>
      <c r="I57" t="str">
        <v>AU000000SOL3</v>
      </c>
      <c r="J57" t="str">
        <v>Excluded</v>
      </c>
      <c r="K57">
        <v>0</v>
      </c>
      <c r="L57" t="str" cm="1">
        <f t="array" ref="L57">_xlfn.TEXTJOIN(",",TRUE,_xlfn._xlws.FILTER($C$5:$C$1727,($D$5:$D$1727=I57)*($E$5:$E$1727=J57)*($F$5:$F$1727=K57)))</f>
        <v>Global</v>
      </c>
      <c r="M57" t="b">
        <f t="shared" si="0"/>
        <v>0</v>
      </c>
      <c r="N57">
        <f t="shared" si="1"/>
        <v>0</v>
      </c>
      <c r="T57" t="s">
        <v>1609</v>
      </c>
      <c r="U57" t="s">
        <v>76</v>
      </c>
      <c r="V57" t="s">
        <v>1559</v>
      </c>
    </row>
    <row r="58" spans="3:22" x14ac:dyDescent="0.25">
      <c r="C58" t="s">
        <v>1547</v>
      </c>
      <c r="D58" s="2" t="s">
        <v>55</v>
      </c>
      <c r="E58" t="s">
        <v>401</v>
      </c>
      <c r="F58" s="1">
        <v>0</v>
      </c>
      <c r="I58" t="str">
        <v>AU000000STO6</v>
      </c>
      <c r="J58" t="str">
        <v>Excluded</v>
      </c>
      <c r="K58">
        <v>0</v>
      </c>
      <c r="L58" t="str" cm="1">
        <f t="array" ref="L58">_xlfn.TEXTJOIN(",",TRUE,_xlfn._xlws.FILTER($C$5:$C$1727,($D$5:$D$1727=I58)*($E$5:$E$1727=J58)*($F$5:$F$1727=K58)))</f>
        <v>Global</v>
      </c>
      <c r="M58" t="b">
        <f t="shared" si="0"/>
        <v>0</v>
      </c>
      <c r="N58">
        <f t="shared" si="1"/>
        <v>0</v>
      </c>
      <c r="T58" t="s">
        <v>1610</v>
      </c>
      <c r="U58" t="s">
        <v>334</v>
      </c>
      <c r="V58" t="s">
        <v>1559</v>
      </c>
    </row>
    <row r="59" spans="3:22" x14ac:dyDescent="0.25">
      <c r="C59" t="s">
        <v>1547</v>
      </c>
      <c r="D59" s="2" t="s">
        <v>56</v>
      </c>
      <c r="E59" t="s">
        <v>399</v>
      </c>
      <c r="F59" s="1">
        <v>0.34</v>
      </c>
      <c r="I59" t="str">
        <v>AU000000SUN6</v>
      </c>
      <c r="J59" t="str">
        <v>Not included in a theme</v>
      </c>
      <c r="K59">
        <v>0</v>
      </c>
      <c r="L59" t="str" cm="1">
        <f t="array" ref="L59">_xlfn.TEXTJOIN(",",TRUE,_xlfn._xlws.FILTER($C$5:$C$1727,($D$5:$D$1727=I59)*($E$5:$E$1727=J59)*($F$5:$F$1727=K59)))</f>
        <v>Global</v>
      </c>
      <c r="M59" t="b">
        <f t="shared" si="0"/>
        <v>0</v>
      </c>
      <c r="N59">
        <f t="shared" si="1"/>
        <v>0</v>
      </c>
      <c r="T59" t="s">
        <v>1611</v>
      </c>
      <c r="U59" t="s">
        <v>265</v>
      </c>
      <c r="V59" t="s">
        <v>1559</v>
      </c>
    </row>
    <row r="60" spans="3:22" x14ac:dyDescent="0.25">
      <c r="C60" t="s">
        <v>1547</v>
      </c>
      <c r="D60" s="2" t="s">
        <v>57</v>
      </c>
      <c r="E60" t="s">
        <v>401</v>
      </c>
      <c r="F60" s="1">
        <v>0</v>
      </c>
      <c r="I60" t="str">
        <v>AU000000TCL6</v>
      </c>
      <c r="J60" t="str">
        <v>Not included in a theme</v>
      </c>
      <c r="K60">
        <v>0</v>
      </c>
      <c r="L60" t="str" cm="1">
        <f t="array" ref="L60">_xlfn.TEXTJOIN(",",TRUE,_xlfn._xlws.FILTER($C$5:$C$1727,($D$5:$D$1727=I60)*($E$5:$E$1727=J60)*($F$5:$F$1727=K60)))</f>
        <v>Global</v>
      </c>
      <c r="M60" t="b">
        <f t="shared" si="0"/>
        <v>0</v>
      </c>
      <c r="N60">
        <f t="shared" si="1"/>
        <v>0</v>
      </c>
      <c r="T60" t="s">
        <v>1612</v>
      </c>
      <c r="U60" t="s">
        <v>105</v>
      </c>
      <c r="V60" t="s">
        <v>1562</v>
      </c>
    </row>
    <row r="61" spans="3:22" x14ac:dyDescent="0.25">
      <c r="C61" t="s">
        <v>1547</v>
      </c>
      <c r="D61" s="2" t="s">
        <v>58</v>
      </c>
      <c r="E61" t="s">
        <v>400</v>
      </c>
      <c r="F61" s="1">
        <v>0</v>
      </c>
      <c r="I61" t="str">
        <v>AU000000TLS2</v>
      </c>
      <c r="J61" t="str">
        <v>Not included in a theme</v>
      </c>
      <c r="K61">
        <v>0</v>
      </c>
      <c r="L61" t="str" cm="1">
        <f t="array" ref="L61">_xlfn.TEXTJOIN(",",TRUE,_xlfn._xlws.FILTER($C$5:$C$1727,($D$5:$D$1727=I61)*($E$5:$E$1727=J61)*($F$5:$F$1727=K61)))</f>
        <v>Global</v>
      </c>
      <c r="M61" t="b">
        <f t="shared" si="0"/>
        <v>0</v>
      </c>
      <c r="N61">
        <f t="shared" si="1"/>
        <v>0</v>
      </c>
      <c r="T61" t="s">
        <v>1613</v>
      </c>
      <c r="U61" t="s">
        <v>206</v>
      </c>
      <c r="V61" t="s">
        <v>1562</v>
      </c>
    </row>
    <row r="62" spans="3:22" x14ac:dyDescent="0.25">
      <c r="C62" t="s">
        <v>1547</v>
      </c>
      <c r="D62" s="2" t="s">
        <v>59</v>
      </c>
      <c r="E62" t="s">
        <v>400</v>
      </c>
      <c r="F62" s="1">
        <v>0</v>
      </c>
      <c r="I62" t="str">
        <v>AU000000VCX7</v>
      </c>
      <c r="J62" t="str">
        <v>Ecoconstruction</v>
      </c>
      <c r="K62">
        <v>0.65</v>
      </c>
      <c r="L62" t="str" cm="1">
        <f t="array" ref="L62">_xlfn.TEXTJOIN(",",TRUE,_xlfn._xlws.FILTER($C$5:$C$1727,($D$5:$D$1727=I62)*($E$5:$E$1727=J62)*($F$5:$F$1727=K62)))</f>
        <v>Global</v>
      </c>
      <c r="M62" t="b">
        <f t="shared" si="0"/>
        <v>0</v>
      </c>
      <c r="N62">
        <f t="shared" si="1"/>
        <v>0</v>
      </c>
      <c r="T62" t="s">
        <v>1614</v>
      </c>
      <c r="U62" t="s">
        <v>288</v>
      </c>
      <c r="V62" t="s">
        <v>1562</v>
      </c>
    </row>
    <row r="63" spans="3:22" x14ac:dyDescent="0.25">
      <c r="C63" t="s">
        <v>1547</v>
      </c>
      <c r="D63" s="2" t="s">
        <v>60</v>
      </c>
      <c r="E63" t="s">
        <v>400</v>
      </c>
      <c r="F63" s="1">
        <v>0</v>
      </c>
      <c r="I63" t="str">
        <v>AU000000WBC1</v>
      </c>
      <c r="J63" t="str">
        <v>Excluded</v>
      </c>
      <c r="K63">
        <v>0</v>
      </c>
      <c r="L63" t="str" cm="1">
        <f t="array" ref="L63">_xlfn.TEXTJOIN(",",TRUE,_xlfn._xlws.FILTER($C$5:$C$1727,($D$5:$D$1727=I63)*($E$5:$E$1727=J63)*($F$5:$F$1727=K63)))</f>
        <v>Global</v>
      </c>
      <c r="M63" t="b">
        <f t="shared" si="0"/>
        <v>0</v>
      </c>
      <c r="N63">
        <f t="shared" si="1"/>
        <v>0</v>
      </c>
      <c r="T63" t="s">
        <v>1615</v>
      </c>
      <c r="U63" t="s">
        <v>324</v>
      </c>
      <c r="V63" t="s">
        <v>1557</v>
      </c>
    </row>
    <row r="64" spans="3:22" x14ac:dyDescent="0.25">
      <c r="C64" t="s">
        <v>1547</v>
      </c>
      <c r="D64" s="2" t="s">
        <v>61</v>
      </c>
      <c r="E64" t="s">
        <v>403</v>
      </c>
      <c r="F64" s="1">
        <v>0.73</v>
      </c>
      <c r="I64" t="str">
        <v>AU000000WES1</v>
      </c>
      <c r="J64" t="str">
        <v>Excluded</v>
      </c>
      <c r="K64">
        <v>0</v>
      </c>
      <c r="L64" t="str" cm="1">
        <f t="array" ref="L64">_xlfn.TEXTJOIN(",",TRUE,_xlfn._xlws.FILTER($C$5:$C$1727,($D$5:$D$1727=I64)*($E$5:$E$1727=J64)*($F$5:$F$1727=K64)))</f>
        <v>Global</v>
      </c>
      <c r="M64" t="b">
        <f t="shared" si="0"/>
        <v>0</v>
      </c>
      <c r="N64">
        <f t="shared" si="1"/>
        <v>0</v>
      </c>
      <c r="T64" t="s">
        <v>1616</v>
      </c>
      <c r="U64" t="s">
        <v>273</v>
      </c>
      <c r="V64" t="s">
        <v>1557</v>
      </c>
    </row>
    <row r="65" spans="3:22" x14ac:dyDescent="0.25">
      <c r="C65" t="s">
        <v>1547</v>
      </c>
      <c r="D65" s="2" t="s">
        <v>62</v>
      </c>
      <c r="E65" t="s">
        <v>405</v>
      </c>
      <c r="F65" s="1">
        <v>0.34</v>
      </c>
      <c r="I65" t="str">
        <v>AU000000WOW2</v>
      </c>
      <c r="J65" t="str">
        <v>Not included in a theme</v>
      </c>
      <c r="K65">
        <v>0</v>
      </c>
      <c r="L65" t="str" cm="1">
        <f t="array" ref="L65">_xlfn.TEXTJOIN(",",TRUE,_xlfn._xlws.FILTER($C$5:$C$1727,($D$5:$D$1727=I65)*($E$5:$E$1727=J65)*($F$5:$F$1727=K65)))</f>
        <v>Global</v>
      </c>
      <c r="M65" t="b">
        <f t="shared" si="0"/>
        <v>0</v>
      </c>
      <c r="N65">
        <f t="shared" si="1"/>
        <v>0</v>
      </c>
      <c r="T65" t="s">
        <v>1617</v>
      </c>
      <c r="U65" t="s">
        <v>190</v>
      </c>
      <c r="V65" t="s">
        <v>1557</v>
      </c>
    </row>
    <row r="66" spans="3:22" x14ac:dyDescent="0.25">
      <c r="C66" t="s">
        <v>1547</v>
      </c>
      <c r="D66" s="2" t="s">
        <v>63</v>
      </c>
      <c r="E66" t="s">
        <v>400</v>
      </c>
      <c r="F66" s="1">
        <v>0</v>
      </c>
      <c r="I66" t="str">
        <v>AU000000WTC3</v>
      </c>
      <c r="J66" t="str">
        <v>Clean transport</v>
      </c>
      <c r="K66">
        <v>1</v>
      </c>
      <c r="L66" t="str" cm="1">
        <f t="array" ref="L66">_xlfn.TEXTJOIN(",",TRUE,_xlfn._xlws.FILTER($C$5:$C$1727,($D$5:$D$1727=I66)*($E$5:$E$1727=J66)*($F$5:$F$1727=K66)))</f>
        <v>Global</v>
      </c>
      <c r="M66" t="b">
        <f t="shared" si="0"/>
        <v>0</v>
      </c>
      <c r="N66">
        <f t="shared" si="1"/>
        <v>0</v>
      </c>
      <c r="T66" t="s">
        <v>1618</v>
      </c>
      <c r="U66" t="s">
        <v>137</v>
      </c>
      <c r="V66" t="s">
        <v>1557</v>
      </c>
    </row>
    <row r="67" spans="3:22" x14ac:dyDescent="0.25">
      <c r="C67" t="s">
        <v>1547</v>
      </c>
      <c r="D67" s="2" t="s">
        <v>64</v>
      </c>
      <c r="E67" t="s">
        <v>401</v>
      </c>
      <c r="F67" s="1">
        <v>0</v>
      </c>
      <c r="I67" t="str">
        <v>AU0000030678</v>
      </c>
      <c r="J67" t="str">
        <v>Not included in a theme</v>
      </c>
      <c r="K67">
        <v>0</v>
      </c>
      <c r="L67" t="str" cm="1">
        <f t="array" ref="L67">_xlfn.TEXTJOIN(",",TRUE,_xlfn._xlws.FILTER($C$5:$C$1727,($D$5:$D$1727=I67)*($E$5:$E$1727=J67)*($F$5:$F$1727=K67)))</f>
        <v>Global</v>
      </c>
      <c r="M67" t="b">
        <f t="shared" si="0"/>
        <v>0</v>
      </c>
      <c r="N67">
        <f t="shared" si="1"/>
        <v>0</v>
      </c>
      <c r="T67" t="s">
        <v>1619</v>
      </c>
      <c r="U67" t="s">
        <v>179</v>
      </c>
      <c r="V67" t="s">
        <v>1557</v>
      </c>
    </row>
    <row r="68" spans="3:22" x14ac:dyDescent="0.25">
      <c r="C68" t="s">
        <v>1547</v>
      </c>
      <c r="D68" s="2" t="s">
        <v>65</v>
      </c>
      <c r="E68" t="s">
        <v>400</v>
      </c>
      <c r="F68" s="1">
        <v>0</v>
      </c>
      <c r="I68" t="str">
        <v>AU0000185993</v>
      </c>
      <c r="J68" t="str">
        <v>Excluded</v>
      </c>
      <c r="K68">
        <v>0</v>
      </c>
      <c r="L68" t="str" cm="1">
        <f t="array" ref="L68">_xlfn.TEXTJOIN(",",TRUE,_xlfn._xlws.FILTER($C$5:$C$1727,($D$5:$D$1727=I68)*($E$5:$E$1727=J68)*($F$5:$F$1727=K68)))</f>
        <v>Global</v>
      </c>
      <c r="M68" t="b">
        <f t="shared" si="0"/>
        <v>0</v>
      </c>
      <c r="N68">
        <f t="shared" si="1"/>
        <v>0</v>
      </c>
      <c r="T68" t="s">
        <v>1620</v>
      </c>
      <c r="U68" t="s">
        <v>56</v>
      </c>
      <c r="V68" t="s">
        <v>1557</v>
      </c>
    </row>
    <row r="69" spans="3:22" x14ac:dyDescent="0.25">
      <c r="C69" t="s">
        <v>1547</v>
      </c>
      <c r="D69" s="2" t="s">
        <v>66</v>
      </c>
      <c r="E69" t="s">
        <v>401</v>
      </c>
      <c r="F69" s="1">
        <v>0</v>
      </c>
      <c r="I69" t="str">
        <v>AU0000219529</v>
      </c>
      <c r="J69" t="str">
        <v>Excluded</v>
      </c>
      <c r="K69">
        <v>0</v>
      </c>
      <c r="L69" t="str" cm="1">
        <f t="array" ref="L69">_xlfn.TEXTJOIN(",",TRUE,_xlfn._xlws.FILTER($C$5:$C$1727,($D$5:$D$1727=I69)*($E$5:$E$1727=J69)*($F$5:$F$1727=K69)))</f>
        <v>Global</v>
      </c>
      <c r="M69" t="b">
        <f t="shared" si="0"/>
        <v>0</v>
      </c>
      <c r="N69">
        <f t="shared" si="1"/>
        <v>0</v>
      </c>
      <c r="T69" t="s">
        <v>1621</v>
      </c>
      <c r="U69" t="s">
        <v>153</v>
      </c>
      <c r="V69" t="s">
        <v>1557</v>
      </c>
    </row>
    <row r="70" spans="3:22" x14ac:dyDescent="0.25">
      <c r="C70" t="s">
        <v>1547</v>
      </c>
      <c r="D70" s="2" t="s">
        <v>67</v>
      </c>
      <c r="E70" t="s">
        <v>400</v>
      </c>
      <c r="F70" s="1">
        <v>0</v>
      </c>
      <c r="I70" t="str">
        <v>AU0000224040</v>
      </c>
      <c r="J70" t="str">
        <v>Excluded</v>
      </c>
      <c r="K70">
        <v>0</v>
      </c>
      <c r="L70" t="str" cm="1">
        <f t="array" ref="L70">_xlfn.TEXTJOIN(",",TRUE,_xlfn._xlws.FILTER($C$5:$C$1727,($D$5:$D$1727=I70)*($E$5:$E$1727=J70)*($F$5:$F$1727=K70)))</f>
        <v>Global</v>
      </c>
      <c r="M70" t="b">
        <f t="shared" ref="M70:M133" si="2">COUNTIFS($I$5:$I$1556,I70)&gt;1</f>
        <v>0</v>
      </c>
      <c r="N70">
        <f t="shared" ref="N70:N133" si="3">COUNTIFS($U$5:$U$231,I70)</f>
        <v>0</v>
      </c>
      <c r="T70" t="s">
        <v>1622</v>
      </c>
      <c r="U70" t="s">
        <v>65</v>
      </c>
      <c r="V70" t="s">
        <v>1557</v>
      </c>
    </row>
    <row r="71" spans="3:22" x14ac:dyDescent="0.25">
      <c r="C71" t="s">
        <v>1547</v>
      </c>
      <c r="D71" s="2" t="s">
        <v>68</v>
      </c>
      <c r="E71" t="s">
        <v>401</v>
      </c>
      <c r="F71" s="1">
        <v>0</v>
      </c>
      <c r="I71" t="str">
        <v>AU0000364754</v>
      </c>
      <c r="J71" t="str">
        <v>Excluded</v>
      </c>
      <c r="K71">
        <v>0</v>
      </c>
      <c r="L71" t="str" cm="1">
        <f t="array" ref="L71">_xlfn.TEXTJOIN(",",TRUE,_xlfn._xlws.FILTER($C$5:$C$1727,($D$5:$D$1727=I71)*($E$5:$E$1727=J71)*($F$5:$F$1727=K71)))</f>
        <v>Global</v>
      </c>
      <c r="M71" t="b">
        <f t="shared" si="2"/>
        <v>0</v>
      </c>
      <c r="N71">
        <f t="shared" si="3"/>
        <v>0</v>
      </c>
      <c r="T71" t="s">
        <v>1623</v>
      </c>
      <c r="U71" t="s">
        <v>57</v>
      </c>
      <c r="V71" t="s">
        <v>1557</v>
      </c>
    </row>
    <row r="72" spans="3:22" x14ac:dyDescent="0.25">
      <c r="C72" t="s">
        <v>1547</v>
      </c>
      <c r="D72" s="2" t="s">
        <v>69</v>
      </c>
      <c r="E72" t="s">
        <v>400</v>
      </c>
      <c r="F72" s="1">
        <v>0</v>
      </c>
      <c r="I72" t="str">
        <v>BE0003470755</v>
      </c>
      <c r="J72" t="str">
        <v>Not included in a theme</v>
      </c>
      <c r="K72">
        <v>0</v>
      </c>
      <c r="L72" t="str" cm="1">
        <f t="array" ref="L72">_xlfn.TEXTJOIN(",",TRUE,_xlfn._xlws.FILTER($C$5:$C$1727,($D$5:$D$1727=I72)*($E$5:$E$1727=J72)*($F$5:$F$1727=K72)))</f>
        <v>EZ</v>
      </c>
      <c r="M72" t="b">
        <f t="shared" si="2"/>
        <v>0</v>
      </c>
      <c r="N72">
        <f t="shared" si="3"/>
        <v>0</v>
      </c>
      <c r="T72" t="s">
        <v>1624</v>
      </c>
      <c r="U72" t="s">
        <v>163</v>
      </c>
      <c r="V72" t="s">
        <v>1557</v>
      </c>
    </row>
    <row r="73" spans="3:22" x14ac:dyDescent="0.25">
      <c r="C73" t="s">
        <v>1547</v>
      </c>
      <c r="D73" s="2" t="s">
        <v>70</v>
      </c>
      <c r="E73" t="s">
        <v>404</v>
      </c>
      <c r="F73" s="1">
        <v>0.75</v>
      </c>
      <c r="I73" t="str">
        <v>BE0003565737</v>
      </c>
      <c r="J73" t="str">
        <v>Not included in a theme</v>
      </c>
      <c r="K73">
        <v>0</v>
      </c>
      <c r="L73" t="str" cm="1">
        <f t="array" ref="L73">_xlfn.TEXTJOIN(",",TRUE,_xlfn._xlws.FILTER($C$5:$C$1727,($D$5:$D$1727=I73)*($E$5:$E$1727=J73)*($F$5:$F$1727=K73)))</f>
        <v>EZ,Global</v>
      </c>
      <c r="M73" t="b">
        <f t="shared" si="2"/>
        <v>0</v>
      </c>
      <c r="N73">
        <f t="shared" si="3"/>
        <v>1</v>
      </c>
      <c r="T73" t="s">
        <v>1625</v>
      </c>
      <c r="U73" t="s">
        <v>87</v>
      </c>
      <c r="V73" t="s">
        <v>1557</v>
      </c>
    </row>
    <row r="74" spans="3:22" x14ac:dyDescent="0.25">
      <c r="C74" t="s">
        <v>1547</v>
      </c>
      <c r="D74" s="2" t="s">
        <v>71</v>
      </c>
      <c r="E74" t="s">
        <v>400</v>
      </c>
      <c r="F74" s="1">
        <v>0</v>
      </c>
      <c r="I74" t="str">
        <v>BE0003593044</v>
      </c>
      <c r="J74" t="str">
        <v>Ecoconstruction</v>
      </c>
      <c r="K74">
        <v>0.12</v>
      </c>
      <c r="L74" t="str" cm="1">
        <f t="array" ref="L74">_xlfn.TEXTJOIN(",",TRUE,_xlfn._xlws.FILTER($C$5:$C$1727,($D$5:$D$1727=I74)*($E$5:$E$1727=J74)*($F$5:$F$1727=K74)))</f>
        <v>EZ</v>
      </c>
      <c r="M74" t="b">
        <f t="shared" si="2"/>
        <v>0</v>
      </c>
      <c r="N74">
        <f t="shared" si="3"/>
        <v>1</v>
      </c>
      <c r="T74" t="s">
        <v>1626</v>
      </c>
      <c r="U74" t="s">
        <v>226</v>
      </c>
      <c r="V74" t="s">
        <v>1557</v>
      </c>
    </row>
    <row r="75" spans="3:22" x14ac:dyDescent="0.25">
      <c r="C75" t="s">
        <v>1547</v>
      </c>
      <c r="D75" s="2" t="s">
        <v>72</v>
      </c>
      <c r="E75" t="s">
        <v>400</v>
      </c>
      <c r="F75" s="1">
        <v>0</v>
      </c>
      <c r="I75" t="str">
        <v>BE0003604155</v>
      </c>
      <c r="J75" t="str">
        <v>Excluded</v>
      </c>
      <c r="K75">
        <v>0</v>
      </c>
      <c r="L75" t="str" cm="1">
        <f t="array" ref="L75">_xlfn.TEXTJOIN(",",TRUE,_xlfn._xlws.FILTER($C$5:$C$1727,($D$5:$D$1727=I75)*($E$5:$E$1727=J75)*($F$5:$F$1727=K75)))</f>
        <v>EZ</v>
      </c>
      <c r="M75" t="b">
        <f t="shared" si="2"/>
        <v>0</v>
      </c>
      <c r="N75">
        <f t="shared" si="3"/>
        <v>1</v>
      </c>
      <c r="T75" t="s">
        <v>1627</v>
      </c>
      <c r="U75" t="s">
        <v>218</v>
      </c>
      <c r="V75" t="s">
        <v>1557</v>
      </c>
    </row>
    <row r="76" spans="3:22" x14ac:dyDescent="0.25">
      <c r="C76" t="s">
        <v>1547</v>
      </c>
      <c r="D76" s="2" t="s">
        <v>73</v>
      </c>
      <c r="E76" t="s">
        <v>400</v>
      </c>
      <c r="F76" s="1">
        <v>0</v>
      </c>
      <c r="I76" t="str">
        <v>BE0003717312</v>
      </c>
      <c r="J76" t="str">
        <v>Excluded</v>
      </c>
      <c r="K76">
        <v>0</v>
      </c>
      <c r="L76" t="str" cm="1">
        <f t="array" ref="L76">_xlfn.TEXTJOIN(",",TRUE,_xlfn._xlws.FILTER($C$5:$C$1727,($D$5:$D$1727=I76)*($E$5:$E$1727=J76)*($F$5:$F$1727=K76)))</f>
        <v>EZ</v>
      </c>
      <c r="M76" t="b">
        <f t="shared" si="2"/>
        <v>0</v>
      </c>
      <c r="N76">
        <f t="shared" si="3"/>
        <v>1</v>
      </c>
      <c r="T76" t="s">
        <v>1628</v>
      </c>
      <c r="U76" t="s">
        <v>116</v>
      </c>
      <c r="V76" t="s">
        <v>1557</v>
      </c>
    </row>
    <row r="77" spans="3:22" x14ac:dyDescent="0.25">
      <c r="C77" t="s">
        <v>1547</v>
      </c>
      <c r="D77" s="2" t="s">
        <v>74</v>
      </c>
      <c r="E77" t="s">
        <v>399</v>
      </c>
      <c r="F77" s="1">
        <v>0.72</v>
      </c>
      <c r="I77" t="str">
        <v>BE0003739530</v>
      </c>
      <c r="J77" t="str">
        <v>Not included in a theme</v>
      </c>
      <c r="K77">
        <v>0</v>
      </c>
      <c r="L77" t="str" cm="1">
        <f t="array" ref="L77">_xlfn.TEXTJOIN(",",TRUE,_xlfn._xlws.FILTER($C$5:$C$1727,($D$5:$D$1727=I77)*($E$5:$E$1727=J77)*($F$5:$F$1727=K77)))</f>
        <v>EZ,Global</v>
      </c>
      <c r="M77" t="b">
        <f t="shared" si="2"/>
        <v>0</v>
      </c>
      <c r="N77">
        <f t="shared" si="3"/>
        <v>1</v>
      </c>
      <c r="T77" t="s">
        <v>1629</v>
      </c>
      <c r="U77" t="s">
        <v>241</v>
      </c>
      <c r="V77" t="s">
        <v>1557</v>
      </c>
    </row>
    <row r="78" spans="3:22" x14ac:dyDescent="0.25">
      <c r="C78" t="s">
        <v>1547</v>
      </c>
      <c r="D78" s="2" t="s">
        <v>75</v>
      </c>
      <c r="E78" t="s">
        <v>401</v>
      </c>
      <c r="F78" s="1">
        <v>0</v>
      </c>
      <c r="I78" t="str">
        <v>BE0003764785</v>
      </c>
      <c r="J78" t="str">
        <v>Excluded</v>
      </c>
      <c r="K78">
        <v>0</v>
      </c>
      <c r="L78" t="str" cm="1">
        <f t="array" ref="L78">_xlfn.TEXTJOIN(",",TRUE,_xlfn._xlws.FILTER($C$5:$C$1727,($D$5:$D$1727=I78)*($E$5:$E$1727=J78)*($F$5:$F$1727=K78)))</f>
        <v>EZ</v>
      </c>
      <c r="M78" t="b">
        <f t="shared" si="2"/>
        <v>0</v>
      </c>
      <c r="N78">
        <f t="shared" si="3"/>
        <v>0</v>
      </c>
      <c r="T78" t="s">
        <v>1630</v>
      </c>
      <c r="U78" t="s">
        <v>34</v>
      </c>
      <c r="V78" t="s">
        <v>1557</v>
      </c>
    </row>
    <row r="79" spans="3:22" x14ac:dyDescent="0.25">
      <c r="C79" t="s">
        <v>1547</v>
      </c>
      <c r="D79" s="2" t="s">
        <v>76</v>
      </c>
      <c r="E79" t="s">
        <v>399</v>
      </c>
      <c r="F79" s="1">
        <v>0.34</v>
      </c>
      <c r="I79" t="str">
        <v>BE0003797140</v>
      </c>
      <c r="J79" t="str">
        <v>Excluded</v>
      </c>
      <c r="K79">
        <v>0</v>
      </c>
      <c r="L79" t="str" cm="1">
        <f t="array" ref="L79">_xlfn.TEXTJOIN(",",TRUE,_xlfn._xlws.FILTER($C$5:$C$1727,($D$5:$D$1727=I79)*($E$5:$E$1727=J79)*($F$5:$F$1727=K79)))</f>
        <v>EZ,Global</v>
      </c>
      <c r="M79" t="b">
        <f t="shared" si="2"/>
        <v>0</v>
      </c>
      <c r="N79">
        <f t="shared" si="3"/>
        <v>1</v>
      </c>
      <c r="T79" t="s">
        <v>1631</v>
      </c>
      <c r="U79" t="s">
        <v>14</v>
      </c>
      <c r="V79" t="s">
        <v>1557</v>
      </c>
    </row>
    <row r="80" spans="3:22" x14ac:dyDescent="0.25">
      <c r="C80" t="s">
        <v>1547</v>
      </c>
      <c r="D80" s="2" t="s">
        <v>77</v>
      </c>
      <c r="E80" t="s">
        <v>400</v>
      </c>
      <c r="F80" s="1">
        <v>0</v>
      </c>
      <c r="I80" t="str">
        <v>BE0003810273</v>
      </c>
      <c r="J80" t="str">
        <v>Not included in a theme</v>
      </c>
      <c r="K80">
        <v>0</v>
      </c>
      <c r="L80" t="str" cm="1">
        <f t="array" ref="L80">_xlfn.TEXTJOIN(",",TRUE,_xlfn._xlws.FILTER($C$5:$C$1727,($D$5:$D$1727=I80)*($E$5:$E$1727=J80)*($F$5:$F$1727=K80)))</f>
        <v>EZ</v>
      </c>
      <c r="M80" t="b">
        <f t="shared" si="2"/>
        <v>0</v>
      </c>
      <c r="N80">
        <f t="shared" si="3"/>
        <v>0</v>
      </c>
      <c r="T80" t="s">
        <v>1632</v>
      </c>
      <c r="U80" t="s">
        <v>75</v>
      </c>
      <c r="V80" t="s">
        <v>1557</v>
      </c>
    </row>
    <row r="81" spans="3:22" x14ac:dyDescent="0.25">
      <c r="C81" t="s">
        <v>1547</v>
      </c>
      <c r="D81" s="2" t="s">
        <v>78</v>
      </c>
      <c r="E81" t="s">
        <v>400</v>
      </c>
      <c r="F81" s="1">
        <v>0</v>
      </c>
      <c r="I81" t="str">
        <v>BE0003822393</v>
      </c>
      <c r="J81" t="str">
        <v>Green energy</v>
      </c>
      <c r="K81">
        <v>1</v>
      </c>
      <c r="L81" t="str" cm="1">
        <f t="array" ref="L81">_xlfn.TEXTJOIN(",",TRUE,_xlfn._xlws.FILTER($C$5:$C$1727,($D$5:$D$1727=I81)*($E$5:$E$1727=J81)*($F$5:$F$1727=K81)))</f>
        <v>EZ,Global</v>
      </c>
      <c r="M81" t="b">
        <f t="shared" si="2"/>
        <v>0</v>
      </c>
      <c r="N81">
        <f t="shared" si="3"/>
        <v>1</v>
      </c>
      <c r="T81" t="s">
        <v>1633</v>
      </c>
      <c r="U81" t="s">
        <v>355</v>
      </c>
      <c r="V81" t="s">
        <v>1557</v>
      </c>
    </row>
    <row r="82" spans="3:22" x14ac:dyDescent="0.25">
      <c r="C82" t="s">
        <v>1547</v>
      </c>
      <c r="D82" s="2" t="s">
        <v>79</v>
      </c>
      <c r="E82" t="s">
        <v>401</v>
      </c>
      <c r="F82" s="1">
        <v>0</v>
      </c>
      <c r="I82" t="str">
        <v>BE0003823409</v>
      </c>
      <c r="J82" t="str">
        <v>Excluded</v>
      </c>
      <c r="K82">
        <v>0</v>
      </c>
      <c r="L82" t="str" cm="1">
        <f t="array" ref="L82">_xlfn.TEXTJOIN(",",TRUE,_xlfn._xlws.FILTER($C$5:$C$1727,($D$5:$D$1727=I82)*($E$5:$E$1727=J82)*($F$5:$F$1727=K82)))</f>
        <v>EZ</v>
      </c>
      <c r="M82" t="b">
        <f t="shared" si="2"/>
        <v>0</v>
      </c>
      <c r="N82">
        <f t="shared" si="3"/>
        <v>1</v>
      </c>
      <c r="T82" t="s">
        <v>1634</v>
      </c>
      <c r="U82" t="s">
        <v>188</v>
      </c>
      <c r="V82" t="s">
        <v>1557</v>
      </c>
    </row>
    <row r="83" spans="3:22" x14ac:dyDescent="0.25">
      <c r="C83" t="s">
        <v>1547</v>
      </c>
      <c r="D83" s="2" t="s">
        <v>80</v>
      </c>
      <c r="E83" t="s">
        <v>401</v>
      </c>
      <c r="F83" s="1">
        <v>0</v>
      </c>
      <c r="I83" t="str">
        <v>BE0003851681</v>
      </c>
      <c r="J83" t="str">
        <v>Ecoconstruction</v>
      </c>
      <c r="K83">
        <v>0.56999999999999995</v>
      </c>
      <c r="L83" t="str" cm="1">
        <f t="array" ref="L83">_xlfn.TEXTJOIN(",",TRUE,_xlfn._xlws.FILTER($C$5:$C$1727,($D$5:$D$1727=I83)*($E$5:$E$1727=J83)*($F$5:$F$1727=K83)))</f>
        <v>EZ</v>
      </c>
      <c r="M83" t="b">
        <f t="shared" si="2"/>
        <v>0</v>
      </c>
      <c r="N83">
        <f t="shared" si="3"/>
        <v>1</v>
      </c>
      <c r="T83" t="s">
        <v>1635</v>
      </c>
      <c r="U83" t="s">
        <v>203</v>
      </c>
      <c r="V83" t="s">
        <v>1557</v>
      </c>
    </row>
    <row r="84" spans="3:22" x14ac:dyDescent="0.25">
      <c r="C84" t="s">
        <v>1547</v>
      </c>
      <c r="D84" s="2" t="s">
        <v>81</v>
      </c>
      <c r="E84" t="s">
        <v>401</v>
      </c>
      <c r="F84" s="1">
        <v>0</v>
      </c>
      <c r="I84" t="str">
        <v>BE0003878957</v>
      </c>
      <c r="J84" t="str">
        <v>Excluded</v>
      </c>
      <c r="K84">
        <v>0</v>
      </c>
      <c r="L84" t="str" cm="1">
        <f t="array" ref="L84">_xlfn.TEXTJOIN(",",TRUE,_xlfn._xlws.FILTER($C$5:$C$1727,($D$5:$D$1727=I84)*($E$5:$E$1727=J84)*($F$5:$F$1727=K84)))</f>
        <v>EZ</v>
      </c>
      <c r="M84" t="b">
        <f t="shared" si="2"/>
        <v>0</v>
      </c>
      <c r="N84">
        <f t="shared" si="3"/>
        <v>0</v>
      </c>
      <c r="T84" t="s">
        <v>1636</v>
      </c>
      <c r="U84" t="s">
        <v>5</v>
      </c>
      <c r="V84" t="s">
        <v>1557</v>
      </c>
    </row>
    <row r="85" spans="3:22" x14ac:dyDescent="0.25">
      <c r="C85" t="s">
        <v>1547</v>
      </c>
      <c r="D85" s="2" t="s">
        <v>82</v>
      </c>
      <c r="E85" t="s">
        <v>401</v>
      </c>
      <c r="F85" s="1">
        <v>0</v>
      </c>
      <c r="I85" t="str">
        <v>BE0165385973</v>
      </c>
      <c r="J85" t="str">
        <v>Eco-efficient industries</v>
      </c>
      <c r="K85">
        <v>1</v>
      </c>
      <c r="L85" t="str" cm="1">
        <f t="array" ref="L85">_xlfn.TEXTJOIN(",",TRUE,_xlfn._xlws.FILTER($C$5:$C$1727,($D$5:$D$1727=I85)*($E$5:$E$1727=J85)*($F$5:$F$1727=K85)))</f>
        <v>EZ</v>
      </c>
      <c r="M85" t="b">
        <f t="shared" si="2"/>
        <v>0</v>
      </c>
      <c r="N85">
        <f t="shared" si="3"/>
        <v>0</v>
      </c>
      <c r="T85" t="s">
        <v>1637</v>
      </c>
      <c r="U85" t="s">
        <v>40</v>
      </c>
      <c r="V85" t="s">
        <v>1557</v>
      </c>
    </row>
    <row r="86" spans="3:22" x14ac:dyDescent="0.25">
      <c r="C86" t="s">
        <v>1547</v>
      </c>
      <c r="D86" s="2" t="s">
        <v>83</v>
      </c>
      <c r="E86" t="s">
        <v>401</v>
      </c>
      <c r="F86" s="1">
        <v>0</v>
      </c>
      <c r="I86" t="str">
        <v>BE0974256852</v>
      </c>
      <c r="J86" t="str">
        <v>Excluded</v>
      </c>
      <c r="K86">
        <v>0</v>
      </c>
      <c r="L86" t="str" cm="1">
        <f t="array" ref="L86">_xlfn.TEXTJOIN(",",TRUE,_xlfn._xlws.FILTER($C$5:$C$1727,($D$5:$D$1727=I86)*($E$5:$E$1727=J86)*($F$5:$F$1727=K86)))</f>
        <v>EZ</v>
      </c>
      <c r="M86" t="b">
        <f t="shared" si="2"/>
        <v>0</v>
      </c>
      <c r="N86">
        <f t="shared" si="3"/>
        <v>0</v>
      </c>
      <c r="T86" t="s">
        <v>1638</v>
      </c>
      <c r="U86" t="s">
        <v>15</v>
      </c>
      <c r="V86" t="s">
        <v>1557</v>
      </c>
    </row>
    <row r="87" spans="3:22" x14ac:dyDescent="0.25">
      <c r="C87" t="s">
        <v>1547</v>
      </c>
      <c r="D87" s="2" t="s">
        <v>84</v>
      </c>
      <c r="E87" t="s">
        <v>400</v>
      </c>
      <c r="F87" s="1">
        <v>0</v>
      </c>
      <c r="I87" t="str">
        <v>BE0974259880</v>
      </c>
      <c r="J87" t="str">
        <v>Circular economy</v>
      </c>
      <c r="K87">
        <v>0.27</v>
      </c>
      <c r="L87" t="str" cm="1">
        <f t="array" ref="L87">_xlfn.TEXTJOIN(",",TRUE,_xlfn._xlws.FILTER($C$5:$C$1727,($D$5:$D$1727=I87)*($E$5:$E$1727=J87)*($F$5:$F$1727=K87)))</f>
        <v>EZ</v>
      </c>
      <c r="M87" t="b">
        <f t="shared" si="2"/>
        <v>0</v>
      </c>
      <c r="N87">
        <f t="shared" si="3"/>
        <v>1</v>
      </c>
      <c r="T87" t="s">
        <v>1639</v>
      </c>
      <c r="U87" t="s">
        <v>43</v>
      </c>
      <c r="V87" t="s">
        <v>1557</v>
      </c>
    </row>
    <row r="88" spans="3:22" x14ac:dyDescent="0.25">
      <c r="C88" t="s">
        <v>1547</v>
      </c>
      <c r="D88" s="2" t="s">
        <v>85</v>
      </c>
      <c r="E88" t="s">
        <v>400</v>
      </c>
      <c r="F88" s="1">
        <v>0</v>
      </c>
      <c r="I88" t="str">
        <v>BE0974264930</v>
      </c>
      <c r="J88" t="str">
        <v>Not included in a theme</v>
      </c>
      <c r="K88">
        <v>0</v>
      </c>
      <c r="L88" t="str" cm="1">
        <f t="array" ref="L88">_xlfn.TEXTJOIN(",",TRUE,_xlfn._xlws.FILTER($C$5:$C$1727,($D$5:$D$1727=I88)*($E$5:$E$1727=J88)*($F$5:$F$1727=K88)))</f>
        <v>EZ,Global</v>
      </c>
      <c r="M88" t="b">
        <f t="shared" si="2"/>
        <v>0</v>
      </c>
      <c r="N88">
        <f t="shared" si="3"/>
        <v>1</v>
      </c>
      <c r="T88" t="s">
        <v>1640</v>
      </c>
      <c r="U88" t="s">
        <v>207</v>
      </c>
      <c r="V88" t="s">
        <v>1557</v>
      </c>
    </row>
    <row r="89" spans="3:22" x14ac:dyDescent="0.25">
      <c r="C89" t="s">
        <v>1547</v>
      </c>
      <c r="D89" s="2" t="s">
        <v>86</v>
      </c>
      <c r="E89" t="s">
        <v>400</v>
      </c>
      <c r="F89" s="1">
        <v>0</v>
      </c>
      <c r="I89" t="str">
        <v>BE0974293251</v>
      </c>
      <c r="J89" t="str">
        <v>Excluded</v>
      </c>
      <c r="K89">
        <v>0</v>
      </c>
      <c r="L89" t="str" cm="1">
        <f t="array" ref="L89">_xlfn.TEXTJOIN(",",TRUE,_xlfn._xlws.FILTER($C$5:$C$1727,($D$5:$D$1727=I89)*($E$5:$E$1727=J89)*($F$5:$F$1727=K89)))</f>
        <v>EZ,Global</v>
      </c>
      <c r="M89" t="b">
        <f t="shared" si="2"/>
        <v>0</v>
      </c>
      <c r="N89">
        <f t="shared" si="3"/>
        <v>1</v>
      </c>
      <c r="T89" t="s">
        <v>1641</v>
      </c>
      <c r="U89" t="s">
        <v>152</v>
      </c>
      <c r="V89" t="s">
        <v>1557</v>
      </c>
    </row>
    <row r="90" spans="3:22" x14ac:dyDescent="0.25">
      <c r="C90" t="s">
        <v>1547</v>
      </c>
      <c r="D90" s="2" t="s">
        <v>87</v>
      </c>
      <c r="E90" t="s">
        <v>401</v>
      </c>
      <c r="F90" s="1">
        <v>0</v>
      </c>
      <c r="I90" t="str">
        <v>BE0974320526</v>
      </c>
      <c r="J90" t="str">
        <v>Circular economy</v>
      </c>
      <c r="K90">
        <v>0.77</v>
      </c>
      <c r="L90" t="str" cm="1">
        <f t="array" ref="L90">_xlfn.TEXTJOIN(",",TRUE,_xlfn._xlws.FILTER($C$5:$C$1727,($D$5:$D$1727=I90)*($E$5:$E$1727=J90)*($F$5:$F$1727=K90)))</f>
        <v>EZ</v>
      </c>
      <c r="M90" t="b">
        <f t="shared" si="2"/>
        <v>0</v>
      </c>
      <c r="N90">
        <f t="shared" si="3"/>
        <v>1</v>
      </c>
      <c r="T90" t="s">
        <v>1642</v>
      </c>
      <c r="U90" t="s">
        <v>99</v>
      </c>
      <c r="V90" t="s">
        <v>1557</v>
      </c>
    </row>
    <row r="91" spans="3:22" x14ac:dyDescent="0.25">
      <c r="C91" t="s">
        <v>1547</v>
      </c>
      <c r="D91" s="2" t="s">
        <v>88</v>
      </c>
      <c r="E91" t="s">
        <v>403</v>
      </c>
      <c r="F91" s="1">
        <v>0.6</v>
      </c>
      <c r="I91" t="str">
        <v>BE0974338700</v>
      </c>
      <c r="J91" t="str">
        <v>Eco-efficient industries</v>
      </c>
      <c r="K91">
        <v>0.23</v>
      </c>
      <c r="L91" t="str" cm="1">
        <f t="array" ref="L91">_xlfn.TEXTJOIN(",",TRUE,_xlfn._xlws.FILTER($C$5:$C$1727,($D$5:$D$1727=I91)*($E$5:$E$1727=J91)*($F$5:$F$1727=K91)))</f>
        <v>EZ</v>
      </c>
      <c r="M91" t="b">
        <f t="shared" si="2"/>
        <v>0</v>
      </c>
      <c r="N91">
        <f t="shared" si="3"/>
        <v>0</v>
      </c>
      <c r="T91" t="s">
        <v>1643</v>
      </c>
      <c r="U91" t="s">
        <v>268</v>
      </c>
      <c r="V91" t="s">
        <v>1557</v>
      </c>
    </row>
    <row r="92" spans="3:22" x14ac:dyDescent="0.25">
      <c r="C92" t="s">
        <v>1547</v>
      </c>
      <c r="D92" s="2" t="s">
        <v>89</v>
      </c>
      <c r="E92" t="s">
        <v>400</v>
      </c>
      <c r="F92" s="1">
        <v>0</v>
      </c>
      <c r="I92" t="str">
        <v>BE0974349814</v>
      </c>
      <c r="J92" t="str">
        <v>Ecoconstruction</v>
      </c>
      <c r="K92">
        <v>0.26</v>
      </c>
      <c r="L92" t="str" cm="1">
        <f t="array" ref="L92">_xlfn.TEXTJOIN(",",TRUE,_xlfn._xlws.FILTER($C$5:$C$1727,($D$5:$D$1727=I92)*($E$5:$E$1727=J92)*($F$5:$F$1727=K92)))</f>
        <v>EZ</v>
      </c>
      <c r="M92" t="b">
        <f t="shared" si="2"/>
        <v>0</v>
      </c>
      <c r="N92">
        <f t="shared" si="3"/>
        <v>1</v>
      </c>
      <c r="T92" t="s">
        <v>1644</v>
      </c>
      <c r="U92" t="s">
        <v>39</v>
      </c>
      <c r="V92" t="s">
        <v>1557</v>
      </c>
    </row>
    <row r="93" spans="3:22" x14ac:dyDescent="0.25">
      <c r="C93" t="s">
        <v>1547</v>
      </c>
      <c r="D93" s="2" t="s">
        <v>90</v>
      </c>
      <c r="E93" t="s">
        <v>401</v>
      </c>
      <c r="F93" s="1">
        <v>0</v>
      </c>
      <c r="I93" t="str">
        <v>BE0974400328</v>
      </c>
      <c r="J93" t="str">
        <v>Excluded</v>
      </c>
      <c r="K93">
        <v>0</v>
      </c>
      <c r="L93" t="str" cm="1">
        <f t="array" ref="L93">_xlfn.TEXTJOIN(",",TRUE,_xlfn._xlws.FILTER($C$5:$C$1727,($D$5:$D$1727=I93)*($E$5:$E$1727=J93)*($F$5:$F$1727=K93)))</f>
        <v>EZ</v>
      </c>
      <c r="M93" t="b">
        <f t="shared" si="2"/>
        <v>0</v>
      </c>
      <c r="N93">
        <f t="shared" si="3"/>
        <v>0</v>
      </c>
      <c r="T93" t="s">
        <v>1645</v>
      </c>
      <c r="U93" t="s">
        <v>49</v>
      </c>
      <c r="V93" t="s">
        <v>1557</v>
      </c>
    </row>
    <row r="94" spans="3:22" x14ac:dyDescent="0.25">
      <c r="C94" t="s">
        <v>1547</v>
      </c>
      <c r="D94" s="2" t="s">
        <v>91</v>
      </c>
      <c r="E94" t="s">
        <v>405</v>
      </c>
      <c r="F94" s="1">
        <v>0.21</v>
      </c>
      <c r="I94" t="str">
        <v>BE0974413453</v>
      </c>
      <c r="J94" t="str">
        <v>Green energy</v>
      </c>
      <c r="K94">
        <v>0.48</v>
      </c>
      <c r="L94" t="str" cm="1">
        <f t="array" ref="L94">_xlfn.TEXTJOIN(",",TRUE,_xlfn._xlws.FILTER($C$5:$C$1727,($D$5:$D$1727=I94)*($E$5:$E$1727=J94)*($F$5:$F$1727=K94)))</f>
        <v>EZ</v>
      </c>
      <c r="M94" t="b">
        <f t="shared" si="2"/>
        <v>0</v>
      </c>
      <c r="N94">
        <f t="shared" si="3"/>
        <v>0</v>
      </c>
      <c r="T94" t="s">
        <v>1646</v>
      </c>
      <c r="U94" t="s">
        <v>337</v>
      </c>
      <c r="V94" t="s">
        <v>1554</v>
      </c>
    </row>
    <row r="95" spans="3:22" x14ac:dyDescent="0.25">
      <c r="C95" t="s">
        <v>1547</v>
      </c>
      <c r="D95" s="2" t="s">
        <v>92</v>
      </c>
      <c r="E95" t="s">
        <v>400</v>
      </c>
      <c r="F95" s="1">
        <v>0</v>
      </c>
      <c r="I95" t="str">
        <v>BE0974464977</v>
      </c>
      <c r="J95" t="str">
        <v>Excluded</v>
      </c>
      <c r="K95">
        <v>0</v>
      </c>
      <c r="L95" t="str" cm="1">
        <f t="array" ref="L95">_xlfn.TEXTJOIN(",",TRUE,_xlfn._xlws.FILTER($C$5:$C$1727,($D$5:$D$1727=I95)*($E$5:$E$1727=J95)*($F$5:$F$1727=K95)))</f>
        <v>EZ</v>
      </c>
      <c r="M95" t="b">
        <f t="shared" si="2"/>
        <v>0</v>
      </c>
      <c r="N95">
        <f t="shared" si="3"/>
        <v>0</v>
      </c>
      <c r="T95" t="s">
        <v>1647</v>
      </c>
      <c r="U95" t="s">
        <v>175</v>
      </c>
      <c r="V95" t="s">
        <v>1554</v>
      </c>
    </row>
    <row r="96" spans="3:22" x14ac:dyDescent="0.25">
      <c r="C96" t="s">
        <v>1547</v>
      </c>
      <c r="D96" s="2" t="s">
        <v>93</v>
      </c>
      <c r="E96" t="s">
        <v>399</v>
      </c>
      <c r="F96" s="1">
        <v>1</v>
      </c>
      <c r="I96" t="str">
        <v>BMG0112X1056</v>
      </c>
      <c r="J96" t="str">
        <v>Excluded</v>
      </c>
      <c r="K96">
        <v>0</v>
      </c>
      <c r="L96" t="str" cm="1">
        <f t="array" ref="L96">_xlfn.TEXTJOIN(",",TRUE,_xlfn._xlws.FILTER($C$5:$C$1727,($D$5:$D$1727=I96)*($E$5:$E$1727=J96)*($F$5:$F$1727=K96)))</f>
        <v>EZ,Global</v>
      </c>
      <c r="M96" t="b">
        <f t="shared" si="2"/>
        <v>0</v>
      </c>
      <c r="N96">
        <f t="shared" si="3"/>
        <v>1</v>
      </c>
      <c r="T96" t="s">
        <v>1648</v>
      </c>
      <c r="U96" t="s">
        <v>66</v>
      </c>
      <c r="V96" t="s">
        <v>1554</v>
      </c>
    </row>
    <row r="97" spans="3:22" x14ac:dyDescent="0.25">
      <c r="C97" t="s">
        <v>1547</v>
      </c>
      <c r="D97" s="2" t="s">
        <v>94</v>
      </c>
      <c r="E97" t="s">
        <v>401</v>
      </c>
      <c r="F97" s="1">
        <v>0</v>
      </c>
      <c r="I97" t="str">
        <v>BMG0450A1053</v>
      </c>
      <c r="J97" t="str">
        <v>Not included in a theme</v>
      </c>
      <c r="K97">
        <v>0</v>
      </c>
      <c r="L97" t="str" cm="1">
        <f t="array" ref="L97">_xlfn.TEXTJOIN(",",TRUE,_xlfn._xlws.FILTER($C$5:$C$1727,($D$5:$D$1727=I97)*($E$5:$E$1727=J97)*($F$5:$F$1727=K97)))</f>
        <v>Global</v>
      </c>
      <c r="M97" t="b">
        <f t="shared" si="2"/>
        <v>0</v>
      </c>
      <c r="N97">
        <f t="shared" si="3"/>
        <v>0</v>
      </c>
      <c r="T97" t="s">
        <v>1649</v>
      </c>
      <c r="U97" t="s">
        <v>172</v>
      </c>
      <c r="V97" t="s">
        <v>1554</v>
      </c>
    </row>
    <row r="98" spans="3:22" x14ac:dyDescent="0.25">
      <c r="C98" t="s">
        <v>1547</v>
      </c>
      <c r="D98" s="2" t="s">
        <v>95</v>
      </c>
      <c r="E98" t="s">
        <v>399</v>
      </c>
      <c r="F98" s="1">
        <v>0.49</v>
      </c>
      <c r="I98" t="str">
        <v>BMG162521014</v>
      </c>
      <c r="J98" t="str">
        <v>Excluded</v>
      </c>
      <c r="K98">
        <v>0</v>
      </c>
      <c r="L98" t="str" cm="1">
        <f t="array" ref="L98">_xlfn.TEXTJOIN(",",TRUE,_xlfn._xlws.FILTER($C$5:$C$1727,($D$5:$D$1727=I98)*($E$5:$E$1727=J98)*($F$5:$F$1727=K98)))</f>
        <v>Global</v>
      </c>
      <c r="M98" t="b">
        <f t="shared" si="2"/>
        <v>0</v>
      </c>
      <c r="N98">
        <f t="shared" si="3"/>
        <v>0</v>
      </c>
      <c r="T98" t="s">
        <v>1650</v>
      </c>
      <c r="U98" t="s">
        <v>202</v>
      </c>
      <c r="V98" t="s">
        <v>1554</v>
      </c>
    </row>
    <row r="99" spans="3:22" x14ac:dyDescent="0.25">
      <c r="C99" t="s">
        <v>1547</v>
      </c>
      <c r="D99" s="2" t="s">
        <v>96</v>
      </c>
      <c r="E99" t="s">
        <v>401</v>
      </c>
      <c r="F99" s="1">
        <v>0</v>
      </c>
      <c r="I99" t="str">
        <v>BMG2519Y1084</v>
      </c>
      <c r="J99" t="str">
        <v>Excluded</v>
      </c>
      <c r="K99">
        <v>0</v>
      </c>
      <c r="L99" t="str" cm="1">
        <f t="array" ref="L99">_xlfn.TEXTJOIN(",",TRUE,_xlfn._xlws.FILTER($C$5:$C$1727,($D$5:$D$1727=I99)*($E$5:$E$1727=J99)*($F$5:$F$1727=K99)))</f>
        <v>Global</v>
      </c>
      <c r="M99" t="b">
        <f t="shared" si="2"/>
        <v>0</v>
      </c>
      <c r="N99">
        <f t="shared" si="3"/>
        <v>0</v>
      </c>
      <c r="T99" t="s">
        <v>1651</v>
      </c>
      <c r="U99" t="s">
        <v>201</v>
      </c>
      <c r="V99" t="s">
        <v>1652</v>
      </c>
    </row>
    <row r="100" spans="3:22" x14ac:dyDescent="0.25">
      <c r="C100" t="s">
        <v>1547</v>
      </c>
      <c r="D100" s="2" t="s">
        <v>97</v>
      </c>
      <c r="E100" t="s">
        <v>400</v>
      </c>
      <c r="F100" s="1">
        <v>0</v>
      </c>
      <c r="I100" t="str">
        <v>BMG3223R1088</v>
      </c>
      <c r="J100" t="str">
        <v>Not included in a theme</v>
      </c>
      <c r="K100">
        <v>0</v>
      </c>
      <c r="L100" t="str" cm="1">
        <f t="array" ref="L100">_xlfn.TEXTJOIN(",",TRUE,_xlfn._xlws.FILTER($C$5:$C$1727,($D$5:$D$1727=I100)*($E$5:$E$1727=J100)*($F$5:$F$1727=K100)))</f>
        <v>Global</v>
      </c>
      <c r="M100" t="b">
        <f t="shared" si="2"/>
        <v>0</v>
      </c>
      <c r="N100">
        <f t="shared" si="3"/>
        <v>0</v>
      </c>
      <c r="T100" t="s">
        <v>1653</v>
      </c>
      <c r="U100" t="s">
        <v>78</v>
      </c>
      <c r="V100" t="s">
        <v>1654</v>
      </c>
    </row>
    <row r="101" spans="3:22" x14ac:dyDescent="0.25">
      <c r="C101" t="s">
        <v>1547</v>
      </c>
      <c r="D101" s="2" t="s">
        <v>98</v>
      </c>
      <c r="E101" t="s">
        <v>403</v>
      </c>
      <c r="F101" s="1">
        <v>0.4</v>
      </c>
      <c r="I101" t="str">
        <v>BMG455841020</v>
      </c>
      <c r="J101" t="str">
        <v>Excluded</v>
      </c>
      <c r="K101">
        <v>0</v>
      </c>
      <c r="L101" t="str" cm="1">
        <f t="array" ref="L101">_xlfn.TEXTJOIN(",",TRUE,_xlfn._xlws.FILTER($C$5:$C$1727,($D$5:$D$1727=I101)*($E$5:$E$1727=J101)*($F$5:$F$1727=K101)))</f>
        <v>EZ</v>
      </c>
      <c r="M101" t="b">
        <f t="shared" si="2"/>
        <v>0</v>
      </c>
      <c r="N101">
        <f t="shared" si="3"/>
        <v>0</v>
      </c>
      <c r="T101" t="s">
        <v>1655</v>
      </c>
      <c r="U101" t="s">
        <v>208</v>
      </c>
      <c r="V101" t="s">
        <v>1656</v>
      </c>
    </row>
    <row r="102" spans="3:22" x14ac:dyDescent="0.25">
      <c r="C102" t="s">
        <v>1547</v>
      </c>
      <c r="D102" s="2" t="s">
        <v>99</v>
      </c>
      <c r="E102" t="s">
        <v>401</v>
      </c>
      <c r="F102" s="1">
        <v>0</v>
      </c>
      <c r="I102" t="str">
        <v>BMG4587L1090</v>
      </c>
      <c r="J102" t="str">
        <v>Excluded</v>
      </c>
      <c r="K102">
        <v>0</v>
      </c>
      <c r="L102" t="str" cm="1">
        <f t="array" ref="L102">_xlfn.TEXTJOIN(",",TRUE,_xlfn._xlws.FILTER($C$5:$C$1727,($D$5:$D$1727=I102)*($E$5:$E$1727=J102)*($F$5:$F$1727=K102)))</f>
        <v>Global</v>
      </c>
      <c r="M102" t="b">
        <f t="shared" si="2"/>
        <v>0</v>
      </c>
      <c r="N102">
        <f t="shared" si="3"/>
        <v>0</v>
      </c>
      <c r="T102" t="s">
        <v>1657</v>
      </c>
      <c r="U102" t="s">
        <v>258</v>
      </c>
      <c r="V102" t="s">
        <v>1658</v>
      </c>
    </row>
    <row r="103" spans="3:22" x14ac:dyDescent="0.25">
      <c r="C103" t="s">
        <v>1547</v>
      </c>
      <c r="D103" s="2" t="s">
        <v>100</v>
      </c>
      <c r="E103" t="s">
        <v>401</v>
      </c>
      <c r="F103" s="1">
        <v>0</v>
      </c>
      <c r="I103" t="str">
        <v>BMG507361001</v>
      </c>
      <c r="J103" t="str">
        <v>Excluded</v>
      </c>
      <c r="K103">
        <v>0</v>
      </c>
      <c r="L103" t="str" cm="1">
        <f t="array" ref="L103">_xlfn.TEXTJOIN(",",TRUE,_xlfn._xlws.FILTER($C$5:$C$1727,($D$5:$D$1727=I103)*($E$5:$E$1727=J103)*($F$5:$F$1727=K103)))</f>
        <v>Global</v>
      </c>
      <c r="M103" t="b">
        <f t="shared" si="2"/>
        <v>0</v>
      </c>
      <c r="N103">
        <f t="shared" si="3"/>
        <v>0</v>
      </c>
      <c r="T103" t="s">
        <v>1659</v>
      </c>
      <c r="U103" t="s">
        <v>134</v>
      </c>
      <c r="V103" t="s">
        <v>1652</v>
      </c>
    </row>
    <row r="104" spans="3:22" x14ac:dyDescent="0.25">
      <c r="C104" t="s">
        <v>1547</v>
      </c>
      <c r="D104" s="2" t="s">
        <v>101</v>
      </c>
      <c r="E104" t="s">
        <v>400</v>
      </c>
      <c r="F104" s="1">
        <v>0</v>
      </c>
      <c r="I104" t="str">
        <v>BMG7496G1033</v>
      </c>
      <c r="J104" t="str">
        <v>Not included in a theme</v>
      </c>
      <c r="K104">
        <v>0</v>
      </c>
      <c r="L104" t="str" cm="1">
        <f t="array" ref="L104">_xlfn.TEXTJOIN(",",TRUE,_xlfn._xlws.FILTER($C$5:$C$1727,($D$5:$D$1727=I104)*($E$5:$E$1727=J104)*($F$5:$F$1727=K104)))</f>
        <v>Global</v>
      </c>
      <c r="M104" t="b">
        <f t="shared" si="2"/>
        <v>0</v>
      </c>
      <c r="N104">
        <f t="shared" si="3"/>
        <v>0</v>
      </c>
      <c r="T104" t="s">
        <v>1660</v>
      </c>
      <c r="U104" t="s">
        <v>194</v>
      </c>
      <c r="V104" t="s">
        <v>1661</v>
      </c>
    </row>
    <row r="105" spans="3:22" x14ac:dyDescent="0.25">
      <c r="C105" t="s">
        <v>1547</v>
      </c>
      <c r="D105" s="2" t="s">
        <v>102</v>
      </c>
      <c r="E105" t="s">
        <v>400</v>
      </c>
      <c r="F105" s="1">
        <v>0</v>
      </c>
      <c r="I105" t="str">
        <v>BMG93A5A1010</v>
      </c>
      <c r="J105" t="str">
        <v>Excluded</v>
      </c>
      <c r="K105">
        <v>0</v>
      </c>
      <c r="L105" t="str" cm="1">
        <f t="array" ref="L105">_xlfn.TEXTJOIN(",",TRUE,_xlfn._xlws.FILTER($C$5:$C$1727,($D$5:$D$1727=I105)*($E$5:$E$1727=J105)*($F$5:$F$1727=K105)))</f>
        <v>Global</v>
      </c>
      <c r="M105" t="b">
        <f t="shared" si="2"/>
        <v>0</v>
      </c>
      <c r="N105">
        <f t="shared" si="3"/>
        <v>0</v>
      </c>
      <c r="T105" t="s">
        <v>1662</v>
      </c>
      <c r="U105" t="s">
        <v>148</v>
      </c>
      <c r="V105" t="s">
        <v>1656</v>
      </c>
    </row>
    <row r="106" spans="3:22" x14ac:dyDescent="0.25">
      <c r="C106" t="s">
        <v>1547</v>
      </c>
      <c r="D106" s="2" t="s">
        <v>103</v>
      </c>
      <c r="E106" t="s">
        <v>403</v>
      </c>
      <c r="F106" s="1">
        <v>0.25</v>
      </c>
      <c r="I106" t="str">
        <v>BRAXIAACNOR0</v>
      </c>
      <c r="J106" t="str">
        <v>Excluded</v>
      </c>
      <c r="K106">
        <v>0</v>
      </c>
      <c r="L106" t="str" cm="1">
        <f t="array" ref="L106">_xlfn.TEXTJOIN(",",TRUE,_xlfn._xlws.FILTER($C$5:$C$1727,($D$5:$D$1727=I106)*($E$5:$E$1727=J106)*($F$5:$F$1727=K106)))</f>
        <v>Global</v>
      </c>
      <c r="M106" t="b">
        <f t="shared" si="2"/>
        <v>0</v>
      </c>
      <c r="N106">
        <f t="shared" si="3"/>
        <v>0</v>
      </c>
      <c r="T106" t="s">
        <v>1663</v>
      </c>
      <c r="U106" t="s">
        <v>301</v>
      </c>
      <c r="V106" t="s">
        <v>1652</v>
      </c>
    </row>
    <row r="107" spans="3:22" x14ac:dyDescent="0.25">
      <c r="C107" t="s">
        <v>1547</v>
      </c>
      <c r="D107" s="2" t="s">
        <v>104</v>
      </c>
      <c r="E107" t="s">
        <v>400</v>
      </c>
      <c r="F107" s="1">
        <v>0</v>
      </c>
      <c r="I107" t="str">
        <v>CA0084741085</v>
      </c>
      <c r="J107" t="str">
        <v>Excluded</v>
      </c>
      <c r="K107">
        <v>0</v>
      </c>
      <c r="L107" t="str" cm="1">
        <f t="array" ref="L107">_xlfn.TEXTJOIN(",",TRUE,_xlfn._xlws.FILTER($C$5:$C$1727,($D$5:$D$1727=I107)*($E$5:$E$1727=J107)*($F$5:$F$1727=K107)))</f>
        <v>Global</v>
      </c>
      <c r="M107" t="b">
        <f t="shared" si="2"/>
        <v>0</v>
      </c>
      <c r="N107">
        <f t="shared" si="3"/>
        <v>0</v>
      </c>
      <c r="T107" t="s">
        <v>1664</v>
      </c>
      <c r="U107" t="s">
        <v>223</v>
      </c>
      <c r="V107" t="s">
        <v>1658</v>
      </c>
    </row>
    <row r="108" spans="3:22" x14ac:dyDescent="0.25">
      <c r="C108" t="s">
        <v>1547</v>
      </c>
      <c r="D108" s="2" t="s">
        <v>105</v>
      </c>
      <c r="E108" t="s">
        <v>401</v>
      </c>
      <c r="F108" s="1">
        <v>0</v>
      </c>
      <c r="I108" t="str">
        <v>CA0115321089</v>
      </c>
      <c r="J108" t="str">
        <v>Excluded</v>
      </c>
      <c r="K108">
        <v>0</v>
      </c>
      <c r="L108" t="str" cm="1">
        <f t="array" ref="L108">_xlfn.TEXTJOIN(",",TRUE,_xlfn._xlws.FILTER($C$5:$C$1727,($D$5:$D$1727=I108)*($E$5:$E$1727=J108)*($F$5:$F$1727=K108)))</f>
        <v>Global</v>
      </c>
      <c r="M108" t="b">
        <f t="shared" si="2"/>
        <v>0</v>
      </c>
      <c r="N108">
        <f t="shared" si="3"/>
        <v>0</v>
      </c>
      <c r="T108" t="s">
        <v>1665</v>
      </c>
      <c r="U108" t="s">
        <v>165</v>
      </c>
      <c r="V108" t="s">
        <v>1666</v>
      </c>
    </row>
    <row r="109" spans="3:22" x14ac:dyDescent="0.25">
      <c r="C109" t="s">
        <v>1547</v>
      </c>
      <c r="D109" s="2" t="s">
        <v>106</v>
      </c>
      <c r="E109" t="s">
        <v>400</v>
      </c>
      <c r="F109" s="1">
        <v>0</v>
      </c>
      <c r="I109" t="str">
        <v>CA01626P1484</v>
      </c>
      <c r="J109" t="str">
        <v>Excluded</v>
      </c>
      <c r="K109">
        <v>0</v>
      </c>
      <c r="L109" t="str" cm="1">
        <f t="array" ref="L109">_xlfn.TEXTJOIN(",",TRUE,_xlfn._xlws.FILTER($C$5:$C$1727,($D$5:$D$1727=I109)*($E$5:$E$1727=J109)*($F$5:$F$1727=K109)))</f>
        <v>Global</v>
      </c>
      <c r="M109" t="b">
        <f t="shared" si="2"/>
        <v>0</v>
      </c>
      <c r="N109">
        <f t="shared" si="3"/>
        <v>0</v>
      </c>
      <c r="T109" t="s">
        <v>1667</v>
      </c>
      <c r="U109" t="s">
        <v>142</v>
      </c>
      <c r="V109" t="s">
        <v>1666</v>
      </c>
    </row>
    <row r="110" spans="3:22" x14ac:dyDescent="0.25">
      <c r="C110" t="s">
        <v>1547</v>
      </c>
      <c r="D110" s="2" t="s">
        <v>107</v>
      </c>
      <c r="E110" t="s">
        <v>401</v>
      </c>
      <c r="F110" s="1">
        <v>0</v>
      </c>
      <c r="I110" t="str">
        <v>CA05534B7604</v>
      </c>
      <c r="J110" t="str">
        <v>Information technology</v>
      </c>
      <c r="K110">
        <v>1</v>
      </c>
      <c r="L110" t="str" cm="1">
        <f t="array" ref="L110">_xlfn.TEXTJOIN(",",TRUE,_xlfn._xlws.FILTER($C$5:$C$1727,($D$5:$D$1727=I110)*($E$5:$E$1727=J110)*($F$5:$F$1727=K110)))</f>
        <v>Global</v>
      </c>
      <c r="M110" t="b">
        <f t="shared" si="2"/>
        <v>0</v>
      </c>
      <c r="N110">
        <f t="shared" si="3"/>
        <v>0</v>
      </c>
      <c r="T110" t="s">
        <v>1668</v>
      </c>
      <c r="U110" t="s">
        <v>264</v>
      </c>
      <c r="V110" t="s">
        <v>1658</v>
      </c>
    </row>
    <row r="111" spans="3:22" x14ac:dyDescent="0.25">
      <c r="C111" t="s">
        <v>1547</v>
      </c>
      <c r="D111" s="2" t="s">
        <v>108</v>
      </c>
      <c r="E111" t="s">
        <v>400</v>
      </c>
      <c r="F111" s="1">
        <v>0</v>
      </c>
      <c r="I111" t="str">
        <v>CA0636711016</v>
      </c>
      <c r="J111" t="str">
        <v>Excluded</v>
      </c>
      <c r="K111">
        <v>0</v>
      </c>
      <c r="L111" t="str" cm="1">
        <f t="array" ref="L111">_xlfn.TEXTJOIN(",",TRUE,_xlfn._xlws.FILTER($C$5:$C$1727,($D$5:$D$1727=I111)*($E$5:$E$1727=J111)*($F$5:$F$1727=K111)))</f>
        <v>Global</v>
      </c>
      <c r="M111" t="b">
        <f t="shared" si="2"/>
        <v>0</v>
      </c>
      <c r="N111">
        <f t="shared" si="3"/>
        <v>0</v>
      </c>
      <c r="T111" t="s">
        <v>1669</v>
      </c>
      <c r="U111" t="s">
        <v>274</v>
      </c>
      <c r="V111" t="s">
        <v>1652</v>
      </c>
    </row>
    <row r="112" spans="3:22" x14ac:dyDescent="0.25">
      <c r="C112" t="s">
        <v>1547</v>
      </c>
      <c r="D112" s="2" t="s">
        <v>109</v>
      </c>
      <c r="E112" t="s">
        <v>400</v>
      </c>
      <c r="F112" s="1">
        <v>0</v>
      </c>
      <c r="I112" t="str">
        <v>CA0641491075</v>
      </c>
      <c r="J112" t="str">
        <v>Excluded</v>
      </c>
      <c r="K112">
        <v>0</v>
      </c>
      <c r="L112" t="str" cm="1">
        <f t="array" ref="L112">_xlfn.TEXTJOIN(",",TRUE,_xlfn._xlws.FILTER($C$5:$C$1727,($D$5:$D$1727=I112)*($E$5:$E$1727=J112)*($F$5:$F$1727=K112)))</f>
        <v>Global</v>
      </c>
      <c r="M112" t="b">
        <f t="shared" si="2"/>
        <v>0</v>
      </c>
      <c r="N112">
        <f t="shared" si="3"/>
        <v>0</v>
      </c>
      <c r="T112" t="s">
        <v>1670</v>
      </c>
      <c r="U112" t="s">
        <v>393</v>
      </c>
      <c r="V112" t="s">
        <v>1652</v>
      </c>
    </row>
    <row r="113" spans="3:22" x14ac:dyDescent="0.25">
      <c r="C113" t="s">
        <v>1547</v>
      </c>
      <c r="D113" s="2" t="s">
        <v>110</v>
      </c>
      <c r="E113" t="s">
        <v>400</v>
      </c>
      <c r="F113" s="1">
        <v>0</v>
      </c>
      <c r="I113" t="str">
        <v>CA06849F1080</v>
      </c>
      <c r="J113" t="str">
        <v>Excluded</v>
      </c>
      <c r="K113">
        <v>0</v>
      </c>
      <c r="L113" t="str" cm="1">
        <f t="array" ref="L113">_xlfn.TEXTJOIN(",",TRUE,_xlfn._xlws.FILTER($C$5:$C$1727,($D$5:$D$1727=I113)*($E$5:$E$1727=J113)*($F$5:$F$1727=K113)))</f>
        <v>Global</v>
      </c>
      <c r="M113" t="b">
        <f t="shared" si="2"/>
        <v>0</v>
      </c>
      <c r="N113">
        <f t="shared" si="3"/>
        <v>0</v>
      </c>
      <c r="T113" t="s">
        <v>1671</v>
      </c>
      <c r="U113" t="s">
        <v>93</v>
      </c>
      <c r="V113" t="s">
        <v>1652</v>
      </c>
    </row>
    <row r="114" spans="3:22" x14ac:dyDescent="0.25">
      <c r="C114" t="s">
        <v>1547</v>
      </c>
      <c r="D114" s="2" t="s">
        <v>111</v>
      </c>
      <c r="E114" t="s">
        <v>400</v>
      </c>
      <c r="F114" s="1">
        <v>0</v>
      </c>
      <c r="I114" t="str">
        <v>CA0977518616</v>
      </c>
      <c r="J114" t="str">
        <v>Excluded</v>
      </c>
      <c r="K114">
        <v>0</v>
      </c>
      <c r="L114" t="str" cm="1">
        <f t="array" ref="L114">_xlfn.TEXTJOIN(",",TRUE,_xlfn._xlws.FILTER($C$5:$C$1727,($D$5:$D$1727=I114)*($E$5:$E$1727=J114)*($F$5:$F$1727=K114)))</f>
        <v>Global</v>
      </c>
      <c r="M114" t="b">
        <f t="shared" si="2"/>
        <v>0</v>
      </c>
      <c r="N114">
        <f t="shared" si="3"/>
        <v>0</v>
      </c>
      <c r="T114" t="s">
        <v>1672</v>
      </c>
      <c r="U114" t="s">
        <v>123</v>
      </c>
      <c r="V114" t="s">
        <v>1656</v>
      </c>
    </row>
    <row r="115" spans="3:22" x14ac:dyDescent="0.25">
      <c r="C115" t="s">
        <v>1547</v>
      </c>
      <c r="D115" s="2" t="s">
        <v>112</v>
      </c>
      <c r="E115" t="s">
        <v>401</v>
      </c>
      <c r="F115" s="1">
        <v>0</v>
      </c>
      <c r="I115" t="str">
        <v>CA11271J1075</v>
      </c>
      <c r="J115" t="str">
        <v>Excluded</v>
      </c>
      <c r="K115">
        <v>0</v>
      </c>
      <c r="L115" t="str" cm="1">
        <f t="array" ref="L115">_xlfn.TEXTJOIN(",",TRUE,_xlfn._xlws.FILTER($C$5:$C$1727,($D$5:$D$1727=I115)*($E$5:$E$1727=J115)*($F$5:$F$1727=K115)))</f>
        <v>Global</v>
      </c>
      <c r="M115" t="b">
        <f t="shared" si="2"/>
        <v>0</v>
      </c>
      <c r="N115">
        <f t="shared" si="3"/>
        <v>0</v>
      </c>
      <c r="T115" t="s">
        <v>1673</v>
      </c>
      <c r="U115" t="s">
        <v>94</v>
      </c>
      <c r="V115" t="s">
        <v>1652</v>
      </c>
    </row>
    <row r="116" spans="3:22" x14ac:dyDescent="0.25">
      <c r="C116" t="s">
        <v>1547</v>
      </c>
      <c r="D116" s="2" t="s">
        <v>113</v>
      </c>
      <c r="E116" t="s">
        <v>400</v>
      </c>
      <c r="F116" s="1">
        <v>0</v>
      </c>
      <c r="I116" t="str">
        <v>CA1130041058</v>
      </c>
      <c r="J116" t="str">
        <v>Excluded</v>
      </c>
      <c r="K116">
        <v>0</v>
      </c>
      <c r="L116" t="str" cm="1">
        <f t="array" ref="L116">_xlfn.TEXTJOIN(",",TRUE,_xlfn._xlws.FILTER($C$5:$C$1727,($D$5:$D$1727=I116)*($E$5:$E$1727=J116)*($F$5:$F$1727=K116)))</f>
        <v>Global</v>
      </c>
      <c r="M116" t="b">
        <f t="shared" si="2"/>
        <v>0</v>
      </c>
      <c r="N116">
        <f t="shared" si="3"/>
        <v>0</v>
      </c>
      <c r="T116" t="s">
        <v>1674</v>
      </c>
      <c r="U116" t="s">
        <v>60</v>
      </c>
      <c r="V116" t="s">
        <v>1652</v>
      </c>
    </row>
    <row r="117" spans="3:22" x14ac:dyDescent="0.25">
      <c r="C117" t="s">
        <v>1547</v>
      </c>
      <c r="D117" s="2" t="s">
        <v>114</v>
      </c>
      <c r="E117" t="s">
        <v>401</v>
      </c>
      <c r="F117" s="1">
        <v>0</v>
      </c>
      <c r="I117" t="str">
        <v>CA12532H1047</v>
      </c>
      <c r="J117" t="str">
        <v>Not included in a theme</v>
      </c>
      <c r="K117">
        <v>0</v>
      </c>
      <c r="L117" t="str" cm="1">
        <f t="array" ref="L117">_xlfn.TEXTJOIN(",",TRUE,_xlfn._xlws.FILTER($C$5:$C$1727,($D$5:$D$1727=I117)*($E$5:$E$1727=J117)*($F$5:$F$1727=K117)))</f>
        <v>Global</v>
      </c>
      <c r="M117" t="b">
        <f t="shared" si="2"/>
        <v>0</v>
      </c>
      <c r="N117">
        <f t="shared" si="3"/>
        <v>0</v>
      </c>
      <c r="T117" t="s">
        <v>1675</v>
      </c>
      <c r="U117" t="s">
        <v>133</v>
      </c>
      <c r="V117" t="s">
        <v>1652</v>
      </c>
    </row>
    <row r="118" spans="3:22" x14ac:dyDescent="0.25">
      <c r="C118" t="s">
        <v>1547</v>
      </c>
      <c r="D118" s="2" t="s">
        <v>115</v>
      </c>
      <c r="E118" t="s">
        <v>406</v>
      </c>
      <c r="F118" s="1">
        <v>0.24</v>
      </c>
      <c r="I118" t="str">
        <v>CA13321L1085</v>
      </c>
      <c r="J118" t="str">
        <v>Excluded</v>
      </c>
      <c r="K118">
        <v>0</v>
      </c>
      <c r="L118" t="str" cm="1">
        <f t="array" ref="L118">_xlfn.TEXTJOIN(",",TRUE,_xlfn._xlws.FILTER($C$5:$C$1727,($D$5:$D$1727=I118)*($E$5:$E$1727=J118)*($F$5:$F$1727=K118)))</f>
        <v>Global</v>
      </c>
      <c r="M118" t="b">
        <f t="shared" si="2"/>
        <v>0</v>
      </c>
      <c r="N118">
        <f t="shared" si="3"/>
        <v>0</v>
      </c>
      <c r="T118" t="s">
        <v>1676</v>
      </c>
      <c r="U118" t="s">
        <v>384</v>
      </c>
      <c r="V118" t="s">
        <v>1656</v>
      </c>
    </row>
    <row r="119" spans="3:22" x14ac:dyDescent="0.25">
      <c r="C119" t="s">
        <v>1547</v>
      </c>
      <c r="D119" s="2" t="s">
        <v>116</v>
      </c>
      <c r="E119" t="s">
        <v>401</v>
      </c>
      <c r="F119" s="1">
        <v>0</v>
      </c>
      <c r="I119" t="str">
        <v>CA1360691010</v>
      </c>
      <c r="J119" t="str">
        <v>Excluded</v>
      </c>
      <c r="K119">
        <v>0</v>
      </c>
      <c r="L119" t="str" cm="1">
        <f t="array" ref="L119">_xlfn.TEXTJOIN(",",TRUE,_xlfn._xlws.FILTER($C$5:$C$1727,($D$5:$D$1727=I119)*($E$5:$E$1727=J119)*($F$5:$F$1727=K119)))</f>
        <v>Global</v>
      </c>
      <c r="M119" t="b">
        <f t="shared" si="2"/>
        <v>0</v>
      </c>
      <c r="N119">
        <f t="shared" si="3"/>
        <v>0</v>
      </c>
      <c r="T119" t="s">
        <v>1677</v>
      </c>
      <c r="U119" t="s">
        <v>247</v>
      </c>
      <c r="V119" t="s">
        <v>1652</v>
      </c>
    </row>
    <row r="120" spans="3:22" x14ac:dyDescent="0.25">
      <c r="C120" t="s">
        <v>1547</v>
      </c>
      <c r="D120" s="2" t="s">
        <v>117</v>
      </c>
      <c r="E120" t="s">
        <v>401</v>
      </c>
      <c r="F120" s="1">
        <v>0</v>
      </c>
      <c r="I120" t="str">
        <v>CA1363751027</v>
      </c>
      <c r="J120" t="str">
        <v>Excluded</v>
      </c>
      <c r="K120">
        <v>0</v>
      </c>
      <c r="L120" t="str" cm="1">
        <f t="array" ref="L120">_xlfn.TEXTJOIN(",",TRUE,_xlfn._xlws.FILTER($C$5:$C$1727,($D$5:$D$1727=I120)*($E$5:$E$1727=J120)*($F$5:$F$1727=K120)))</f>
        <v>Global</v>
      </c>
      <c r="M120" t="b">
        <f t="shared" si="2"/>
        <v>0</v>
      </c>
      <c r="N120">
        <f t="shared" si="3"/>
        <v>0</v>
      </c>
      <c r="T120" t="s">
        <v>1678</v>
      </c>
      <c r="U120" t="s">
        <v>100</v>
      </c>
      <c r="V120" t="s">
        <v>1652</v>
      </c>
    </row>
    <row r="121" spans="3:22" x14ac:dyDescent="0.25">
      <c r="C121" t="s">
        <v>1547</v>
      </c>
      <c r="D121" s="2" t="s">
        <v>118</v>
      </c>
      <c r="E121" t="s">
        <v>407</v>
      </c>
      <c r="F121" s="1">
        <v>1</v>
      </c>
      <c r="I121" t="str">
        <v>CA1363851017</v>
      </c>
      <c r="J121" t="str">
        <v>Excluded</v>
      </c>
      <c r="K121">
        <v>0</v>
      </c>
      <c r="L121" t="str" cm="1">
        <f t="array" ref="L121">_xlfn.TEXTJOIN(",",TRUE,_xlfn._xlws.FILTER($C$5:$C$1727,($D$5:$D$1727=I121)*($E$5:$E$1727=J121)*($F$5:$F$1727=K121)))</f>
        <v>Global</v>
      </c>
      <c r="M121" t="b">
        <f t="shared" si="2"/>
        <v>0</v>
      </c>
      <c r="N121">
        <f t="shared" si="3"/>
        <v>0</v>
      </c>
      <c r="T121" t="s">
        <v>1679</v>
      </c>
      <c r="U121" t="s">
        <v>16</v>
      </c>
      <c r="V121" t="s">
        <v>1652</v>
      </c>
    </row>
    <row r="122" spans="3:22" x14ac:dyDescent="0.25">
      <c r="C122" t="s">
        <v>1547</v>
      </c>
      <c r="D122" s="2" t="s">
        <v>119</v>
      </c>
      <c r="E122" t="s">
        <v>400</v>
      </c>
      <c r="F122" s="1">
        <v>0</v>
      </c>
      <c r="I122" t="str">
        <v>CA13646K1084</v>
      </c>
      <c r="J122" t="str">
        <v>Excluded</v>
      </c>
      <c r="K122">
        <v>0</v>
      </c>
      <c r="L122" t="str" cm="1">
        <f t="array" ref="L122">_xlfn.TEXTJOIN(",",TRUE,_xlfn._xlws.FILTER($C$5:$C$1727,($D$5:$D$1727=I122)*($E$5:$E$1727=J122)*($F$5:$F$1727=K122)))</f>
        <v>Global</v>
      </c>
      <c r="M122" t="b">
        <f t="shared" si="2"/>
        <v>0</v>
      </c>
      <c r="N122">
        <f t="shared" si="3"/>
        <v>0</v>
      </c>
      <c r="T122" t="s">
        <v>1680</v>
      </c>
      <c r="U122" t="s">
        <v>193</v>
      </c>
      <c r="V122" t="s">
        <v>1652</v>
      </c>
    </row>
    <row r="123" spans="3:22" x14ac:dyDescent="0.25">
      <c r="C123" t="s">
        <v>1547</v>
      </c>
      <c r="D123" s="2" t="s">
        <v>120</v>
      </c>
      <c r="E123" t="s">
        <v>401</v>
      </c>
      <c r="F123" s="1">
        <v>0</v>
      </c>
      <c r="I123" t="str">
        <v>CA15101Q2071</v>
      </c>
      <c r="J123" t="str">
        <v>Information technology</v>
      </c>
      <c r="K123">
        <v>1</v>
      </c>
      <c r="L123" t="str" cm="1">
        <f t="array" ref="L123">_xlfn.TEXTJOIN(",",TRUE,_xlfn._xlws.FILTER($C$5:$C$1727,($D$5:$D$1727=I123)*($E$5:$E$1727=J123)*($F$5:$F$1727=K123)))</f>
        <v>Global</v>
      </c>
      <c r="M123" t="b">
        <f t="shared" si="2"/>
        <v>0</v>
      </c>
      <c r="N123">
        <f t="shared" si="3"/>
        <v>0</v>
      </c>
      <c r="T123" t="s">
        <v>1681</v>
      </c>
      <c r="U123" t="s">
        <v>58</v>
      </c>
      <c r="V123" t="s">
        <v>1652</v>
      </c>
    </row>
    <row r="124" spans="3:22" x14ac:dyDescent="0.25">
      <c r="C124" t="s">
        <v>1547</v>
      </c>
      <c r="D124" s="2" t="s">
        <v>121</v>
      </c>
      <c r="E124" t="s">
        <v>401</v>
      </c>
      <c r="F124" s="1">
        <v>0</v>
      </c>
      <c r="I124" t="str">
        <v>CA15135U1093</v>
      </c>
      <c r="J124" t="str">
        <v>Excluded</v>
      </c>
      <c r="K124">
        <v>0</v>
      </c>
      <c r="L124" t="str" cm="1">
        <f t="array" ref="L124">_xlfn.TEXTJOIN(",",TRUE,_xlfn._xlws.FILTER($C$5:$C$1727,($D$5:$D$1727=I124)*($E$5:$E$1727=J124)*($F$5:$F$1727=K124)))</f>
        <v>Global</v>
      </c>
      <c r="M124" t="b">
        <f t="shared" si="2"/>
        <v>0</v>
      </c>
      <c r="N124">
        <f t="shared" si="3"/>
        <v>0</v>
      </c>
      <c r="T124" t="s">
        <v>1682</v>
      </c>
      <c r="U124" t="s">
        <v>182</v>
      </c>
      <c r="V124" t="s">
        <v>1652</v>
      </c>
    </row>
    <row r="125" spans="3:22" x14ac:dyDescent="0.25">
      <c r="C125" t="s">
        <v>1547</v>
      </c>
      <c r="D125" s="2" t="s">
        <v>122</v>
      </c>
      <c r="E125" t="s">
        <v>400</v>
      </c>
      <c r="F125" s="1">
        <v>0</v>
      </c>
      <c r="I125" t="str">
        <v>CA21037X1006</v>
      </c>
      <c r="J125" t="str">
        <v>Not included in a theme</v>
      </c>
      <c r="K125">
        <v>0</v>
      </c>
      <c r="L125" t="str" cm="1">
        <f t="array" ref="L125">_xlfn.TEXTJOIN(",",TRUE,_xlfn._xlws.FILTER($C$5:$C$1727,($D$5:$D$1727=I125)*($E$5:$E$1727=J125)*($F$5:$F$1727=K125)))</f>
        <v>Global</v>
      </c>
      <c r="M125" t="b">
        <f t="shared" si="2"/>
        <v>0</v>
      </c>
      <c r="N125">
        <f t="shared" si="3"/>
        <v>0</v>
      </c>
      <c r="T125" t="s">
        <v>1683</v>
      </c>
      <c r="U125" t="s">
        <v>135</v>
      </c>
      <c r="V125" t="s">
        <v>1652</v>
      </c>
    </row>
    <row r="126" spans="3:22" x14ac:dyDescent="0.25">
      <c r="C126" t="s">
        <v>1547</v>
      </c>
      <c r="D126" s="2" t="s">
        <v>123</v>
      </c>
      <c r="E126" t="s">
        <v>399</v>
      </c>
      <c r="F126" s="1">
        <v>0.23</v>
      </c>
      <c r="I126" t="str">
        <v>CA25675T1075</v>
      </c>
      <c r="J126" t="str">
        <v>Excluded</v>
      </c>
      <c r="K126">
        <v>0</v>
      </c>
      <c r="L126" t="str" cm="1">
        <f t="array" ref="L126">_xlfn.TEXTJOIN(",",TRUE,_xlfn._xlws.FILTER($C$5:$C$1727,($D$5:$D$1727=I126)*($E$5:$E$1727=J126)*($F$5:$F$1727=K126)))</f>
        <v>Global</v>
      </c>
      <c r="M126" t="b">
        <f t="shared" si="2"/>
        <v>0</v>
      </c>
      <c r="N126">
        <f t="shared" si="3"/>
        <v>0</v>
      </c>
      <c r="T126" t="s">
        <v>1684</v>
      </c>
      <c r="U126" t="s">
        <v>160</v>
      </c>
      <c r="V126" t="s">
        <v>1652</v>
      </c>
    </row>
    <row r="127" spans="3:22" x14ac:dyDescent="0.25">
      <c r="C127" t="s">
        <v>1547</v>
      </c>
      <c r="D127" s="2" t="s">
        <v>124</v>
      </c>
      <c r="E127" t="s">
        <v>400</v>
      </c>
      <c r="F127" s="1">
        <v>0</v>
      </c>
      <c r="I127" t="str">
        <v>CA2861812014</v>
      </c>
      <c r="J127" t="str">
        <v>Not included in a theme</v>
      </c>
      <c r="K127">
        <v>0</v>
      </c>
      <c r="L127" t="str" cm="1">
        <f t="array" ref="L127">_xlfn.TEXTJOIN(",",TRUE,_xlfn._xlws.FILTER($C$5:$C$1727,($D$5:$D$1727=I127)*($E$5:$E$1727=J127)*($F$5:$F$1727=K127)))</f>
        <v>Global</v>
      </c>
      <c r="M127" t="b">
        <f t="shared" si="2"/>
        <v>0</v>
      </c>
      <c r="N127">
        <f t="shared" si="3"/>
        <v>0</v>
      </c>
      <c r="T127" t="s">
        <v>1685</v>
      </c>
      <c r="U127" t="s">
        <v>368</v>
      </c>
      <c r="V127" t="s">
        <v>1652</v>
      </c>
    </row>
    <row r="128" spans="3:22" x14ac:dyDescent="0.25">
      <c r="C128" t="s">
        <v>1547</v>
      </c>
      <c r="D128" s="2" t="s">
        <v>125</v>
      </c>
      <c r="E128" t="s">
        <v>400</v>
      </c>
      <c r="F128" s="1">
        <v>0</v>
      </c>
      <c r="I128" t="str">
        <v>CA2908761018</v>
      </c>
      <c r="J128" t="str">
        <v>Excluded</v>
      </c>
      <c r="K128">
        <v>0</v>
      </c>
      <c r="L128" t="str" cm="1">
        <f t="array" ref="L128">_xlfn.TEXTJOIN(",",TRUE,_xlfn._xlws.FILTER($C$5:$C$1727,($D$5:$D$1727=I128)*($E$5:$E$1727=J128)*($F$5:$F$1727=K128)))</f>
        <v>Global</v>
      </c>
      <c r="M128" t="b">
        <f t="shared" si="2"/>
        <v>0</v>
      </c>
      <c r="N128">
        <f t="shared" si="3"/>
        <v>0</v>
      </c>
      <c r="T128" t="s">
        <v>1686</v>
      </c>
      <c r="U128" t="s">
        <v>132</v>
      </c>
      <c r="V128" t="s">
        <v>1652</v>
      </c>
    </row>
    <row r="129" spans="3:22" x14ac:dyDescent="0.25">
      <c r="C129" t="s">
        <v>1547</v>
      </c>
      <c r="D129" s="2" t="s">
        <v>126</v>
      </c>
      <c r="E129" t="s">
        <v>400</v>
      </c>
      <c r="F129" s="1">
        <v>0</v>
      </c>
      <c r="I129" t="str">
        <v>CA29250N1050</v>
      </c>
      <c r="J129" t="str">
        <v>Excluded</v>
      </c>
      <c r="K129">
        <v>0</v>
      </c>
      <c r="L129" t="str" cm="1">
        <f t="array" ref="L129">_xlfn.TEXTJOIN(",",TRUE,_xlfn._xlws.FILTER($C$5:$C$1727,($D$5:$D$1727=I129)*($E$5:$E$1727=J129)*($F$5:$F$1727=K129)))</f>
        <v>Global</v>
      </c>
      <c r="M129" t="b">
        <f t="shared" si="2"/>
        <v>0</v>
      </c>
      <c r="N129">
        <f t="shared" si="3"/>
        <v>0</v>
      </c>
      <c r="T129" t="s">
        <v>1687</v>
      </c>
      <c r="U129" t="s">
        <v>55</v>
      </c>
      <c r="V129" t="s">
        <v>1652</v>
      </c>
    </row>
    <row r="130" spans="3:22" x14ac:dyDescent="0.25">
      <c r="C130" t="s">
        <v>1547</v>
      </c>
      <c r="D130" s="2" t="s">
        <v>127</v>
      </c>
      <c r="E130" t="s">
        <v>400</v>
      </c>
      <c r="F130" s="1">
        <v>0</v>
      </c>
      <c r="I130" t="str">
        <v>CA3039011026</v>
      </c>
      <c r="J130" t="str">
        <v>Not included in a theme</v>
      </c>
      <c r="K130">
        <v>0</v>
      </c>
      <c r="L130" t="str" cm="1">
        <f t="array" ref="L130">_xlfn.TEXTJOIN(",",TRUE,_xlfn._xlws.FILTER($C$5:$C$1727,($D$5:$D$1727=I130)*($E$5:$E$1727=J130)*($F$5:$F$1727=K130)))</f>
        <v>Global</v>
      </c>
      <c r="M130" t="b">
        <f t="shared" si="2"/>
        <v>0</v>
      </c>
      <c r="N130">
        <f t="shared" si="3"/>
        <v>0</v>
      </c>
      <c r="T130" t="s">
        <v>1688</v>
      </c>
      <c r="U130" t="s">
        <v>91</v>
      </c>
      <c r="V130" t="s">
        <v>1658</v>
      </c>
    </row>
    <row r="131" spans="3:22" x14ac:dyDescent="0.25">
      <c r="C131" t="s">
        <v>1547</v>
      </c>
      <c r="D131" s="2" t="s">
        <v>128</v>
      </c>
      <c r="E131" t="s">
        <v>400</v>
      </c>
      <c r="F131" s="1">
        <v>0</v>
      </c>
      <c r="I131" t="str">
        <v>CA3359341052</v>
      </c>
      <c r="J131" t="str">
        <v>Excluded</v>
      </c>
      <c r="K131">
        <v>0</v>
      </c>
      <c r="L131" t="str" cm="1">
        <f t="array" ref="L131">_xlfn.TEXTJOIN(",",TRUE,_xlfn._xlws.FILTER($C$5:$C$1727,($D$5:$D$1727=I131)*($E$5:$E$1727=J131)*($F$5:$F$1727=K131)))</f>
        <v>Global</v>
      </c>
      <c r="M131" t="b">
        <f t="shared" si="2"/>
        <v>0</v>
      </c>
      <c r="N131">
        <f t="shared" si="3"/>
        <v>0</v>
      </c>
      <c r="T131" t="s">
        <v>1689</v>
      </c>
      <c r="U131" t="s">
        <v>37</v>
      </c>
      <c r="V131" t="s">
        <v>1652</v>
      </c>
    </row>
    <row r="132" spans="3:22" x14ac:dyDescent="0.25">
      <c r="C132" t="s">
        <v>1547</v>
      </c>
      <c r="D132" s="2" t="s">
        <v>129</v>
      </c>
      <c r="E132" t="s">
        <v>400</v>
      </c>
      <c r="F132" s="1">
        <v>0</v>
      </c>
      <c r="I132" t="str">
        <v>CA3495531079</v>
      </c>
      <c r="J132" t="str">
        <v>Excluded</v>
      </c>
      <c r="K132">
        <v>0</v>
      </c>
      <c r="L132" t="str" cm="1">
        <f t="array" ref="L132">_xlfn.TEXTJOIN(",",TRUE,_xlfn._xlws.FILTER($C$5:$C$1727,($D$5:$D$1727=I132)*($E$5:$E$1727=J132)*($F$5:$F$1727=K132)))</f>
        <v>Global</v>
      </c>
      <c r="M132" t="b">
        <f t="shared" si="2"/>
        <v>0</v>
      </c>
      <c r="N132">
        <f t="shared" si="3"/>
        <v>0</v>
      </c>
      <c r="T132" t="s">
        <v>1690</v>
      </c>
      <c r="U132" t="s">
        <v>73</v>
      </c>
      <c r="V132" t="s">
        <v>1652</v>
      </c>
    </row>
    <row r="133" spans="3:22" x14ac:dyDescent="0.25">
      <c r="C133" t="s">
        <v>1547</v>
      </c>
      <c r="D133" s="2" t="s">
        <v>130</v>
      </c>
      <c r="E133" t="s">
        <v>401</v>
      </c>
      <c r="F133" s="1">
        <v>0</v>
      </c>
      <c r="I133" t="str">
        <v>CA3518581051</v>
      </c>
      <c r="J133" t="str">
        <v>Excluded</v>
      </c>
      <c r="K133">
        <v>0</v>
      </c>
      <c r="L133" t="str" cm="1">
        <f t="array" ref="L133">_xlfn.TEXTJOIN(",",TRUE,_xlfn._xlws.FILTER($C$5:$C$1727,($D$5:$D$1727=I133)*($E$5:$E$1727=J133)*($F$5:$F$1727=K133)))</f>
        <v>Global</v>
      </c>
      <c r="M133" t="b">
        <f t="shared" si="2"/>
        <v>0</v>
      </c>
      <c r="N133">
        <f t="shared" si="3"/>
        <v>0</v>
      </c>
      <c r="T133" t="s">
        <v>1691</v>
      </c>
      <c r="U133" t="s">
        <v>145</v>
      </c>
      <c r="V133" t="s">
        <v>1656</v>
      </c>
    </row>
    <row r="134" spans="3:22" x14ac:dyDescent="0.25">
      <c r="C134" t="s">
        <v>1547</v>
      </c>
      <c r="D134" s="2" t="s">
        <v>131</v>
      </c>
      <c r="E134" t="s">
        <v>400</v>
      </c>
      <c r="F134" s="1">
        <v>0</v>
      </c>
      <c r="I134" t="str">
        <v>CA36168Q1046</v>
      </c>
      <c r="J134" t="str">
        <v>Excluded</v>
      </c>
      <c r="K134">
        <v>0</v>
      </c>
      <c r="L134" t="str" cm="1">
        <f t="array" ref="L134">_xlfn.TEXTJOIN(",",TRUE,_xlfn._xlws.FILTER($C$5:$C$1727,($D$5:$D$1727=I134)*($E$5:$E$1727=J134)*($F$5:$F$1727=K134)))</f>
        <v>Global</v>
      </c>
      <c r="M134" t="b">
        <f t="shared" ref="M134:M197" si="4">COUNTIFS($I$5:$I$1556,I134)&gt;1</f>
        <v>0</v>
      </c>
      <c r="N134">
        <f t="shared" ref="N134:N197" si="5">COUNTIFS($U$5:$U$231,I134)</f>
        <v>0</v>
      </c>
      <c r="T134" t="s">
        <v>1692</v>
      </c>
      <c r="U134" t="s">
        <v>3</v>
      </c>
      <c r="V134" t="s">
        <v>1652</v>
      </c>
    </row>
    <row r="135" spans="3:22" x14ac:dyDescent="0.25">
      <c r="C135" t="s">
        <v>1547</v>
      </c>
      <c r="D135" s="2" t="s">
        <v>132</v>
      </c>
      <c r="E135" t="s">
        <v>406</v>
      </c>
      <c r="F135" s="1">
        <v>0.24</v>
      </c>
      <c r="I135" t="str">
        <v>CA39138C1068</v>
      </c>
      <c r="J135" t="str">
        <v>Excluded</v>
      </c>
      <c r="K135">
        <v>0</v>
      </c>
      <c r="L135" t="str" cm="1">
        <f t="array" ref="L135">_xlfn.TEXTJOIN(",",TRUE,_xlfn._xlws.FILTER($C$5:$C$1727,($D$5:$D$1727=I135)*($E$5:$E$1727=J135)*($F$5:$F$1727=K135)))</f>
        <v>Global</v>
      </c>
      <c r="M135" t="b">
        <f t="shared" si="4"/>
        <v>0</v>
      </c>
      <c r="N135">
        <f t="shared" si="5"/>
        <v>0</v>
      </c>
      <c r="T135" t="s">
        <v>1693</v>
      </c>
      <c r="U135" t="s">
        <v>36</v>
      </c>
      <c r="V135" t="s">
        <v>1658</v>
      </c>
    </row>
    <row r="136" spans="3:22" x14ac:dyDescent="0.25">
      <c r="C136" t="s">
        <v>1547</v>
      </c>
      <c r="D136" s="2" t="s">
        <v>133</v>
      </c>
      <c r="E136" t="s">
        <v>401</v>
      </c>
      <c r="F136" s="1">
        <v>0</v>
      </c>
      <c r="I136" t="str">
        <v>CA4488112083</v>
      </c>
      <c r="J136" t="str">
        <v>Green energy</v>
      </c>
      <c r="K136">
        <v>1</v>
      </c>
      <c r="L136" t="str" cm="1">
        <f t="array" ref="L136">_xlfn.TEXTJOIN(",",TRUE,_xlfn._xlws.FILTER($C$5:$C$1727,($D$5:$D$1727=I136)*($E$5:$E$1727=J136)*($F$5:$F$1727=K136)))</f>
        <v>Global</v>
      </c>
      <c r="M136" t="b">
        <f t="shared" si="4"/>
        <v>0</v>
      </c>
      <c r="N136">
        <f t="shared" si="5"/>
        <v>0</v>
      </c>
      <c r="T136" t="s">
        <v>1694</v>
      </c>
      <c r="U136" t="s">
        <v>96</v>
      </c>
      <c r="V136" t="s">
        <v>1652</v>
      </c>
    </row>
    <row r="137" spans="3:22" x14ac:dyDescent="0.25">
      <c r="C137" t="s">
        <v>1547</v>
      </c>
      <c r="D137" s="2" t="s">
        <v>134</v>
      </c>
      <c r="E137" t="s">
        <v>400</v>
      </c>
      <c r="F137" s="1">
        <v>0</v>
      </c>
      <c r="I137" t="str">
        <v>CA4530384086</v>
      </c>
      <c r="J137" t="str">
        <v>Excluded</v>
      </c>
      <c r="K137">
        <v>0</v>
      </c>
      <c r="L137" t="str" cm="1">
        <f t="array" ref="L137">_xlfn.TEXTJOIN(",",TRUE,_xlfn._xlws.FILTER($C$5:$C$1727,($D$5:$D$1727=I137)*($E$5:$E$1727=J137)*($F$5:$F$1727=K137)))</f>
        <v>Global</v>
      </c>
      <c r="M137" t="b">
        <f t="shared" si="4"/>
        <v>0</v>
      </c>
      <c r="N137">
        <f t="shared" si="5"/>
        <v>0</v>
      </c>
      <c r="T137" t="s">
        <v>1695</v>
      </c>
      <c r="U137" t="s">
        <v>47</v>
      </c>
      <c r="V137" t="s">
        <v>1661</v>
      </c>
    </row>
    <row r="138" spans="3:22" x14ac:dyDescent="0.25">
      <c r="C138" t="s">
        <v>1547</v>
      </c>
      <c r="D138" s="2" t="s">
        <v>135</v>
      </c>
      <c r="E138" t="s">
        <v>400</v>
      </c>
      <c r="F138" s="1">
        <v>0</v>
      </c>
      <c r="I138" t="str">
        <v>CA45823T1066</v>
      </c>
      <c r="J138" t="str">
        <v>Not included in a theme</v>
      </c>
      <c r="K138">
        <v>0</v>
      </c>
      <c r="L138" t="str" cm="1">
        <f t="array" ref="L138">_xlfn.TEXTJOIN(",",TRUE,_xlfn._xlws.FILTER($C$5:$C$1727,($D$5:$D$1727=I138)*($E$5:$E$1727=J138)*($F$5:$F$1727=K138)))</f>
        <v>Global</v>
      </c>
      <c r="M138" t="b">
        <f t="shared" si="4"/>
        <v>0</v>
      </c>
      <c r="N138">
        <f t="shared" si="5"/>
        <v>0</v>
      </c>
      <c r="T138" t="s">
        <v>1696</v>
      </c>
      <c r="U138" t="s">
        <v>278</v>
      </c>
      <c r="V138" t="s">
        <v>1652</v>
      </c>
    </row>
    <row r="139" spans="3:22" x14ac:dyDescent="0.25">
      <c r="C139" t="s">
        <v>1547</v>
      </c>
      <c r="D139" s="2" t="s">
        <v>136</v>
      </c>
      <c r="E139" t="s">
        <v>401</v>
      </c>
      <c r="F139" s="1">
        <v>0</v>
      </c>
      <c r="I139" t="str">
        <v>CA4969024047</v>
      </c>
      <c r="J139" t="str">
        <v>Excluded</v>
      </c>
      <c r="K139">
        <v>0</v>
      </c>
      <c r="L139" t="str" cm="1">
        <f t="array" ref="L139">_xlfn.TEXTJOIN(",",TRUE,_xlfn._xlws.FILTER($C$5:$C$1727,($D$5:$D$1727=I139)*($E$5:$E$1727=J139)*($F$5:$F$1727=K139)))</f>
        <v>Global</v>
      </c>
      <c r="M139" t="b">
        <f t="shared" si="4"/>
        <v>0</v>
      </c>
      <c r="N139">
        <f t="shared" si="5"/>
        <v>0</v>
      </c>
      <c r="T139" t="s">
        <v>1697</v>
      </c>
      <c r="U139" t="s">
        <v>125</v>
      </c>
      <c r="V139" t="s">
        <v>1652</v>
      </c>
    </row>
    <row r="140" spans="3:22" x14ac:dyDescent="0.25">
      <c r="C140" t="s">
        <v>1547</v>
      </c>
      <c r="D140" s="2" t="s">
        <v>137</v>
      </c>
      <c r="E140" t="s">
        <v>401</v>
      </c>
      <c r="F140" s="1">
        <v>0</v>
      </c>
      <c r="I140" t="str">
        <v>CA5394811015</v>
      </c>
      <c r="J140" t="str">
        <v>Excluded</v>
      </c>
      <c r="K140">
        <v>0</v>
      </c>
      <c r="L140" t="str" cm="1">
        <f t="array" ref="L140">_xlfn.TEXTJOIN(",",TRUE,_xlfn._xlws.FILTER($C$5:$C$1727,($D$5:$D$1727=I140)*($E$5:$E$1727=J140)*($F$5:$F$1727=K140)))</f>
        <v>Global</v>
      </c>
      <c r="M140" t="b">
        <f t="shared" si="4"/>
        <v>0</v>
      </c>
      <c r="N140">
        <f t="shared" si="5"/>
        <v>0</v>
      </c>
      <c r="T140" t="s">
        <v>1698</v>
      </c>
      <c r="U140" t="s">
        <v>164</v>
      </c>
      <c r="V140" t="s">
        <v>1666</v>
      </c>
    </row>
    <row r="141" spans="3:22" x14ac:dyDescent="0.25">
      <c r="C141" t="s">
        <v>1547</v>
      </c>
      <c r="D141" s="2" t="s">
        <v>138</v>
      </c>
      <c r="E141" t="s">
        <v>400</v>
      </c>
      <c r="F141" s="1">
        <v>0</v>
      </c>
      <c r="I141" t="str">
        <v>CA5503721063</v>
      </c>
      <c r="J141" t="str">
        <v>Excluded</v>
      </c>
      <c r="K141">
        <v>0</v>
      </c>
      <c r="L141" t="str" cm="1">
        <f t="array" ref="L141">_xlfn.TEXTJOIN(",",TRUE,_xlfn._xlws.FILTER($C$5:$C$1727,($D$5:$D$1727=I141)*($E$5:$E$1727=J141)*($F$5:$F$1727=K141)))</f>
        <v>Global</v>
      </c>
      <c r="M141" t="b">
        <f t="shared" si="4"/>
        <v>0</v>
      </c>
      <c r="N141">
        <f t="shared" si="5"/>
        <v>0</v>
      </c>
      <c r="T141" t="s">
        <v>1699</v>
      </c>
      <c r="U141" t="s">
        <v>115</v>
      </c>
      <c r="V141" t="s">
        <v>1652</v>
      </c>
    </row>
    <row r="142" spans="3:22" x14ac:dyDescent="0.25">
      <c r="C142" t="s">
        <v>1547</v>
      </c>
      <c r="D142" s="2" t="s">
        <v>139</v>
      </c>
      <c r="E142" t="s">
        <v>401</v>
      </c>
      <c r="F142" s="1">
        <v>0</v>
      </c>
      <c r="I142" t="str">
        <v>CA5592224011</v>
      </c>
      <c r="J142" t="str">
        <v>Excluded</v>
      </c>
      <c r="K142">
        <v>0</v>
      </c>
      <c r="L142" t="str" cm="1">
        <f t="array" ref="L142">_xlfn.TEXTJOIN(",",TRUE,_xlfn._xlws.FILTER($C$5:$C$1727,($D$5:$D$1727=I142)*($E$5:$E$1727=J142)*($F$5:$F$1727=K142)))</f>
        <v>Global</v>
      </c>
      <c r="M142" t="b">
        <f t="shared" si="4"/>
        <v>0</v>
      </c>
      <c r="N142">
        <f t="shared" si="5"/>
        <v>0</v>
      </c>
      <c r="T142" t="s">
        <v>1700</v>
      </c>
      <c r="U142" t="s">
        <v>364</v>
      </c>
      <c r="V142" t="s">
        <v>1656</v>
      </c>
    </row>
    <row r="143" spans="3:22" x14ac:dyDescent="0.25">
      <c r="C143" t="s">
        <v>1547</v>
      </c>
      <c r="D143" s="2" t="s">
        <v>140</v>
      </c>
      <c r="E143" t="s">
        <v>401</v>
      </c>
      <c r="F143" s="1">
        <v>0</v>
      </c>
      <c r="I143" t="str">
        <v>CA56501R1064</v>
      </c>
      <c r="J143" t="str">
        <v>Excluded</v>
      </c>
      <c r="K143">
        <v>0</v>
      </c>
      <c r="L143" t="str" cm="1">
        <f t="array" ref="L143">_xlfn.TEXTJOIN(",",TRUE,_xlfn._xlws.FILTER($C$5:$C$1727,($D$5:$D$1727=I143)*($E$5:$E$1727=J143)*($F$5:$F$1727=K143)))</f>
        <v>Global</v>
      </c>
      <c r="M143" t="b">
        <f t="shared" si="4"/>
        <v>0</v>
      </c>
      <c r="N143">
        <f t="shared" si="5"/>
        <v>0</v>
      </c>
      <c r="T143" t="s">
        <v>1701</v>
      </c>
      <c r="U143" t="s">
        <v>117</v>
      </c>
      <c r="V143" t="s">
        <v>1656</v>
      </c>
    </row>
    <row r="144" spans="3:22" x14ac:dyDescent="0.25">
      <c r="C144" t="s">
        <v>1547</v>
      </c>
      <c r="D144" s="2" t="s">
        <v>141</v>
      </c>
      <c r="E144" t="s">
        <v>400</v>
      </c>
      <c r="F144" s="1">
        <v>0</v>
      </c>
      <c r="I144" t="str">
        <v>CA59162N1096</v>
      </c>
      <c r="J144" t="str">
        <v>Not included in a theme</v>
      </c>
      <c r="K144">
        <v>0</v>
      </c>
      <c r="L144" t="str" cm="1">
        <f t="array" ref="L144">_xlfn.TEXTJOIN(",",TRUE,_xlfn._xlws.FILTER($C$5:$C$1727,($D$5:$D$1727=I144)*($E$5:$E$1727=J144)*($F$5:$F$1727=K144)))</f>
        <v>Global</v>
      </c>
      <c r="M144" t="b">
        <f t="shared" si="4"/>
        <v>0</v>
      </c>
      <c r="N144">
        <f t="shared" si="5"/>
        <v>0</v>
      </c>
      <c r="T144" t="s">
        <v>1702</v>
      </c>
      <c r="U144" t="s">
        <v>249</v>
      </c>
      <c r="V144" t="s">
        <v>1656</v>
      </c>
    </row>
    <row r="145" spans="3:22" x14ac:dyDescent="0.25">
      <c r="C145" t="s">
        <v>1547</v>
      </c>
      <c r="D145" s="2" t="s">
        <v>142</v>
      </c>
      <c r="E145" t="s">
        <v>401</v>
      </c>
      <c r="F145" s="1">
        <v>0</v>
      </c>
      <c r="I145" t="str">
        <v>CA6330671034</v>
      </c>
      <c r="J145" t="str">
        <v>Excluded</v>
      </c>
      <c r="K145">
        <v>0</v>
      </c>
      <c r="L145" t="str" cm="1">
        <f t="array" ref="L145">_xlfn.TEXTJOIN(",",TRUE,_xlfn._xlws.FILTER($C$5:$C$1727,($D$5:$D$1727=I145)*($E$5:$E$1727=J145)*($F$5:$F$1727=K145)))</f>
        <v>Global</v>
      </c>
      <c r="M145" t="b">
        <f t="shared" si="4"/>
        <v>0</v>
      </c>
      <c r="N145">
        <f t="shared" si="5"/>
        <v>0</v>
      </c>
      <c r="T145" t="s">
        <v>1703</v>
      </c>
      <c r="U145" t="s">
        <v>282</v>
      </c>
      <c r="V145" t="s">
        <v>1656</v>
      </c>
    </row>
    <row r="146" spans="3:22" x14ac:dyDescent="0.25">
      <c r="C146" t="s">
        <v>1547</v>
      </c>
      <c r="D146" s="2" t="s">
        <v>143</v>
      </c>
      <c r="E146" t="s">
        <v>401</v>
      </c>
      <c r="F146" s="1">
        <v>0</v>
      </c>
      <c r="I146" t="str">
        <v>CA67077M1086</v>
      </c>
      <c r="J146" t="str">
        <v>Excluded</v>
      </c>
      <c r="K146">
        <v>0</v>
      </c>
      <c r="L146" t="str" cm="1">
        <f t="array" ref="L146">_xlfn.TEXTJOIN(",",TRUE,_xlfn._xlws.FILTER($C$5:$C$1727,($D$5:$D$1727=I146)*($E$5:$E$1727=J146)*($F$5:$F$1727=K146)))</f>
        <v>Global</v>
      </c>
      <c r="M146" t="b">
        <f t="shared" si="4"/>
        <v>0</v>
      </c>
      <c r="N146">
        <f t="shared" si="5"/>
        <v>0</v>
      </c>
      <c r="T146" t="s">
        <v>1704</v>
      </c>
      <c r="U146" t="s">
        <v>149</v>
      </c>
      <c r="V146" t="s">
        <v>1656</v>
      </c>
    </row>
    <row r="147" spans="3:22" x14ac:dyDescent="0.25">
      <c r="C147" t="s">
        <v>1547</v>
      </c>
      <c r="D147" s="2" t="s">
        <v>144</v>
      </c>
      <c r="E147" t="s">
        <v>405</v>
      </c>
      <c r="F147" s="1">
        <v>0.54</v>
      </c>
      <c r="I147" t="str">
        <v>CA6979001089</v>
      </c>
      <c r="J147" t="str">
        <v>Excluded</v>
      </c>
      <c r="K147">
        <v>0</v>
      </c>
      <c r="L147" t="str" cm="1">
        <f t="array" ref="L147">_xlfn.TEXTJOIN(",",TRUE,_xlfn._xlws.FILTER($C$5:$C$1727,($D$5:$D$1727=I147)*($E$5:$E$1727=J147)*($F$5:$F$1727=K147)))</f>
        <v>Global</v>
      </c>
      <c r="M147" t="b">
        <f t="shared" si="4"/>
        <v>0</v>
      </c>
      <c r="N147">
        <f t="shared" si="5"/>
        <v>0</v>
      </c>
      <c r="T147" t="s">
        <v>1705</v>
      </c>
      <c r="U147" t="s">
        <v>198</v>
      </c>
      <c r="V147" t="s">
        <v>1656</v>
      </c>
    </row>
    <row r="148" spans="3:22" x14ac:dyDescent="0.25">
      <c r="C148" t="s">
        <v>1547</v>
      </c>
      <c r="D148" s="2" t="s">
        <v>145</v>
      </c>
      <c r="E148" t="s">
        <v>400</v>
      </c>
      <c r="F148" s="1">
        <v>0</v>
      </c>
      <c r="I148" t="str">
        <v>CA7063271034</v>
      </c>
      <c r="J148" t="str">
        <v>Excluded</v>
      </c>
      <c r="K148">
        <v>0</v>
      </c>
      <c r="L148" t="str" cm="1">
        <f t="array" ref="L148">_xlfn.TEXTJOIN(",",TRUE,_xlfn._xlws.FILTER($C$5:$C$1727,($D$5:$D$1727=I148)*($E$5:$E$1727=J148)*($F$5:$F$1727=K148)))</f>
        <v>Global</v>
      </c>
      <c r="M148" t="b">
        <f t="shared" si="4"/>
        <v>0</v>
      </c>
      <c r="N148">
        <f t="shared" si="5"/>
        <v>0</v>
      </c>
      <c r="T148" t="s">
        <v>1706</v>
      </c>
      <c r="U148" t="s">
        <v>162</v>
      </c>
      <c r="V148" t="s">
        <v>1656</v>
      </c>
    </row>
    <row r="149" spans="3:22" x14ac:dyDescent="0.25">
      <c r="C149" t="s">
        <v>1547</v>
      </c>
      <c r="D149" s="2" t="s">
        <v>146</v>
      </c>
      <c r="E149" t="s">
        <v>400</v>
      </c>
      <c r="F149" s="1">
        <v>0</v>
      </c>
      <c r="I149" t="str">
        <v>CA7392391016</v>
      </c>
      <c r="J149" t="str">
        <v>Excluded</v>
      </c>
      <c r="K149">
        <v>0</v>
      </c>
      <c r="L149" t="str" cm="1">
        <f t="array" ref="L149">_xlfn.TEXTJOIN(",",TRUE,_xlfn._xlws.FILTER($C$5:$C$1727,($D$5:$D$1727=I149)*($E$5:$E$1727=J149)*($F$5:$F$1727=K149)))</f>
        <v>Global</v>
      </c>
      <c r="M149" t="b">
        <f t="shared" si="4"/>
        <v>0</v>
      </c>
      <c r="N149">
        <f t="shared" si="5"/>
        <v>0</v>
      </c>
      <c r="T149" t="s">
        <v>1707</v>
      </c>
      <c r="U149" t="s">
        <v>299</v>
      </c>
      <c r="V149" t="s">
        <v>1656</v>
      </c>
    </row>
    <row r="150" spans="3:22" x14ac:dyDescent="0.25">
      <c r="C150" t="s">
        <v>1547</v>
      </c>
      <c r="D150" s="2" t="s">
        <v>147</v>
      </c>
      <c r="E150" t="s">
        <v>400</v>
      </c>
      <c r="F150" s="1">
        <v>0</v>
      </c>
      <c r="I150" t="str">
        <v>CA74935Q1072</v>
      </c>
      <c r="J150" t="str">
        <v>Excluded</v>
      </c>
      <c r="K150">
        <v>0</v>
      </c>
      <c r="L150" t="str" cm="1">
        <f t="array" ref="L150">_xlfn.TEXTJOIN(",",TRUE,_xlfn._xlws.FILTER($C$5:$C$1727,($D$5:$D$1727=I150)*($E$5:$E$1727=J150)*($F$5:$F$1727=K150)))</f>
        <v>Global</v>
      </c>
      <c r="M150" t="b">
        <f t="shared" si="4"/>
        <v>0</v>
      </c>
      <c r="N150">
        <f t="shared" si="5"/>
        <v>0</v>
      </c>
      <c r="T150" t="s">
        <v>1708</v>
      </c>
      <c r="U150" t="s">
        <v>70</v>
      </c>
      <c r="V150" t="s">
        <v>1656</v>
      </c>
    </row>
    <row r="151" spans="3:22" x14ac:dyDescent="0.25">
      <c r="C151" t="s">
        <v>1547</v>
      </c>
      <c r="D151" s="2" t="s">
        <v>148</v>
      </c>
      <c r="E151" t="s">
        <v>403</v>
      </c>
      <c r="F151" s="1">
        <v>1</v>
      </c>
      <c r="I151" t="str">
        <v>CA76131D1033</v>
      </c>
      <c r="J151" t="str">
        <v>Excluded</v>
      </c>
      <c r="K151">
        <v>0</v>
      </c>
      <c r="L151" t="str" cm="1">
        <f t="array" ref="L151">_xlfn.TEXTJOIN(",",TRUE,_xlfn._xlws.FILTER($C$5:$C$1727,($D$5:$D$1727=I151)*($E$5:$E$1727=J151)*($F$5:$F$1727=K151)))</f>
        <v>Global</v>
      </c>
      <c r="M151" t="b">
        <f t="shared" si="4"/>
        <v>0</v>
      </c>
      <c r="N151">
        <f t="shared" si="5"/>
        <v>0</v>
      </c>
      <c r="T151" t="s">
        <v>1709</v>
      </c>
      <c r="U151" t="s">
        <v>174</v>
      </c>
      <c r="V151" t="s">
        <v>1656</v>
      </c>
    </row>
    <row r="152" spans="3:22" x14ac:dyDescent="0.25">
      <c r="C152" t="s">
        <v>1547</v>
      </c>
      <c r="D152" s="2" t="s">
        <v>149</v>
      </c>
      <c r="E152" t="s">
        <v>401</v>
      </c>
      <c r="F152" s="1">
        <v>0</v>
      </c>
      <c r="I152" t="str">
        <v>CA7751092007</v>
      </c>
      <c r="J152" t="str">
        <v>Not included in a theme</v>
      </c>
      <c r="K152">
        <v>0</v>
      </c>
      <c r="L152" t="str" cm="1">
        <f t="array" ref="L152">_xlfn.TEXTJOIN(",",TRUE,_xlfn._xlws.FILTER($C$5:$C$1727,($D$5:$D$1727=I152)*($E$5:$E$1727=J152)*($F$5:$F$1727=K152)))</f>
        <v>Global</v>
      </c>
      <c r="M152" t="b">
        <f t="shared" si="4"/>
        <v>0</v>
      </c>
      <c r="N152">
        <f t="shared" si="5"/>
        <v>0</v>
      </c>
      <c r="T152" t="s">
        <v>1710</v>
      </c>
      <c r="U152" t="s">
        <v>178</v>
      </c>
      <c r="V152" t="s">
        <v>1656</v>
      </c>
    </row>
    <row r="153" spans="3:22" x14ac:dyDescent="0.25">
      <c r="C153" t="s">
        <v>1547</v>
      </c>
      <c r="D153" s="2" t="s">
        <v>150</v>
      </c>
      <c r="E153" t="s">
        <v>406</v>
      </c>
      <c r="F153" s="1">
        <v>0.8</v>
      </c>
      <c r="I153" t="str">
        <v>CA7800871021</v>
      </c>
      <c r="J153" t="str">
        <v>Excluded</v>
      </c>
      <c r="K153">
        <v>0</v>
      </c>
      <c r="L153" t="str" cm="1">
        <f t="array" ref="L153">_xlfn.TEXTJOIN(",",TRUE,_xlfn._xlws.FILTER($C$5:$C$1727,($D$5:$D$1727=I153)*($E$5:$E$1727=J153)*($F$5:$F$1727=K153)))</f>
        <v>Global</v>
      </c>
      <c r="M153" t="b">
        <f t="shared" si="4"/>
        <v>0</v>
      </c>
      <c r="N153">
        <f t="shared" si="5"/>
        <v>0</v>
      </c>
      <c r="T153" t="s">
        <v>1711</v>
      </c>
      <c r="U153" t="s">
        <v>286</v>
      </c>
      <c r="V153" t="s">
        <v>1656</v>
      </c>
    </row>
    <row r="154" spans="3:22" x14ac:dyDescent="0.25">
      <c r="C154" t="s">
        <v>1547</v>
      </c>
      <c r="D154" s="2" t="s">
        <v>151</v>
      </c>
      <c r="E154" t="s">
        <v>401</v>
      </c>
      <c r="F154" s="1">
        <v>0</v>
      </c>
      <c r="I154" t="str">
        <v>CA82509L1076</v>
      </c>
      <c r="J154" t="str">
        <v>Not included in a theme</v>
      </c>
      <c r="K154">
        <v>0</v>
      </c>
      <c r="L154" t="str" cm="1">
        <f t="array" ref="L154">_xlfn.TEXTJOIN(",",TRUE,_xlfn._xlws.FILTER($C$5:$C$1727,($D$5:$D$1727=I154)*($E$5:$E$1727=J154)*($F$5:$F$1727=K154)))</f>
        <v>Global</v>
      </c>
      <c r="M154" t="b">
        <f t="shared" si="4"/>
        <v>0</v>
      </c>
      <c r="N154">
        <f t="shared" si="5"/>
        <v>0</v>
      </c>
      <c r="T154" t="s">
        <v>1712</v>
      </c>
      <c r="U154" t="s">
        <v>269</v>
      </c>
      <c r="V154" t="s">
        <v>1656</v>
      </c>
    </row>
    <row r="155" spans="3:22" x14ac:dyDescent="0.25">
      <c r="C155" t="s">
        <v>1547</v>
      </c>
      <c r="D155" s="2" t="s">
        <v>152</v>
      </c>
      <c r="E155" t="s">
        <v>400</v>
      </c>
      <c r="F155" s="1">
        <v>0</v>
      </c>
      <c r="I155" t="str">
        <v>CA85472N1096</v>
      </c>
      <c r="J155" t="str">
        <v>Ecoconstruction</v>
      </c>
      <c r="K155">
        <v>0.62</v>
      </c>
      <c r="L155" t="str" cm="1">
        <f t="array" ref="L155">_xlfn.TEXTJOIN(",",TRUE,_xlfn._xlws.FILTER($C$5:$C$1727,($D$5:$D$1727=I155)*($E$5:$E$1727=J155)*($F$5:$F$1727=K155)))</f>
        <v>Global</v>
      </c>
      <c r="M155" t="b">
        <f t="shared" si="4"/>
        <v>0</v>
      </c>
      <c r="N155">
        <f t="shared" si="5"/>
        <v>0</v>
      </c>
      <c r="T155" t="s">
        <v>1713</v>
      </c>
      <c r="U155" t="s">
        <v>204</v>
      </c>
      <c r="V155" t="s">
        <v>1656</v>
      </c>
    </row>
    <row r="156" spans="3:22" x14ac:dyDescent="0.25">
      <c r="C156" t="s">
        <v>1547</v>
      </c>
      <c r="D156" s="2" t="s">
        <v>153</v>
      </c>
      <c r="E156" t="s">
        <v>401</v>
      </c>
      <c r="F156" s="1">
        <v>0</v>
      </c>
      <c r="I156" t="str">
        <v>CA8667961053</v>
      </c>
      <c r="J156" t="str">
        <v>Excluded</v>
      </c>
      <c r="K156">
        <v>0</v>
      </c>
      <c r="L156" t="str" cm="1">
        <f t="array" ref="L156">_xlfn.TEXTJOIN(",",TRUE,_xlfn._xlws.FILTER($C$5:$C$1727,($D$5:$D$1727=I156)*($E$5:$E$1727=J156)*($F$5:$F$1727=K156)))</f>
        <v>Global</v>
      </c>
      <c r="M156" t="b">
        <f t="shared" si="4"/>
        <v>0</v>
      </c>
      <c r="N156">
        <f t="shared" si="5"/>
        <v>0</v>
      </c>
      <c r="T156" t="s">
        <v>1714</v>
      </c>
      <c r="U156" t="s">
        <v>192</v>
      </c>
      <c r="V156" t="s">
        <v>1656</v>
      </c>
    </row>
    <row r="157" spans="3:22" x14ac:dyDescent="0.25">
      <c r="C157" t="s">
        <v>1547</v>
      </c>
      <c r="D157" s="2" t="s">
        <v>154</v>
      </c>
      <c r="E157" t="s">
        <v>400</v>
      </c>
      <c r="F157" s="1">
        <v>0</v>
      </c>
      <c r="I157" t="str">
        <v>CA8672241079</v>
      </c>
      <c r="J157" t="str">
        <v>Excluded</v>
      </c>
      <c r="K157">
        <v>0</v>
      </c>
      <c r="L157" t="str" cm="1">
        <f t="array" ref="L157">_xlfn.TEXTJOIN(",",TRUE,_xlfn._xlws.FILTER($C$5:$C$1727,($D$5:$D$1727=I157)*($E$5:$E$1727=J157)*($F$5:$F$1727=K157)))</f>
        <v>Global</v>
      </c>
      <c r="M157" t="b">
        <f t="shared" si="4"/>
        <v>0</v>
      </c>
      <c r="N157">
        <f t="shared" si="5"/>
        <v>0</v>
      </c>
      <c r="T157" t="s">
        <v>1715</v>
      </c>
      <c r="U157" t="s">
        <v>177</v>
      </c>
      <c r="V157" t="s">
        <v>1656</v>
      </c>
    </row>
    <row r="158" spans="3:22" x14ac:dyDescent="0.25">
      <c r="C158" t="s">
        <v>1547</v>
      </c>
      <c r="D158" s="2" t="s">
        <v>155</v>
      </c>
      <c r="E158" t="s">
        <v>404</v>
      </c>
      <c r="F158" s="1">
        <v>0.38</v>
      </c>
      <c r="I158" t="str">
        <v>CA87807B1076</v>
      </c>
      <c r="J158" t="str">
        <v>Excluded</v>
      </c>
      <c r="K158">
        <v>0</v>
      </c>
      <c r="L158" t="str" cm="1">
        <f t="array" ref="L158">_xlfn.TEXTJOIN(",",TRUE,_xlfn._xlws.FILTER($C$5:$C$1727,($D$5:$D$1727=I158)*($E$5:$E$1727=J158)*($F$5:$F$1727=K158)))</f>
        <v>Global</v>
      </c>
      <c r="M158" t="b">
        <f t="shared" si="4"/>
        <v>0</v>
      </c>
      <c r="N158">
        <f t="shared" si="5"/>
        <v>0</v>
      </c>
      <c r="T158" t="s">
        <v>1716</v>
      </c>
      <c r="U158" t="s">
        <v>74</v>
      </c>
      <c r="V158" t="s">
        <v>1656</v>
      </c>
    </row>
    <row r="159" spans="3:22" x14ac:dyDescent="0.25">
      <c r="C159" t="s">
        <v>1547</v>
      </c>
      <c r="D159" s="2" t="s">
        <v>156</v>
      </c>
      <c r="E159" t="s">
        <v>400</v>
      </c>
      <c r="F159" s="1">
        <v>0</v>
      </c>
      <c r="I159" t="str">
        <v>CA8787422044</v>
      </c>
      <c r="J159" t="str">
        <v>Excluded</v>
      </c>
      <c r="K159">
        <v>0</v>
      </c>
      <c r="L159" t="str" cm="1">
        <f t="array" ref="L159">_xlfn.TEXTJOIN(",",TRUE,_xlfn._xlws.FILTER($C$5:$C$1727,($D$5:$D$1727=I159)*($E$5:$E$1727=J159)*($F$5:$F$1727=K159)))</f>
        <v>Global</v>
      </c>
      <c r="M159" t="b">
        <f t="shared" si="4"/>
        <v>0</v>
      </c>
      <c r="N159">
        <f t="shared" si="5"/>
        <v>0</v>
      </c>
      <c r="T159" t="s">
        <v>1717</v>
      </c>
      <c r="U159" t="s">
        <v>239</v>
      </c>
      <c r="V159" t="s">
        <v>1656</v>
      </c>
    </row>
    <row r="160" spans="3:22" x14ac:dyDescent="0.25">
      <c r="C160" t="s">
        <v>1547</v>
      </c>
      <c r="D160" s="2" t="s">
        <v>157</v>
      </c>
      <c r="E160" t="s">
        <v>401</v>
      </c>
      <c r="F160" s="1">
        <v>0</v>
      </c>
      <c r="I160" t="str">
        <v>CA87971M1032</v>
      </c>
      <c r="J160" t="str">
        <v>Information technology</v>
      </c>
      <c r="K160">
        <v>0.9</v>
      </c>
      <c r="L160" t="str" cm="1">
        <f t="array" ref="L160">_xlfn.TEXTJOIN(",",TRUE,_xlfn._xlws.FILTER($C$5:$C$1727,($D$5:$D$1727=I160)*($E$5:$E$1727=J160)*($F$5:$F$1727=K160)))</f>
        <v>Global</v>
      </c>
      <c r="M160" t="b">
        <f t="shared" si="4"/>
        <v>0</v>
      </c>
      <c r="N160">
        <f t="shared" si="5"/>
        <v>0</v>
      </c>
      <c r="T160" t="s">
        <v>1718</v>
      </c>
      <c r="U160" t="s">
        <v>237</v>
      </c>
      <c r="V160" t="s">
        <v>1656</v>
      </c>
    </row>
    <row r="161" spans="3:22" x14ac:dyDescent="0.25">
      <c r="C161" t="s">
        <v>1547</v>
      </c>
      <c r="D161" s="2" t="s">
        <v>158</v>
      </c>
      <c r="E161" t="s">
        <v>402</v>
      </c>
      <c r="F161" s="1">
        <v>0.96</v>
      </c>
      <c r="I161" t="str">
        <v>CA8849038085</v>
      </c>
      <c r="J161" t="str">
        <v>Excluded</v>
      </c>
      <c r="K161">
        <v>0</v>
      </c>
      <c r="L161" t="str" cm="1">
        <f t="array" ref="L161">_xlfn.TEXTJOIN(",",TRUE,_xlfn._xlws.FILTER($C$5:$C$1727,($D$5:$D$1727=I161)*($E$5:$E$1727=J161)*($F$5:$F$1727=K161)))</f>
        <v>Global</v>
      </c>
      <c r="M161" t="b">
        <f t="shared" si="4"/>
        <v>0</v>
      </c>
      <c r="N161">
        <f t="shared" si="5"/>
        <v>0</v>
      </c>
      <c r="T161" t="s">
        <v>1719</v>
      </c>
      <c r="U161" t="s">
        <v>6</v>
      </c>
      <c r="V161" t="s">
        <v>1656</v>
      </c>
    </row>
    <row r="162" spans="3:22" x14ac:dyDescent="0.25">
      <c r="C162" t="s">
        <v>1547</v>
      </c>
      <c r="D162" s="2" t="s">
        <v>159</v>
      </c>
      <c r="E162" t="s">
        <v>403</v>
      </c>
      <c r="F162" s="1">
        <v>0.85</v>
      </c>
      <c r="I162" t="str">
        <v>CA8911605092</v>
      </c>
      <c r="J162" t="str">
        <v>Excluded</v>
      </c>
      <c r="K162">
        <v>0</v>
      </c>
      <c r="L162" t="str" cm="1">
        <f t="array" ref="L162">_xlfn.TEXTJOIN(",",TRUE,_xlfn._xlws.FILTER($C$5:$C$1727,($D$5:$D$1727=I162)*($E$5:$E$1727=J162)*($F$5:$F$1727=K162)))</f>
        <v>Global</v>
      </c>
      <c r="M162" t="b">
        <f t="shared" si="4"/>
        <v>0</v>
      </c>
      <c r="N162">
        <f t="shared" si="5"/>
        <v>0</v>
      </c>
      <c r="T162" t="s">
        <v>1720</v>
      </c>
      <c r="U162" t="s">
        <v>310</v>
      </c>
      <c r="V162" t="s">
        <v>1656</v>
      </c>
    </row>
    <row r="163" spans="3:22" x14ac:dyDescent="0.25">
      <c r="C163" t="s">
        <v>1547</v>
      </c>
      <c r="D163" s="2" t="s">
        <v>160</v>
      </c>
      <c r="E163" t="s">
        <v>400</v>
      </c>
      <c r="F163" s="1">
        <v>0</v>
      </c>
      <c r="I163" t="str">
        <v>CA89156V1067</v>
      </c>
      <c r="J163" t="str">
        <v>Excluded</v>
      </c>
      <c r="K163">
        <v>0</v>
      </c>
      <c r="L163" t="str" cm="1">
        <f t="array" ref="L163">_xlfn.TEXTJOIN(",",TRUE,_xlfn._xlws.FILTER($C$5:$C$1727,($D$5:$D$1727=I163)*($E$5:$E$1727=J163)*($F$5:$F$1727=K163)))</f>
        <v>Global</v>
      </c>
      <c r="M163" t="b">
        <f t="shared" si="4"/>
        <v>0</v>
      </c>
      <c r="N163">
        <f t="shared" si="5"/>
        <v>0</v>
      </c>
      <c r="T163" t="s">
        <v>1721</v>
      </c>
      <c r="U163" t="s">
        <v>48</v>
      </c>
      <c r="V163" t="s">
        <v>1656</v>
      </c>
    </row>
    <row r="164" spans="3:22" x14ac:dyDescent="0.25">
      <c r="C164" t="s">
        <v>1547</v>
      </c>
      <c r="D164" s="2" t="s">
        <v>161</v>
      </c>
      <c r="E164" t="s">
        <v>401</v>
      </c>
      <c r="F164" s="1">
        <v>0</v>
      </c>
      <c r="I164" t="str">
        <v>CA92938W2022</v>
      </c>
      <c r="J164" t="str">
        <v>Ecoconstruction</v>
      </c>
      <c r="K164">
        <v>0.53</v>
      </c>
      <c r="L164" t="str" cm="1">
        <f t="array" ref="L164">_xlfn.TEXTJOIN(",",TRUE,_xlfn._xlws.FILTER($C$5:$C$1727,($D$5:$D$1727=I164)*($E$5:$E$1727=J164)*($F$5:$F$1727=K164)))</f>
        <v>Global</v>
      </c>
      <c r="M164" t="b">
        <f t="shared" si="4"/>
        <v>0</v>
      </c>
      <c r="N164">
        <f t="shared" si="5"/>
        <v>0</v>
      </c>
      <c r="T164" t="s">
        <v>1722</v>
      </c>
      <c r="U164" t="s">
        <v>257</v>
      </c>
      <c r="V164" t="s">
        <v>1656</v>
      </c>
    </row>
    <row r="165" spans="3:22" x14ac:dyDescent="0.25">
      <c r="C165" t="s">
        <v>1547</v>
      </c>
      <c r="D165" s="2" t="s">
        <v>162</v>
      </c>
      <c r="E165" t="s">
        <v>401</v>
      </c>
      <c r="F165" s="1">
        <v>0</v>
      </c>
      <c r="I165" t="str">
        <v>CA94106B1013</v>
      </c>
      <c r="J165" t="str">
        <v>Circular economy</v>
      </c>
      <c r="K165">
        <v>0.92</v>
      </c>
      <c r="L165" t="str" cm="1">
        <f t="array" ref="L165">_xlfn.TEXTJOIN(",",TRUE,_xlfn._xlws.FILTER($C$5:$C$1727,($D$5:$D$1727=I165)*($E$5:$E$1727=J165)*($F$5:$F$1727=K165)))</f>
        <v>Global</v>
      </c>
      <c r="M165" t="b">
        <f t="shared" si="4"/>
        <v>0</v>
      </c>
      <c r="N165">
        <f t="shared" si="5"/>
        <v>0</v>
      </c>
      <c r="T165" t="s">
        <v>1723</v>
      </c>
      <c r="U165" t="s">
        <v>64</v>
      </c>
      <c r="V165" t="s">
        <v>1656</v>
      </c>
    </row>
    <row r="166" spans="3:22" x14ac:dyDescent="0.25">
      <c r="C166" t="s">
        <v>1547</v>
      </c>
      <c r="D166" s="2" t="s">
        <v>163</v>
      </c>
      <c r="E166" t="s">
        <v>401</v>
      </c>
      <c r="F166" s="1">
        <v>0</v>
      </c>
      <c r="I166" t="str">
        <v>CA9611485090</v>
      </c>
      <c r="J166" t="str">
        <v>Excluded</v>
      </c>
      <c r="K166">
        <v>0</v>
      </c>
      <c r="L166" t="str" cm="1">
        <f t="array" ref="L166">_xlfn.TEXTJOIN(",",TRUE,_xlfn._xlws.FILTER($C$5:$C$1727,($D$5:$D$1727=I166)*($E$5:$E$1727=J166)*($F$5:$F$1727=K166)))</f>
        <v>Global</v>
      </c>
      <c r="M166" t="b">
        <f t="shared" si="4"/>
        <v>0</v>
      </c>
      <c r="N166">
        <f t="shared" si="5"/>
        <v>0</v>
      </c>
      <c r="T166" t="s">
        <v>1724</v>
      </c>
      <c r="U166" t="s">
        <v>181</v>
      </c>
      <c r="V166" t="s">
        <v>1656</v>
      </c>
    </row>
    <row r="167" spans="3:22" x14ac:dyDescent="0.25">
      <c r="C167" t="s">
        <v>1547</v>
      </c>
      <c r="D167" s="2" t="s">
        <v>164</v>
      </c>
      <c r="E167" t="s">
        <v>407</v>
      </c>
      <c r="F167" s="1">
        <v>1</v>
      </c>
      <c r="I167" t="str">
        <v>CA9628791027</v>
      </c>
      <c r="J167" t="str">
        <v>Excluded</v>
      </c>
      <c r="K167">
        <v>0</v>
      </c>
      <c r="L167" t="str" cm="1">
        <f t="array" ref="L167">_xlfn.TEXTJOIN(",",TRUE,_xlfn._xlws.FILTER($C$5:$C$1727,($D$5:$D$1727=I167)*($E$5:$E$1727=J167)*($F$5:$F$1727=K167)))</f>
        <v>Global</v>
      </c>
      <c r="M167" t="b">
        <f t="shared" si="4"/>
        <v>0</v>
      </c>
      <c r="N167">
        <f t="shared" si="5"/>
        <v>0</v>
      </c>
      <c r="T167" t="s">
        <v>1725</v>
      </c>
      <c r="U167" t="s">
        <v>31</v>
      </c>
      <c r="V167" t="s">
        <v>1656</v>
      </c>
    </row>
    <row r="168" spans="3:22" x14ac:dyDescent="0.25">
      <c r="C168" t="s">
        <v>1547</v>
      </c>
      <c r="D168" s="2" t="s">
        <v>165</v>
      </c>
      <c r="E168" t="s">
        <v>401</v>
      </c>
      <c r="F168" s="1">
        <v>0</v>
      </c>
      <c r="I168" t="str">
        <v>CH0008038389</v>
      </c>
      <c r="J168" t="str">
        <v>Ecoconstruction</v>
      </c>
      <c r="K168">
        <v>0.94</v>
      </c>
      <c r="L168" t="str" cm="1">
        <f t="array" ref="L168">_xlfn.TEXTJOIN(",",TRUE,_xlfn._xlws.FILTER($C$5:$C$1727,($D$5:$D$1727=I168)*($E$5:$E$1727=J168)*($F$5:$F$1727=K168)))</f>
        <v>Global</v>
      </c>
      <c r="M168" t="b">
        <f t="shared" si="4"/>
        <v>0</v>
      </c>
      <c r="N168">
        <f t="shared" si="5"/>
        <v>0</v>
      </c>
      <c r="T168" t="s">
        <v>1726</v>
      </c>
      <c r="U168" t="s">
        <v>54</v>
      </c>
      <c r="V168" t="s">
        <v>1656</v>
      </c>
    </row>
    <row r="169" spans="3:22" x14ac:dyDescent="0.25">
      <c r="C169" t="s">
        <v>1547</v>
      </c>
      <c r="D169" s="2" t="s">
        <v>166</v>
      </c>
      <c r="E169" t="s">
        <v>401</v>
      </c>
      <c r="F169" s="1">
        <v>0</v>
      </c>
      <c r="I169" t="str">
        <v>CH0008742519</v>
      </c>
      <c r="J169" t="str">
        <v>Not included in a theme</v>
      </c>
      <c r="K169">
        <v>0</v>
      </c>
      <c r="L169" t="str" cm="1">
        <f t="array" ref="L169">_xlfn.TEXTJOIN(",",TRUE,_xlfn._xlws.FILTER($C$5:$C$1727,($D$5:$D$1727=I169)*($E$5:$E$1727=J169)*($F$5:$F$1727=K169)))</f>
        <v>Global</v>
      </c>
      <c r="M169" t="b">
        <f t="shared" si="4"/>
        <v>0</v>
      </c>
      <c r="N169">
        <f t="shared" si="5"/>
        <v>0</v>
      </c>
      <c r="T169" t="s">
        <v>1727</v>
      </c>
      <c r="U169" t="s">
        <v>101</v>
      </c>
      <c r="V169" t="s">
        <v>1656</v>
      </c>
    </row>
    <row r="170" spans="3:22" x14ac:dyDescent="0.25">
      <c r="C170" t="s">
        <v>1547</v>
      </c>
      <c r="D170" s="2" t="s">
        <v>167</v>
      </c>
      <c r="E170" t="s">
        <v>404</v>
      </c>
      <c r="F170" s="1">
        <v>0.3</v>
      </c>
      <c r="I170" t="str">
        <v>CH0009002962</v>
      </c>
      <c r="J170" t="str">
        <v>Excluded</v>
      </c>
      <c r="K170">
        <v>0</v>
      </c>
      <c r="L170" t="str" cm="1">
        <f t="array" ref="L170">_xlfn.TEXTJOIN(",",TRUE,_xlfn._xlws.FILTER($C$5:$C$1727,($D$5:$D$1727=I170)*($E$5:$E$1727=J170)*($F$5:$F$1727=K170)))</f>
        <v>Global</v>
      </c>
      <c r="M170" t="b">
        <f t="shared" si="4"/>
        <v>0</v>
      </c>
      <c r="N170">
        <f t="shared" si="5"/>
        <v>0</v>
      </c>
      <c r="T170" t="s">
        <v>1728</v>
      </c>
      <c r="U170" t="s">
        <v>171</v>
      </c>
      <c r="V170" t="s">
        <v>1656</v>
      </c>
    </row>
    <row r="171" spans="3:22" x14ac:dyDescent="0.25">
      <c r="C171" t="s">
        <v>1547</v>
      </c>
      <c r="D171" s="2" t="s">
        <v>168</v>
      </c>
      <c r="E171" t="s">
        <v>407</v>
      </c>
      <c r="F171" s="1">
        <v>1</v>
      </c>
      <c r="I171" t="str">
        <v>CH0010570767</v>
      </c>
      <c r="J171" t="str">
        <v>Agriculture and forestry</v>
      </c>
      <c r="K171">
        <v>0.82</v>
      </c>
      <c r="L171" t="str" cm="1">
        <f t="array" ref="L171">_xlfn.TEXTJOIN(",",TRUE,_xlfn._xlws.FILTER($C$5:$C$1727,($D$5:$D$1727=I171)*($E$5:$E$1727=J171)*($F$5:$F$1727=K171)))</f>
        <v>Global</v>
      </c>
      <c r="M171" t="b">
        <f t="shared" si="4"/>
        <v>0</v>
      </c>
      <c r="N171">
        <f t="shared" si="5"/>
        <v>0</v>
      </c>
      <c r="T171" t="s">
        <v>1729</v>
      </c>
      <c r="U171" t="s">
        <v>141</v>
      </c>
      <c r="V171" t="s">
        <v>1656</v>
      </c>
    </row>
    <row r="172" spans="3:22" x14ac:dyDescent="0.25">
      <c r="C172" t="s">
        <v>1547</v>
      </c>
      <c r="D172" s="2" t="s">
        <v>169</v>
      </c>
      <c r="E172" t="s">
        <v>401</v>
      </c>
      <c r="F172" s="1">
        <v>0</v>
      </c>
      <c r="I172" t="str">
        <v>CH0010645932</v>
      </c>
      <c r="J172" t="str">
        <v>Agriculture and forestry</v>
      </c>
      <c r="K172">
        <v>0.53</v>
      </c>
      <c r="L172" t="str" cm="1">
        <f t="array" ref="L172">_xlfn.TEXTJOIN(",",TRUE,_xlfn._xlws.FILTER($C$5:$C$1727,($D$5:$D$1727=I172)*($E$5:$E$1727=J172)*($F$5:$F$1727=K172)))</f>
        <v>Global</v>
      </c>
      <c r="M172" t="b">
        <f t="shared" si="4"/>
        <v>0</v>
      </c>
      <c r="N172">
        <f t="shared" si="5"/>
        <v>0</v>
      </c>
      <c r="T172" t="s">
        <v>1730</v>
      </c>
      <c r="U172" t="s">
        <v>189</v>
      </c>
      <c r="V172" t="s">
        <v>1656</v>
      </c>
    </row>
    <row r="173" spans="3:22" x14ac:dyDescent="0.25">
      <c r="C173" t="s">
        <v>1547</v>
      </c>
      <c r="D173" s="2" t="s">
        <v>170</v>
      </c>
      <c r="E173" t="s">
        <v>404</v>
      </c>
      <c r="F173" s="1">
        <v>0.26</v>
      </c>
      <c r="I173" t="str">
        <v>CH0010675863</v>
      </c>
      <c r="J173" t="str">
        <v>Excluded</v>
      </c>
      <c r="K173">
        <v>0</v>
      </c>
      <c r="L173" t="str" cm="1">
        <f t="array" ref="L173">_xlfn.TEXTJOIN(",",TRUE,_xlfn._xlws.FILTER($C$5:$C$1727,($D$5:$D$1727=I173)*($E$5:$E$1727=J173)*($F$5:$F$1727=K173)))</f>
        <v>Global</v>
      </c>
      <c r="M173" t="b">
        <f t="shared" si="4"/>
        <v>0</v>
      </c>
      <c r="N173">
        <f t="shared" si="5"/>
        <v>0</v>
      </c>
      <c r="T173" t="s">
        <v>1731</v>
      </c>
      <c r="U173" t="s">
        <v>18</v>
      </c>
      <c r="V173" t="s">
        <v>1656</v>
      </c>
    </row>
    <row r="174" spans="3:22" x14ac:dyDescent="0.25">
      <c r="C174" t="s">
        <v>1547</v>
      </c>
      <c r="D174" s="2" t="s">
        <v>171</v>
      </c>
      <c r="E174" t="s">
        <v>403</v>
      </c>
      <c r="F174" s="1">
        <v>0.31</v>
      </c>
      <c r="I174" t="str">
        <v>CH0011075394</v>
      </c>
      <c r="J174" t="str">
        <v>Not included in a theme</v>
      </c>
      <c r="K174">
        <v>0</v>
      </c>
      <c r="L174" t="str" cm="1">
        <f t="array" ref="L174">_xlfn.TEXTJOIN(",",TRUE,_xlfn._xlws.FILTER($C$5:$C$1727,($D$5:$D$1727=I174)*($E$5:$E$1727=J174)*($F$5:$F$1727=K174)))</f>
        <v>Global</v>
      </c>
      <c r="M174" t="b">
        <f t="shared" si="4"/>
        <v>0</v>
      </c>
      <c r="N174">
        <f t="shared" si="5"/>
        <v>0</v>
      </c>
      <c r="T174" t="s">
        <v>1732</v>
      </c>
      <c r="U174" t="s">
        <v>7</v>
      </c>
      <c r="V174" t="s">
        <v>1656</v>
      </c>
    </row>
    <row r="175" spans="3:22" x14ac:dyDescent="0.25">
      <c r="C175" t="s">
        <v>1547</v>
      </c>
      <c r="D175" s="2" t="s">
        <v>172</v>
      </c>
      <c r="E175" t="s">
        <v>401</v>
      </c>
      <c r="F175" s="1">
        <v>0</v>
      </c>
      <c r="I175" t="str">
        <v>CH0012005267</v>
      </c>
      <c r="J175" t="str">
        <v>Not included in a theme</v>
      </c>
      <c r="K175">
        <v>0</v>
      </c>
      <c r="L175" t="str" cm="1">
        <f t="array" ref="L175">_xlfn.TEXTJOIN(",",TRUE,_xlfn._xlws.FILTER($C$5:$C$1727,($D$5:$D$1727=I175)*($E$5:$E$1727=J175)*($F$5:$F$1727=K175)))</f>
        <v>Global</v>
      </c>
      <c r="M175" t="b">
        <f t="shared" si="4"/>
        <v>0</v>
      </c>
      <c r="N175">
        <f t="shared" si="5"/>
        <v>0</v>
      </c>
      <c r="T175" t="s">
        <v>1733</v>
      </c>
      <c r="U175" t="s">
        <v>13</v>
      </c>
      <c r="V175" t="s">
        <v>1656</v>
      </c>
    </row>
    <row r="176" spans="3:22" x14ac:dyDescent="0.25">
      <c r="C176" t="s">
        <v>1547</v>
      </c>
      <c r="D176" s="2" t="s">
        <v>173</v>
      </c>
      <c r="E176" t="s">
        <v>400</v>
      </c>
      <c r="F176" s="1">
        <v>0</v>
      </c>
      <c r="I176" t="str">
        <v>CH0012032048</v>
      </c>
      <c r="J176" t="str">
        <v>Not included in a theme</v>
      </c>
      <c r="K176">
        <v>0</v>
      </c>
      <c r="L176" t="str" cm="1">
        <f t="array" ref="L176">_xlfn.TEXTJOIN(",",TRUE,_xlfn._xlws.FILTER($C$5:$C$1727,($D$5:$D$1727=I176)*($E$5:$E$1727=J176)*($F$5:$F$1727=K176)))</f>
        <v>Global</v>
      </c>
      <c r="M176" t="b">
        <f t="shared" si="4"/>
        <v>0</v>
      </c>
      <c r="N176">
        <f t="shared" si="5"/>
        <v>0</v>
      </c>
      <c r="T176" t="s">
        <v>1734</v>
      </c>
      <c r="U176" t="s">
        <v>67</v>
      </c>
      <c r="V176" t="s">
        <v>1656</v>
      </c>
    </row>
    <row r="177" spans="3:22" x14ac:dyDescent="0.25">
      <c r="C177" t="s">
        <v>1547</v>
      </c>
      <c r="D177" s="2" t="s">
        <v>174</v>
      </c>
      <c r="E177" t="s">
        <v>401</v>
      </c>
      <c r="F177" s="1">
        <v>0</v>
      </c>
      <c r="I177" t="str">
        <v>CH0012214059</v>
      </c>
      <c r="J177" t="str">
        <v>Excluded</v>
      </c>
      <c r="K177">
        <v>0</v>
      </c>
      <c r="L177" t="str" cm="1">
        <f t="array" ref="L177">_xlfn.TEXTJOIN(",",TRUE,_xlfn._xlws.FILTER($C$5:$C$1727,($D$5:$D$1727=I177)*($E$5:$E$1727=J177)*($F$5:$F$1727=K177)))</f>
        <v>Global</v>
      </c>
      <c r="M177" t="b">
        <f t="shared" si="4"/>
        <v>0</v>
      </c>
      <c r="N177">
        <f t="shared" si="5"/>
        <v>0</v>
      </c>
      <c r="T177" t="s">
        <v>1735</v>
      </c>
      <c r="U177" t="s">
        <v>222</v>
      </c>
      <c r="V177" t="s">
        <v>1656</v>
      </c>
    </row>
    <row r="178" spans="3:22" x14ac:dyDescent="0.25">
      <c r="C178" t="s">
        <v>1547</v>
      </c>
      <c r="D178" s="2" t="s">
        <v>175</v>
      </c>
      <c r="E178" t="s">
        <v>407</v>
      </c>
      <c r="F178" s="1">
        <v>0.98</v>
      </c>
      <c r="I178" t="str">
        <v>CH0012221716</v>
      </c>
      <c r="J178" t="str">
        <v>Eco-efficient industries</v>
      </c>
      <c r="K178">
        <v>1</v>
      </c>
      <c r="L178" t="str" cm="1">
        <f t="array" ref="L178">_xlfn.TEXTJOIN(",",TRUE,_xlfn._xlws.FILTER($C$5:$C$1727,($D$5:$D$1727=I178)*($E$5:$E$1727=J178)*($F$5:$F$1727=K178)))</f>
        <v>Global</v>
      </c>
      <c r="M178" t="b">
        <f t="shared" si="4"/>
        <v>0</v>
      </c>
      <c r="N178">
        <f t="shared" si="5"/>
        <v>0</v>
      </c>
      <c r="T178" t="s">
        <v>1736</v>
      </c>
      <c r="U178" t="s">
        <v>316</v>
      </c>
      <c r="V178" t="s">
        <v>1656</v>
      </c>
    </row>
    <row r="179" spans="3:22" x14ac:dyDescent="0.25">
      <c r="C179" t="s">
        <v>1547</v>
      </c>
      <c r="D179" s="2" t="s">
        <v>176</v>
      </c>
      <c r="E179" t="s">
        <v>401</v>
      </c>
      <c r="F179" s="1">
        <v>0</v>
      </c>
      <c r="I179" t="str">
        <v>CH0012255151</v>
      </c>
      <c r="J179" t="str">
        <v>Excluded</v>
      </c>
      <c r="K179">
        <v>0</v>
      </c>
      <c r="L179" t="str" cm="1">
        <f t="array" ref="L179">_xlfn.TEXTJOIN(",",TRUE,_xlfn._xlws.FILTER($C$5:$C$1727,($D$5:$D$1727=I179)*($E$5:$E$1727=J179)*($F$5:$F$1727=K179)))</f>
        <v>Global</v>
      </c>
      <c r="M179" t="b">
        <f t="shared" si="4"/>
        <v>0</v>
      </c>
      <c r="N179">
        <f t="shared" si="5"/>
        <v>0</v>
      </c>
      <c r="T179" t="s">
        <v>1737</v>
      </c>
      <c r="U179" t="s">
        <v>304</v>
      </c>
      <c r="V179" t="s">
        <v>1656</v>
      </c>
    </row>
    <row r="180" spans="3:22" x14ac:dyDescent="0.25">
      <c r="C180" t="s">
        <v>1547</v>
      </c>
      <c r="D180" s="2" t="s">
        <v>177</v>
      </c>
      <c r="E180" t="s">
        <v>401</v>
      </c>
      <c r="F180" s="1">
        <v>0</v>
      </c>
      <c r="I180" t="str">
        <v>CH0012410517</v>
      </c>
      <c r="J180" t="str">
        <v>Not included in a theme</v>
      </c>
      <c r="K180">
        <v>0</v>
      </c>
      <c r="L180" t="str" cm="1">
        <f t="array" ref="L180">_xlfn.TEXTJOIN(",",TRUE,_xlfn._xlws.FILTER($C$5:$C$1727,($D$5:$D$1727=I180)*($E$5:$E$1727=J180)*($F$5:$F$1727=K180)))</f>
        <v>Global</v>
      </c>
      <c r="M180" t="b">
        <f t="shared" si="4"/>
        <v>0</v>
      </c>
      <c r="N180">
        <f t="shared" si="5"/>
        <v>0</v>
      </c>
      <c r="T180" t="s">
        <v>1738</v>
      </c>
      <c r="U180" t="s">
        <v>4</v>
      </c>
      <c r="V180" t="s">
        <v>1656</v>
      </c>
    </row>
    <row r="181" spans="3:22" x14ac:dyDescent="0.25">
      <c r="C181" t="s">
        <v>1547</v>
      </c>
      <c r="D181" s="2" t="s">
        <v>178</v>
      </c>
      <c r="E181" t="s">
        <v>405</v>
      </c>
      <c r="F181" s="1">
        <v>1</v>
      </c>
      <c r="I181" t="str">
        <v>CH0012549785</v>
      </c>
      <c r="J181" t="str">
        <v>Not included in a theme</v>
      </c>
      <c r="K181">
        <v>0</v>
      </c>
      <c r="L181" t="str" cm="1">
        <f t="array" ref="L181">_xlfn.TEXTJOIN(",",TRUE,_xlfn._xlws.FILTER($C$5:$C$1727,($D$5:$D$1727=I181)*($E$5:$E$1727=J181)*($F$5:$F$1727=K181)))</f>
        <v>Global</v>
      </c>
      <c r="M181" t="b">
        <f t="shared" si="4"/>
        <v>0</v>
      </c>
      <c r="N181">
        <f t="shared" si="5"/>
        <v>0</v>
      </c>
      <c r="T181" t="s">
        <v>1739</v>
      </c>
      <c r="U181" t="s">
        <v>106</v>
      </c>
      <c r="V181" t="s">
        <v>1656</v>
      </c>
    </row>
    <row r="182" spans="3:22" x14ac:dyDescent="0.25">
      <c r="C182" t="s">
        <v>1547</v>
      </c>
      <c r="D182" s="2" t="s">
        <v>179</v>
      </c>
      <c r="E182" t="s">
        <v>403</v>
      </c>
      <c r="F182" s="1">
        <v>0.18</v>
      </c>
      <c r="I182" t="str">
        <v>CH0013841017</v>
      </c>
      <c r="J182" t="str">
        <v>Excluded</v>
      </c>
      <c r="K182">
        <v>0</v>
      </c>
      <c r="L182" t="str" cm="1">
        <f t="array" ref="L182">_xlfn.TEXTJOIN(",",TRUE,_xlfn._xlws.FILTER($C$5:$C$1727,($D$5:$D$1727=I182)*($E$5:$E$1727=J182)*($F$5:$F$1727=K182)))</f>
        <v>Global</v>
      </c>
      <c r="M182" t="b">
        <f t="shared" si="4"/>
        <v>0</v>
      </c>
      <c r="N182">
        <f t="shared" si="5"/>
        <v>0</v>
      </c>
      <c r="T182" t="s">
        <v>1740</v>
      </c>
      <c r="U182" t="s">
        <v>41</v>
      </c>
      <c r="V182" t="s">
        <v>1656</v>
      </c>
    </row>
    <row r="183" spans="3:22" x14ac:dyDescent="0.25">
      <c r="C183" t="s">
        <v>1547</v>
      </c>
      <c r="D183" s="2" t="s">
        <v>180</v>
      </c>
      <c r="E183" t="s">
        <v>400</v>
      </c>
      <c r="F183" s="1">
        <v>0</v>
      </c>
      <c r="I183" t="str">
        <v>CH0014852781</v>
      </c>
      <c r="J183" t="str">
        <v>Excluded</v>
      </c>
      <c r="K183">
        <v>0</v>
      </c>
      <c r="L183" t="str" cm="1">
        <f t="array" ref="L183">_xlfn.TEXTJOIN(",",TRUE,_xlfn._xlws.FILTER($C$5:$C$1727,($D$5:$D$1727=I183)*($E$5:$E$1727=J183)*($F$5:$F$1727=K183)))</f>
        <v>Global</v>
      </c>
      <c r="M183" t="b">
        <f t="shared" si="4"/>
        <v>0</v>
      </c>
      <c r="N183">
        <f t="shared" si="5"/>
        <v>0</v>
      </c>
      <c r="T183" t="s">
        <v>1741</v>
      </c>
      <c r="U183" t="s">
        <v>30</v>
      </c>
      <c r="V183" t="s">
        <v>1656</v>
      </c>
    </row>
    <row r="184" spans="3:22" x14ac:dyDescent="0.25">
      <c r="C184" t="s">
        <v>1547</v>
      </c>
      <c r="D184" s="2" t="s">
        <v>181</v>
      </c>
      <c r="E184" t="s">
        <v>400</v>
      </c>
      <c r="F184" s="1">
        <v>0</v>
      </c>
      <c r="I184" t="str">
        <v>CH0018294154</v>
      </c>
      <c r="J184" t="str">
        <v>Ecoconstruction</v>
      </c>
      <c r="K184">
        <v>0.99</v>
      </c>
      <c r="L184" t="str" cm="1">
        <f t="array" ref="L184">_xlfn.TEXTJOIN(",",TRUE,_xlfn._xlws.FILTER($C$5:$C$1727,($D$5:$D$1727=I184)*($E$5:$E$1727=J184)*($F$5:$F$1727=K184)))</f>
        <v>Global</v>
      </c>
      <c r="M184" t="b">
        <f t="shared" si="4"/>
        <v>0</v>
      </c>
      <c r="N184">
        <f t="shared" si="5"/>
        <v>0</v>
      </c>
      <c r="T184" t="s">
        <v>1742</v>
      </c>
      <c r="U184" t="s">
        <v>22</v>
      </c>
      <c r="V184" t="s">
        <v>1656</v>
      </c>
    </row>
    <row r="185" spans="3:22" x14ac:dyDescent="0.25">
      <c r="C185" t="s">
        <v>1547</v>
      </c>
      <c r="D185" s="2" t="s">
        <v>182</v>
      </c>
      <c r="E185" t="s">
        <v>399</v>
      </c>
      <c r="F185" s="1">
        <v>0.89</v>
      </c>
      <c r="I185" t="str">
        <v>CH0024608827</v>
      </c>
      <c r="J185" t="str">
        <v>Excluded</v>
      </c>
      <c r="K185">
        <v>0</v>
      </c>
      <c r="L185" t="str" cm="1">
        <f t="array" ref="L185">_xlfn.TEXTJOIN(",",TRUE,_xlfn._xlws.FILTER($C$5:$C$1727,($D$5:$D$1727=I185)*($E$5:$E$1727=J185)*($F$5:$F$1727=K185)))</f>
        <v>Global</v>
      </c>
      <c r="M185" t="b">
        <f t="shared" si="4"/>
        <v>0</v>
      </c>
      <c r="N185">
        <f t="shared" si="5"/>
        <v>0</v>
      </c>
      <c r="T185" t="s">
        <v>1743</v>
      </c>
      <c r="U185" t="s">
        <v>126</v>
      </c>
      <c r="V185" t="s">
        <v>1656</v>
      </c>
    </row>
    <row r="186" spans="3:22" x14ac:dyDescent="0.25">
      <c r="C186" t="s">
        <v>1547</v>
      </c>
      <c r="D186" s="2" t="s">
        <v>183</v>
      </c>
      <c r="E186" t="s">
        <v>402</v>
      </c>
      <c r="F186" s="1">
        <v>0.62</v>
      </c>
      <c r="I186" t="str">
        <v>CH0024638196</v>
      </c>
      <c r="J186" t="str">
        <v>Excluded</v>
      </c>
      <c r="K186">
        <v>0</v>
      </c>
      <c r="L186" t="str" cm="1">
        <f t="array" ref="L186">_xlfn.TEXTJOIN(",",TRUE,_xlfn._xlws.FILTER($C$5:$C$1727,($D$5:$D$1727=I186)*($E$5:$E$1727=J186)*($F$5:$F$1727=K186)))</f>
        <v>Global</v>
      </c>
      <c r="M186" t="b">
        <f t="shared" si="4"/>
        <v>0</v>
      </c>
      <c r="N186">
        <f t="shared" si="5"/>
        <v>0</v>
      </c>
      <c r="T186" t="s">
        <v>1744</v>
      </c>
      <c r="U186" t="s">
        <v>169</v>
      </c>
      <c r="V186" t="s">
        <v>1656</v>
      </c>
    </row>
    <row r="187" spans="3:22" x14ac:dyDescent="0.25">
      <c r="C187" t="s">
        <v>1547</v>
      </c>
      <c r="D187" s="2" t="s">
        <v>184</v>
      </c>
      <c r="E187" t="s">
        <v>400</v>
      </c>
      <c r="F187" s="1">
        <v>0</v>
      </c>
      <c r="I187" t="str">
        <v>CH0025238863</v>
      </c>
      <c r="J187" t="str">
        <v>Not included in a theme</v>
      </c>
      <c r="K187">
        <v>0</v>
      </c>
      <c r="L187" t="str" cm="1">
        <f t="array" ref="L187">_xlfn.TEXTJOIN(",",TRUE,_xlfn._xlws.FILTER($C$5:$C$1727,($D$5:$D$1727=I187)*($E$5:$E$1727=J187)*($F$5:$F$1727=K187)))</f>
        <v>Global</v>
      </c>
      <c r="M187" t="b">
        <f t="shared" si="4"/>
        <v>0</v>
      </c>
      <c r="N187">
        <f t="shared" si="5"/>
        <v>0</v>
      </c>
      <c r="T187" t="s">
        <v>1745</v>
      </c>
      <c r="U187" t="s">
        <v>53</v>
      </c>
      <c r="V187" t="s">
        <v>1661</v>
      </c>
    </row>
    <row r="188" spans="3:22" x14ac:dyDescent="0.25">
      <c r="C188" t="s">
        <v>1547</v>
      </c>
      <c r="D188" s="2" t="s">
        <v>185</v>
      </c>
      <c r="E188" t="s">
        <v>400</v>
      </c>
      <c r="F188" s="1">
        <v>0</v>
      </c>
      <c r="I188" t="str">
        <v>CH0025751329</v>
      </c>
      <c r="J188" t="str">
        <v>Information technology</v>
      </c>
      <c r="K188">
        <v>0.57999999999999996</v>
      </c>
      <c r="L188" t="str" cm="1">
        <f t="array" ref="L188">_xlfn.TEXTJOIN(",",TRUE,_xlfn._xlws.FILTER($C$5:$C$1727,($D$5:$D$1727=I188)*($E$5:$E$1727=J188)*($F$5:$F$1727=K188)))</f>
        <v>Global</v>
      </c>
      <c r="M188" t="b">
        <f t="shared" si="4"/>
        <v>0</v>
      </c>
      <c r="N188">
        <f t="shared" si="5"/>
        <v>0</v>
      </c>
      <c r="T188" t="s">
        <v>1746</v>
      </c>
      <c r="U188" t="s">
        <v>346</v>
      </c>
      <c r="V188" t="s">
        <v>1661</v>
      </c>
    </row>
    <row r="189" spans="3:22" x14ac:dyDescent="0.25">
      <c r="C189" t="s">
        <v>1547</v>
      </c>
      <c r="D189" s="2" t="s">
        <v>186</v>
      </c>
      <c r="E189" t="s">
        <v>400</v>
      </c>
      <c r="F189" s="1">
        <v>0</v>
      </c>
      <c r="I189" t="str">
        <v>CH0030170408</v>
      </c>
      <c r="J189" t="str">
        <v>Climate change adaptation</v>
      </c>
      <c r="K189">
        <v>1</v>
      </c>
      <c r="L189" t="str" cm="1">
        <f t="array" ref="L189">_xlfn.TEXTJOIN(",",TRUE,_xlfn._xlws.FILTER($C$5:$C$1727,($D$5:$D$1727=I189)*($E$5:$E$1727=J189)*($F$5:$F$1727=K189)))</f>
        <v>Global</v>
      </c>
      <c r="M189" t="b">
        <f t="shared" si="4"/>
        <v>0</v>
      </c>
      <c r="N189">
        <f t="shared" si="5"/>
        <v>0</v>
      </c>
      <c r="T189" t="s">
        <v>1747</v>
      </c>
      <c r="U189" t="s">
        <v>52</v>
      </c>
      <c r="V189" t="s">
        <v>1661</v>
      </c>
    </row>
    <row r="190" spans="3:22" x14ac:dyDescent="0.25">
      <c r="C190" t="s">
        <v>1547</v>
      </c>
      <c r="D190" s="2" t="s">
        <v>187</v>
      </c>
      <c r="E190" t="s">
        <v>400</v>
      </c>
      <c r="F190" s="1">
        <v>0</v>
      </c>
      <c r="I190" t="str">
        <v>CH0038863350</v>
      </c>
      <c r="J190" t="str">
        <v>Excluded</v>
      </c>
      <c r="K190">
        <v>0</v>
      </c>
      <c r="L190" t="str" cm="1">
        <f t="array" ref="L190">_xlfn.TEXTJOIN(",",TRUE,_xlfn._xlws.FILTER($C$5:$C$1727,($D$5:$D$1727=I190)*($E$5:$E$1727=J190)*($F$5:$F$1727=K190)))</f>
        <v>Global</v>
      </c>
      <c r="M190" t="b">
        <f t="shared" si="4"/>
        <v>0</v>
      </c>
      <c r="N190">
        <f t="shared" si="5"/>
        <v>0</v>
      </c>
      <c r="T190" t="s">
        <v>1748</v>
      </c>
      <c r="U190" t="s">
        <v>196</v>
      </c>
      <c r="V190" t="s">
        <v>1661</v>
      </c>
    </row>
    <row r="191" spans="3:22" x14ac:dyDescent="0.25">
      <c r="C191" t="s">
        <v>1547</v>
      </c>
      <c r="D191" s="2" t="s">
        <v>188</v>
      </c>
      <c r="E191" t="s">
        <v>400</v>
      </c>
      <c r="F191" s="1">
        <v>0</v>
      </c>
      <c r="I191" t="str">
        <v>CH0044328745</v>
      </c>
      <c r="J191" t="str">
        <v>Not included in a theme</v>
      </c>
      <c r="K191">
        <v>0</v>
      </c>
      <c r="L191" t="str" cm="1">
        <f t="array" ref="L191">_xlfn.TEXTJOIN(",",TRUE,_xlfn._xlws.FILTER($C$5:$C$1727,($D$5:$D$1727=I191)*($E$5:$E$1727=J191)*($F$5:$F$1727=K191)))</f>
        <v>Global</v>
      </c>
      <c r="M191" t="b">
        <f t="shared" si="4"/>
        <v>0</v>
      </c>
      <c r="N191">
        <f t="shared" si="5"/>
        <v>0</v>
      </c>
      <c r="T191" t="s">
        <v>1749</v>
      </c>
      <c r="U191" t="s">
        <v>232</v>
      </c>
      <c r="V191" t="s">
        <v>1661</v>
      </c>
    </row>
    <row r="192" spans="3:22" x14ac:dyDescent="0.25">
      <c r="C192" t="s">
        <v>1547</v>
      </c>
      <c r="D192" s="2" t="s">
        <v>189</v>
      </c>
      <c r="E192" t="s">
        <v>403</v>
      </c>
      <c r="F192" s="1">
        <v>0.72</v>
      </c>
      <c r="I192" t="str">
        <v>CH0102484968</v>
      </c>
      <c r="J192" t="str">
        <v>Excluded</v>
      </c>
      <c r="K192">
        <v>0</v>
      </c>
      <c r="L192" t="str" cm="1">
        <f t="array" ref="L192">_xlfn.TEXTJOIN(",",TRUE,_xlfn._xlws.FILTER($C$5:$C$1727,($D$5:$D$1727=I192)*($E$5:$E$1727=J192)*($F$5:$F$1727=K192)))</f>
        <v>Global</v>
      </c>
      <c r="M192" t="b">
        <f t="shared" si="4"/>
        <v>0</v>
      </c>
      <c r="N192">
        <f t="shared" si="5"/>
        <v>0</v>
      </c>
      <c r="T192" t="s">
        <v>1750</v>
      </c>
      <c r="U192" t="s">
        <v>311</v>
      </c>
      <c r="V192" t="s">
        <v>1661</v>
      </c>
    </row>
    <row r="193" spans="3:22" x14ac:dyDescent="0.25">
      <c r="C193" t="s">
        <v>1547</v>
      </c>
      <c r="D193" s="2" t="s">
        <v>190</v>
      </c>
      <c r="E193" t="s">
        <v>404</v>
      </c>
      <c r="F193" s="1">
        <v>1</v>
      </c>
      <c r="I193" t="str">
        <v>CH0114405324</v>
      </c>
      <c r="J193" t="str">
        <v>Clean transport</v>
      </c>
      <c r="K193">
        <v>0.41</v>
      </c>
      <c r="L193" t="str" cm="1">
        <f t="array" ref="L193">_xlfn.TEXTJOIN(",",TRUE,_xlfn._xlws.FILTER($C$5:$C$1727,($D$5:$D$1727=I193)*($E$5:$E$1727=J193)*($F$5:$F$1727=K193)))</f>
        <v>Global</v>
      </c>
      <c r="M193" t="b">
        <f t="shared" si="4"/>
        <v>0</v>
      </c>
      <c r="N193">
        <f t="shared" si="5"/>
        <v>0</v>
      </c>
      <c r="T193" t="s">
        <v>1751</v>
      </c>
      <c r="U193" t="s">
        <v>26</v>
      </c>
      <c r="V193" t="s">
        <v>1661</v>
      </c>
    </row>
    <row r="194" spans="3:22" x14ac:dyDescent="0.25">
      <c r="C194" t="s">
        <v>1547</v>
      </c>
      <c r="D194" s="2" t="s">
        <v>191</v>
      </c>
      <c r="E194" t="s">
        <v>407</v>
      </c>
      <c r="F194" s="1">
        <v>0.92</v>
      </c>
      <c r="I194" t="str">
        <v>CH0126881561</v>
      </c>
      <c r="J194" t="str">
        <v>Excluded</v>
      </c>
      <c r="K194">
        <v>0</v>
      </c>
      <c r="L194" t="str" cm="1">
        <f t="array" ref="L194">_xlfn.TEXTJOIN(",",TRUE,_xlfn._xlws.FILTER($C$5:$C$1727,($D$5:$D$1727=I194)*($E$5:$E$1727=J194)*($F$5:$F$1727=K194)))</f>
        <v>Global</v>
      </c>
      <c r="M194" t="b">
        <f t="shared" si="4"/>
        <v>0</v>
      </c>
      <c r="N194">
        <f t="shared" si="5"/>
        <v>0</v>
      </c>
      <c r="T194" t="s">
        <v>1752</v>
      </c>
      <c r="U194" t="s">
        <v>260</v>
      </c>
      <c r="V194" t="s">
        <v>1661</v>
      </c>
    </row>
    <row r="195" spans="3:22" x14ac:dyDescent="0.25">
      <c r="C195" t="s">
        <v>1547</v>
      </c>
      <c r="D195" s="2" t="s">
        <v>192</v>
      </c>
      <c r="E195" t="s">
        <v>407</v>
      </c>
      <c r="F195" s="1">
        <v>0.88</v>
      </c>
      <c r="I195" t="str">
        <v>CH0198251305</v>
      </c>
      <c r="J195" t="str">
        <v>Excluded</v>
      </c>
      <c r="K195">
        <v>0</v>
      </c>
      <c r="L195" t="str" cm="1">
        <f t="array" ref="L195">_xlfn.TEXTJOIN(",",TRUE,_xlfn._xlws.FILTER($C$5:$C$1727,($D$5:$D$1727=I195)*($E$5:$E$1727=J195)*($F$5:$F$1727=K195)))</f>
        <v>Global</v>
      </c>
      <c r="M195" t="b">
        <f t="shared" si="4"/>
        <v>0</v>
      </c>
      <c r="N195">
        <f t="shared" si="5"/>
        <v>0</v>
      </c>
      <c r="T195" t="s">
        <v>1753</v>
      </c>
      <c r="U195" t="s">
        <v>173</v>
      </c>
      <c r="V195" t="s">
        <v>1652</v>
      </c>
    </row>
    <row r="196" spans="3:22" x14ac:dyDescent="0.25">
      <c r="C196" t="s">
        <v>1547</v>
      </c>
      <c r="D196" s="2" t="s">
        <v>193</v>
      </c>
      <c r="E196" t="s">
        <v>403</v>
      </c>
      <c r="F196" s="1">
        <v>0.13</v>
      </c>
      <c r="I196" t="str">
        <v>CH0210483332</v>
      </c>
      <c r="J196" t="str">
        <v>Excluded</v>
      </c>
      <c r="K196">
        <v>0</v>
      </c>
      <c r="L196" t="str" cm="1">
        <f t="array" ref="L196">_xlfn.TEXTJOIN(",",TRUE,_xlfn._xlws.FILTER($C$5:$C$1727,($D$5:$D$1727=I196)*($E$5:$E$1727=J196)*($F$5:$F$1727=K196)))</f>
        <v>Global</v>
      </c>
      <c r="M196" t="b">
        <f t="shared" si="4"/>
        <v>0</v>
      </c>
      <c r="N196">
        <f t="shared" si="5"/>
        <v>0</v>
      </c>
      <c r="T196" t="s">
        <v>1754</v>
      </c>
      <c r="U196" t="s">
        <v>333</v>
      </c>
      <c r="V196" t="s">
        <v>1661</v>
      </c>
    </row>
    <row r="197" spans="3:22" x14ac:dyDescent="0.25">
      <c r="C197" t="s">
        <v>1547</v>
      </c>
      <c r="D197" s="2" t="s">
        <v>194</v>
      </c>
      <c r="E197" t="s">
        <v>400</v>
      </c>
      <c r="F197" s="1">
        <v>0</v>
      </c>
      <c r="I197" t="str">
        <v>CH0244767585</v>
      </c>
      <c r="J197" t="str">
        <v>Excluded</v>
      </c>
      <c r="K197">
        <v>0</v>
      </c>
      <c r="L197" t="str" cm="1">
        <f t="array" ref="L197">_xlfn.TEXTJOIN(",",TRUE,_xlfn._xlws.FILTER($C$5:$C$1727,($D$5:$D$1727=I197)*($E$5:$E$1727=J197)*($F$5:$F$1727=K197)))</f>
        <v>Global</v>
      </c>
      <c r="M197" t="b">
        <f t="shared" si="4"/>
        <v>0</v>
      </c>
      <c r="N197">
        <f t="shared" si="5"/>
        <v>0</v>
      </c>
      <c r="T197" t="s">
        <v>1755</v>
      </c>
      <c r="U197" t="s">
        <v>168</v>
      </c>
      <c r="V197" t="s">
        <v>1661</v>
      </c>
    </row>
    <row r="198" spans="3:22" x14ac:dyDescent="0.25">
      <c r="C198" t="s">
        <v>1547</v>
      </c>
      <c r="D198" s="2" t="s">
        <v>195</v>
      </c>
      <c r="E198" t="s">
        <v>404</v>
      </c>
      <c r="F198" s="1">
        <v>0.28000000000000003</v>
      </c>
      <c r="I198" t="str">
        <v>CH0311864901</v>
      </c>
      <c r="J198" t="str">
        <v>Eco-efficient industries</v>
      </c>
      <c r="K198">
        <v>0.82</v>
      </c>
      <c r="L198" t="str" cm="1">
        <f t="array" ref="L198">_xlfn.TEXTJOIN(",",TRUE,_xlfn._xlws.FILTER($C$5:$C$1727,($D$5:$D$1727=I198)*($E$5:$E$1727=J198)*($F$5:$F$1727=K198)))</f>
        <v>Global</v>
      </c>
      <c r="M198" t="b">
        <f t="shared" ref="M198:M261" si="6">COUNTIFS($I$5:$I$1556,I198)&gt;1</f>
        <v>0</v>
      </c>
      <c r="N198">
        <f t="shared" ref="N198:N261" si="7">COUNTIFS($U$5:$U$231,I198)</f>
        <v>0</v>
      </c>
      <c r="T198" t="s">
        <v>1756</v>
      </c>
      <c r="U198" t="s">
        <v>184</v>
      </c>
      <c r="V198" t="s">
        <v>1661</v>
      </c>
    </row>
    <row r="199" spans="3:22" x14ac:dyDescent="0.25">
      <c r="C199" t="s">
        <v>1547</v>
      </c>
      <c r="D199" s="2" t="s">
        <v>196</v>
      </c>
      <c r="E199" t="s">
        <v>400</v>
      </c>
      <c r="F199" s="1">
        <v>0</v>
      </c>
      <c r="I199" t="str">
        <v>CH0418792922</v>
      </c>
      <c r="J199" t="str">
        <v>Ecoconstruction</v>
      </c>
      <c r="K199">
        <v>0.86</v>
      </c>
      <c r="L199" t="str" cm="1">
        <f t="array" ref="L199">_xlfn.TEXTJOIN(",",TRUE,_xlfn._xlws.FILTER($C$5:$C$1727,($D$5:$D$1727=I199)*($E$5:$E$1727=J199)*($F$5:$F$1727=K199)))</f>
        <v>Global</v>
      </c>
      <c r="M199" t="b">
        <f t="shared" si="6"/>
        <v>0</v>
      </c>
      <c r="N199">
        <f t="shared" si="7"/>
        <v>0</v>
      </c>
      <c r="T199" t="s">
        <v>1757</v>
      </c>
      <c r="U199" t="s">
        <v>166</v>
      </c>
      <c r="V199" t="s">
        <v>1661</v>
      </c>
    </row>
    <row r="200" spans="3:22" x14ac:dyDescent="0.25">
      <c r="C200" t="s">
        <v>1547</v>
      </c>
      <c r="D200" s="2" t="s">
        <v>197</v>
      </c>
      <c r="E200" t="s">
        <v>401</v>
      </c>
      <c r="F200" s="1">
        <v>0</v>
      </c>
      <c r="I200" t="str">
        <v>CH0432492467</v>
      </c>
      <c r="J200" t="str">
        <v>Not included in a theme</v>
      </c>
      <c r="K200">
        <v>0</v>
      </c>
      <c r="L200" t="str" cm="1">
        <f t="array" ref="L200">_xlfn.TEXTJOIN(",",TRUE,_xlfn._xlws.FILTER($C$5:$C$1727,($D$5:$D$1727=I200)*($E$5:$E$1727=J200)*($F$5:$F$1727=K200)))</f>
        <v>Global</v>
      </c>
      <c r="M200" t="b">
        <f t="shared" si="6"/>
        <v>0</v>
      </c>
      <c r="N200">
        <f t="shared" si="7"/>
        <v>0</v>
      </c>
      <c r="T200" t="s">
        <v>1758</v>
      </c>
      <c r="U200" t="s">
        <v>210</v>
      </c>
      <c r="V200" t="s">
        <v>1661</v>
      </c>
    </row>
    <row r="201" spans="3:22" x14ac:dyDescent="0.25">
      <c r="C201" t="s">
        <v>1547</v>
      </c>
      <c r="D201" s="2" t="s">
        <v>198</v>
      </c>
      <c r="E201" t="s">
        <v>401</v>
      </c>
      <c r="F201" s="1">
        <v>0</v>
      </c>
      <c r="I201" t="str">
        <v>CH0466642201</v>
      </c>
      <c r="J201" t="str">
        <v>Not included in a theme</v>
      </c>
      <c r="K201">
        <v>0</v>
      </c>
      <c r="L201" t="str" cm="1">
        <f t="array" ref="L201">_xlfn.TEXTJOIN(",",TRUE,_xlfn._xlws.FILTER($C$5:$C$1727,($D$5:$D$1727=I201)*($E$5:$E$1727=J201)*($F$5:$F$1727=K201)))</f>
        <v>Global</v>
      </c>
      <c r="M201" t="b">
        <f t="shared" si="6"/>
        <v>0</v>
      </c>
      <c r="N201">
        <f t="shared" si="7"/>
        <v>0</v>
      </c>
      <c r="T201" t="s">
        <v>1759</v>
      </c>
      <c r="U201" t="s">
        <v>313</v>
      </c>
      <c r="V201" t="s">
        <v>1654</v>
      </c>
    </row>
    <row r="202" spans="3:22" x14ac:dyDescent="0.25">
      <c r="C202" t="s">
        <v>1547</v>
      </c>
      <c r="D202" s="2" t="s">
        <v>199</v>
      </c>
      <c r="E202" t="s">
        <v>400</v>
      </c>
      <c r="F202" s="1">
        <v>0</v>
      </c>
      <c r="I202" t="str">
        <v>CH1101098163</v>
      </c>
      <c r="J202" t="str">
        <v>Ecoconstruction</v>
      </c>
      <c r="K202">
        <v>1</v>
      </c>
      <c r="L202" t="str" cm="1">
        <f t="array" ref="L202">_xlfn.TEXTJOIN(",",TRUE,_xlfn._xlws.FILTER($C$5:$C$1727,($D$5:$D$1727=I202)*($E$5:$E$1727=J202)*($F$5:$F$1727=K202)))</f>
        <v>Global</v>
      </c>
      <c r="M202" t="b">
        <f t="shared" si="6"/>
        <v>0</v>
      </c>
      <c r="N202">
        <f t="shared" si="7"/>
        <v>0</v>
      </c>
      <c r="T202" t="s">
        <v>1760</v>
      </c>
      <c r="U202" t="s">
        <v>150</v>
      </c>
      <c r="V202" t="s">
        <v>1654</v>
      </c>
    </row>
    <row r="203" spans="3:22" x14ac:dyDescent="0.25">
      <c r="C203" t="s">
        <v>1547</v>
      </c>
      <c r="D203" s="2" t="s">
        <v>200</v>
      </c>
      <c r="E203" t="s">
        <v>400</v>
      </c>
      <c r="F203" s="1">
        <v>0</v>
      </c>
      <c r="I203" t="str">
        <v>CH1169360919</v>
      </c>
      <c r="J203" t="str">
        <v>Excluded</v>
      </c>
      <c r="K203">
        <v>0</v>
      </c>
      <c r="L203" t="str" cm="1">
        <f t="array" ref="L203">_xlfn.TEXTJOIN(",",TRUE,_xlfn._xlws.FILTER($C$5:$C$1727,($D$5:$D$1727=I203)*($E$5:$E$1727=J203)*($F$5:$F$1727=K203)))</f>
        <v>Global</v>
      </c>
      <c r="M203" t="b">
        <f t="shared" si="6"/>
        <v>0</v>
      </c>
      <c r="N203">
        <f t="shared" si="7"/>
        <v>0</v>
      </c>
      <c r="T203" t="s">
        <v>1761</v>
      </c>
      <c r="U203" t="s">
        <v>159</v>
      </c>
      <c r="V203" t="s">
        <v>1654</v>
      </c>
    </row>
    <row r="204" spans="3:22" x14ac:dyDescent="0.25">
      <c r="C204" t="s">
        <v>1547</v>
      </c>
      <c r="D204" s="2" t="s">
        <v>201</v>
      </c>
      <c r="E204" t="s">
        <v>403</v>
      </c>
      <c r="F204" s="1">
        <v>0.57999999999999996</v>
      </c>
      <c r="I204" t="str">
        <v>CH1175448666</v>
      </c>
      <c r="J204" t="str">
        <v>Excluded</v>
      </c>
      <c r="K204">
        <v>0</v>
      </c>
      <c r="L204" t="str" cm="1">
        <f t="array" ref="L204">_xlfn.TEXTJOIN(",",TRUE,_xlfn._xlws.FILTER($C$5:$C$1727,($D$5:$D$1727=I204)*($E$5:$E$1727=J204)*($F$5:$F$1727=K204)))</f>
        <v>Global</v>
      </c>
      <c r="M204" t="b">
        <f t="shared" si="6"/>
        <v>0</v>
      </c>
      <c r="N204">
        <f t="shared" si="7"/>
        <v>0</v>
      </c>
      <c r="T204" t="s">
        <v>1762</v>
      </c>
      <c r="U204" t="s">
        <v>136</v>
      </c>
      <c r="V204" t="s">
        <v>1654</v>
      </c>
    </row>
    <row r="205" spans="3:22" x14ac:dyDescent="0.25">
      <c r="C205" t="s">
        <v>1547</v>
      </c>
      <c r="D205" s="2" t="s">
        <v>202</v>
      </c>
      <c r="E205" t="s">
        <v>401</v>
      </c>
      <c r="F205" s="1">
        <v>0</v>
      </c>
      <c r="I205" t="str">
        <v>CH1216478797</v>
      </c>
      <c r="J205" t="str">
        <v>Agriculture and forestry</v>
      </c>
      <c r="K205">
        <v>0.24</v>
      </c>
      <c r="L205" t="str" cm="1">
        <f t="array" ref="L205">_xlfn.TEXTJOIN(",",TRUE,_xlfn._xlws.FILTER($C$5:$C$1727,($D$5:$D$1727=I205)*($E$5:$E$1727=J205)*($F$5:$F$1727=K205)))</f>
        <v>EZ,Global</v>
      </c>
      <c r="M205" t="b">
        <f t="shared" si="6"/>
        <v>0</v>
      </c>
      <c r="N205">
        <f t="shared" si="7"/>
        <v>1</v>
      </c>
      <c r="T205" t="s">
        <v>1763</v>
      </c>
      <c r="U205" t="s">
        <v>121</v>
      </c>
      <c r="V205" t="s">
        <v>1654</v>
      </c>
    </row>
    <row r="206" spans="3:22" x14ac:dyDescent="0.25">
      <c r="C206" t="s">
        <v>1547</v>
      </c>
      <c r="D206" s="2" t="s">
        <v>203</v>
      </c>
      <c r="E206" t="s">
        <v>400</v>
      </c>
      <c r="F206" s="1">
        <v>0</v>
      </c>
      <c r="I206" t="str">
        <v>CH1243598427</v>
      </c>
      <c r="J206" t="str">
        <v>Excluded</v>
      </c>
      <c r="K206">
        <v>0</v>
      </c>
      <c r="L206" t="str" cm="1">
        <f t="array" ref="L206">_xlfn.TEXTJOIN(",",TRUE,_xlfn._xlws.FILTER($C$5:$C$1727,($D$5:$D$1727=I206)*($E$5:$E$1727=J206)*($F$5:$F$1727=K206)))</f>
        <v>Global</v>
      </c>
      <c r="M206" t="b">
        <f t="shared" si="6"/>
        <v>0</v>
      </c>
      <c r="N206">
        <f t="shared" si="7"/>
        <v>0</v>
      </c>
      <c r="T206" t="s">
        <v>1764</v>
      </c>
      <c r="U206" t="s">
        <v>38</v>
      </c>
      <c r="V206" t="s">
        <v>1652</v>
      </c>
    </row>
    <row r="207" spans="3:22" x14ac:dyDescent="0.25">
      <c r="C207" t="s">
        <v>1547</v>
      </c>
      <c r="D207" s="2" t="s">
        <v>204</v>
      </c>
      <c r="E207" t="s">
        <v>405</v>
      </c>
      <c r="F207" s="1">
        <v>1</v>
      </c>
      <c r="I207" t="str">
        <v>CH1256740924</v>
      </c>
      <c r="J207" t="str">
        <v>Eco-efficient industries</v>
      </c>
      <c r="K207">
        <v>0.1</v>
      </c>
      <c r="L207" t="str" cm="1">
        <f t="array" ref="L207">_xlfn.TEXTJOIN(",",TRUE,_xlfn._xlws.FILTER($C$5:$C$1727,($D$5:$D$1727=I207)*($E$5:$E$1727=J207)*($F$5:$F$1727=K207)))</f>
        <v>Global</v>
      </c>
      <c r="M207" t="b">
        <f t="shared" si="6"/>
        <v>0</v>
      </c>
      <c r="N207">
        <f t="shared" si="7"/>
        <v>0</v>
      </c>
      <c r="T207" t="s">
        <v>1765</v>
      </c>
      <c r="U207" t="s">
        <v>284</v>
      </c>
      <c r="V207" t="s">
        <v>1658</v>
      </c>
    </row>
    <row r="208" spans="3:22" x14ac:dyDescent="0.25">
      <c r="C208" t="s">
        <v>1547</v>
      </c>
      <c r="D208" s="2" t="s">
        <v>205</v>
      </c>
      <c r="E208" t="s">
        <v>401</v>
      </c>
      <c r="F208" s="1">
        <v>0</v>
      </c>
      <c r="I208" t="str">
        <v>CH1300646267</v>
      </c>
      <c r="J208" t="str">
        <v>Excluded</v>
      </c>
      <c r="K208">
        <v>0</v>
      </c>
      <c r="L208" t="str" cm="1">
        <f t="array" ref="L208">_xlfn.TEXTJOIN(",",TRUE,_xlfn._xlws.FILTER($C$5:$C$1727,($D$5:$D$1727=I208)*($E$5:$E$1727=J208)*($F$5:$F$1727=K208)))</f>
        <v>Global</v>
      </c>
      <c r="M208" t="b">
        <f t="shared" si="6"/>
        <v>0</v>
      </c>
      <c r="N208">
        <f t="shared" si="7"/>
        <v>0</v>
      </c>
      <c r="T208" t="s">
        <v>1766</v>
      </c>
      <c r="U208" t="s">
        <v>291</v>
      </c>
      <c r="V208" t="s">
        <v>1658</v>
      </c>
    </row>
    <row r="209" spans="3:22" x14ac:dyDescent="0.25">
      <c r="C209" t="s">
        <v>1547</v>
      </c>
      <c r="D209" s="2" t="s">
        <v>206</v>
      </c>
      <c r="E209" t="s">
        <v>407</v>
      </c>
      <c r="F209" s="1">
        <v>0.87</v>
      </c>
      <c r="I209" t="str">
        <v>CH1335392721</v>
      </c>
      <c r="J209" t="str">
        <v>Excluded</v>
      </c>
      <c r="K209">
        <v>0</v>
      </c>
      <c r="L209" t="str" cm="1">
        <f t="array" ref="L209">_xlfn.TEXTJOIN(",",TRUE,_xlfn._xlws.FILTER($C$5:$C$1727,($D$5:$D$1727=I209)*($E$5:$E$1727=J209)*($F$5:$F$1727=K209)))</f>
        <v>Global</v>
      </c>
      <c r="M209" t="b">
        <f t="shared" si="6"/>
        <v>0</v>
      </c>
      <c r="N209">
        <f t="shared" si="7"/>
        <v>0</v>
      </c>
      <c r="T209" t="s">
        <v>1767</v>
      </c>
      <c r="U209" t="s">
        <v>244</v>
      </c>
      <c r="V209" t="s">
        <v>1658</v>
      </c>
    </row>
    <row r="210" spans="3:22" x14ac:dyDescent="0.25">
      <c r="C210" t="s">
        <v>1547</v>
      </c>
      <c r="D210" s="2" t="s">
        <v>207</v>
      </c>
      <c r="E210" t="s">
        <v>401</v>
      </c>
      <c r="F210" s="1">
        <v>0</v>
      </c>
      <c r="I210" t="str">
        <v>CH1391448177</v>
      </c>
      <c r="J210" t="str">
        <v>Not included in a theme</v>
      </c>
      <c r="K210">
        <v>0</v>
      </c>
      <c r="L210" t="str" cm="1">
        <f t="array" ref="L210">_xlfn.TEXTJOIN(",",TRUE,_xlfn._xlws.FILTER($C$5:$C$1727,($D$5:$D$1727=I210)*($E$5:$E$1727=J210)*($F$5:$F$1727=K210)))</f>
        <v>Global</v>
      </c>
      <c r="M210" t="b">
        <f t="shared" si="6"/>
        <v>0</v>
      </c>
      <c r="N210">
        <f t="shared" si="7"/>
        <v>0</v>
      </c>
      <c r="T210" t="s">
        <v>1768</v>
      </c>
      <c r="U210" t="s">
        <v>90</v>
      </c>
      <c r="V210" t="s">
        <v>1658</v>
      </c>
    </row>
    <row r="211" spans="3:22" x14ac:dyDescent="0.25">
      <c r="C211" t="s">
        <v>1547</v>
      </c>
      <c r="D211" s="2" t="s">
        <v>208</v>
      </c>
      <c r="E211" t="s">
        <v>400</v>
      </c>
      <c r="F211" s="1">
        <v>0</v>
      </c>
      <c r="I211" t="str">
        <v>CH1430134226</v>
      </c>
      <c r="J211" t="str">
        <v>Excluded</v>
      </c>
      <c r="K211">
        <v>0</v>
      </c>
      <c r="L211" t="str" cm="1">
        <f t="array" ref="L211">_xlfn.TEXTJOIN(",",TRUE,_xlfn._xlws.FILTER($C$5:$C$1727,($D$5:$D$1727=I211)*($E$5:$E$1727=J211)*($F$5:$F$1727=K211)))</f>
        <v>Global</v>
      </c>
      <c r="M211" t="b">
        <f t="shared" si="6"/>
        <v>0</v>
      </c>
      <c r="N211">
        <f t="shared" si="7"/>
        <v>0</v>
      </c>
      <c r="T211" t="s">
        <v>1769</v>
      </c>
      <c r="U211" t="s">
        <v>131</v>
      </c>
      <c r="V211" t="s">
        <v>1658</v>
      </c>
    </row>
    <row r="212" spans="3:22" x14ac:dyDescent="0.25">
      <c r="C212" t="s">
        <v>1547</v>
      </c>
      <c r="D212" s="2" t="s">
        <v>209</v>
      </c>
      <c r="E212" t="s">
        <v>399</v>
      </c>
      <c r="F212" s="1">
        <v>0.2</v>
      </c>
      <c r="I212" t="str">
        <v>CNE100006WS8</v>
      </c>
      <c r="J212" t="str">
        <v>Clean transport</v>
      </c>
      <c r="K212">
        <v>0.95</v>
      </c>
      <c r="L212" t="str" cm="1">
        <f t="array" ref="L212">_xlfn.TEXTJOIN(",",TRUE,_xlfn._xlws.FILTER($C$5:$C$1727,($D$5:$D$1727=I212)*($E$5:$E$1727=J212)*($F$5:$F$1727=K212)))</f>
        <v>Global</v>
      </c>
      <c r="M212" t="b">
        <f t="shared" si="6"/>
        <v>0</v>
      </c>
      <c r="N212">
        <f t="shared" si="7"/>
        <v>0</v>
      </c>
      <c r="T212" t="s">
        <v>1770</v>
      </c>
      <c r="U212" t="s">
        <v>143</v>
      </c>
      <c r="V212" t="s">
        <v>1658</v>
      </c>
    </row>
    <row r="213" spans="3:22" x14ac:dyDescent="0.25">
      <c r="C213" t="s">
        <v>1547</v>
      </c>
      <c r="D213" s="2" t="s">
        <v>210</v>
      </c>
      <c r="E213" t="s">
        <v>402</v>
      </c>
      <c r="F213" s="1">
        <v>0.27</v>
      </c>
      <c r="I213" t="str">
        <v>DE0005089031</v>
      </c>
      <c r="J213" t="str">
        <v>Information technology</v>
      </c>
      <c r="K213">
        <v>0.78</v>
      </c>
      <c r="L213" t="str" cm="1">
        <f t="array" ref="L213">_xlfn.TEXTJOIN(",",TRUE,_xlfn._xlws.FILTER($C$5:$C$1727,($D$5:$D$1727=I213)*($E$5:$E$1727=J213)*($F$5:$F$1727=K213)))</f>
        <v>EZ</v>
      </c>
      <c r="M213" t="b">
        <f t="shared" si="6"/>
        <v>0</v>
      </c>
      <c r="N213">
        <f t="shared" si="7"/>
        <v>0</v>
      </c>
      <c r="T213" t="s">
        <v>1771</v>
      </c>
      <c r="U213" t="s">
        <v>140</v>
      </c>
      <c r="V213" t="s">
        <v>1658</v>
      </c>
    </row>
    <row r="214" spans="3:22" x14ac:dyDescent="0.25">
      <c r="C214" t="s">
        <v>1547</v>
      </c>
      <c r="D214" s="2" t="s">
        <v>211</v>
      </c>
      <c r="E214" t="s">
        <v>405</v>
      </c>
      <c r="F214" s="1">
        <v>0.68</v>
      </c>
      <c r="I214" t="str">
        <v>DE0005140008</v>
      </c>
      <c r="J214" t="str">
        <v>Not included in a theme</v>
      </c>
      <c r="K214">
        <v>0</v>
      </c>
      <c r="L214" t="str" cm="1">
        <f t="array" ref="L214">_xlfn.TEXTJOIN(",",TRUE,_xlfn._xlws.FILTER($C$5:$C$1727,($D$5:$D$1727=I214)*($E$5:$E$1727=J214)*($F$5:$F$1727=K214)))</f>
        <v>EZ</v>
      </c>
      <c r="M214" t="b">
        <f t="shared" si="6"/>
        <v>1</v>
      </c>
      <c r="N214">
        <f t="shared" si="7"/>
        <v>1</v>
      </c>
      <c r="T214" t="s">
        <v>1772</v>
      </c>
      <c r="U214" t="s">
        <v>240</v>
      </c>
      <c r="V214" t="s">
        <v>1658</v>
      </c>
    </row>
    <row r="215" spans="3:22" x14ac:dyDescent="0.25">
      <c r="C215" t="s">
        <v>1547</v>
      </c>
      <c r="D215" s="2" t="s">
        <v>212</v>
      </c>
      <c r="E215" t="s">
        <v>401</v>
      </c>
      <c r="F215" s="1">
        <v>0</v>
      </c>
      <c r="I215" t="str">
        <v>DE0005140008</v>
      </c>
      <c r="J215" t="str">
        <v>Excluded</v>
      </c>
      <c r="K215">
        <v>0</v>
      </c>
      <c r="L215" t="str" cm="1">
        <f t="array" ref="L215">_xlfn.TEXTJOIN(",",TRUE,_xlfn._xlws.FILTER($C$5:$C$1727,($D$5:$D$1727=I215)*($E$5:$E$1727=J215)*($F$5:$F$1727=K215)))</f>
        <v>Global</v>
      </c>
      <c r="M215" t="b">
        <f t="shared" si="6"/>
        <v>1</v>
      </c>
      <c r="N215">
        <f t="shared" si="7"/>
        <v>1</v>
      </c>
      <c r="T215" t="s">
        <v>1773</v>
      </c>
      <c r="U215" t="s">
        <v>24</v>
      </c>
      <c r="V215" t="s">
        <v>1658</v>
      </c>
    </row>
    <row r="216" spans="3:22" x14ac:dyDescent="0.25">
      <c r="C216" t="s">
        <v>1547</v>
      </c>
      <c r="D216" s="2" t="s">
        <v>213</v>
      </c>
      <c r="E216" t="s">
        <v>400</v>
      </c>
      <c r="F216" s="1">
        <v>0</v>
      </c>
      <c r="I216" t="str">
        <v>DE0005158703</v>
      </c>
      <c r="J216" t="str">
        <v>Not included in a theme</v>
      </c>
      <c r="K216">
        <v>0</v>
      </c>
      <c r="L216" t="str" cm="1">
        <f t="array" ref="L216">_xlfn.TEXTJOIN(",",TRUE,_xlfn._xlws.FILTER($C$5:$C$1727,($D$5:$D$1727=I216)*($E$5:$E$1727=J216)*($F$5:$F$1727=K216)))</f>
        <v>EZ</v>
      </c>
      <c r="M216" t="b">
        <f t="shared" si="6"/>
        <v>0</v>
      </c>
      <c r="N216">
        <f t="shared" si="7"/>
        <v>1</v>
      </c>
      <c r="T216" t="s">
        <v>1774</v>
      </c>
      <c r="U216" t="s">
        <v>114</v>
      </c>
      <c r="V216" t="s">
        <v>1658</v>
      </c>
    </row>
    <row r="217" spans="3:22" x14ac:dyDescent="0.25">
      <c r="C217" t="s">
        <v>1547</v>
      </c>
      <c r="D217" s="2" t="s">
        <v>214</v>
      </c>
      <c r="E217" t="s">
        <v>400</v>
      </c>
      <c r="F217" s="1">
        <v>0</v>
      </c>
      <c r="I217" t="str">
        <v>DE0005190003</v>
      </c>
      <c r="J217" t="str">
        <v>Clean transport</v>
      </c>
      <c r="K217">
        <v>0.15</v>
      </c>
      <c r="L217" t="str" cm="1">
        <f t="array" ref="L217">_xlfn.TEXTJOIN(",",TRUE,_xlfn._xlws.FILTER($C$5:$C$1727,($D$5:$D$1727=I217)*($E$5:$E$1727=J217)*($F$5:$F$1727=K217)))</f>
        <v>EZ</v>
      </c>
      <c r="M217" t="b">
        <f t="shared" si="6"/>
        <v>1</v>
      </c>
      <c r="N217">
        <f t="shared" si="7"/>
        <v>1</v>
      </c>
      <c r="T217" t="s">
        <v>1775</v>
      </c>
      <c r="U217" t="s">
        <v>216</v>
      </c>
      <c r="V217" t="s">
        <v>1658</v>
      </c>
    </row>
    <row r="218" spans="3:22" x14ac:dyDescent="0.25">
      <c r="C218" t="s">
        <v>1547</v>
      </c>
      <c r="D218" s="2" t="s">
        <v>215</v>
      </c>
      <c r="E218" t="s">
        <v>404</v>
      </c>
      <c r="F218" s="1">
        <v>0.49</v>
      </c>
      <c r="I218" t="str">
        <v>DE0005190003</v>
      </c>
      <c r="J218" t="str">
        <v>Excluded</v>
      </c>
      <c r="K218">
        <v>0</v>
      </c>
      <c r="L218" t="str" cm="1">
        <f t="array" ref="L218">_xlfn.TEXTJOIN(",",TRUE,_xlfn._xlws.FILTER($C$5:$C$1727,($D$5:$D$1727=I218)*($E$5:$E$1727=J218)*($F$5:$F$1727=K218)))</f>
        <v>Global</v>
      </c>
      <c r="M218" t="b">
        <f t="shared" si="6"/>
        <v>1</v>
      </c>
      <c r="N218">
        <f t="shared" si="7"/>
        <v>1</v>
      </c>
      <c r="T218" t="s">
        <v>1776</v>
      </c>
      <c r="U218" t="s">
        <v>118</v>
      </c>
      <c r="V218" t="s">
        <v>1658</v>
      </c>
    </row>
    <row r="219" spans="3:22" x14ac:dyDescent="0.25">
      <c r="C219" t="s">
        <v>1547</v>
      </c>
      <c r="D219" s="2" t="s">
        <v>216</v>
      </c>
      <c r="E219" t="s">
        <v>401</v>
      </c>
      <c r="F219" s="1">
        <v>0</v>
      </c>
      <c r="I219" t="str">
        <v>DE0005200000</v>
      </c>
      <c r="J219" t="str">
        <v>Not included in a theme</v>
      </c>
      <c r="K219">
        <v>0</v>
      </c>
      <c r="L219" t="str" cm="1">
        <f t="array" ref="L219">_xlfn.TEXTJOIN(",",TRUE,_xlfn._xlws.FILTER($C$5:$C$1727,($D$5:$D$1727=I219)*($E$5:$E$1727=J219)*($F$5:$F$1727=K219)))</f>
        <v>EZ,Global</v>
      </c>
      <c r="M219" t="b">
        <f t="shared" si="6"/>
        <v>0</v>
      </c>
      <c r="N219">
        <f t="shared" si="7"/>
        <v>1</v>
      </c>
      <c r="T219" t="s">
        <v>1777</v>
      </c>
      <c r="U219" t="s">
        <v>270</v>
      </c>
      <c r="V219" t="s">
        <v>1658</v>
      </c>
    </row>
    <row r="220" spans="3:22" x14ac:dyDescent="0.25">
      <c r="C220" t="s">
        <v>1547</v>
      </c>
      <c r="D220" s="2" t="s">
        <v>217</v>
      </c>
      <c r="E220" t="s">
        <v>400</v>
      </c>
      <c r="F220" s="1">
        <v>0</v>
      </c>
      <c r="I220" t="str">
        <v>DE0005220008</v>
      </c>
      <c r="J220" t="str">
        <v>Excluded</v>
      </c>
      <c r="K220">
        <v>0</v>
      </c>
      <c r="L220" t="str" cm="1">
        <f t="array" ref="L220">_xlfn.TEXTJOIN(",",TRUE,_xlfn._xlws.FILTER($C$5:$C$1727,($D$5:$D$1727=I220)*($E$5:$E$1727=J220)*($F$5:$F$1727=K220)))</f>
        <v>EZ</v>
      </c>
      <c r="M220" t="b">
        <f t="shared" si="6"/>
        <v>0</v>
      </c>
      <c r="N220">
        <f t="shared" si="7"/>
        <v>0</v>
      </c>
      <c r="T220" t="s">
        <v>1778</v>
      </c>
      <c r="U220" t="s">
        <v>176</v>
      </c>
      <c r="V220" t="s">
        <v>1658</v>
      </c>
    </row>
    <row r="221" spans="3:22" x14ac:dyDescent="0.25">
      <c r="C221" t="s">
        <v>1547</v>
      </c>
      <c r="D221" s="2" t="s">
        <v>218</v>
      </c>
      <c r="E221" t="s">
        <v>400</v>
      </c>
      <c r="F221" s="1">
        <v>0</v>
      </c>
      <c r="I221" t="str">
        <v>DE0005313704</v>
      </c>
      <c r="J221" t="str">
        <v>Excluded</v>
      </c>
      <c r="K221">
        <v>0</v>
      </c>
      <c r="L221" t="str" cm="1">
        <f t="array" ref="L221">_xlfn.TEXTJOIN(",",TRUE,_xlfn._xlws.FILTER($C$5:$C$1727,($D$5:$D$1727=I221)*($E$5:$E$1727=J221)*($F$5:$F$1727=K221)))</f>
        <v>EZ</v>
      </c>
      <c r="M221" t="b">
        <f t="shared" si="6"/>
        <v>0</v>
      </c>
      <c r="N221">
        <f t="shared" si="7"/>
        <v>0</v>
      </c>
      <c r="T221" t="s">
        <v>1779</v>
      </c>
      <c r="U221" t="s">
        <v>212</v>
      </c>
      <c r="V221" t="s">
        <v>1658</v>
      </c>
    </row>
    <row r="222" spans="3:22" x14ac:dyDescent="0.25">
      <c r="C222" t="s">
        <v>1547</v>
      </c>
      <c r="D222" s="2" t="s">
        <v>219</v>
      </c>
      <c r="E222" t="s">
        <v>400</v>
      </c>
      <c r="F222" s="1">
        <v>0</v>
      </c>
      <c r="I222" t="str">
        <v>DE0005439004</v>
      </c>
      <c r="J222" t="str">
        <v>Excluded</v>
      </c>
      <c r="K222">
        <v>0</v>
      </c>
      <c r="L222" t="str" cm="1">
        <f t="array" ref="L222">_xlfn.TEXTJOIN(",",TRUE,_xlfn._xlws.FILTER($C$5:$C$1727,($D$5:$D$1727=I222)*($E$5:$E$1727=J222)*($F$5:$F$1727=K222)))</f>
        <v>EZ,Global</v>
      </c>
      <c r="M222" t="b">
        <f t="shared" si="6"/>
        <v>0</v>
      </c>
      <c r="N222">
        <f t="shared" si="7"/>
        <v>1</v>
      </c>
      <c r="T222" t="s">
        <v>1780</v>
      </c>
      <c r="U222" t="s">
        <v>82</v>
      </c>
      <c r="V222" t="s">
        <v>1658</v>
      </c>
    </row>
    <row r="223" spans="3:22" x14ac:dyDescent="0.25">
      <c r="C223" t="s">
        <v>1547</v>
      </c>
      <c r="D223" s="2" t="s">
        <v>220</v>
      </c>
      <c r="E223" t="s">
        <v>400</v>
      </c>
      <c r="F223" s="1">
        <v>0</v>
      </c>
      <c r="I223" t="str">
        <v>DE0005470306</v>
      </c>
      <c r="J223" t="str">
        <v>Not included in a theme</v>
      </c>
      <c r="K223">
        <v>0</v>
      </c>
      <c r="L223" t="str" cm="1">
        <f t="array" ref="L223">_xlfn.TEXTJOIN(",",TRUE,_xlfn._xlws.FILTER($C$5:$C$1727,($D$5:$D$1727=I223)*($E$5:$E$1727=J223)*($F$5:$F$1727=K223)))</f>
        <v>EZ</v>
      </c>
      <c r="M223" t="b">
        <f t="shared" si="6"/>
        <v>0</v>
      </c>
      <c r="N223">
        <f t="shared" si="7"/>
        <v>1</v>
      </c>
      <c r="T223" t="s">
        <v>1781</v>
      </c>
      <c r="U223" t="s">
        <v>25</v>
      </c>
      <c r="V223" t="s">
        <v>1658</v>
      </c>
    </row>
    <row r="224" spans="3:22" x14ac:dyDescent="0.25">
      <c r="C224" t="s">
        <v>1547</v>
      </c>
      <c r="D224" s="2" t="s">
        <v>221</v>
      </c>
      <c r="E224" t="s">
        <v>400</v>
      </c>
      <c r="F224" s="1">
        <v>0</v>
      </c>
      <c r="I224" t="str">
        <v>DE0005545503</v>
      </c>
      <c r="J224" t="str">
        <v>Not included in a theme</v>
      </c>
      <c r="K224">
        <v>0</v>
      </c>
      <c r="L224" t="str" cm="1">
        <f t="array" ref="L224">_xlfn.TEXTJOIN(",",TRUE,_xlfn._xlws.FILTER($C$5:$C$1727,($D$5:$D$1727=I224)*($E$5:$E$1727=J224)*($F$5:$F$1727=K224)))</f>
        <v>EZ</v>
      </c>
      <c r="M224" t="b">
        <f t="shared" si="6"/>
        <v>0</v>
      </c>
      <c r="N224">
        <f t="shared" si="7"/>
        <v>0</v>
      </c>
      <c r="T224" t="s">
        <v>1782</v>
      </c>
      <c r="U224" t="s">
        <v>151</v>
      </c>
      <c r="V224" t="s">
        <v>1658</v>
      </c>
    </row>
    <row r="225" spans="3:22" x14ac:dyDescent="0.25">
      <c r="C225" t="s">
        <v>1547</v>
      </c>
      <c r="D225" s="2" t="s">
        <v>222</v>
      </c>
      <c r="E225" t="s">
        <v>400</v>
      </c>
      <c r="F225" s="1">
        <v>0</v>
      </c>
      <c r="I225" t="str">
        <v>DE0005552004</v>
      </c>
      <c r="J225" t="str">
        <v>Not included in a theme</v>
      </c>
      <c r="K225">
        <v>0</v>
      </c>
      <c r="L225" t="str" cm="1">
        <f t="array" ref="L225">_xlfn.TEXTJOIN(",",TRUE,_xlfn._xlws.FILTER($C$5:$C$1727,($D$5:$D$1727=I225)*($E$5:$E$1727=J225)*($F$5:$F$1727=K225)))</f>
        <v>EZ,Global</v>
      </c>
      <c r="M225" t="b">
        <f t="shared" si="6"/>
        <v>0</v>
      </c>
      <c r="N225">
        <f t="shared" si="7"/>
        <v>1</v>
      </c>
      <c r="T225" t="s">
        <v>1783</v>
      </c>
      <c r="U225" t="s">
        <v>107</v>
      </c>
      <c r="V225" t="s">
        <v>1658</v>
      </c>
    </row>
    <row r="226" spans="3:22" x14ac:dyDescent="0.25">
      <c r="C226" t="s">
        <v>1547</v>
      </c>
      <c r="D226" s="2" t="s">
        <v>223</v>
      </c>
      <c r="E226" t="s">
        <v>400</v>
      </c>
      <c r="F226" s="1">
        <v>0</v>
      </c>
      <c r="I226" t="str">
        <v>DE0005557508</v>
      </c>
      <c r="J226" t="str">
        <v>Not included in a theme</v>
      </c>
      <c r="K226">
        <v>0</v>
      </c>
      <c r="L226" t="str" cm="1">
        <f t="array" ref="L226">_xlfn.TEXTJOIN(",",TRUE,_xlfn._xlws.FILTER($C$5:$C$1727,($D$5:$D$1727=I226)*($E$5:$E$1727=J226)*($F$5:$F$1727=K226)))</f>
        <v>EZ,Global</v>
      </c>
      <c r="M226" t="b">
        <f t="shared" si="6"/>
        <v>0</v>
      </c>
      <c r="N226">
        <f t="shared" si="7"/>
        <v>1</v>
      </c>
      <c r="T226" t="s">
        <v>1784</v>
      </c>
      <c r="U226" t="s">
        <v>44</v>
      </c>
      <c r="V226" t="s">
        <v>1658</v>
      </c>
    </row>
    <row r="227" spans="3:22" x14ac:dyDescent="0.25">
      <c r="C227" t="s">
        <v>1547</v>
      </c>
      <c r="D227" s="2" t="s">
        <v>224</v>
      </c>
      <c r="E227" t="s">
        <v>400</v>
      </c>
      <c r="F227" s="1">
        <v>0</v>
      </c>
      <c r="I227" t="str">
        <v>DE0005772206</v>
      </c>
      <c r="J227" t="str">
        <v>Excluded</v>
      </c>
      <c r="K227">
        <v>0</v>
      </c>
      <c r="L227" t="str" cm="1">
        <f t="array" ref="L227">_xlfn.TEXTJOIN(",",TRUE,_xlfn._xlws.FILTER($C$5:$C$1727,($D$5:$D$1727=I227)*($E$5:$E$1727=J227)*($F$5:$F$1727=K227)))</f>
        <v>EZ</v>
      </c>
      <c r="M227" t="b">
        <f t="shared" si="6"/>
        <v>0</v>
      </c>
      <c r="N227">
        <f t="shared" si="7"/>
        <v>0</v>
      </c>
      <c r="T227" t="s">
        <v>1785</v>
      </c>
      <c r="U227" t="s">
        <v>139</v>
      </c>
      <c r="V227" t="s">
        <v>1658</v>
      </c>
    </row>
    <row r="228" spans="3:22" x14ac:dyDescent="0.25">
      <c r="C228" t="s">
        <v>1547</v>
      </c>
      <c r="D228" s="2" t="s">
        <v>225</v>
      </c>
      <c r="E228" t="s">
        <v>401</v>
      </c>
      <c r="F228" s="1">
        <v>0</v>
      </c>
      <c r="I228" t="str">
        <v>DE0005773303</v>
      </c>
      <c r="J228" t="str">
        <v>Not included in a theme</v>
      </c>
      <c r="K228">
        <v>0</v>
      </c>
      <c r="L228" t="str" cm="1">
        <f t="array" ref="L228">_xlfn.TEXTJOIN(",",TRUE,_xlfn._xlws.FILTER($C$5:$C$1727,($D$5:$D$1727=I228)*($E$5:$E$1727=J228)*($F$5:$F$1727=K228)))</f>
        <v>EZ</v>
      </c>
      <c r="M228" t="b">
        <f t="shared" si="6"/>
        <v>0</v>
      </c>
      <c r="N228">
        <f t="shared" si="7"/>
        <v>1</v>
      </c>
      <c r="T228" t="s">
        <v>1786</v>
      </c>
      <c r="U228" t="s">
        <v>234</v>
      </c>
      <c r="V228" t="s">
        <v>1658</v>
      </c>
    </row>
    <row r="229" spans="3:22" x14ac:dyDescent="0.25">
      <c r="C229" t="s">
        <v>1547</v>
      </c>
      <c r="D229" s="2" t="s">
        <v>226</v>
      </c>
      <c r="E229" t="s">
        <v>401</v>
      </c>
      <c r="F229" s="1">
        <v>0</v>
      </c>
      <c r="I229" t="str">
        <v>DE0005785604</v>
      </c>
      <c r="J229" t="str">
        <v>Not included in a theme</v>
      </c>
      <c r="K229">
        <v>0</v>
      </c>
      <c r="L229" t="str" cm="1">
        <f t="array" ref="L229">_xlfn.TEXTJOIN(",",TRUE,_xlfn._xlws.FILTER($C$5:$C$1727,($D$5:$D$1727=I229)*($E$5:$E$1727=J229)*($F$5:$F$1727=K229)))</f>
        <v>EZ,Global</v>
      </c>
      <c r="M229" t="b">
        <f t="shared" si="6"/>
        <v>0</v>
      </c>
      <c r="N229">
        <f t="shared" si="7"/>
        <v>1</v>
      </c>
      <c r="T229" t="s">
        <v>1787</v>
      </c>
      <c r="U229" t="s">
        <v>186</v>
      </c>
      <c r="V229" t="s">
        <v>1658</v>
      </c>
    </row>
    <row r="230" spans="3:22" x14ac:dyDescent="0.25">
      <c r="C230" t="s">
        <v>1547</v>
      </c>
      <c r="D230" s="2" t="s">
        <v>227</v>
      </c>
      <c r="E230" t="s">
        <v>401</v>
      </c>
      <c r="F230" s="1">
        <v>0</v>
      </c>
      <c r="I230" t="str">
        <v>DE0005785802</v>
      </c>
      <c r="J230" t="str">
        <v>Not included in a theme</v>
      </c>
      <c r="K230">
        <v>0</v>
      </c>
      <c r="L230" t="str" cm="1">
        <f t="array" ref="L230">_xlfn.TEXTJOIN(",",TRUE,_xlfn._xlws.FILTER($C$5:$C$1727,($D$5:$D$1727=I230)*($E$5:$E$1727=J230)*($F$5:$F$1727=K230)))</f>
        <v>EZ,Global</v>
      </c>
      <c r="M230" t="b">
        <f t="shared" si="6"/>
        <v>0</v>
      </c>
      <c r="N230">
        <f t="shared" si="7"/>
        <v>1</v>
      </c>
      <c r="T230" t="s">
        <v>1788</v>
      </c>
      <c r="U230" t="s">
        <v>279</v>
      </c>
      <c r="V230" t="s">
        <v>1658</v>
      </c>
    </row>
    <row r="231" spans="3:22" x14ac:dyDescent="0.25">
      <c r="C231" t="s">
        <v>1547</v>
      </c>
      <c r="D231" s="2" t="s">
        <v>228</v>
      </c>
      <c r="E231" t="s">
        <v>405</v>
      </c>
      <c r="F231" s="1">
        <v>0.64</v>
      </c>
      <c r="I231" t="str">
        <v>DE0005810055</v>
      </c>
      <c r="J231" t="str">
        <v>Not included in a theme</v>
      </c>
      <c r="K231">
        <v>0</v>
      </c>
      <c r="L231" t="str" cm="1">
        <f t="array" ref="L231">_xlfn.TEXTJOIN(",",TRUE,_xlfn._xlws.FILTER($C$5:$C$1727,($D$5:$D$1727=I231)*($E$5:$E$1727=J231)*($F$5:$F$1727=K231)))</f>
        <v>EZ,Global</v>
      </c>
      <c r="M231" t="b">
        <f t="shared" si="6"/>
        <v>0</v>
      </c>
      <c r="N231">
        <f t="shared" si="7"/>
        <v>1</v>
      </c>
      <c r="T231" t="s">
        <v>1789</v>
      </c>
      <c r="U231" t="s">
        <v>1545</v>
      </c>
      <c r="V231" t="s">
        <v>1652</v>
      </c>
    </row>
    <row r="232" spans="3:22" x14ac:dyDescent="0.25">
      <c r="C232" t="s">
        <v>1547</v>
      </c>
      <c r="D232" s="2" t="s">
        <v>229</v>
      </c>
      <c r="E232" t="s">
        <v>401</v>
      </c>
      <c r="F232" s="1">
        <v>0</v>
      </c>
      <c r="I232" t="str">
        <v>DE0005909006</v>
      </c>
      <c r="J232" t="str">
        <v>Excluded</v>
      </c>
      <c r="K232">
        <v>0</v>
      </c>
      <c r="L232" t="str" cm="1">
        <f t="array" ref="L232">_xlfn.TEXTJOIN(",",TRUE,_xlfn._xlws.FILTER($C$5:$C$1727,($D$5:$D$1727=I232)*($E$5:$E$1727=J232)*($F$5:$F$1727=K232)))</f>
        <v>EZ</v>
      </c>
      <c r="M232" t="b">
        <f t="shared" si="6"/>
        <v>0</v>
      </c>
      <c r="N232">
        <f t="shared" si="7"/>
        <v>0</v>
      </c>
    </row>
    <row r="233" spans="3:22" x14ac:dyDescent="0.25">
      <c r="C233" t="s">
        <v>1547</v>
      </c>
      <c r="D233" s="2" t="s">
        <v>230</v>
      </c>
      <c r="E233" t="s">
        <v>400</v>
      </c>
      <c r="F233" s="1">
        <v>0</v>
      </c>
      <c r="I233" t="str">
        <v>DE0006047004</v>
      </c>
      <c r="J233" t="str">
        <v>Excluded</v>
      </c>
      <c r="K233">
        <v>0</v>
      </c>
      <c r="L233" t="str" cm="1">
        <f t="array" ref="L233">_xlfn.TEXTJOIN(",",TRUE,_xlfn._xlws.FILTER($C$5:$C$1727,($D$5:$D$1727=I233)*($E$5:$E$1727=J233)*($F$5:$F$1727=K233)))</f>
        <v>EZ,Global</v>
      </c>
      <c r="M233" t="b">
        <f t="shared" si="6"/>
        <v>0</v>
      </c>
      <c r="N233">
        <f t="shared" si="7"/>
        <v>1</v>
      </c>
    </row>
    <row r="234" spans="3:22" x14ac:dyDescent="0.25">
      <c r="C234" t="s">
        <v>1547</v>
      </c>
      <c r="D234" s="2" t="s">
        <v>231</v>
      </c>
      <c r="E234" t="s">
        <v>400</v>
      </c>
      <c r="F234" s="1">
        <v>0</v>
      </c>
      <c r="I234" t="str">
        <v>DE0006048432</v>
      </c>
      <c r="J234" t="str">
        <v>Not included in a theme</v>
      </c>
      <c r="K234">
        <v>0</v>
      </c>
      <c r="L234" t="str" cm="1">
        <f t="array" ref="L234">_xlfn.TEXTJOIN(",",TRUE,_xlfn._xlws.FILTER($C$5:$C$1727,($D$5:$D$1727=I234)*($E$5:$E$1727=J234)*($F$5:$F$1727=K234)))</f>
        <v>EZ,Global</v>
      </c>
      <c r="M234" t="b">
        <f t="shared" si="6"/>
        <v>0</v>
      </c>
      <c r="N234">
        <f t="shared" si="7"/>
        <v>1</v>
      </c>
    </row>
    <row r="235" spans="3:22" x14ac:dyDescent="0.25">
      <c r="C235" t="s">
        <v>1547</v>
      </c>
      <c r="D235" s="2" t="s">
        <v>232</v>
      </c>
      <c r="E235" t="s">
        <v>400</v>
      </c>
      <c r="F235" s="1">
        <v>0</v>
      </c>
      <c r="I235" t="str">
        <v>DE0006062144</v>
      </c>
      <c r="J235" t="str">
        <v>Eco-efficient industries</v>
      </c>
      <c r="K235">
        <v>0.3</v>
      </c>
      <c r="L235" t="str" cm="1">
        <f t="array" ref="L235">_xlfn.TEXTJOIN(",",TRUE,_xlfn._xlws.FILTER($C$5:$C$1727,($D$5:$D$1727=I235)*($E$5:$E$1727=J235)*($F$5:$F$1727=K235)))</f>
        <v>EZ,Global</v>
      </c>
      <c r="M235" t="b">
        <f t="shared" si="6"/>
        <v>0</v>
      </c>
      <c r="N235">
        <f t="shared" si="7"/>
        <v>0</v>
      </c>
    </row>
    <row r="236" spans="3:22" x14ac:dyDescent="0.25">
      <c r="C236" t="s">
        <v>1547</v>
      </c>
      <c r="D236" s="2" t="s">
        <v>233</v>
      </c>
      <c r="E236" t="s">
        <v>404</v>
      </c>
      <c r="F236" s="1">
        <v>0.35</v>
      </c>
      <c r="I236" t="str">
        <v>DE0006070006</v>
      </c>
      <c r="J236" t="str">
        <v>Ecoconstruction</v>
      </c>
      <c r="K236">
        <v>0.25</v>
      </c>
      <c r="L236" t="str" cm="1">
        <f t="array" ref="L236">_xlfn.TEXTJOIN(",",TRUE,_xlfn._xlws.FILTER($C$5:$C$1727,($D$5:$D$1727=I236)*($E$5:$E$1727=J236)*($F$5:$F$1727=K236)))</f>
        <v>EZ</v>
      </c>
      <c r="M236" t="b">
        <f t="shared" si="6"/>
        <v>0</v>
      </c>
      <c r="N236">
        <f t="shared" si="7"/>
        <v>0</v>
      </c>
    </row>
    <row r="237" spans="3:22" x14ac:dyDescent="0.25">
      <c r="C237" t="s">
        <v>1547</v>
      </c>
      <c r="D237" s="2" t="s">
        <v>234</v>
      </c>
      <c r="E237" t="s">
        <v>401</v>
      </c>
      <c r="F237" s="1">
        <v>0</v>
      </c>
      <c r="I237" t="str">
        <v>DE0006231004</v>
      </c>
      <c r="J237" t="str">
        <v>Information technology</v>
      </c>
      <c r="K237">
        <v>0.34</v>
      </c>
      <c r="L237" t="str" cm="1">
        <f t="array" ref="L237">_xlfn.TEXTJOIN(",",TRUE,_xlfn._xlws.FILTER($C$5:$C$1727,($D$5:$D$1727=I237)*($E$5:$E$1727=J237)*($F$5:$F$1727=K237)))</f>
        <v>EZ,Global</v>
      </c>
      <c r="M237" t="b">
        <f t="shared" si="6"/>
        <v>0</v>
      </c>
      <c r="N237">
        <f t="shared" si="7"/>
        <v>1</v>
      </c>
    </row>
    <row r="238" spans="3:22" x14ac:dyDescent="0.25">
      <c r="C238" t="s">
        <v>1547</v>
      </c>
      <c r="D238" s="2" t="s">
        <v>235</v>
      </c>
      <c r="E238" t="s">
        <v>401</v>
      </c>
      <c r="F238" s="1">
        <v>0</v>
      </c>
      <c r="I238" t="str">
        <v>DE0006335003</v>
      </c>
      <c r="J238" t="str">
        <v>Eco-efficient industries</v>
      </c>
      <c r="K238">
        <v>0.16</v>
      </c>
      <c r="L238" t="str" cm="1">
        <f t="array" ref="L238">_xlfn.TEXTJOIN(",",TRUE,_xlfn._xlws.FILTER($C$5:$C$1727,($D$5:$D$1727=I238)*($E$5:$E$1727=J238)*($F$5:$F$1727=K238)))</f>
        <v>EZ</v>
      </c>
      <c r="M238" t="b">
        <f t="shared" si="6"/>
        <v>0</v>
      </c>
      <c r="N238">
        <f t="shared" si="7"/>
        <v>0</v>
      </c>
    </row>
    <row r="239" spans="3:22" x14ac:dyDescent="0.25">
      <c r="C239" t="s">
        <v>1547</v>
      </c>
      <c r="D239" s="2" t="s">
        <v>236</v>
      </c>
      <c r="E239" t="s">
        <v>400</v>
      </c>
      <c r="F239" s="1">
        <v>0</v>
      </c>
      <c r="I239" t="str">
        <v>DE0006452907</v>
      </c>
      <c r="J239" t="str">
        <v>Ecoconstruction</v>
      </c>
      <c r="K239">
        <v>0.18</v>
      </c>
      <c r="L239" t="str" cm="1">
        <f t="array" ref="L239">_xlfn.TEXTJOIN(",",TRUE,_xlfn._xlws.FILTER($C$5:$C$1727,($D$5:$D$1727=I239)*($E$5:$E$1727=J239)*($F$5:$F$1727=K239)))</f>
        <v>EZ,Global</v>
      </c>
      <c r="M239" t="b">
        <f t="shared" si="6"/>
        <v>0</v>
      </c>
      <c r="N239">
        <f t="shared" si="7"/>
        <v>1</v>
      </c>
    </row>
    <row r="240" spans="3:22" x14ac:dyDescent="0.25">
      <c r="C240" t="s">
        <v>1547</v>
      </c>
      <c r="D240" s="2" t="s">
        <v>237</v>
      </c>
      <c r="E240" t="s">
        <v>403</v>
      </c>
      <c r="F240" s="1">
        <v>0.53</v>
      </c>
      <c r="I240" t="str">
        <v>DE0006599905</v>
      </c>
      <c r="J240" t="str">
        <v>Not included in a theme</v>
      </c>
      <c r="K240">
        <v>0</v>
      </c>
      <c r="L240" t="str" cm="1">
        <f t="array" ref="L240">_xlfn.TEXTJOIN(",",TRUE,_xlfn._xlws.FILTER($C$5:$C$1727,($D$5:$D$1727=I240)*($E$5:$E$1727=J240)*($F$5:$F$1727=K240)))</f>
        <v>EZ,Global</v>
      </c>
      <c r="M240" t="b">
        <f t="shared" si="6"/>
        <v>0</v>
      </c>
      <c r="N240">
        <f t="shared" si="7"/>
        <v>1</v>
      </c>
    </row>
    <row r="241" spans="3:14" x14ac:dyDescent="0.25">
      <c r="C241" t="s">
        <v>1547</v>
      </c>
      <c r="D241" s="2" t="s">
        <v>238</v>
      </c>
      <c r="E241" t="s">
        <v>404</v>
      </c>
      <c r="F241" s="1">
        <v>0.52</v>
      </c>
      <c r="I241" t="str">
        <v>DE0006602006</v>
      </c>
      <c r="J241" t="str">
        <v>Eco-efficient industries</v>
      </c>
      <c r="K241">
        <v>1</v>
      </c>
      <c r="L241" t="str" cm="1">
        <f t="array" ref="L241">_xlfn.TEXTJOIN(",",TRUE,_xlfn._xlws.FILTER($C$5:$C$1727,($D$5:$D$1727=I241)*($E$5:$E$1727=J241)*($F$5:$F$1727=K241)))</f>
        <v>EZ,Global</v>
      </c>
      <c r="M241" t="b">
        <f t="shared" si="6"/>
        <v>0</v>
      </c>
      <c r="N241">
        <f t="shared" si="7"/>
        <v>1</v>
      </c>
    </row>
    <row r="242" spans="3:14" x14ac:dyDescent="0.25">
      <c r="C242" t="s">
        <v>1547</v>
      </c>
      <c r="D242" s="2" t="s">
        <v>239</v>
      </c>
      <c r="E242" t="s">
        <v>403</v>
      </c>
      <c r="F242" s="1">
        <v>0.44</v>
      </c>
      <c r="I242" t="str">
        <v>DE0006766504</v>
      </c>
      <c r="J242" t="str">
        <v>Eco-efficient industries</v>
      </c>
      <c r="K242">
        <v>1</v>
      </c>
      <c r="L242" t="str" cm="1">
        <f t="array" ref="L242">_xlfn.TEXTJOIN(",",TRUE,_xlfn._xlws.FILTER($C$5:$C$1727,($D$5:$D$1727=I242)*($E$5:$E$1727=J242)*($F$5:$F$1727=K242)))</f>
        <v>EZ</v>
      </c>
      <c r="M242" t="b">
        <f t="shared" si="6"/>
        <v>0</v>
      </c>
      <c r="N242">
        <f t="shared" si="7"/>
        <v>1</v>
      </c>
    </row>
    <row r="243" spans="3:14" x14ac:dyDescent="0.25">
      <c r="C243" t="s">
        <v>1547</v>
      </c>
      <c r="D243" s="2" t="s">
        <v>240</v>
      </c>
      <c r="E243" t="s">
        <v>400</v>
      </c>
      <c r="F243" s="1">
        <v>0</v>
      </c>
      <c r="I243" t="str">
        <v>DE0006969603</v>
      </c>
      <c r="J243" t="str">
        <v>Excluded</v>
      </c>
      <c r="K243">
        <v>0</v>
      </c>
      <c r="L243" t="str" cm="1">
        <f t="array" ref="L243">_xlfn.TEXTJOIN(",",TRUE,_xlfn._xlws.FILTER($C$5:$C$1727,($D$5:$D$1727=I243)*($E$5:$E$1727=J243)*($F$5:$F$1727=K243)))</f>
        <v>EZ</v>
      </c>
      <c r="M243" t="b">
        <f t="shared" si="6"/>
        <v>0</v>
      </c>
      <c r="N243">
        <f t="shared" si="7"/>
        <v>0</v>
      </c>
    </row>
    <row r="244" spans="3:14" x14ac:dyDescent="0.25">
      <c r="C244" t="s">
        <v>1547</v>
      </c>
      <c r="D244" s="2" t="s">
        <v>241</v>
      </c>
      <c r="E244" t="s">
        <v>407</v>
      </c>
      <c r="F244" s="1">
        <v>1</v>
      </c>
      <c r="I244" t="str">
        <v>DE0007010803</v>
      </c>
      <c r="J244" t="str">
        <v>Excluded</v>
      </c>
      <c r="K244">
        <v>0</v>
      </c>
      <c r="L244" t="str" cm="1">
        <f t="array" ref="L244">_xlfn.TEXTJOIN(",",TRUE,_xlfn._xlws.FILTER($C$5:$C$1727,($D$5:$D$1727=I244)*($E$5:$E$1727=J244)*($F$5:$F$1727=K244)))</f>
        <v>EZ</v>
      </c>
      <c r="M244" t="b">
        <f t="shared" si="6"/>
        <v>0</v>
      </c>
      <c r="N244">
        <f t="shared" si="7"/>
        <v>1</v>
      </c>
    </row>
    <row r="245" spans="3:14" x14ac:dyDescent="0.25">
      <c r="C245" t="s">
        <v>1547</v>
      </c>
      <c r="D245" s="2" t="s">
        <v>242</v>
      </c>
      <c r="E245" t="s">
        <v>400</v>
      </c>
      <c r="F245" s="1">
        <v>0</v>
      </c>
      <c r="I245" t="str">
        <v>DE0007030009</v>
      </c>
      <c r="J245" t="str">
        <v>Excluded</v>
      </c>
      <c r="K245">
        <v>0</v>
      </c>
      <c r="L245" t="str" cm="1">
        <f t="array" ref="L245">_xlfn.TEXTJOIN(",",TRUE,_xlfn._xlws.FILTER($C$5:$C$1727,($D$5:$D$1727=I245)*($E$5:$E$1727=J245)*($F$5:$F$1727=K245)))</f>
        <v>EZ,Global</v>
      </c>
      <c r="M245" t="b">
        <f t="shared" si="6"/>
        <v>0</v>
      </c>
      <c r="N245">
        <f t="shared" si="7"/>
        <v>0</v>
      </c>
    </row>
    <row r="246" spans="3:14" x14ac:dyDescent="0.25">
      <c r="C246" t="s">
        <v>1547</v>
      </c>
      <c r="D246" s="2" t="s">
        <v>243</v>
      </c>
      <c r="E246" t="s">
        <v>401</v>
      </c>
      <c r="F246" s="1">
        <v>0</v>
      </c>
      <c r="I246" t="str">
        <v>DE0007037129</v>
      </c>
      <c r="J246" t="str">
        <v>Excluded</v>
      </c>
      <c r="K246">
        <v>0</v>
      </c>
      <c r="L246" t="str" cm="1">
        <f t="array" ref="L246">_xlfn.TEXTJOIN(",",TRUE,_xlfn._xlws.FILTER($C$5:$C$1727,($D$5:$D$1727=I246)*($E$5:$E$1727=J246)*($F$5:$F$1727=K246)))</f>
        <v>EZ,Global</v>
      </c>
      <c r="M246" t="b">
        <f t="shared" si="6"/>
        <v>0</v>
      </c>
      <c r="N246">
        <f t="shared" si="7"/>
        <v>0</v>
      </c>
    </row>
    <row r="247" spans="3:14" x14ac:dyDescent="0.25">
      <c r="C247" t="s">
        <v>1547</v>
      </c>
      <c r="D247" s="2" t="s">
        <v>244</v>
      </c>
      <c r="E247" t="s">
        <v>400</v>
      </c>
      <c r="F247" s="1">
        <v>0</v>
      </c>
      <c r="I247" t="str">
        <v>DE0007100000</v>
      </c>
      <c r="J247" t="str">
        <v>Clean transport</v>
      </c>
      <c r="K247">
        <v>0.19</v>
      </c>
      <c r="L247" t="str" cm="1">
        <f t="array" ref="L247">_xlfn.TEXTJOIN(",",TRUE,_xlfn._xlws.FILTER($C$5:$C$1727,($D$5:$D$1727=I247)*($E$5:$E$1727=J247)*($F$5:$F$1727=K247)))</f>
        <v>EZ</v>
      </c>
      <c r="M247" t="b">
        <f t="shared" si="6"/>
        <v>1</v>
      </c>
      <c r="N247">
        <f t="shared" si="7"/>
        <v>1</v>
      </c>
    </row>
    <row r="248" spans="3:14" x14ac:dyDescent="0.25">
      <c r="C248" t="s">
        <v>1547</v>
      </c>
      <c r="D248" s="2" t="s">
        <v>245</v>
      </c>
      <c r="E248" t="s">
        <v>400</v>
      </c>
      <c r="F248" s="1">
        <v>0</v>
      </c>
      <c r="I248" t="str">
        <v>DE0007100000</v>
      </c>
      <c r="J248" t="str">
        <v>Excluded</v>
      </c>
      <c r="K248">
        <v>0</v>
      </c>
      <c r="L248" t="str" cm="1">
        <f t="array" ref="L248">_xlfn.TEXTJOIN(",",TRUE,_xlfn._xlws.FILTER($C$5:$C$1727,($D$5:$D$1727=I248)*($E$5:$E$1727=J248)*($F$5:$F$1727=K248)))</f>
        <v>Global</v>
      </c>
      <c r="M248" t="b">
        <f t="shared" si="6"/>
        <v>1</v>
      </c>
      <c r="N248">
        <f t="shared" si="7"/>
        <v>1</v>
      </c>
    </row>
    <row r="249" spans="3:14" x14ac:dyDescent="0.25">
      <c r="C249" t="s">
        <v>1547</v>
      </c>
      <c r="D249" s="2" t="s">
        <v>246</v>
      </c>
      <c r="E249" t="s">
        <v>406</v>
      </c>
      <c r="F249" s="1">
        <v>1</v>
      </c>
      <c r="I249" t="str">
        <v>DE0007164600</v>
      </c>
      <c r="J249" t="str">
        <v>Information technology</v>
      </c>
      <c r="K249">
        <v>1</v>
      </c>
      <c r="L249" t="str" cm="1">
        <f t="array" ref="L249">_xlfn.TEXTJOIN(",",TRUE,_xlfn._xlws.FILTER($C$5:$C$1727,($D$5:$D$1727=I249)*($E$5:$E$1727=J249)*($F$5:$F$1727=K249)))</f>
        <v>EZ,Global</v>
      </c>
      <c r="M249" t="b">
        <f t="shared" si="6"/>
        <v>0</v>
      </c>
      <c r="N249">
        <f t="shared" si="7"/>
        <v>1</v>
      </c>
    </row>
    <row r="250" spans="3:14" x14ac:dyDescent="0.25">
      <c r="C250" t="s">
        <v>1547</v>
      </c>
      <c r="D250" s="2" t="s">
        <v>247</v>
      </c>
      <c r="E250" t="s">
        <v>400</v>
      </c>
      <c r="F250" s="1">
        <v>0</v>
      </c>
      <c r="I250" t="str">
        <v>DE0007165631</v>
      </c>
      <c r="J250" t="str">
        <v>Excluded</v>
      </c>
      <c r="K250">
        <v>0</v>
      </c>
      <c r="L250" t="str" cm="1">
        <f t="array" ref="L250">_xlfn.TEXTJOIN(",",TRUE,_xlfn._xlws.FILTER($C$5:$C$1727,($D$5:$D$1727=I250)*($E$5:$E$1727=J250)*($F$5:$F$1727=K250)))</f>
        <v>EZ,Global</v>
      </c>
      <c r="M250" t="b">
        <f t="shared" si="6"/>
        <v>0</v>
      </c>
      <c r="N250">
        <f t="shared" si="7"/>
        <v>1</v>
      </c>
    </row>
    <row r="251" spans="3:14" x14ac:dyDescent="0.25">
      <c r="C251" t="s">
        <v>1547</v>
      </c>
      <c r="D251" s="2" t="s">
        <v>248</v>
      </c>
      <c r="E251" t="s">
        <v>400</v>
      </c>
      <c r="F251" s="1">
        <v>0</v>
      </c>
      <c r="I251" t="str">
        <v>DE0007231326</v>
      </c>
      <c r="J251" t="str">
        <v>Excluded</v>
      </c>
      <c r="K251">
        <v>0</v>
      </c>
      <c r="L251" t="str" cm="1">
        <f t="array" ref="L251">_xlfn.TEXTJOIN(",",TRUE,_xlfn._xlws.FILTER($C$5:$C$1727,($D$5:$D$1727=I251)*($E$5:$E$1727=J251)*($F$5:$F$1727=K251)))</f>
        <v>EZ</v>
      </c>
      <c r="M251" t="b">
        <f t="shared" si="6"/>
        <v>0</v>
      </c>
      <c r="N251">
        <f t="shared" si="7"/>
        <v>0</v>
      </c>
    </row>
    <row r="252" spans="3:14" x14ac:dyDescent="0.25">
      <c r="C252" t="s">
        <v>1547</v>
      </c>
      <c r="D252" s="2" t="s">
        <v>249</v>
      </c>
      <c r="E252" t="s">
        <v>402</v>
      </c>
      <c r="F252" s="1">
        <v>0.86</v>
      </c>
      <c r="I252" t="str">
        <v>DE0007236101</v>
      </c>
      <c r="J252" t="str">
        <v>Ecoconstruction</v>
      </c>
      <c r="K252">
        <v>0.73</v>
      </c>
      <c r="L252" t="str" cm="1">
        <f t="array" ref="L252">_xlfn.TEXTJOIN(",",TRUE,_xlfn._xlws.FILTER($C$5:$C$1727,($D$5:$D$1727=I252)*($E$5:$E$1727=J252)*($F$5:$F$1727=K252)))</f>
        <v>EZ</v>
      </c>
      <c r="M252" t="b">
        <f t="shared" si="6"/>
        <v>1</v>
      </c>
      <c r="N252">
        <f t="shared" si="7"/>
        <v>0</v>
      </c>
    </row>
    <row r="253" spans="3:14" x14ac:dyDescent="0.25">
      <c r="C253" t="s">
        <v>1547</v>
      </c>
      <c r="D253" s="2" t="s">
        <v>250</v>
      </c>
      <c r="E253" t="s">
        <v>400</v>
      </c>
      <c r="F253" s="1">
        <v>0</v>
      </c>
      <c r="I253" t="str">
        <v>DE0007236101</v>
      </c>
      <c r="J253" t="str">
        <v>Excluded</v>
      </c>
      <c r="K253">
        <v>0</v>
      </c>
      <c r="L253" t="str" cm="1">
        <f t="array" ref="L253">_xlfn.TEXTJOIN(",",TRUE,_xlfn._xlws.FILTER($C$5:$C$1727,($D$5:$D$1727=I253)*($E$5:$E$1727=J253)*($F$5:$F$1727=K253)))</f>
        <v>Global</v>
      </c>
      <c r="M253" t="b">
        <f t="shared" si="6"/>
        <v>1</v>
      </c>
      <c r="N253">
        <f t="shared" si="7"/>
        <v>0</v>
      </c>
    </row>
    <row r="254" spans="3:14" x14ac:dyDescent="0.25">
      <c r="C254" t="s">
        <v>1547</v>
      </c>
      <c r="D254" s="2" t="s">
        <v>251</v>
      </c>
      <c r="E254" t="s">
        <v>400</v>
      </c>
      <c r="F254" s="1">
        <v>0</v>
      </c>
      <c r="I254" t="str">
        <v>DE0007257503</v>
      </c>
      <c r="J254" t="str">
        <v>Not included in a theme</v>
      </c>
      <c r="K254">
        <v>0</v>
      </c>
      <c r="L254" t="str" cm="1">
        <f t="array" ref="L254">_xlfn.TEXTJOIN(",",TRUE,_xlfn._xlws.FILTER($C$5:$C$1727,($D$5:$D$1727=I254)*($E$5:$E$1727=J254)*($F$5:$F$1727=K254)))</f>
        <v>EZ</v>
      </c>
      <c r="M254" t="b">
        <f t="shared" si="6"/>
        <v>0</v>
      </c>
      <c r="N254">
        <f t="shared" si="7"/>
        <v>0</v>
      </c>
    </row>
    <row r="255" spans="3:14" x14ac:dyDescent="0.25">
      <c r="C255" t="s">
        <v>1547</v>
      </c>
      <c r="D255" s="2" t="s">
        <v>252</v>
      </c>
      <c r="E255" t="s">
        <v>400</v>
      </c>
      <c r="F255" s="1">
        <v>0</v>
      </c>
      <c r="I255" t="str">
        <v>DE0007500001</v>
      </c>
      <c r="J255" t="str">
        <v>Excluded</v>
      </c>
      <c r="K255">
        <v>0</v>
      </c>
      <c r="L255" t="str" cm="1">
        <f t="array" ref="L255">_xlfn.TEXTJOIN(",",TRUE,_xlfn._xlws.FILTER($C$5:$C$1727,($D$5:$D$1727=I255)*($E$5:$E$1727=J255)*($F$5:$F$1727=K255)))</f>
        <v>EZ</v>
      </c>
      <c r="M255" t="b">
        <f t="shared" si="6"/>
        <v>0</v>
      </c>
      <c r="N255">
        <f t="shared" si="7"/>
        <v>0</v>
      </c>
    </row>
    <row r="256" spans="3:14" x14ac:dyDescent="0.25">
      <c r="C256" t="s">
        <v>1547</v>
      </c>
      <c r="D256" s="2" t="s">
        <v>253</v>
      </c>
      <c r="E256" t="s">
        <v>401</v>
      </c>
      <c r="F256" s="1">
        <v>0</v>
      </c>
      <c r="I256" t="str">
        <v>DE0007664039</v>
      </c>
      <c r="J256" t="str">
        <v>Excluded</v>
      </c>
      <c r="K256">
        <v>0</v>
      </c>
      <c r="L256" t="str" cm="1">
        <f t="array" ref="L256">_xlfn.TEXTJOIN(",",TRUE,_xlfn._xlws.FILTER($C$5:$C$1727,($D$5:$D$1727=I256)*($E$5:$E$1727=J256)*($F$5:$F$1727=K256)))</f>
        <v>EZ,Global</v>
      </c>
      <c r="M256" t="b">
        <f t="shared" si="6"/>
        <v>0</v>
      </c>
      <c r="N256">
        <f t="shared" si="7"/>
        <v>0</v>
      </c>
    </row>
    <row r="257" spans="3:14" x14ac:dyDescent="0.25">
      <c r="C257" t="s">
        <v>1547</v>
      </c>
      <c r="D257" s="2" t="s">
        <v>254</v>
      </c>
      <c r="E257" t="s">
        <v>400</v>
      </c>
      <c r="F257" s="1">
        <v>0</v>
      </c>
      <c r="I257" t="str">
        <v>DE0008232125</v>
      </c>
      <c r="J257" t="str">
        <v>Excluded</v>
      </c>
      <c r="K257">
        <v>0</v>
      </c>
      <c r="L257" t="str" cm="1">
        <f t="array" ref="L257">_xlfn.TEXTJOIN(",",TRUE,_xlfn._xlws.FILTER($C$5:$C$1727,($D$5:$D$1727=I257)*($E$5:$E$1727=J257)*($F$5:$F$1727=K257)))</f>
        <v>EZ,Global</v>
      </c>
      <c r="M257" t="b">
        <f t="shared" si="6"/>
        <v>0</v>
      </c>
      <c r="N257">
        <f t="shared" si="7"/>
        <v>1</v>
      </c>
    </row>
    <row r="258" spans="3:14" x14ac:dyDescent="0.25">
      <c r="C258" t="s">
        <v>1547</v>
      </c>
      <c r="D258" s="2" t="s">
        <v>255</v>
      </c>
      <c r="E258" t="s">
        <v>400</v>
      </c>
      <c r="F258" s="1">
        <v>0</v>
      </c>
      <c r="I258" t="str">
        <v>DE0008303504</v>
      </c>
      <c r="J258" t="str">
        <v>Ecoconstruction</v>
      </c>
      <c r="K258">
        <v>0.14000000000000001</v>
      </c>
      <c r="L258" t="str" cm="1">
        <f t="array" ref="L258">_xlfn.TEXTJOIN(",",TRUE,_xlfn._xlws.FILTER($C$5:$C$1727,($D$5:$D$1727=I258)*($E$5:$E$1727=J258)*($F$5:$F$1727=K258)))</f>
        <v>EZ</v>
      </c>
      <c r="M258" t="b">
        <f t="shared" si="6"/>
        <v>0</v>
      </c>
      <c r="N258">
        <f t="shared" si="7"/>
        <v>1</v>
      </c>
    </row>
    <row r="259" spans="3:14" x14ac:dyDescent="0.25">
      <c r="C259" t="s">
        <v>1547</v>
      </c>
      <c r="D259" s="2" t="s">
        <v>256</v>
      </c>
      <c r="E259" t="s">
        <v>400</v>
      </c>
      <c r="F259" s="1">
        <v>0</v>
      </c>
      <c r="I259" t="str">
        <v>DE0008402215</v>
      </c>
      <c r="J259" t="str">
        <v>Not included in a theme</v>
      </c>
      <c r="K259">
        <v>0</v>
      </c>
      <c r="L259" t="str" cm="1">
        <f t="array" ref="L259">_xlfn.TEXTJOIN(",",TRUE,_xlfn._xlws.FILTER($C$5:$C$1727,($D$5:$D$1727=I259)*($E$5:$E$1727=J259)*($F$5:$F$1727=K259)))</f>
        <v>EZ,Global</v>
      </c>
      <c r="M259" t="b">
        <f t="shared" si="6"/>
        <v>0</v>
      </c>
      <c r="N259">
        <f t="shared" si="7"/>
        <v>1</v>
      </c>
    </row>
    <row r="260" spans="3:14" x14ac:dyDescent="0.25">
      <c r="C260" t="s">
        <v>1547</v>
      </c>
      <c r="D260" s="2" t="s">
        <v>257</v>
      </c>
      <c r="E260" t="s">
        <v>407</v>
      </c>
      <c r="F260" s="1">
        <v>0.76</v>
      </c>
      <c r="I260" t="str">
        <v>DE0008404005</v>
      </c>
      <c r="J260" t="str">
        <v>Not included in a theme</v>
      </c>
      <c r="K260">
        <v>0</v>
      </c>
      <c r="L260" t="str" cm="1">
        <f t="array" ref="L260">_xlfn.TEXTJOIN(",",TRUE,_xlfn._xlws.FILTER($C$5:$C$1727,($D$5:$D$1727=I260)*($E$5:$E$1727=J260)*($F$5:$F$1727=K260)))</f>
        <v>EZ</v>
      </c>
      <c r="M260" t="b">
        <f t="shared" si="6"/>
        <v>1</v>
      </c>
      <c r="N260">
        <f t="shared" si="7"/>
        <v>1</v>
      </c>
    </row>
    <row r="261" spans="3:14" x14ac:dyDescent="0.25">
      <c r="C261" t="s">
        <v>1547</v>
      </c>
      <c r="D261" s="2" t="s">
        <v>258</v>
      </c>
      <c r="E261" t="s">
        <v>400</v>
      </c>
      <c r="F261" s="1">
        <v>0</v>
      </c>
      <c r="I261" t="str">
        <v>DE0008404005</v>
      </c>
      <c r="J261" t="str">
        <v>Excluded</v>
      </c>
      <c r="K261">
        <v>0</v>
      </c>
      <c r="L261" t="str" cm="1">
        <f t="array" ref="L261">_xlfn.TEXTJOIN(",",TRUE,_xlfn._xlws.FILTER($C$5:$C$1727,($D$5:$D$1727=I261)*($E$5:$E$1727=J261)*($F$5:$F$1727=K261)))</f>
        <v>Global</v>
      </c>
      <c r="M261" t="b">
        <f t="shared" si="6"/>
        <v>1</v>
      </c>
      <c r="N261">
        <f t="shared" si="7"/>
        <v>1</v>
      </c>
    </row>
    <row r="262" spans="3:14" x14ac:dyDescent="0.25">
      <c r="C262" t="s">
        <v>1547</v>
      </c>
      <c r="D262" s="2" t="s">
        <v>259</v>
      </c>
      <c r="E262" t="s">
        <v>402</v>
      </c>
      <c r="F262" s="1">
        <v>1</v>
      </c>
      <c r="I262" t="str">
        <v>DE0008430026</v>
      </c>
      <c r="J262" t="str">
        <v>Not included in a theme</v>
      </c>
      <c r="K262">
        <v>0</v>
      </c>
      <c r="L262" t="str" cm="1">
        <f t="array" ref="L262">_xlfn.TEXTJOIN(",",TRUE,_xlfn._xlws.FILTER($C$5:$C$1727,($D$5:$D$1727=I262)*($E$5:$E$1727=J262)*($F$5:$F$1727=K262)))</f>
        <v>EZ,Global</v>
      </c>
      <c r="M262" t="b">
        <f t="shared" ref="M262:M325" si="8">COUNTIFS($I$5:$I$1556,I262)&gt;1</f>
        <v>0</v>
      </c>
      <c r="N262">
        <f t="shared" ref="N262:N325" si="9">COUNTIFS($U$5:$U$231,I262)</f>
        <v>1</v>
      </c>
    </row>
    <row r="263" spans="3:14" x14ac:dyDescent="0.25">
      <c r="C263" t="s">
        <v>1547</v>
      </c>
      <c r="D263" s="2" t="s">
        <v>260</v>
      </c>
      <c r="E263" t="s">
        <v>403</v>
      </c>
      <c r="F263" s="1">
        <v>0.26</v>
      </c>
      <c r="I263" t="str">
        <v>DE000A0D6554</v>
      </c>
      <c r="J263" t="str">
        <v>Green energy</v>
      </c>
      <c r="K263">
        <v>1</v>
      </c>
      <c r="L263" t="str" cm="1">
        <f t="array" ref="L263">_xlfn.TEXTJOIN(",",TRUE,_xlfn._xlws.FILTER($C$5:$C$1727,($D$5:$D$1727=I263)*($E$5:$E$1727=J263)*($F$5:$F$1727=K263)))</f>
        <v>EZ</v>
      </c>
      <c r="M263" t="b">
        <f t="shared" si="8"/>
        <v>0</v>
      </c>
      <c r="N263">
        <f t="shared" si="9"/>
        <v>1</v>
      </c>
    </row>
    <row r="264" spans="3:14" x14ac:dyDescent="0.25">
      <c r="C264" t="s">
        <v>1547</v>
      </c>
      <c r="D264" s="2" t="s">
        <v>261</v>
      </c>
      <c r="E264" t="s">
        <v>400</v>
      </c>
      <c r="F264" s="1">
        <v>0</v>
      </c>
      <c r="I264" t="str">
        <v>DE000A0D9PT0</v>
      </c>
      <c r="J264" t="str">
        <v>Not included in a theme</v>
      </c>
      <c r="K264">
        <v>0</v>
      </c>
      <c r="L264" t="str" cm="1">
        <f t="array" ref="L264">_xlfn.TEXTJOIN(",",TRUE,_xlfn._xlws.FILTER($C$5:$C$1727,($D$5:$D$1727=I264)*($E$5:$E$1727=J264)*($F$5:$F$1727=K264)))</f>
        <v>EZ</v>
      </c>
      <c r="M264" t="b">
        <f t="shared" si="8"/>
        <v>1</v>
      </c>
      <c r="N264">
        <f t="shared" si="9"/>
        <v>1</v>
      </c>
    </row>
    <row r="265" spans="3:14" x14ac:dyDescent="0.25">
      <c r="C265" t="s">
        <v>1547</v>
      </c>
      <c r="D265" s="2" t="s">
        <v>262</v>
      </c>
      <c r="E265" t="s">
        <v>400</v>
      </c>
      <c r="F265" s="1">
        <v>0</v>
      </c>
      <c r="I265" t="str">
        <v>DE000A0D9PT0</v>
      </c>
      <c r="J265" t="str">
        <v>Excluded</v>
      </c>
      <c r="K265">
        <v>0</v>
      </c>
      <c r="L265" t="str" cm="1">
        <f t="array" ref="L265">_xlfn.TEXTJOIN(",",TRUE,_xlfn._xlws.FILTER($C$5:$C$1727,($D$5:$D$1727=I265)*($E$5:$E$1727=J265)*($F$5:$F$1727=K265)))</f>
        <v>Global</v>
      </c>
      <c r="M265" t="b">
        <f t="shared" si="8"/>
        <v>1</v>
      </c>
      <c r="N265">
        <f t="shared" si="9"/>
        <v>1</v>
      </c>
    </row>
    <row r="266" spans="3:14" x14ac:dyDescent="0.25">
      <c r="C266" t="s">
        <v>1547</v>
      </c>
      <c r="D266" s="2" t="s">
        <v>263</v>
      </c>
      <c r="E266" t="s">
        <v>404</v>
      </c>
      <c r="F266" s="1">
        <v>0.62</v>
      </c>
      <c r="I266" t="str">
        <v>DE000A0Z2ZZ5</v>
      </c>
      <c r="J266" t="str">
        <v>Not included in a theme</v>
      </c>
      <c r="K266">
        <v>0</v>
      </c>
      <c r="L266" t="str" cm="1">
        <f t="array" ref="L266">_xlfn.TEXTJOIN(",",TRUE,_xlfn._xlws.FILTER($C$5:$C$1727,($D$5:$D$1727=I266)*($E$5:$E$1727=J266)*($F$5:$F$1727=K266)))</f>
        <v>EZ</v>
      </c>
      <c r="M266" t="b">
        <f t="shared" si="8"/>
        <v>0</v>
      </c>
      <c r="N266">
        <f t="shared" si="9"/>
        <v>1</v>
      </c>
    </row>
    <row r="267" spans="3:14" x14ac:dyDescent="0.25">
      <c r="C267" t="s">
        <v>1547</v>
      </c>
      <c r="D267" s="2" t="s">
        <v>264</v>
      </c>
      <c r="E267" t="s">
        <v>405</v>
      </c>
      <c r="F267" s="1">
        <v>0.64</v>
      </c>
      <c r="I267" t="str">
        <v>DE000A12DM80</v>
      </c>
      <c r="J267" t="str">
        <v>Excluded</v>
      </c>
      <c r="K267">
        <v>0</v>
      </c>
      <c r="L267" t="str" cm="1">
        <f t="array" ref="L267">_xlfn.TEXTJOIN(",",TRUE,_xlfn._xlws.FILTER($C$5:$C$1727,($D$5:$D$1727=I267)*($E$5:$E$1727=J267)*($F$5:$F$1727=K267)))</f>
        <v>EZ,Global</v>
      </c>
      <c r="M267" t="b">
        <f t="shared" si="8"/>
        <v>0</v>
      </c>
      <c r="N267">
        <f t="shared" si="9"/>
        <v>1</v>
      </c>
    </row>
    <row r="268" spans="3:14" x14ac:dyDescent="0.25">
      <c r="C268" t="s">
        <v>1547</v>
      </c>
      <c r="D268" s="2" t="s">
        <v>265</v>
      </c>
      <c r="E268" t="s">
        <v>405</v>
      </c>
      <c r="F268" s="1">
        <v>0.31</v>
      </c>
      <c r="I268" t="str">
        <v>DE000A13SX22</v>
      </c>
      <c r="J268" t="str">
        <v>Eco-efficient industries</v>
      </c>
      <c r="K268">
        <v>0.28000000000000003</v>
      </c>
      <c r="L268" t="str" cm="1">
        <f t="array" ref="L268">_xlfn.TEXTJOIN(",",TRUE,_xlfn._xlws.FILTER($C$5:$C$1727,($D$5:$D$1727=I268)*($E$5:$E$1727=J268)*($F$5:$F$1727=K268)))</f>
        <v>EZ</v>
      </c>
      <c r="M268" t="b">
        <f t="shared" si="8"/>
        <v>0</v>
      </c>
      <c r="N268">
        <f t="shared" si="9"/>
        <v>0</v>
      </c>
    </row>
    <row r="269" spans="3:14" x14ac:dyDescent="0.25">
      <c r="C269" t="s">
        <v>1547</v>
      </c>
      <c r="D269" s="2" t="s">
        <v>266</v>
      </c>
      <c r="E269" t="s">
        <v>403</v>
      </c>
      <c r="F269" s="1">
        <v>0.28999999999999998</v>
      </c>
      <c r="I269" t="str">
        <v>DE000A1DAHH0</v>
      </c>
      <c r="J269" t="str">
        <v>Excluded</v>
      </c>
      <c r="K269">
        <v>0</v>
      </c>
      <c r="L269" t="str" cm="1">
        <f t="array" ref="L269">_xlfn.TEXTJOIN(",",TRUE,_xlfn._xlws.FILTER($C$5:$C$1727,($D$5:$D$1727=I269)*($E$5:$E$1727=J269)*($F$5:$F$1727=K269)))</f>
        <v>EZ,Global</v>
      </c>
      <c r="M269" t="b">
        <f t="shared" si="8"/>
        <v>0</v>
      </c>
      <c r="N269">
        <f t="shared" si="9"/>
        <v>0</v>
      </c>
    </row>
    <row r="270" spans="3:14" x14ac:dyDescent="0.25">
      <c r="C270" t="s">
        <v>1547</v>
      </c>
      <c r="D270" s="2" t="s">
        <v>267</v>
      </c>
      <c r="E270" t="s">
        <v>401</v>
      </c>
      <c r="F270" s="1">
        <v>0</v>
      </c>
      <c r="I270" t="str">
        <v>DE000A1EWWW0</v>
      </c>
      <c r="J270" t="str">
        <v>Not included in a theme</v>
      </c>
      <c r="K270">
        <v>0</v>
      </c>
      <c r="L270" t="str" cm="1">
        <f t="array" ref="L270">_xlfn.TEXTJOIN(",",TRUE,_xlfn._xlws.FILTER($C$5:$C$1727,($D$5:$D$1727=I270)*($E$5:$E$1727=J270)*($F$5:$F$1727=K270)))</f>
        <v>EZ</v>
      </c>
      <c r="M270" t="b">
        <f t="shared" si="8"/>
        <v>1</v>
      </c>
      <c r="N270">
        <f t="shared" si="9"/>
        <v>1</v>
      </c>
    </row>
    <row r="271" spans="3:14" x14ac:dyDescent="0.25">
      <c r="C271" t="s">
        <v>1547</v>
      </c>
      <c r="D271" s="2" t="s">
        <v>268</v>
      </c>
      <c r="E271" t="s">
        <v>401</v>
      </c>
      <c r="F271" s="1">
        <v>0</v>
      </c>
      <c r="I271" t="str">
        <v>DE000A1EWWW0</v>
      </c>
      <c r="J271" t="str">
        <v>Excluded</v>
      </c>
      <c r="K271">
        <v>0</v>
      </c>
      <c r="L271" t="str" cm="1">
        <f t="array" ref="L271">_xlfn.TEXTJOIN(",",TRUE,_xlfn._xlws.FILTER($C$5:$C$1727,($D$5:$D$1727=I271)*($E$5:$E$1727=J271)*($F$5:$F$1727=K271)))</f>
        <v>Global</v>
      </c>
      <c r="M271" t="b">
        <f t="shared" si="8"/>
        <v>1</v>
      </c>
      <c r="N271">
        <f t="shared" si="9"/>
        <v>1</v>
      </c>
    </row>
    <row r="272" spans="3:14" x14ac:dyDescent="0.25">
      <c r="C272" t="s">
        <v>1547</v>
      </c>
      <c r="D272" s="2" t="s">
        <v>269</v>
      </c>
      <c r="E272" t="s">
        <v>401</v>
      </c>
      <c r="F272" s="1">
        <v>0</v>
      </c>
      <c r="I272" t="str">
        <v>DE000A1ML7J1</v>
      </c>
      <c r="J272" t="str">
        <v>Ecoconstruction</v>
      </c>
      <c r="K272">
        <v>0.4</v>
      </c>
      <c r="L272" t="str" cm="1">
        <f t="array" ref="L272">_xlfn.TEXTJOIN(",",TRUE,_xlfn._xlws.FILTER($C$5:$C$1727,($D$5:$D$1727=I272)*($E$5:$E$1727=J272)*($F$5:$F$1727=K272)))</f>
        <v>EZ,Global</v>
      </c>
      <c r="M272" t="b">
        <f t="shared" si="8"/>
        <v>0</v>
      </c>
      <c r="N272">
        <f t="shared" si="9"/>
        <v>1</v>
      </c>
    </row>
    <row r="273" spans="3:14" x14ac:dyDescent="0.25">
      <c r="C273" t="s">
        <v>1547</v>
      </c>
      <c r="D273" s="2" t="s">
        <v>270</v>
      </c>
      <c r="E273" t="s">
        <v>400</v>
      </c>
      <c r="F273" s="1">
        <v>0</v>
      </c>
      <c r="I273" t="str">
        <v>DE000A1PHFF7</v>
      </c>
      <c r="J273" t="str">
        <v>Excluded</v>
      </c>
      <c r="K273">
        <v>0</v>
      </c>
      <c r="L273" t="str" cm="1">
        <f t="array" ref="L273">_xlfn.TEXTJOIN(",",TRUE,_xlfn._xlws.FILTER($C$5:$C$1727,($D$5:$D$1727=I273)*($E$5:$E$1727=J273)*($F$5:$F$1727=K273)))</f>
        <v>EZ</v>
      </c>
      <c r="M273" t="b">
        <f t="shared" si="8"/>
        <v>0</v>
      </c>
      <c r="N273">
        <f t="shared" si="9"/>
        <v>0</v>
      </c>
    </row>
    <row r="274" spans="3:14" x14ac:dyDescent="0.25">
      <c r="C274" t="s">
        <v>1547</v>
      </c>
      <c r="D274" s="2" t="s">
        <v>271</v>
      </c>
      <c r="E274" t="s">
        <v>400</v>
      </c>
      <c r="F274" s="1">
        <v>0</v>
      </c>
      <c r="I274" t="str">
        <v>DE000A2E4K43</v>
      </c>
      <c r="J274" t="str">
        <v>Excluded</v>
      </c>
      <c r="K274">
        <v>0</v>
      </c>
      <c r="L274" t="str" cm="1">
        <f t="array" ref="L274">_xlfn.TEXTJOIN(",",TRUE,_xlfn._xlws.FILTER($C$5:$C$1727,($D$5:$D$1727=I274)*($E$5:$E$1727=J274)*($F$5:$F$1727=K274)))</f>
        <v>EZ</v>
      </c>
      <c r="M274" t="b">
        <f t="shared" si="8"/>
        <v>0</v>
      </c>
      <c r="N274">
        <f t="shared" si="9"/>
        <v>1</v>
      </c>
    </row>
    <row r="275" spans="3:14" x14ac:dyDescent="0.25">
      <c r="C275" t="s">
        <v>1547</v>
      </c>
      <c r="D275" s="2" t="s">
        <v>272</v>
      </c>
      <c r="E275" t="s">
        <v>400</v>
      </c>
      <c r="F275" s="1">
        <v>0</v>
      </c>
      <c r="I275" t="str">
        <v>DE000A2LQ884</v>
      </c>
      <c r="J275" t="str">
        <v>Circular economy</v>
      </c>
      <c r="K275">
        <v>1</v>
      </c>
      <c r="L275" t="str" cm="1">
        <f t="array" ref="L275">_xlfn.TEXTJOIN(",",TRUE,_xlfn._xlws.FILTER($C$5:$C$1727,($D$5:$D$1727=I275)*($E$5:$E$1727=J275)*($F$5:$F$1727=K275)))</f>
        <v>EZ</v>
      </c>
      <c r="M275" t="b">
        <f t="shared" si="8"/>
        <v>0</v>
      </c>
      <c r="N275">
        <f t="shared" si="9"/>
        <v>1</v>
      </c>
    </row>
    <row r="276" spans="3:14" x14ac:dyDescent="0.25">
      <c r="C276" t="s">
        <v>1547</v>
      </c>
      <c r="D276" s="2" t="s">
        <v>273</v>
      </c>
      <c r="E276" t="s">
        <v>404</v>
      </c>
      <c r="F276" s="1">
        <v>1</v>
      </c>
      <c r="I276" t="str">
        <v>DE000A3E00M1</v>
      </c>
      <c r="J276" t="str">
        <v>Information technology</v>
      </c>
      <c r="K276">
        <v>1</v>
      </c>
      <c r="L276" t="str" cm="1">
        <f t="array" ref="L276">_xlfn.TEXTJOIN(",",TRUE,_xlfn._xlws.FILTER($C$5:$C$1727,($D$5:$D$1727=I276)*($E$5:$E$1727=J276)*($F$5:$F$1727=K276)))</f>
        <v>EZ</v>
      </c>
      <c r="M276" t="b">
        <f t="shared" si="8"/>
        <v>0</v>
      </c>
      <c r="N276">
        <f t="shared" si="9"/>
        <v>0</v>
      </c>
    </row>
    <row r="277" spans="3:14" x14ac:dyDescent="0.25">
      <c r="C277" t="s">
        <v>1547</v>
      </c>
      <c r="D277" s="2" t="s">
        <v>274</v>
      </c>
      <c r="E277" t="s">
        <v>405</v>
      </c>
      <c r="F277" s="1">
        <v>0.4</v>
      </c>
      <c r="I277" t="str">
        <v>DE000A3E5D64</v>
      </c>
      <c r="J277" t="str">
        <v>Excluded</v>
      </c>
      <c r="K277">
        <v>0</v>
      </c>
      <c r="L277" t="str" cm="1">
        <f t="array" ref="L277">_xlfn.TEXTJOIN(",",TRUE,_xlfn._xlws.FILTER($C$5:$C$1727,($D$5:$D$1727=I277)*($E$5:$E$1727=J277)*($F$5:$F$1727=K277)))</f>
        <v>EZ</v>
      </c>
      <c r="M277" t="b">
        <f t="shared" si="8"/>
        <v>0</v>
      </c>
      <c r="N277">
        <f t="shared" si="9"/>
        <v>1</v>
      </c>
    </row>
    <row r="278" spans="3:14" x14ac:dyDescent="0.25">
      <c r="C278" t="s">
        <v>1547</v>
      </c>
      <c r="D278" s="2" t="s">
        <v>275</v>
      </c>
      <c r="E278" t="s">
        <v>401</v>
      </c>
      <c r="F278" s="1">
        <v>0</v>
      </c>
      <c r="I278" t="str">
        <v>DE000AUM0V10</v>
      </c>
      <c r="J278" t="str">
        <v>Excluded</v>
      </c>
      <c r="K278">
        <v>0</v>
      </c>
      <c r="L278" t="str" cm="1">
        <f t="array" ref="L278">_xlfn.TEXTJOIN(",",TRUE,_xlfn._xlws.FILTER($C$5:$C$1727,($D$5:$D$1727=I278)*($E$5:$E$1727=J278)*($F$5:$F$1727=K278)))</f>
        <v>EZ</v>
      </c>
      <c r="M278" t="b">
        <f t="shared" si="8"/>
        <v>0</v>
      </c>
      <c r="N278">
        <f t="shared" si="9"/>
        <v>0</v>
      </c>
    </row>
    <row r="279" spans="3:14" x14ac:dyDescent="0.25">
      <c r="C279" t="s">
        <v>1547</v>
      </c>
      <c r="D279" s="2" t="s">
        <v>276</v>
      </c>
      <c r="E279" t="s">
        <v>400</v>
      </c>
      <c r="F279" s="1">
        <v>0</v>
      </c>
      <c r="I279" t="str">
        <v>DE000BASF111</v>
      </c>
      <c r="J279" t="str">
        <v>Excluded</v>
      </c>
      <c r="K279">
        <v>0</v>
      </c>
      <c r="L279" t="str" cm="1">
        <f t="array" ref="L279">_xlfn.TEXTJOIN(",",TRUE,_xlfn._xlws.FILTER($C$5:$C$1727,($D$5:$D$1727=I279)*($E$5:$E$1727=J279)*($F$5:$F$1727=K279)))</f>
        <v>EZ,Global</v>
      </c>
      <c r="M279" t="b">
        <f t="shared" si="8"/>
        <v>0</v>
      </c>
      <c r="N279">
        <f t="shared" si="9"/>
        <v>0</v>
      </c>
    </row>
    <row r="280" spans="3:14" x14ac:dyDescent="0.25">
      <c r="C280" t="s">
        <v>1547</v>
      </c>
      <c r="D280" s="2" t="s">
        <v>277</v>
      </c>
      <c r="E280" t="s">
        <v>399</v>
      </c>
      <c r="F280" s="1">
        <v>0.78</v>
      </c>
      <c r="I280" t="str">
        <v>DE000BAY0017</v>
      </c>
      <c r="J280" t="str">
        <v>Excluded</v>
      </c>
      <c r="K280">
        <v>0</v>
      </c>
      <c r="L280" t="str" cm="1">
        <f t="array" ref="L280">_xlfn.TEXTJOIN(",",TRUE,_xlfn._xlws.FILTER($C$5:$C$1727,($D$5:$D$1727=I280)*($E$5:$E$1727=J280)*($F$5:$F$1727=K280)))</f>
        <v>EZ,Global</v>
      </c>
      <c r="M280" t="b">
        <f t="shared" si="8"/>
        <v>0</v>
      </c>
      <c r="N280">
        <f t="shared" si="9"/>
        <v>1</v>
      </c>
    </row>
    <row r="281" spans="3:14" x14ac:dyDescent="0.25">
      <c r="C281" t="s">
        <v>1547</v>
      </c>
      <c r="D281" s="2" t="s">
        <v>278</v>
      </c>
      <c r="E281" t="s">
        <v>400</v>
      </c>
      <c r="F281" s="1">
        <v>0</v>
      </c>
      <c r="I281" t="str">
        <v>DE000BCK2223</v>
      </c>
      <c r="J281" t="str">
        <v>Excluded</v>
      </c>
      <c r="K281">
        <v>0</v>
      </c>
      <c r="L281" t="str" cm="1">
        <f t="array" ref="L281">_xlfn.TEXTJOIN(",",TRUE,_xlfn._xlws.FILTER($C$5:$C$1727,($D$5:$D$1727=I281)*($E$5:$E$1727=J281)*($F$5:$F$1727=K281)))</f>
        <v>EZ</v>
      </c>
      <c r="M281" t="b">
        <f t="shared" si="8"/>
        <v>0</v>
      </c>
      <c r="N281">
        <f t="shared" si="9"/>
        <v>0</v>
      </c>
    </row>
    <row r="282" spans="3:14" x14ac:dyDescent="0.25">
      <c r="C282" t="s">
        <v>1547</v>
      </c>
      <c r="D282" s="2" t="s">
        <v>279</v>
      </c>
      <c r="E282" t="s">
        <v>400</v>
      </c>
      <c r="F282" s="1">
        <v>0</v>
      </c>
      <c r="I282" t="str">
        <v>DE000CBK1001</v>
      </c>
      <c r="J282" t="str">
        <v>Not included in a theme</v>
      </c>
      <c r="K282">
        <v>0</v>
      </c>
      <c r="L282" t="str" cm="1">
        <f t="array" ref="L282">_xlfn.TEXTJOIN(",",TRUE,_xlfn._xlws.FILTER($C$5:$C$1727,($D$5:$D$1727=I282)*($E$5:$E$1727=J282)*($F$5:$F$1727=K282)))</f>
        <v>EZ,Global</v>
      </c>
      <c r="M282" t="b">
        <f t="shared" si="8"/>
        <v>0</v>
      </c>
      <c r="N282">
        <f t="shared" si="9"/>
        <v>1</v>
      </c>
    </row>
    <row r="283" spans="3:14" x14ac:dyDescent="0.25">
      <c r="C283" t="s">
        <v>1547</v>
      </c>
      <c r="D283" s="2" t="s">
        <v>280</v>
      </c>
      <c r="E283" t="s">
        <v>400</v>
      </c>
      <c r="F283" s="1">
        <v>0</v>
      </c>
      <c r="I283" t="str">
        <v>DE000DTR0CK8</v>
      </c>
      <c r="J283" t="str">
        <v>Not included in a theme</v>
      </c>
      <c r="K283">
        <v>0</v>
      </c>
      <c r="L283" t="str" cm="1">
        <f t="array" ref="L283">_xlfn.TEXTJOIN(",",TRUE,_xlfn._xlws.FILTER($C$5:$C$1727,($D$5:$D$1727=I283)*($E$5:$E$1727=J283)*($F$5:$F$1727=K283)))</f>
        <v>EZ</v>
      </c>
      <c r="M283" t="b">
        <f t="shared" si="8"/>
        <v>1</v>
      </c>
      <c r="N283">
        <f t="shared" si="9"/>
        <v>1</v>
      </c>
    </row>
    <row r="284" spans="3:14" x14ac:dyDescent="0.25">
      <c r="C284" t="s">
        <v>1547</v>
      </c>
      <c r="D284" s="2" t="s">
        <v>281</v>
      </c>
      <c r="E284" t="s">
        <v>400</v>
      </c>
      <c r="F284" s="1">
        <v>0</v>
      </c>
      <c r="I284" t="str">
        <v>DE000DTR0CK8</v>
      </c>
      <c r="J284" t="str">
        <v>Excluded</v>
      </c>
      <c r="K284">
        <v>0</v>
      </c>
      <c r="L284" t="str" cm="1">
        <f t="array" ref="L284">_xlfn.TEXTJOIN(",",TRUE,_xlfn._xlws.FILTER($C$5:$C$1727,($D$5:$D$1727=I284)*($E$5:$E$1727=J284)*($F$5:$F$1727=K284)))</f>
        <v>Global</v>
      </c>
      <c r="M284" t="b">
        <f t="shared" si="8"/>
        <v>1</v>
      </c>
      <c r="N284">
        <f t="shared" si="9"/>
        <v>1</v>
      </c>
    </row>
    <row r="285" spans="3:14" x14ac:dyDescent="0.25">
      <c r="C285" t="s">
        <v>1547</v>
      </c>
      <c r="D285" s="2" t="s">
        <v>282</v>
      </c>
      <c r="E285" t="s">
        <v>400</v>
      </c>
      <c r="F285" s="1">
        <v>0</v>
      </c>
      <c r="I285" t="str">
        <v>DE000DWS1007</v>
      </c>
      <c r="J285" t="str">
        <v>Excluded</v>
      </c>
      <c r="K285">
        <v>0</v>
      </c>
      <c r="L285" t="str" cm="1">
        <f t="array" ref="L285">_xlfn.TEXTJOIN(",",TRUE,_xlfn._xlws.FILTER($C$5:$C$1727,($D$5:$D$1727=I285)*($E$5:$E$1727=J285)*($F$5:$F$1727=K285)))</f>
        <v>EZ</v>
      </c>
      <c r="M285" t="b">
        <f t="shared" si="8"/>
        <v>0</v>
      </c>
      <c r="N285">
        <f t="shared" si="9"/>
        <v>0</v>
      </c>
    </row>
    <row r="286" spans="3:14" x14ac:dyDescent="0.25">
      <c r="C286" t="s">
        <v>1547</v>
      </c>
      <c r="D286" s="2" t="s">
        <v>283</v>
      </c>
      <c r="E286" t="s">
        <v>400</v>
      </c>
      <c r="F286" s="1">
        <v>0</v>
      </c>
      <c r="I286" t="str">
        <v>DE000ENAG999</v>
      </c>
      <c r="J286" t="str">
        <v>Excluded</v>
      </c>
      <c r="K286">
        <v>0</v>
      </c>
      <c r="L286" t="str" cm="1">
        <f t="array" ref="L286">_xlfn.TEXTJOIN(",",TRUE,_xlfn._xlws.FILTER($C$5:$C$1727,($D$5:$D$1727=I286)*($E$5:$E$1727=J286)*($F$5:$F$1727=K286)))</f>
        <v>EZ,Global</v>
      </c>
      <c r="M286" t="b">
        <f t="shared" si="8"/>
        <v>0</v>
      </c>
      <c r="N286">
        <f t="shared" si="9"/>
        <v>0</v>
      </c>
    </row>
    <row r="287" spans="3:14" x14ac:dyDescent="0.25">
      <c r="C287" t="s">
        <v>1547</v>
      </c>
      <c r="D287" s="2" t="s">
        <v>284</v>
      </c>
      <c r="E287" t="s">
        <v>400</v>
      </c>
      <c r="F287" s="1">
        <v>0</v>
      </c>
      <c r="I287" t="str">
        <v>DE000ENER6Y0</v>
      </c>
      <c r="J287" t="str">
        <v>Excluded</v>
      </c>
      <c r="K287">
        <v>0</v>
      </c>
      <c r="L287" t="str" cm="1">
        <f t="array" ref="L287">_xlfn.TEXTJOIN(",",TRUE,_xlfn._xlws.FILTER($C$5:$C$1727,($D$5:$D$1727=I287)*($E$5:$E$1727=J287)*($F$5:$F$1727=K287)))</f>
        <v>EZ,Global</v>
      </c>
      <c r="M287" t="b">
        <f t="shared" si="8"/>
        <v>0</v>
      </c>
      <c r="N287">
        <f t="shared" si="9"/>
        <v>0</v>
      </c>
    </row>
    <row r="288" spans="3:14" x14ac:dyDescent="0.25">
      <c r="C288" t="s">
        <v>1547</v>
      </c>
      <c r="D288" s="2" t="s">
        <v>285</v>
      </c>
      <c r="E288" t="s">
        <v>408</v>
      </c>
      <c r="F288" s="1">
        <v>0.12</v>
      </c>
      <c r="I288" t="str">
        <v>DE000EVNK013</v>
      </c>
      <c r="J288" t="str">
        <v>Eco-efficient industries</v>
      </c>
      <c r="K288">
        <v>0.35</v>
      </c>
      <c r="L288" t="str" cm="1">
        <f t="array" ref="L288">_xlfn.TEXTJOIN(",",TRUE,_xlfn._xlws.FILTER($C$5:$C$1727,($D$5:$D$1727=I288)*($E$5:$E$1727=J288)*($F$5:$F$1727=K288)))</f>
        <v>EZ</v>
      </c>
      <c r="M288" t="b">
        <f t="shared" si="8"/>
        <v>0</v>
      </c>
      <c r="N288">
        <f t="shared" si="9"/>
        <v>0</v>
      </c>
    </row>
    <row r="289" spans="3:14" x14ac:dyDescent="0.25">
      <c r="C289" t="s">
        <v>1547</v>
      </c>
      <c r="D289" s="2" t="s">
        <v>286</v>
      </c>
      <c r="E289" t="s">
        <v>402</v>
      </c>
      <c r="F289" s="1">
        <v>0.61</v>
      </c>
      <c r="I289" t="str">
        <v>DE000FTG1111</v>
      </c>
      <c r="J289" t="str">
        <v>Not included in a theme</v>
      </c>
      <c r="K289">
        <v>0</v>
      </c>
      <c r="L289" t="str" cm="1">
        <f t="array" ref="L289">_xlfn.TEXTJOIN(",",TRUE,_xlfn._xlws.FILTER($C$5:$C$1727,($D$5:$D$1727=I289)*($E$5:$E$1727=J289)*($F$5:$F$1727=K289)))</f>
        <v>EZ</v>
      </c>
      <c r="M289" t="b">
        <f t="shared" si="8"/>
        <v>0</v>
      </c>
      <c r="N289">
        <f t="shared" si="9"/>
        <v>1</v>
      </c>
    </row>
    <row r="290" spans="3:14" x14ac:dyDescent="0.25">
      <c r="C290" t="s">
        <v>1547</v>
      </c>
      <c r="D290" s="2" t="s">
        <v>287</v>
      </c>
      <c r="E290" t="s">
        <v>404</v>
      </c>
      <c r="F290" s="1">
        <v>0.4</v>
      </c>
      <c r="I290" t="str">
        <v>DE000HAG0005</v>
      </c>
      <c r="J290" t="str">
        <v>Not included in a theme</v>
      </c>
      <c r="K290">
        <v>0</v>
      </c>
      <c r="L290" t="str" cm="1">
        <f t="array" ref="L290">_xlfn.TEXTJOIN(",",TRUE,_xlfn._xlws.FILTER($C$5:$C$1727,($D$5:$D$1727=I290)*($E$5:$E$1727=J290)*($F$5:$F$1727=K290)))</f>
        <v>EZ</v>
      </c>
      <c r="M290" t="b">
        <f t="shared" si="8"/>
        <v>0</v>
      </c>
      <c r="N290">
        <f t="shared" si="9"/>
        <v>1</v>
      </c>
    </row>
    <row r="291" spans="3:14" x14ac:dyDescent="0.25">
      <c r="C291" t="s">
        <v>1547</v>
      </c>
      <c r="D291" s="2" t="s">
        <v>288</v>
      </c>
      <c r="E291" t="s">
        <v>400</v>
      </c>
      <c r="F291" s="1">
        <v>0</v>
      </c>
      <c r="I291" t="str">
        <v>DE000HLAG475</v>
      </c>
      <c r="J291" t="str">
        <v>Not included in a theme</v>
      </c>
      <c r="K291">
        <v>0</v>
      </c>
      <c r="L291" t="str" cm="1">
        <f t="array" ref="L291">_xlfn.TEXTJOIN(",",TRUE,_xlfn._xlws.FILTER($C$5:$C$1727,($D$5:$D$1727=I291)*($E$5:$E$1727=J291)*($F$5:$F$1727=K291)))</f>
        <v>EZ</v>
      </c>
      <c r="M291" t="b">
        <f t="shared" si="8"/>
        <v>0</v>
      </c>
      <c r="N291">
        <f t="shared" si="9"/>
        <v>0</v>
      </c>
    </row>
    <row r="292" spans="3:14" x14ac:dyDescent="0.25">
      <c r="C292" t="s">
        <v>1547</v>
      </c>
      <c r="D292" s="2" t="s">
        <v>289</v>
      </c>
      <c r="E292" t="s">
        <v>400</v>
      </c>
      <c r="F292" s="1">
        <v>0</v>
      </c>
      <c r="I292" t="str">
        <v>DE000KBX1006</v>
      </c>
      <c r="J292" t="str">
        <v>Clean transport</v>
      </c>
      <c r="K292">
        <v>0.54</v>
      </c>
      <c r="L292" t="str" cm="1">
        <f t="array" ref="L292">_xlfn.TEXTJOIN(",",TRUE,_xlfn._xlws.FILTER($C$5:$C$1727,($D$5:$D$1727=I292)*($E$5:$E$1727=J292)*($F$5:$F$1727=K292)))</f>
        <v>EZ,Global</v>
      </c>
      <c r="M292" t="b">
        <f t="shared" si="8"/>
        <v>0</v>
      </c>
      <c r="N292">
        <f t="shared" si="9"/>
        <v>1</v>
      </c>
    </row>
    <row r="293" spans="3:14" x14ac:dyDescent="0.25">
      <c r="C293" t="s">
        <v>1547</v>
      </c>
      <c r="D293" s="2" t="s">
        <v>290</v>
      </c>
      <c r="E293" t="s">
        <v>401</v>
      </c>
      <c r="F293" s="1">
        <v>0</v>
      </c>
      <c r="I293" t="str">
        <v>DE000KGX8881</v>
      </c>
      <c r="J293" t="str">
        <v>Clean transport</v>
      </c>
      <c r="K293">
        <v>0.68</v>
      </c>
      <c r="L293" t="str" cm="1">
        <f t="array" ref="L293">_xlfn.TEXTJOIN(",",TRUE,_xlfn._xlws.FILTER($C$5:$C$1727,($D$5:$D$1727=I293)*($E$5:$E$1727=J293)*($F$5:$F$1727=K293)))</f>
        <v>EZ</v>
      </c>
      <c r="M293" t="b">
        <f t="shared" si="8"/>
        <v>0</v>
      </c>
      <c r="N293">
        <f t="shared" si="9"/>
        <v>1</v>
      </c>
    </row>
    <row r="294" spans="3:14" x14ac:dyDescent="0.25">
      <c r="C294" t="s">
        <v>1547</v>
      </c>
      <c r="D294" s="2" t="s">
        <v>291</v>
      </c>
      <c r="E294" t="s">
        <v>399</v>
      </c>
      <c r="F294" s="1">
        <v>0.14000000000000001</v>
      </c>
      <c r="I294" t="str">
        <v>DE000LEG1110</v>
      </c>
      <c r="J294" t="str">
        <v>Ecoconstruction</v>
      </c>
      <c r="K294">
        <v>0.28999999999999998</v>
      </c>
      <c r="L294" t="str" cm="1">
        <f t="array" ref="L294">_xlfn.TEXTJOIN(",",TRUE,_xlfn._xlws.FILTER($C$5:$C$1727,($D$5:$D$1727=I294)*($E$5:$E$1727=J294)*($F$5:$F$1727=K294)))</f>
        <v>EZ</v>
      </c>
      <c r="M294" t="b">
        <f t="shared" si="8"/>
        <v>0</v>
      </c>
      <c r="N294">
        <f t="shared" si="9"/>
        <v>1</v>
      </c>
    </row>
    <row r="295" spans="3:14" x14ac:dyDescent="0.25">
      <c r="C295" t="s">
        <v>1547</v>
      </c>
      <c r="D295" s="2" t="s">
        <v>292</v>
      </c>
      <c r="E295" t="s">
        <v>400</v>
      </c>
      <c r="F295" s="1">
        <v>0</v>
      </c>
      <c r="I295" t="str">
        <v>DE000PAG9113</v>
      </c>
      <c r="J295" t="str">
        <v>Excluded</v>
      </c>
      <c r="K295">
        <v>0</v>
      </c>
      <c r="L295" t="str" cm="1">
        <f t="array" ref="L295">_xlfn.TEXTJOIN(",",TRUE,_xlfn._xlws.FILTER($C$5:$C$1727,($D$5:$D$1727=I295)*($E$5:$E$1727=J295)*($F$5:$F$1727=K295)))</f>
        <v>EZ</v>
      </c>
      <c r="M295" t="b">
        <f t="shared" si="8"/>
        <v>0</v>
      </c>
      <c r="N295">
        <f t="shared" si="9"/>
        <v>1</v>
      </c>
    </row>
    <row r="296" spans="3:14" x14ac:dyDescent="0.25">
      <c r="C296" t="s">
        <v>1547</v>
      </c>
      <c r="D296" s="2" t="s">
        <v>293</v>
      </c>
      <c r="E296" t="s">
        <v>400</v>
      </c>
      <c r="F296" s="1">
        <v>0</v>
      </c>
      <c r="I296" t="str">
        <v>DE000PAH0038</v>
      </c>
      <c r="J296" t="str">
        <v>Excluded</v>
      </c>
      <c r="K296">
        <v>0</v>
      </c>
      <c r="L296" t="str" cm="1">
        <f t="array" ref="L296">_xlfn.TEXTJOIN(",",TRUE,_xlfn._xlws.FILTER($C$5:$C$1727,($D$5:$D$1727=I296)*($E$5:$E$1727=J296)*($F$5:$F$1727=K296)))</f>
        <v>EZ,Global</v>
      </c>
      <c r="M296" t="b">
        <f t="shared" si="8"/>
        <v>0</v>
      </c>
      <c r="N296">
        <f t="shared" si="9"/>
        <v>0</v>
      </c>
    </row>
    <row r="297" spans="3:14" x14ac:dyDescent="0.25">
      <c r="C297" t="s">
        <v>1547</v>
      </c>
      <c r="D297" s="2" t="s">
        <v>294</v>
      </c>
      <c r="E297" t="s">
        <v>400</v>
      </c>
      <c r="F297" s="1">
        <v>0</v>
      </c>
      <c r="I297" t="str">
        <v>DE000RENK730</v>
      </c>
      <c r="J297" t="str">
        <v>Excluded</v>
      </c>
      <c r="K297">
        <v>0</v>
      </c>
      <c r="L297" t="str" cm="1">
        <f t="array" ref="L297">_xlfn.TEXTJOIN(",",TRUE,_xlfn._xlws.FILTER($C$5:$C$1727,($D$5:$D$1727=I297)*($E$5:$E$1727=J297)*($F$5:$F$1727=K297)))</f>
        <v>EZ</v>
      </c>
      <c r="M297" t="b">
        <f t="shared" si="8"/>
        <v>0</v>
      </c>
      <c r="N297">
        <f t="shared" si="9"/>
        <v>1</v>
      </c>
    </row>
    <row r="298" spans="3:14" x14ac:dyDescent="0.25">
      <c r="C298" t="s">
        <v>1547</v>
      </c>
      <c r="D298" s="2" t="s">
        <v>295</v>
      </c>
      <c r="E298" t="s">
        <v>404</v>
      </c>
      <c r="F298" s="1">
        <v>0.16</v>
      </c>
      <c r="I298" t="str">
        <v>DE000SHA0100</v>
      </c>
      <c r="J298" t="str">
        <v>Excluded</v>
      </c>
      <c r="K298">
        <v>0</v>
      </c>
      <c r="L298" t="str" cm="1">
        <f t="array" ref="L298">_xlfn.TEXTJOIN(",",TRUE,_xlfn._xlws.FILTER($C$5:$C$1727,($D$5:$D$1727=I298)*($E$5:$E$1727=J298)*($F$5:$F$1727=K298)))</f>
        <v>EZ,Global</v>
      </c>
      <c r="M298" t="b">
        <f t="shared" si="8"/>
        <v>0</v>
      </c>
      <c r="N298">
        <f t="shared" si="9"/>
        <v>0</v>
      </c>
    </row>
    <row r="299" spans="3:14" x14ac:dyDescent="0.25">
      <c r="C299" t="s">
        <v>1547</v>
      </c>
      <c r="D299" s="2" t="s">
        <v>296</v>
      </c>
      <c r="E299" t="s">
        <v>400</v>
      </c>
      <c r="F299" s="1">
        <v>0</v>
      </c>
      <c r="I299" t="str">
        <v>DE000SHL1006</v>
      </c>
      <c r="J299" t="str">
        <v>Not included in a theme</v>
      </c>
      <c r="K299">
        <v>0</v>
      </c>
      <c r="L299" t="str" cm="1">
        <f t="array" ref="L299">_xlfn.TEXTJOIN(",",TRUE,_xlfn._xlws.FILTER($C$5:$C$1727,($D$5:$D$1727=I299)*($E$5:$E$1727=J299)*($F$5:$F$1727=K299)))</f>
        <v>EZ,Global</v>
      </c>
      <c r="M299" t="b">
        <f t="shared" si="8"/>
        <v>0</v>
      </c>
      <c r="N299">
        <f t="shared" si="9"/>
        <v>1</v>
      </c>
    </row>
    <row r="300" spans="3:14" x14ac:dyDescent="0.25">
      <c r="C300" t="s">
        <v>1547</v>
      </c>
      <c r="D300" s="2" t="s">
        <v>297</v>
      </c>
      <c r="E300" t="s">
        <v>400</v>
      </c>
      <c r="F300" s="1">
        <v>0</v>
      </c>
      <c r="I300" t="str">
        <v>DE000SYM9999</v>
      </c>
      <c r="J300" t="str">
        <v>Circular economy</v>
      </c>
      <c r="K300">
        <v>0.62</v>
      </c>
      <c r="L300" t="str" cm="1">
        <f t="array" ref="L300">_xlfn.TEXTJOIN(",",TRUE,_xlfn._xlws.FILTER($C$5:$C$1727,($D$5:$D$1727=I300)*($E$5:$E$1727=J300)*($F$5:$F$1727=K300)))</f>
        <v>EZ,Global</v>
      </c>
      <c r="M300" t="b">
        <f t="shared" si="8"/>
        <v>0</v>
      </c>
      <c r="N300">
        <f t="shared" si="9"/>
        <v>1</v>
      </c>
    </row>
    <row r="301" spans="3:14" x14ac:dyDescent="0.25">
      <c r="C301" t="s">
        <v>1547</v>
      </c>
      <c r="D301" s="2" t="s">
        <v>298</v>
      </c>
      <c r="E301" t="s">
        <v>400</v>
      </c>
      <c r="F301" s="1">
        <v>0</v>
      </c>
      <c r="I301" t="str">
        <v>DE000TKMS001</v>
      </c>
      <c r="J301" t="str">
        <v>Excluded</v>
      </c>
      <c r="K301">
        <v>0</v>
      </c>
      <c r="L301" t="str" cm="1">
        <f t="array" ref="L301">_xlfn.TEXTJOIN(",",TRUE,_xlfn._xlws.FILTER($C$5:$C$1727,($D$5:$D$1727=I301)*($E$5:$E$1727=J301)*($F$5:$F$1727=K301)))</f>
        <v>EZ</v>
      </c>
      <c r="M301" t="b">
        <f t="shared" si="8"/>
        <v>0</v>
      </c>
      <c r="N301">
        <f t="shared" si="9"/>
        <v>0</v>
      </c>
    </row>
    <row r="302" spans="3:14" x14ac:dyDescent="0.25">
      <c r="C302" t="s">
        <v>1547</v>
      </c>
      <c r="D302" s="2" t="s">
        <v>299</v>
      </c>
      <c r="E302" t="s">
        <v>403</v>
      </c>
      <c r="F302" s="1">
        <v>0.51</v>
      </c>
      <c r="I302" t="str">
        <v>DE000TLX1005</v>
      </c>
      <c r="J302" t="str">
        <v>Not included in a theme</v>
      </c>
      <c r="K302">
        <v>0</v>
      </c>
      <c r="L302" t="str" cm="1">
        <f t="array" ref="L302">_xlfn.TEXTJOIN(",",TRUE,_xlfn._xlws.FILTER($C$5:$C$1727,($D$5:$D$1727=I302)*($E$5:$E$1727=J302)*($F$5:$F$1727=K302)))</f>
        <v>EZ,Global</v>
      </c>
      <c r="M302" t="b">
        <f t="shared" si="8"/>
        <v>0</v>
      </c>
      <c r="N302">
        <f t="shared" si="9"/>
        <v>1</v>
      </c>
    </row>
    <row r="303" spans="3:14" x14ac:dyDescent="0.25">
      <c r="C303" t="s">
        <v>1547</v>
      </c>
      <c r="D303" s="2" t="s">
        <v>300</v>
      </c>
      <c r="E303" t="s">
        <v>401</v>
      </c>
      <c r="F303" s="1">
        <v>0</v>
      </c>
      <c r="I303" t="str">
        <v>DE000TRAT0N7</v>
      </c>
      <c r="J303" t="str">
        <v>Excluded</v>
      </c>
      <c r="K303">
        <v>0</v>
      </c>
      <c r="L303" t="str" cm="1">
        <f t="array" ref="L303">_xlfn.TEXTJOIN(",",TRUE,_xlfn._xlws.FILTER($C$5:$C$1727,($D$5:$D$1727=I303)*($E$5:$E$1727=J303)*($F$5:$F$1727=K303)))</f>
        <v>EZ</v>
      </c>
      <c r="M303" t="b">
        <f t="shared" si="8"/>
        <v>0</v>
      </c>
      <c r="N303">
        <f t="shared" si="9"/>
        <v>0</v>
      </c>
    </row>
    <row r="304" spans="3:14" x14ac:dyDescent="0.25">
      <c r="C304" t="s">
        <v>1547</v>
      </c>
      <c r="D304" s="2" t="s">
        <v>301</v>
      </c>
      <c r="E304" t="s">
        <v>400</v>
      </c>
      <c r="F304" s="1">
        <v>0</v>
      </c>
      <c r="I304" t="str">
        <v>DE000TUAG505</v>
      </c>
      <c r="J304" t="str">
        <v>Excluded</v>
      </c>
      <c r="K304">
        <v>0</v>
      </c>
      <c r="L304" t="str" cm="1">
        <f t="array" ref="L304">_xlfn.TEXTJOIN(",",TRUE,_xlfn._xlws.FILTER($C$5:$C$1727,($D$5:$D$1727=I304)*($E$5:$E$1727=J304)*($F$5:$F$1727=K304)))</f>
        <v>EZ</v>
      </c>
      <c r="M304" t="b">
        <f t="shared" si="8"/>
        <v>0</v>
      </c>
      <c r="N304">
        <f t="shared" si="9"/>
        <v>1</v>
      </c>
    </row>
    <row r="305" spans="3:14" x14ac:dyDescent="0.25">
      <c r="C305" t="s">
        <v>1547</v>
      </c>
      <c r="D305" s="2" t="s">
        <v>302</v>
      </c>
      <c r="E305" t="s">
        <v>400</v>
      </c>
      <c r="F305" s="1">
        <v>0</v>
      </c>
      <c r="I305" t="str">
        <v>DE000WCH8881</v>
      </c>
      <c r="J305" t="str">
        <v>Excluded</v>
      </c>
      <c r="K305">
        <v>0</v>
      </c>
      <c r="L305" t="str" cm="1">
        <f t="array" ref="L305">_xlfn.TEXTJOIN(",",TRUE,_xlfn._xlws.FILTER($C$5:$C$1727,($D$5:$D$1727=I305)*($E$5:$E$1727=J305)*($F$5:$F$1727=K305)))</f>
        <v>EZ</v>
      </c>
      <c r="M305" t="b">
        <f t="shared" si="8"/>
        <v>0</v>
      </c>
      <c r="N305">
        <f t="shared" si="9"/>
        <v>0</v>
      </c>
    </row>
    <row r="306" spans="3:14" x14ac:dyDescent="0.25">
      <c r="C306" t="s">
        <v>1547</v>
      </c>
      <c r="D306" s="2" t="s">
        <v>303</v>
      </c>
      <c r="E306" t="s">
        <v>400</v>
      </c>
      <c r="F306" s="1">
        <v>0</v>
      </c>
      <c r="I306" t="str">
        <v>DE000ZAL1111</v>
      </c>
      <c r="J306" t="str">
        <v>Excluded</v>
      </c>
      <c r="K306">
        <v>0</v>
      </c>
      <c r="L306" t="str" cm="1">
        <f t="array" ref="L306">_xlfn.TEXTJOIN(",",TRUE,_xlfn._xlws.FILTER($C$5:$C$1727,($D$5:$D$1727=I306)*($E$5:$E$1727=J306)*($F$5:$F$1727=K306)))</f>
        <v>EZ,Global</v>
      </c>
      <c r="M306" t="b">
        <f t="shared" si="8"/>
        <v>0</v>
      </c>
      <c r="N306">
        <f t="shared" si="9"/>
        <v>1</v>
      </c>
    </row>
    <row r="307" spans="3:14" x14ac:dyDescent="0.25">
      <c r="C307" t="s">
        <v>1547</v>
      </c>
      <c r="D307" s="2" t="s">
        <v>304</v>
      </c>
      <c r="E307" t="s">
        <v>400</v>
      </c>
      <c r="F307" s="1">
        <v>0</v>
      </c>
      <c r="I307" t="str">
        <v>DK0010181759</v>
      </c>
      <c r="J307" t="str">
        <v>Excluded</v>
      </c>
      <c r="K307">
        <v>0</v>
      </c>
      <c r="L307" t="str" cm="1">
        <f t="array" ref="L307">_xlfn.TEXTJOIN(",",TRUE,_xlfn._xlws.FILTER($C$5:$C$1727,($D$5:$D$1727=I307)*($E$5:$E$1727=J307)*($F$5:$F$1727=K307)))</f>
        <v>Global</v>
      </c>
      <c r="M307" t="b">
        <f t="shared" si="8"/>
        <v>0</v>
      </c>
      <c r="N307">
        <f t="shared" si="9"/>
        <v>0</v>
      </c>
    </row>
    <row r="308" spans="3:14" x14ac:dyDescent="0.25">
      <c r="C308" t="s">
        <v>1547</v>
      </c>
      <c r="D308" s="2" t="s">
        <v>305</v>
      </c>
      <c r="E308" t="s">
        <v>399</v>
      </c>
      <c r="F308" s="1">
        <v>1</v>
      </c>
      <c r="I308" t="str">
        <v>DK0010244508</v>
      </c>
      <c r="J308" t="str">
        <v>Excluded</v>
      </c>
      <c r="K308">
        <v>0</v>
      </c>
      <c r="L308" t="str" cm="1">
        <f t="array" ref="L308">_xlfn.TEXTJOIN(",",TRUE,_xlfn._xlws.FILTER($C$5:$C$1727,($D$5:$D$1727=I308)*($E$5:$E$1727=J308)*($F$5:$F$1727=K308)))</f>
        <v>Global</v>
      </c>
      <c r="M308" t="b">
        <f t="shared" si="8"/>
        <v>0</v>
      </c>
      <c r="N308">
        <f t="shared" si="9"/>
        <v>0</v>
      </c>
    </row>
    <row r="309" spans="3:14" x14ac:dyDescent="0.25">
      <c r="C309" t="s">
        <v>1547</v>
      </c>
      <c r="D309" s="2" t="s">
        <v>306</v>
      </c>
      <c r="E309" t="s">
        <v>400</v>
      </c>
      <c r="F309" s="1">
        <v>0</v>
      </c>
      <c r="I309" t="str">
        <v>DK0010272202</v>
      </c>
      <c r="J309" t="str">
        <v>Not included in a theme</v>
      </c>
      <c r="K309">
        <v>0</v>
      </c>
      <c r="L309" t="str" cm="1">
        <f t="array" ref="L309">_xlfn.TEXTJOIN(",",TRUE,_xlfn._xlws.FILTER($C$5:$C$1727,($D$5:$D$1727=I309)*($E$5:$E$1727=J309)*($F$5:$F$1727=K309)))</f>
        <v>Global</v>
      </c>
      <c r="M309" t="b">
        <f t="shared" si="8"/>
        <v>0</v>
      </c>
      <c r="N309">
        <f t="shared" si="9"/>
        <v>0</v>
      </c>
    </row>
    <row r="310" spans="3:14" x14ac:dyDescent="0.25">
      <c r="C310" t="s">
        <v>1547</v>
      </c>
      <c r="D310" s="2" t="s">
        <v>307</v>
      </c>
      <c r="E310" t="s">
        <v>400</v>
      </c>
      <c r="F310" s="1">
        <v>0</v>
      </c>
      <c r="I310" t="str">
        <v>DK0010274414</v>
      </c>
      <c r="J310" t="str">
        <v>Not included in a theme</v>
      </c>
      <c r="K310">
        <v>0</v>
      </c>
      <c r="L310" t="str" cm="1">
        <f t="array" ref="L310">_xlfn.TEXTJOIN(",",TRUE,_xlfn._xlws.FILTER($C$5:$C$1727,($D$5:$D$1727=I310)*($E$5:$E$1727=J310)*($F$5:$F$1727=K310)))</f>
        <v>Global</v>
      </c>
      <c r="M310" t="b">
        <f t="shared" si="8"/>
        <v>0</v>
      </c>
      <c r="N310">
        <f t="shared" si="9"/>
        <v>0</v>
      </c>
    </row>
    <row r="311" spans="3:14" x14ac:dyDescent="0.25">
      <c r="C311" t="s">
        <v>1547</v>
      </c>
      <c r="D311" s="2" t="s">
        <v>308</v>
      </c>
      <c r="E311" t="s">
        <v>400</v>
      </c>
      <c r="F311" s="1">
        <v>0</v>
      </c>
      <c r="I311" t="str">
        <v>DK0010287663</v>
      </c>
      <c r="J311" t="str">
        <v>Excluded</v>
      </c>
      <c r="K311">
        <v>0</v>
      </c>
      <c r="L311" t="str" cm="1">
        <f t="array" ref="L311">_xlfn.TEXTJOIN(",",TRUE,_xlfn._xlws.FILTER($C$5:$C$1727,($D$5:$D$1727=I311)*($E$5:$E$1727=J311)*($F$5:$F$1727=K311)))</f>
        <v>Global</v>
      </c>
      <c r="M311" t="b">
        <f t="shared" si="8"/>
        <v>0</v>
      </c>
      <c r="N311">
        <f t="shared" si="9"/>
        <v>0</v>
      </c>
    </row>
    <row r="312" spans="3:14" x14ac:dyDescent="0.25">
      <c r="C312" t="s">
        <v>1547</v>
      </c>
      <c r="D312" s="2" t="s">
        <v>309</v>
      </c>
      <c r="E312" t="s">
        <v>400</v>
      </c>
      <c r="F312" s="1">
        <v>0</v>
      </c>
      <c r="I312" t="str">
        <v>DK0060079531</v>
      </c>
      <c r="J312" t="str">
        <v>Excluded</v>
      </c>
      <c r="K312">
        <v>0</v>
      </c>
      <c r="L312" t="str" cm="1">
        <f t="array" ref="L312">_xlfn.TEXTJOIN(",",TRUE,_xlfn._xlws.FILTER($C$5:$C$1727,($D$5:$D$1727=I312)*($E$5:$E$1727=J312)*($F$5:$F$1727=K312)))</f>
        <v>Global</v>
      </c>
      <c r="M312" t="b">
        <f t="shared" si="8"/>
        <v>0</v>
      </c>
      <c r="N312">
        <f t="shared" si="9"/>
        <v>0</v>
      </c>
    </row>
    <row r="313" spans="3:14" x14ac:dyDescent="0.25">
      <c r="C313" t="s">
        <v>1547</v>
      </c>
      <c r="D313" s="2" t="s">
        <v>310</v>
      </c>
      <c r="E313" t="s">
        <v>401</v>
      </c>
      <c r="F313" s="1">
        <v>0</v>
      </c>
      <c r="I313" t="str">
        <v>DK0060094928</v>
      </c>
      <c r="J313" t="str">
        <v>Excluded</v>
      </c>
      <c r="K313">
        <v>0</v>
      </c>
      <c r="L313" t="str" cm="1">
        <f t="array" ref="L313">_xlfn.TEXTJOIN(",",TRUE,_xlfn._xlws.FILTER($C$5:$C$1727,($D$5:$D$1727=I313)*($E$5:$E$1727=J313)*($F$5:$F$1727=K313)))</f>
        <v>Global</v>
      </c>
      <c r="M313" t="b">
        <f t="shared" si="8"/>
        <v>0</v>
      </c>
      <c r="N313">
        <f t="shared" si="9"/>
        <v>0</v>
      </c>
    </row>
    <row r="314" spans="3:14" x14ac:dyDescent="0.25">
      <c r="C314" t="s">
        <v>1547</v>
      </c>
      <c r="D314" s="2" t="s">
        <v>311</v>
      </c>
      <c r="E314" t="s">
        <v>402</v>
      </c>
      <c r="F314" s="1">
        <v>0.77</v>
      </c>
      <c r="I314" t="str">
        <v>DK0060252690</v>
      </c>
      <c r="J314" t="str">
        <v>Excluded</v>
      </c>
      <c r="K314">
        <v>0</v>
      </c>
      <c r="L314" t="str" cm="1">
        <f t="array" ref="L314">_xlfn.TEXTJOIN(",",TRUE,_xlfn._xlws.FILTER($C$5:$C$1727,($D$5:$D$1727=I314)*($E$5:$E$1727=J314)*($F$5:$F$1727=K314)))</f>
        <v>Global</v>
      </c>
      <c r="M314" t="b">
        <f t="shared" si="8"/>
        <v>0</v>
      </c>
      <c r="N314">
        <f t="shared" si="9"/>
        <v>0</v>
      </c>
    </row>
    <row r="315" spans="3:14" x14ac:dyDescent="0.25">
      <c r="C315" t="s">
        <v>1547</v>
      </c>
      <c r="D315" s="2" t="s">
        <v>312</v>
      </c>
      <c r="E315" t="s">
        <v>400</v>
      </c>
      <c r="F315" s="1">
        <v>0</v>
      </c>
      <c r="I315" t="str">
        <v>DK0060336014</v>
      </c>
      <c r="J315" t="str">
        <v>Circular economy</v>
      </c>
      <c r="K315">
        <v>0.55000000000000004</v>
      </c>
      <c r="L315" t="str" cm="1">
        <f t="array" ref="L315">_xlfn.TEXTJOIN(",",TRUE,_xlfn._xlws.FILTER($C$5:$C$1727,($D$5:$D$1727=I315)*($E$5:$E$1727=J315)*($F$5:$F$1727=K315)))</f>
        <v>Global</v>
      </c>
      <c r="M315" t="b">
        <f t="shared" si="8"/>
        <v>0</v>
      </c>
      <c r="N315">
        <f t="shared" si="9"/>
        <v>0</v>
      </c>
    </row>
    <row r="316" spans="3:14" x14ac:dyDescent="0.25">
      <c r="C316" t="s">
        <v>1547</v>
      </c>
      <c r="D316" s="2" t="s">
        <v>313</v>
      </c>
      <c r="E316" t="s">
        <v>401</v>
      </c>
      <c r="F316" s="1">
        <v>0</v>
      </c>
      <c r="I316" t="str">
        <v>DK0060448595</v>
      </c>
      <c r="J316" t="str">
        <v>Not included in a theme</v>
      </c>
      <c r="K316">
        <v>0</v>
      </c>
      <c r="L316" t="str" cm="1">
        <f t="array" ref="L316">_xlfn.TEXTJOIN(",",TRUE,_xlfn._xlws.FILTER($C$5:$C$1727,($D$5:$D$1727=I316)*($E$5:$E$1727=J316)*($F$5:$F$1727=K316)))</f>
        <v>Global</v>
      </c>
      <c r="M316" t="b">
        <f t="shared" si="8"/>
        <v>0</v>
      </c>
      <c r="N316">
        <f t="shared" si="9"/>
        <v>0</v>
      </c>
    </row>
    <row r="317" spans="3:14" x14ac:dyDescent="0.25">
      <c r="C317" t="s">
        <v>1547</v>
      </c>
      <c r="D317" s="2" t="s">
        <v>314</v>
      </c>
      <c r="E317" t="s">
        <v>400</v>
      </c>
      <c r="F317" s="1">
        <v>0</v>
      </c>
      <c r="I317" t="str">
        <v>DK0060636678</v>
      </c>
      <c r="J317" t="str">
        <v>Not included in a theme</v>
      </c>
      <c r="K317">
        <v>0</v>
      </c>
      <c r="L317" t="str" cm="1">
        <f t="array" ref="L317">_xlfn.TEXTJOIN(",",TRUE,_xlfn._xlws.FILTER($C$5:$C$1727,($D$5:$D$1727=I317)*($E$5:$E$1727=J317)*($F$5:$F$1727=K317)))</f>
        <v>Global</v>
      </c>
      <c r="M317" t="b">
        <f t="shared" si="8"/>
        <v>0</v>
      </c>
      <c r="N317">
        <f t="shared" si="9"/>
        <v>0</v>
      </c>
    </row>
    <row r="318" spans="3:14" x14ac:dyDescent="0.25">
      <c r="C318" t="s">
        <v>1547</v>
      </c>
      <c r="D318" s="2" t="s">
        <v>315</v>
      </c>
      <c r="E318" t="s">
        <v>400</v>
      </c>
      <c r="F318" s="1">
        <v>0</v>
      </c>
      <c r="I318" t="str">
        <v>DK0061539921</v>
      </c>
      <c r="J318" t="str">
        <v>Green energy</v>
      </c>
      <c r="K318">
        <v>1</v>
      </c>
      <c r="L318" t="str" cm="1">
        <f t="array" ref="L318">_xlfn.TEXTJOIN(",",TRUE,_xlfn._xlws.FILTER($C$5:$C$1727,($D$5:$D$1727=I318)*($E$5:$E$1727=J318)*($F$5:$F$1727=K318)))</f>
        <v>Global</v>
      </c>
      <c r="M318" t="b">
        <f t="shared" si="8"/>
        <v>0</v>
      </c>
      <c r="N318">
        <f t="shared" si="9"/>
        <v>0</v>
      </c>
    </row>
    <row r="319" spans="3:14" x14ac:dyDescent="0.25">
      <c r="C319" t="s">
        <v>1547</v>
      </c>
      <c r="D319" s="2" t="s">
        <v>316</v>
      </c>
      <c r="E319" t="s">
        <v>400</v>
      </c>
      <c r="F319" s="1">
        <v>0</v>
      </c>
      <c r="I319" t="str">
        <v>DK0062498333</v>
      </c>
      <c r="J319" t="str">
        <v>Not included in a theme</v>
      </c>
      <c r="K319">
        <v>0</v>
      </c>
      <c r="L319" t="str" cm="1">
        <f t="array" ref="L319">_xlfn.TEXTJOIN(",",TRUE,_xlfn._xlws.FILTER($C$5:$C$1727,($D$5:$D$1727=I319)*($E$5:$E$1727=J319)*($F$5:$F$1727=K319)))</f>
        <v>Global</v>
      </c>
      <c r="M319" t="b">
        <f t="shared" si="8"/>
        <v>0</v>
      </c>
      <c r="N319">
        <f t="shared" si="9"/>
        <v>0</v>
      </c>
    </row>
    <row r="320" spans="3:14" x14ac:dyDescent="0.25">
      <c r="C320" t="s">
        <v>1547</v>
      </c>
      <c r="D320" s="2" t="s">
        <v>317</v>
      </c>
      <c r="E320" t="s">
        <v>407</v>
      </c>
      <c r="F320" s="1">
        <v>0.48</v>
      </c>
      <c r="I320" t="str">
        <v>ES0105025003</v>
      </c>
      <c r="J320" t="str">
        <v>Excluded</v>
      </c>
      <c r="K320">
        <v>0</v>
      </c>
      <c r="L320" t="str" cm="1">
        <f t="array" ref="L320">_xlfn.TEXTJOIN(",",TRUE,_xlfn._xlws.FILTER($C$5:$C$1727,($D$5:$D$1727=I320)*($E$5:$E$1727=J320)*($F$5:$F$1727=K320)))</f>
        <v>EZ</v>
      </c>
      <c r="M320" t="b">
        <f t="shared" si="8"/>
        <v>0</v>
      </c>
      <c r="N320">
        <f t="shared" si="9"/>
        <v>1</v>
      </c>
    </row>
    <row r="321" spans="3:14" x14ac:dyDescent="0.25">
      <c r="C321" t="s">
        <v>1547</v>
      </c>
      <c r="D321" s="2" t="s">
        <v>318</v>
      </c>
      <c r="E321" t="s">
        <v>400</v>
      </c>
      <c r="F321" s="1">
        <v>0</v>
      </c>
      <c r="I321" t="str">
        <v>ES0105027009</v>
      </c>
      <c r="J321" t="str">
        <v>Excluded</v>
      </c>
      <c r="K321">
        <v>0</v>
      </c>
      <c r="L321" t="str" cm="1">
        <f t="array" ref="L321">_xlfn.TEXTJOIN(",",TRUE,_xlfn._xlws.FILTER($C$5:$C$1727,($D$5:$D$1727=I321)*($E$5:$E$1727=J321)*($F$5:$F$1727=K321)))</f>
        <v>EZ</v>
      </c>
      <c r="M321" t="b">
        <f t="shared" si="8"/>
        <v>0</v>
      </c>
      <c r="N321">
        <f t="shared" si="9"/>
        <v>0</v>
      </c>
    </row>
    <row r="322" spans="3:14" x14ac:dyDescent="0.25">
      <c r="C322" t="s">
        <v>1547</v>
      </c>
      <c r="D322" s="2" t="s">
        <v>319</v>
      </c>
      <c r="E322" t="s">
        <v>404</v>
      </c>
      <c r="F322" s="1">
        <v>0.23</v>
      </c>
      <c r="I322" t="str">
        <v>ES0105046017</v>
      </c>
      <c r="J322" t="str">
        <v>Excluded</v>
      </c>
      <c r="K322">
        <v>0</v>
      </c>
      <c r="L322" t="str" cm="1">
        <f t="array" ref="L322">_xlfn.TEXTJOIN(",",TRUE,_xlfn._xlws.FILTER($C$5:$C$1727,($D$5:$D$1727=I322)*($E$5:$E$1727=J322)*($F$5:$F$1727=K322)))</f>
        <v>EZ,Global</v>
      </c>
      <c r="M322" t="b">
        <f t="shared" si="8"/>
        <v>0</v>
      </c>
      <c r="N322">
        <f t="shared" si="9"/>
        <v>1</v>
      </c>
    </row>
    <row r="323" spans="3:14" x14ac:dyDescent="0.25">
      <c r="C323" t="s">
        <v>1547</v>
      </c>
      <c r="D323" s="2" t="s">
        <v>320</v>
      </c>
      <c r="E323" t="s">
        <v>399</v>
      </c>
      <c r="F323" s="1">
        <v>1</v>
      </c>
      <c r="I323" t="str">
        <v>ES0105066007</v>
      </c>
      <c r="J323" t="str">
        <v>Not included in a theme</v>
      </c>
      <c r="K323">
        <v>0</v>
      </c>
      <c r="L323" t="str" cm="1">
        <f t="array" ref="L323">_xlfn.TEXTJOIN(",",TRUE,_xlfn._xlws.FILTER($C$5:$C$1727,($D$5:$D$1727=I323)*($E$5:$E$1727=J323)*($F$5:$F$1727=K323)))</f>
        <v>EZ,Global</v>
      </c>
      <c r="M323" t="b">
        <f t="shared" si="8"/>
        <v>0</v>
      </c>
      <c r="N323">
        <f t="shared" si="9"/>
        <v>1</v>
      </c>
    </row>
    <row r="324" spans="3:14" x14ac:dyDescent="0.25">
      <c r="C324" t="s">
        <v>1547</v>
      </c>
      <c r="D324" s="2" t="s">
        <v>321</v>
      </c>
      <c r="E324" t="s">
        <v>401</v>
      </c>
      <c r="F324" s="1">
        <v>0</v>
      </c>
      <c r="I324" t="str">
        <v>ES0105630315</v>
      </c>
      <c r="J324" t="str">
        <v>Excluded</v>
      </c>
      <c r="K324">
        <v>0</v>
      </c>
      <c r="L324" t="str" cm="1">
        <f t="array" ref="L324">_xlfn.TEXTJOIN(",",TRUE,_xlfn._xlws.FILTER($C$5:$C$1727,($D$5:$D$1727=I324)*($E$5:$E$1727=J324)*($F$5:$F$1727=K324)))</f>
        <v>EZ</v>
      </c>
      <c r="M324" t="b">
        <f t="shared" si="8"/>
        <v>0</v>
      </c>
      <c r="N324">
        <f t="shared" si="9"/>
        <v>0</v>
      </c>
    </row>
    <row r="325" spans="3:14" x14ac:dyDescent="0.25">
      <c r="C325" t="s">
        <v>1547</v>
      </c>
      <c r="D325" s="2" t="s">
        <v>322</v>
      </c>
      <c r="E325" t="s">
        <v>401</v>
      </c>
      <c r="F325" s="1">
        <v>0</v>
      </c>
      <c r="I325" t="str">
        <v>ES0105777017</v>
      </c>
      <c r="J325" t="str">
        <v>Excluded</v>
      </c>
      <c r="K325">
        <v>0</v>
      </c>
      <c r="L325" t="str" cm="1">
        <f t="array" ref="L325">_xlfn.TEXTJOIN(",",TRUE,_xlfn._xlws.FILTER($C$5:$C$1727,($D$5:$D$1727=I325)*($E$5:$E$1727=J325)*($F$5:$F$1727=K325)))</f>
        <v>EZ</v>
      </c>
      <c r="M325" t="b">
        <f t="shared" si="8"/>
        <v>0</v>
      </c>
      <c r="N325">
        <f t="shared" si="9"/>
        <v>0</v>
      </c>
    </row>
    <row r="326" spans="3:14" x14ac:dyDescent="0.25">
      <c r="C326" t="s">
        <v>1547</v>
      </c>
      <c r="D326" s="2" t="s">
        <v>323</v>
      </c>
      <c r="E326" t="s">
        <v>400</v>
      </c>
      <c r="F326" s="1">
        <v>0</v>
      </c>
      <c r="I326" t="str">
        <v>ES0109067019</v>
      </c>
      <c r="J326" t="str">
        <v>Not included in a theme</v>
      </c>
      <c r="K326">
        <v>0</v>
      </c>
      <c r="L326" t="str" cm="1">
        <f t="array" ref="L326">_xlfn.TEXTJOIN(",",TRUE,_xlfn._xlws.FILTER($C$5:$C$1727,($D$5:$D$1727=I326)*($E$5:$E$1727=J326)*($F$5:$F$1727=K326)))</f>
        <v>EZ,Global</v>
      </c>
      <c r="M326" t="b">
        <f t="shared" ref="M326:M389" si="10">COUNTIFS($I$5:$I$1556,I326)&gt;1</f>
        <v>0</v>
      </c>
      <c r="N326">
        <f t="shared" ref="N326:N389" si="11">COUNTIFS($U$5:$U$231,I326)</f>
        <v>1</v>
      </c>
    </row>
    <row r="327" spans="3:14" x14ac:dyDescent="0.25">
      <c r="C327" t="s">
        <v>1547</v>
      </c>
      <c r="D327" s="2" t="s">
        <v>324</v>
      </c>
      <c r="E327" t="s">
        <v>401</v>
      </c>
      <c r="F327" s="1">
        <v>0</v>
      </c>
      <c r="I327" t="str">
        <v>ES0112501012</v>
      </c>
      <c r="J327" t="str">
        <v>Excluded</v>
      </c>
      <c r="K327">
        <v>0</v>
      </c>
      <c r="L327" t="str" cm="1">
        <f t="array" ref="L327">_xlfn.TEXTJOIN(",",TRUE,_xlfn._xlws.FILTER($C$5:$C$1727,($D$5:$D$1727=I327)*($E$5:$E$1727=J327)*($F$5:$F$1727=K327)))</f>
        <v>EZ</v>
      </c>
      <c r="M327" t="b">
        <f t="shared" si="10"/>
        <v>0</v>
      </c>
      <c r="N327">
        <f t="shared" si="11"/>
        <v>0</v>
      </c>
    </row>
    <row r="328" spans="3:14" x14ac:dyDescent="0.25">
      <c r="C328" t="s">
        <v>1547</v>
      </c>
      <c r="D328" s="2" t="s">
        <v>325</v>
      </c>
      <c r="E328" t="s">
        <v>407</v>
      </c>
      <c r="F328" s="1">
        <v>1</v>
      </c>
      <c r="I328" t="str">
        <v>ES0113211835</v>
      </c>
      <c r="J328" t="str">
        <v>Not included in a theme</v>
      </c>
      <c r="K328">
        <v>0</v>
      </c>
      <c r="L328" t="str" cm="1">
        <f t="array" ref="L328">_xlfn.TEXTJOIN(",",TRUE,_xlfn._xlws.FILTER($C$5:$C$1727,($D$5:$D$1727=I328)*($E$5:$E$1727=J328)*($F$5:$F$1727=K328)))</f>
        <v>EZ,Global</v>
      </c>
      <c r="M328" t="b">
        <f t="shared" si="10"/>
        <v>0</v>
      </c>
      <c r="N328">
        <f t="shared" si="11"/>
        <v>1</v>
      </c>
    </row>
    <row r="329" spans="3:14" x14ac:dyDescent="0.25">
      <c r="C329" t="s">
        <v>1547</v>
      </c>
      <c r="D329" s="2" t="s">
        <v>326</v>
      </c>
      <c r="E329" t="s">
        <v>405</v>
      </c>
      <c r="F329" s="1">
        <v>0.92</v>
      </c>
      <c r="I329" t="str">
        <v>ES0113679I37</v>
      </c>
      <c r="J329" t="str">
        <v>Not included in a theme</v>
      </c>
      <c r="K329">
        <v>0</v>
      </c>
      <c r="L329" t="str" cm="1">
        <f t="array" ref="L329">_xlfn.TEXTJOIN(",",TRUE,_xlfn._xlws.FILTER($C$5:$C$1727,($D$5:$D$1727=I329)*($E$5:$E$1727=J329)*($F$5:$F$1727=K329)))</f>
        <v>EZ,Global</v>
      </c>
      <c r="M329" t="b">
        <f t="shared" si="10"/>
        <v>0</v>
      </c>
      <c r="N329">
        <f t="shared" si="11"/>
        <v>1</v>
      </c>
    </row>
    <row r="330" spans="3:14" x14ac:dyDescent="0.25">
      <c r="C330" t="s">
        <v>1547</v>
      </c>
      <c r="D330" s="2" t="s">
        <v>327</v>
      </c>
      <c r="E330" t="s">
        <v>403</v>
      </c>
      <c r="F330" s="1">
        <v>0.78</v>
      </c>
      <c r="I330" t="str">
        <v>ES0113860A34</v>
      </c>
      <c r="J330" t="str">
        <v>Not included in a theme</v>
      </c>
      <c r="K330">
        <v>0</v>
      </c>
      <c r="L330" t="str" cm="1">
        <f t="array" ref="L330">_xlfn.TEXTJOIN(",",TRUE,_xlfn._xlws.FILTER($C$5:$C$1727,($D$5:$D$1727=I330)*($E$5:$E$1727=J330)*($F$5:$F$1727=K330)))</f>
        <v>EZ,Global</v>
      </c>
      <c r="M330" t="b">
        <f t="shared" si="10"/>
        <v>0</v>
      </c>
      <c r="N330">
        <f t="shared" si="11"/>
        <v>1</v>
      </c>
    </row>
    <row r="331" spans="3:14" x14ac:dyDescent="0.25">
      <c r="C331" t="s">
        <v>1547</v>
      </c>
      <c r="D331" s="2" t="s">
        <v>328</v>
      </c>
      <c r="E331" t="s">
        <v>403</v>
      </c>
      <c r="F331" s="1">
        <v>0.93</v>
      </c>
      <c r="I331" t="str">
        <v>ES0113900J37</v>
      </c>
      <c r="J331" t="str">
        <v>Excluded</v>
      </c>
      <c r="K331">
        <v>0</v>
      </c>
      <c r="L331" t="str" cm="1">
        <f t="array" ref="L331">_xlfn.TEXTJOIN(",",TRUE,_xlfn._xlws.FILTER($C$5:$C$1727,($D$5:$D$1727=I331)*($E$5:$E$1727=J331)*($F$5:$F$1727=K331)))</f>
        <v>EZ,Global</v>
      </c>
      <c r="M331" t="b">
        <f t="shared" si="10"/>
        <v>0</v>
      </c>
      <c r="N331">
        <f t="shared" si="11"/>
        <v>1</v>
      </c>
    </row>
    <row r="332" spans="3:14" x14ac:dyDescent="0.25">
      <c r="C332" t="s">
        <v>1547</v>
      </c>
      <c r="D332" s="2" t="s">
        <v>329</v>
      </c>
      <c r="E332" t="s">
        <v>401</v>
      </c>
      <c r="F332" s="1">
        <v>0</v>
      </c>
      <c r="I332" t="str">
        <v>ES0116870314</v>
      </c>
      <c r="J332" t="str">
        <v>Excluded</v>
      </c>
      <c r="K332">
        <v>0</v>
      </c>
      <c r="L332" t="str" cm="1">
        <f t="array" ref="L332">_xlfn.TEXTJOIN(",",TRUE,_xlfn._xlws.FILTER($C$5:$C$1727,($D$5:$D$1727=I332)*($E$5:$E$1727=J332)*($F$5:$F$1727=K332)))</f>
        <v>EZ,Global</v>
      </c>
      <c r="M332" t="b">
        <f t="shared" si="10"/>
        <v>0</v>
      </c>
      <c r="N332">
        <f t="shared" si="11"/>
        <v>0</v>
      </c>
    </row>
    <row r="333" spans="3:14" x14ac:dyDescent="0.25">
      <c r="C333" t="s">
        <v>1547</v>
      </c>
      <c r="D333" s="2" t="s">
        <v>330</v>
      </c>
      <c r="E333" t="s">
        <v>400</v>
      </c>
      <c r="F333" s="1">
        <v>0</v>
      </c>
      <c r="I333" t="str">
        <v>ES0116920333</v>
      </c>
      <c r="J333" t="str">
        <v>Not included in a theme</v>
      </c>
      <c r="K333">
        <v>0</v>
      </c>
      <c r="L333" t="str" cm="1">
        <f t="array" ref="L333">_xlfn.TEXTJOIN(",",TRUE,_xlfn._xlws.FILTER($C$5:$C$1727,($D$5:$D$1727=I333)*($E$5:$E$1727=J333)*($F$5:$F$1727=K333)))</f>
        <v>EZ</v>
      </c>
      <c r="M333" t="b">
        <f t="shared" si="10"/>
        <v>0</v>
      </c>
      <c r="N333">
        <f t="shared" si="11"/>
        <v>0</v>
      </c>
    </row>
    <row r="334" spans="3:14" x14ac:dyDescent="0.25">
      <c r="C334" t="s">
        <v>1547</v>
      </c>
      <c r="D334" s="2" t="s">
        <v>331</v>
      </c>
      <c r="E334" t="s">
        <v>400</v>
      </c>
      <c r="F334" s="1">
        <v>0</v>
      </c>
      <c r="I334" t="str">
        <v>ES0118594417</v>
      </c>
      <c r="J334" t="str">
        <v>Information technology</v>
      </c>
      <c r="K334">
        <v>0.2</v>
      </c>
      <c r="L334" t="str" cm="1">
        <f t="array" ref="L334">_xlfn.TEXTJOIN(",",TRUE,_xlfn._xlws.FILTER($C$5:$C$1727,($D$5:$D$1727=I334)*($E$5:$E$1727=J334)*($F$5:$F$1727=K334)))</f>
        <v>EZ</v>
      </c>
      <c r="M334" t="b">
        <f t="shared" si="10"/>
        <v>0</v>
      </c>
      <c r="N334">
        <f t="shared" si="11"/>
        <v>1</v>
      </c>
    </row>
    <row r="335" spans="3:14" x14ac:dyDescent="0.25">
      <c r="C335" t="s">
        <v>1547</v>
      </c>
      <c r="D335" s="2" t="s">
        <v>332</v>
      </c>
      <c r="E335" t="s">
        <v>400</v>
      </c>
      <c r="F335" s="1">
        <v>0</v>
      </c>
      <c r="I335" t="str">
        <v>ES0122060314</v>
      </c>
      <c r="J335" t="str">
        <v>Excluded</v>
      </c>
      <c r="K335">
        <v>0</v>
      </c>
      <c r="L335" t="str" cm="1">
        <f t="array" ref="L335">_xlfn.TEXTJOIN(",",TRUE,_xlfn._xlws.FILTER($C$5:$C$1727,($D$5:$D$1727=I335)*($E$5:$E$1727=J335)*($F$5:$F$1727=K335)))</f>
        <v>EZ</v>
      </c>
      <c r="M335" t="b">
        <f t="shared" si="10"/>
        <v>0</v>
      </c>
      <c r="N335">
        <f t="shared" si="11"/>
        <v>0</v>
      </c>
    </row>
    <row r="336" spans="3:14" x14ac:dyDescent="0.25">
      <c r="C336" t="s">
        <v>1547</v>
      </c>
      <c r="D336" s="2" t="s">
        <v>333</v>
      </c>
      <c r="E336" t="s">
        <v>403</v>
      </c>
      <c r="F336" s="1">
        <v>0.56999999999999995</v>
      </c>
      <c r="I336" t="str">
        <v>ES0124244E34</v>
      </c>
      <c r="J336" t="str">
        <v>Not included in a theme</v>
      </c>
      <c r="K336">
        <v>0</v>
      </c>
      <c r="L336" t="str" cm="1">
        <f t="array" ref="L336">_xlfn.TEXTJOIN(",",TRUE,_xlfn._xlws.FILTER($C$5:$C$1727,($D$5:$D$1727=I336)*($E$5:$E$1727=J336)*($F$5:$F$1727=K336)))</f>
        <v>EZ</v>
      </c>
      <c r="M336" t="b">
        <f t="shared" si="10"/>
        <v>0</v>
      </c>
      <c r="N336">
        <f t="shared" si="11"/>
        <v>1</v>
      </c>
    </row>
    <row r="337" spans="3:14" x14ac:dyDescent="0.25">
      <c r="C337" t="s">
        <v>1547</v>
      </c>
      <c r="D337" s="2" t="s">
        <v>334</v>
      </c>
      <c r="E337" t="s">
        <v>402</v>
      </c>
      <c r="F337" s="1">
        <v>0.7</v>
      </c>
      <c r="I337" t="str">
        <v>ES0125220311</v>
      </c>
      <c r="J337" t="str">
        <v>Green energy</v>
      </c>
      <c r="K337">
        <v>0.92</v>
      </c>
      <c r="L337" t="str" cm="1">
        <f t="array" ref="L337">_xlfn.TEXTJOIN(",",TRUE,_xlfn._xlws.FILTER($C$5:$C$1727,($D$5:$D$1727=I337)*($E$5:$E$1727=J337)*($F$5:$F$1727=K337)))</f>
        <v>EZ</v>
      </c>
      <c r="M337" t="b">
        <f t="shared" si="10"/>
        <v>0</v>
      </c>
      <c r="N337">
        <f t="shared" si="11"/>
        <v>1</v>
      </c>
    </row>
    <row r="338" spans="3:14" x14ac:dyDescent="0.25">
      <c r="C338" t="s">
        <v>1547</v>
      </c>
      <c r="D338" s="2" t="s">
        <v>335</v>
      </c>
      <c r="E338" t="s">
        <v>403</v>
      </c>
      <c r="F338" s="1">
        <v>0.24</v>
      </c>
      <c r="I338" t="str">
        <v>ES0127797019</v>
      </c>
      <c r="J338" t="str">
        <v>Green energy</v>
      </c>
      <c r="K338">
        <v>1</v>
      </c>
      <c r="L338" t="str" cm="1">
        <f t="array" ref="L338">_xlfn.TEXTJOIN(",",TRUE,_xlfn._xlws.FILTER($C$5:$C$1727,($D$5:$D$1727=I338)*($E$5:$E$1727=J338)*($F$5:$F$1727=K338)))</f>
        <v>EZ</v>
      </c>
      <c r="M338" t="b">
        <f t="shared" si="10"/>
        <v>0</v>
      </c>
      <c r="N338">
        <f t="shared" si="11"/>
        <v>1</v>
      </c>
    </row>
    <row r="339" spans="3:14" x14ac:dyDescent="0.25">
      <c r="C339" t="s">
        <v>1547</v>
      </c>
      <c r="D339" s="2" t="s">
        <v>336</v>
      </c>
      <c r="E339" t="s">
        <v>400</v>
      </c>
      <c r="F339" s="1">
        <v>0</v>
      </c>
      <c r="I339" t="str">
        <v>ES0129743318</v>
      </c>
      <c r="J339" t="str">
        <v>Excluded</v>
      </c>
      <c r="K339">
        <v>0</v>
      </c>
      <c r="L339" t="str" cm="1">
        <f t="array" ref="L339">_xlfn.TEXTJOIN(",",TRUE,_xlfn._xlws.FILTER($C$5:$C$1727,($D$5:$D$1727=I339)*($E$5:$E$1727=J339)*($F$5:$F$1727=K339)))</f>
        <v>EZ</v>
      </c>
      <c r="M339" t="b">
        <f t="shared" si="10"/>
        <v>0</v>
      </c>
      <c r="N339">
        <f t="shared" si="11"/>
        <v>0</v>
      </c>
    </row>
    <row r="340" spans="3:14" x14ac:dyDescent="0.25">
      <c r="C340" t="s">
        <v>1547</v>
      </c>
      <c r="D340" s="2" t="s">
        <v>337</v>
      </c>
      <c r="E340" t="s">
        <v>403</v>
      </c>
      <c r="F340" s="1">
        <v>0.45</v>
      </c>
      <c r="I340" t="str">
        <v>ES0130670112</v>
      </c>
      <c r="J340" t="str">
        <v>Excluded</v>
      </c>
      <c r="K340">
        <v>0</v>
      </c>
      <c r="L340" t="str" cm="1">
        <f t="array" ref="L340">_xlfn.TEXTJOIN(",",TRUE,_xlfn._xlws.FILTER($C$5:$C$1727,($D$5:$D$1727=I340)*($E$5:$E$1727=J340)*($F$5:$F$1727=K340)))</f>
        <v>EZ,Global</v>
      </c>
      <c r="M340" t="b">
        <f t="shared" si="10"/>
        <v>0</v>
      </c>
      <c r="N340">
        <f t="shared" si="11"/>
        <v>0</v>
      </c>
    </row>
    <row r="341" spans="3:14" x14ac:dyDescent="0.25">
      <c r="C341" t="s">
        <v>1547</v>
      </c>
      <c r="D341" s="2" t="s">
        <v>338</v>
      </c>
      <c r="E341" t="s">
        <v>401</v>
      </c>
      <c r="F341" s="1">
        <v>0</v>
      </c>
      <c r="I341" t="str">
        <v>ES0130960018</v>
      </c>
      <c r="J341" t="str">
        <v>Excluded</v>
      </c>
      <c r="K341">
        <v>0</v>
      </c>
      <c r="L341" t="str" cm="1">
        <f t="array" ref="L341">_xlfn.TEXTJOIN(",",TRUE,_xlfn._xlws.FILTER($C$5:$C$1727,($D$5:$D$1727=I341)*($E$5:$E$1727=J341)*($F$5:$F$1727=K341)))</f>
        <v>EZ</v>
      </c>
      <c r="M341" t="b">
        <f t="shared" si="10"/>
        <v>0</v>
      </c>
      <c r="N341">
        <f t="shared" si="11"/>
        <v>0</v>
      </c>
    </row>
    <row r="342" spans="3:14" x14ac:dyDescent="0.25">
      <c r="C342" t="s">
        <v>1547</v>
      </c>
      <c r="D342" s="2" t="s">
        <v>339</v>
      </c>
      <c r="E342" t="s">
        <v>400</v>
      </c>
      <c r="F342" s="1">
        <v>0</v>
      </c>
      <c r="I342" t="str">
        <v>ES0132105018</v>
      </c>
      <c r="J342" t="str">
        <v>Excluded</v>
      </c>
      <c r="K342">
        <v>0</v>
      </c>
      <c r="L342" t="str" cm="1">
        <f t="array" ref="L342">_xlfn.TEXTJOIN(",",TRUE,_xlfn._xlws.FILTER($C$5:$C$1727,($D$5:$D$1727=I342)*($E$5:$E$1727=J342)*($F$5:$F$1727=K342)))</f>
        <v>EZ</v>
      </c>
      <c r="M342" t="b">
        <f t="shared" si="10"/>
        <v>0</v>
      </c>
      <c r="N342">
        <f t="shared" si="11"/>
        <v>1</v>
      </c>
    </row>
    <row r="343" spans="3:14" x14ac:dyDescent="0.25">
      <c r="C343" t="s">
        <v>1547</v>
      </c>
      <c r="D343" s="2" t="s">
        <v>340</v>
      </c>
      <c r="E343" t="s">
        <v>400</v>
      </c>
      <c r="F343" s="1">
        <v>0</v>
      </c>
      <c r="I343" t="str">
        <v>ES0137650018</v>
      </c>
      <c r="J343" t="str">
        <v>Climate change adaptation</v>
      </c>
      <c r="K343">
        <v>0.12</v>
      </c>
      <c r="L343" t="str" cm="1">
        <f t="array" ref="L343">_xlfn.TEXTJOIN(",",TRUE,_xlfn._xlws.FILTER($C$5:$C$1727,($D$5:$D$1727=I343)*($E$5:$E$1727=J343)*($F$5:$F$1727=K343)))</f>
        <v>EZ</v>
      </c>
      <c r="M343" t="b">
        <f t="shared" si="10"/>
        <v>0</v>
      </c>
      <c r="N343">
        <f t="shared" si="11"/>
        <v>1</v>
      </c>
    </row>
    <row r="344" spans="3:14" x14ac:dyDescent="0.25">
      <c r="C344" t="s">
        <v>1547</v>
      </c>
      <c r="D344" s="2" t="s">
        <v>341</v>
      </c>
      <c r="E344" t="s">
        <v>401</v>
      </c>
      <c r="F344" s="1">
        <v>0</v>
      </c>
      <c r="I344" t="str">
        <v>ES0139140174</v>
      </c>
      <c r="J344" t="str">
        <v>Ecoconstruction</v>
      </c>
      <c r="K344">
        <v>0.93</v>
      </c>
      <c r="L344" t="str" cm="1">
        <f t="array" ref="L344">_xlfn.TEXTJOIN(",",TRUE,_xlfn._xlws.FILTER($C$5:$C$1727,($D$5:$D$1727=I344)*($E$5:$E$1727=J344)*($F$5:$F$1727=K344)))</f>
        <v>EZ</v>
      </c>
      <c r="M344" t="b">
        <f t="shared" si="10"/>
        <v>0</v>
      </c>
      <c r="N344">
        <f t="shared" si="11"/>
        <v>0</v>
      </c>
    </row>
    <row r="345" spans="3:14" x14ac:dyDescent="0.25">
      <c r="C345" t="s">
        <v>1547</v>
      </c>
      <c r="D345" s="2" t="s">
        <v>342</v>
      </c>
      <c r="E345" t="s">
        <v>400</v>
      </c>
      <c r="F345" s="1">
        <v>0</v>
      </c>
      <c r="I345" t="str">
        <v>ES0140609019</v>
      </c>
      <c r="J345" t="str">
        <v>Not included in a theme</v>
      </c>
      <c r="K345">
        <v>0</v>
      </c>
      <c r="L345" t="str" cm="1">
        <f t="array" ref="L345">_xlfn.TEXTJOIN(",",TRUE,_xlfn._xlws.FILTER($C$5:$C$1727,($D$5:$D$1727=I345)*($E$5:$E$1727=J345)*($F$5:$F$1727=K345)))</f>
        <v>EZ,Global</v>
      </c>
      <c r="M345" t="b">
        <f t="shared" si="10"/>
        <v>0</v>
      </c>
      <c r="N345">
        <f t="shared" si="11"/>
        <v>1</v>
      </c>
    </row>
    <row r="346" spans="3:14" x14ac:dyDescent="0.25">
      <c r="C346" t="s">
        <v>1547</v>
      </c>
      <c r="D346" s="2" t="s">
        <v>343</v>
      </c>
      <c r="E346" t="s">
        <v>400</v>
      </c>
      <c r="F346" s="1">
        <v>0</v>
      </c>
      <c r="I346" t="str">
        <v>ES0144580Y14</v>
      </c>
      <c r="J346" t="str">
        <v>Excluded</v>
      </c>
      <c r="K346">
        <v>0</v>
      </c>
      <c r="L346" t="str" cm="1">
        <f t="array" ref="L346">_xlfn.TEXTJOIN(",",TRUE,_xlfn._xlws.FILTER($C$5:$C$1727,($D$5:$D$1727=I346)*($E$5:$E$1727=J346)*($F$5:$F$1727=K346)))</f>
        <v>EZ,Global</v>
      </c>
      <c r="M346" t="b">
        <f t="shared" si="10"/>
        <v>0</v>
      </c>
      <c r="N346">
        <f t="shared" si="11"/>
        <v>0</v>
      </c>
    </row>
    <row r="347" spans="3:14" x14ac:dyDescent="0.25">
      <c r="C347" t="s">
        <v>1547</v>
      </c>
      <c r="D347" s="2" t="s">
        <v>344</v>
      </c>
      <c r="E347" t="s">
        <v>408</v>
      </c>
      <c r="F347" s="1">
        <v>0.59</v>
      </c>
      <c r="I347" t="str">
        <v>ES0148396007</v>
      </c>
      <c r="J347" t="str">
        <v>Excluded</v>
      </c>
      <c r="K347">
        <v>0</v>
      </c>
      <c r="L347" t="str" cm="1">
        <f t="array" ref="L347">_xlfn.TEXTJOIN(",",TRUE,_xlfn._xlws.FILTER($C$5:$C$1727,($D$5:$D$1727=I347)*($E$5:$E$1727=J347)*($F$5:$F$1727=K347)))</f>
        <v>EZ,Global</v>
      </c>
      <c r="M347" t="b">
        <f t="shared" si="10"/>
        <v>0</v>
      </c>
      <c r="N347">
        <f t="shared" si="11"/>
        <v>1</v>
      </c>
    </row>
    <row r="348" spans="3:14" x14ac:dyDescent="0.25">
      <c r="C348" t="s">
        <v>1547</v>
      </c>
      <c r="D348" s="2" t="s">
        <v>345</v>
      </c>
      <c r="E348" t="s">
        <v>401</v>
      </c>
      <c r="F348" s="1">
        <v>0</v>
      </c>
      <c r="I348" t="str">
        <v>ES0157097017</v>
      </c>
      <c r="J348" t="str">
        <v>Not included in a theme</v>
      </c>
      <c r="K348">
        <v>0</v>
      </c>
      <c r="L348" t="str" cm="1">
        <f t="array" ref="L348">_xlfn.TEXTJOIN(",",TRUE,_xlfn._xlws.FILTER($C$5:$C$1727,($D$5:$D$1727=I348)*($E$5:$E$1727=J348)*($F$5:$F$1727=K348)))</f>
        <v>EZ</v>
      </c>
      <c r="M348" t="b">
        <f t="shared" si="10"/>
        <v>0</v>
      </c>
      <c r="N348">
        <f t="shared" si="11"/>
        <v>0</v>
      </c>
    </row>
    <row r="349" spans="3:14" x14ac:dyDescent="0.25">
      <c r="C349" t="s">
        <v>1547</v>
      </c>
      <c r="D349" s="2" t="s">
        <v>346</v>
      </c>
      <c r="E349" t="s">
        <v>403</v>
      </c>
      <c r="F349" s="1">
        <v>0.12</v>
      </c>
      <c r="I349" t="str">
        <v>ES0157261019</v>
      </c>
      <c r="J349" t="str">
        <v>Not included in a theme</v>
      </c>
      <c r="K349">
        <v>0</v>
      </c>
      <c r="L349" t="str" cm="1">
        <f t="array" ref="L349">_xlfn.TEXTJOIN(",",TRUE,_xlfn._xlws.FILTER($C$5:$C$1727,($D$5:$D$1727=I349)*($E$5:$E$1727=J349)*($F$5:$F$1727=K349)))</f>
        <v>EZ</v>
      </c>
      <c r="M349" t="b">
        <f t="shared" si="10"/>
        <v>0</v>
      </c>
      <c r="N349">
        <f t="shared" si="11"/>
        <v>0</v>
      </c>
    </row>
    <row r="350" spans="3:14" x14ac:dyDescent="0.25">
      <c r="C350" t="s">
        <v>1547</v>
      </c>
      <c r="D350" s="2" t="s">
        <v>347</v>
      </c>
      <c r="E350" t="s">
        <v>408</v>
      </c>
      <c r="F350" s="1">
        <v>0.38</v>
      </c>
      <c r="I350" t="str">
        <v>ES0167050915</v>
      </c>
      <c r="J350" t="str">
        <v>Excluded</v>
      </c>
      <c r="K350">
        <v>0</v>
      </c>
      <c r="L350" t="str" cm="1">
        <f t="array" ref="L350">_xlfn.TEXTJOIN(",",TRUE,_xlfn._xlws.FILTER($C$5:$C$1727,($D$5:$D$1727=I350)*($E$5:$E$1727=J350)*($F$5:$F$1727=K350)))</f>
        <v>EZ,Global</v>
      </c>
      <c r="M350" t="b">
        <f t="shared" si="10"/>
        <v>0</v>
      </c>
      <c r="N350">
        <f t="shared" si="11"/>
        <v>0</v>
      </c>
    </row>
    <row r="351" spans="3:14" x14ac:dyDescent="0.25">
      <c r="C351" t="s">
        <v>1547</v>
      </c>
      <c r="D351" s="2" t="s">
        <v>348</v>
      </c>
      <c r="E351" t="s">
        <v>403</v>
      </c>
      <c r="F351" s="1">
        <v>0.71</v>
      </c>
      <c r="I351" t="str">
        <v>ES0171996087</v>
      </c>
      <c r="J351" t="str">
        <v>Excluded</v>
      </c>
      <c r="K351">
        <v>0</v>
      </c>
      <c r="L351" t="str" cm="1">
        <f t="array" ref="L351">_xlfn.TEXTJOIN(",",TRUE,_xlfn._xlws.FILTER($C$5:$C$1727,($D$5:$D$1727=I351)*($E$5:$E$1727=J351)*($F$5:$F$1727=K351)))</f>
        <v>EZ</v>
      </c>
      <c r="M351" t="b">
        <f t="shared" si="10"/>
        <v>0</v>
      </c>
      <c r="N351">
        <f t="shared" si="11"/>
        <v>1</v>
      </c>
    </row>
    <row r="352" spans="3:14" x14ac:dyDescent="0.25">
      <c r="C352" t="s">
        <v>1547</v>
      </c>
      <c r="D352" s="2" t="s">
        <v>349</v>
      </c>
      <c r="E352" t="s">
        <v>400</v>
      </c>
      <c r="F352" s="1">
        <v>0</v>
      </c>
      <c r="I352" t="str">
        <v>ES0173093024</v>
      </c>
      <c r="J352" t="str">
        <v>Green energy</v>
      </c>
      <c r="K352">
        <v>0.87</v>
      </c>
      <c r="L352" t="str" cm="1">
        <f t="array" ref="L352">_xlfn.TEXTJOIN(",",TRUE,_xlfn._xlws.FILTER($C$5:$C$1727,($D$5:$D$1727=I352)*($E$5:$E$1727=J352)*($F$5:$F$1727=K352)))</f>
        <v>EZ,Global</v>
      </c>
      <c r="M352" t="b">
        <f t="shared" si="10"/>
        <v>0</v>
      </c>
      <c r="N352">
        <f t="shared" si="11"/>
        <v>1</v>
      </c>
    </row>
    <row r="353" spans="3:14" x14ac:dyDescent="0.25">
      <c r="C353" t="s">
        <v>1547</v>
      </c>
      <c r="D353" s="2" t="s">
        <v>350</v>
      </c>
      <c r="E353" t="s">
        <v>400</v>
      </c>
      <c r="F353" s="1">
        <v>0</v>
      </c>
      <c r="I353" t="str">
        <v>ES0173516115</v>
      </c>
      <c r="J353" t="str">
        <v>Excluded</v>
      </c>
      <c r="K353">
        <v>0</v>
      </c>
      <c r="L353" t="str" cm="1">
        <f t="array" ref="L353">_xlfn.TEXTJOIN(",",TRUE,_xlfn._xlws.FILTER($C$5:$C$1727,($D$5:$D$1727=I353)*($E$5:$E$1727=J353)*($F$5:$F$1727=K353)))</f>
        <v>EZ,Global</v>
      </c>
      <c r="M353" t="b">
        <f t="shared" si="10"/>
        <v>0</v>
      </c>
      <c r="N353">
        <f t="shared" si="11"/>
        <v>0</v>
      </c>
    </row>
    <row r="354" spans="3:14" x14ac:dyDescent="0.25">
      <c r="C354" t="s">
        <v>1547</v>
      </c>
      <c r="D354" s="2" t="s">
        <v>351</v>
      </c>
      <c r="E354" t="s">
        <v>400</v>
      </c>
      <c r="F354" s="1">
        <v>0</v>
      </c>
      <c r="I354" t="str">
        <v>ES0177542018</v>
      </c>
      <c r="J354" t="str">
        <v>Excluded</v>
      </c>
      <c r="K354">
        <v>0</v>
      </c>
      <c r="L354" t="str" cm="1">
        <f t="array" ref="L354">_xlfn.TEXTJOIN(",",TRUE,_xlfn._xlws.FILTER($C$5:$C$1727,($D$5:$D$1727=I354)*($E$5:$E$1727=J354)*($F$5:$F$1727=K354)))</f>
        <v>Global</v>
      </c>
      <c r="M354" t="b">
        <f t="shared" si="10"/>
        <v>0</v>
      </c>
      <c r="N354">
        <f t="shared" si="11"/>
        <v>0</v>
      </c>
    </row>
    <row r="355" spans="3:14" x14ac:dyDescent="0.25">
      <c r="C355" t="s">
        <v>1547</v>
      </c>
      <c r="D355" s="2" t="s">
        <v>352</v>
      </c>
      <c r="E355" t="s">
        <v>400</v>
      </c>
      <c r="F355" s="1">
        <v>0</v>
      </c>
      <c r="I355" t="str">
        <v>ES0178165017</v>
      </c>
      <c r="J355" t="str">
        <v>Excluded</v>
      </c>
      <c r="K355">
        <v>0</v>
      </c>
      <c r="L355" t="str" cm="1">
        <f t="array" ref="L355">_xlfn.TEXTJOIN(",",TRUE,_xlfn._xlws.FILTER($C$5:$C$1727,($D$5:$D$1727=I355)*($E$5:$E$1727=J355)*($F$5:$F$1727=K355)))</f>
        <v>EZ</v>
      </c>
      <c r="M355" t="b">
        <f t="shared" si="10"/>
        <v>0</v>
      </c>
      <c r="N355">
        <f t="shared" si="11"/>
        <v>0</v>
      </c>
    </row>
    <row r="356" spans="3:14" x14ac:dyDescent="0.25">
      <c r="C356" t="s">
        <v>1547</v>
      </c>
      <c r="D356" s="2" t="s">
        <v>353</v>
      </c>
      <c r="E356" t="s">
        <v>400</v>
      </c>
      <c r="F356" s="1">
        <v>0</v>
      </c>
      <c r="I356" t="str">
        <v>ES0178430E18</v>
      </c>
      <c r="J356" t="str">
        <v>Not included in a theme</v>
      </c>
      <c r="K356">
        <v>0</v>
      </c>
      <c r="L356" t="str" cm="1">
        <f t="array" ref="L356">_xlfn.TEXTJOIN(",",TRUE,_xlfn._xlws.FILTER($C$5:$C$1727,($D$5:$D$1727=I356)*($E$5:$E$1727=J356)*($F$5:$F$1727=K356)))</f>
        <v>EZ,Global</v>
      </c>
      <c r="M356" t="b">
        <f t="shared" si="10"/>
        <v>0</v>
      </c>
      <c r="N356">
        <f t="shared" si="11"/>
        <v>1</v>
      </c>
    </row>
    <row r="357" spans="3:14" x14ac:dyDescent="0.25">
      <c r="C357" t="s">
        <v>1547</v>
      </c>
      <c r="D357" s="2" t="s">
        <v>354</v>
      </c>
      <c r="E357" t="s">
        <v>403</v>
      </c>
      <c r="F357" s="1">
        <v>1</v>
      </c>
      <c r="I357" t="str">
        <v>ES0180907000</v>
      </c>
      <c r="J357" t="str">
        <v>Not included in a theme</v>
      </c>
      <c r="K357">
        <v>0</v>
      </c>
      <c r="L357" t="str" cm="1">
        <f t="array" ref="L357">_xlfn.TEXTJOIN(",",TRUE,_xlfn._xlws.FILTER($C$5:$C$1727,($D$5:$D$1727=I357)*($E$5:$E$1727=J357)*($F$5:$F$1727=K357)))</f>
        <v>EZ</v>
      </c>
      <c r="M357" t="b">
        <f t="shared" si="10"/>
        <v>0</v>
      </c>
      <c r="N357">
        <f t="shared" si="11"/>
        <v>0</v>
      </c>
    </row>
    <row r="358" spans="3:14" x14ac:dyDescent="0.25">
      <c r="C358" t="s">
        <v>1547</v>
      </c>
      <c r="D358" s="2" t="s">
        <v>355</v>
      </c>
      <c r="E358" t="s">
        <v>403</v>
      </c>
      <c r="F358" s="1">
        <v>0.14000000000000001</v>
      </c>
      <c r="I358" t="str">
        <v>ES0182870214</v>
      </c>
      <c r="J358" t="str">
        <v>Climate change adaptation</v>
      </c>
      <c r="K358">
        <v>0.38</v>
      </c>
      <c r="L358" t="str" cm="1">
        <f t="array" ref="L358">_xlfn.TEXTJOIN(",",TRUE,_xlfn._xlws.FILTER($C$5:$C$1727,($D$5:$D$1727=I358)*($E$5:$E$1727=J358)*($F$5:$F$1727=K358)))</f>
        <v>EZ</v>
      </c>
      <c r="M358" t="b">
        <f t="shared" si="10"/>
        <v>0</v>
      </c>
      <c r="N358">
        <f t="shared" si="11"/>
        <v>0</v>
      </c>
    </row>
    <row r="359" spans="3:14" x14ac:dyDescent="0.25">
      <c r="C359" t="s">
        <v>1547</v>
      </c>
      <c r="D359" s="2" t="s">
        <v>356</v>
      </c>
      <c r="E359" t="s">
        <v>400</v>
      </c>
      <c r="F359" s="1">
        <v>0</v>
      </c>
      <c r="I359" t="str">
        <v>ES0183746314</v>
      </c>
      <c r="J359" t="str">
        <v>Excluded</v>
      </c>
      <c r="K359">
        <v>0</v>
      </c>
      <c r="L359" t="str" cm="1">
        <f t="array" ref="L359">_xlfn.TEXTJOIN(",",TRUE,_xlfn._xlws.FILTER($C$5:$C$1727,($D$5:$D$1727=I359)*($E$5:$E$1727=J359)*($F$5:$F$1727=K359)))</f>
        <v>EZ</v>
      </c>
      <c r="M359" t="b">
        <f t="shared" si="10"/>
        <v>0</v>
      </c>
      <c r="N359">
        <f t="shared" si="11"/>
        <v>0</v>
      </c>
    </row>
    <row r="360" spans="3:14" x14ac:dyDescent="0.25">
      <c r="C360" t="s">
        <v>1547</v>
      </c>
      <c r="D360" s="2" t="s">
        <v>357</v>
      </c>
      <c r="E360" t="s">
        <v>401</v>
      </c>
      <c r="F360" s="1">
        <v>0</v>
      </c>
      <c r="I360" t="str">
        <v>ES0184262212</v>
      </c>
      <c r="J360" t="str">
        <v>Excluded</v>
      </c>
      <c r="K360">
        <v>0</v>
      </c>
      <c r="L360" t="str" cm="1">
        <f t="array" ref="L360">_xlfn.TEXTJOIN(",",TRUE,_xlfn._xlws.FILTER($C$5:$C$1727,($D$5:$D$1727=I360)*($E$5:$E$1727=J360)*($F$5:$F$1727=K360)))</f>
        <v>EZ</v>
      </c>
      <c r="M360" t="b">
        <f t="shared" si="10"/>
        <v>0</v>
      </c>
      <c r="N360">
        <f t="shared" si="11"/>
        <v>0</v>
      </c>
    </row>
    <row r="361" spans="3:14" x14ac:dyDescent="0.25">
      <c r="C361" t="s">
        <v>1547</v>
      </c>
      <c r="D361" s="2" t="s">
        <v>358</v>
      </c>
      <c r="E361" t="s">
        <v>402</v>
      </c>
      <c r="F361" s="1">
        <v>0.4</v>
      </c>
      <c r="I361" t="str">
        <v>FI0009000202</v>
      </c>
      <c r="J361" t="str">
        <v>Clean transport</v>
      </c>
      <c r="K361">
        <v>0.31</v>
      </c>
      <c r="L361" t="str" cm="1">
        <f t="array" ref="L361">_xlfn.TEXTJOIN(",",TRUE,_xlfn._xlws.FILTER($C$5:$C$1727,($D$5:$D$1727=I361)*($E$5:$E$1727=J361)*($F$5:$F$1727=K361)))</f>
        <v>EZ</v>
      </c>
      <c r="M361" t="b">
        <f t="shared" si="10"/>
        <v>0</v>
      </c>
      <c r="N361">
        <f t="shared" si="11"/>
        <v>1</v>
      </c>
    </row>
    <row r="362" spans="3:14" x14ac:dyDescent="0.25">
      <c r="C362" t="s">
        <v>1547</v>
      </c>
      <c r="D362" s="2" t="s">
        <v>359</v>
      </c>
      <c r="E362" t="s">
        <v>399</v>
      </c>
      <c r="F362" s="1">
        <v>0.17</v>
      </c>
      <c r="I362" t="str">
        <v>FI0009000277</v>
      </c>
      <c r="J362" t="str">
        <v>Information technology</v>
      </c>
      <c r="K362">
        <v>0.1</v>
      </c>
      <c r="L362" t="str" cm="1">
        <f t="array" ref="L362">_xlfn.TEXTJOIN(",",TRUE,_xlfn._xlws.FILTER($C$5:$C$1727,($D$5:$D$1727=I362)*($E$5:$E$1727=J362)*($F$5:$F$1727=K362)))</f>
        <v>EZ</v>
      </c>
      <c r="M362" t="b">
        <f t="shared" si="10"/>
        <v>0</v>
      </c>
      <c r="N362">
        <f t="shared" si="11"/>
        <v>0</v>
      </c>
    </row>
    <row r="363" spans="3:14" x14ac:dyDescent="0.25">
      <c r="C363" t="s">
        <v>1547</v>
      </c>
      <c r="D363" s="2" t="s">
        <v>360</v>
      </c>
      <c r="E363" t="s">
        <v>400</v>
      </c>
      <c r="F363" s="1">
        <v>0</v>
      </c>
      <c r="I363" t="str">
        <v>FI0009000459</v>
      </c>
      <c r="J363" t="str">
        <v>Circular economy</v>
      </c>
      <c r="K363">
        <v>0.7</v>
      </c>
      <c r="L363" t="str" cm="1">
        <f t="array" ref="L363">_xlfn.TEXTJOIN(",",TRUE,_xlfn._xlws.FILTER($C$5:$C$1727,($D$5:$D$1727=I363)*($E$5:$E$1727=J363)*($F$5:$F$1727=K363)))</f>
        <v>EZ</v>
      </c>
      <c r="M363" t="b">
        <f t="shared" si="10"/>
        <v>0</v>
      </c>
      <c r="N363">
        <f t="shared" si="11"/>
        <v>1</v>
      </c>
    </row>
    <row r="364" spans="3:14" x14ac:dyDescent="0.25">
      <c r="C364" t="s">
        <v>1547</v>
      </c>
      <c r="D364" s="2" t="s">
        <v>361</v>
      </c>
      <c r="E364" t="s">
        <v>401</v>
      </c>
      <c r="F364" s="1">
        <v>0</v>
      </c>
      <c r="I364" t="str">
        <v>FI0009000681</v>
      </c>
      <c r="J364" t="str">
        <v>Information technology</v>
      </c>
      <c r="K364">
        <v>0.34</v>
      </c>
      <c r="L364" t="str" cm="1">
        <f t="array" ref="L364">_xlfn.TEXTJOIN(",",TRUE,_xlfn._xlws.FILTER($C$5:$C$1727,($D$5:$D$1727=I364)*($E$5:$E$1727=J364)*($F$5:$F$1727=K364)))</f>
        <v>EZ,Global</v>
      </c>
      <c r="M364" t="b">
        <f t="shared" si="10"/>
        <v>0</v>
      </c>
      <c r="N364">
        <f t="shared" si="11"/>
        <v>1</v>
      </c>
    </row>
    <row r="365" spans="3:14" x14ac:dyDescent="0.25">
      <c r="C365" t="s">
        <v>1547</v>
      </c>
      <c r="D365" s="2" t="s">
        <v>362</v>
      </c>
      <c r="E365" t="s">
        <v>400</v>
      </c>
      <c r="F365" s="1">
        <v>0</v>
      </c>
      <c r="I365" t="str">
        <v>FI0009003727</v>
      </c>
      <c r="J365" t="str">
        <v>Excluded</v>
      </c>
      <c r="K365">
        <v>0</v>
      </c>
      <c r="L365" t="str" cm="1">
        <f t="array" ref="L365">_xlfn.TEXTJOIN(",",TRUE,_xlfn._xlws.FILTER($C$5:$C$1727,($D$5:$D$1727=I365)*($E$5:$E$1727=J365)*($F$5:$F$1727=K365)))</f>
        <v>EZ,Global</v>
      </c>
      <c r="M365" t="b">
        <f t="shared" si="10"/>
        <v>0</v>
      </c>
      <c r="N365">
        <f t="shared" si="11"/>
        <v>0</v>
      </c>
    </row>
    <row r="366" spans="3:14" x14ac:dyDescent="0.25">
      <c r="C366" t="s">
        <v>1547</v>
      </c>
      <c r="D366" s="2" t="s">
        <v>363</v>
      </c>
      <c r="E366" t="s">
        <v>403</v>
      </c>
      <c r="F366" s="1">
        <v>0.29199999999999998</v>
      </c>
      <c r="I366" t="str">
        <v>FI0009004824</v>
      </c>
      <c r="J366" t="str">
        <v>Climate change adaptation</v>
      </c>
      <c r="K366">
        <v>0.59</v>
      </c>
      <c r="L366" t="str" cm="1">
        <f t="array" ref="L366">_xlfn.TEXTJOIN(",",TRUE,_xlfn._xlws.FILTER($C$5:$C$1727,($D$5:$D$1727=I366)*($E$5:$E$1727=J366)*($F$5:$F$1727=K366)))</f>
        <v>EZ</v>
      </c>
      <c r="M366" t="b">
        <f t="shared" si="10"/>
        <v>0</v>
      </c>
      <c r="N366">
        <f t="shared" si="11"/>
        <v>0</v>
      </c>
    </row>
    <row r="367" spans="3:14" x14ac:dyDescent="0.25">
      <c r="C367" t="s">
        <v>1547</v>
      </c>
      <c r="D367" s="2" t="s">
        <v>364</v>
      </c>
      <c r="E367" t="s">
        <v>400</v>
      </c>
      <c r="F367" s="1">
        <v>0</v>
      </c>
      <c r="I367" t="str">
        <v>FI0009005870</v>
      </c>
      <c r="J367" t="str">
        <v>Clean transport</v>
      </c>
      <c r="K367">
        <v>0.64</v>
      </c>
      <c r="L367" t="str" cm="1">
        <f t="array" ref="L367">_xlfn.TEXTJOIN(",",TRUE,_xlfn._xlws.FILTER($C$5:$C$1727,($D$5:$D$1727=I367)*($E$5:$E$1727=J367)*($F$5:$F$1727=K367)))</f>
        <v>EZ,Global</v>
      </c>
      <c r="M367" t="b">
        <f t="shared" si="10"/>
        <v>0</v>
      </c>
      <c r="N367">
        <f t="shared" si="11"/>
        <v>1</v>
      </c>
    </row>
    <row r="368" spans="3:14" x14ac:dyDescent="0.25">
      <c r="C368" t="s">
        <v>1547</v>
      </c>
      <c r="D368" s="2" t="s">
        <v>365</v>
      </c>
      <c r="E368" t="s">
        <v>400</v>
      </c>
      <c r="F368" s="1">
        <v>0</v>
      </c>
      <c r="I368" t="str">
        <v>FI0009005961</v>
      </c>
      <c r="J368" t="str">
        <v>Agriculture and forestry</v>
      </c>
      <c r="K368">
        <v>1</v>
      </c>
      <c r="L368" t="str" cm="1">
        <f t="array" ref="L368">_xlfn.TEXTJOIN(",",TRUE,_xlfn._xlws.FILTER($C$5:$C$1727,($D$5:$D$1727=I368)*($E$5:$E$1727=J368)*($F$5:$F$1727=K368)))</f>
        <v>EZ,Global</v>
      </c>
      <c r="M368" t="b">
        <f t="shared" si="10"/>
        <v>0</v>
      </c>
      <c r="N368">
        <f t="shared" si="11"/>
        <v>1</v>
      </c>
    </row>
    <row r="369" spans="3:14" x14ac:dyDescent="0.25">
      <c r="C369" t="s">
        <v>1547</v>
      </c>
      <c r="D369" s="2" t="s">
        <v>366</v>
      </c>
      <c r="E369" t="s">
        <v>400</v>
      </c>
      <c r="F369" s="1">
        <v>0</v>
      </c>
      <c r="I369" t="str">
        <v>FI0009005987</v>
      </c>
      <c r="J369" t="str">
        <v>Circular economy</v>
      </c>
      <c r="K369">
        <v>0.96</v>
      </c>
      <c r="L369" t="str" cm="1">
        <f t="array" ref="L369">_xlfn.TEXTJOIN(",",TRUE,_xlfn._xlws.FILTER($C$5:$C$1727,($D$5:$D$1727=I369)*($E$5:$E$1727=J369)*($F$5:$F$1727=K369)))</f>
        <v>EZ,Global</v>
      </c>
      <c r="M369" t="b">
        <f t="shared" si="10"/>
        <v>0</v>
      </c>
      <c r="N369">
        <f t="shared" si="11"/>
        <v>1</v>
      </c>
    </row>
    <row r="370" spans="3:14" x14ac:dyDescent="0.25">
      <c r="C370" t="s">
        <v>1547</v>
      </c>
      <c r="D370" s="2" t="s">
        <v>367</v>
      </c>
      <c r="E370" t="s">
        <v>405</v>
      </c>
      <c r="F370" s="1">
        <v>0.28999999999999998</v>
      </c>
      <c r="I370" t="str">
        <v>FI0009007132</v>
      </c>
      <c r="J370" t="str">
        <v>Excluded</v>
      </c>
      <c r="K370">
        <v>0</v>
      </c>
      <c r="L370" t="str" cm="1">
        <f t="array" ref="L370">_xlfn.TEXTJOIN(",",TRUE,_xlfn._xlws.FILTER($C$5:$C$1727,($D$5:$D$1727=I370)*($E$5:$E$1727=J370)*($F$5:$F$1727=K370)))</f>
        <v>EZ,Global</v>
      </c>
      <c r="M370" t="b">
        <f t="shared" si="10"/>
        <v>0</v>
      </c>
      <c r="N370">
        <f t="shared" si="11"/>
        <v>0</v>
      </c>
    </row>
    <row r="371" spans="3:14" x14ac:dyDescent="0.25">
      <c r="C371" t="s">
        <v>1547</v>
      </c>
      <c r="D371" s="2" t="s">
        <v>368</v>
      </c>
      <c r="E371" t="s">
        <v>403</v>
      </c>
      <c r="F371" s="1">
        <v>0.85</v>
      </c>
      <c r="I371" t="str">
        <v>FI0009007884</v>
      </c>
      <c r="J371" t="str">
        <v>Not included in a theme</v>
      </c>
      <c r="K371">
        <v>0</v>
      </c>
      <c r="L371" t="str" cm="1">
        <f t="array" ref="L371">_xlfn.TEXTJOIN(",",TRUE,_xlfn._xlws.FILTER($C$5:$C$1727,($D$5:$D$1727=I371)*($E$5:$E$1727=J371)*($F$5:$F$1727=K371)))</f>
        <v>EZ,Global</v>
      </c>
      <c r="M371" t="b">
        <f t="shared" si="10"/>
        <v>0</v>
      </c>
      <c r="N371">
        <f t="shared" si="11"/>
        <v>1</v>
      </c>
    </row>
    <row r="372" spans="3:14" x14ac:dyDescent="0.25">
      <c r="C372" t="s">
        <v>1547</v>
      </c>
      <c r="D372" s="2" t="s">
        <v>369</v>
      </c>
      <c r="E372" t="s">
        <v>401</v>
      </c>
      <c r="F372" s="1">
        <v>0</v>
      </c>
      <c r="I372" t="str">
        <v>FI0009013296</v>
      </c>
      <c r="J372" t="str">
        <v>Excluded</v>
      </c>
      <c r="K372">
        <v>0</v>
      </c>
      <c r="L372" t="str" cm="1">
        <f t="array" ref="L372">_xlfn.TEXTJOIN(",",TRUE,_xlfn._xlws.FILTER($C$5:$C$1727,($D$5:$D$1727=I372)*($E$5:$E$1727=J372)*($F$5:$F$1727=K372)))</f>
        <v>EZ,Global</v>
      </c>
      <c r="M372" t="b">
        <f t="shared" si="10"/>
        <v>0</v>
      </c>
      <c r="N372">
        <f t="shared" si="11"/>
        <v>0</v>
      </c>
    </row>
    <row r="373" spans="3:14" x14ac:dyDescent="0.25">
      <c r="C373" t="s">
        <v>1547</v>
      </c>
      <c r="D373" s="2" t="s">
        <v>370</v>
      </c>
      <c r="E373" t="s">
        <v>400</v>
      </c>
      <c r="F373" s="1">
        <v>0</v>
      </c>
      <c r="I373" t="str">
        <v>FI0009013403</v>
      </c>
      <c r="J373" t="str">
        <v>Ecoconstruction</v>
      </c>
      <c r="K373">
        <v>0.6</v>
      </c>
      <c r="L373" t="str" cm="1">
        <f t="array" ref="L373">_xlfn.TEXTJOIN(",",TRUE,_xlfn._xlws.FILTER($C$5:$C$1727,($D$5:$D$1727=I373)*($E$5:$E$1727=J373)*($F$5:$F$1727=K373)))</f>
        <v>EZ,Global</v>
      </c>
      <c r="M373" t="b">
        <f t="shared" si="10"/>
        <v>0</v>
      </c>
      <c r="N373">
        <f t="shared" si="11"/>
        <v>1</v>
      </c>
    </row>
    <row r="374" spans="3:14" x14ac:dyDescent="0.25">
      <c r="C374" t="s">
        <v>1547</v>
      </c>
      <c r="D374" s="2" t="s">
        <v>371</v>
      </c>
      <c r="E374" t="s">
        <v>400</v>
      </c>
      <c r="F374" s="1">
        <v>0</v>
      </c>
      <c r="I374" t="str">
        <v>FI0009014377</v>
      </c>
      <c r="J374" t="str">
        <v>Not included in a theme</v>
      </c>
      <c r="K374">
        <v>0</v>
      </c>
      <c r="L374" t="str" cm="1">
        <f t="array" ref="L374">_xlfn.TEXTJOIN(",",TRUE,_xlfn._xlws.FILTER($C$5:$C$1727,($D$5:$D$1727=I374)*($E$5:$E$1727=J374)*($F$5:$F$1727=K374)))</f>
        <v>EZ,Global</v>
      </c>
      <c r="M374" t="b">
        <f t="shared" si="10"/>
        <v>0</v>
      </c>
      <c r="N374">
        <f t="shared" si="11"/>
        <v>1</v>
      </c>
    </row>
    <row r="375" spans="3:14" x14ac:dyDescent="0.25">
      <c r="C375" t="s">
        <v>1547</v>
      </c>
      <c r="D375" s="2" t="s">
        <v>372</v>
      </c>
      <c r="E375" t="s">
        <v>405</v>
      </c>
      <c r="F375" s="1">
        <v>1</v>
      </c>
      <c r="I375" t="str">
        <v>FI0009014575</v>
      </c>
      <c r="J375" t="str">
        <v>Eco-efficient industries</v>
      </c>
      <c r="K375">
        <v>0.26</v>
      </c>
      <c r="L375" t="str" cm="1">
        <f t="array" ref="L375">_xlfn.TEXTJOIN(",",TRUE,_xlfn._xlws.FILTER($C$5:$C$1727,($D$5:$D$1727=I375)*($E$5:$E$1727=J375)*($F$5:$F$1727=K375)))</f>
        <v>EZ</v>
      </c>
      <c r="M375" t="b">
        <f t="shared" si="10"/>
        <v>1</v>
      </c>
      <c r="N375">
        <f t="shared" si="11"/>
        <v>1</v>
      </c>
    </row>
    <row r="376" spans="3:14" x14ac:dyDescent="0.25">
      <c r="C376" t="s">
        <v>1547</v>
      </c>
      <c r="D376" s="2" t="s">
        <v>373</v>
      </c>
      <c r="E376" t="s">
        <v>400</v>
      </c>
      <c r="F376" s="1">
        <v>0</v>
      </c>
      <c r="I376" t="str">
        <v>FI0009014575</v>
      </c>
      <c r="J376" t="str">
        <v>Excluded</v>
      </c>
      <c r="K376">
        <v>0</v>
      </c>
      <c r="L376" t="str" cm="1">
        <f t="array" ref="L376">_xlfn.TEXTJOIN(",",TRUE,_xlfn._xlws.FILTER($C$5:$C$1727,($D$5:$D$1727=I376)*($E$5:$E$1727=J376)*($F$5:$F$1727=K376)))</f>
        <v>Global</v>
      </c>
      <c r="M376" t="b">
        <f t="shared" si="10"/>
        <v>1</v>
      </c>
      <c r="N376">
        <f t="shared" si="11"/>
        <v>1</v>
      </c>
    </row>
    <row r="377" spans="3:14" x14ac:dyDescent="0.25">
      <c r="C377" t="s">
        <v>1547</v>
      </c>
      <c r="D377" s="2" t="s">
        <v>374</v>
      </c>
      <c r="E377" t="s">
        <v>403</v>
      </c>
      <c r="F377" s="1">
        <v>0.48</v>
      </c>
      <c r="I377" t="str">
        <v>FI4000074984</v>
      </c>
      <c r="J377" t="str">
        <v>Eco-efficient industries</v>
      </c>
      <c r="K377">
        <v>0.62</v>
      </c>
      <c r="L377" t="str" cm="1">
        <f t="array" ref="L377">_xlfn.TEXTJOIN(",",TRUE,_xlfn._xlws.FILTER($C$5:$C$1727,($D$5:$D$1727=I377)*($E$5:$E$1727=J377)*($F$5:$F$1727=K377)))</f>
        <v>EZ</v>
      </c>
      <c r="M377" t="b">
        <f t="shared" si="10"/>
        <v>0</v>
      </c>
      <c r="N377">
        <f t="shared" si="11"/>
        <v>1</v>
      </c>
    </row>
    <row r="378" spans="3:14" x14ac:dyDescent="0.25">
      <c r="C378" t="s">
        <v>1547</v>
      </c>
      <c r="D378" s="2" t="s">
        <v>375</v>
      </c>
      <c r="E378" t="s">
        <v>401</v>
      </c>
      <c r="F378" s="1">
        <v>0</v>
      </c>
      <c r="I378" t="str">
        <v>FI4000297767</v>
      </c>
      <c r="J378" t="str">
        <v>Not included in a theme</v>
      </c>
      <c r="K378">
        <v>0</v>
      </c>
      <c r="L378" t="str" cm="1">
        <f t="array" ref="L378">_xlfn.TEXTJOIN(",",TRUE,_xlfn._xlws.FILTER($C$5:$C$1727,($D$5:$D$1727=I378)*($E$5:$E$1727=J378)*($F$5:$F$1727=K378)))</f>
        <v>EZ,Global</v>
      </c>
      <c r="M378" t="b">
        <f t="shared" si="10"/>
        <v>0</v>
      </c>
      <c r="N378">
        <f t="shared" si="11"/>
        <v>1</v>
      </c>
    </row>
    <row r="379" spans="3:14" x14ac:dyDescent="0.25">
      <c r="C379" t="s">
        <v>1547</v>
      </c>
      <c r="D379" s="2" t="s">
        <v>376</v>
      </c>
      <c r="E379" t="s">
        <v>400</v>
      </c>
      <c r="F379" s="1">
        <v>0</v>
      </c>
      <c r="I379" t="str">
        <v>FI4000312251</v>
      </c>
      <c r="J379" t="str">
        <v>Ecoconstruction</v>
      </c>
      <c r="K379">
        <v>0.29199999999999998</v>
      </c>
      <c r="L379" t="str" cm="1">
        <f t="array" ref="L379">_xlfn.TEXTJOIN(",",TRUE,_xlfn._xlws.FILTER($C$5:$C$1727,($D$5:$D$1727=I379)*($E$5:$E$1727=J379)*($F$5:$F$1727=K379)))</f>
        <v>EZ</v>
      </c>
      <c r="M379" t="b">
        <f t="shared" si="10"/>
        <v>0</v>
      </c>
      <c r="N379">
        <f t="shared" si="11"/>
        <v>0</v>
      </c>
    </row>
    <row r="380" spans="3:14" x14ac:dyDescent="0.25">
      <c r="C380" t="s">
        <v>1547</v>
      </c>
      <c r="D380" s="2" t="s">
        <v>377</v>
      </c>
      <c r="E380" t="s">
        <v>400</v>
      </c>
      <c r="F380" s="1">
        <v>0</v>
      </c>
      <c r="I380" t="str">
        <v>FI4000552500</v>
      </c>
      <c r="J380" t="str">
        <v>Excluded</v>
      </c>
      <c r="K380">
        <v>0</v>
      </c>
      <c r="L380" t="str" cm="1">
        <f t="array" ref="L380">_xlfn.TEXTJOIN(",",TRUE,_xlfn._xlws.FILTER($C$5:$C$1727,($D$5:$D$1727=I380)*($E$5:$E$1727=J380)*($F$5:$F$1727=K380)))</f>
        <v>EZ,Global</v>
      </c>
      <c r="M380" t="b">
        <f t="shared" si="10"/>
        <v>0</v>
      </c>
      <c r="N380">
        <f t="shared" si="11"/>
        <v>1</v>
      </c>
    </row>
    <row r="381" spans="3:14" x14ac:dyDescent="0.25">
      <c r="C381" t="s">
        <v>1547</v>
      </c>
      <c r="D381" s="2" t="s">
        <v>378</v>
      </c>
      <c r="E381" t="s">
        <v>399</v>
      </c>
      <c r="F381" s="1">
        <v>0.31</v>
      </c>
      <c r="I381" t="str">
        <v>FI4000552526</v>
      </c>
      <c r="J381" t="str">
        <v>Excluded</v>
      </c>
      <c r="K381">
        <v>0</v>
      </c>
      <c r="L381" t="str" cm="1">
        <f t="array" ref="L381">_xlfn.TEXTJOIN(",",TRUE,_xlfn._xlws.FILTER($C$5:$C$1727,($D$5:$D$1727=I381)*($E$5:$E$1727=J381)*($F$5:$F$1727=K381)))</f>
        <v>EZ</v>
      </c>
      <c r="M381" t="b">
        <f t="shared" si="10"/>
        <v>0</v>
      </c>
      <c r="N381">
        <f t="shared" si="11"/>
        <v>1</v>
      </c>
    </row>
    <row r="382" spans="3:14" x14ac:dyDescent="0.25">
      <c r="C382" t="s">
        <v>1547</v>
      </c>
      <c r="D382" s="2" t="s">
        <v>379</v>
      </c>
      <c r="E382" t="s">
        <v>400</v>
      </c>
      <c r="F382" s="1">
        <v>0</v>
      </c>
      <c r="I382" t="str">
        <v>FI4000571013</v>
      </c>
      <c r="J382" t="str">
        <v>Clean transport</v>
      </c>
      <c r="K382">
        <v>0.28999999999999998</v>
      </c>
      <c r="L382" t="str" cm="1">
        <f t="array" ref="L382">_xlfn.TEXTJOIN(",",TRUE,_xlfn._xlws.FILTER($C$5:$C$1727,($D$5:$D$1727=I382)*($E$5:$E$1727=J382)*($F$5:$F$1727=K382)))</f>
        <v>EZ</v>
      </c>
      <c r="M382" t="b">
        <f t="shared" si="10"/>
        <v>0</v>
      </c>
      <c r="N382">
        <f t="shared" si="11"/>
        <v>0</v>
      </c>
    </row>
    <row r="383" spans="3:14" x14ac:dyDescent="0.25">
      <c r="C383" t="s">
        <v>1547</v>
      </c>
      <c r="D383" s="2" t="s">
        <v>380</v>
      </c>
      <c r="E383" t="s">
        <v>404</v>
      </c>
      <c r="F383" s="1">
        <v>0.83</v>
      </c>
      <c r="I383" t="str">
        <v>FI4000571054</v>
      </c>
      <c r="J383" t="str">
        <v>Excluded</v>
      </c>
      <c r="K383">
        <v>0</v>
      </c>
      <c r="L383" t="str" cm="1">
        <f t="array" ref="L383">_xlfn.TEXTJOIN(",",TRUE,_xlfn._xlws.FILTER($C$5:$C$1727,($D$5:$D$1727=I383)*($E$5:$E$1727=J383)*($F$5:$F$1727=K383)))</f>
        <v>EZ</v>
      </c>
      <c r="M383" t="b">
        <f t="shared" si="10"/>
        <v>0</v>
      </c>
      <c r="N383">
        <f t="shared" si="11"/>
        <v>0</v>
      </c>
    </row>
    <row r="384" spans="3:14" x14ac:dyDescent="0.25">
      <c r="C384" t="s">
        <v>1547</v>
      </c>
      <c r="D384" s="2" t="s">
        <v>381</v>
      </c>
      <c r="E384" t="s">
        <v>401</v>
      </c>
      <c r="F384" s="1">
        <v>0</v>
      </c>
      <c r="I384" t="str">
        <v>FR0000031577</v>
      </c>
      <c r="J384" t="str">
        <v>Not included in a theme</v>
      </c>
      <c r="K384">
        <v>0</v>
      </c>
      <c r="L384" t="str" cm="1">
        <f t="array" ref="L384">_xlfn.TEXTJOIN(",",TRUE,_xlfn._xlws.FILTER($C$5:$C$1727,($D$5:$D$1727=I384)*($E$5:$E$1727=J384)*($F$5:$F$1727=K384)))</f>
        <v>EZ</v>
      </c>
      <c r="M384" t="b">
        <f t="shared" si="10"/>
        <v>0</v>
      </c>
      <c r="N384">
        <f t="shared" si="11"/>
        <v>0</v>
      </c>
    </row>
    <row r="385" spans="3:14" x14ac:dyDescent="0.25">
      <c r="C385" t="s">
        <v>1547</v>
      </c>
      <c r="D385" s="2" t="s">
        <v>382</v>
      </c>
      <c r="E385" t="s">
        <v>400</v>
      </c>
      <c r="F385" s="1">
        <v>0</v>
      </c>
      <c r="I385" t="str">
        <v>FR0000031775</v>
      </c>
      <c r="J385" t="str">
        <v>Excluded</v>
      </c>
      <c r="K385">
        <v>0</v>
      </c>
      <c r="L385" t="str" cm="1">
        <f t="array" ref="L385">_xlfn.TEXTJOIN(",",TRUE,_xlfn._xlws.FILTER($C$5:$C$1727,($D$5:$D$1727=I385)*($E$5:$E$1727=J385)*($F$5:$F$1727=K385)))</f>
        <v>EZ</v>
      </c>
      <c r="M385" t="b">
        <f t="shared" si="10"/>
        <v>0</v>
      </c>
      <c r="N385">
        <f t="shared" si="11"/>
        <v>0</v>
      </c>
    </row>
    <row r="386" spans="3:14" x14ac:dyDescent="0.25">
      <c r="C386" t="s">
        <v>1547</v>
      </c>
      <c r="D386" s="2" t="s">
        <v>383</v>
      </c>
      <c r="E386" t="s">
        <v>400</v>
      </c>
      <c r="F386" s="1">
        <v>0</v>
      </c>
      <c r="I386" t="str">
        <v>FR0000033219</v>
      </c>
      <c r="J386" t="str">
        <v>Ecoconstruction</v>
      </c>
      <c r="K386">
        <v>0.48</v>
      </c>
      <c r="L386" t="str" cm="1">
        <f t="array" ref="L386">_xlfn.TEXTJOIN(",",TRUE,_xlfn._xlws.FILTER($C$5:$C$1727,($D$5:$D$1727=I386)*($E$5:$E$1727=J386)*($F$5:$F$1727=K386)))</f>
        <v>EZ</v>
      </c>
      <c r="M386" t="b">
        <f t="shared" si="10"/>
        <v>0</v>
      </c>
      <c r="N386">
        <f t="shared" si="11"/>
        <v>0</v>
      </c>
    </row>
    <row r="387" spans="3:14" x14ac:dyDescent="0.25">
      <c r="C387" t="s">
        <v>1547</v>
      </c>
      <c r="D387" s="2" t="s">
        <v>384</v>
      </c>
      <c r="E387" t="s">
        <v>401</v>
      </c>
      <c r="F387" s="1">
        <v>0</v>
      </c>
      <c r="I387" t="str">
        <v>FR0000039299</v>
      </c>
      <c r="J387" t="str">
        <v>Excluded</v>
      </c>
      <c r="K387">
        <v>0</v>
      </c>
      <c r="L387" t="str" cm="1">
        <f t="array" ref="L387">_xlfn.TEXTJOIN(",",TRUE,_xlfn._xlws.FILTER($C$5:$C$1727,($D$5:$D$1727=I387)*($E$5:$E$1727=J387)*($F$5:$F$1727=K387)))</f>
        <v>EZ</v>
      </c>
      <c r="M387" t="b">
        <f t="shared" si="10"/>
        <v>0</v>
      </c>
      <c r="N387">
        <f t="shared" si="11"/>
        <v>0</v>
      </c>
    </row>
    <row r="388" spans="3:14" x14ac:dyDescent="0.25">
      <c r="C388" t="s">
        <v>1547</v>
      </c>
      <c r="D388" s="2" t="s">
        <v>385</v>
      </c>
      <c r="E388" t="s">
        <v>400</v>
      </c>
      <c r="F388" s="1">
        <v>0</v>
      </c>
      <c r="I388" t="str">
        <v>FR0000044448</v>
      </c>
      <c r="J388" t="str">
        <v>Green energy</v>
      </c>
      <c r="K388">
        <v>0.76</v>
      </c>
      <c r="L388" t="str" cm="1">
        <f t="array" ref="L388">_xlfn.TEXTJOIN(",",TRUE,_xlfn._xlws.FILTER($C$5:$C$1727,($D$5:$D$1727=I388)*($E$5:$E$1727=J388)*($F$5:$F$1727=K388)))</f>
        <v>EZ</v>
      </c>
      <c r="M388" t="b">
        <f t="shared" si="10"/>
        <v>0</v>
      </c>
      <c r="N388">
        <f t="shared" si="11"/>
        <v>1</v>
      </c>
    </row>
    <row r="389" spans="3:14" x14ac:dyDescent="0.25">
      <c r="C389" t="s">
        <v>1547</v>
      </c>
      <c r="D389" s="2" t="s">
        <v>386</v>
      </c>
      <c r="E389" t="s">
        <v>400</v>
      </c>
      <c r="F389" s="1">
        <v>0</v>
      </c>
      <c r="I389" t="str">
        <v>FR0000045072</v>
      </c>
      <c r="J389" t="str">
        <v>Not included in a theme</v>
      </c>
      <c r="K389">
        <v>0</v>
      </c>
      <c r="L389" t="str" cm="1">
        <f t="array" ref="L389">_xlfn.TEXTJOIN(",",TRUE,_xlfn._xlws.FILTER($C$5:$C$1727,($D$5:$D$1727=I389)*($E$5:$E$1727=J389)*($F$5:$F$1727=K389)))</f>
        <v>EZ</v>
      </c>
      <c r="M389" t="b">
        <f t="shared" si="10"/>
        <v>1</v>
      </c>
      <c r="N389">
        <f t="shared" si="11"/>
        <v>1</v>
      </c>
    </row>
    <row r="390" spans="3:14" x14ac:dyDescent="0.25">
      <c r="C390" t="s">
        <v>1547</v>
      </c>
      <c r="D390" s="2" t="s">
        <v>387</v>
      </c>
      <c r="E390" t="s">
        <v>401</v>
      </c>
      <c r="F390" s="1">
        <v>0</v>
      </c>
      <c r="I390" t="str">
        <v>FR0000045072</v>
      </c>
      <c r="J390" t="str">
        <v>Excluded</v>
      </c>
      <c r="K390">
        <v>0</v>
      </c>
      <c r="L390" t="str" cm="1">
        <f t="array" ref="L390">_xlfn.TEXTJOIN(",",TRUE,_xlfn._xlws.FILTER($C$5:$C$1727,($D$5:$D$1727=I390)*($E$5:$E$1727=J390)*($F$5:$F$1727=K390)))</f>
        <v>Global</v>
      </c>
      <c r="M390" t="b">
        <f t="shared" ref="M390:M453" si="12">COUNTIFS($I$5:$I$1556,I390)&gt;1</f>
        <v>1</v>
      </c>
      <c r="N390">
        <f t="shared" ref="N390:N453" si="13">COUNTIFS($U$5:$U$231,I390)</f>
        <v>1</v>
      </c>
    </row>
    <row r="391" spans="3:14" x14ac:dyDescent="0.25">
      <c r="C391" t="s">
        <v>1547</v>
      </c>
      <c r="D391" s="2" t="s">
        <v>388</v>
      </c>
      <c r="E391" t="s">
        <v>401</v>
      </c>
      <c r="F391" s="1">
        <v>0</v>
      </c>
      <c r="I391" t="str">
        <v>FR0000050353</v>
      </c>
      <c r="J391" t="str">
        <v>Not included in a theme</v>
      </c>
      <c r="K391">
        <v>0</v>
      </c>
      <c r="L391" t="str" cm="1">
        <f t="array" ref="L391">_xlfn.TEXTJOIN(",",TRUE,_xlfn._xlws.FILTER($C$5:$C$1727,($D$5:$D$1727=I391)*($E$5:$E$1727=J391)*($F$5:$F$1727=K391)))</f>
        <v>EZ</v>
      </c>
      <c r="M391" t="b">
        <f t="shared" si="12"/>
        <v>0</v>
      </c>
      <c r="N391">
        <f t="shared" si="13"/>
        <v>0</v>
      </c>
    </row>
    <row r="392" spans="3:14" x14ac:dyDescent="0.25">
      <c r="C392" t="s">
        <v>1547</v>
      </c>
      <c r="D392" s="2" t="s">
        <v>389</v>
      </c>
      <c r="E392" t="s">
        <v>400</v>
      </c>
      <c r="F392" s="1">
        <v>0</v>
      </c>
      <c r="I392" t="str">
        <v>FR0000050809</v>
      </c>
      <c r="J392" t="str">
        <v>Information technology</v>
      </c>
      <c r="K392">
        <v>0.17</v>
      </c>
      <c r="L392" t="str" cm="1">
        <f t="array" ref="L392">_xlfn.TEXTJOIN(",",TRUE,_xlfn._xlws.FILTER($C$5:$C$1727,($D$5:$D$1727=I392)*($E$5:$E$1727=J392)*($F$5:$F$1727=K392)))</f>
        <v>EZ</v>
      </c>
      <c r="M392" t="b">
        <f t="shared" si="12"/>
        <v>0</v>
      </c>
      <c r="N392">
        <f t="shared" si="13"/>
        <v>0</v>
      </c>
    </row>
    <row r="393" spans="3:14" x14ac:dyDescent="0.25">
      <c r="C393" t="s">
        <v>1547</v>
      </c>
      <c r="D393" s="2" t="s">
        <v>390</v>
      </c>
      <c r="E393" t="s">
        <v>399</v>
      </c>
      <c r="F393" s="1">
        <v>0.1</v>
      </c>
      <c r="I393" t="str">
        <v>FR0000051807</v>
      </c>
      <c r="J393" t="str">
        <v>Not included in a theme</v>
      </c>
      <c r="K393">
        <v>0</v>
      </c>
      <c r="L393" t="str" cm="1">
        <f t="array" ref="L393">_xlfn.TEXTJOIN(",",TRUE,_xlfn._xlws.FILTER($C$5:$C$1727,($D$5:$D$1727=I393)*($E$5:$E$1727=J393)*($F$5:$F$1727=K393)))</f>
        <v>EZ</v>
      </c>
      <c r="M393" t="b">
        <f t="shared" si="12"/>
        <v>0</v>
      </c>
      <c r="N393">
        <f t="shared" si="13"/>
        <v>1</v>
      </c>
    </row>
    <row r="394" spans="3:14" x14ac:dyDescent="0.25">
      <c r="C394" t="s">
        <v>1547</v>
      </c>
      <c r="D394" s="2" t="s">
        <v>391</v>
      </c>
      <c r="E394" t="s">
        <v>400</v>
      </c>
      <c r="F394" s="1">
        <v>0</v>
      </c>
      <c r="I394" t="str">
        <v>FR0000052292</v>
      </c>
      <c r="J394" t="str">
        <v>Not included in a theme</v>
      </c>
      <c r="K394">
        <v>0</v>
      </c>
      <c r="L394" t="str" cm="1">
        <f t="array" ref="L394">_xlfn.TEXTJOIN(",",TRUE,_xlfn._xlws.FILTER($C$5:$C$1727,($D$5:$D$1727=I394)*($E$5:$E$1727=J394)*($F$5:$F$1727=K394)))</f>
        <v>EZ</v>
      </c>
      <c r="M394" t="b">
        <f t="shared" si="12"/>
        <v>1</v>
      </c>
      <c r="N394">
        <f t="shared" si="13"/>
        <v>1</v>
      </c>
    </row>
    <row r="395" spans="3:14" x14ac:dyDescent="0.25">
      <c r="C395" t="s">
        <v>1547</v>
      </c>
      <c r="D395" s="2" t="s">
        <v>392</v>
      </c>
      <c r="E395" t="s">
        <v>400</v>
      </c>
      <c r="F395" s="1">
        <v>0</v>
      </c>
      <c r="I395" t="str">
        <v>FR0000052292</v>
      </c>
      <c r="J395" t="str">
        <v>Excluded</v>
      </c>
      <c r="K395">
        <v>0</v>
      </c>
      <c r="L395" t="str" cm="1">
        <f t="array" ref="L395">_xlfn.TEXTJOIN(",",TRUE,_xlfn._xlws.FILTER($C$5:$C$1727,($D$5:$D$1727=I395)*($E$5:$E$1727=J395)*($F$5:$F$1727=K395)))</f>
        <v>Global</v>
      </c>
      <c r="M395" t="b">
        <f t="shared" si="12"/>
        <v>1</v>
      </c>
      <c r="N395">
        <f t="shared" si="13"/>
        <v>1</v>
      </c>
    </row>
    <row r="396" spans="3:14" x14ac:dyDescent="0.25">
      <c r="C396" t="s">
        <v>1547</v>
      </c>
      <c r="D396" s="2" t="s">
        <v>393</v>
      </c>
      <c r="E396" t="s">
        <v>403</v>
      </c>
      <c r="F396" s="1">
        <v>0.19</v>
      </c>
      <c r="I396" t="str">
        <v>FR0000060303</v>
      </c>
      <c r="J396" t="str">
        <v>Excluded</v>
      </c>
      <c r="K396">
        <v>0</v>
      </c>
      <c r="L396" t="str" cm="1">
        <f t="array" ref="L396">_xlfn.TEXTJOIN(",",TRUE,_xlfn._xlws.FILTER($C$5:$C$1727,($D$5:$D$1727=I396)*($E$5:$E$1727=J396)*($F$5:$F$1727=K396)))</f>
        <v>EZ</v>
      </c>
      <c r="M396" t="b">
        <f t="shared" si="12"/>
        <v>0</v>
      </c>
      <c r="N396">
        <f t="shared" si="13"/>
        <v>0</v>
      </c>
    </row>
    <row r="397" spans="3:14" x14ac:dyDescent="0.25">
      <c r="C397" t="s">
        <v>1547</v>
      </c>
      <c r="D397" s="2" t="s">
        <v>394</v>
      </c>
      <c r="E397" t="s">
        <v>404</v>
      </c>
      <c r="F397" s="1">
        <v>1</v>
      </c>
      <c r="I397" t="str">
        <v>FR0000062234</v>
      </c>
      <c r="J397" t="str">
        <v>Excluded</v>
      </c>
      <c r="K397">
        <v>0</v>
      </c>
      <c r="L397" t="str" cm="1">
        <f t="array" ref="L397">_xlfn.TEXTJOIN(",",TRUE,_xlfn._xlws.FILTER($C$5:$C$1727,($D$5:$D$1727=I397)*($E$5:$E$1727=J397)*($F$5:$F$1727=K397)))</f>
        <v>EZ</v>
      </c>
      <c r="M397" t="b">
        <f t="shared" si="12"/>
        <v>0</v>
      </c>
      <c r="N397">
        <f t="shared" si="13"/>
        <v>0</v>
      </c>
    </row>
    <row r="398" spans="3:14" x14ac:dyDescent="0.25">
      <c r="C398" t="s">
        <v>1547</v>
      </c>
      <c r="D398" s="2" t="s">
        <v>395</v>
      </c>
      <c r="E398" t="s">
        <v>404</v>
      </c>
      <c r="F398" s="1">
        <v>0.22</v>
      </c>
      <c r="I398" t="str">
        <v>FR0000064578</v>
      </c>
      <c r="J398" t="str">
        <v>Ecoconstruction</v>
      </c>
      <c r="K398">
        <v>0.53</v>
      </c>
      <c r="L398" t="str" cm="1">
        <f t="array" ref="L398">_xlfn.TEXTJOIN(",",TRUE,_xlfn._xlws.FILTER($C$5:$C$1727,($D$5:$D$1727=I398)*($E$5:$E$1727=J398)*($F$5:$F$1727=K398)))</f>
        <v>EZ</v>
      </c>
      <c r="M398" t="b">
        <f t="shared" si="12"/>
        <v>0</v>
      </c>
      <c r="N398">
        <f t="shared" si="13"/>
        <v>1</v>
      </c>
    </row>
    <row r="399" spans="3:14" x14ac:dyDescent="0.25">
      <c r="C399" t="s">
        <v>1547</v>
      </c>
      <c r="D399" s="2" t="s">
        <v>396</v>
      </c>
      <c r="E399" t="s">
        <v>400</v>
      </c>
      <c r="F399" s="1">
        <v>0</v>
      </c>
      <c r="I399" t="str">
        <v>FR0000071946</v>
      </c>
      <c r="J399" t="str">
        <v>Information technology</v>
      </c>
      <c r="K399">
        <v>0.31</v>
      </c>
      <c r="L399" t="str" cm="1">
        <f t="array" ref="L399">_xlfn.TEXTJOIN(",",TRUE,_xlfn._xlws.FILTER($C$5:$C$1727,($D$5:$D$1727=I399)*($E$5:$E$1727=J399)*($F$5:$F$1727=K399)))</f>
        <v>EZ</v>
      </c>
      <c r="M399" t="b">
        <f t="shared" si="12"/>
        <v>0</v>
      </c>
      <c r="N399">
        <f t="shared" si="13"/>
        <v>0</v>
      </c>
    </row>
    <row r="400" spans="3:14" x14ac:dyDescent="0.25">
      <c r="C400" t="s">
        <v>1547</v>
      </c>
      <c r="D400" s="2" t="s">
        <v>397</v>
      </c>
      <c r="E400" t="s">
        <v>400</v>
      </c>
      <c r="F400" s="1">
        <v>0</v>
      </c>
      <c r="I400" t="str">
        <v>FR0000073272</v>
      </c>
      <c r="J400" t="str">
        <v>Excluded</v>
      </c>
      <c r="K400">
        <v>0</v>
      </c>
      <c r="L400" t="str" cm="1">
        <f t="array" ref="L400">_xlfn.TEXTJOIN(",",TRUE,_xlfn._xlws.FILTER($C$5:$C$1727,($D$5:$D$1727=I400)*($E$5:$E$1727=J400)*($F$5:$F$1727=K400)))</f>
        <v>EZ,Global</v>
      </c>
      <c r="M400" t="b">
        <f t="shared" si="12"/>
        <v>0</v>
      </c>
      <c r="N400">
        <f t="shared" si="13"/>
        <v>0</v>
      </c>
    </row>
    <row r="401" spans="3:14" x14ac:dyDescent="0.25">
      <c r="C401" t="s">
        <v>1547</v>
      </c>
      <c r="D401" s="2" t="s">
        <v>398</v>
      </c>
      <c r="E401" t="s">
        <v>400</v>
      </c>
      <c r="F401" s="1">
        <v>0</v>
      </c>
      <c r="I401" t="str">
        <v>FR0000077919</v>
      </c>
      <c r="J401" t="str">
        <v>Not included in a theme</v>
      </c>
      <c r="K401">
        <v>0</v>
      </c>
      <c r="L401" t="str" cm="1">
        <f t="array" ref="L401">_xlfn.TEXTJOIN(",",TRUE,_xlfn._xlws.FILTER($C$5:$C$1727,($D$5:$D$1727=I401)*($E$5:$E$1727=J401)*($F$5:$F$1727=K401)))</f>
        <v>EZ</v>
      </c>
      <c r="M401" t="b">
        <f t="shared" si="12"/>
        <v>0</v>
      </c>
      <c r="N401">
        <f t="shared" si="13"/>
        <v>0</v>
      </c>
    </row>
    <row r="402" spans="3:14" x14ac:dyDescent="0.25">
      <c r="C402" t="s">
        <v>1548</v>
      </c>
      <c r="D402" t="s">
        <v>409</v>
      </c>
      <c r="E402" t="s">
        <v>399</v>
      </c>
      <c r="F402">
        <v>0.9</v>
      </c>
      <c r="I402" t="str">
        <v>FR0000120073</v>
      </c>
      <c r="J402" t="str">
        <v>Excluded</v>
      </c>
      <c r="K402">
        <v>0</v>
      </c>
      <c r="L402" t="str" cm="1">
        <f t="array" ref="L402">_xlfn.TEXTJOIN(",",TRUE,_xlfn._xlws.FILTER($C$5:$C$1727,($D$5:$D$1727=I402)*($E$5:$E$1727=J402)*($F$5:$F$1727=K402)))</f>
        <v>EZ,Global</v>
      </c>
      <c r="M402" t="b">
        <f t="shared" si="12"/>
        <v>0</v>
      </c>
      <c r="N402">
        <f t="shared" si="13"/>
        <v>0</v>
      </c>
    </row>
    <row r="403" spans="3:14" x14ac:dyDescent="0.25">
      <c r="C403" t="s">
        <v>1548</v>
      </c>
      <c r="D403" t="s">
        <v>410</v>
      </c>
      <c r="E403" t="s">
        <v>400</v>
      </c>
      <c r="F403">
        <v>0</v>
      </c>
      <c r="I403" t="str">
        <v>FR0000120172</v>
      </c>
      <c r="J403" t="str">
        <v>Excluded</v>
      </c>
      <c r="K403">
        <v>0</v>
      </c>
      <c r="L403" t="str" cm="1">
        <f t="array" ref="L403">_xlfn.TEXTJOIN(",",TRUE,_xlfn._xlws.FILTER($C$5:$C$1727,($D$5:$D$1727=I403)*($E$5:$E$1727=J403)*($F$5:$F$1727=K403)))</f>
        <v>EZ,Global</v>
      </c>
      <c r="M403" t="b">
        <f t="shared" si="12"/>
        <v>0</v>
      </c>
      <c r="N403">
        <f t="shared" si="13"/>
        <v>0</v>
      </c>
    </row>
    <row r="404" spans="3:14" x14ac:dyDescent="0.25">
      <c r="C404" t="s">
        <v>1548</v>
      </c>
      <c r="D404" t="s">
        <v>411</v>
      </c>
      <c r="E404" t="s">
        <v>400</v>
      </c>
      <c r="F404">
        <v>0</v>
      </c>
      <c r="I404" t="str">
        <v>FR0000120271</v>
      </c>
      <c r="J404" t="str">
        <v>Excluded</v>
      </c>
      <c r="K404">
        <v>0</v>
      </c>
      <c r="L404" t="str" cm="1">
        <f t="array" ref="L404">_xlfn.TEXTJOIN(",",TRUE,_xlfn._xlws.FILTER($C$5:$C$1727,($D$5:$D$1727=I404)*($E$5:$E$1727=J404)*($F$5:$F$1727=K404)))</f>
        <v>EZ,Global</v>
      </c>
      <c r="M404" t="b">
        <f t="shared" si="12"/>
        <v>0</v>
      </c>
      <c r="N404">
        <f t="shared" si="13"/>
        <v>0</v>
      </c>
    </row>
    <row r="405" spans="3:14" x14ac:dyDescent="0.25">
      <c r="C405" t="s">
        <v>1548</v>
      </c>
      <c r="D405" t="s">
        <v>412</v>
      </c>
      <c r="E405" t="s">
        <v>400</v>
      </c>
      <c r="F405">
        <v>0</v>
      </c>
      <c r="I405" t="str">
        <v>FR0000120321</v>
      </c>
      <c r="J405" t="str">
        <v>Circular economy</v>
      </c>
      <c r="K405">
        <v>0.28999999999999998</v>
      </c>
      <c r="L405" t="str" cm="1">
        <f t="array" ref="L405">_xlfn.TEXTJOIN(",",TRUE,_xlfn._xlws.FILTER($C$5:$C$1727,($D$5:$D$1727=I405)*($E$5:$E$1727=J405)*($F$5:$F$1727=K405)))</f>
        <v>EZ</v>
      </c>
      <c r="M405" t="b">
        <f t="shared" si="12"/>
        <v>1</v>
      </c>
      <c r="N405">
        <f t="shared" si="13"/>
        <v>1</v>
      </c>
    </row>
    <row r="406" spans="3:14" x14ac:dyDescent="0.25">
      <c r="C406" t="s">
        <v>1548</v>
      </c>
      <c r="D406" t="s">
        <v>413</v>
      </c>
      <c r="E406" t="s">
        <v>399</v>
      </c>
      <c r="F406">
        <v>0.64</v>
      </c>
      <c r="I406" t="str">
        <v>FR0000120321</v>
      </c>
      <c r="J406" t="str">
        <v>Excluded</v>
      </c>
      <c r="K406">
        <v>0</v>
      </c>
      <c r="L406" t="str" cm="1">
        <f t="array" ref="L406">_xlfn.TEXTJOIN(",",TRUE,_xlfn._xlws.FILTER($C$5:$C$1727,($D$5:$D$1727=I406)*($E$5:$E$1727=J406)*($F$5:$F$1727=K406)))</f>
        <v>Global</v>
      </c>
      <c r="M406" t="b">
        <f t="shared" si="12"/>
        <v>1</v>
      </c>
      <c r="N406">
        <f t="shared" si="13"/>
        <v>1</v>
      </c>
    </row>
    <row r="407" spans="3:14" x14ac:dyDescent="0.25">
      <c r="C407" t="s">
        <v>1548</v>
      </c>
      <c r="D407" t="s">
        <v>414</v>
      </c>
      <c r="E407" t="s">
        <v>399</v>
      </c>
      <c r="F407">
        <v>0.57999999999999996</v>
      </c>
      <c r="I407" t="str">
        <v>FR0000120404</v>
      </c>
      <c r="J407" t="str">
        <v>Not included in a theme</v>
      </c>
      <c r="K407">
        <v>0</v>
      </c>
      <c r="L407" t="str" cm="1">
        <f t="array" ref="L407">_xlfn.TEXTJOIN(",",TRUE,_xlfn._xlws.FILTER($C$5:$C$1727,($D$5:$D$1727=I407)*($E$5:$E$1727=J407)*($F$5:$F$1727=K407)))</f>
        <v>EZ,Global</v>
      </c>
      <c r="M407" t="b">
        <f t="shared" si="12"/>
        <v>0</v>
      </c>
      <c r="N407">
        <f t="shared" si="13"/>
        <v>1</v>
      </c>
    </row>
    <row r="408" spans="3:14" x14ac:dyDescent="0.25">
      <c r="C408" t="s">
        <v>1548</v>
      </c>
      <c r="D408" t="s">
        <v>415</v>
      </c>
      <c r="E408" t="s">
        <v>400</v>
      </c>
      <c r="F408">
        <v>0</v>
      </c>
      <c r="I408" t="str">
        <v>FR0000120503</v>
      </c>
      <c r="J408" t="str">
        <v>Excluded</v>
      </c>
      <c r="K408">
        <v>0</v>
      </c>
      <c r="L408" t="str" cm="1">
        <f t="array" ref="L408">_xlfn.TEXTJOIN(",",TRUE,_xlfn._xlws.FILTER($C$5:$C$1727,($D$5:$D$1727=I408)*($E$5:$E$1727=J408)*($F$5:$F$1727=K408)))</f>
        <v>EZ,Global</v>
      </c>
      <c r="M408" t="b">
        <f t="shared" si="12"/>
        <v>0</v>
      </c>
      <c r="N408">
        <f t="shared" si="13"/>
        <v>1</v>
      </c>
    </row>
    <row r="409" spans="3:14" x14ac:dyDescent="0.25">
      <c r="C409" t="s">
        <v>1548</v>
      </c>
      <c r="D409" t="s">
        <v>416</v>
      </c>
      <c r="E409" t="s">
        <v>400</v>
      </c>
      <c r="F409">
        <v>0</v>
      </c>
      <c r="I409" t="str">
        <v>FR0000120578</v>
      </c>
      <c r="J409" t="str">
        <v>Not included in a theme</v>
      </c>
      <c r="K409">
        <v>0</v>
      </c>
      <c r="L409" t="str" cm="1">
        <f t="array" ref="L409">_xlfn.TEXTJOIN(",",TRUE,_xlfn._xlws.FILTER($C$5:$C$1727,($D$5:$D$1727=I409)*($E$5:$E$1727=J409)*($F$5:$F$1727=K409)))</f>
        <v>EZ</v>
      </c>
      <c r="M409" t="b">
        <f t="shared" si="12"/>
        <v>1</v>
      </c>
      <c r="N409">
        <f t="shared" si="13"/>
        <v>1</v>
      </c>
    </row>
    <row r="410" spans="3:14" x14ac:dyDescent="0.25">
      <c r="C410" t="s">
        <v>1548</v>
      </c>
      <c r="D410" t="s">
        <v>417</v>
      </c>
      <c r="E410" t="s">
        <v>401</v>
      </c>
      <c r="F410">
        <v>0</v>
      </c>
      <c r="I410" t="str">
        <v>FR0000120578</v>
      </c>
      <c r="J410" t="str">
        <v>Excluded</v>
      </c>
      <c r="K410">
        <v>0</v>
      </c>
      <c r="L410" t="str" cm="1">
        <f t="array" ref="L410">_xlfn.TEXTJOIN(",",TRUE,_xlfn._xlws.FILTER($C$5:$C$1727,($D$5:$D$1727=I410)*($E$5:$E$1727=J410)*($F$5:$F$1727=K410)))</f>
        <v>Global</v>
      </c>
      <c r="M410" t="b">
        <f t="shared" si="12"/>
        <v>1</v>
      </c>
      <c r="N410">
        <f t="shared" si="13"/>
        <v>1</v>
      </c>
    </row>
    <row r="411" spans="3:14" x14ac:dyDescent="0.25">
      <c r="C411" t="s">
        <v>1548</v>
      </c>
      <c r="D411" t="s">
        <v>418</v>
      </c>
      <c r="E411" t="s">
        <v>400</v>
      </c>
      <c r="F411">
        <v>0</v>
      </c>
      <c r="I411" t="str">
        <v>FR0000120628</v>
      </c>
      <c r="J411" t="str">
        <v>Not included in a theme</v>
      </c>
      <c r="K411">
        <v>0</v>
      </c>
      <c r="L411" t="str" cm="1">
        <f t="array" ref="L411">_xlfn.TEXTJOIN(",",TRUE,_xlfn._xlws.FILTER($C$5:$C$1727,($D$5:$D$1727=I411)*($E$5:$E$1727=J411)*($F$5:$F$1727=K411)))</f>
        <v>EZ</v>
      </c>
      <c r="M411" t="b">
        <f t="shared" si="12"/>
        <v>1</v>
      </c>
      <c r="N411">
        <f t="shared" si="13"/>
        <v>1</v>
      </c>
    </row>
    <row r="412" spans="3:14" x14ac:dyDescent="0.25">
      <c r="C412" t="s">
        <v>1548</v>
      </c>
      <c r="D412" t="s">
        <v>419</v>
      </c>
      <c r="E412" t="s">
        <v>400</v>
      </c>
      <c r="F412">
        <v>0</v>
      </c>
      <c r="I412" t="str">
        <v>FR0000120628</v>
      </c>
      <c r="J412" t="str">
        <v>Excluded</v>
      </c>
      <c r="K412">
        <v>0</v>
      </c>
      <c r="L412" t="str" cm="1">
        <f t="array" ref="L412">_xlfn.TEXTJOIN(",",TRUE,_xlfn._xlws.FILTER($C$5:$C$1727,($D$5:$D$1727=I412)*($E$5:$E$1727=J412)*($F$5:$F$1727=K412)))</f>
        <v>Global</v>
      </c>
      <c r="M412" t="b">
        <f t="shared" si="12"/>
        <v>1</v>
      </c>
      <c r="N412">
        <f t="shared" si="13"/>
        <v>1</v>
      </c>
    </row>
    <row r="413" spans="3:14" x14ac:dyDescent="0.25">
      <c r="C413" t="s">
        <v>1548</v>
      </c>
      <c r="D413" t="s">
        <v>420</v>
      </c>
      <c r="E413" t="s">
        <v>400</v>
      </c>
      <c r="F413">
        <v>0</v>
      </c>
      <c r="I413" t="str">
        <v>FR0000120644</v>
      </c>
      <c r="J413" t="str">
        <v>Excluded</v>
      </c>
      <c r="K413">
        <v>0</v>
      </c>
      <c r="L413" t="str" cm="1">
        <f t="array" ref="L413">_xlfn.TEXTJOIN(",",TRUE,_xlfn._xlws.FILTER($C$5:$C$1727,($D$5:$D$1727=I413)*($E$5:$E$1727=J413)*($F$5:$F$1727=K413)))</f>
        <v>EZ,Global</v>
      </c>
      <c r="M413" t="b">
        <f t="shared" si="12"/>
        <v>0</v>
      </c>
      <c r="N413">
        <f t="shared" si="13"/>
        <v>1</v>
      </c>
    </row>
    <row r="414" spans="3:14" x14ac:dyDescent="0.25">
      <c r="C414" t="s">
        <v>1548</v>
      </c>
      <c r="D414" t="s">
        <v>421</v>
      </c>
      <c r="E414" t="s">
        <v>400</v>
      </c>
      <c r="F414">
        <v>0</v>
      </c>
      <c r="I414" t="str">
        <v>FR0000120693</v>
      </c>
      <c r="J414" t="str">
        <v>Excluded</v>
      </c>
      <c r="K414">
        <v>0</v>
      </c>
      <c r="L414" t="str" cm="1">
        <f t="array" ref="L414">_xlfn.TEXTJOIN(",",TRUE,_xlfn._xlws.FILTER($C$5:$C$1727,($D$5:$D$1727=I414)*($E$5:$E$1727=J414)*($F$5:$F$1727=K414)))</f>
        <v>EZ,Global</v>
      </c>
      <c r="M414" t="b">
        <f t="shared" si="12"/>
        <v>0</v>
      </c>
      <c r="N414">
        <f t="shared" si="13"/>
        <v>1</v>
      </c>
    </row>
    <row r="415" spans="3:14" x14ac:dyDescent="0.25">
      <c r="C415" t="s">
        <v>1548</v>
      </c>
      <c r="D415" t="s">
        <v>422</v>
      </c>
      <c r="E415" t="s">
        <v>400</v>
      </c>
      <c r="F415">
        <v>0</v>
      </c>
      <c r="I415" t="str">
        <v>FR0000121014</v>
      </c>
      <c r="J415" t="str">
        <v>Excluded</v>
      </c>
      <c r="K415">
        <v>0</v>
      </c>
      <c r="L415" t="str" cm="1">
        <f t="array" ref="L415">_xlfn.TEXTJOIN(",",TRUE,_xlfn._xlws.FILTER($C$5:$C$1727,($D$5:$D$1727=I415)*($E$5:$E$1727=J415)*($F$5:$F$1727=K415)))</f>
        <v>EZ,Global</v>
      </c>
      <c r="M415" t="b">
        <f t="shared" si="12"/>
        <v>0</v>
      </c>
      <c r="N415">
        <f t="shared" si="13"/>
        <v>1</v>
      </c>
    </row>
    <row r="416" spans="3:14" x14ac:dyDescent="0.25">
      <c r="C416" t="s">
        <v>1548</v>
      </c>
      <c r="D416" t="s">
        <v>423</v>
      </c>
      <c r="E416" t="s">
        <v>400</v>
      </c>
      <c r="F416">
        <v>0</v>
      </c>
      <c r="I416" t="str">
        <v>FR0000121121</v>
      </c>
      <c r="J416" t="str">
        <v>Excluded</v>
      </c>
      <c r="K416">
        <v>0</v>
      </c>
      <c r="L416" t="str" cm="1">
        <f t="array" ref="L416">_xlfn.TEXTJOIN(",",TRUE,_xlfn._xlws.FILTER($C$5:$C$1727,($D$5:$D$1727=I416)*($E$5:$E$1727=J416)*($F$5:$F$1727=K416)))</f>
        <v>EZ</v>
      </c>
      <c r="M416" t="b">
        <f t="shared" si="12"/>
        <v>0</v>
      </c>
      <c r="N416">
        <f t="shared" si="13"/>
        <v>1</v>
      </c>
    </row>
    <row r="417" spans="3:14" x14ac:dyDescent="0.25">
      <c r="C417" t="s">
        <v>1548</v>
      </c>
      <c r="D417" t="s">
        <v>424</v>
      </c>
      <c r="E417" t="s">
        <v>400</v>
      </c>
      <c r="F417">
        <v>0</v>
      </c>
      <c r="I417" t="str">
        <v>FR0000121147</v>
      </c>
      <c r="J417" t="str">
        <v>Excluded</v>
      </c>
      <c r="K417">
        <v>0</v>
      </c>
      <c r="L417" t="str" cm="1">
        <f t="array" ref="L417">_xlfn.TEXTJOIN(",",TRUE,_xlfn._xlws.FILTER($C$5:$C$1727,($D$5:$D$1727=I417)*($E$5:$E$1727=J417)*($F$5:$F$1727=K417)))</f>
        <v>EZ</v>
      </c>
      <c r="M417" t="b">
        <f t="shared" si="12"/>
        <v>0</v>
      </c>
      <c r="N417">
        <f t="shared" si="13"/>
        <v>0</v>
      </c>
    </row>
    <row r="418" spans="3:14" x14ac:dyDescent="0.25">
      <c r="C418" t="s">
        <v>1548</v>
      </c>
      <c r="D418" t="s">
        <v>425</v>
      </c>
      <c r="E418" t="s">
        <v>400</v>
      </c>
      <c r="F418">
        <v>0</v>
      </c>
      <c r="I418" t="str">
        <v>FR0000121204</v>
      </c>
      <c r="J418" t="str">
        <v>Excluded</v>
      </c>
      <c r="K418">
        <v>0</v>
      </c>
      <c r="L418" t="str" cm="1">
        <f t="array" ref="L418">_xlfn.TEXTJOIN(",",TRUE,_xlfn._xlws.FILTER($C$5:$C$1727,($D$5:$D$1727=I418)*($E$5:$E$1727=J418)*($F$5:$F$1727=K418)))</f>
        <v>EZ</v>
      </c>
      <c r="M418" t="b">
        <f t="shared" si="12"/>
        <v>0</v>
      </c>
      <c r="N418">
        <f t="shared" si="13"/>
        <v>1</v>
      </c>
    </row>
    <row r="419" spans="3:14" x14ac:dyDescent="0.25">
      <c r="C419" t="s">
        <v>1548</v>
      </c>
      <c r="D419" t="s">
        <v>426</v>
      </c>
      <c r="E419" t="s">
        <v>401</v>
      </c>
      <c r="F419">
        <v>0</v>
      </c>
      <c r="I419" t="str">
        <v>FR0000121220</v>
      </c>
      <c r="J419" t="str">
        <v>Excluded</v>
      </c>
      <c r="K419">
        <v>0</v>
      </c>
      <c r="L419" t="str" cm="1">
        <f t="array" ref="L419">_xlfn.TEXTJOIN(",",TRUE,_xlfn._xlws.FILTER($C$5:$C$1727,($D$5:$D$1727=I419)*($E$5:$E$1727=J419)*($F$5:$F$1727=K419)))</f>
        <v>EZ</v>
      </c>
      <c r="M419" t="b">
        <f t="shared" si="12"/>
        <v>0</v>
      </c>
      <c r="N419">
        <f t="shared" si="13"/>
        <v>1</v>
      </c>
    </row>
    <row r="420" spans="3:14" x14ac:dyDescent="0.25">
      <c r="C420" t="s">
        <v>1548</v>
      </c>
      <c r="D420" t="s">
        <v>427</v>
      </c>
      <c r="E420" t="s">
        <v>400</v>
      </c>
      <c r="F420">
        <v>0</v>
      </c>
      <c r="I420" t="str">
        <v>FR0000121329</v>
      </c>
      <c r="J420" t="str">
        <v>Excluded</v>
      </c>
      <c r="K420">
        <v>0</v>
      </c>
      <c r="L420" t="str" cm="1">
        <f t="array" ref="L420">_xlfn.TEXTJOIN(",",TRUE,_xlfn._xlws.FILTER($C$5:$C$1727,($D$5:$D$1727=I420)*($E$5:$E$1727=J420)*($F$5:$F$1727=K420)))</f>
        <v>EZ,Global</v>
      </c>
      <c r="M420" t="b">
        <f t="shared" si="12"/>
        <v>0</v>
      </c>
      <c r="N420">
        <f t="shared" si="13"/>
        <v>0</v>
      </c>
    </row>
    <row r="421" spans="3:14" x14ac:dyDescent="0.25">
      <c r="C421" t="s">
        <v>1548</v>
      </c>
      <c r="D421" t="s">
        <v>3</v>
      </c>
      <c r="E421" t="s">
        <v>399</v>
      </c>
      <c r="F421">
        <v>1</v>
      </c>
      <c r="I421" t="str">
        <v>FR0000121485</v>
      </c>
      <c r="J421" t="str">
        <v>Excluded</v>
      </c>
      <c r="K421">
        <v>0</v>
      </c>
      <c r="L421" t="str" cm="1">
        <f t="array" ref="L421">_xlfn.TEXTJOIN(",",TRUE,_xlfn._xlws.FILTER($C$5:$C$1727,($D$5:$D$1727=I421)*($E$5:$E$1727=J421)*($F$5:$F$1727=K421)))</f>
        <v>EZ,Global</v>
      </c>
      <c r="M421" t="b">
        <f t="shared" si="12"/>
        <v>0</v>
      </c>
      <c r="N421">
        <f t="shared" si="13"/>
        <v>1</v>
      </c>
    </row>
    <row r="422" spans="3:14" x14ac:dyDescent="0.25">
      <c r="C422" t="s">
        <v>1548</v>
      </c>
      <c r="D422" t="s">
        <v>428</v>
      </c>
      <c r="E422" t="s">
        <v>400</v>
      </c>
      <c r="F422">
        <v>0</v>
      </c>
      <c r="I422" t="str">
        <v>FR0000121667</v>
      </c>
      <c r="J422" t="str">
        <v>Not included in a theme</v>
      </c>
      <c r="K422">
        <v>0</v>
      </c>
      <c r="L422" t="str" cm="1">
        <f t="array" ref="L422">_xlfn.TEXTJOIN(",",TRUE,_xlfn._xlws.FILTER($C$5:$C$1727,($D$5:$D$1727=I422)*($E$5:$E$1727=J422)*($F$5:$F$1727=K422)))</f>
        <v>EZ,Global</v>
      </c>
      <c r="M422" t="b">
        <f t="shared" si="12"/>
        <v>0</v>
      </c>
      <c r="N422">
        <f t="shared" si="13"/>
        <v>1</v>
      </c>
    </row>
    <row r="423" spans="3:14" x14ac:dyDescent="0.25">
      <c r="C423" t="s">
        <v>1548</v>
      </c>
      <c r="D423" t="s">
        <v>429</v>
      </c>
      <c r="E423" t="s">
        <v>400</v>
      </c>
      <c r="F423">
        <v>0</v>
      </c>
      <c r="I423" t="str">
        <v>FR0000121709</v>
      </c>
      <c r="J423" t="str">
        <v>Circular economy</v>
      </c>
      <c r="K423">
        <v>0.4</v>
      </c>
      <c r="L423" t="str" cm="1">
        <f t="array" ref="L423">_xlfn.TEXTJOIN(",",TRUE,_xlfn._xlws.FILTER($C$5:$C$1727,($D$5:$D$1727=I423)*($E$5:$E$1727=J423)*($F$5:$F$1727=K423)))</f>
        <v>EZ</v>
      </c>
      <c r="M423" t="b">
        <f t="shared" si="12"/>
        <v>0</v>
      </c>
      <c r="N423">
        <f t="shared" si="13"/>
        <v>0</v>
      </c>
    </row>
    <row r="424" spans="3:14" x14ac:dyDescent="0.25">
      <c r="C424" t="s">
        <v>1548</v>
      </c>
      <c r="D424" t="s">
        <v>430</v>
      </c>
      <c r="E424" t="s">
        <v>403</v>
      </c>
      <c r="F424">
        <v>0.15</v>
      </c>
      <c r="I424" t="str">
        <v>FR0000121964</v>
      </c>
      <c r="J424" t="str">
        <v>Ecoconstruction</v>
      </c>
      <c r="K424">
        <v>0.72</v>
      </c>
      <c r="L424" t="str" cm="1">
        <f t="array" ref="L424">_xlfn.TEXTJOIN(",",TRUE,_xlfn._xlws.FILTER($C$5:$C$1727,($D$5:$D$1727=I424)*($E$5:$E$1727=J424)*($F$5:$F$1727=K424)))</f>
        <v>EZ,Global</v>
      </c>
      <c r="M424" t="b">
        <f t="shared" si="12"/>
        <v>0</v>
      </c>
      <c r="N424">
        <f t="shared" si="13"/>
        <v>1</v>
      </c>
    </row>
    <row r="425" spans="3:14" x14ac:dyDescent="0.25">
      <c r="C425" t="s">
        <v>1548</v>
      </c>
      <c r="D425" t="s">
        <v>431</v>
      </c>
      <c r="E425" t="s">
        <v>399</v>
      </c>
      <c r="F425">
        <v>1</v>
      </c>
      <c r="I425" t="str">
        <v>FR0000121972</v>
      </c>
      <c r="J425" t="str">
        <v>Eco-efficient industries</v>
      </c>
      <c r="K425">
        <v>0.74</v>
      </c>
      <c r="L425" t="str" cm="1">
        <f t="array" ref="L425">_xlfn.TEXTJOIN(",",TRUE,_xlfn._xlws.FILTER($C$5:$C$1727,($D$5:$D$1727=I425)*($E$5:$E$1727=J425)*($F$5:$F$1727=K425)))</f>
        <v>EZ,Global</v>
      </c>
      <c r="M425" t="b">
        <f t="shared" si="12"/>
        <v>0</v>
      </c>
      <c r="N425">
        <f t="shared" si="13"/>
        <v>1</v>
      </c>
    </row>
    <row r="426" spans="3:14" x14ac:dyDescent="0.25">
      <c r="C426" t="s">
        <v>1548</v>
      </c>
      <c r="D426" t="s">
        <v>432</v>
      </c>
      <c r="E426" t="s">
        <v>400</v>
      </c>
      <c r="F426">
        <v>0</v>
      </c>
      <c r="I426" t="str">
        <v>FR0000124141</v>
      </c>
      <c r="J426" t="str">
        <v>Excluded</v>
      </c>
      <c r="K426">
        <v>0</v>
      </c>
      <c r="L426" t="str" cm="1">
        <f t="array" ref="L426">_xlfn.TEXTJOIN(",",TRUE,_xlfn._xlws.FILTER($C$5:$C$1727,($D$5:$D$1727=I426)*($E$5:$E$1727=J426)*($F$5:$F$1727=K426)))</f>
        <v>EZ,Global</v>
      </c>
      <c r="M426" t="b">
        <f t="shared" si="12"/>
        <v>0</v>
      </c>
      <c r="N426">
        <f t="shared" si="13"/>
        <v>0</v>
      </c>
    </row>
    <row r="427" spans="3:14" x14ac:dyDescent="0.25">
      <c r="C427" t="s">
        <v>1548</v>
      </c>
      <c r="D427" t="s">
        <v>433</v>
      </c>
      <c r="E427" t="s">
        <v>399</v>
      </c>
      <c r="F427">
        <v>0.9</v>
      </c>
      <c r="I427" t="str">
        <v>FR0000124570</v>
      </c>
      <c r="J427" t="str">
        <v>Eco-efficient industries</v>
      </c>
      <c r="K427">
        <v>0.22</v>
      </c>
      <c r="L427" t="str" cm="1">
        <f t="array" ref="L427">_xlfn.TEXTJOIN(",",TRUE,_xlfn._xlws.FILTER($C$5:$C$1727,($D$5:$D$1727=I427)*($E$5:$E$1727=J427)*($F$5:$F$1727=K427)))</f>
        <v>EZ</v>
      </c>
      <c r="M427" t="b">
        <f t="shared" si="12"/>
        <v>0</v>
      </c>
      <c r="N427">
        <f t="shared" si="13"/>
        <v>0</v>
      </c>
    </row>
    <row r="428" spans="3:14" x14ac:dyDescent="0.25">
      <c r="C428" t="s">
        <v>1548</v>
      </c>
      <c r="D428" t="s">
        <v>434</v>
      </c>
      <c r="E428" t="s">
        <v>400</v>
      </c>
      <c r="F428">
        <v>0</v>
      </c>
      <c r="I428" t="str">
        <v>FR0000125007</v>
      </c>
      <c r="J428" t="str">
        <v>Ecoconstruction</v>
      </c>
      <c r="K428">
        <v>0.73</v>
      </c>
      <c r="L428" t="str" cm="1">
        <f t="array" ref="L428">_xlfn.TEXTJOIN(",",TRUE,_xlfn._xlws.FILTER($C$5:$C$1727,($D$5:$D$1727=I428)*($E$5:$E$1727=J428)*($F$5:$F$1727=K428)))</f>
        <v>EZ,Global</v>
      </c>
      <c r="M428" t="b">
        <f t="shared" si="12"/>
        <v>0</v>
      </c>
      <c r="N428">
        <f t="shared" si="13"/>
        <v>0</v>
      </c>
    </row>
    <row r="429" spans="3:14" x14ac:dyDescent="0.25">
      <c r="C429" t="s">
        <v>1548</v>
      </c>
      <c r="D429" t="s">
        <v>435</v>
      </c>
      <c r="E429" t="s">
        <v>401</v>
      </c>
      <c r="F429">
        <v>0</v>
      </c>
      <c r="I429" t="str">
        <v>FR0000125338</v>
      </c>
      <c r="J429" t="str">
        <v>Information technology</v>
      </c>
      <c r="K429">
        <v>0.49</v>
      </c>
      <c r="L429" t="str" cm="1">
        <f t="array" ref="L429">_xlfn.TEXTJOIN(",",TRUE,_xlfn._xlws.FILTER($C$5:$C$1727,($D$5:$D$1727=I429)*($E$5:$E$1727=J429)*($F$5:$F$1727=K429)))</f>
        <v>EZ,Global</v>
      </c>
      <c r="M429" t="b">
        <f t="shared" si="12"/>
        <v>0</v>
      </c>
      <c r="N429">
        <f t="shared" si="13"/>
        <v>0</v>
      </c>
    </row>
    <row r="430" spans="3:14" x14ac:dyDescent="0.25">
      <c r="C430" t="s">
        <v>1548</v>
      </c>
      <c r="D430" t="s">
        <v>436</v>
      </c>
      <c r="E430" t="s">
        <v>401</v>
      </c>
      <c r="F430">
        <v>0</v>
      </c>
      <c r="I430" t="str">
        <v>FR0000125486</v>
      </c>
      <c r="J430" t="str">
        <v>Ecoconstruction</v>
      </c>
      <c r="K430">
        <v>0.22</v>
      </c>
      <c r="L430" t="str" cm="1">
        <f t="array" ref="L430">_xlfn.TEXTJOIN(",",TRUE,_xlfn._xlws.FILTER($C$5:$C$1727,($D$5:$D$1727=I430)*($E$5:$E$1727=J430)*($F$5:$F$1727=K430)))</f>
        <v>EZ,Global</v>
      </c>
      <c r="M430" t="b">
        <f t="shared" si="12"/>
        <v>0</v>
      </c>
      <c r="N430">
        <f t="shared" si="13"/>
        <v>0</v>
      </c>
    </row>
    <row r="431" spans="3:14" x14ac:dyDescent="0.25">
      <c r="C431" t="s">
        <v>1548</v>
      </c>
      <c r="D431" t="s">
        <v>437</v>
      </c>
      <c r="E431" t="s">
        <v>400</v>
      </c>
      <c r="F431">
        <v>0</v>
      </c>
      <c r="I431" t="str">
        <v>FR0000127771</v>
      </c>
      <c r="J431" t="str">
        <v>Not included in a theme</v>
      </c>
      <c r="K431">
        <v>0</v>
      </c>
      <c r="L431" t="str" cm="1">
        <f t="array" ref="L431">_xlfn.TEXTJOIN(",",TRUE,_xlfn._xlws.FILTER($C$5:$C$1727,($D$5:$D$1727=I431)*($E$5:$E$1727=J431)*($F$5:$F$1727=K431)))</f>
        <v>EZ</v>
      </c>
      <c r="M431" t="b">
        <f t="shared" si="12"/>
        <v>0</v>
      </c>
      <c r="N431">
        <f t="shared" si="13"/>
        <v>0</v>
      </c>
    </row>
    <row r="432" spans="3:14" x14ac:dyDescent="0.25">
      <c r="C432" t="s">
        <v>1548</v>
      </c>
      <c r="D432" t="s">
        <v>438</v>
      </c>
      <c r="E432" t="s">
        <v>400</v>
      </c>
      <c r="F432">
        <v>0</v>
      </c>
      <c r="I432" t="str">
        <v>FR0000130395</v>
      </c>
      <c r="J432" t="str">
        <v>Excluded</v>
      </c>
      <c r="K432">
        <v>0</v>
      </c>
      <c r="L432" t="str" cm="1">
        <f t="array" ref="L432">_xlfn.TEXTJOIN(",",TRUE,_xlfn._xlws.FILTER($C$5:$C$1727,($D$5:$D$1727=I432)*($E$5:$E$1727=J432)*($F$5:$F$1727=K432)))</f>
        <v>EZ</v>
      </c>
      <c r="M432" t="b">
        <f t="shared" si="12"/>
        <v>0</v>
      </c>
      <c r="N432">
        <f t="shared" si="13"/>
        <v>0</v>
      </c>
    </row>
    <row r="433" spans="3:14" x14ac:dyDescent="0.25">
      <c r="C433" t="s">
        <v>1548</v>
      </c>
      <c r="D433" t="s">
        <v>439</v>
      </c>
      <c r="E433" t="s">
        <v>401</v>
      </c>
      <c r="F433">
        <v>0</v>
      </c>
      <c r="I433" t="str">
        <v>FR0000130452</v>
      </c>
      <c r="J433" t="str">
        <v>Ecoconstruction</v>
      </c>
      <c r="K433">
        <v>0.31</v>
      </c>
      <c r="L433" t="str" cm="1">
        <f t="array" ref="L433">_xlfn.TEXTJOIN(",",TRUE,_xlfn._xlws.FILTER($C$5:$C$1727,($D$5:$D$1727=I433)*($E$5:$E$1727=J433)*($F$5:$F$1727=K433)))</f>
        <v>EZ,Global</v>
      </c>
      <c r="M433" t="b">
        <f t="shared" si="12"/>
        <v>0</v>
      </c>
      <c r="N433">
        <f t="shared" si="13"/>
        <v>1</v>
      </c>
    </row>
    <row r="434" spans="3:14" x14ac:dyDescent="0.25">
      <c r="C434" t="s">
        <v>1548</v>
      </c>
      <c r="D434" t="s">
        <v>440</v>
      </c>
      <c r="E434" t="s">
        <v>400</v>
      </c>
      <c r="F434">
        <v>0</v>
      </c>
      <c r="I434" t="str">
        <v>FR0000130577</v>
      </c>
      <c r="J434" t="str">
        <v>Excluded</v>
      </c>
      <c r="K434">
        <v>0</v>
      </c>
      <c r="L434" t="str" cm="1">
        <f t="array" ref="L434">_xlfn.TEXTJOIN(",",TRUE,_xlfn._xlws.FILTER($C$5:$C$1727,($D$5:$D$1727=I434)*($E$5:$E$1727=J434)*($F$5:$F$1727=K434)))</f>
        <v>EZ,Global</v>
      </c>
      <c r="M434" t="b">
        <f t="shared" si="12"/>
        <v>0</v>
      </c>
      <c r="N434">
        <f t="shared" si="13"/>
        <v>1</v>
      </c>
    </row>
    <row r="435" spans="3:14" x14ac:dyDescent="0.25">
      <c r="C435" t="s">
        <v>1548</v>
      </c>
      <c r="D435" t="s">
        <v>441</v>
      </c>
      <c r="E435" t="s">
        <v>401</v>
      </c>
      <c r="F435">
        <v>0</v>
      </c>
      <c r="I435" t="str">
        <v>FR0000130809</v>
      </c>
      <c r="J435" t="str">
        <v>Not included in a theme</v>
      </c>
      <c r="K435">
        <v>0</v>
      </c>
      <c r="L435" t="str" cm="1">
        <f t="array" ref="L435">_xlfn.TEXTJOIN(",",TRUE,_xlfn._xlws.FILTER($C$5:$C$1727,($D$5:$D$1727=I435)*($E$5:$E$1727=J435)*($F$5:$F$1727=K435)))</f>
        <v>EZ</v>
      </c>
      <c r="M435" t="b">
        <f t="shared" si="12"/>
        <v>1</v>
      </c>
      <c r="N435">
        <f t="shared" si="13"/>
        <v>1</v>
      </c>
    </row>
    <row r="436" spans="3:14" x14ac:dyDescent="0.25">
      <c r="C436" t="s">
        <v>1548</v>
      </c>
      <c r="D436" t="s">
        <v>442</v>
      </c>
      <c r="E436" t="s">
        <v>400</v>
      </c>
      <c r="F436">
        <v>0</v>
      </c>
      <c r="I436" t="str">
        <v>FR0000130809</v>
      </c>
      <c r="J436" t="str">
        <v>Excluded</v>
      </c>
      <c r="K436">
        <v>0</v>
      </c>
      <c r="L436" t="str" cm="1">
        <f t="array" ref="L436">_xlfn.TEXTJOIN(",",TRUE,_xlfn._xlws.FILTER($C$5:$C$1727,($D$5:$D$1727=I436)*($E$5:$E$1727=J436)*($F$5:$F$1727=K436)))</f>
        <v>Global</v>
      </c>
      <c r="M436" t="b">
        <f t="shared" si="12"/>
        <v>1</v>
      </c>
      <c r="N436">
        <f t="shared" si="13"/>
        <v>1</v>
      </c>
    </row>
    <row r="437" spans="3:14" x14ac:dyDescent="0.25">
      <c r="C437" t="s">
        <v>1548</v>
      </c>
      <c r="D437" t="s">
        <v>5</v>
      </c>
      <c r="E437" t="s">
        <v>399</v>
      </c>
      <c r="F437">
        <v>1</v>
      </c>
      <c r="I437" t="str">
        <v>FR0000131104</v>
      </c>
      <c r="J437" t="str">
        <v>Not included in a theme</v>
      </c>
      <c r="K437">
        <v>0</v>
      </c>
      <c r="L437" t="str" cm="1">
        <f t="array" ref="L437">_xlfn.TEXTJOIN(",",TRUE,_xlfn._xlws.FILTER($C$5:$C$1727,($D$5:$D$1727=I437)*($E$5:$E$1727=J437)*($F$5:$F$1727=K437)))</f>
        <v>EZ</v>
      </c>
      <c r="M437" t="b">
        <f t="shared" si="12"/>
        <v>1</v>
      </c>
      <c r="N437">
        <f t="shared" si="13"/>
        <v>1</v>
      </c>
    </row>
    <row r="438" spans="3:14" x14ac:dyDescent="0.25">
      <c r="C438" t="s">
        <v>1548</v>
      </c>
      <c r="D438" t="s">
        <v>443</v>
      </c>
      <c r="E438" t="s">
        <v>400</v>
      </c>
      <c r="F438">
        <v>0</v>
      </c>
      <c r="I438" t="str">
        <v>FR0000131104</v>
      </c>
      <c r="J438" t="str">
        <v>Excluded</v>
      </c>
      <c r="K438">
        <v>0</v>
      </c>
      <c r="L438" t="str" cm="1">
        <f t="array" ref="L438">_xlfn.TEXTJOIN(",",TRUE,_xlfn._xlws.FILTER($C$5:$C$1727,($D$5:$D$1727=I438)*($E$5:$E$1727=J438)*($F$5:$F$1727=K438)))</f>
        <v>Global</v>
      </c>
      <c r="M438" t="b">
        <f t="shared" si="12"/>
        <v>1</v>
      </c>
      <c r="N438">
        <f t="shared" si="13"/>
        <v>1</v>
      </c>
    </row>
    <row r="439" spans="3:14" x14ac:dyDescent="0.25">
      <c r="C439" t="s">
        <v>1548</v>
      </c>
      <c r="D439" t="s">
        <v>444</v>
      </c>
      <c r="E439" t="s">
        <v>400</v>
      </c>
      <c r="F439">
        <v>0</v>
      </c>
      <c r="I439" t="str">
        <v>FR0000131906</v>
      </c>
      <c r="J439" t="str">
        <v>Excluded</v>
      </c>
      <c r="K439">
        <v>0</v>
      </c>
      <c r="L439" t="str" cm="1">
        <f t="array" ref="L439">_xlfn.TEXTJOIN(",",TRUE,_xlfn._xlws.FILTER($C$5:$C$1727,($D$5:$D$1727=I439)*($E$5:$E$1727=J439)*($F$5:$F$1727=K439)))</f>
        <v>EZ,Global</v>
      </c>
      <c r="M439" t="b">
        <f t="shared" si="12"/>
        <v>0</v>
      </c>
      <c r="N439">
        <f t="shared" si="13"/>
        <v>1</v>
      </c>
    </row>
    <row r="440" spans="3:14" x14ac:dyDescent="0.25">
      <c r="C440" t="s">
        <v>1548</v>
      </c>
      <c r="D440" t="s">
        <v>445</v>
      </c>
      <c r="E440" t="s">
        <v>401</v>
      </c>
      <c r="F440">
        <v>0</v>
      </c>
      <c r="I440" t="str">
        <v>FR0000133308</v>
      </c>
      <c r="J440" t="str">
        <v>Not included in a theme</v>
      </c>
      <c r="K440">
        <v>0</v>
      </c>
      <c r="L440" t="str" cm="1">
        <f t="array" ref="L440">_xlfn.TEXTJOIN(",",TRUE,_xlfn._xlws.FILTER($C$5:$C$1727,($D$5:$D$1727=I440)*($E$5:$E$1727=J440)*($F$5:$F$1727=K440)))</f>
        <v>EZ,Global</v>
      </c>
      <c r="M440" t="b">
        <f t="shared" si="12"/>
        <v>0</v>
      </c>
      <c r="N440">
        <f t="shared" si="13"/>
        <v>1</v>
      </c>
    </row>
    <row r="441" spans="3:14" x14ac:dyDescent="0.25">
      <c r="C441" t="s">
        <v>1548</v>
      </c>
      <c r="D441" t="s">
        <v>446</v>
      </c>
      <c r="E441" t="s">
        <v>401</v>
      </c>
      <c r="F441">
        <v>0</v>
      </c>
      <c r="I441" t="str">
        <v>FR0004125920</v>
      </c>
      <c r="J441" t="str">
        <v>Excluded</v>
      </c>
      <c r="K441">
        <v>0</v>
      </c>
      <c r="L441" t="str" cm="1">
        <f t="array" ref="L441">_xlfn.TEXTJOIN(",",TRUE,_xlfn._xlws.FILTER($C$5:$C$1727,($D$5:$D$1727=I441)*($E$5:$E$1727=J441)*($F$5:$F$1727=K441)))</f>
        <v>EZ</v>
      </c>
      <c r="M441" t="b">
        <f t="shared" si="12"/>
        <v>0</v>
      </c>
      <c r="N441">
        <f t="shared" si="13"/>
        <v>1</v>
      </c>
    </row>
    <row r="442" spans="3:14" x14ac:dyDescent="0.25">
      <c r="C442" t="s">
        <v>1548</v>
      </c>
      <c r="D442" t="s">
        <v>447</v>
      </c>
      <c r="E442" t="s">
        <v>400</v>
      </c>
      <c r="F442">
        <v>0</v>
      </c>
      <c r="I442" t="str">
        <v>FR0005691656</v>
      </c>
      <c r="J442" t="str">
        <v>Excluded</v>
      </c>
      <c r="K442">
        <v>0</v>
      </c>
      <c r="L442" t="str" cm="1">
        <f t="array" ref="L442">_xlfn.TEXTJOIN(",",TRUE,_xlfn._xlws.FILTER($C$5:$C$1727,($D$5:$D$1727=I442)*($E$5:$E$1727=J442)*($F$5:$F$1727=K442)))</f>
        <v>EZ</v>
      </c>
      <c r="M442" t="b">
        <f t="shared" si="12"/>
        <v>0</v>
      </c>
      <c r="N442">
        <f t="shared" si="13"/>
        <v>0</v>
      </c>
    </row>
    <row r="443" spans="3:14" x14ac:dyDescent="0.25">
      <c r="C443" t="s">
        <v>1548</v>
      </c>
      <c r="D443" t="s">
        <v>448</v>
      </c>
      <c r="E443" t="s">
        <v>400</v>
      </c>
      <c r="F443">
        <v>0</v>
      </c>
      <c r="I443" t="str">
        <v>FR0006174348</v>
      </c>
      <c r="J443" t="str">
        <v>Eco-efficient industries</v>
      </c>
      <c r="K443">
        <v>0.38</v>
      </c>
      <c r="L443" t="str" cm="1">
        <f t="array" ref="L443">_xlfn.TEXTJOIN(",",TRUE,_xlfn._xlws.FILTER($C$5:$C$1727,($D$5:$D$1727=I443)*($E$5:$E$1727=J443)*($F$5:$F$1727=K443)))</f>
        <v>EZ,Global</v>
      </c>
      <c r="M443" t="b">
        <f t="shared" si="12"/>
        <v>0</v>
      </c>
      <c r="N443">
        <f t="shared" si="13"/>
        <v>0</v>
      </c>
    </row>
    <row r="444" spans="3:14" x14ac:dyDescent="0.25">
      <c r="C444" t="s">
        <v>1548</v>
      </c>
      <c r="D444" t="s">
        <v>449</v>
      </c>
      <c r="E444" t="s">
        <v>399</v>
      </c>
      <c r="F444">
        <v>1</v>
      </c>
      <c r="I444" t="str">
        <v>FR0010040865</v>
      </c>
      <c r="J444" t="str">
        <v>Ecoconstruction</v>
      </c>
      <c r="K444">
        <v>0.44</v>
      </c>
      <c r="L444" t="str" cm="1">
        <f t="array" ref="L444">_xlfn.TEXTJOIN(",",TRUE,_xlfn._xlws.FILTER($C$5:$C$1727,($D$5:$D$1727=I444)*($E$5:$E$1727=J444)*($F$5:$F$1727=K444)))</f>
        <v>EZ</v>
      </c>
      <c r="M444" t="b">
        <f t="shared" si="12"/>
        <v>0</v>
      </c>
      <c r="N444">
        <f t="shared" si="13"/>
        <v>1</v>
      </c>
    </row>
    <row r="445" spans="3:14" x14ac:dyDescent="0.25">
      <c r="C445" t="s">
        <v>1548</v>
      </c>
      <c r="D445" t="s">
        <v>450</v>
      </c>
      <c r="E445" t="s">
        <v>400</v>
      </c>
      <c r="F445">
        <v>0</v>
      </c>
      <c r="I445" t="str">
        <v>FR0010208488</v>
      </c>
      <c r="J445" t="str">
        <v>Excluded</v>
      </c>
      <c r="K445">
        <v>0</v>
      </c>
      <c r="L445" t="str" cm="1">
        <f t="array" ref="L445">_xlfn.TEXTJOIN(",",TRUE,_xlfn._xlws.FILTER($C$5:$C$1727,($D$5:$D$1727=I445)*($E$5:$E$1727=J445)*($F$5:$F$1727=K445)))</f>
        <v>EZ,Global</v>
      </c>
      <c r="M445" t="b">
        <f t="shared" si="12"/>
        <v>0</v>
      </c>
      <c r="N445">
        <f t="shared" si="13"/>
        <v>0</v>
      </c>
    </row>
    <row r="446" spans="3:14" x14ac:dyDescent="0.25">
      <c r="C446" t="s">
        <v>1548</v>
      </c>
      <c r="D446" t="s">
        <v>451</v>
      </c>
      <c r="E446" t="s">
        <v>400</v>
      </c>
      <c r="F446">
        <v>0</v>
      </c>
      <c r="I446" t="str">
        <v>FR0010220475</v>
      </c>
      <c r="J446" t="str">
        <v>Clean transport</v>
      </c>
      <c r="K446">
        <v>1</v>
      </c>
      <c r="L446" t="str" cm="1">
        <f t="array" ref="L446">_xlfn.TEXTJOIN(",",TRUE,_xlfn._xlws.FILTER($C$5:$C$1727,($D$5:$D$1727=I446)*($E$5:$E$1727=J446)*($F$5:$F$1727=K446)))</f>
        <v>EZ,Global</v>
      </c>
      <c r="M446" t="b">
        <f t="shared" si="12"/>
        <v>0</v>
      </c>
      <c r="N446">
        <f t="shared" si="13"/>
        <v>1</v>
      </c>
    </row>
    <row r="447" spans="3:14" x14ac:dyDescent="0.25">
      <c r="C447" t="s">
        <v>1548</v>
      </c>
      <c r="D447" t="s">
        <v>452</v>
      </c>
      <c r="E447" t="s">
        <v>401</v>
      </c>
      <c r="F447">
        <v>0</v>
      </c>
      <c r="I447" t="str">
        <v>FR0010259150</v>
      </c>
      <c r="J447" t="str">
        <v>Not included in a theme</v>
      </c>
      <c r="K447">
        <v>0</v>
      </c>
      <c r="L447" t="str" cm="1">
        <f t="array" ref="L447">_xlfn.TEXTJOIN(",",TRUE,_xlfn._xlws.FILTER($C$5:$C$1727,($D$5:$D$1727=I447)*($E$5:$E$1727=J447)*($F$5:$F$1727=K447)))</f>
        <v>EZ</v>
      </c>
      <c r="M447" t="b">
        <f t="shared" si="12"/>
        <v>0</v>
      </c>
      <c r="N447">
        <f t="shared" si="13"/>
        <v>1</v>
      </c>
    </row>
    <row r="448" spans="3:14" x14ac:dyDescent="0.25">
      <c r="C448" t="s">
        <v>1548</v>
      </c>
      <c r="D448" t="s">
        <v>453</v>
      </c>
      <c r="E448" t="s">
        <v>400</v>
      </c>
      <c r="F448">
        <v>0</v>
      </c>
      <c r="I448" t="str">
        <v>FR0010282822</v>
      </c>
      <c r="J448" t="str">
        <v>Information technology</v>
      </c>
      <c r="K448">
        <v>1</v>
      </c>
      <c r="L448" t="str" cm="1">
        <f t="array" ref="L448">_xlfn.TEXTJOIN(",",TRUE,_xlfn._xlws.FILTER($C$5:$C$1727,($D$5:$D$1727=I448)*($E$5:$E$1727=J448)*($F$5:$F$1727=K448)))</f>
        <v>EZ</v>
      </c>
      <c r="M448" t="b">
        <f t="shared" si="12"/>
        <v>0</v>
      </c>
      <c r="N448">
        <f t="shared" si="13"/>
        <v>0</v>
      </c>
    </row>
    <row r="449" spans="3:14" x14ac:dyDescent="0.25">
      <c r="C449" t="s">
        <v>1548</v>
      </c>
      <c r="D449" t="s">
        <v>454</v>
      </c>
      <c r="E449" t="s">
        <v>400</v>
      </c>
      <c r="F449">
        <v>0</v>
      </c>
      <c r="I449" t="str">
        <v>FR0010307819</v>
      </c>
      <c r="J449" t="str">
        <v>Eco-efficient industries</v>
      </c>
      <c r="K449">
        <v>0.75</v>
      </c>
      <c r="L449" t="str" cm="1">
        <f t="array" ref="L449">_xlfn.TEXTJOIN(",",TRUE,_xlfn._xlws.FILTER($C$5:$C$1727,($D$5:$D$1727=I449)*($E$5:$E$1727=J449)*($F$5:$F$1727=K449)))</f>
        <v>EZ,Global</v>
      </c>
      <c r="M449" t="b">
        <f t="shared" si="12"/>
        <v>0</v>
      </c>
      <c r="N449">
        <f t="shared" si="13"/>
        <v>1</v>
      </c>
    </row>
    <row r="450" spans="3:14" x14ac:dyDescent="0.25">
      <c r="C450" t="s">
        <v>1548</v>
      </c>
      <c r="D450" t="s">
        <v>455</v>
      </c>
      <c r="E450" t="s">
        <v>399</v>
      </c>
      <c r="F450">
        <v>1</v>
      </c>
      <c r="I450" t="str">
        <v>FR0010313833</v>
      </c>
      <c r="J450" t="str">
        <v>Ecoconstruction</v>
      </c>
      <c r="K450">
        <v>0.51</v>
      </c>
      <c r="L450" t="str" cm="1">
        <f t="array" ref="L450">_xlfn.TEXTJOIN(",",TRUE,_xlfn._xlws.FILTER($C$5:$C$1727,($D$5:$D$1727=I450)*($E$5:$E$1727=J450)*($F$5:$F$1727=K450)))</f>
        <v>EZ</v>
      </c>
      <c r="M450" t="b">
        <f t="shared" si="12"/>
        <v>0</v>
      </c>
      <c r="N450">
        <f t="shared" si="13"/>
        <v>1</v>
      </c>
    </row>
    <row r="451" spans="3:14" x14ac:dyDescent="0.25">
      <c r="C451" t="s">
        <v>1548</v>
      </c>
      <c r="D451" t="s">
        <v>456</v>
      </c>
      <c r="E451" t="s">
        <v>400</v>
      </c>
      <c r="F451">
        <v>0</v>
      </c>
      <c r="I451" t="str">
        <v>FR0010340141</v>
      </c>
      <c r="J451" t="str">
        <v>Not included in a theme</v>
      </c>
      <c r="K451">
        <v>0</v>
      </c>
      <c r="L451" t="str" cm="1">
        <f t="array" ref="L451">_xlfn.TEXTJOIN(",",TRUE,_xlfn._xlws.FILTER($C$5:$C$1727,($D$5:$D$1727=I451)*($E$5:$E$1727=J451)*($F$5:$F$1727=K451)))</f>
        <v>EZ</v>
      </c>
      <c r="M451" t="b">
        <f t="shared" si="12"/>
        <v>0</v>
      </c>
      <c r="N451">
        <f t="shared" si="13"/>
        <v>1</v>
      </c>
    </row>
    <row r="452" spans="3:14" x14ac:dyDescent="0.25">
      <c r="C452" t="s">
        <v>1548</v>
      </c>
      <c r="D452" t="s">
        <v>8</v>
      </c>
      <c r="E452" t="s">
        <v>400</v>
      </c>
      <c r="F452">
        <v>0</v>
      </c>
      <c r="I452" t="str">
        <v>FR0010411983</v>
      </c>
      <c r="J452" t="str">
        <v>Not included in a theme</v>
      </c>
      <c r="K452">
        <v>0</v>
      </c>
      <c r="L452" t="str" cm="1">
        <f t="array" ref="L452">_xlfn.TEXTJOIN(",",TRUE,_xlfn._xlws.FILTER($C$5:$C$1727,($D$5:$D$1727=I452)*($E$5:$E$1727=J452)*($F$5:$F$1727=K452)))</f>
        <v>EZ</v>
      </c>
      <c r="M452" t="b">
        <f t="shared" si="12"/>
        <v>0</v>
      </c>
      <c r="N452">
        <f t="shared" si="13"/>
        <v>1</v>
      </c>
    </row>
    <row r="453" spans="3:14" x14ac:dyDescent="0.25">
      <c r="C453" t="s">
        <v>1548</v>
      </c>
      <c r="D453" t="s">
        <v>457</v>
      </c>
      <c r="E453" t="s">
        <v>400</v>
      </c>
      <c r="F453">
        <v>0</v>
      </c>
      <c r="I453" t="str">
        <v>FR0010451203</v>
      </c>
      <c r="J453" t="str">
        <v>Green energy</v>
      </c>
      <c r="K453">
        <v>0.88</v>
      </c>
      <c r="L453" t="str" cm="1">
        <f t="array" ref="L453">_xlfn.TEXTJOIN(",",TRUE,_xlfn._xlws.FILTER($C$5:$C$1727,($D$5:$D$1727=I453)*($E$5:$E$1727=J453)*($F$5:$F$1727=K453)))</f>
        <v>EZ,Global</v>
      </c>
      <c r="M453" t="b">
        <f t="shared" si="12"/>
        <v>0</v>
      </c>
      <c r="N453">
        <f t="shared" si="13"/>
        <v>1</v>
      </c>
    </row>
    <row r="454" spans="3:14" x14ac:dyDescent="0.25">
      <c r="C454" t="s">
        <v>1548</v>
      </c>
      <c r="D454" t="s">
        <v>458</v>
      </c>
      <c r="E454" t="s">
        <v>400</v>
      </c>
      <c r="F454">
        <v>0</v>
      </c>
      <c r="I454" t="str">
        <v>FR0010533075</v>
      </c>
      <c r="J454" t="str">
        <v>Clean transport</v>
      </c>
      <c r="K454">
        <v>1</v>
      </c>
      <c r="L454" t="str" cm="1">
        <f t="array" ref="L454">_xlfn.TEXTJOIN(",",TRUE,_xlfn._xlws.FILTER($C$5:$C$1727,($D$5:$D$1727=I454)*($E$5:$E$1727=J454)*($F$5:$F$1727=K454)))</f>
        <v>EZ</v>
      </c>
      <c r="M454" t="b">
        <f t="shared" ref="M454:M517" si="14">COUNTIFS($I$5:$I$1556,I454)&gt;1</f>
        <v>0</v>
      </c>
      <c r="N454">
        <f t="shared" ref="N454:N517" si="15">COUNTIFS($U$5:$U$231,I454)</f>
        <v>1</v>
      </c>
    </row>
    <row r="455" spans="3:14" x14ac:dyDescent="0.25">
      <c r="C455" t="s">
        <v>1548</v>
      </c>
      <c r="D455" t="s">
        <v>459</v>
      </c>
      <c r="E455" t="s">
        <v>400</v>
      </c>
      <c r="F455">
        <v>0</v>
      </c>
      <c r="I455" t="str">
        <v>FR0010667147</v>
      </c>
      <c r="J455" t="str">
        <v>Excluded</v>
      </c>
      <c r="K455">
        <v>0</v>
      </c>
      <c r="L455" t="str" cm="1">
        <f t="array" ref="L455">_xlfn.TEXTJOIN(",",TRUE,_xlfn._xlws.FILTER($C$5:$C$1727,($D$5:$D$1727=I455)*($E$5:$E$1727=J455)*($F$5:$F$1727=K455)))</f>
        <v>EZ</v>
      </c>
      <c r="M455" t="b">
        <f t="shared" si="14"/>
        <v>0</v>
      </c>
      <c r="N455">
        <f t="shared" si="15"/>
        <v>0</v>
      </c>
    </row>
    <row r="456" spans="3:14" x14ac:dyDescent="0.25">
      <c r="C456" t="s">
        <v>1548</v>
      </c>
      <c r="D456" t="s">
        <v>460</v>
      </c>
      <c r="E456" t="s">
        <v>400</v>
      </c>
      <c r="F456">
        <v>0</v>
      </c>
      <c r="I456" t="str">
        <v>FR0010828137</v>
      </c>
      <c r="J456" t="str">
        <v>Excluded</v>
      </c>
      <c r="K456">
        <v>0</v>
      </c>
      <c r="L456" t="str" cm="1">
        <f t="array" ref="L456">_xlfn.TEXTJOIN(",",TRUE,_xlfn._xlws.FILTER($C$5:$C$1727,($D$5:$D$1727=I456)*($E$5:$E$1727=J456)*($F$5:$F$1727=K456)))</f>
        <v>EZ</v>
      </c>
      <c r="M456" t="b">
        <f t="shared" si="14"/>
        <v>0</v>
      </c>
      <c r="N456">
        <f t="shared" si="15"/>
        <v>0</v>
      </c>
    </row>
    <row r="457" spans="3:14" x14ac:dyDescent="0.25">
      <c r="C457" t="s">
        <v>1548</v>
      </c>
      <c r="D457" t="s">
        <v>461</v>
      </c>
      <c r="E457" t="s">
        <v>400</v>
      </c>
      <c r="F457">
        <v>0</v>
      </c>
      <c r="I457" t="str">
        <v>FR0010908533</v>
      </c>
      <c r="J457" t="str">
        <v>Circular economy</v>
      </c>
      <c r="K457">
        <v>0.61</v>
      </c>
      <c r="L457" t="str" cm="1">
        <f t="array" ref="L457">_xlfn.TEXTJOIN(",",TRUE,_xlfn._xlws.FILTER($C$5:$C$1727,($D$5:$D$1727=I457)*($E$5:$E$1727=J457)*($F$5:$F$1727=K457)))</f>
        <v>EZ</v>
      </c>
      <c r="M457" t="b">
        <f t="shared" si="14"/>
        <v>0</v>
      </c>
      <c r="N457">
        <f t="shared" si="15"/>
        <v>1</v>
      </c>
    </row>
    <row r="458" spans="3:14" x14ac:dyDescent="0.25">
      <c r="C458" t="s">
        <v>1548</v>
      </c>
      <c r="D458" t="s">
        <v>9</v>
      </c>
      <c r="E458" t="s">
        <v>400</v>
      </c>
      <c r="F458">
        <v>0</v>
      </c>
      <c r="I458" t="str">
        <v>FR0010929125</v>
      </c>
      <c r="J458" t="str">
        <v>Clean transport</v>
      </c>
      <c r="K458">
        <v>1</v>
      </c>
      <c r="L458" t="str" cm="1">
        <f t="array" ref="L458">_xlfn.TEXTJOIN(",",TRUE,_xlfn._xlws.FILTER($C$5:$C$1727,($D$5:$D$1727=I458)*($E$5:$E$1727=J458)*($F$5:$F$1727=K458)))</f>
        <v>EZ</v>
      </c>
      <c r="M458" t="b">
        <f t="shared" si="14"/>
        <v>0</v>
      </c>
      <c r="N458">
        <f t="shared" si="15"/>
        <v>0</v>
      </c>
    </row>
    <row r="459" spans="3:14" x14ac:dyDescent="0.25">
      <c r="C459" t="s">
        <v>1548</v>
      </c>
      <c r="D459" t="s">
        <v>462</v>
      </c>
      <c r="E459" t="s">
        <v>400</v>
      </c>
      <c r="F459">
        <v>0</v>
      </c>
      <c r="I459" t="str">
        <v>FR0011726835</v>
      </c>
      <c r="J459" t="str">
        <v>Excluded</v>
      </c>
      <c r="K459">
        <v>0</v>
      </c>
      <c r="L459" t="str" cm="1">
        <f t="array" ref="L459">_xlfn.TEXTJOIN(",",TRUE,_xlfn._xlws.FILTER($C$5:$C$1727,($D$5:$D$1727=I459)*($E$5:$E$1727=J459)*($F$5:$F$1727=K459)))</f>
        <v>EZ,Global</v>
      </c>
      <c r="M459" t="b">
        <f t="shared" si="14"/>
        <v>0</v>
      </c>
      <c r="N459">
        <f t="shared" si="15"/>
        <v>0</v>
      </c>
    </row>
    <row r="460" spans="3:14" x14ac:dyDescent="0.25">
      <c r="C460" t="s">
        <v>1548</v>
      </c>
      <c r="D460" t="s">
        <v>463</v>
      </c>
      <c r="E460" t="s">
        <v>401</v>
      </c>
      <c r="F460">
        <v>0</v>
      </c>
      <c r="I460" t="str">
        <v>FR0012333284</v>
      </c>
      <c r="J460" t="str">
        <v>Excluded</v>
      </c>
      <c r="K460">
        <v>0</v>
      </c>
      <c r="L460" t="str" cm="1">
        <f t="array" ref="L460">_xlfn.TEXTJOIN(",",TRUE,_xlfn._xlws.FILTER($C$5:$C$1727,($D$5:$D$1727=I460)*($E$5:$E$1727=J460)*($F$5:$F$1727=K460)))</f>
        <v>EZ,Global</v>
      </c>
      <c r="M460" t="b">
        <f t="shared" si="14"/>
        <v>0</v>
      </c>
      <c r="N460">
        <f t="shared" si="15"/>
        <v>1</v>
      </c>
    </row>
    <row r="461" spans="3:14" x14ac:dyDescent="0.25">
      <c r="C461" t="s">
        <v>1548</v>
      </c>
      <c r="D461" t="s">
        <v>464</v>
      </c>
      <c r="E461" t="s">
        <v>399</v>
      </c>
      <c r="F461">
        <v>1</v>
      </c>
      <c r="I461" t="str">
        <v>FR0012435121</v>
      </c>
      <c r="J461" t="str">
        <v>Circular economy</v>
      </c>
      <c r="K461">
        <v>0.86</v>
      </c>
      <c r="L461" t="str" cm="1">
        <f t="array" ref="L461">_xlfn.TEXTJOIN(",",TRUE,_xlfn._xlws.FILTER($C$5:$C$1727,($D$5:$D$1727=I461)*($E$5:$E$1727=J461)*($F$5:$F$1727=K461)))</f>
        <v>EZ</v>
      </c>
      <c r="M461" t="b">
        <f t="shared" si="14"/>
        <v>0</v>
      </c>
      <c r="N461">
        <f t="shared" si="15"/>
        <v>1</v>
      </c>
    </row>
    <row r="462" spans="3:14" x14ac:dyDescent="0.25">
      <c r="C462" t="s">
        <v>1548</v>
      </c>
      <c r="D462" t="s">
        <v>465</v>
      </c>
      <c r="E462" t="s">
        <v>401</v>
      </c>
      <c r="F462">
        <v>0</v>
      </c>
      <c r="I462" t="str">
        <v>FR0012757854</v>
      </c>
      <c r="J462" t="str">
        <v>Eco-efficient industries</v>
      </c>
      <c r="K462">
        <v>0.49</v>
      </c>
      <c r="L462" t="str" cm="1">
        <f t="array" ref="L462">_xlfn.TEXTJOIN(",",TRUE,_xlfn._xlws.FILTER($C$5:$C$1727,($D$5:$D$1727=I462)*($E$5:$E$1727=J462)*($F$5:$F$1727=K462)))</f>
        <v>EZ,Global</v>
      </c>
      <c r="M462" t="b">
        <f t="shared" si="14"/>
        <v>0</v>
      </c>
      <c r="N462">
        <f t="shared" si="15"/>
        <v>0</v>
      </c>
    </row>
    <row r="463" spans="3:14" x14ac:dyDescent="0.25">
      <c r="C463" t="s">
        <v>1548</v>
      </c>
      <c r="D463" t="s">
        <v>466</v>
      </c>
      <c r="E463" t="s">
        <v>401</v>
      </c>
      <c r="F463">
        <v>0</v>
      </c>
      <c r="I463" t="str">
        <v>FR0013154002</v>
      </c>
      <c r="J463" t="str">
        <v>Not included in a theme</v>
      </c>
      <c r="K463">
        <v>0</v>
      </c>
      <c r="L463" t="str" cm="1">
        <f t="array" ref="L463">_xlfn.TEXTJOIN(",",TRUE,_xlfn._xlws.FILTER($C$5:$C$1727,($D$5:$D$1727=I463)*($E$5:$E$1727=J463)*($F$5:$F$1727=K463)))</f>
        <v>EZ,Global</v>
      </c>
      <c r="M463" t="b">
        <f t="shared" si="14"/>
        <v>0</v>
      </c>
      <c r="N463">
        <f t="shared" si="15"/>
        <v>1</v>
      </c>
    </row>
    <row r="464" spans="3:14" x14ac:dyDescent="0.25">
      <c r="C464" t="s">
        <v>1548</v>
      </c>
      <c r="D464" t="s">
        <v>467</v>
      </c>
      <c r="E464" t="s">
        <v>401</v>
      </c>
      <c r="F464">
        <v>0</v>
      </c>
      <c r="I464" t="str">
        <v>FR0013176526</v>
      </c>
      <c r="J464" t="str">
        <v>Excluded</v>
      </c>
      <c r="K464">
        <v>0</v>
      </c>
      <c r="L464" t="str" cm="1">
        <f t="array" ref="L464">_xlfn.TEXTJOIN(",",TRUE,_xlfn._xlws.FILTER($C$5:$C$1727,($D$5:$D$1727=I464)*($E$5:$E$1727=J464)*($F$5:$F$1727=K464)))</f>
        <v>EZ</v>
      </c>
      <c r="M464" t="b">
        <f t="shared" si="14"/>
        <v>0</v>
      </c>
      <c r="N464">
        <f t="shared" si="15"/>
        <v>1</v>
      </c>
    </row>
    <row r="465" spans="3:14" x14ac:dyDescent="0.25">
      <c r="C465" t="s">
        <v>1548</v>
      </c>
      <c r="D465" t="s">
        <v>468</v>
      </c>
      <c r="E465" t="s">
        <v>399</v>
      </c>
      <c r="F465">
        <v>1</v>
      </c>
      <c r="I465" t="str">
        <v>FR0013258662</v>
      </c>
      <c r="J465" t="str">
        <v>Not included in a theme</v>
      </c>
      <c r="K465">
        <v>0</v>
      </c>
      <c r="L465" t="str" cm="1">
        <f t="array" ref="L465">_xlfn.TEXTJOIN(",",TRUE,_xlfn._xlws.FILTER($C$5:$C$1727,($D$5:$D$1727=I465)*($E$5:$E$1727=J465)*($F$5:$F$1727=K465)))</f>
        <v>EZ</v>
      </c>
      <c r="M465" t="b">
        <f t="shared" si="14"/>
        <v>0</v>
      </c>
      <c r="N465">
        <f t="shared" si="15"/>
        <v>1</v>
      </c>
    </row>
    <row r="466" spans="3:14" x14ac:dyDescent="0.25">
      <c r="C466" t="s">
        <v>1548</v>
      </c>
      <c r="D466" t="s">
        <v>469</v>
      </c>
      <c r="E466" t="s">
        <v>399</v>
      </c>
      <c r="F466">
        <v>1</v>
      </c>
      <c r="I466" t="str">
        <v>FR0013269123</v>
      </c>
      <c r="J466" t="str">
        <v>Excluded</v>
      </c>
      <c r="K466">
        <v>0</v>
      </c>
      <c r="L466" t="str" cm="1">
        <f t="array" ref="L466">_xlfn.TEXTJOIN(",",TRUE,_xlfn._xlws.FILTER($C$5:$C$1727,($D$5:$D$1727=I466)*($E$5:$E$1727=J466)*($F$5:$F$1727=K466)))</f>
        <v>EZ</v>
      </c>
      <c r="M466" t="b">
        <f t="shared" si="14"/>
        <v>0</v>
      </c>
      <c r="N466">
        <f t="shared" si="15"/>
        <v>0</v>
      </c>
    </row>
    <row r="467" spans="3:14" x14ac:dyDescent="0.25">
      <c r="C467" t="s">
        <v>1548</v>
      </c>
      <c r="D467" t="s">
        <v>4</v>
      </c>
      <c r="E467" t="s">
        <v>400</v>
      </c>
      <c r="F467">
        <v>0</v>
      </c>
      <c r="I467" t="str">
        <v>FR0013280286</v>
      </c>
      <c r="J467" t="str">
        <v>Not included in a theme</v>
      </c>
      <c r="K467">
        <v>0</v>
      </c>
      <c r="L467" t="str" cm="1">
        <f t="array" ref="L467">_xlfn.TEXTJOIN(",",TRUE,_xlfn._xlws.FILTER($C$5:$C$1727,($D$5:$D$1727=I467)*($E$5:$E$1727=J467)*($F$5:$F$1727=K467)))</f>
        <v>EZ,Global</v>
      </c>
      <c r="M467" t="b">
        <f t="shared" si="14"/>
        <v>0</v>
      </c>
      <c r="N467">
        <f t="shared" si="15"/>
        <v>1</v>
      </c>
    </row>
    <row r="468" spans="3:14" x14ac:dyDescent="0.25">
      <c r="C468" t="s">
        <v>1548</v>
      </c>
      <c r="D468" t="s">
        <v>470</v>
      </c>
      <c r="E468" t="s">
        <v>401</v>
      </c>
      <c r="F468">
        <v>0</v>
      </c>
      <c r="I468" t="str">
        <v>FR0013326246</v>
      </c>
      <c r="J468" t="str">
        <v>Ecoconstruction</v>
      </c>
      <c r="K468">
        <v>1</v>
      </c>
      <c r="L468" t="str" cm="1">
        <f t="array" ref="L468">_xlfn.TEXTJOIN(",",TRUE,_xlfn._xlws.FILTER($C$5:$C$1727,($D$5:$D$1727=I468)*($E$5:$E$1727=J468)*($F$5:$F$1727=K468)))</f>
        <v>EZ,Global</v>
      </c>
      <c r="M468" t="b">
        <f t="shared" si="14"/>
        <v>0</v>
      </c>
      <c r="N468">
        <f t="shared" si="15"/>
        <v>1</v>
      </c>
    </row>
    <row r="469" spans="3:14" x14ac:dyDescent="0.25">
      <c r="C469" t="s">
        <v>1548</v>
      </c>
      <c r="D469" t="s">
        <v>471</v>
      </c>
      <c r="E469" t="s">
        <v>400</v>
      </c>
      <c r="F469">
        <v>0</v>
      </c>
      <c r="I469" t="str">
        <v>FR0013451333</v>
      </c>
      <c r="J469" t="str">
        <v>Excluded</v>
      </c>
      <c r="K469">
        <v>0</v>
      </c>
      <c r="L469" t="str" cm="1">
        <f t="array" ref="L469">_xlfn.TEXTJOIN(",",TRUE,_xlfn._xlws.FILTER($C$5:$C$1727,($D$5:$D$1727=I469)*($E$5:$E$1727=J469)*($F$5:$F$1727=K469)))</f>
        <v>EZ</v>
      </c>
      <c r="M469" t="b">
        <f t="shared" si="14"/>
        <v>0</v>
      </c>
      <c r="N469">
        <f t="shared" si="15"/>
        <v>1</v>
      </c>
    </row>
    <row r="470" spans="3:14" x14ac:dyDescent="0.25">
      <c r="C470" t="s">
        <v>1548</v>
      </c>
      <c r="D470" t="s">
        <v>11</v>
      </c>
      <c r="E470" t="s">
        <v>399</v>
      </c>
      <c r="F470">
        <v>1</v>
      </c>
      <c r="I470" t="str">
        <v>FR0013506730</v>
      </c>
      <c r="J470" t="str">
        <v>Excluded</v>
      </c>
      <c r="K470">
        <v>0</v>
      </c>
      <c r="L470" t="str" cm="1">
        <f t="array" ref="L470">_xlfn.TEXTJOIN(",",TRUE,_xlfn._xlws.FILTER($C$5:$C$1727,($D$5:$D$1727=I470)*($E$5:$E$1727=J470)*($F$5:$F$1727=K470)))</f>
        <v>EZ</v>
      </c>
      <c r="M470" t="b">
        <f t="shared" si="14"/>
        <v>0</v>
      </c>
      <c r="N470">
        <f t="shared" si="15"/>
        <v>0</v>
      </c>
    </row>
    <row r="471" spans="3:14" x14ac:dyDescent="0.25">
      <c r="C471" t="s">
        <v>1548</v>
      </c>
      <c r="D471" t="s">
        <v>472</v>
      </c>
      <c r="E471" t="s">
        <v>400</v>
      </c>
      <c r="F471">
        <v>0</v>
      </c>
      <c r="I471" t="str">
        <v>FR0014000MR3</v>
      </c>
      <c r="J471" t="str">
        <v>Not included in a theme</v>
      </c>
      <c r="K471">
        <v>0</v>
      </c>
      <c r="L471" t="str" cm="1">
        <f t="array" ref="L471">_xlfn.TEXTJOIN(",",TRUE,_xlfn._xlws.FILTER($C$5:$C$1727,($D$5:$D$1727=I471)*($E$5:$E$1727=J471)*($F$5:$F$1727=K471)))</f>
        <v>EZ,Global</v>
      </c>
      <c r="M471" t="b">
        <f t="shared" si="14"/>
        <v>0</v>
      </c>
      <c r="N471">
        <f t="shared" si="15"/>
        <v>1</v>
      </c>
    </row>
    <row r="472" spans="3:14" x14ac:dyDescent="0.25">
      <c r="C472" t="s">
        <v>1548</v>
      </c>
      <c r="D472" t="s">
        <v>473</v>
      </c>
      <c r="E472" t="s">
        <v>400</v>
      </c>
      <c r="F472">
        <v>0</v>
      </c>
      <c r="I472" t="str">
        <v>FR0014003TT8</v>
      </c>
      <c r="J472" t="str">
        <v>Information technology</v>
      </c>
      <c r="K472">
        <v>0.72</v>
      </c>
      <c r="L472" t="str" cm="1">
        <f t="array" ref="L472">_xlfn.TEXTJOIN(",",TRUE,_xlfn._xlws.FILTER($C$5:$C$1727,($D$5:$D$1727=I472)*($E$5:$E$1727=J472)*($F$5:$F$1727=K472)))</f>
        <v>EZ,Global</v>
      </c>
      <c r="M472" t="b">
        <f t="shared" si="14"/>
        <v>0</v>
      </c>
      <c r="N472">
        <f t="shared" si="15"/>
        <v>1</v>
      </c>
    </row>
    <row r="473" spans="3:14" x14ac:dyDescent="0.25">
      <c r="C473" t="s">
        <v>1548</v>
      </c>
      <c r="D473" t="s">
        <v>474</v>
      </c>
      <c r="E473" t="s">
        <v>400</v>
      </c>
      <c r="F473">
        <v>0</v>
      </c>
      <c r="I473" t="str">
        <v>FR0014004L86</v>
      </c>
      <c r="J473" t="str">
        <v>Excluded</v>
      </c>
      <c r="K473">
        <v>0</v>
      </c>
      <c r="L473" t="str" cm="1">
        <f t="array" ref="L473">_xlfn.TEXTJOIN(",",TRUE,_xlfn._xlws.FILTER($C$5:$C$1727,($D$5:$D$1727=I473)*($E$5:$E$1727=J473)*($F$5:$F$1727=K473)))</f>
        <v>EZ,Global</v>
      </c>
      <c r="M473" t="b">
        <f t="shared" si="14"/>
        <v>0</v>
      </c>
      <c r="N473">
        <f t="shared" si="15"/>
        <v>0</v>
      </c>
    </row>
    <row r="474" spans="3:14" x14ac:dyDescent="0.25">
      <c r="C474" t="s">
        <v>1548</v>
      </c>
      <c r="D474" t="s">
        <v>475</v>
      </c>
      <c r="E474" t="s">
        <v>401</v>
      </c>
      <c r="F474">
        <v>0</v>
      </c>
      <c r="I474" t="str">
        <v>FR001400AJ45</v>
      </c>
      <c r="J474" t="str">
        <v>Excluded</v>
      </c>
      <c r="K474">
        <v>0</v>
      </c>
      <c r="L474" t="str" cm="1">
        <f t="array" ref="L474">_xlfn.TEXTJOIN(",",TRUE,_xlfn._xlws.FILTER($C$5:$C$1727,($D$5:$D$1727=I474)*($E$5:$E$1727=J474)*($F$5:$F$1727=K474)))</f>
        <v>EZ,Global</v>
      </c>
      <c r="M474" t="b">
        <f t="shared" si="14"/>
        <v>0</v>
      </c>
      <c r="N474">
        <f t="shared" si="15"/>
        <v>0</v>
      </c>
    </row>
    <row r="475" spans="3:14" x14ac:dyDescent="0.25">
      <c r="C475" t="s">
        <v>1548</v>
      </c>
      <c r="D475" t="s">
        <v>476</v>
      </c>
      <c r="E475" t="s">
        <v>399</v>
      </c>
      <c r="F475">
        <v>1</v>
      </c>
      <c r="I475" t="str">
        <v>FR001400J770</v>
      </c>
      <c r="J475" t="str">
        <v>Excluded</v>
      </c>
      <c r="K475">
        <v>0</v>
      </c>
      <c r="L475" t="str" cm="1">
        <f t="array" ref="L475">_xlfn.TEXTJOIN(",",TRUE,_xlfn._xlws.FILTER($C$5:$C$1727,($D$5:$D$1727=I475)*($E$5:$E$1727=J475)*($F$5:$F$1727=K475)))</f>
        <v>EZ</v>
      </c>
      <c r="M475" t="b">
        <f t="shared" si="14"/>
        <v>0</v>
      </c>
      <c r="N475">
        <f t="shared" si="15"/>
        <v>0</v>
      </c>
    </row>
    <row r="476" spans="3:14" x14ac:dyDescent="0.25">
      <c r="C476" t="s">
        <v>1548</v>
      </c>
      <c r="D476" t="s">
        <v>477</v>
      </c>
      <c r="E476" t="s">
        <v>400</v>
      </c>
      <c r="F476">
        <v>0</v>
      </c>
      <c r="I476" t="str">
        <v>FR001400NLM4</v>
      </c>
      <c r="J476" t="str">
        <v>Excluded</v>
      </c>
      <c r="K476">
        <v>0</v>
      </c>
      <c r="L476" t="str" cm="1">
        <f t="array" ref="L476">_xlfn.TEXTJOIN(",",TRUE,_xlfn._xlws.FILTER($C$5:$C$1727,($D$5:$D$1727=I476)*($E$5:$E$1727=J476)*($F$5:$F$1727=K476)))</f>
        <v>EZ</v>
      </c>
      <c r="M476" t="b">
        <f t="shared" si="14"/>
        <v>0</v>
      </c>
      <c r="N476">
        <f t="shared" si="15"/>
        <v>0</v>
      </c>
    </row>
    <row r="477" spans="3:14" x14ac:dyDescent="0.25">
      <c r="C477" t="s">
        <v>1548</v>
      </c>
      <c r="D477" t="s">
        <v>478</v>
      </c>
      <c r="E477" t="s">
        <v>400</v>
      </c>
      <c r="F477">
        <v>0</v>
      </c>
      <c r="I477" t="str">
        <v>FR001400Q9V2</v>
      </c>
      <c r="J477" t="str">
        <v>Excluded</v>
      </c>
      <c r="K477">
        <v>0</v>
      </c>
      <c r="L477" t="str" cm="1">
        <f t="array" ref="L477">_xlfn.TEXTJOIN(",",TRUE,_xlfn._xlws.FILTER($C$5:$C$1727,($D$5:$D$1727=I477)*($E$5:$E$1727=J477)*($F$5:$F$1727=K477)))</f>
        <v>EZ</v>
      </c>
      <c r="M477" t="b">
        <f t="shared" si="14"/>
        <v>0</v>
      </c>
      <c r="N477">
        <f t="shared" si="15"/>
        <v>0</v>
      </c>
    </row>
    <row r="478" spans="3:14" x14ac:dyDescent="0.25">
      <c r="C478" t="s">
        <v>1548</v>
      </c>
      <c r="D478" t="s">
        <v>14</v>
      </c>
      <c r="E478" t="s">
        <v>400</v>
      </c>
      <c r="F478">
        <v>0</v>
      </c>
      <c r="I478" t="str">
        <v>FR001400SF56</v>
      </c>
      <c r="J478" t="str">
        <v>Excluded</v>
      </c>
      <c r="K478">
        <v>0</v>
      </c>
      <c r="L478" t="str" cm="1">
        <f t="array" ref="L478">_xlfn.TEXTJOIN(",",TRUE,_xlfn._xlws.FILTER($C$5:$C$1727,($D$5:$D$1727=I478)*($E$5:$E$1727=J478)*($F$5:$F$1727=K478)))</f>
        <v>EZ</v>
      </c>
      <c r="M478" t="b">
        <f t="shared" si="14"/>
        <v>0</v>
      </c>
      <c r="N478">
        <f t="shared" si="15"/>
        <v>0</v>
      </c>
    </row>
    <row r="479" spans="3:14" x14ac:dyDescent="0.25">
      <c r="C479" t="s">
        <v>1548</v>
      </c>
      <c r="D479" t="s">
        <v>479</v>
      </c>
      <c r="E479" t="s">
        <v>399</v>
      </c>
      <c r="F479">
        <v>1</v>
      </c>
      <c r="I479" t="str">
        <v>GB0000456144</v>
      </c>
      <c r="J479" t="str">
        <v>Excluded</v>
      </c>
      <c r="K479">
        <v>0</v>
      </c>
      <c r="L479" t="str" cm="1">
        <f t="array" ref="L479">_xlfn.TEXTJOIN(",",TRUE,_xlfn._xlws.FILTER($C$5:$C$1727,($D$5:$D$1727=I479)*($E$5:$E$1727=J479)*($F$5:$F$1727=K479)))</f>
        <v>Global</v>
      </c>
      <c r="M479" t="b">
        <f t="shared" si="14"/>
        <v>0</v>
      </c>
      <c r="N479">
        <f t="shared" si="15"/>
        <v>0</v>
      </c>
    </row>
    <row r="480" spans="3:14" x14ac:dyDescent="0.25">
      <c r="C480" t="s">
        <v>1548</v>
      </c>
      <c r="D480" t="s">
        <v>480</v>
      </c>
      <c r="E480" t="s">
        <v>401</v>
      </c>
      <c r="F480">
        <v>0</v>
      </c>
      <c r="I480" t="str">
        <v>GB0000536739</v>
      </c>
      <c r="J480" t="str">
        <v>Circular economy</v>
      </c>
      <c r="K480">
        <v>0.18</v>
      </c>
      <c r="L480" t="str" cm="1">
        <f t="array" ref="L480">_xlfn.TEXTJOIN(",",TRUE,_xlfn._xlws.FILTER($C$5:$C$1727,($D$5:$D$1727=I480)*($E$5:$E$1727=J480)*($F$5:$F$1727=K480)))</f>
        <v>Global</v>
      </c>
      <c r="M480" t="b">
        <f t="shared" si="14"/>
        <v>0</v>
      </c>
      <c r="N480">
        <f t="shared" si="15"/>
        <v>0</v>
      </c>
    </row>
    <row r="481" spans="3:14" x14ac:dyDescent="0.25">
      <c r="C481" t="s">
        <v>1548</v>
      </c>
      <c r="D481" t="s">
        <v>481</v>
      </c>
      <c r="E481" t="s">
        <v>401</v>
      </c>
      <c r="F481">
        <v>0</v>
      </c>
      <c r="I481" t="str">
        <v>GB0000811801</v>
      </c>
      <c r="J481" t="str">
        <v>Ecoconstruction</v>
      </c>
      <c r="K481">
        <v>0.99</v>
      </c>
      <c r="L481" t="str" cm="1">
        <f t="array" ref="L481">_xlfn.TEXTJOIN(",",TRUE,_xlfn._xlws.FILTER($C$5:$C$1727,($D$5:$D$1727=I481)*($E$5:$E$1727=J481)*($F$5:$F$1727=K481)))</f>
        <v>Global</v>
      </c>
      <c r="M481" t="b">
        <f t="shared" si="14"/>
        <v>0</v>
      </c>
      <c r="N481">
        <f t="shared" si="15"/>
        <v>0</v>
      </c>
    </row>
    <row r="482" spans="3:14" x14ac:dyDescent="0.25">
      <c r="C482" t="s">
        <v>1548</v>
      </c>
      <c r="D482" t="s">
        <v>482</v>
      </c>
      <c r="E482" t="s">
        <v>400</v>
      </c>
      <c r="F482">
        <v>0</v>
      </c>
      <c r="I482" t="str">
        <v>GB0001826634</v>
      </c>
      <c r="J482" t="str">
        <v>Eco-efficient industries</v>
      </c>
      <c r="K482">
        <v>0.36</v>
      </c>
      <c r="L482" t="str" cm="1">
        <f t="array" ref="L482">_xlfn.TEXTJOIN(",",TRUE,_xlfn._xlws.FILTER($C$5:$C$1727,($D$5:$D$1727=I482)*($E$5:$E$1727=J482)*($F$5:$F$1727=K482)))</f>
        <v>Global</v>
      </c>
      <c r="M482" t="b">
        <f t="shared" si="14"/>
        <v>0</v>
      </c>
      <c r="N482">
        <f t="shared" si="15"/>
        <v>0</v>
      </c>
    </row>
    <row r="483" spans="3:14" x14ac:dyDescent="0.25">
      <c r="C483" t="s">
        <v>1548</v>
      </c>
      <c r="D483" t="s">
        <v>483</v>
      </c>
      <c r="E483" t="s">
        <v>400</v>
      </c>
      <c r="F483">
        <v>0</v>
      </c>
      <c r="I483" t="str">
        <v>GB0002374006</v>
      </c>
      <c r="J483" t="str">
        <v>Excluded</v>
      </c>
      <c r="K483">
        <v>0</v>
      </c>
      <c r="L483" t="str" cm="1">
        <f t="array" ref="L483">_xlfn.TEXTJOIN(",",TRUE,_xlfn._xlws.FILTER($C$5:$C$1727,($D$5:$D$1727=I483)*($E$5:$E$1727=J483)*($F$5:$F$1727=K483)))</f>
        <v>Global</v>
      </c>
      <c r="M483" t="b">
        <f t="shared" si="14"/>
        <v>0</v>
      </c>
      <c r="N483">
        <f t="shared" si="15"/>
        <v>0</v>
      </c>
    </row>
    <row r="484" spans="3:14" x14ac:dyDescent="0.25">
      <c r="C484" t="s">
        <v>1548</v>
      </c>
      <c r="D484" t="s">
        <v>484</v>
      </c>
      <c r="E484" t="s">
        <v>401</v>
      </c>
      <c r="F484">
        <v>0</v>
      </c>
      <c r="I484" t="str">
        <v>GB0002634946</v>
      </c>
      <c r="J484" t="str">
        <v>Excluded</v>
      </c>
      <c r="K484">
        <v>0</v>
      </c>
      <c r="L484" t="str" cm="1">
        <f t="array" ref="L484">_xlfn.TEXTJOIN(",",TRUE,_xlfn._xlws.FILTER($C$5:$C$1727,($D$5:$D$1727=I484)*($E$5:$E$1727=J484)*($F$5:$F$1727=K484)))</f>
        <v>Global</v>
      </c>
      <c r="M484" t="b">
        <f t="shared" si="14"/>
        <v>0</v>
      </c>
      <c r="N484">
        <f t="shared" si="15"/>
        <v>0</v>
      </c>
    </row>
    <row r="485" spans="3:14" x14ac:dyDescent="0.25">
      <c r="C485" t="s">
        <v>1548</v>
      </c>
      <c r="D485" t="s">
        <v>485</v>
      </c>
      <c r="E485" t="s">
        <v>400</v>
      </c>
      <c r="F485">
        <v>0</v>
      </c>
      <c r="I485" t="str">
        <v>GB0002875804</v>
      </c>
      <c r="J485" t="str">
        <v>Excluded</v>
      </c>
      <c r="K485">
        <v>0</v>
      </c>
      <c r="L485" t="str" cm="1">
        <f t="array" ref="L485">_xlfn.TEXTJOIN(",",TRUE,_xlfn._xlws.FILTER($C$5:$C$1727,($D$5:$D$1727=I485)*($E$5:$E$1727=J485)*($F$5:$F$1727=K485)))</f>
        <v>Global</v>
      </c>
      <c r="M485" t="b">
        <f t="shared" si="14"/>
        <v>0</v>
      </c>
      <c r="N485">
        <f t="shared" si="15"/>
        <v>0</v>
      </c>
    </row>
    <row r="486" spans="3:14" x14ac:dyDescent="0.25">
      <c r="C486" t="s">
        <v>1548</v>
      </c>
      <c r="D486" t="s">
        <v>17</v>
      </c>
      <c r="E486" t="s">
        <v>400</v>
      </c>
      <c r="F486">
        <v>0</v>
      </c>
      <c r="I486" t="str">
        <v>GB0003718474</v>
      </c>
      <c r="J486" t="str">
        <v>Excluded</v>
      </c>
      <c r="K486">
        <v>0</v>
      </c>
      <c r="L486" t="str" cm="1">
        <f t="array" ref="L486">_xlfn.TEXTJOIN(",",TRUE,_xlfn._xlws.FILTER($C$5:$C$1727,($D$5:$D$1727=I486)*($E$5:$E$1727=J486)*($F$5:$F$1727=K486)))</f>
        <v>Global</v>
      </c>
      <c r="M486" t="b">
        <f t="shared" si="14"/>
        <v>0</v>
      </c>
      <c r="N486">
        <f t="shared" si="15"/>
        <v>0</v>
      </c>
    </row>
    <row r="487" spans="3:14" x14ac:dyDescent="0.25">
      <c r="C487" t="s">
        <v>1548</v>
      </c>
      <c r="D487" t="s">
        <v>486</v>
      </c>
      <c r="E487" t="s">
        <v>400</v>
      </c>
      <c r="F487">
        <v>0</v>
      </c>
      <c r="I487" t="str">
        <v>GB0004052071</v>
      </c>
      <c r="J487" t="str">
        <v>Circular economy</v>
      </c>
      <c r="K487">
        <v>0.35</v>
      </c>
      <c r="L487" t="str" cm="1">
        <f t="array" ref="L487">_xlfn.TEXTJOIN(",",TRUE,_xlfn._xlws.FILTER($C$5:$C$1727,($D$5:$D$1727=I487)*($E$5:$E$1727=J487)*($F$5:$F$1727=K487)))</f>
        <v>Global</v>
      </c>
      <c r="M487" t="b">
        <f t="shared" si="14"/>
        <v>0</v>
      </c>
      <c r="N487">
        <f t="shared" si="15"/>
        <v>0</v>
      </c>
    </row>
    <row r="488" spans="3:14" x14ac:dyDescent="0.25">
      <c r="C488" t="s">
        <v>1548</v>
      </c>
      <c r="D488" t="s">
        <v>487</v>
      </c>
      <c r="E488" t="s">
        <v>401</v>
      </c>
      <c r="F488">
        <v>0</v>
      </c>
      <c r="I488" t="str">
        <v>GB0004082847</v>
      </c>
      <c r="J488" t="str">
        <v>Excluded</v>
      </c>
      <c r="K488">
        <v>0</v>
      </c>
      <c r="L488" t="str" cm="1">
        <f t="array" ref="L488">_xlfn.TEXTJOIN(",",TRUE,_xlfn._xlws.FILTER($C$5:$C$1727,($D$5:$D$1727=I488)*($E$5:$E$1727=J488)*($F$5:$F$1727=K488)))</f>
        <v>Global</v>
      </c>
      <c r="M488" t="b">
        <f t="shared" si="14"/>
        <v>0</v>
      </c>
      <c r="N488">
        <f t="shared" si="15"/>
        <v>0</v>
      </c>
    </row>
    <row r="489" spans="3:14" x14ac:dyDescent="0.25">
      <c r="C489" t="s">
        <v>1548</v>
      </c>
      <c r="D489" t="s">
        <v>488</v>
      </c>
      <c r="E489" t="s">
        <v>399</v>
      </c>
      <c r="F489">
        <v>1</v>
      </c>
      <c r="I489" t="str">
        <v>GB0004544929</v>
      </c>
      <c r="J489" t="str">
        <v>Excluded</v>
      </c>
      <c r="K489">
        <v>0</v>
      </c>
      <c r="L489" t="str" cm="1">
        <f t="array" ref="L489">_xlfn.TEXTJOIN(",",TRUE,_xlfn._xlws.FILTER($C$5:$C$1727,($D$5:$D$1727=I489)*($E$5:$E$1727=J489)*($F$5:$F$1727=K489)))</f>
        <v>Global</v>
      </c>
      <c r="M489" t="b">
        <f t="shared" si="14"/>
        <v>0</v>
      </c>
      <c r="N489">
        <f t="shared" si="15"/>
        <v>0</v>
      </c>
    </row>
    <row r="490" spans="3:14" x14ac:dyDescent="0.25">
      <c r="C490" t="s">
        <v>1548</v>
      </c>
      <c r="D490" t="s">
        <v>1545</v>
      </c>
      <c r="E490" t="s">
        <v>400</v>
      </c>
      <c r="F490">
        <v>0</v>
      </c>
      <c r="I490" t="str">
        <v>GB0005405286</v>
      </c>
      <c r="J490" t="str">
        <v>Excluded</v>
      </c>
      <c r="K490">
        <v>0</v>
      </c>
      <c r="L490" t="str" cm="1">
        <f t="array" ref="L490">_xlfn.TEXTJOIN(",",TRUE,_xlfn._xlws.FILTER($C$5:$C$1727,($D$5:$D$1727=I490)*($E$5:$E$1727=J490)*($F$5:$F$1727=K490)))</f>
        <v>Global</v>
      </c>
      <c r="M490" t="b">
        <f t="shared" si="14"/>
        <v>0</v>
      </c>
      <c r="N490">
        <f t="shared" si="15"/>
        <v>0</v>
      </c>
    </row>
    <row r="491" spans="3:14" x14ac:dyDescent="0.25">
      <c r="C491" t="s">
        <v>1548</v>
      </c>
      <c r="D491" t="s">
        <v>18</v>
      </c>
      <c r="E491" t="s">
        <v>404</v>
      </c>
      <c r="F491">
        <v>0.74</v>
      </c>
      <c r="I491" t="str">
        <v>GB0005603997</v>
      </c>
      <c r="J491" t="str">
        <v>Excluded</v>
      </c>
      <c r="K491">
        <v>0</v>
      </c>
      <c r="L491" t="str" cm="1">
        <f t="array" ref="L491">_xlfn.TEXTJOIN(",",TRUE,_xlfn._xlws.FILTER($C$5:$C$1727,($D$5:$D$1727=I491)*($E$5:$E$1727=J491)*($F$5:$F$1727=K491)))</f>
        <v>Global</v>
      </c>
      <c r="M491" t="b">
        <f t="shared" si="14"/>
        <v>0</v>
      </c>
      <c r="N491">
        <f t="shared" si="15"/>
        <v>0</v>
      </c>
    </row>
    <row r="492" spans="3:14" x14ac:dyDescent="0.25">
      <c r="C492" t="s">
        <v>1548</v>
      </c>
      <c r="D492" t="s">
        <v>489</v>
      </c>
      <c r="E492" t="s">
        <v>399</v>
      </c>
      <c r="F492">
        <v>0.74</v>
      </c>
      <c r="I492" t="str">
        <v>GB0006731235</v>
      </c>
      <c r="J492" t="str">
        <v>Excluded</v>
      </c>
      <c r="K492">
        <v>0</v>
      </c>
      <c r="L492" t="str" cm="1">
        <f t="array" ref="L492">_xlfn.TEXTJOIN(",",TRUE,_xlfn._xlws.FILTER($C$5:$C$1727,($D$5:$D$1727=I492)*($E$5:$E$1727=J492)*($F$5:$F$1727=K492)))</f>
        <v>Global</v>
      </c>
      <c r="M492" t="b">
        <f t="shared" si="14"/>
        <v>0</v>
      </c>
      <c r="N492">
        <f t="shared" si="15"/>
        <v>0</v>
      </c>
    </row>
    <row r="493" spans="3:14" x14ac:dyDescent="0.25">
      <c r="C493" t="s">
        <v>1548</v>
      </c>
      <c r="D493" t="s">
        <v>490</v>
      </c>
      <c r="E493" t="s">
        <v>401</v>
      </c>
      <c r="F493">
        <v>0</v>
      </c>
      <c r="I493" t="str">
        <v>GB0006776081</v>
      </c>
      <c r="J493" t="str">
        <v>Not included in a theme</v>
      </c>
      <c r="K493">
        <v>0</v>
      </c>
      <c r="L493" t="str" cm="1">
        <f t="array" ref="L493">_xlfn.TEXTJOIN(",",TRUE,_xlfn._xlws.FILTER($C$5:$C$1727,($D$5:$D$1727=I493)*($E$5:$E$1727=J493)*($F$5:$F$1727=K493)))</f>
        <v>Global</v>
      </c>
      <c r="M493" t="b">
        <f t="shared" si="14"/>
        <v>0</v>
      </c>
      <c r="N493">
        <f t="shared" si="15"/>
        <v>0</v>
      </c>
    </row>
    <row r="494" spans="3:14" x14ac:dyDescent="0.25">
      <c r="C494" t="s">
        <v>1548</v>
      </c>
      <c r="D494" t="s">
        <v>491</v>
      </c>
      <c r="E494" t="s">
        <v>399</v>
      </c>
      <c r="F494">
        <v>1</v>
      </c>
      <c r="I494" t="str">
        <v>GB0007099541</v>
      </c>
      <c r="J494" t="str">
        <v>Excluded</v>
      </c>
      <c r="K494">
        <v>0</v>
      </c>
      <c r="L494" t="str" cm="1">
        <f t="array" ref="L494">_xlfn.TEXTJOIN(",",TRUE,_xlfn._xlws.FILTER($C$5:$C$1727,($D$5:$D$1727=I494)*($E$5:$E$1727=J494)*($F$5:$F$1727=K494)))</f>
        <v>Global</v>
      </c>
      <c r="M494" t="b">
        <f t="shared" si="14"/>
        <v>0</v>
      </c>
      <c r="N494">
        <f t="shared" si="15"/>
        <v>0</v>
      </c>
    </row>
    <row r="495" spans="3:14" x14ac:dyDescent="0.25">
      <c r="C495" t="s">
        <v>1548</v>
      </c>
      <c r="D495" t="s">
        <v>492</v>
      </c>
      <c r="E495" t="s">
        <v>401</v>
      </c>
      <c r="F495">
        <v>0</v>
      </c>
      <c r="I495" t="str">
        <v>GB0007188757</v>
      </c>
      <c r="J495" t="str">
        <v>Excluded</v>
      </c>
      <c r="K495">
        <v>0</v>
      </c>
      <c r="L495" t="str" cm="1">
        <f t="array" ref="L495">_xlfn.TEXTJOIN(",",TRUE,_xlfn._xlws.FILTER($C$5:$C$1727,($D$5:$D$1727=I495)*($E$5:$E$1727=J495)*($F$5:$F$1727=K495)))</f>
        <v>Global</v>
      </c>
      <c r="M495" t="b">
        <f t="shared" si="14"/>
        <v>0</v>
      </c>
      <c r="N495">
        <f t="shared" si="15"/>
        <v>0</v>
      </c>
    </row>
    <row r="496" spans="3:14" x14ac:dyDescent="0.25">
      <c r="C496" t="s">
        <v>1548</v>
      </c>
      <c r="D496" t="s">
        <v>493</v>
      </c>
      <c r="E496" t="s">
        <v>401</v>
      </c>
      <c r="F496">
        <v>0</v>
      </c>
      <c r="I496" t="str">
        <v>GB0007669376</v>
      </c>
      <c r="J496" t="str">
        <v>Excluded</v>
      </c>
      <c r="K496">
        <v>0</v>
      </c>
      <c r="L496" t="str" cm="1">
        <f t="array" ref="L496">_xlfn.TEXTJOIN(",",TRUE,_xlfn._xlws.FILTER($C$5:$C$1727,($D$5:$D$1727=I496)*($E$5:$E$1727=J496)*($F$5:$F$1727=K496)))</f>
        <v>Global</v>
      </c>
      <c r="M496" t="b">
        <f t="shared" si="14"/>
        <v>0</v>
      </c>
      <c r="N496">
        <f t="shared" si="15"/>
        <v>0</v>
      </c>
    </row>
    <row r="497" spans="3:14" x14ac:dyDescent="0.25">
      <c r="C497" t="s">
        <v>1548</v>
      </c>
      <c r="D497" t="s">
        <v>494</v>
      </c>
      <c r="E497" t="s">
        <v>400</v>
      </c>
      <c r="F497">
        <v>0</v>
      </c>
      <c r="I497" t="str">
        <v>GB0007908733</v>
      </c>
      <c r="J497" t="str">
        <v>Excluded</v>
      </c>
      <c r="K497">
        <v>0</v>
      </c>
      <c r="L497" t="str" cm="1">
        <f t="array" ref="L497">_xlfn.TEXTJOIN(",",TRUE,_xlfn._xlws.FILTER($C$5:$C$1727,($D$5:$D$1727=I497)*($E$5:$E$1727=J497)*($F$5:$F$1727=K497)))</f>
        <v>Global</v>
      </c>
      <c r="M497" t="b">
        <f t="shared" si="14"/>
        <v>0</v>
      </c>
      <c r="N497">
        <f t="shared" si="15"/>
        <v>0</v>
      </c>
    </row>
    <row r="498" spans="3:14" x14ac:dyDescent="0.25">
      <c r="C498" t="s">
        <v>1548</v>
      </c>
      <c r="D498" t="s">
        <v>10</v>
      </c>
      <c r="E498" t="s">
        <v>400</v>
      </c>
      <c r="F498">
        <v>0</v>
      </c>
      <c r="I498" t="str">
        <v>GB0007980591</v>
      </c>
      <c r="J498" t="str">
        <v>Excluded</v>
      </c>
      <c r="K498">
        <v>0</v>
      </c>
      <c r="L498" t="str" cm="1">
        <f t="array" ref="L498">_xlfn.TEXTJOIN(",",TRUE,_xlfn._xlws.FILTER($C$5:$C$1727,($D$5:$D$1727=I498)*($E$5:$E$1727=J498)*($F$5:$F$1727=K498)))</f>
        <v>Global</v>
      </c>
      <c r="M498" t="b">
        <f t="shared" si="14"/>
        <v>0</v>
      </c>
      <c r="N498">
        <f t="shared" si="15"/>
        <v>0</v>
      </c>
    </row>
    <row r="499" spans="3:14" x14ac:dyDescent="0.25">
      <c r="C499" t="s">
        <v>1548</v>
      </c>
      <c r="D499" t="s">
        <v>495</v>
      </c>
      <c r="E499" t="s">
        <v>407</v>
      </c>
      <c r="F499">
        <v>0.8</v>
      </c>
      <c r="I499" t="str">
        <v>GB0008706128</v>
      </c>
      <c r="J499" t="str">
        <v>Excluded</v>
      </c>
      <c r="K499">
        <v>0</v>
      </c>
      <c r="L499" t="str" cm="1">
        <f t="array" ref="L499">_xlfn.TEXTJOIN(",",TRUE,_xlfn._xlws.FILTER($C$5:$C$1727,($D$5:$D$1727=I499)*($E$5:$E$1727=J499)*($F$5:$F$1727=K499)))</f>
        <v>Global</v>
      </c>
      <c r="M499" t="b">
        <f t="shared" si="14"/>
        <v>0</v>
      </c>
      <c r="N499">
        <f t="shared" si="15"/>
        <v>0</v>
      </c>
    </row>
    <row r="500" spans="3:14" x14ac:dyDescent="0.25">
      <c r="C500" t="s">
        <v>1548</v>
      </c>
      <c r="D500" t="s">
        <v>496</v>
      </c>
      <c r="E500" t="s">
        <v>403</v>
      </c>
      <c r="F500">
        <v>0.89</v>
      </c>
      <c r="I500" t="str">
        <v>GB0009223206</v>
      </c>
      <c r="J500" t="str">
        <v>Not included in a theme</v>
      </c>
      <c r="K500">
        <v>0</v>
      </c>
      <c r="L500" t="str" cm="1">
        <f t="array" ref="L500">_xlfn.TEXTJOIN(",",TRUE,_xlfn._xlws.FILTER($C$5:$C$1727,($D$5:$D$1727=I500)*($E$5:$E$1727=J500)*($F$5:$F$1727=K500)))</f>
        <v>Global</v>
      </c>
      <c r="M500" t="b">
        <f t="shared" si="14"/>
        <v>0</v>
      </c>
      <c r="N500">
        <f t="shared" si="15"/>
        <v>0</v>
      </c>
    </row>
    <row r="501" spans="3:14" x14ac:dyDescent="0.25">
      <c r="C501" t="s">
        <v>1548</v>
      </c>
      <c r="D501" t="s">
        <v>497</v>
      </c>
      <c r="E501" t="s">
        <v>400</v>
      </c>
      <c r="F501">
        <v>0</v>
      </c>
      <c r="I501" t="str">
        <v>GB0009465807</v>
      </c>
      <c r="J501" t="str">
        <v>Excluded</v>
      </c>
      <c r="K501">
        <v>0</v>
      </c>
      <c r="L501" t="str" cm="1">
        <f t="array" ref="L501">_xlfn.TEXTJOIN(",",TRUE,_xlfn._xlws.FILTER($C$5:$C$1727,($D$5:$D$1727=I501)*($E$5:$E$1727=J501)*($F$5:$F$1727=K501)))</f>
        <v>Global</v>
      </c>
      <c r="M501" t="b">
        <f t="shared" si="14"/>
        <v>0</v>
      </c>
      <c r="N501">
        <f t="shared" si="15"/>
        <v>0</v>
      </c>
    </row>
    <row r="502" spans="3:14" x14ac:dyDescent="0.25">
      <c r="C502" t="s">
        <v>1548</v>
      </c>
      <c r="D502" t="s">
        <v>498</v>
      </c>
      <c r="E502" t="s">
        <v>401</v>
      </c>
      <c r="F502">
        <v>0</v>
      </c>
      <c r="I502" t="str">
        <v>GB0009697037</v>
      </c>
      <c r="J502" t="str">
        <v>Excluded</v>
      </c>
      <c r="K502">
        <v>0</v>
      </c>
      <c r="L502" t="str" cm="1">
        <f t="array" ref="L502">_xlfn.TEXTJOIN(",",TRUE,_xlfn._xlws.FILTER($C$5:$C$1727,($D$5:$D$1727=I502)*($E$5:$E$1727=J502)*($F$5:$F$1727=K502)))</f>
        <v>Global</v>
      </c>
      <c r="M502" t="b">
        <f t="shared" si="14"/>
        <v>0</v>
      </c>
      <c r="N502">
        <f t="shared" si="15"/>
        <v>0</v>
      </c>
    </row>
    <row r="503" spans="3:14" x14ac:dyDescent="0.25">
      <c r="C503" t="s">
        <v>1548</v>
      </c>
      <c r="D503" t="s">
        <v>499</v>
      </c>
      <c r="E503" t="s">
        <v>400</v>
      </c>
      <c r="F503">
        <v>0</v>
      </c>
      <c r="I503" t="str">
        <v>GB0009895292</v>
      </c>
      <c r="J503" t="str">
        <v>Not included in a theme</v>
      </c>
      <c r="K503">
        <v>0</v>
      </c>
      <c r="L503" t="str" cm="1">
        <f t="array" ref="L503">_xlfn.TEXTJOIN(",",TRUE,_xlfn._xlws.FILTER($C$5:$C$1727,($D$5:$D$1727=I503)*($E$5:$E$1727=J503)*($F$5:$F$1727=K503)))</f>
        <v>Global</v>
      </c>
      <c r="M503" t="b">
        <f t="shared" si="14"/>
        <v>0</v>
      </c>
      <c r="N503">
        <f t="shared" si="15"/>
        <v>0</v>
      </c>
    </row>
    <row r="504" spans="3:14" x14ac:dyDescent="0.25">
      <c r="C504" t="s">
        <v>1548</v>
      </c>
      <c r="D504" t="s">
        <v>500</v>
      </c>
      <c r="E504" t="s">
        <v>400</v>
      </c>
      <c r="F504">
        <v>0</v>
      </c>
      <c r="I504" t="str">
        <v>GB0030913577</v>
      </c>
      <c r="J504" t="str">
        <v>Not included in a theme</v>
      </c>
      <c r="K504">
        <v>0</v>
      </c>
      <c r="L504" t="str" cm="1">
        <f t="array" ref="L504">_xlfn.TEXTJOIN(",",TRUE,_xlfn._xlws.FILTER($C$5:$C$1727,($D$5:$D$1727=I504)*($E$5:$E$1727=J504)*($F$5:$F$1727=K504)))</f>
        <v>Global</v>
      </c>
      <c r="M504" t="b">
        <f t="shared" si="14"/>
        <v>0</v>
      </c>
      <c r="N504">
        <f t="shared" si="15"/>
        <v>0</v>
      </c>
    </row>
    <row r="505" spans="3:14" x14ac:dyDescent="0.25">
      <c r="C505" t="s">
        <v>1548</v>
      </c>
      <c r="D505" t="s">
        <v>501</v>
      </c>
      <c r="E505" t="s">
        <v>401</v>
      </c>
      <c r="F505">
        <v>0</v>
      </c>
      <c r="I505" t="str">
        <v>GB0031274896</v>
      </c>
      <c r="J505" t="str">
        <v>Not included in a theme</v>
      </c>
      <c r="K505">
        <v>0</v>
      </c>
      <c r="L505" t="str" cm="1">
        <f t="array" ref="L505">_xlfn.TEXTJOIN(",",TRUE,_xlfn._xlws.FILTER($C$5:$C$1727,($D$5:$D$1727=I505)*($E$5:$E$1727=J505)*($F$5:$F$1727=K505)))</f>
        <v>Global</v>
      </c>
      <c r="M505" t="b">
        <f t="shared" si="14"/>
        <v>0</v>
      </c>
      <c r="N505">
        <f t="shared" si="15"/>
        <v>0</v>
      </c>
    </row>
    <row r="506" spans="3:14" x14ac:dyDescent="0.25">
      <c r="C506" t="s">
        <v>1548</v>
      </c>
      <c r="D506" t="s">
        <v>502</v>
      </c>
      <c r="E506" t="s">
        <v>400</v>
      </c>
      <c r="F506">
        <v>0</v>
      </c>
      <c r="I506" t="str">
        <v>GB0031348658</v>
      </c>
      <c r="J506" t="str">
        <v>Excluded</v>
      </c>
      <c r="K506">
        <v>0</v>
      </c>
      <c r="L506" t="str" cm="1">
        <f t="array" ref="L506">_xlfn.TEXTJOIN(",",TRUE,_xlfn._xlws.FILTER($C$5:$C$1727,($D$5:$D$1727=I506)*($E$5:$E$1727=J506)*($F$5:$F$1727=K506)))</f>
        <v>Global</v>
      </c>
      <c r="M506" t="b">
        <f t="shared" si="14"/>
        <v>0</v>
      </c>
      <c r="N506">
        <f t="shared" si="15"/>
        <v>0</v>
      </c>
    </row>
    <row r="507" spans="3:14" x14ac:dyDescent="0.25">
      <c r="C507" t="s">
        <v>1548</v>
      </c>
      <c r="D507" t="s">
        <v>503</v>
      </c>
      <c r="E507" t="s">
        <v>400</v>
      </c>
      <c r="F507">
        <v>0</v>
      </c>
      <c r="I507" t="str">
        <v>GB0031638363</v>
      </c>
      <c r="J507" t="str">
        <v>Eco-efficient industries</v>
      </c>
      <c r="K507">
        <v>0.57999999999999996</v>
      </c>
      <c r="L507" t="str" cm="1">
        <f t="array" ref="L507">_xlfn.TEXTJOIN(",",TRUE,_xlfn._xlws.FILTER($C$5:$C$1727,($D$5:$D$1727=I507)*($E$5:$E$1727=J507)*($F$5:$F$1727=K507)))</f>
        <v>Global</v>
      </c>
      <c r="M507" t="b">
        <f t="shared" si="14"/>
        <v>0</v>
      </c>
      <c r="N507">
        <f t="shared" si="15"/>
        <v>0</v>
      </c>
    </row>
    <row r="508" spans="3:14" x14ac:dyDescent="0.25">
      <c r="C508" t="s">
        <v>1548</v>
      </c>
      <c r="D508" t="s">
        <v>504</v>
      </c>
      <c r="E508" t="s">
        <v>403</v>
      </c>
      <c r="F508">
        <v>0.12</v>
      </c>
      <c r="I508" t="str">
        <v>GB0032089863</v>
      </c>
      <c r="J508" t="str">
        <v>Excluded</v>
      </c>
      <c r="K508">
        <v>0</v>
      </c>
      <c r="L508" t="str" cm="1">
        <f t="array" ref="L508">_xlfn.TEXTJOIN(",",TRUE,_xlfn._xlws.FILTER($C$5:$C$1727,($D$5:$D$1727=I508)*($E$5:$E$1727=J508)*($F$5:$F$1727=K508)))</f>
        <v>Global</v>
      </c>
      <c r="M508" t="b">
        <f t="shared" si="14"/>
        <v>0</v>
      </c>
      <c r="N508">
        <f t="shared" si="15"/>
        <v>0</v>
      </c>
    </row>
    <row r="509" spans="3:14" x14ac:dyDescent="0.25">
      <c r="C509" t="s">
        <v>1548</v>
      </c>
      <c r="D509" t="s">
        <v>505</v>
      </c>
      <c r="E509" t="s">
        <v>401</v>
      </c>
      <c r="F509">
        <v>0</v>
      </c>
      <c r="I509" t="str">
        <v>GB0033195214</v>
      </c>
      <c r="J509" t="str">
        <v>Ecoconstruction</v>
      </c>
      <c r="K509">
        <v>0.42</v>
      </c>
      <c r="L509" t="str" cm="1">
        <f t="array" ref="L509">_xlfn.TEXTJOIN(",",TRUE,_xlfn._xlws.FILTER($C$5:$C$1727,($D$5:$D$1727=I509)*($E$5:$E$1727=J509)*($F$5:$F$1727=K509)))</f>
        <v>Global</v>
      </c>
      <c r="M509" t="b">
        <f t="shared" si="14"/>
        <v>0</v>
      </c>
      <c r="N509">
        <f t="shared" si="15"/>
        <v>0</v>
      </c>
    </row>
    <row r="510" spans="3:14" x14ac:dyDescent="0.25">
      <c r="C510" t="s">
        <v>1548</v>
      </c>
      <c r="D510" t="s">
        <v>506</v>
      </c>
      <c r="E510" t="s">
        <v>404</v>
      </c>
      <c r="F510">
        <v>0.71</v>
      </c>
      <c r="I510" t="str">
        <v>GB00B019KW72</v>
      </c>
      <c r="J510" t="str">
        <v>Excluded</v>
      </c>
      <c r="K510">
        <v>0</v>
      </c>
      <c r="L510" t="str" cm="1">
        <f t="array" ref="L510">_xlfn.TEXTJOIN(",",TRUE,_xlfn._xlws.FILTER($C$5:$C$1727,($D$5:$D$1727=I510)*($E$5:$E$1727=J510)*($F$5:$F$1727=K510)))</f>
        <v>Global</v>
      </c>
      <c r="M510" t="b">
        <f t="shared" si="14"/>
        <v>0</v>
      </c>
      <c r="N510">
        <f t="shared" si="15"/>
        <v>0</v>
      </c>
    </row>
    <row r="511" spans="3:14" x14ac:dyDescent="0.25">
      <c r="C511" t="s">
        <v>1548</v>
      </c>
      <c r="D511" t="s">
        <v>19</v>
      </c>
      <c r="E511" t="s">
        <v>400</v>
      </c>
      <c r="F511">
        <v>0</v>
      </c>
      <c r="I511" t="str">
        <v>GB00B02J6398</v>
      </c>
      <c r="J511" t="str">
        <v>Not included in a theme</v>
      </c>
      <c r="K511">
        <v>0</v>
      </c>
      <c r="L511" t="str" cm="1">
        <f t="array" ref="L511">_xlfn.TEXTJOIN(",",TRUE,_xlfn._xlws.FILTER($C$5:$C$1727,($D$5:$D$1727=I511)*($E$5:$E$1727=J511)*($F$5:$F$1727=K511)))</f>
        <v>Global</v>
      </c>
      <c r="M511" t="b">
        <f t="shared" si="14"/>
        <v>0</v>
      </c>
      <c r="N511">
        <f t="shared" si="15"/>
        <v>0</v>
      </c>
    </row>
    <row r="512" spans="3:14" x14ac:dyDescent="0.25">
      <c r="C512" t="s">
        <v>1548</v>
      </c>
      <c r="D512" t="s">
        <v>507</v>
      </c>
      <c r="E512" t="s">
        <v>399</v>
      </c>
      <c r="F512">
        <v>1</v>
      </c>
      <c r="I512" t="str">
        <v>GB00B033F229</v>
      </c>
      <c r="J512" t="str">
        <v>Excluded</v>
      </c>
      <c r="K512">
        <v>0</v>
      </c>
      <c r="L512" t="str" cm="1">
        <f t="array" ref="L512">_xlfn.TEXTJOIN(",",TRUE,_xlfn._xlws.FILTER($C$5:$C$1727,($D$5:$D$1727=I512)*($E$5:$E$1727=J512)*($F$5:$F$1727=K512)))</f>
        <v>Global</v>
      </c>
      <c r="M512" t="b">
        <f t="shared" si="14"/>
        <v>0</v>
      </c>
      <c r="N512">
        <f t="shared" si="15"/>
        <v>0</v>
      </c>
    </row>
    <row r="513" spans="3:14" x14ac:dyDescent="0.25">
      <c r="C513" t="s">
        <v>1548</v>
      </c>
      <c r="D513" t="s">
        <v>508</v>
      </c>
      <c r="E513" t="s">
        <v>399</v>
      </c>
      <c r="F513">
        <v>1</v>
      </c>
      <c r="I513" t="str">
        <v>GB00B0744B38</v>
      </c>
      <c r="J513" t="str">
        <v>Excluded</v>
      </c>
      <c r="K513">
        <v>0</v>
      </c>
      <c r="L513" t="str" cm="1">
        <f t="array" ref="L513">_xlfn.TEXTJOIN(",",TRUE,_xlfn._xlws.FILTER($C$5:$C$1727,($D$5:$D$1727=I513)*($E$5:$E$1727=J513)*($F$5:$F$1727=K513)))</f>
        <v>Global</v>
      </c>
      <c r="M513" t="b">
        <f t="shared" si="14"/>
        <v>0</v>
      </c>
      <c r="N513">
        <f t="shared" si="15"/>
        <v>0</v>
      </c>
    </row>
    <row r="514" spans="3:14" x14ac:dyDescent="0.25">
      <c r="C514" t="s">
        <v>1548</v>
      </c>
      <c r="D514" t="s">
        <v>509</v>
      </c>
      <c r="E514" t="s">
        <v>400</v>
      </c>
      <c r="F514">
        <v>0</v>
      </c>
      <c r="I514" t="str">
        <v>GB00B082RF11</v>
      </c>
      <c r="J514" t="str">
        <v>Excluded</v>
      </c>
      <c r="K514">
        <v>0</v>
      </c>
      <c r="L514" t="str" cm="1">
        <f t="array" ref="L514">_xlfn.TEXTJOIN(",",TRUE,_xlfn._xlws.FILTER($C$5:$C$1727,($D$5:$D$1727=I514)*($E$5:$E$1727=J514)*($F$5:$F$1727=K514)))</f>
        <v>Global</v>
      </c>
      <c r="M514" t="b">
        <f t="shared" si="14"/>
        <v>0</v>
      </c>
      <c r="N514">
        <f t="shared" si="15"/>
        <v>0</v>
      </c>
    </row>
    <row r="515" spans="3:14" x14ac:dyDescent="0.25">
      <c r="C515" t="s">
        <v>1548</v>
      </c>
      <c r="D515" t="s">
        <v>21</v>
      </c>
      <c r="E515" t="s">
        <v>400</v>
      </c>
      <c r="F515">
        <v>0</v>
      </c>
      <c r="I515" t="str">
        <v>GB00B0SWJX34</v>
      </c>
      <c r="J515" t="str">
        <v>Excluded</v>
      </c>
      <c r="K515">
        <v>0</v>
      </c>
      <c r="L515" t="str" cm="1">
        <f t="array" ref="L515">_xlfn.TEXTJOIN(",",TRUE,_xlfn._xlws.FILTER($C$5:$C$1727,($D$5:$D$1727=I515)*($E$5:$E$1727=J515)*($F$5:$F$1727=K515)))</f>
        <v>Global</v>
      </c>
      <c r="M515" t="b">
        <f t="shared" si="14"/>
        <v>0</v>
      </c>
      <c r="N515">
        <f t="shared" si="15"/>
        <v>0</v>
      </c>
    </row>
    <row r="516" spans="3:14" x14ac:dyDescent="0.25">
      <c r="C516" t="s">
        <v>1548</v>
      </c>
      <c r="D516" t="s">
        <v>510</v>
      </c>
      <c r="E516" t="s">
        <v>399</v>
      </c>
      <c r="F516">
        <v>1</v>
      </c>
      <c r="I516" t="str">
        <v>GB00B19NLV48</v>
      </c>
      <c r="J516" t="str">
        <v>Excluded</v>
      </c>
      <c r="K516">
        <v>0</v>
      </c>
      <c r="L516" t="str" cm="1">
        <f t="array" ref="L516">_xlfn.TEXTJOIN(",",TRUE,_xlfn._xlws.FILTER($C$5:$C$1727,($D$5:$D$1727=I516)*($E$5:$E$1727=J516)*($F$5:$F$1727=K516)))</f>
        <v>Global</v>
      </c>
      <c r="M516" t="b">
        <f t="shared" si="14"/>
        <v>0</v>
      </c>
      <c r="N516">
        <f t="shared" si="15"/>
        <v>0</v>
      </c>
    </row>
    <row r="517" spans="3:14" x14ac:dyDescent="0.25">
      <c r="C517" t="s">
        <v>1548</v>
      </c>
      <c r="D517" t="s">
        <v>511</v>
      </c>
      <c r="E517" t="s">
        <v>400</v>
      </c>
      <c r="F517">
        <v>0</v>
      </c>
      <c r="I517" t="str">
        <v>GB00B1FH8J72</v>
      </c>
      <c r="J517" t="str">
        <v>Climate change adaptation</v>
      </c>
      <c r="K517">
        <v>0.74</v>
      </c>
      <c r="L517" t="str" cm="1">
        <f t="array" ref="L517">_xlfn.TEXTJOIN(",",TRUE,_xlfn._xlws.FILTER($C$5:$C$1727,($D$5:$D$1727=I517)*($E$5:$E$1727=J517)*($F$5:$F$1727=K517)))</f>
        <v>Global</v>
      </c>
      <c r="M517" t="b">
        <f t="shared" si="14"/>
        <v>0</v>
      </c>
      <c r="N517">
        <f t="shared" si="15"/>
        <v>0</v>
      </c>
    </row>
    <row r="518" spans="3:14" x14ac:dyDescent="0.25">
      <c r="C518" t="s">
        <v>1548</v>
      </c>
      <c r="D518" t="s">
        <v>512</v>
      </c>
      <c r="E518" t="s">
        <v>400</v>
      </c>
      <c r="F518">
        <v>0</v>
      </c>
      <c r="I518" t="str">
        <v>GB00B1KJJ408</v>
      </c>
      <c r="J518" t="str">
        <v>Not included in a theme</v>
      </c>
      <c r="K518">
        <v>0</v>
      </c>
      <c r="L518" t="str" cm="1">
        <f t="array" ref="L518">_xlfn.TEXTJOIN(",",TRUE,_xlfn._xlws.FILTER($C$5:$C$1727,($D$5:$D$1727=I518)*($E$5:$E$1727=J518)*($F$5:$F$1727=K518)))</f>
        <v>Global</v>
      </c>
      <c r="M518" t="b">
        <f t="shared" ref="M518:M581" si="16">COUNTIFS($I$5:$I$1556,I518)&gt;1</f>
        <v>0</v>
      </c>
      <c r="N518">
        <f t="shared" ref="N518:N581" si="17">COUNTIFS($U$5:$U$231,I518)</f>
        <v>0</v>
      </c>
    </row>
    <row r="519" spans="3:14" x14ac:dyDescent="0.25">
      <c r="C519" t="s">
        <v>1548</v>
      </c>
      <c r="D519" t="s">
        <v>513</v>
      </c>
      <c r="E519" t="s">
        <v>400</v>
      </c>
      <c r="F519">
        <v>0</v>
      </c>
      <c r="I519" t="str">
        <v>GB00B1WY2338</v>
      </c>
      <c r="J519" t="str">
        <v>Eco-efficient industries</v>
      </c>
      <c r="K519">
        <v>0.89</v>
      </c>
      <c r="L519" t="str" cm="1">
        <f t="array" ref="L519">_xlfn.TEXTJOIN(",",TRUE,_xlfn._xlws.FILTER($C$5:$C$1727,($D$5:$D$1727=I519)*($E$5:$E$1727=J519)*($F$5:$F$1727=K519)))</f>
        <v>Global</v>
      </c>
      <c r="M519" t="b">
        <f t="shared" si="16"/>
        <v>0</v>
      </c>
      <c r="N519">
        <f t="shared" si="17"/>
        <v>0</v>
      </c>
    </row>
    <row r="520" spans="3:14" x14ac:dyDescent="0.25">
      <c r="C520" t="s">
        <v>1548</v>
      </c>
      <c r="D520" t="s">
        <v>23</v>
      </c>
      <c r="E520" t="s">
        <v>401</v>
      </c>
      <c r="F520">
        <v>0</v>
      </c>
      <c r="I520" t="str">
        <v>GB00B1YW4409</v>
      </c>
      <c r="J520" t="str">
        <v>Excluded</v>
      </c>
      <c r="K520">
        <v>0</v>
      </c>
      <c r="L520" t="str" cm="1">
        <f t="array" ref="L520">_xlfn.TEXTJOIN(",",TRUE,_xlfn._xlws.FILTER($C$5:$C$1727,($D$5:$D$1727=I520)*($E$5:$E$1727=J520)*($F$5:$F$1727=K520)))</f>
        <v>Global</v>
      </c>
      <c r="M520" t="b">
        <f t="shared" si="16"/>
        <v>0</v>
      </c>
      <c r="N520">
        <f t="shared" si="17"/>
        <v>0</v>
      </c>
    </row>
    <row r="521" spans="3:14" x14ac:dyDescent="0.25">
      <c r="C521" t="s">
        <v>1548</v>
      </c>
      <c r="D521" t="s">
        <v>514</v>
      </c>
      <c r="E521" t="s">
        <v>401</v>
      </c>
      <c r="F521">
        <v>0</v>
      </c>
      <c r="I521" t="str">
        <v>GB00B24CGK77</v>
      </c>
      <c r="J521" t="str">
        <v>Circular economy</v>
      </c>
      <c r="K521">
        <v>0.35</v>
      </c>
      <c r="L521" t="str" cm="1">
        <f t="array" ref="L521">_xlfn.TEXTJOIN(",",TRUE,_xlfn._xlws.FILTER($C$5:$C$1727,($D$5:$D$1727=I521)*($E$5:$E$1727=J521)*($F$5:$F$1727=K521)))</f>
        <v>Global</v>
      </c>
      <c r="M521" t="b">
        <f t="shared" si="16"/>
        <v>0</v>
      </c>
      <c r="N521">
        <f t="shared" si="17"/>
        <v>0</v>
      </c>
    </row>
    <row r="522" spans="3:14" x14ac:dyDescent="0.25">
      <c r="C522" t="s">
        <v>1548</v>
      </c>
      <c r="D522" t="s">
        <v>515</v>
      </c>
      <c r="E522" t="s">
        <v>400</v>
      </c>
      <c r="F522">
        <v>0</v>
      </c>
      <c r="I522" t="str">
        <v>GB00B2B0DG97</v>
      </c>
      <c r="J522" t="str">
        <v>Excluded</v>
      </c>
      <c r="K522">
        <v>0</v>
      </c>
      <c r="L522" t="str" cm="1">
        <f t="array" ref="L522">_xlfn.TEXTJOIN(",",TRUE,_xlfn._xlws.FILTER($C$5:$C$1727,($D$5:$D$1727=I522)*($E$5:$E$1727=J522)*($F$5:$F$1727=K522)))</f>
        <v>EZ,Global</v>
      </c>
      <c r="M522" t="b">
        <f t="shared" si="16"/>
        <v>0</v>
      </c>
      <c r="N522">
        <f t="shared" si="17"/>
        <v>1</v>
      </c>
    </row>
    <row r="523" spans="3:14" x14ac:dyDescent="0.25">
      <c r="C523" t="s">
        <v>1548</v>
      </c>
      <c r="D523" t="s">
        <v>516</v>
      </c>
      <c r="E523" t="s">
        <v>403</v>
      </c>
      <c r="F523">
        <v>0.23</v>
      </c>
      <c r="I523" t="str">
        <v>GB00B39J2M42</v>
      </c>
      <c r="J523" t="str">
        <v>Climate change adaptation</v>
      </c>
      <c r="K523">
        <v>1</v>
      </c>
      <c r="L523" t="str" cm="1">
        <f t="array" ref="L523">_xlfn.TEXTJOIN(",",TRUE,_xlfn._xlws.FILTER($C$5:$C$1727,($D$5:$D$1727=I523)*($E$5:$E$1727=J523)*($F$5:$F$1727=K523)))</f>
        <v>Global</v>
      </c>
      <c r="M523" t="b">
        <f t="shared" si="16"/>
        <v>0</v>
      </c>
      <c r="N523">
        <f t="shared" si="17"/>
        <v>0</v>
      </c>
    </row>
    <row r="524" spans="3:14" x14ac:dyDescent="0.25">
      <c r="C524" t="s">
        <v>1548</v>
      </c>
      <c r="D524" t="s">
        <v>22</v>
      </c>
      <c r="E524" t="s">
        <v>400</v>
      </c>
      <c r="F524">
        <v>0</v>
      </c>
      <c r="I524" t="str">
        <v>GB00B5ZN1N88</v>
      </c>
      <c r="J524" t="str">
        <v>Ecoconstruction</v>
      </c>
      <c r="K524">
        <v>0.51</v>
      </c>
      <c r="L524" t="str" cm="1">
        <f t="array" ref="L524">_xlfn.TEXTJOIN(",",TRUE,_xlfn._xlws.FILTER($C$5:$C$1727,($D$5:$D$1727=I524)*($E$5:$E$1727=J524)*($F$5:$F$1727=K524)))</f>
        <v>Global</v>
      </c>
      <c r="M524" t="b">
        <f t="shared" si="16"/>
        <v>0</v>
      </c>
      <c r="N524">
        <f t="shared" si="17"/>
        <v>0</v>
      </c>
    </row>
    <row r="525" spans="3:14" x14ac:dyDescent="0.25">
      <c r="C525" t="s">
        <v>1548</v>
      </c>
      <c r="D525" t="s">
        <v>517</v>
      </c>
      <c r="E525" t="s">
        <v>399</v>
      </c>
      <c r="F525">
        <v>0.87</v>
      </c>
      <c r="I525" t="str">
        <v>GB00B63H8491</v>
      </c>
      <c r="J525" t="str">
        <v>Excluded</v>
      </c>
      <c r="K525">
        <v>0</v>
      </c>
      <c r="L525" t="str" cm="1">
        <f t="array" ref="L525">_xlfn.TEXTJOIN(",",TRUE,_xlfn._xlws.FILTER($C$5:$C$1727,($D$5:$D$1727=I525)*($E$5:$E$1727=J525)*($F$5:$F$1727=K525)))</f>
        <v>Global</v>
      </c>
      <c r="M525" t="b">
        <f t="shared" si="16"/>
        <v>0</v>
      </c>
      <c r="N525">
        <f t="shared" si="17"/>
        <v>0</v>
      </c>
    </row>
    <row r="526" spans="3:14" x14ac:dyDescent="0.25">
      <c r="C526" t="s">
        <v>1548</v>
      </c>
      <c r="D526" t="s">
        <v>518</v>
      </c>
      <c r="E526" t="s">
        <v>400</v>
      </c>
      <c r="F526">
        <v>0</v>
      </c>
      <c r="I526" t="str">
        <v>GB00B8C3BL03</v>
      </c>
      <c r="J526" t="str">
        <v>Information technology</v>
      </c>
      <c r="K526">
        <v>0.84</v>
      </c>
      <c r="L526" t="str" cm="1">
        <f t="array" ref="L526">_xlfn.TEXTJOIN(",",TRUE,_xlfn._xlws.FILTER($C$5:$C$1727,($D$5:$D$1727=I526)*($E$5:$E$1727=J526)*($F$5:$F$1727=K526)))</f>
        <v>Global</v>
      </c>
      <c r="M526" t="b">
        <f t="shared" si="16"/>
        <v>0</v>
      </c>
      <c r="N526">
        <f t="shared" si="17"/>
        <v>0</v>
      </c>
    </row>
    <row r="527" spans="3:14" x14ac:dyDescent="0.25">
      <c r="C527" t="s">
        <v>1548</v>
      </c>
      <c r="D527" t="s">
        <v>13</v>
      </c>
      <c r="E527" t="s">
        <v>401</v>
      </c>
      <c r="F527">
        <v>0</v>
      </c>
      <c r="I527" t="str">
        <v>GB00BD6K4575</v>
      </c>
      <c r="J527" t="str">
        <v>Excluded</v>
      </c>
      <c r="K527">
        <v>0</v>
      </c>
      <c r="L527" t="str" cm="1">
        <f t="array" ref="L527">_xlfn.TEXTJOIN(",",TRUE,_xlfn._xlws.FILTER($C$5:$C$1727,($D$5:$D$1727=I527)*($E$5:$E$1727=J527)*($F$5:$F$1727=K527)))</f>
        <v>Global</v>
      </c>
      <c r="M527" t="b">
        <f t="shared" si="16"/>
        <v>0</v>
      </c>
      <c r="N527">
        <f t="shared" si="17"/>
        <v>0</v>
      </c>
    </row>
    <row r="528" spans="3:14" x14ac:dyDescent="0.25">
      <c r="C528" t="s">
        <v>1548</v>
      </c>
      <c r="D528" t="s">
        <v>24</v>
      </c>
      <c r="E528" t="s">
        <v>401</v>
      </c>
      <c r="F528">
        <v>0</v>
      </c>
      <c r="I528" t="str">
        <v>GB00BDCPN049</v>
      </c>
      <c r="J528" t="str">
        <v>Excluded</v>
      </c>
      <c r="K528">
        <v>0</v>
      </c>
      <c r="L528" t="str" cm="1">
        <f t="array" ref="L528">_xlfn.TEXTJOIN(",",TRUE,_xlfn._xlws.FILTER($C$5:$C$1727,($D$5:$D$1727=I528)*($E$5:$E$1727=J528)*($F$5:$F$1727=K528)))</f>
        <v>Global</v>
      </c>
      <c r="M528" t="b">
        <f t="shared" si="16"/>
        <v>0</v>
      </c>
      <c r="N528">
        <f t="shared" si="17"/>
        <v>0</v>
      </c>
    </row>
    <row r="529" spans="3:14" x14ac:dyDescent="0.25">
      <c r="C529" t="s">
        <v>1548</v>
      </c>
      <c r="D529" t="s">
        <v>27</v>
      </c>
      <c r="E529" t="s">
        <v>400</v>
      </c>
      <c r="F529">
        <v>0</v>
      </c>
      <c r="I529" t="str">
        <v>GB00BDR05C01</v>
      </c>
      <c r="J529" t="str">
        <v>Excluded</v>
      </c>
      <c r="K529">
        <v>0</v>
      </c>
      <c r="L529" t="str" cm="1">
        <f t="array" ref="L529">_xlfn.TEXTJOIN(",",TRUE,_xlfn._xlws.FILTER($C$5:$C$1727,($D$5:$D$1727=I529)*($E$5:$E$1727=J529)*($F$5:$F$1727=K529)))</f>
        <v>Global</v>
      </c>
      <c r="M529" t="b">
        <f t="shared" si="16"/>
        <v>0</v>
      </c>
      <c r="N529">
        <f t="shared" si="17"/>
        <v>0</v>
      </c>
    </row>
    <row r="530" spans="3:14" x14ac:dyDescent="0.25">
      <c r="C530" t="s">
        <v>1548</v>
      </c>
      <c r="D530" t="s">
        <v>519</v>
      </c>
      <c r="E530" t="s">
        <v>400</v>
      </c>
      <c r="F530">
        <v>0</v>
      </c>
      <c r="I530" t="str">
        <v>GB00BDSFG982</v>
      </c>
      <c r="J530" t="str">
        <v>Excluded</v>
      </c>
      <c r="K530">
        <v>0</v>
      </c>
      <c r="L530" t="str" cm="1">
        <f t="array" ref="L530">_xlfn.TEXTJOIN(",",TRUE,_xlfn._xlws.FILTER($C$5:$C$1727,($D$5:$D$1727=I530)*($E$5:$E$1727=J530)*($F$5:$F$1727=K530)))</f>
        <v>Global</v>
      </c>
      <c r="M530" t="b">
        <f t="shared" si="16"/>
        <v>0</v>
      </c>
      <c r="N530">
        <f t="shared" si="17"/>
        <v>0</v>
      </c>
    </row>
    <row r="531" spans="3:14" x14ac:dyDescent="0.25">
      <c r="C531" t="s">
        <v>1548</v>
      </c>
      <c r="D531" t="s">
        <v>15</v>
      </c>
      <c r="E531" t="s">
        <v>401</v>
      </c>
      <c r="F531">
        <v>0</v>
      </c>
      <c r="I531" t="str">
        <v>GB00BGLP8L22</v>
      </c>
      <c r="J531" t="str">
        <v>Excluded</v>
      </c>
      <c r="K531">
        <v>0</v>
      </c>
      <c r="L531" t="str" cm="1">
        <f t="array" ref="L531">_xlfn.TEXTJOIN(",",TRUE,_xlfn._xlws.FILTER($C$5:$C$1727,($D$5:$D$1727=I531)*($E$5:$E$1727=J531)*($F$5:$F$1727=K531)))</f>
        <v>Global</v>
      </c>
      <c r="M531" t="b">
        <f t="shared" si="16"/>
        <v>0</v>
      </c>
      <c r="N531">
        <f t="shared" si="17"/>
        <v>0</v>
      </c>
    </row>
    <row r="532" spans="3:14" x14ac:dyDescent="0.25">
      <c r="C532" t="s">
        <v>1548</v>
      </c>
      <c r="D532" t="s">
        <v>520</v>
      </c>
      <c r="E532" t="s">
        <v>400</v>
      </c>
      <c r="F532">
        <v>0</v>
      </c>
      <c r="I532" t="str">
        <v>GB00BGXQNP29</v>
      </c>
      <c r="J532" t="str">
        <v>Excluded</v>
      </c>
      <c r="K532">
        <v>0</v>
      </c>
      <c r="L532" t="str" cm="1">
        <f t="array" ref="L532">_xlfn.TEXTJOIN(",",TRUE,_xlfn._xlws.FILTER($C$5:$C$1727,($D$5:$D$1727=I532)*($E$5:$E$1727=J532)*($F$5:$F$1727=K532)))</f>
        <v>Global</v>
      </c>
      <c r="M532" t="b">
        <f t="shared" si="16"/>
        <v>0</v>
      </c>
      <c r="N532">
        <f t="shared" si="17"/>
        <v>0</v>
      </c>
    </row>
    <row r="533" spans="3:14" x14ac:dyDescent="0.25">
      <c r="C533" t="s">
        <v>1548</v>
      </c>
      <c r="D533" t="s">
        <v>521</v>
      </c>
      <c r="E533" t="s">
        <v>401</v>
      </c>
      <c r="F533">
        <v>0</v>
      </c>
      <c r="I533" t="str">
        <v>GB00BH4HKS39</v>
      </c>
      <c r="J533" t="str">
        <v>Not included in a theme</v>
      </c>
      <c r="K533">
        <v>0</v>
      </c>
      <c r="L533" t="str" cm="1">
        <f t="array" ref="L533">_xlfn.TEXTJOIN(",",TRUE,_xlfn._xlws.FILTER($C$5:$C$1727,($D$5:$D$1727=I533)*($E$5:$E$1727=J533)*($F$5:$F$1727=K533)))</f>
        <v>Global</v>
      </c>
      <c r="M533" t="b">
        <f t="shared" si="16"/>
        <v>0</v>
      </c>
      <c r="N533">
        <f t="shared" si="17"/>
        <v>0</v>
      </c>
    </row>
    <row r="534" spans="3:14" x14ac:dyDescent="0.25">
      <c r="C534" t="s">
        <v>1548</v>
      </c>
      <c r="D534" t="s">
        <v>522</v>
      </c>
      <c r="E534" t="s">
        <v>400</v>
      </c>
      <c r="F534">
        <v>0</v>
      </c>
      <c r="I534" t="str">
        <v>GB00BHJYC057</v>
      </c>
      <c r="J534" t="str">
        <v>Excluded</v>
      </c>
      <c r="K534">
        <v>0</v>
      </c>
      <c r="L534" t="str" cm="1">
        <f t="array" ref="L534">_xlfn.TEXTJOIN(",",TRUE,_xlfn._xlws.FILTER($C$5:$C$1727,($D$5:$D$1727=I534)*($E$5:$E$1727=J534)*($F$5:$F$1727=K534)))</f>
        <v>Global</v>
      </c>
      <c r="M534" t="b">
        <f t="shared" si="16"/>
        <v>0</v>
      </c>
      <c r="N534">
        <f t="shared" si="17"/>
        <v>0</v>
      </c>
    </row>
    <row r="535" spans="3:14" x14ac:dyDescent="0.25">
      <c r="C535" t="s">
        <v>1548</v>
      </c>
      <c r="D535" t="s">
        <v>523</v>
      </c>
      <c r="E535" t="s">
        <v>400</v>
      </c>
      <c r="F535">
        <v>0</v>
      </c>
      <c r="I535" t="str">
        <v>GB00BKFB1C65</v>
      </c>
      <c r="J535" t="str">
        <v>Excluded</v>
      </c>
      <c r="K535">
        <v>0</v>
      </c>
      <c r="L535" t="str" cm="1">
        <f t="array" ref="L535">_xlfn.TEXTJOIN(",",TRUE,_xlfn._xlws.FILTER($C$5:$C$1727,($D$5:$D$1727=I535)*($E$5:$E$1727=J535)*($F$5:$F$1727=K535)))</f>
        <v>Global</v>
      </c>
      <c r="M535" t="b">
        <f t="shared" si="16"/>
        <v>0</v>
      </c>
      <c r="N535">
        <f t="shared" si="17"/>
        <v>0</v>
      </c>
    </row>
    <row r="536" spans="3:14" x14ac:dyDescent="0.25">
      <c r="C536" t="s">
        <v>1548</v>
      </c>
      <c r="D536" t="s">
        <v>524</v>
      </c>
      <c r="E536" t="s">
        <v>400</v>
      </c>
      <c r="F536">
        <v>0</v>
      </c>
      <c r="I536" t="str">
        <v>GB00BL9YR756</v>
      </c>
      <c r="J536" t="str">
        <v>Excluded</v>
      </c>
      <c r="K536">
        <v>0</v>
      </c>
      <c r="L536" t="str" cm="1">
        <f t="array" ref="L536">_xlfn.TEXTJOIN(",",TRUE,_xlfn._xlws.FILTER($C$5:$C$1727,($D$5:$D$1727=I536)*($E$5:$E$1727=J536)*($F$5:$F$1727=K536)))</f>
        <v>Global</v>
      </c>
      <c r="M536" t="b">
        <f t="shared" si="16"/>
        <v>0</v>
      </c>
      <c r="N536">
        <f t="shared" si="17"/>
        <v>0</v>
      </c>
    </row>
    <row r="537" spans="3:14" x14ac:dyDescent="0.25">
      <c r="C537" t="s">
        <v>1548</v>
      </c>
      <c r="D537" t="s">
        <v>525</v>
      </c>
      <c r="E537" t="s">
        <v>400</v>
      </c>
      <c r="F537">
        <v>0</v>
      </c>
      <c r="I537" t="str">
        <v>GB00BLGZ9862</v>
      </c>
      <c r="J537" t="str">
        <v>Excluded</v>
      </c>
      <c r="K537">
        <v>0</v>
      </c>
      <c r="L537" t="str" cm="1">
        <f t="array" ref="L537">_xlfn.TEXTJOIN(",",TRUE,_xlfn._xlws.FILTER($C$5:$C$1727,($D$5:$D$1727=I537)*($E$5:$E$1727=J537)*($F$5:$F$1727=K537)))</f>
        <v>Global</v>
      </c>
      <c r="M537" t="b">
        <f t="shared" si="16"/>
        <v>0</v>
      </c>
      <c r="N537">
        <f t="shared" si="17"/>
        <v>0</v>
      </c>
    </row>
    <row r="538" spans="3:14" x14ac:dyDescent="0.25">
      <c r="C538" t="s">
        <v>1548</v>
      </c>
      <c r="D538" t="s">
        <v>526</v>
      </c>
      <c r="E538" t="s">
        <v>404</v>
      </c>
      <c r="F538">
        <v>1</v>
      </c>
      <c r="I538" t="str">
        <v>GB00BM8PJY71</v>
      </c>
      <c r="J538" t="str">
        <v>Excluded</v>
      </c>
      <c r="K538">
        <v>0</v>
      </c>
      <c r="L538" t="str" cm="1">
        <f t="array" ref="L538">_xlfn.TEXTJOIN(",",TRUE,_xlfn._xlws.FILTER($C$5:$C$1727,($D$5:$D$1727=I538)*($E$5:$E$1727=J538)*($F$5:$F$1727=K538)))</f>
        <v>Global</v>
      </c>
      <c r="M538" t="b">
        <f t="shared" si="16"/>
        <v>0</v>
      </c>
      <c r="N538">
        <f t="shared" si="17"/>
        <v>0</v>
      </c>
    </row>
    <row r="539" spans="3:14" x14ac:dyDescent="0.25">
      <c r="C539" t="s">
        <v>1548</v>
      </c>
      <c r="D539" t="s">
        <v>20</v>
      </c>
      <c r="E539" t="s">
        <v>400</v>
      </c>
      <c r="F539">
        <v>0</v>
      </c>
      <c r="I539" t="str">
        <v>GB00BMJ6DW54</v>
      </c>
      <c r="J539" t="str">
        <v>Excluded</v>
      </c>
      <c r="K539">
        <v>0</v>
      </c>
      <c r="L539" t="str" cm="1">
        <f t="array" ref="L539">_xlfn.TEXTJOIN(",",TRUE,_xlfn._xlws.FILTER($C$5:$C$1727,($D$5:$D$1727=I539)*($E$5:$E$1727=J539)*($F$5:$F$1727=K539)))</f>
        <v>Global</v>
      </c>
      <c r="M539" t="b">
        <f t="shared" si="16"/>
        <v>0</v>
      </c>
      <c r="N539">
        <f t="shared" si="17"/>
        <v>0</v>
      </c>
    </row>
    <row r="540" spans="3:14" x14ac:dyDescent="0.25">
      <c r="C540" t="s">
        <v>1548</v>
      </c>
      <c r="D540" t="s">
        <v>527</v>
      </c>
      <c r="E540" t="s">
        <v>401</v>
      </c>
      <c r="F540">
        <v>0</v>
      </c>
      <c r="I540" t="str">
        <v>GB00BMVP7Y09</v>
      </c>
      <c r="J540" t="str">
        <v>Excluded</v>
      </c>
      <c r="K540">
        <v>0</v>
      </c>
      <c r="L540" t="str" cm="1">
        <f t="array" ref="L540">_xlfn.TEXTJOIN(",",TRUE,_xlfn._xlws.FILTER($C$5:$C$1727,($D$5:$D$1727=I540)*($E$5:$E$1727=J540)*($F$5:$F$1727=K540)))</f>
        <v>Global</v>
      </c>
      <c r="M540" t="b">
        <f t="shared" si="16"/>
        <v>0</v>
      </c>
      <c r="N540">
        <f t="shared" si="17"/>
        <v>0</v>
      </c>
    </row>
    <row r="541" spans="3:14" x14ac:dyDescent="0.25">
      <c r="C541" t="s">
        <v>1548</v>
      </c>
      <c r="D541" t="s">
        <v>528</v>
      </c>
      <c r="E541" t="s">
        <v>400</v>
      </c>
      <c r="F541">
        <v>0</v>
      </c>
      <c r="I541" t="str">
        <v>GB00BMX86B70</v>
      </c>
      <c r="J541" t="str">
        <v>Not included in a theme</v>
      </c>
      <c r="K541">
        <v>0</v>
      </c>
      <c r="L541" t="str" cm="1">
        <f t="array" ref="L541">_xlfn.TEXTJOIN(",",TRUE,_xlfn._xlws.FILTER($C$5:$C$1727,($D$5:$D$1727=I541)*($E$5:$E$1727=J541)*($F$5:$F$1727=K541)))</f>
        <v>Global</v>
      </c>
      <c r="M541" t="b">
        <f t="shared" si="16"/>
        <v>0</v>
      </c>
      <c r="N541">
        <f t="shared" si="17"/>
        <v>0</v>
      </c>
    </row>
    <row r="542" spans="3:14" x14ac:dyDescent="0.25">
      <c r="C542" t="s">
        <v>1548</v>
      </c>
      <c r="D542" t="s">
        <v>529</v>
      </c>
      <c r="E542" t="s">
        <v>400</v>
      </c>
      <c r="F542">
        <v>0</v>
      </c>
      <c r="I542" t="str">
        <v>GB00BN7SWP63</v>
      </c>
      <c r="J542" t="str">
        <v>Not included in a theme</v>
      </c>
      <c r="K542">
        <v>0</v>
      </c>
      <c r="L542" t="str" cm="1">
        <f t="array" ref="L542">_xlfn.TEXTJOIN(",",TRUE,_xlfn._xlws.FILTER($C$5:$C$1727,($D$5:$D$1727=I542)*($E$5:$E$1727=J542)*($F$5:$F$1727=K542)))</f>
        <v>Global</v>
      </c>
      <c r="M542" t="b">
        <f t="shared" si="16"/>
        <v>0</v>
      </c>
      <c r="N542">
        <f t="shared" si="17"/>
        <v>0</v>
      </c>
    </row>
    <row r="543" spans="3:14" x14ac:dyDescent="0.25">
      <c r="C543" t="s">
        <v>1548</v>
      </c>
      <c r="D543" t="s">
        <v>530</v>
      </c>
      <c r="E543" t="s">
        <v>400</v>
      </c>
      <c r="F543">
        <v>0</v>
      </c>
      <c r="I543" t="str">
        <v>GB00BNGDN821</v>
      </c>
      <c r="J543" t="str">
        <v>Excluded</v>
      </c>
      <c r="K543">
        <v>0</v>
      </c>
      <c r="L543" t="str" cm="1">
        <f t="array" ref="L543">_xlfn.TEXTJOIN(",",TRUE,_xlfn._xlws.FILTER($C$5:$C$1727,($D$5:$D$1727=I543)*($E$5:$E$1727=J543)*($F$5:$F$1727=K543)))</f>
        <v>Global</v>
      </c>
      <c r="M543" t="b">
        <f t="shared" si="16"/>
        <v>0</v>
      </c>
      <c r="N543">
        <f t="shared" si="17"/>
        <v>0</v>
      </c>
    </row>
    <row r="544" spans="3:14" x14ac:dyDescent="0.25">
      <c r="C544" t="s">
        <v>1548</v>
      </c>
      <c r="D544" t="s">
        <v>531</v>
      </c>
      <c r="E544" t="s">
        <v>400</v>
      </c>
      <c r="F544">
        <v>0</v>
      </c>
      <c r="I544" t="str">
        <v>GB00BNTJ3546</v>
      </c>
      <c r="J544" t="str">
        <v>Excluded</v>
      </c>
      <c r="K544">
        <v>0</v>
      </c>
      <c r="L544" t="str" cm="1">
        <f t="array" ref="L544">_xlfn.TEXTJOIN(",",TRUE,_xlfn._xlws.FILTER($C$5:$C$1727,($D$5:$D$1727=I544)*($E$5:$E$1727=J544)*($F$5:$F$1727=K544)))</f>
        <v>EZ</v>
      </c>
      <c r="M544" t="b">
        <f t="shared" si="16"/>
        <v>0</v>
      </c>
      <c r="N544">
        <f t="shared" si="17"/>
        <v>1</v>
      </c>
    </row>
    <row r="545" spans="3:14" x14ac:dyDescent="0.25">
      <c r="C545" t="s">
        <v>1548</v>
      </c>
      <c r="D545" t="s">
        <v>532</v>
      </c>
      <c r="E545" t="s">
        <v>400</v>
      </c>
      <c r="F545">
        <v>0</v>
      </c>
      <c r="I545" t="str">
        <v>GB00BP6MXD84</v>
      </c>
      <c r="J545" t="str">
        <v>Excluded</v>
      </c>
      <c r="K545">
        <v>0</v>
      </c>
      <c r="L545" t="str" cm="1">
        <f t="array" ref="L545">_xlfn.TEXTJOIN(",",TRUE,_xlfn._xlws.FILTER($C$5:$C$1727,($D$5:$D$1727=I545)*($E$5:$E$1727=J545)*($F$5:$F$1727=K545)))</f>
        <v>EZ,Global</v>
      </c>
      <c r="M545" t="b">
        <f t="shared" si="16"/>
        <v>0</v>
      </c>
      <c r="N545">
        <f t="shared" si="17"/>
        <v>0</v>
      </c>
    </row>
    <row r="546" spans="3:14" x14ac:dyDescent="0.25">
      <c r="C546" t="s">
        <v>1548</v>
      </c>
      <c r="D546" t="s">
        <v>533</v>
      </c>
      <c r="E546" t="s">
        <v>401</v>
      </c>
      <c r="F546">
        <v>0</v>
      </c>
      <c r="I546" t="str">
        <v>GB00BPQY8M80</v>
      </c>
      <c r="J546" t="str">
        <v>Not included in a theme</v>
      </c>
      <c r="K546">
        <v>0</v>
      </c>
      <c r="L546" t="str" cm="1">
        <f t="array" ref="L546">_xlfn.TEXTJOIN(",",TRUE,_xlfn._xlws.FILTER($C$5:$C$1727,($D$5:$D$1727=I546)*($E$5:$E$1727=J546)*($F$5:$F$1727=K546)))</f>
        <v>Global</v>
      </c>
      <c r="M546" t="b">
        <f t="shared" si="16"/>
        <v>0</v>
      </c>
      <c r="N546">
        <f t="shared" si="17"/>
        <v>0</v>
      </c>
    </row>
    <row r="547" spans="3:14" x14ac:dyDescent="0.25">
      <c r="C547" t="s">
        <v>1548</v>
      </c>
      <c r="D547" t="s">
        <v>534</v>
      </c>
      <c r="E547" t="s">
        <v>400</v>
      </c>
      <c r="F547">
        <v>0</v>
      </c>
      <c r="I547" t="str">
        <v>GB00BRXH2664</v>
      </c>
      <c r="J547" t="str">
        <v>Excluded</v>
      </c>
      <c r="K547">
        <v>0</v>
      </c>
      <c r="L547" t="str" cm="1">
        <f t="array" ref="L547">_xlfn.TEXTJOIN(",",TRUE,_xlfn._xlws.FILTER($C$5:$C$1727,($D$5:$D$1727=I547)*($E$5:$E$1727=J547)*($F$5:$F$1727=K547)))</f>
        <v>Global</v>
      </c>
      <c r="M547" t="b">
        <f t="shared" si="16"/>
        <v>0</v>
      </c>
      <c r="N547">
        <f t="shared" si="17"/>
        <v>0</v>
      </c>
    </row>
    <row r="548" spans="3:14" x14ac:dyDescent="0.25">
      <c r="C548" t="s">
        <v>1548</v>
      </c>
      <c r="D548" t="s">
        <v>7</v>
      </c>
      <c r="E548" t="s">
        <v>400</v>
      </c>
      <c r="F548">
        <v>0</v>
      </c>
      <c r="I548" t="str">
        <v>GB00BTK05J60</v>
      </c>
      <c r="J548" t="str">
        <v>Excluded</v>
      </c>
      <c r="K548">
        <v>0</v>
      </c>
      <c r="L548" t="str" cm="1">
        <f t="array" ref="L548">_xlfn.TEXTJOIN(",",TRUE,_xlfn._xlws.FILTER($C$5:$C$1727,($D$5:$D$1727=I548)*($E$5:$E$1727=J548)*($F$5:$F$1727=K548)))</f>
        <v>Global</v>
      </c>
      <c r="M548" t="b">
        <f t="shared" si="16"/>
        <v>0</v>
      </c>
      <c r="N548">
        <f t="shared" si="17"/>
        <v>0</v>
      </c>
    </row>
    <row r="549" spans="3:14" x14ac:dyDescent="0.25">
      <c r="C549" t="s">
        <v>1548</v>
      </c>
      <c r="D549" t="s">
        <v>535</v>
      </c>
      <c r="E549" t="s">
        <v>401</v>
      </c>
      <c r="F549">
        <v>0</v>
      </c>
      <c r="I549" t="str">
        <v>GB00BVYVFW23</v>
      </c>
      <c r="J549" t="str">
        <v>Circular economy</v>
      </c>
      <c r="K549">
        <v>0.6</v>
      </c>
      <c r="L549" t="str" cm="1">
        <f t="array" ref="L549">_xlfn.TEXTJOIN(",",TRUE,_xlfn._xlws.FILTER($C$5:$C$1727,($D$5:$D$1727=I549)*($E$5:$E$1727=J549)*($F$5:$F$1727=K549)))</f>
        <v>Global</v>
      </c>
      <c r="M549" t="b">
        <f t="shared" si="16"/>
        <v>0</v>
      </c>
      <c r="N549">
        <f t="shared" si="17"/>
        <v>0</v>
      </c>
    </row>
    <row r="550" spans="3:14" x14ac:dyDescent="0.25">
      <c r="C550" t="s">
        <v>1548</v>
      </c>
      <c r="D550" t="s">
        <v>536</v>
      </c>
      <c r="E550" t="s">
        <v>401</v>
      </c>
      <c r="F550">
        <v>0</v>
      </c>
      <c r="I550" t="str">
        <v>GB00BVZK7T90</v>
      </c>
      <c r="J550" t="str">
        <v>Excluded</v>
      </c>
      <c r="K550">
        <v>0</v>
      </c>
      <c r="L550" t="str" cm="1">
        <f t="array" ref="L550">_xlfn.TEXTJOIN(",",TRUE,_xlfn._xlws.FILTER($C$5:$C$1727,($D$5:$D$1727=I550)*($E$5:$E$1727=J550)*($F$5:$F$1727=K550)))</f>
        <v>EZ,Global</v>
      </c>
      <c r="M550" t="b">
        <f t="shared" si="16"/>
        <v>0</v>
      </c>
      <c r="N550">
        <f t="shared" si="17"/>
        <v>1</v>
      </c>
    </row>
    <row r="551" spans="3:14" x14ac:dyDescent="0.25">
      <c r="C551" t="s">
        <v>1548</v>
      </c>
      <c r="D551" t="s">
        <v>537</v>
      </c>
      <c r="E551" t="s">
        <v>401</v>
      </c>
      <c r="F551">
        <v>0</v>
      </c>
      <c r="I551" t="str">
        <v>GB00BWFGQN14</v>
      </c>
      <c r="J551" t="str">
        <v>Excluded</v>
      </c>
      <c r="K551">
        <v>0</v>
      </c>
      <c r="L551" t="str" cm="1">
        <f t="array" ref="L551">_xlfn.TEXTJOIN(",",TRUE,_xlfn._xlws.FILTER($C$5:$C$1727,($D$5:$D$1727=I551)*($E$5:$E$1727=J551)*($F$5:$F$1727=K551)))</f>
        <v>Global</v>
      </c>
      <c r="M551" t="b">
        <f t="shared" si="16"/>
        <v>0</v>
      </c>
      <c r="N551">
        <f t="shared" si="17"/>
        <v>0</v>
      </c>
    </row>
    <row r="552" spans="3:14" x14ac:dyDescent="0.25">
      <c r="C552" t="s">
        <v>1548</v>
      </c>
      <c r="D552" t="s">
        <v>538</v>
      </c>
      <c r="E552" t="s">
        <v>401</v>
      </c>
      <c r="F552">
        <v>0</v>
      </c>
      <c r="I552" t="str">
        <v>GB00BYQ0JC66</v>
      </c>
      <c r="J552" t="str">
        <v>Not included in a theme</v>
      </c>
      <c r="K552">
        <v>0</v>
      </c>
      <c r="L552" t="str" cm="1">
        <f t="array" ref="L552">_xlfn.TEXTJOIN(",",TRUE,_xlfn._xlws.FILTER($C$5:$C$1727,($D$5:$D$1727=I552)*($E$5:$E$1727=J552)*($F$5:$F$1727=K552)))</f>
        <v>Global</v>
      </c>
      <c r="M552" t="b">
        <f t="shared" si="16"/>
        <v>0</v>
      </c>
      <c r="N552">
        <f t="shared" si="17"/>
        <v>0</v>
      </c>
    </row>
    <row r="553" spans="3:14" x14ac:dyDescent="0.25">
      <c r="C553" t="s">
        <v>1548</v>
      </c>
      <c r="D553" t="s">
        <v>539</v>
      </c>
      <c r="E553" t="s">
        <v>400</v>
      </c>
      <c r="F553">
        <v>0</v>
      </c>
      <c r="I553" t="str">
        <v>GB00BYT1DJ19</v>
      </c>
      <c r="J553" t="str">
        <v>Excluded</v>
      </c>
      <c r="K553">
        <v>0</v>
      </c>
      <c r="L553" t="str" cm="1">
        <f t="array" ref="L553">_xlfn.TEXTJOIN(",",TRUE,_xlfn._xlws.FILTER($C$5:$C$1727,($D$5:$D$1727=I553)*($E$5:$E$1727=J553)*($F$5:$F$1727=K553)))</f>
        <v>Global</v>
      </c>
      <c r="M553" t="b">
        <f t="shared" si="16"/>
        <v>0</v>
      </c>
      <c r="N553">
        <f t="shared" si="17"/>
        <v>0</v>
      </c>
    </row>
    <row r="554" spans="3:14" x14ac:dyDescent="0.25">
      <c r="C554" t="s">
        <v>1548</v>
      </c>
      <c r="D554" t="s">
        <v>540</v>
      </c>
      <c r="E554" t="s">
        <v>400</v>
      </c>
      <c r="F554">
        <v>0</v>
      </c>
      <c r="I554" t="str">
        <v>GG00BQZCBZ44</v>
      </c>
      <c r="J554" t="str">
        <v>Ecoconstruction</v>
      </c>
      <c r="K554">
        <v>0.24</v>
      </c>
      <c r="L554" t="str" cm="1">
        <f t="array" ref="L554">_xlfn.TEXTJOIN(",",TRUE,_xlfn._xlws.FILTER($C$5:$C$1727,($D$5:$D$1727=I554)*($E$5:$E$1727=J554)*($F$5:$F$1727=K554)))</f>
        <v>EZ</v>
      </c>
      <c r="M554" t="b">
        <f t="shared" si="16"/>
        <v>0</v>
      </c>
      <c r="N554">
        <f t="shared" si="17"/>
        <v>0</v>
      </c>
    </row>
    <row r="555" spans="3:14" x14ac:dyDescent="0.25">
      <c r="C555" t="s">
        <v>1548</v>
      </c>
      <c r="D555" t="s">
        <v>541</v>
      </c>
      <c r="E555" t="s">
        <v>400</v>
      </c>
      <c r="F555">
        <v>0</v>
      </c>
      <c r="I555" t="str">
        <v>HK0000069689</v>
      </c>
      <c r="J555" t="str">
        <v>Excluded</v>
      </c>
      <c r="K555">
        <v>0</v>
      </c>
      <c r="L555" t="str" cm="1">
        <f t="array" ref="L555">_xlfn.TEXTJOIN(",",TRUE,_xlfn._xlws.FILTER($C$5:$C$1727,($D$5:$D$1727=I555)*($E$5:$E$1727=J555)*($F$5:$F$1727=K555)))</f>
        <v>Global</v>
      </c>
      <c r="M555" t="b">
        <f t="shared" si="16"/>
        <v>0</v>
      </c>
      <c r="N555">
        <f t="shared" si="17"/>
        <v>0</v>
      </c>
    </row>
    <row r="556" spans="3:14" x14ac:dyDescent="0.25">
      <c r="C556" t="s">
        <v>1548</v>
      </c>
      <c r="D556" t="s">
        <v>542</v>
      </c>
      <c r="E556" t="s">
        <v>400</v>
      </c>
      <c r="F556">
        <v>0</v>
      </c>
      <c r="I556" t="str">
        <v>HK0001200002</v>
      </c>
      <c r="J556" t="str">
        <v>Excluded</v>
      </c>
      <c r="K556">
        <v>0</v>
      </c>
      <c r="L556" t="str" cm="1">
        <f t="array" ref="L556">_xlfn.TEXTJOIN(",",TRUE,_xlfn._xlws.FILTER($C$5:$C$1727,($D$5:$D$1727=I556)*($E$5:$E$1727=J556)*($F$5:$F$1727=K556)))</f>
        <v>Global</v>
      </c>
      <c r="M556" t="b">
        <f t="shared" si="16"/>
        <v>0</v>
      </c>
      <c r="N556">
        <f t="shared" si="17"/>
        <v>0</v>
      </c>
    </row>
    <row r="557" spans="3:14" x14ac:dyDescent="0.25">
      <c r="C557" t="s">
        <v>1548</v>
      </c>
      <c r="D557" t="s">
        <v>543</v>
      </c>
      <c r="E557" t="s">
        <v>401</v>
      </c>
      <c r="F557">
        <v>0</v>
      </c>
      <c r="I557" t="str">
        <v>HK0002007356</v>
      </c>
      <c r="J557" t="str">
        <v>Excluded</v>
      </c>
      <c r="K557">
        <v>0</v>
      </c>
      <c r="L557" t="str" cm="1">
        <f t="array" ref="L557">_xlfn.TEXTJOIN(",",TRUE,_xlfn._xlws.FILTER($C$5:$C$1727,($D$5:$D$1727=I557)*($E$5:$E$1727=J557)*($F$5:$F$1727=K557)))</f>
        <v>Global</v>
      </c>
      <c r="M557" t="b">
        <f t="shared" si="16"/>
        <v>0</v>
      </c>
      <c r="N557">
        <f t="shared" si="17"/>
        <v>0</v>
      </c>
    </row>
    <row r="558" spans="3:14" x14ac:dyDescent="0.25">
      <c r="C558" t="s">
        <v>1548</v>
      </c>
      <c r="D558" t="s">
        <v>544</v>
      </c>
      <c r="E558" t="s">
        <v>401</v>
      </c>
      <c r="F558">
        <v>0</v>
      </c>
      <c r="I558" t="str">
        <v>HK0006000050</v>
      </c>
      <c r="J558" t="str">
        <v>Excluded</v>
      </c>
      <c r="K558">
        <v>0</v>
      </c>
      <c r="L558" t="str" cm="1">
        <f t="array" ref="L558">_xlfn.TEXTJOIN(",",TRUE,_xlfn._xlws.FILTER($C$5:$C$1727,($D$5:$D$1727=I558)*($E$5:$E$1727=J558)*($F$5:$F$1727=K558)))</f>
        <v>Global</v>
      </c>
      <c r="M558" t="b">
        <f t="shared" si="16"/>
        <v>0</v>
      </c>
      <c r="N558">
        <f t="shared" si="17"/>
        <v>0</v>
      </c>
    </row>
    <row r="559" spans="3:14" x14ac:dyDescent="0.25">
      <c r="C559" t="s">
        <v>1548</v>
      </c>
      <c r="D559" t="s">
        <v>545</v>
      </c>
      <c r="E559" t="s">
        <v>401</v>
      </c>
      <c r="F559">
        <v>0</v>
      </c>
      <c r="I559" t="str">
        <v>HK0011000095</v>
      </c>
      <c r="J559" t="str">
        <v>Excluded</v>
      </c>
      <c r="K559">
        <v>0</v>
      </c>
      <c r="L559" t="str" cm="1">
        <f t="array" ref="L559">_xlfn.TEXTJOIN(",",TRUE,_xlfn._xlws.FILTER($C$5:$C$1727,($D$5:$D$1727=I559)*($E$5:$E$1727=J559)*($F$5:$F$1727=K559)))</f>
        <v>Global</v>
      </c>
      <c r="M559" t="b">
        <f t="shared" si="16"/>
        <v>0</v>
      </c>
      <c r="N559">
        <f t="shared" si="17"/>
        <v>0</v>
      </c>
    </row>
    <row r="560" spans="3:14" x14ac:dyDescent="0.25">
      <c r="C560" t="s">
        <v>1548</v>
      </c>
      <c r="D560" t="s">
        <v>546</v>
      </c>
      <c r="E560" t="s">
        <v>400</v>
      </c>
      <c r="F560">
        <v>0</v>
      </c>
      <c r="I560" t="str">
        <v>HK0016000132</v>
      </c>
      <c r="J560" t="str">
        <v>Excluded</v>
      </c>
      <c r="K560">
        <v>0</v>
      </c>
      <c r="L560" t="str" cm="1">
        <f t="array" ref="L560">_xlfn.TEXTJOIN(",",TRUE,_xlfn._xlws.FILTER($C$5:$C$1727,($D$5:$D$1727=I560)*($E$5:$E$1727=J560)*($F$5:$F$1727=K560)))</f>
        <v>Global</v>
      </c>
      <c r="M560" t="b">
        <f t="shared" si="16"/>
        <v>0</v>
      </c>
      <c r="N560">
        <f t="shared" si="17"/>
        <v>0</v>
      </c>
    </row>
    <row r="561" spans="3:14" x14ac:dyDescent="0.25">
      <c r="C561" t="s">
        <v>1548</v>
      </c>
      <c r="D561" t="s">
        <v>547</v>
      </c>
      <c r="E561" t="s">
        <v>404</v>
      </c>
      <c r="F561">
        <v>1</v>
      </c>
      <c r="I561" t="str">
        <v>HK0027032686</v>
      </c>
      <c r="J561" t="str">
        <v>Excluded</v>
      </c>
      <c r="K561">
        <v>0</v>
      </c>
      <c r="L561" t="str" cm="1">
        <f t="array" ref="L561">_xlfn.TEXTJOIN(",",TRUE,_xlfn._xlws.FILTER($C$5:$C$1727,($D$5:$D$1727=I561)*($E$5:$E$1727=J561)*($F$5:$F$1727=K561)))</f>
        <v>Global</v>
      </c>
      <c r="M561" t="b">
        <f t="shared" si="16"/>
        <v>0</v>
      </c>
      <c r="N561">
        <f t="shared" si="17"/>
        <v>0</v>
      </c>
    </row>
    <row r="562" spans="3:14" x14ac:dyDescent="0.25">
      <c r="C562" t="s">
        <v>1548</v>
      </c>
      <c r="D562" t="s">
        <v>548</v>
      </c>
      <c r="E562" t="s">
        <v>403</v>
      </c>
      <c r="F562">
        <v>0.46</v>
      </c>
      <c r="I562" t="str">
        <v>HK0066009694</v>
      </c>
      <c r="J562" t="str">
        <v>Clean transport</v>
      </c>
      <c r="K562">
        <v>0.83</v>
      </c>
      <c r="L562" t="str" cm="1">
        <f t="array" ref="L562">_xlfn.TEXTJOIN(",",TRUE,_xlfn._xlws.FILTER($C$5:$C$1727,($D$5:$D$1727=I562)*($E$5:$E$1727=J562)*($F$5:$F$1727=K562)))</f>
        <v>Global</v>
      </c>
      <c r="M562" t="b">
        <f t="shared" si="16"/>
        <v>0</v>
      </c>
      <c r="N562">
        <f t="shared" si="17"/>
        <v>0</v>
      </c>
    </row>
    <row r="563" spans="3:14" x14ac:dyDescent="0.25">
      <c r="C563" t="s">
        <v>1548</v>
      </c>
      <c r="D563" t="s">
        <v>549</v>
      </c>
      <c r="E563" t="s">
        <v>400</v>
      </c>
      <c r="F563">
        <v>0</v>
      </c>
      <c r="I563" t="str">
        <v>HK0388045442</v>
      </c>
      <c r="J563" t="str">
        <v>Excluded</v>
      </c>
      <c r="K563">
        <v>0</v>
      </c>
      <c r="L563" t="str" cm="1">
        <f t="array" ref="L563">_xlfn.TEXTJOIN(",",TRUE,_xlfn._xlws.FILTER($C$5:$C$1727,($D$5:$D$1727=I563)*($E$5:$E$1727=J563)*($F$5:$F$1727=K563)))</f>
        <v>Global</v>
      </c>
      <c r="M563" t="b">
        <f t="shared" si="16"/>
        <v>0</v>
      </c>
      <c r="N563">
        <f t="shared" si="17"/>
        <v>0</v>
      </c>
    </row>
    <row r="564" spans="3:14" x14ac:dyDescent="0.25">
      <c r="C564" t="s">
        <v>1548</v>
      </c>
      <c r="D564" t="s">
        <v>550</v>
      </c>
      <c r="E564" t="s">
        <v>401</v>
      </c>
      <c r="F564">
        <v>0</v>
      </c>
      <c r="I564" t="str">
        <v>HK0669013440</v>
      </c>
      <c r="J564" t="str">
        <v>Excluded</v>
      </c>
      <c r="K564">
        <v>0</v>
      </c>
      <c r="L564" t="str" cm="1">
        <f t="array" ref="L564">_xlfn.TEXTJOIN(",",TRUE,_xlfn._xlws.FILTER($C$5:$C$1727,($D$5:$D$1727=I564)*($E$5:$E$1727=J564)*($F$5:$F$1727=K564)))</f>
        <v>Global</v>
      </c>
      <c r="M564" t="b">
        <f t="shared" si="16"/>
        <v>0</v>
      </c>
      <c r="N564">
        <f t="shared" si="17"/>
        <v>0</v>
      </c>
    </row>
    <row r="565" spans="3:14" x14ac:dyDescent="0.25">
      <c r="C565" t="s">
        <v>1548</v>
      </c>
      <c r="D565" t="s">
        <v>25</v>
      </c>
      <c r="E565" t="s">
        <v>401</v>
      </c>
      <c r="F565">
        <v>0</v>
      </c>
      <c r="I565" t="str">
        <v>HK0823032773</v>
      </c>
      <c r="J565" t="str">
        <v>Excluded</v>
      </c>
      <c r="K565">
        <v>0</v>
      </c>
      <c r="L565" t="str" cm="1">
        <f t="array" ref="L565">_xlfn.TEXTJOIN(",",TRUE,_xlfn._xlws.FILTER($C$5:$C$1727,($D$5:$D$1727=I565)*($E$5:$E$1727=J565)*($F$5:$F$1727=K565)))</f>
        <v>Global</v>
      </c>
      <c r="M565" t="b">
        <f t="shared" si="16"/>
        <v>0</v>
      </c>
      <c r="N565">
        <f t="shared" si="17"/>
        <v>0</v>
      </c>
    </row>
    <row r="566" spans="3:14" x14ac:dyDescent="0.25">
      <c r="C566" t="s">
        <v>1548</v>
      </c>
      <c r="D566" t="s">
        <v>29</v>
      </c>
      <c r="E566" t="s">
        <v>400</v>
      </c>
      <c r="F566">
        <v>0</v>
      </c>
      <c r="I566" t="str">
        <v>HK0992009065</v>
      </c>
      <c r="J566" t="str">
        <v>Information technology</v>
      </c>
      <c r="K566">
        <v>1</v>
      </c>
      <c r="L566" t="str" cm="1">
        <f t="array" ref="L566">_xlfn.TEXTJOIN(",",TRUE,_xlfn._xlws.FILTER($C$5:$C$1727,($D$5:$D$1727=I566)*($E$5:$E$1727=J566)*($F$5:$F$1727=K566)))</f>
        <v>Global</v>
      </c>
      <c r="M566" t="b">
        <f t="shared" si="16"/>
        <v>0</v>
      </c>
      <c r="N566">
        <f t="shared" si="17"/>
        <v>0</v>
      </c>
    </row>
    <row r="567" spans="3:14" x14ac:dyDescent="0.25">
      <c r="C567" t="s">
        <v>1548</v>
      </c>
      <c r="D567" t="s">
        <v>551</v>
      </c>
      <c r="E567" t="s">
        <v>402</v>
      </c>
      <c r="F567">
        <v>1</v>
      </c>
      <c r="I567" t="str">
        <v>IE0000669501</v>
      </c>
      <c r="J567" t="str">
        <v>Not included in a theme</v>
      </c>
      <c r="K567">
        <v>0</v>
      </c>
      <c r="L567" t="str" cm="1">
        <f t="array" ref="L567">_xlfn.TEXTJOIN(",",TRUE,_xlfn._xlws.FILTER($C$5:$C$1727,($D$5:$D$1727=I567)*($E$5:$E$1727=J567)*($F$5:$F$1727=K567)))</f>
        <v>EZ</v>
      </c>
      <c r="M567" t="b">
        <f t="shared" si="16"/>
        <v>0</v>
      </c>
      <c r="N567">
        <f t="shared" si="17"/>
        <v>1</v>
      </c>
    </row>
    <row r="568" spans="3:14" x14ac:dyDescent="0.25">
      <c r="C568" t="s">
        <v>1548</v>
      </c>
      <c r="D568" t="s">
        <v>552</v>
      </c>
      <c r="E568" t="s">
        <v>401</v>
      </c>
      <c r="F568">
        <v>0</v>
      </c>
      <c r="I568" t="str">
        <v>IE0001827041</v>
      </c>
      <c r="J568" t="str">
        <v>Excluded</v>
      </c>
      <c r="K568">
        <v>0</v>
      </c>
      <c r="L568" t="str" cm="1">
        <f t="array" ref="L568">_xlfn.TEXTJOIN(",",TRUE,_xlfn._xlws.FILTER($C$5:$C$1727,($D$5:$D$1727=I568)*($E$5:$E$1727=J568)*($F$5:$F$1727=K568)))</f>
        <v>Global</v>
      </c>
      <c r="M568" t="b">
        <f t="shared" si="16"/>
        <v>0</v>
      </c>
      <c r="N568">
        <f t="shared" si="17"/>
        <v>0</v>
      </c>
    </row>
    <row r="569" spans="3:14" x14ac:dyDescent="0.25">
      <c r="C569" t="s">
        <v>1548</v>
      </c>
      <c r="D569" t="s">
        <v>553</v>
      </c>
      <c r="E569" t="s">
        <v>400</v>
      </c>
      <c r="F569">
        <v>0</v>
      </c>
      <c r="I569" t="str">
        <v>IE0002424939</v>
      </c>
      <c r="J569" t="str">
        <v>Excluded</v>
      </c>
      <c r="K569">
        <v>0</v>
      </c>
      <c r="L569" t="str" cm="1">
        <f t="array" ref="L569">_xlfn.TEXTJOIN(",",TRUE,_xlfn._xlws.FILTER($C$5:$C$1727,($D$5:$D$1727=I569)*($E$5:$E$1727=J569)*($F$5:$F$1727=K569)))</f>
        <v>Global</v>
      </c>
      <c r="M569" t="b">
        <f t="shared" si="16"/>
        <v>0</v>
      </c>
      <c r="N569">
        <f t="shared" si="17"/>
        <v>0</v>
      </c>
    </row>
    <row r="570" spans="3:14" x14ac:dyDescent="0.25">
      <c r="C570" t="s">
        <v>1548</v>
      </c>
      <c r="D570" t="s">
        <v>554</v>
      </c>
      <c r="E570" t="s">
        <v>400</v>
      </c>
      <c r="F570">
        <v>0</v>
      </c>
      <c r="I570" t="str">
        <v>IE00028FXN24</v>
      </c>
      <c r="J570" t="str">
        <v>Excluded</v>
      </c>
      <c r="K570">
        <v>0</v>
      </c>
      <c r="L570" t="str" cm="1">
        <f t="array" ref="L570">_xlfn.TEXTJOIN(",",TRUE,_xlfn._xlws.FILTER($C$5:$C$1727,($D$5:$D$1727=I570)*($E$5:$E$1727=J570)*($F$5:$F$1727=K570)))</f>
        <v>Global</v>
      </c>
      <c r="M570" t="b">
        <f t="shared" si="16"/>
        <v>0</v>
      </c>
      <c r="N570">
        <f t="shared" si="17"/>
        <v>0</v>
      </c>
    </row>
    <row r="571" spans="3:14" x14ac:dyDescent="0.25">
      <c r="C571" t="s">
        <v>1548</v>
      </c>
      <c r="D571" t="s">
        <v>555</v>
      </c>
      <c r="E571" t="s">
        <v>400</v>
      </c>
      <c r="F571">
        <v>0</v>
      </c>
      <c r="I571" t="str">
        <v>IE0004906560</v>
      </c>
      <c r="J571" t="str">
        <v>Agriculture and forestry</v>
      </c>
      <c r="K571">
        <v>0.8</v>
      </c>
      <c r="L571" t="str" cm="1">
        <f t="array" ref="L571">_xlfn.TEXTJOIN(",",TRUE,_xlfn._xlws.FILTER($C$5:$C$1727,($D$5:$D$1727=I571)*($E$5:$E$1727=J571)*($F$5:$F$1727=K571)))</f>
        <v>EZ,Global</v>
      </c>
      <c r="M571" t="b">
        <f t="shared" si="16"/>
        <v>0</v>
      </c>
      <c r="N571">
        <f t="shared" si="17"/>
        <v>1</v>
      </c>
    </row>
    <row r="572" spans="3:14" x14ac:dyDescent="0.25">
      <c r="C572" t="s">
        <v>1548</v>
      </c>
      <c r="D572" t="s">
        <v>31</v>
      </c>
      <c r="E572" t="s">
        <v>400</v>
      </c>
      <c r="F572">
        <v>0</v>
      </c>
      <c r="I572" t="str">
        <v>IE0004927939</v>
      </c>
      <c r="J572" t="str">
        <v>Ecoconstruction</v>
      </c>
      <c r="K572">
        <v>0.85</v>
      </c>
      <c r="L572" t="str" cm="1">
        <f t="array" ref="L572">_xlfn.TEXTJOIN(",",TRUE,_xlfn._xlws.FILTER($C$5:$C$1727,($D$5:$D$1727=I572)*($E$5:$E$1727=J572)*($F$5:$F$1727=K572)))</f>
        <v>EZ,Global</v>
      </c>
      <c r="M572" t="b">
        <f t="shared" si="16"/>
        <v>0</v>
      </c>
      <c r="N572">
        <f t="shared" si="17"/>
        <v>1</v>
      </c>
    </row>
    <row r="573" spans="3:14" x14ac:dyDescent="0.25">
      <c r="C573" t="s">
        <v>1548</v>
      </c>
      <c r="D573" t="s">
        <v>556</v>
      </c>
      <c r="E573" t="s">
        <v>399</v>
      </c>
      <c r="F573">
        <v>1</v>
      </c>
      <c r="I573" t="str">
        <v>IE0005711209</v>
      </c>
      <c r="J573" t="str">
        <v>Excluded</v>
      </c>
      <c r="K573">
        <v>0</v>
      </c>
      <c r="L573" t="str" cm="1">
        <f t="array" ref="L573">_xlfn.TEXTJOIN(",",TRUE,_xlfn._xlws.FILTER($C$5:$C$1727,($D$5:$D$1727=I573)*($E$5:$E$1727=J573)*($F$5:$F$1727=K573)))</f>
        <v>Global</v>
      </c>
      <c r="M573" t="b">
        <f t="shared" si="16"/>
        <v>0</v>
      </c>
      <c r="N573">
        <f t="shared" si="17"/>
        <v>0</v>
      </c>
    </row>
    <row r="574" spans="3:14" x14ac:dyDescent="0.25">
      <c r="C574" t="s">
        <v>1548</v>
      </c>
      <c r="D574" t="s">
        <v>557</v>
      </c>
      <c r="E574" t="s">
        <v>400</v>
      </c>
      <c r="F574">
        <v>0</v>
      </c>
      <c r="I574" t="str">
        <v>IE000IVNQZ81</v>
      </c>
      <c r="J574" t="str">
        <v>Eco-efficient industries</v>
      </c>
      <c r="K574">
        <v>0.14000000000000001</v>
      </c>
      <c r="L574" t="str" cm="1">
        <f t="array" ref="L574">_xlfn.TEXTJOIN(",",TRUE,_xlfn._xlws.FILTER($C$5:$C$1727,($D$5:$D$1727=I574)*($E$5:$E$1727=J574)*($F$5:$F$1727=K574)))</f>
        <v>Global</v>
      </c>
      <c r="M574" t="b">
        <f t="shared" si="16"/>
        <v>0</v>
      </c>
      <c r="N574">
        <f t="shared" si="17"/>
        <v>0</v>
      </c>
    </row>
    <row r="575" spans="3:14" x14ac:dyDescent="0.25">
      <c r="C575" t="s">
        <v>1548</v>
      </c>
      <c r="D575" t="s">
        <v>558</v>
      </c>
      <c r="E575" t="s">
        <v>400</v>
      </c>
      <c r="F575">
        <v>0</v>
      </c>
      <c r="I575" t="str">
        <v>IE000S9YS762</v>
      </c>
      <c r="J575" t="str">
        <v>Excluded</v>
      </c>
      <c r="K575">
        <v>0</v>
      </c>
      <c r="L575" t="str" cm="1">
        <f t="array" ref="L575">_xlfn.TEXTJOIN(",",TRUE,_xlfn._xlws.FILTER($C$5:$C$1727,($D$5:$D$1727=I575)*($E$5:$E$1727=J575)*($F$5:$F$1727=K575)))</f>
        <v>Global</v>
      </c>
      <c r="M575" t="b">
        <f t="shared" si="16"/>
        <v>0</v>
      </c>
      <c r="N575">
        <f t="shared" si="17"/>
        <v>0</v>
      </c>
    </row>
    <row r="576" spans="3:14" x14ac:dyDescent="0.25">
      <c r="C576" t="s">
        <v>1548</v>
      </c>
      <c r="D576" t="s">
        <v>559</v>
      </c>
      <c r="E576" t="s">
        <v>400</v>
      </c>
      <c r="F576">
        <v>0</v>
      </c>
      <c r="I576" t="str">
        <v>IE00B4BNMY34</v>
      </c>
      <c r="J576" t="str">
        <v>Not included in a theme</v>
      </c>
      <c r="K576">
        <v>0</v>
      </c>
      <c r="L576" t="str" cm="1">
        <f t="array" ref="L576">_xlfn.TEXTJOIN(",",TRUE,_xlfn._xlws.FILTER($C$5:$C$1727,($D$5:$D$1727=I576)*($E$5:$E$1727=J576)*($F$5:$F$1727=K576)))</f>
        <v>Global</v>
      </c>
      <c r="M576" t="b">
        <f t="shared" si="16"/>
        <v>0</v>
      </c>
      <c r="N576">
        <f t="shared" si="17"/>
        <v>0</v>
      </c>
    </row>
    <row r="577" spans="3:14" x14ac:dyDescent="0.25">
      <c r="C577" t="s">
        <v>1548</v>
      </c>
      <c r="D577" t="s">
        <v>560</v>
      </c>
      <c r="E577" t="s">
        <v>401</v>
      </c>
      <c r="F577">
        <v>0</v>
      </c>
      <c r="I577" t="str">
        <v>IE00B4Q5ZN47</v>
      </c>
      <c r="J577" t="str">
        <v>Excluded</v>
      </c>
      <c r="K577">
        <v>0</v>
      </c>
      <c r="L577" t="str" cm="1">
        <f t="array" ref="L577">_xlfn.TEXTJOIN(",",TRUE,_xlfn._xlws.FILTER($C$5:$C$1727,($D$5:$D$1727=I577)*($E$5:$E$1727=J577)*($F$5:$F$1727=K577)))</f>
        <v>Global</v>
      </c>
      <c r="M577" t="b">
        <f t="shared" si="16"/>
        <v>0</v>
      </c>
      <c r="N577">
        <f t="shared" si="17"/>
        <v>0</v>
      </c>
    </row>
    <row r="578" spans="3:14" x14ac:dyDescent="0.25">
      <c r="C578" t="s">
        <v>1548</v>
      </c>
      <c r="D578" t="s">
        <v>561</v>
      </c>
      <c r="E578" t="s">
        <v>400</v>
      </c>
      <c r="F578">
        <v>0</v>
      </c>
      <c r="I578" t="str">
        <v>IE00B8KQN827</v>
      </c>
      <c r="J578" t="str">
        <v>Eco-efficient industries</v>
      </c>
      <c r="K578">
        <v>0.71</v>
      </c>
      <c r="L578" t="str" cm="1">
        <f t="array" ref="L578">_xlfn.TEXTJOIN(",",TRUE,_xlfn._xlws.FILTER($C$5:$C$1727,($D$5:$D$1727=I578)*($E$5:$E$1727=J578)*($F$5:$F$1727=K578)))</f>
        <v>Global</v>
      </c>
      <c r="M578" t="b">
        <f t="shared" si="16"/>
        <v>0</v>
      </c>
      <c r="N578">
        <f t="shared" si="17"/>
        <v>0</v>
      </c>
    </row>
    <row r="579" spans="3:14" x14ac:dyDescent="0.25">
      <c r="C579" t="s">
        <v>1548</v>
      </c>
      <c r="D579" t="s">
        <v>562</v>
      </c>
      <c r="E579" t="s">
        <v>402</v>
      </c>
      <c r="F579">
        <v>0.75</v>
      </c>
      <c r="I579" t="str">
        <v>IE00BD1RP616</v>
      </c>
      <c r="J579" t="str">
        <v>Not included in a theme</v>
      </c>
      <c r="K579">
        <v>0</v>
      </c>
      <c r="L579" t="str" cm="1">
        <f t="array" ref="L579">_xlfn.TEXTJOIN(",",TRUE,_xlfn._xlws.FILTER($C$5:$C$1727,($D$5:$D$1727=I579)*($E$5:$E$1727=J579)*($F$5:$F$1727=K579)))</f>
        <v>EZ,Global</v>
      </c>
      <c r="M579" t="b">
        <f t="shared" si="16"/>
        <v>0</v>
      </c>
      <c r="N579">
        <f t="shared" si="17"/>
        <v>1</v>
      </c>
    </row>
    <row r="580" spans="3:14" x14ac:dyDescent="0.25">
      <c r="C580" t="s">
        <v>1548</v>
      </c>
      <c r="D580" t="s">
        <v>563</v>
      </c>
      <c r="E580" t="s">
        <v>400</v>
      </c>
      <c r="F580">
        <v>0</v>
      </c>
      <c r="I580" t="str">
        <v>IE00BDB6Q211</v>
      </c>
      <c r="J580" t="str">
        <v>Not included in a theme</v>
      </c>
      <c r="K580">
        <v>0</v>
      </c>
      <c r="L580" t="str" cm="1">
        <f t="array" ref="L580">_xlfn.TEXTJOIN(",",TRUE,_xlfn._xlws.FILTER($C$5:$C$1727,($D$5:$D$1727=I580)*($E$5:$E$1727=J580)*($F$5:$F$1727=K580)))</f>
        <v>Global</v>
      </c>
      <c r="M580" t="b">
        <f t="shared" si="16"/>
        <v>0</v>
      </c>
      <c r="N580">
        <f t="shared" si="17"/>
        <v>0</v>
      </c>
    </row>
    <row r="581" spans="3:14" x14ac:dyDescent="0.25">
      <c r="C581" t="s">
        <v>1548</v>
      </c>
      <c r="D581" t="s">
        <v>564</v>
      </c>
      <c r="E581" t="s">
        <v>400</v>
      </c>
      <c r="F581">
        <v>0</v>
      </c>
      <c r="I581" t="str">
        <v>IE00BDVJJQ56</v>
      </c>
      <c r="J581" t="str">
        <v>Eco-efficient industries</v>
      </c>
      <c r="K581">
        <v>0.85</v>
      </c>
      <c r="L581" t="str" cm="1">
        <f t="array" ref="L581">_xlfn.TEXTJOIN(",",TRUE,_xlfn._xlws.FILTER($C$5:$C$1727,($D$5:$D$1727=I581)*($E$5:$E$1727=J581)*($F$5:$F$1727=K581)))</f>
        <v>Global</v>
      </c>
      <c r="M581" t="b">
        <f t="shared" si="16"/>
        <v>0</v>
      </c>
      <c r="N581">
        <f t="shared" si="17"/>
        <v>0</v>
      </c>
    </row>
    <row r="582" spans="3:14" x14ac:dyDescent="0.25">
      <c r="C582" t="s">
        <v>1548</v>
      </c>
      <c r="D582" t="s">
        <v>565</v>
      </c>
      <c r="E582" t="s">
        <v>400</v>
      </c>
      <c r="F582">
        <v>0</v>
      </c>
      <c r="I582" t="str">
        <v>IE00BF0L3536</v>
      </c>
      <c r="J582" t="str">
        <v>Not included in a theme</v>
      </c>
      <c r="K582">
        <v>0</v>
      </c>
      <c r="L582" t="str" cm="1">
        <f t="array" ref="L582">_xlfn.TEXTJOIN(",",TRUE,_xlfn._xlws.FILTER($C$5:$C$1727,($D$5:$D$1727=I582)*($E$5:$E$1727=J582)*($F$5:$F$1727=K582)))</f>
        <v>EZ,Global</v>
      </c>
      <c r="M582" t="b">
        <f t="shared" ref="M582:M645" si="18">COUNTIFS($I$5:$I$1556,I582)&gt;1</f>
        <v>0</v>
      </c>
      <c r="N582">
        <f t="shared" ref="N582:N645" si="19">COUNTIFS($U$5:$U$231,I582)</f>
        <v>1</v>
      </c>
    </row>
    <row r="583" spans="3:14" x14ac:dyDescent="0.25">
      <c r="C583" t="s">
        <v>1548</v>
      </c>
      <c r="D583" t="s">
        <v>566</v>
      </c>
      <c r="E583" t="s">
        <v>399</v>
      </c>
      <c r="F583">
        <v>1</v>
      </c>
      <c r="I583" t="str">
        <v>IE00BFRT3W74</v>
      </c>
      <c r="J583" t="str">
        <v>Ecoconstruction</v>
      </c>
      <c r="K583">
        <v>0.33</v>
      </c>
      <c r="L583" t="str" cm="1">
        <f t="array" ref="L583">_xlfn.TEXTJOIN(",",TRUE,_xlfn._xlws.FILTER($C$5:$C$1727,($D$5:$D$1727=I583)*($E$5:$E$1727=J583)*($F$5:$F$1727=K583)))</f>
        <v>Global</v>
      </c>
      <c r="M583" t="b">
        <f t="shared" si="18"/>
        <v>0</v>
      </c>
      <c r="N583">
        <f t="shared" si="19"/>
        <v>0</v>
      </c>
    </row>
    <row r="584" spans="3:14" x14ac:dyDescent="0.25">
      <c r="C584" t="s">
        <v>1548</v>
      </c>
      <c r="D584" t="s">
        <v>567</v>
      </c>
      <c r="E584" t="s">
        <v>400</v>
      </c>
      <c r="F584">
        <v>0</v>
      </c>
      <c r="I584" t="str">
        <v>IE00BFY8C754</v>
      </c>
      <c r="J584" t="str">
        <v>Not included in a theme</v>
      </c>
      <c r="K584">
        <v>0</v>
      </c>
      <c r="L584" t="str" cm="1">
        <f t="array" ref="L584">_xlfn.TEXTJOIN(",",TRUE,_xlfn._xlws.FILTER($C$5:$C$1727,($D$5:$D$1727=I584)*($E$5:$E$1727=J584)*($F$5:$F$1727=K584)))</f>
        <v>Global</v>
      </c>
      <c r="M584" t="b">
        <f t="shared" si="18"/>
        <v>0</v>
      </c>
      <c r="N584">
        <f t="shared" si="19"/>
        <v>0</v>
      </c>
    </row>
    <row r="585" spans="3:14" x14ac:dyDescent="0.25">
      <c r="C585" t="s">
        <v>1548</v>
      </c>
      <c r="D585" t="s">
        <v>568</v>
      </c>
      <c r="E585" t="s">
        <v>400</v>
      </c>
      <c r="F585">
        <v>0</v>
      </c>
      <c r="I585" t="str">
        <v>IE00BK9ZQ967</v>
      </c>
      <c r="J585" t="str">
        <v>Ecoconstruction</v>
      </c>
      <c r="K585">
        <v>0.46</v>
      </c>
      <c r="L585" t="str" cm="1">
        <f t="array" ref="L585">_xlfn.TEXTJOIN(",",TRUE,_xlfn._xlws.FILTER($C$5:$C$1727,($D$5:$D$1727=I585)*($E$5:$E$1727=J585)*($F$5:$F$1727=K585)))</f>
        <v>Global</v>
      </c>
      <c r="M585" t="b">
        <f t="shared" si="18"/>
        <v>0</v>
      </c>
      <c r="N585">
        <f t="shared" si="19"/>
        <v>0</v>
      </c>
    </row>
    <row r="586" spans="3:14" x14ac:dyDescent="0.25">
      <c r="C586" t="s">
        <v>1548</v>
      </c>
      <c r="D586" t="s">
        <v>569</v>
      </c>
      <c r="E586" t="s">
        <v>400</v>
      </c>
      <c r="F586">
        <v>0</v>
      </c>
      <c r="I586" t="str">
        <v>IE00BKVD2N49</v>
      </c>
      <c r="J586" t="str">
        <v>Not included in a theme</v>
      </c>
      <c r="K586">
        <v>0</v>
      </c>
      <c r="L586" t="str" cm="1">
        <f t="array" ref="L586">_xlfn.TEXTJOIN(",",TRUE,_xlfn._xlws.FILTER($C$5:$C$1727,($D$5:$D$1727=I586)*($E$5:$E$1727=J586)*($F$5:$F$1727=K586)))</f>
        <v>Global</v>
      </c>
      <c r="M586" t="b">
        <f t="shared" si="18"/>
        <v>0</v>
      </c>
      <c r="N586">
        <f t="shared" si="19"/>
        <v>0</v>
      </c>
    </row>
    <row r="587" spans="3:14" x14ac:dyDescent="0.25">
      <c r="C587" t="s">
        <v>1548</v>
      </c>
      <c r="D587" t="s">
        <v>33</v>
      </c>
      <c r="E587" t="s">
        <v>400</v>
      </c>
      <c r="F587">
        <v>0</v>
      </c>
      <c r="I587" t="str">
        <v>IE00BLP1HW54</v>
      </c>
      <c r="J587" t="str">
        <v>Not included in a theme</v>
      </c>
      <c r="K587">
        <v>0</v>
      </c>
      <c r="L587" t="str" cm="1">
        <f t="array" ref="L587">_xlfn.TEXTJOIN(",",TRUE,_xlfn._xlws.FILTER($C$5:$C$1727,($D$5:$D$1727=I587)*($E$5:$E$1727=J587)*($F$5:$F$1727=K587)))</f>
        <v>Global</v>
      </c>
      <c r="M587" t="b">
        <f t="shared" si="18"/>
        <v>0</v>
      </c>
      <c r="N587">
        <f t="shared" si="19"/>
        <v>0</v>
      </c>
    </row>
    <row r="588" spans="3:14" x14ac:dyDescent="0.25">
      <c r="C588" t="s">
        <v>1548</v>
      </c>
      <c r="D588" t="s">
        <v>570</v>
      </c>
      <c r="E588" t="s">
        <v>400</v>
      </c>
      <c r="F588">
        <v>0</v>
      </c>
      <c r="I588" t="str">
        <v>IE00BLS09M33</v>
      </c>
      <c r="J588" t="str">
        <v>Climate change adaptation</v>
      </c>
      <c r="K588">
        <v>0.65</v>
      </c>
      <c r="L588" t="str" cm="1">
        <f t="array" ref="L588">_xlfn.TEXTJOIN(",",TRUE,_xlfn._xlws.FILTER($C$5:$C$1727,($D$5:$D$1727=I588)*($E$5:$E$1727=J588)*($F$5:$F$1727=K588)))</f>
        <v>Global</v>
      </c>
      <c r="M588" t="b">
        <f t="shared" si="18"/>
        <v>0</v>
      </c>
      <c r="N588">
        <f t="shared" si="19"/>
        <v>0</v>
      </c>
    </row>
    <row r="589" spans="3:14" x14ac:dyDescent="0.25">
      <c r="C589" t="s">
        <v>1548</v>
      </c>
      <c r="D589" t="s">
        <v>571</v>
      </c>
      <c r="E589" t="s">
        <v>400</v>
      </c>
      <c r="F589">
        <v>0</v>
      </c>
      <c r="I589" t="str">
        <v>IE00BTN1Y115</v>
      </c>
      <c r="J589" t="str">
        <v>Not included in a theme</v>
      </c>
      <c r="K589">
        <v>0</v>
      </c>
      <c r="L589" t="str" cm="1">
        <f t="array" ref="L589">_xlfn.TEXTJOIN(",",TRUE,_xlfn._xlws.FILTER($C$5:$C$1727,($D$5:$D$1727=I589)*($E$5:$E$1727=J589)*($F$5:$F$1727=K589)))</f>
        <v>Global</v>
      </c>
      <c r="M589" t="b">
        <f t="shared" si="18"/>
        <v>0</v>
      </c>
      <c r="N589">
        <f t="shared" si="19"/>
        <v>0</v>
      </c>
    </row>
    <row r="590" spans="3:14" x14ac:dyDescent="0.25">
      <c r="C590" t="s">
        <v>1548</v>
      </c>
      <c r="D590" t="s">
        <v>34</v>
      </c>
      <c r="E590" t="s">
        <v>401</v>
      </c>
      <c r="F590">
        <v>0</v>
      </c>
      <c r="I590" t="str">
        <v>IE00BWT6H894</v>
      </c>
      <c r="J590" t="str">
        <v>Excluded</v>
      </c>
      <c r="K590">
        <v>0</v>
      </c>
      <c r="L590" t="str" cm="1">
        <f t="array" ref="L590">_xlfn.TEXTJOIN(",",TRUE,_xlfn._xlws.FILTER($C$5:$C$1727,($D$5:$D$1727=I590)*($E$5:$E$1727=J590)*($F$5:$F$1727=K590)))</f>
        <v>Global</v>
      </c>
      <c r="M590" t="b">
        <f t="shared" si="18"/>
        <v>0</v>
      </c>
      <c r="N590">
        <f t="shared" si="19"/>
        <v>0</v>
      </c>
    </row>
    <row r="591" spans="3:14" x14ac:dyDescent="0.25">
      <c r="C591" t="s">
        <v>1548</v>
      </c>
      <c r="D591" t="s">
        <v>572</v>
      </c>
      <c r="E591" t="s">
        <v>400</v>
      </c>
      <c r="F591">
        <v>0</v>
      </c>
      <c r="I591" t="str">
        <v>IE00BY7QL619</v>
      </c>
      <c r="J591" t="str">
        <v>Ecoconstruction</v>
      </c>
      <c r="K591">
        <v>0.59</v>
      </c>
      <c r="L591" t="str" cm="1">
        <f t="array" ref="L591">_xlfn.TEXTJOIN(",",TRUE,_xlfn._xlws.FILTER($C$5:$C$1727,($D$5:$D$1727=I591)*($E$5:$E$1727=J591)*($F$5:$F$1727=K591)))</f>
        <v>Global,Global</v>
      </c>
      <c r="M591" t="b">
        <f t="shared" si="18"/>
        <v>0</v>
      </c>
      <c r="N591">
        <f t="shared" si="19"/>
        <v>0</v>
      </c>
    </row>
    <row r="592" spans="3:14" x14ac:dyDescent="0.25">
      <c r="C592" t="s">
        <v>1548</v>
      </c>
      <c r="D592" t="s">
        <v>573</v>
      </c>
      <c r="E592" t="s">
        <v>403</v>
      </c>
      <c r="F592">
        <v>0.47</v>
      </c>
      <c r="I592" t="str">
        <v>IE00BYTBXV33</v>
      </c>
      <c r="J592" t="str">
        <v>Excluded</v>
      </c>
      <c r="K592">
        <v>0</v>
      </c>
      <c r="L592" t="str" cm="1">
        <f t="array" ref="L592">_xlfn.TEXTJOIN(",",TRUE,_xlfn._xlws.FILTER($C$5:$C$1727,($D$5:$D$1727=I592)*($E$5:$E$1727=J592)*($F$5:$F$1727=K592)))</f>
        <v>EZ,Global</v>
      </c>
      <c r="M592" t="b">
        <f t="shared" si="18"/>
        <v>0</v>
      </c>
      <c r="N592">
        <f t="shared" si="19"/>
        <v>1</v>
      </c>
    </row>
    <row r="593" spans="3:14" x14ac:dyDescent="0.25">
      <c r="C593" t="s">
        <v>1548</v>
      </c>
      <c r="D593" t="s">
        <v>574</v>
      </c>
      <c r="E593" t="s">
        <v>400</v>
      </c>
      <c r="F593">
        <v>0</v>
      </c>
      <c r="I593" t="str">
        <v>IL0010811243</v>
      </c>
      <c r="J593" t="str">
        <v>Excluded</v>
      </c>
      <c r="K593">
        <v>0</v>
      </c>
      <c r="L593" t="str" cm="1">
        <f t="array" ref="L593">_xlfn.TEXTJOIN(",",TRUE,_xlfn._xlws.FILTER($C$5:$C$1727,($D$5:$D$1727=I593)*($E$5:$E$1727=J593)*($F$5:$F$1727=K593)))</f>
        <v>Global</v>
      </c>
      <c r="M593" t="b">
        <f t="shared" si="18"/>
        <v>0</v>
      </c>
      <c r="N593">
        <f t="shared" si="19"/>
        <v>0</v>
      </c>
    </row>
    <row r="594" spans="3:14" x14ac:dyDescent="0.25">
      <c r="C594" t="s">
        <v>1548</v>
      </c>
      <c r="D594" t="s">
        <v>575</v>
      </c>
      <c r="E594" t="s">
        <v>401</v>
      </c>
      <c r="F594">
        <v>0</v>
      </c>
      <c r="I594" t="str">
        <v>IL0010823792</v>
      </c>
      <c r="J594" t="str">
        <v>Excluded</v>
      </c>
      <c r="K594">
        <v>0</v>
      </c>
      <c r="L594" t="str" cm="1">
        <f t="array" ref="L594">_xlfn.TEXTJOIN(",",TRUE,_xlfn._xlws.FILTER($C$5:$C$1727,($D$5:$D$1727=I594)*($E$5:$E$1727=J594)*($F$5:$F$1727=K594)))</f>
        <v>Global</v>
      </c>
      <c r="M594" t="b">
        <f t="shared" si="18"/>
        <v>0</v>
      </c>
      <c r="N594">
        <f t="shared" si="19"/>
        <v>0</v>
      </c>
    </row>
    <row r="595" spans="3:14" x14ac:dyDescent="0.25">
      <c r="C595" t="s">
        <v>1548</v>
      </c>
      <c r="D595" t="s">
        <v>576</v>
      </c>
      <c r="E595" t="s">
        <v>399</v>
      </c>
      <c r="F595">
        <v>1</v>
      </c>
      <c r="I595" t="str">
        <v>IL0010824113</v>
      </c>
      <c r="J595" t="str">
        <v>Not included in a theme</v>
      </c>
      <c r="K595">
        <v>0</v>
      </c>
      <c r="L595" t="str" cm="1">
        <f t="array" ref="L595">_xlfn.TEXTJOIN(",",TRUE,_xlfn._xlws.FILTER($C$5:$C$1727,($D$5:$D$1727=I595)*($E$5:$E$1727=J595)*($F$5:$F$1727=K595)))</f>
        <v>Global</v>
      </c>
      <c r="M595" t="b">
        <f t="shared" si="18"/>
        <v>0</v>
      </c>
      <c r="N595">
        <f t="shared" si="19"/>
        <v>0</v>
      </c>
    </row>
    <row r="596" spans="3:14" x14ac:dyDescent="0.25">
      <c r="C596" t="s">
        <v>1548</v>
      </c>
      <c r="D596" t="s">
        <v>30</v>
      </c>
      <c r="E596" t="s">
        <v>400</v>
      </c>
      <c r="F596">
        <v>0</v>
      </c>
      <c r="I596" t="str">
        <v>IL0011334468</v>
      </c>
      <c r="J596" t="str">
        <v>Not included in a theme</v>
      </c>
      <c r="K596">
        <v>0</v>
      </c>
      <c r="L596" t="str" cm="1">
        <f t="array" ref="L596">_xlfn.TEXTJOIN(",",TRUE,_xlfn._xlws.FILTER($C$5:$C$1727,($D$5:$D$1727=I596)*($E$5:$E$1727=J596)*($F$5:$F$1727=K596)))</f>
        <v>Global</v>
      </c>
      <c r="M596" t="b">
        <f t="shared" si="18"/>
        <v>0</v>
      </c>
      <c r="N596">
        <f t="shared" si="19"/>
        <v>0</v>
      </c>
    </row>
    <row r="597" spans="3:14" x14ac:dyDescent="0.25">
      <c r="C597" t="s">
        <v>1548</v>
      </c>
      <c r="D597" t="s">
        <v>577</v>
      </c>
      <c r="E597" t="s">
        <v>401</v>
      </c>
      <c r="F597">
        <v>0</v>
      </c>
      <c r="I597" t="str">
        <v>IM00B5VQMV65</v>
      </c>
      <c r="J597" t="str">
        <v>Excluded</v>
      </c>
      <c r="K597">
        <v>0</v>
      </c>
      <c r="L597" t="str" cm="1">
        <f t="array" ref="L597">_xlfn.TEXTJOIN(",",TRUE,_xlfn._xlws.FILTER($C$5:$C$1727,($D$5:$D$1727=I597)*($E$5:$E$1727=J597)*($F$5:$F$1727=K597)))</f>
        <v>Global</v>
      </c>
      <c r="M597" t="b">
        <f t="shared" si="18"/>
        <v>0</v>
      </c>
      <c r="N597">
        <f t="shared" si="19"/>
        <v>0</v>
      </c>
    </row>
    <row r="598" spans="3:14" x14ac:dyDescent="0.25">
      <c r="C598" t="s">
        <v>1548</v>
      </c>
      <c r="D598" t="s">
        <v>578</v>
      </c>
      <c r="E598" t="s">
        <v>401</v>
      </c>
      <c r="F598">
        <v>0</v>
      </c>
      <c r="I598" t="str">
        <v>IT0000062072</v>
      </c>
      <c r="J598" t="str">
        <v>Excluded</v>
      </c>
      <c r="K598">
        <v>0</v>
      </c>
      <c r="L598" t="str" cm="1">
        <f t="array" ref="L598">_xlfn.TEXTJOIN(",",TRUE,_xlfn._xlws.FILTER($C$5:$C$1727,($D$5:$D$1727=I598)*($E$5:$E$1727=J598)*($F$5:$F$1727=K598)))</f>
        <v>EZ,Global</v>
      </c>
      <c r="M598" t="b">
        <f t="shared" si="18"/>
        <v>0</v>
      </c>
      <c r="N598">
        <f t="shared" si="19"/>
        <v>1</v>
      </c>
    </row>
    <row r="599" spans="3:14" x14ac:dyDescent="0.25">
      <c r="C599" t="s">
        <v>1548</v>
      </c>
      <c r="D599" t="s">
        <v>16</v>
      </c>
      <c r="E599" t="s">
        <v>400</v>
      </c>
      <c r="F599">
        <v>0</v>
      </c>
      <c r="I599" t="str">
        <v>IT0000062957</v>
      </c>
      <c r="J599" t="str">
        <v>Not included in a theme</v>
      </c>
      <c r="K599">
        <v>0</v>
      </c>
      <c r="L599" t="str" cm="1">
        <f t="array" ref="L599">_xlfn.TEXTJOIN(",",TRUE,_xlfn._xlws.FILTER($C$5:$C$1727,($D$5:$D$1727=I599)*($E$5:$E$1727=J599)*($F$5:$F$1727=K599)))</f>
        <v>EZ</v>
      </c>
      <c r="M599" t="b">
        <f t="shared" si="18"/>
        <v>0</v>
      </c>
      <c r="N599">
        <f t="shared" si="19"/>
        <v>1</v>
      </c>
    </row>
    <row r="600" spans="3:14" x14ac:dyDescent="0.25">
      <c r="C600" t="s">
        <v>1548</v>
      </c>
      <c r="D600" t="s">
        <v>6</v>
      </c>
      <c r="E600" t="s">
        <v>400</v>
      </c>
      <c r="F600">
        <v>0</v>
      </c>
      <c r="I600" t="str">
        <v>IT0000066123</v>
      </c>
      <c r="J600" t="str">
        <v>Not included in a theme</v>
      </c>
      <c r="K600">
        <v>0</v>
      </c>
      <c r="L600" t="str" cm="1">
        <f t="array" ref="L600">_xlfn.TEXTJOIN(",",TRUE,_xlfn._xlws.FILTER($C$5:$C$1727,($D$5:$D$1727=I600)*($E$5:$E$1727=J600)*($F$5:$F$1727=K600)))</f>
        <v>EZ,Global</v>
      </c>
      <c r="M600" t="b">
        <f t="shared" si="18"/>
        <v>0</v>
      </c>
      <c r="N600">
        <f t="shared" si="19"/>
        <v>1</v>
      </c>
    </row>
    <row r="601" spans="3:14" x14ac:dyDescent="0.25">
      <c r="C601" t="s">
        <v>1548</v>
      </c>
      <c r="D601" t="s">
        <v>28</v>
      </c>
      <c r="E601" t="s">
        <v>400</v>
      </c>
      <c r="F601">
        <v>0</v>
      </c>
      <c r="I601" t="str">
        <v>IT0000072170</v>
      </c>
      <c r="J601" t="str">
        <v>Not included in a theme</v>
      </c>
      <c r="K601">
        <v>0</v>
      </c>
      <c r="L601" t="str" cm="1">
        <f t="array" ref="L601">_xlfn.TEXTJOIN(",",TRUE,_xlfn._xlws.FILTER($C$5:$C$1727,($D$5:$D$1727=I601)*($E$5:$E$1727=J601)*($F$5:$F$1727=K601)))</f>
        <v>EZ,Global</v>
      </c>
      <c r="M601" t="b">
        <f t="shared" si="18"/>
        <v>0</v>
      </c>
      <c r="N601">
        <f t="shared" si="19"/>
        <v>1</v>
      </c>
    </row>
    <row r="602" spans="3:14" x14ac:dyDescent="0.25">
      <c r="C602" t="s">
        <v>1548</v>
      </c>
      <c r="D602" t="s">
        <v>579</v>
      </c>
      <c r="E602" t="s">
        <v>400</v>
      </c>
      <c r="F602">
        <v>0</v>
      </c>
      <c r="I602" t="str">
        <v>IT0000072618</v>
      </c>
      <c r="J602" t="str">
        <v>Not included in a theme</v>
      </c>
      <c r="K602">
        <v>0</v>
      </c>
      <c r="L602" t="str" cm="1">
        <f t="array" ref="L602">_xlfn.TEXTJOIN(",",TRUE,_xlfn._xlws.FILTER($C$5:$C$1727,($D$5:$D$1727=I602)*($E$5:$E$1727=J602)*($F$5:$F$1727=K602)))</f>
        <v>EZ,Global</v>
      </c>
      <c r="M602" t="b">
        <f t="shared" si="18"/>
        <v>0</v>
      </c>
      <c r="N602">
        <f t="shared" si="19"/>
        <v>1</v>
      </c>
    </row>
    <row r="603" spans="3:14" x14ac:dyDescent="0.25">
      <c r="C603" t="s">
        <v>1548</v>
      </c>
      <c r="D603" t="s">
        <v>37</v>
      </c>
      <c r="E603" t="s">
        <v>401</v>
      </c>
      <c r="F603">
        <v>0</v>
      </c>
      <c r="I603" t="str">
        <v>IT0000784196</v>
      </c>
      <c r="J603" t="str">
        <v>Not included in a theme</v>
      </c>
      <c r="K603">
        <v>0</v>
      </c>
      <c r="L603" t="str" cm="1">
        <f t="array" ref="L603">_xlfn.TEXTJOIN(",",TRUE,_xlfn._xlws.FILTER($C$5:$C$1727,($D$5:$D$1727=I603)*($E$5:$E$1727=J603)*($F$5:$F$1727=K603)))</f>
        <v>EZ</v>
      </c>
      <c r="M603" t="b">
        <f t="shared" si="18"/>
        <v>0</v>
      </c>
      <c r="N603">
        <f t="shared" si="19"/>
        <v>0</v>
      </c>
    </row>
    <row r="604" spans="3:14" x14ac:dyDescent="0.25">
      <c r="C604" t="s">
        <v>1548</v>
      </c>
      <c r="D604" t="s">
        <v>580</v>
      </c>
      <c r="E604" t="s">
        <v>400</v>
      </c>
      <c r="F604">
        <v>0</v>
      </c>
      <c r="I604" t="str">
        <v>IT0001031084</v>
      </c>
      <c r="J604" t="str">
        <v>Not included in a theme</v>
      </c>
      <c r="K604">
        <v>0</v>
      </c>
      <c r="L604" t="str" cm="1">
        <f t="array" ref="L604">_xlfn.TEXTJOIN(",",TRUE,_xlfn._xlws.FILTER($C$5:$C$1727,($D$5:$D$1727=I604)*($E$5:$E$1727=J604)*($F$5:$F$1727=K604)))</f>
        <v>EZ</v>
      </c>
      <c r="M604" t="b">
        <f t="shared" si="18"/>
        <v>0</v>
      </c>
      <c r="N604">
        <f t="shared" si="19"/>
        <v>1</v>
      </c>
    </row>
    <row r="605" spans="3:14" x14ac:dyDescent="0.25">
      <c r="C605" t="s">
        <v>1548</v>
      </c>
      <c r="D605" t="s">
        <v>581</v>
      </c>
      <c r="E605" t="s">
        <v>401</v>
      </c>
      <c r="F605">
        <v>0</v>
      </c>
      <c r="I605" t="str">
        <v>IT0001078911</v>
      </c>
      <c r="J605" t="str">
        <v>Excluded</v>
      </c>
      <c r="K605">
        <v>0</v>
      </c>
      <c r="L605" t="str" cm="1">
        <f t="array" ref="L605">_xlfn.TEXTJOIN(",",TRUE,_xlfn._xlws.FILTER($C$5:$C$1727,($D$5:$D$1727=I605)*($E$5:$E$1727=J605)*($F$5:$F$1727=K605)))</f>
        <v>EZ</v>
      </c>
      <c r="M605" t="b">
        <f t="shared" si="18"/>
        <v>0</v>
      </c>
      <c r="N605">
        <f t="shared" si="19"/>
        <v>1</v>
      </c>
    </row>
    <row r="606" spans="3:14" x14ac:dyDescent="0.25">
      <c r="C606" t="s">
        <v>1548</v>
      </c>
      <c r="D606" t="s">
        <v>582</v>
      </c>
      <c r="E606" t="s">
        <v>401</v>
      </c>
      <c r="F606">
        <v>0</v>
      </c>
      <c r="I606" t="str">
        <v>IT0001157020</v>
      </c>
      <c r="J606" t="str">
        <v>Green energy</v>
      </c>
      <c r="K606">
        <v>1</v>
      </c>
      <c r="L606" t="str" cm="1">
        <f t="array" ref="L606">_xlfn.TEXTJOIN(",",TRUE,_xlfn._xlws.FILTER($C$5:$C$1727,($D$5:$D$1727=I606)*($E$5:$E$1727=J606)*($F$5:$F$1727=K606)))</f>
        <v>EZ</v>
      </c>
      <c r="M606" t="b">
        <f t="shared" si="18"/>
        <v>0</v>
      </c>
      <c r="N606">
        <f t="shared" si="19"/>
        <v>0</v>
      </c>
    </row>
    <row r="607" spans="3:14" x14ac:dyDescent="0.25">
      <c r="C607" t="s">
        <v>1548</v>
      </c>
      <c r="D607" t="s">
        <v>583</v>
      </c>
      <c r="E607" t="s">
        <v>400</v>
      </c>
      <c r="F607">
        <v>0</v>
      </c>
      <c r="I607" t="str">
        <v>IT0001206769</v>
      </c>
      <c r="J607" t="str">
        <v>Eco-efficient industries</v>
      </c>
      <c r="K607">
        <v>0.4</v>
      </c>
      <c r="L607" t="str" cm="1">
        <f t="array" ref="L607">_xlfn.TEXTJOIN(",",TRUE,_xlfn._xlws.FILTER($C$5:$C$1727,($D$5:$D$1727=I607)*($E$5:$E$1727=J607)*($F$5:$F$1727=K607)))</f>
        <v>EZ</v>
      </c>
      <c r="M607" t="b">
        <f t="shared" si="18"/>
        <v>0</v>
      </c>
      <c r="N607">
        <f t="shared" si="19"/>
        <v>0</v>
      </c>
    </row>
    <row r="608" spans="3:14" x14ac:dyDescent="0.25">
      <c r="C608" t="s">
        <v>1548</v>
      </c>
      <c r="D608" t="s">
        <v>584</v>
      </c>
      <c r="E608" t="s">
        <v>400</v>
      </c>
      <c r="F608">
        <v>0</v>
      </c>
      <c r="I608" t="str">
        <v>IT0001207098</v>
      </c>
      <c r="J608" t="str">
        <v>Excluded</v>
      </c>
      <c r="K608">
        <v>0</v>
      </c>
      <c r="L608" t="str" cm="1">
        <f t="array" ref="L608">_xlfn.TEXTJOIN(",",TRUE,_xlfn._xlws.FILTER($C$5:$C$1727,($D$5:$D$1727=I608)*($E$5:$E$1727=J608)*($F$5:$F$1727=K608)))</f>
        <v>EZ</v>
      </c>
      <c r="M608" t="b">
        <f t="shared" si="18"/>
        <v>0</v>
      </c>
      <c r="N608">
        <f t="shared" si="19"/>
        <v>0</v>
      </c>
    </row>
    <row r="609" spans="3:14" x14ac:dyDescent="0.25">
      <c r="C609" t="s">
        <v>1548</v>
      </c>
      <c r="D609" t="s">
        <v>585</v>
      </c>
      <c r="E609" t="s">
        <v>399</v>
      </c>
      <c r="F609">
        <v>0.96</v>
      </c>
      <c r="I609" t="str">
        <v>IT0001233417</v>
      </c>
      <c r="J609" t="str">
        <v>Excluded</v>
      </c>
      <c r="K609">
        <v>0</v>
      </c>
      <c r="L609" t="str" cm="1">
        <f t="array" ref="L609">_xlfn.TEXTJOIN(",",TRUE,_xlfn._xlws.FILTER($C$5:$C$1727,($D$5:$D$1727=I609)*($E$5:$E$1727=J609)*($F$5:$F$1727=K609)))</f>
        <v>EZ</v>
      </c>
      <c r="M609" t="b">
        <f t="shared" si="18"/>
        <v>0</v>
      </c>
      <c r="N609">
        <f t="shared" si="19"/>
        <v>0</v>
      </c>
    </row>
    <row r="610" spans="3:14" x14ac:dyDescent="0.25">
      <c r="C610" t="s">
        <v>1548</v>
      </c>
      <c r="D610" t="s">
        <v>586</v>
      </c>
      <c r="E610" t="s">
        <v>400</v>
      </c>
      <c r="F610">
        <v>0</v>
      </c>
      <c r="I610" t="str">
        <v>IT0001250932</v>
      </c>
      <c r="J610" t="str">
        <v>Excluded</v>
      </c>
      <c r="K610">
        <v>0</v>
      </c>
      <c r="L610" t="str" cm="1">
        <f t="array" ref="L610">_xlfn.TEXTJOIN(",",TRUE,_xlfn._xlws.FILTER($C$5:$C$1727,($D$5:$D$1727=I610)*($E$5:$E$1727=J610)*($F$5:$F$1727=K610)))</f>
        <v>EZ</v>
      </c>
      <c r="M610" t="b">
        <f t="shared" si="18"/>
        <v>0</v>
      </c>
      <c r="N610">
        <f t="shared" si="19"/>
        <v>0</v>
      </c>
    </row>
    <row r="611" spans="3:14" x14ac:dyDescent="0.25">
      <c r="C611" t="s">
        <v>1548</v>
      </c>
      <c r="D611" t="s">
        <v>587</v>
      </c>
      <c r="E611" t="s">
        <v>400</v>
      </c>
      <c r="F611">
        <v>0</v>
      </c>
      <c r="I611" t="str">
        <v>IT0001347308</v>
      </c>
      <c r="J611" t="str">
        <v>Excluded</v>
      </c>
      <c r="K611">
        <v>0</v>
      </c>
      <c r="L611" t="str" cm="1">
        <f t="array" ref="L611">_xlfn.TEXTJOIN(",",TRUE,_xlfn._xlws.FILTER($C$5:$C$1727,($D$5:$D$1727=I611)*($E$5:$E$1727=J611)*($F$5:$F$1727=K611)))</f>
        <v>EZ</v>
      </c>
      <c r="M611" t="b">
        <f t="shared" si="18"/>
        <v>0</v>
      </c>
      <c r="N611">
        <f t="shared" si="19"/>
        <v>1</v>
      </c>
    </row>
    <row r="612" spans="3:14" x14ac:dyDescent="0.25">
      <c r="C612" t="s">
        <v>1548</v>
      </c>
      <c r="D612" t="s">
        <v>38</v>
      </c>
      <c r="E612" t="s">
        <v>400</v>
      </c>
      <c r="F612">
        <v>0</v>
      </c>
      <c r="I612" t="str">
        <v>IT0003027817</v>
      </c>
      <c r="J612" t="str">
        <v>Excluded</v>
      </c>
      <c r="K612">
        <v>0</v>
      </c>
      <c r="L612" t="str" cm="1">
        <f t="array" ref="L612">_xlfn.TEXTJOIN(",",TRUE,_xlfn._xlws.FILTER($C$5:$C$1727,($D$5:$D$1727=I612)*($E$5:$E$1727=J612)*($F$5:$F$1727=K612)))</f>
        <v>EZ</v>
      </c>
      <c r="M612" t="b">
        <f t="shared" si="18"/>
        <v>0</v>
      </c>
      <c r="N612">
        <f t="shared" si="19"/>
        <v>0</v>
      </c>
    </row>
    <row r="613" spans="3:14" x14ac:dyDescent="0.25">
      <c r="C613" t="s">
        <v>1548</v>
      </c>
      <c r="D613" t="s">
        <v>588</v>
      </c>
      <c r="E613" t="s">
        <v>400</v>
      </c>
      <c r="F613">
        <v>0</v>
      </c>
      <c r="I613" t="str">
        <v>IT0003115950</v>
      </c>
      <c r="J613" t="str">
        <v>Excluded</v>
      </c>
      <c r="K613">
        <v>0</v>
      </c>
      <c r="L613" t="str" cm="1">
        <f t="array" ref="L613">_xlfn.TEXTJOIN(",",TRUE,_xlfn._xlws.FILTER($C$5:$C$1727,($D$5:$D$1727=I613)*($E$5:$E$1727=J613)*($F$5:$F$1727=K613)))</f>
        <v>EZ</v>
      </c>
      <c r="M613" t="b">
        <f t="shared" si="18"/>
        <v>0</v>
      </c>
      <c r="N613">
        <f t="shared" si="19"/>
        <v>0</v>
      </c>
    </row>
    <row r="614" spans="3:14" x14ac:dyDescent="0.25">
      <c r="C614" t="s">
        <v>1548</v>
      </c>
      <c r="D614" t="s">
        <v>589</v>
      </c>
      <c r="E614" t="s">
        <v>400</v>
      </c>
      <c r="F614">
        <v>0</v>
      </c>
      <c r="I614" t="str">
        <v>IT0003121677</v>
      </c>
      <c r="J614" t="str">
        <v>Not included in a theme</v>
      </c>
      <c r="K614">
        <v>0</v>
      </c>
      <c r="L614" t="str" cm="1">
        <f t="array" ref="L614">_xlfn.TEXTJOIN(",",TRUE,_xlfn._xlws.FILTER($C$5:$C$1727,($D$5:$D$1727=I614)*($E$5:$E$1727=J614)*($F$5:$F$1727=K614)))</f>
        <v>EZ</v>
      </c>
      <c r="M614" t="b">
        <f t="shared" si="18"/>
        <v>0</v>
      </c>
      <c r="N614">
        <f t="shared" si="19"/>
        <v>0</v>
      </c>
    </row>
    <row r="615" spans="3:14" x14ac:dyDescent="0.25">
      <c r="C615" t="s">
        <v>1548</v>
      </c>
      <c r="D615" t="s">
        <v>590</v>
      </c>
      <c r="E615" t="s">
        <v>400</v>
      </c>
      <c r="F615">
        <v>0</v>
      </c>
      <c r="I615" t="str">
        <v>IT0003128367</v>
      </c>
      <c r="J615" t="str">
        <v>Excluded</v>
      </c>
      <c r="K615">
        <v>0</v>
      </c>
      <c r="L615" t="str" cm="1">
        <f t="array" ref="L615">_xlfn.TEXTJOIN(",",TRUE,_xlfn._xlws.FILTER($C$5:$C$1727,($D$5:$D$1727=I615)*($E$5:$E$1727=J615)*($F$5:$F$1727=K615)))</f>
        <v>EZ,Global</v>
      </c>
      <c r="M615" t="b">
        <f t="shared" si="18"/>
        <v>0</v>
      </c>
      <c r="N615">
        <f t="shared" si="19"/>
        <v>0</v>
      </c>
    </row>
    <row r="616" spans="3:14" x14ac:dyDescent="0.25">
      <c r="C616" t="s">
        <v>1548</v>
      </c>
      <c r="D616" t="s">
        <v>591</v>
      </c>
      <c r="E616" t="s">
        <v>400</v>
      </c>
      <c r="F616">
        <v>0</v>
      </c>
      <c r="I616" t="str">
        <v>IT0003132476</v>
      </c>
      <c r="J616" t="str">
        <v>Excluded</v>
      </c>
      <c r="K616">
        <v>0</v>
      </c>
      <c r="L616" t="str" cm="1">
        <f t="array" ref="L616">_xlfn.TEXTJOIN(",",TRUE,_xlfn._xlws.FILTER($C$5:$C$1727,($D$5:$D$1727=I616)*($E$5:$E$1727=J616)*($F$5:$F$1727=K616)))</f>
        <v>EZ,Global</v>
      </c>
      <c r="M616" t="b">
        <f t="shared" si="18"/>
        <v>0</v>
      </c>
      <c r="N616">
        <f t="shared" si="19"/>
        <v>0</v>
      </c>
    </row>
    <row r="617" spans="3:14" x14ac:dyDescent="0.25">
      <c r="C617" t="s">
        <v>1548</v>
      </c>
      <c r="D617" t="s">
        <v>592</v>
      </c>
      <c r="E617" t="s">
        <v>400</v>
      </c>
      <c r="F617">
        <v>0</v>
      </c>
      <c r="I617" t="str">
        <v>IT0003153415</v>
      </c>
      <c r="J617" t="str">
        <v>Excluded</v>
      </c>
      <c r="K617">
        <v>0</v>
      </c>
      <c r="L617" t="str" cm="1">
        <f t="array" ref="L617">_xlfn.TEXTJOIN(",",TRUE,_xlfn._xlws.FILTER($C$5:$C$1727,($D$5:$D$1727=I617)*($E$5:$E$1727=J617)*($F$5:$F$1727=K617)))</f>
        <v>EZ,Global</v>
      </c>
      <c r="M617" t="b">
        <f t="shared" si="18"/>
        <v>0</v>
      </c>
      <c r="N617">
        <f t="shared" si="19"/>
        <v>0</v>
      </c>
    </row>
    <row r="618" spans="3:14" x14ac:dyDescent="0.25">
      <c r="C618" t="s">
        <v>1548</v>
      </c>
      <c r="D618" t="s">
        <v>593</v>
      </c>
      <c r="E618" t="s">
        <v>400</v>
      </c>
      <c r="F618">
        <v>0</v>
      </c>
      <c r="I618" t="str">
        <v>IT0003242622</v>
      </c>
      <c r="J618" t="str">
        <v>Green energy</v>
      </c>
      <c r="K618">
        <v>1</v>
      </c>
      <c r="L618" t="str" cm="1">
        <f t="array" ref="L618">_xlfn.TEXTJOIN(",",TRUE,_xlfn._xlws.FILTER($C$5:$C$1727,($D$5:$D$1727=I618)*($E$5:$E$1727=J618)*($F$5:$F$1727=K618)))</f>
        <v>EZ,Global</v>
      </c>
      <c r="M618" t="b">
        <f t="shared" si="18"/>
        <v>0</v>
      </c>
      <c r="N618">
        <f t="shared" si="19"/>
        <v>1</v>
      </c>
    </row>
    <row r="619" spans="3:14" x14ac:dyDescent="0.25">
      <c r="C619" t="s">
        <v>1548</v>
      </c>
      <c r="D619" t="s">
        <v>594</v>
      </c>
      <c r="E619" t="s">
        <v>400</v>
      </c>
      <c r="F619">
        <v>0</v>
      </c>
      <c r="I619" t="str">
        <v>IT0003261697</v>
      </c>
      <c r="J619" t="str">
        <v>Excluded</v>
      </c>
      <c r="K619">
        <v>0</v>
      </c>
      <c r="L619" t="str" cm="1">
        <f t="array" ref="L619">_xlfn.TEXTJOIN(",",TRUE,_xlfn._xlws.FILTER($C$5:$C$1727,($D$5:$D$1727=I619)*($E$5:$E$1727=J619)*($F$5:$F$1727=K619)))</f>
        <v>EZ</v>
      </c>
      <c r="M619" t="b">
        <f t="shared" si="18"/>
        <v>0</v>
      </c>
      <c r="N619">
        <f t="shared" si="19"/>
        <v>1</v>
      </c>
    </row>
    <row r="620" spans="3:14" x14ac:dyDescent="0.25">
      <c r="C620" t="s">
        <v>1548</v>
      </c>
      <c r="D620" t="s">
        <v>595</v>
      </c>
      <c r="E620" t="s">
        <v>400</v>
      </c>
      <c r="F620">
        <v>0</v>
      </c>
      <c r="I620" t="str">
        <v>IT0003492391</v>
      </c>
      <c r="J620" t="str">
        <v>Not included in a theme</v>
      </c>
      <c r="K620">
        <v>0</v>
      </c>
      <c r="L620" t="str" cm="1">
        <f t="array" ref="L620">_xlfn.TEXTJOIN(",",TRUE,_xlfn._xlws.FILTER($C$5:$C$1727,($D$5:$D$1727=I620)*($E$5:$E$1727=J620)*($F$5:$F$1727=K620)))</f>
        <v>EZ</v>
      </c>
      <c r="M620" t="b">
        <f t="shared" si="18"/>
        <v>0</v>
      </c>
      <c r="N620">
        <f t="shared" si="19"/>
        <v>0</v>
      </c>
    </row>
    <row r="621" spans="3:14" x14ac:dyDescent="0.25">
      <c r="C621" t="s">
        <v>1548</v>
      </c>
      <c r="D621" t="s">
        <v>32</v>
      </c>
      <c r="E621" t="s">
        <v>403</v>
      </c>
      <c r="F621">
        <v>0.22</v>
      </c>
      <c r="I621" t="str">
        <v>IT0003497168</v>
      </c>
      <c r="J621" t="str">
        <v>Not included in a theme</v>
      </c>
      <c r="K621">
        <v>0</v>
      </c>
      <c r="L621" t="str" cm="1">
        <f t="array" ref="L621">_xlfn.TEXTJOIN(",",TRUE,_xlfn._xlws.FILTER($C$5:$C$1727,($D$5:$D$1727=I621)*($E$5:$E$1727=J621)*($F$5:$F$1727=K621)))</f>
        <v>EZ,Global</v>
      </c>
      <c r="M621" t="b">
        <f t="shared" si="18"/>
        <v>0</v>
      </c>
      <c r="N621">
        <f t="shared" si="19"/>
        <v>1</v>
      </c>
    </row>
    <row r="622" spans="3:14" x14ac:dyDescent="0.25">
      <c r="C622" t="s">
        <v>1548</v>
      </c>
      <c r="D622" t="s">
        <v>596</v>
      </c>
      <c r="E622" t="s">
        <v>399</v>
      </c>
      <c r="F622">
        <v>1</v>
      </c>
      <c r="I622" t="str">
        <v>IT0003796171</v>
      </c>
      <c r="J622" t="str">
        <v>Not included in a theme</v>
      </c>
      <c r="K622">
        <v>0</v>
      </c>
      <c r="L622" t="str" cm="1">
        <f t="array" ref="L622">_xlfn.TEXTJOIN(",",TRUE,_xlfn._xlws.FILTER($C$5:$C$1727,($D$5:$D$1727=I622)*($E$5:$E$1727=J622)*($F$5:$F$1727=K622)))</f>
        <v>EZ,Global</v>
      </c>
      <c r="M622" t="b">
        <f t="shared" si="18"/>
        <v>0</v>
      </c>
      <c r="N622">
        <f t="shared" si="19"/>
        <v>1</v>
      </c>
    </row>
    <row r="623" spans="3:14" x14ac:dyDescent="0.25">
      <c r="C623" t="s">
        <v>1548</v>
      </c>
      <c r="D623" t="s">
        <v>597</v>
      </c>
      <c r="E623" t="s">
        <v>400</v>
      </c>
      <c r="F623">
        <v>0</v>
      </c>
      <c r="I623" t="str">
        <v>IT0003828271</v>
      </c>
      <c r="J623" t="str">
        <v>Not included in a theme</v>
      </c>
      <c r="K623">
        <v>0</v>
      </c>
      <c r="L623" t="str" cm="1">
        <f t="array" ref="L623">_xlfn.TEXTJOIN(",",TRUE,_xlfn._xlws.FILTER($C$5:$C$1727,($D$5:$D$1727=I623)*($E$5:$E$1727=J623)*($F$5:$F$1727=K623)))</f>
        <v>EZ,Global</v>
      </c>
      <c r="M623" t="b">
        <f t="shared" si="18"/>
        <v>0</v>
      </c>
      <c r="N623">
        <f t="shared" si="19"/>
        <v>1</v>
      </c>
    </row>
    <row r="624" spans="3:14" x14ac:dyDescent="0.25">
      <c r="C624" t="s">
        <v>1548</v>
      </c>
      <c r="D624" t="s">
        <v>598</v>
      </c>
      <c r="E624" t="s">
        <v>400</v>
      </c>
      <c r="F624">
        <v>0</v>
      </c>
      <c r="I624" t="str">
        <v>IT0003856405</v>
      </c>
      <c r="J624" t="str">
        <v>Excluded</v>
      </c>
      <c r="K624">
        <v>0</v>
      </c>
      <c r="L624" t="str" cm="1">
        <f t="array" ref="L624">_xlfn.TEXTJOIN(",",TRUE,_xlfn._xlws.FILTER($C$5:$C$1727,($D$5:$D$1727=I624)*($E$5:$E$1727=J624)*($F$5:$F$1727=K624)))</f>
        <v>EZ,Global</v>
      </c>
      <c r="M624" t="b">
        <f t="shared" si="18"/>
        <v>0</v>
      </c>
      <c r="N624">
        <f t="shared" si="19"/>
        <v>0</v>
      </c>
    </row>
    <row r="625" spans="3:14" x14ac:dyDescent="0.25">
      <c r="C625" t="s">
        <v>1548</v>
      </c>
      <c r="D625" t="s">
        <v>599</v>
      </c>
      <c r="E625" t="s">
        <v>401</v>
      </c>
      <c r="F625">
        <v>0</v>
      </c>
      <c r="I625" t="str">
        <v>IT0003865570</v>
      </c>
      <c r="J625" t="str">
        <v>Clean transport</v>
      </c>
      <c r="K625">
        <v>0.92</v>
      </c>
      <c r="L625" t="str" cm="1">
        <f t="array" ref="L625">_xlfn.TEXTJOIN(",",TRUE,_xlfn._xlws.FILTER($C$5:$C$1727,($D$5:$D$1727=I625)*($E$5:$E$1727=J625)*($F$5:$F$1727=K625)))</f>
        <v>EZ</v>
      </c>
      <c r="M625" t="b">
        <f t="shared" si="18"/>
        <v>0</v>
      </c>
      <c r="N625">
        <f t="shared" si="19"/>
        <v>0</v>
      </c>
    </row>
    <row r="626" spans="3:14" x14ac:dyDescent="0.25">
      <c r="C626" t="s">
        <v>1548</v>
      </c>
      <c r="D626" t="s">
        <v>600</v>
      </c>
      <c r="E626" t="s">
        <v>400</v>
      </c>
      <c r="F626">
        <v>0</v>
      </c>
      <c r="I626" t="str">
        <v>IT0004056880</v>
      </c>
      <c r="J626" t="str">
        <v>Excluded</v>
      </c>
      <c r="K626">
        <v>0</v>
      </c>
      <c r="L626" t="str" cm="1">
        <f t="array" ref="L626">_xlfn.TEXTJOIN(",",TRUE,_xlfn._xlws.FILTER($C$5:$C$1727,($D$5:$D$1727=I626)*($E$5:$E$1727=J626)*($F$5:$F$1727=K626)))</f>
        <v>EZ</v>
      </c>
      <c r="M626" t="b">
        <f t="shared" si="18"/>
        <v>0</v>
      </c>
      <c r="N626">
        <f t="shared" si="19"/>
        <v>0</v>
      </c>
    </row>
    <row r="627" spans="3:14" x14ac:dyDescent="0.25">
      <c r="C627" t="s">
        <v>1548</v>
      </c>
      <c r="D627" t="s">
        <v>601</v>
      </c>
      <c r="E627" t="s">
        <v>400</v>
      </c>
      <c r="F627">
        <v>0</v>
      </c>
      <c r="I627" t="str">
        <v>IT0004176001</v>
      </c>
      <c r="J627" t="str">
        <v>Excluded</v>
      </c>
      <c r="K627">
        <v>0</v>
      </c>
      <c r="L627" t="str" cm="1">
        <f t="array" ref="L627">_xlfn.TEXTJOIN(",",TRUE,_xlfn._xlws.FILTER($C$5:$C$1727,($D$5:$D$1727=I627)*($E$5:$E$1727=J627)*($F$5:$F$1727=K627)))</f>
        <v>EZ,Global</v>
      </c>
      <c r="M627" t="b">
        <f t="shared" si="18"/>
        <v>0</v>
      </c>
      <c r="N627">
        <f t="shared" si="19"/>
        <v>0</v>
      </c>
    </row>
    <row r="628" spans="3:14" x14ac:dyDescent="0.25">
      <c r="C628" t="s">
        <v>1548</v>
      </c>
      <c r="D628" t="s">
        <v>602</v>
      </c>
      <c r="E628" t="s">
        <v>400</v>
      </c>
      <c r="F628">
        <v>0</v>
      </c>
      <c r="I628" t="str">
        <v>IT0004764699</v>
      </c>
      <c r="J628" t="str">
        <v>Excluded</v>
      </c>
      <c r="K628">
        <v>0</v>
      </c>
      <c r="L628" t="str" cm="1">
        <f t="array" ref="L628">_xlfn.TEXTJOIN(",",TRUE,_xlfn._xlws.FILTER($C$5:$C$1727,($D$5:$D$1727=I628)*($E$5:$E$1727=J628)*($F$5:$F$1727=K628)))</f>
        <v>EZ</v>
      </c>
      <c r="M628" t="b">
        <f t="shared" si="18"/>
        <v>0</v>
      </c>
      <c r="N628">
        <f t="shared" si="19"/>
        <v>1</v>
      </c>
    </row>
    <row r="629" spans="3:14" x14ac:dyDescent="0.25">
      <c r="C629" t="s">
        <v>1548</v>
      </c>
      <c r="D629" t="s">
        <v>603</v>
      </c>
      <c r="E629" t="s">
        <v>400</v>
      </c>
      <c r="F629">
        <v>0</v>
      </c>
      <c r="I629" t="str">
        <v>IT0004776628</v>
      </c>
      <c r="J629" t="str">
        <v>Not included in a theme</v>
      </c>
      <c r="K629">
        <v>0</v>
      </c>
      <c r="L629" t="str" cm="1">
        <f t="array" ref="L629">_xlfn.TEXTJOIN(",",TRUE,_xlfn._xlws.FILTER($C$5:$C$1727,($D$5:$D$1727=I629)*($E$5:$E$1727=J629)*($F$5:$F$1727=K629)))</f>
        <v>EZ</v>
      </c>
      <c r="M629" t="b">
        <f t="shared" si="18"/>
        <v>0</v>
      </c>
      <c r="N629">
        <f t="shared" si="19"/>
        <v>1</v>
      </c>
    </row>
    <row r="630" spans="3:14" x14ac:dyDescent="0.25">
      <c r="C630" t="s">
        <v>1548</v>
      </c>
      <c r="D630" t="s">
        <v>604</v>
      </c>
      <c r="E630" t="s">
        <v>400</v>
      </c>
      <c r="F630">
        <v>0</v>
      </c>
      <c r="I630" t="str">
        <v>IT0004810054</v>
      </c>
      <c r="J630" t="str">
        <v>Not included in a theme</v>
      </c>
      <c r="K630">
        <v>0</v>
      </c>
      <c r="L630" t="str" cm="1">
        <f t="array" ref="L630">_xlfn.TEXTJOIN(",",TRUE,_xlfn._xlws.FILTER($C$5:$C$1727,($D$5:$D$1727=I630)*($E$5:$E$1727=J630)*($F$5:$F$1727=K630)))</f>
        <v>EZ,Global</v>
      </c>
      <c r="M630" t="b">
        <f t="shared" si="18"/>
        <v>0</v>
      </c>
      <c r="N630">
        <f t="shared" si="19"/>
        <v>1</v>
      </c>
    </row>
    <row r="631" spans="3:14" x14ac:dyDescent="0.25">
      <c r="C631" t="s">
        <v>1548</v>
      </c>
      <c r="D631" t="s">
        <v>605</v>
      </c>
      <c r="E631" t="s">
        <v>403</v>
      </c>
      <c r="F631">
        <v>0.59</v>
      </c>
      <c r="I631" t="str">
        <v>IT0004931058</v>
      </c>
      <c r="J631" t="str">
        <v>Excluded</v>
      </c>
      <c r="K631">
        <v>0</v>
      </c>
      <c r="L631" t="str" cm="1">
        <f t="array" ref="L631">_xlfn.TEXTJOIN(",",TRUE,_xlfn._xlws.FILTER($C$5:$C$1727,($D$5:$D$1727=I631)*($E$5:$E$1727=J631)*($F$5:$F$1727=K631)))</f>
        <v>EZ</v>
      </c>
      <c r="M631" t="b">
        <f t="shared" si="18"/>
        <v>0</v>
      </c>
      <c r="N631">
        <f t="shared" si="19"/>
        <v>0</v>
      </c>
    </row>
    <row r="632" spans="3:14" x14ac:dyDescent="0.25">
      <c r="C632" t="s">
        <v>1548</v>
      </c>
      <c r="D632" t="s">
        <v>606</v>
      </c>
      <c r="E632" t="s">
        <v>400</v>
      </c>
      <c r="F632">
        <v>0</v>
      </c>
      <c r="I632" t="str">
        <v>IT0004965148</v>
      </c>
      <c r="J632" t="str">
        <v>Excluded</v>
      </c>
      <c r="K632">
        <v>0</v>
      </c>
      <c r="L632" t="str" cm="1">
        <f t="array" ref="L632">_xlfn.TEXTJOIN(",",TRUE,_xlfn._xlws.FILTER($C$5:$C$1727,($D$5:$D$1727=I632)*($E$5:$E$1727=J632)*($F$5:$F$1727=K632)))</f>
        <v>EZ,Global</v>
      </c>
      <c r="M632" t="b">
        <f t="shared" si="18"/>
        <v>0</v>
      </c>
      <c r="N632">
        <f t="shared" si="19"/>
        <v>1</v>
      </c>
    </row>
    <row r="633" spans="3:14" x14ac:dyDescent="0.25">
      <c r="C633" t="s">
        <v>1548</v>
      </c>
      <c r="D633" t="s">
        <v>605</v>
      </c>
      <c r="E633" t="s">
        <v>403</v>
      </c>
      <c r="F633">
        <v>0.59</v>
      </c>
      <c r="I633" t="str">
        <v>IT0005090300</v>
      </c>
      <c r="J633" t="str">
        <v>Not included in a theme</v>
      </c>
      <c r="K633">
        <v>0</v>
      </c>
      <c r="L633" t="str" cm="1">
        <f t="array" ref="L633">_xlfn.TEXTJOIN(",",TRUE,_xlfn._xlws.FILTER($C$5:$C$1727,($D$5:$D$1727=I633)*($E$5:$E$1727=J633)*($F$5:$F$1727=K633)))</f>
        <v>EZ</v>
      </c>
      <c r="M633" t="b">
        <f t="shared" si="18"/>
        <v>0</v>
      </c>
      <c r="N633">
        <f t="shared" si="19"/>
        <v>1</v>
      </c>
    </row>
    <row r="634" spans="3:14" x14ac:dyDescent="0.25">
      <c r="C634" t="s">
        <v>1548</v>
      </c>
      <c r="D634" t="s">
        <v>607</v>
      </c>
      <c r="E634" t="s">
        <v>401</v>
      </c>
      <c r="F634">
        <v>0</v>
      </c>
      <c r="I634" t="str">
        <v>IT0005162406</v>
      </c>
      <c r="J634" t="str">
        <v>Excluded</v>
      </c>
      <c r="K634">
        <v>0</v>
      </c>
      <c r="L634" t="str" cm="1">
        <f t="array" ref="L634">_xlfn.TEXTJOIN(",",TRUE,_xlfn._xlws.FILTER($C$5:$C$1727,($D$5:$D$1727=I634)*($E$5:$E$1727=J634)*($F$5:$F$1727=K634)))</f>
        <v>EZ</v>
      </c>
      <c r="M634" t="b">
        <f t="shared" si="18"/>
        <v>0</v>
      </c>
      <c r="N634">
        <f t="shared" si="19"/>
        <v>0</v>
      </c>
    </row>
    <row r="635" spans="3:14" x14ac:dyDescent="0.25">
      <c r="C635" t="s">
        <v>1548</v>
      </c>
      <c r="D635" t="s">
        <v>608</v>
      </c>
      <c r="E635" t="s">
        <v>400</v>
      </c>
      <c r="F635">
        <v>0</v>
      </c>
      <c r="I635" t="str">
        <v>IT0005176406</v>
      </c>
      <c r="J635" t="str">
        <v>Not included in a theme</v>
      </c>
      <c r="K635">
        <v>0</v>
      </c>
      <c r="L635" t="str" cm="1">
        <f t="array" ref="L635">_xlfn.TEXTJOIN(",",TRUE,_xlfn._xlws.FILTER($C$5:$C$1727,($D$5:$D$1727=I635)*($E$5:$E$1727=J635)*($F$5:$F$1727=K635)))</f>
        <v>EZ</v>
      </c>
      <c r="M635" t="b">
        <f t="shared" si="18"/>
        <v>0</v>
      </c>
      <c r="N635">
        <f t="shared" si="19"/>
        <v>0</v>
      </c>
    </row>
    <row r="636" spans="3:14" x14ac:dyDescent="0.25">
      <c r="C636" t="s">
        <v>1548</v>
      </c>
      <c r="D636" t="s">
        <v>609</v>
      </c>
      <c r="E636" t="s">
        <v>408</v>
      </c>
      <c r="F636">
        <v>0.7</v>
      </c>
      <c r="I636" t="str">
        <v>IT0005211237</v>
      </c>
      <c r="J636" t="str">
        <v>Excluded</v>
      </c>
      <c r="K636">
        <v>0</v>
      </c>
      <c r="L636" t="str" cm="1">
        <f t="array" ref="L636">_xlfn.TEXTJOIN(",",TRUE,_xlfn._xlws.FILTER($C$5:$C$1727,($D$5:$D$1727=I636)*($E$5:$E$1727=J636)*($F$5:$F$1727=K636)))</f>
        <v>EZ,Global</v>
      </c>
      <c r="M636" t="b">
        <f t="shared" si="18"/>
        <v>0</v>
      </c>
      <c r="N636">
        <f t="shared" si="19"/>
        <v>0</v>
      </c>
    </row>
    <row r="637" spans="3:14" x14ac:dyDescent="0.25">
      <c r="C637" t="s">
        <v>1548</v>
      </c>
      <c r="D637" t="s">
        <v>610</v>
      </c>
      <c r="E637" t="s">
        <v>400</v>
      </c>
      <c r="F637">
        <v>0</v>
      </c>
      <c r="I637" t="str">
        <v>IT0005218380</v>
      </c>
      <c r="J637" t="str">
        <v>Not included in a theme</v>
      </c>
      <c r="K637">
        <v>0</v>
      </c>
      <c r="L637" t="str" cm="1">
        <f t="array" ref="L637">_xlfn.TEXTJOIN(",",TRUE,_xlfn._xlws.FILTER($C$5:$C$1727,($D$5:$D$1727=I637)*($E$5:$E$1727=J637)*($F$5:$F$1727=K637)))</f>
        <v>EZ,Global</v>
      </c>
      <c r="M637" t="b">
        <f t="shared" si="18"/>
        <v>0</v>
      </c>
      <c r="N637">
        <f t="shared" si="19"/>
        <v>1</v>
      </c>
    </row>
    <row r="638" spans="3:14" x14ac:dyDescent="0.25">
      <c r="C638" t="s">
        <v>1548</v>
      </c>
      <c r="D638" t="s">
        <v>611</v>
      </c>
      <c r="E638" t="s">
        <v>400</v>
      </c>
      <c r="F638">
        <v>0</v>
      </c>
      <c r="I638" t="str">
        <v>IT0005239360</v>
      </c>
      <c r="J638" t="str">
        <v>Not included in a theme</v>
      </c>
      <c r="K638">
        <v>0</v>
      </c>
      <c r="L638" t="str" cm="1">
        <f t="array" ref="L638">_xlfn.TEXTJOIN(",",TRUE,_xlfn._xlws.FILTER($C$5:$C$1727,($D$5:$D$1727=I638)*($E$5:$E$1727=J638)*($F$5:$F$1727=K638)))</f>
        <v>EZ,Global</v>
      </c>
      <c r="M638" t="b">
        <f t="shared" si="18"/>
        <v>0</v>
      </c>
      <c r="N638">
        <f t="shared" si="19"/>
        <v>1</v>
      </c>
    </row>
    <row r="639" spans="3:14" x14ac:dyDescent="0.25">
      <c r="C639" t="s">
        <v>1548</v>
      </c>
      <c r="D639" t="s">
        <v>612</v>
      </c>
      <c r="E639" t="s">
        <v>400</v>
      </c>
      <c r="F639">
        <v>0</v>
      </c>
      <c r="I639" t="str">
        <v>IT0005278236</v>
      </c>
      <c r="J639" t="str">
        <v>Excluded</v>
      </c>
      <c r="K639">
        <v>0</v>
      </c>
      <c r="L639" t="str" cm="1">
        <f t="array" ref="L639">_xlfn.TEXTJOIN(",",TRUE,_xlfn._xlws.FILTER($C$5:$C$1727,($D$5:$D$1727=I639)*($E$5:$E$1727=J639)*($F$5:$F$1727=K639)))</f>
        <v>EZ</v>
      </c>
      <c r="M639" t="b">
        <f t="shared" si="18"/>
        <v>0</v>
      </c>
      <c r="N639">
        <f t="shared" si="19"/>
        <v>1</v>
      </c>
    </row>
    <row r="640" spans="3:14" x14ac:dyDescent="0.25">
      <c r="C640" t="s">
        <v>1548</v>
      </c>
      <c r="D640" t="s">
        <v>613</v>
      </c>
      <c r="E640" t="s">
        <v>400</v>
      </c>
      <c r="F640">
        <v>0</v>
      </c>
      <c r="I640" t="str">
        <v>IT0005282865</v>
      </c>
      <c r="J640" t="str">
        <v>Information technology</v>
      </c>
      <c r="K640">
        <v>0.14000000000000001</v>
      </c>
      <c r="L640" t="str" cm="1">
        <f t="array" ref="L640">_xlfn.TEXTJOIN(",",TRUE,_xlfn._xlws.FILTER($C$5:$C$1727,($D$5:$D$1727=I640)*($E$5:$E$1727=J640)*($F$5:$F$1727=K640)))</f>
        <v>EZ</v>
      </c>
      <c r="M640" t="b">
        <f t="shared" si="18"/>
        <v>0</v>
      </c>
      <c r="N640">
        <f t="shared" si="19"/>
        <v>1</v>
      </c>
    </row>
    <row r="641" spans="3:14" x14ac:dyDescent="0.25">
      <c r="C641" t="s">
        <v>1548</v>
      </c>
      <c r="D641" t="s">
        <v>614</v>
      </c>
      <c r="E641" t="s">
        <v>399</v>
      </c>
      <c r="F641">
        <v>1</v>
      </c>
      <c r="I641" t="str">
        <v>IT0005331019</v>
      </c>
      <c r="J641" t="str">
        <v>Ecoconstruction</v>
      </c>
      <c r="K641">
        <v>1</v>
      </c>
      <c r="L641" t="str" cm="1">
        <f t="array" ref="L641">_xlfn.TEXTJOIN(",",TRUE,_xlfn._xlws.FILTER($C$5:$C$1727,($D$5:$D$1727=I641)*($E$5:$E$1727=J641)*($F$5:$F$1727=K641)))</f>
        <v>EZ</v>
      </c>
      <c r="M641" t="b">
        <f t="shared" si="18"/>
        <v>0</v>
      </c>
      <c r="N641">
        <f t="shared" si="19"/>
        <v>0</v>
      </c>
    </row>
    <row r="642" spans="3:14" x14ac:dyDescent="0.25">
      <c r="C642" t="s">
        <v>1548</v>
      </c>
      <c r="D642" t="s">
        <v>615</v>
      </c>
      <c r="E642" t="s">
        <v>400</v>
      </c>
      <c r="F642">
        <v>0</v>
      </c>
      <c r="I642" t="str">
        <v>IT0005366767</v>
      </c>
      <c r="J642" t="str">
        <v>Excluded</v>
      </c>
      <c r="K642">
        <v>0</v>
      </c>
      <c r="L642" t="str" cm="1">
        <f t="array" ref="L642">_xlfn.TEXTJOIN(",",TRUE,_xlfn._xlws.FILTER($C$5:$C$1727,($D$5:$D$1727=I642)*($E$5:$E$1727=J642)*($F$5:$F$1727=K642)))</f>
        <v>EZ</v>
      </c>
      <c r="M642" t="b">
        <f t="shared" si="18"/>
        <v>0</v>
      </c>
      <c r="N642">
        <f t="shared" si="19"/>
        <v>1</v>
      </c>
    </row>
    <row r="643" spans="3:14" x14ac:dyDescent="0.25">
      <c r="C643" t="s">
        <v>1548</v>
      </c>
      <c r="D643" t="s">
        <v>39</v>
      </c>
      <c r="E643" t="s">
        <v>400</v>
      </c>
      <c r="F643">
        <v>0</v>
      </c>
      <c r="I643" t="str">
        <v>IT0005482333</v>
      </c>
      <c r="J643" t="str">
        <v>Excluded</v>
      </c>
      <c r="K643">
        <v>0</v>
      </c>
      <c r="L643" t="str" cm="1">
        <f t="array" ref="L643">_xlfn.TEXTJOIN(",",TRUE,_xlfn._xlws.FILTER($C$5:$C$1727,($D$5:$D$1727=I643)*($E$5:$E$1727=J643)*($F$5:$F$1727=K643)))</f>
        <v>EZ</v>
      </c>
      <c r="M643" t="b">
        <f t="shared" si="18"/>
        <v>0</v>
      </c>
      <c r="N643">
        <f t="shared" si="19"/>
        <v>0</v>
      </c>
    </row>
    <row r="644" spans="3:14" x14ac:dyDescent="0.25">
      <c r="C644" t="s">
        <v>1548</v>
      </c>
      <c r="D644" t="s">
        <v>616</v>
      </c>
      <c r="E644" t="s">
        <v>400</v>
      </c>
      <c r="F644">
        <v>0</v>
      </c>
      <c r="I644" t="str">
        <v>IT0005495657</v>
      </c>
      <c r="J644" t="str">
        <v>Excluded</v>
      </c>
      <c r="K644">
        <v>0</v>
      </c>
      <c r="L644" t="str" cm="1">
        <f t="array" ref="L644">_xlfn.TEXTJOIN(",",TRUE,_xlfn._xlws.FILTER($C$5:$C$1727,($D$5:$D$1727=I644)*($E$5:$E$1727=J644)*($F$5:$F$1727=K644)))</f>
        <v>EZ</v>
      </c>
      <c r="M644" t="b">
        <f t="shared" si="18"/>
        <v>0</v>
      </c>
      <c r="N644">
        <f t="shared" si="19"/>
        <v>0</v>
      </c>
    </row>
    <row r="645" spans="3:14" x14ac:dyDescent="0.25">
      <c r="C645" t="s">
        <v>1548</v>
      </c>
      <c r="D645" t="s">
        <v>617</v>
      </c>
      <c r="E645" t="s">
        <v>400</v>
      </c>
      <c r="F645">
        <v>0</v>
      </c>
      <c r="I645" t="str">
        <v>IT0005508921</v>
      </c>
      <c r="J645" t="str">
        <v>Not included in a theme</v>
      </c>
      <c r="K645">
        <v>0</v>
      </c>
      <c r="L645" t="str" cm="1">
        <f t="array" ref="L645">_xlfn.TEXTJOIN(",",TRUE,_xlfn._xlws.FILTER($C$5:$C$1727,($D$5:$D$1727=I645)*($E$5:$E$1727=J645)*($F$5:$F$1727=K645)))</f>
        <v>EZ</v>
      </c>
      <c r="M645" t="b">
        <f t="shared" si="18"/>
        <v>1</v>
      </c>
      <c r="N645">
        <f t="shared" si="19"/>
        <v>1</v>
      </c>
    </row>
    <row r="646" spans="3:14" x14ac:dyDescent="0.25">
      <c r="C646" t="s">
        <v>1548</v>
      </c>
      <c r="D646" t="s">
        <v>618</v>
      </c>
      <c r="E646" t="s">
        <v>400</v>
      </c>
      <c r="F646">
        <v>0</v>
      </c>
      <c r="I646" t="str">
        <v>IT0005508921</v>
      </c>
      <c r="J646" t="str">
        <v>Excluded</v>
      </c>
      <c r="K646">
        <v>0</v>
      </c>
      <c r="L646" t="str" cm="1">
        <f t="array" ref="L646">_xlfn.TEXTJOIN(",",TRUE,_xlfn._xlws.FILTER($C$5:$C$1727,($D$5:$D$1727=I646)*($E$5:$E$1727=J646)*($F$5:$F$1727=K646)))</f>
        <v>Global</v>
      </c>
      <c r="M646" t="b">
        <f t="shared" ref="M646:M709" si="20">COUNTIFS($I$5:$I$1556,I646)&gt;1</f>
        <v>1</v>
      </c>
      <c r="N646">
        <f t="shared" ref="N646:N709" si="21">COUNTIFS($U$5:$U$231,I646)</f>
        <v>1</v>
      </c>
    </row>
    <row r="647" spans="3:14" x14ac:dyDescent="0.25">
      <c r="C647" t="s">
        <v>1548</v>
      </c>
      <c r="D647" t="s">
        <v>619</v>
      </c>
      <c r="E647" t="s">
        <v>400</v>
      </c>
      <c r="F647">
        <v>0</v>
      </c>
      <c r="I647" t="str">
        <v>IT0005541336</v>
      </c>
      <c r="J647" t="str">
        <v>Excluded</v>
      </c>
      <c r="K647">
        <v>0</v>
      </c>
      <c r="L647" t="str" cm="1">
        <f t="array" ref="L647">_xlfn.TEXTJOIN(",",TRUE,_xlfn._xlws.FILTER($C$5:$C$1727,($D$5:$D$1727=I647)*($E$5:$E$1727=J647)*($F$5:$F$1727=K647)))</f>
        <v>EZ,Global</v>
      </c>
      <c r="M647" t="b">
        <f t="shared" si="20"/>
        <v>0</v>
      </c>
      <c r="N647">
        <f t="shared" si="21"/>
        <v>1</v>
      </c>
    </row>
    <row r="648" spans="3:14" x14ac:dyDescent="0.25">
      <c r="C648" t="s">
        <v>1548</v>
      </c>
      <c r="D648" t="s">
        <v>620</v>
      </c>
      <c r="E648" t="s">
        <v>401</v>
      </c>
      <c r="F648">
        <v>0</v>
      </c>
      <c r="I648" t="str">
        <v>IT0005599938</v>
      </c>
      <c r="J648" t="str">
        <v>Excluded</v>
      </c>
      <c r="K648">
        <v>0</v>
      </c>
      <c r="L648" t="str" cm="1">
        <f t="array" ref="L648">_xlfn.TEXTJOIN(",",TRUE,_xlfn._xlws.FILTER($C$5:$C$1727,($D$5:$D$1727=I648)*($E$5:$E$1727=J648)*($F$5:$F$1727=K648)))</f>
        <v>EZ</v>
      </c>
      <c r="M648" t="b">
        <f t="shared" si="20"/>
        <v>0</v>
      </c>
      <c r="N648">
        <f t="shared" si="21"/>
        <v>0</v>
      </c>
    </row>
    <row r="649" spans="3:14" x14ac:dyDescent="0.25">
      <c r="C649" t="s">
        <v>1548</v>
      </c>
      <c r="D649" t="s">
        <v>621</v>
      </c>
      <c r="E649" t="s">
        <v>404</v>
      </c>
      <c r="F649">
        <v>0.32</v>
      </c>
      <c r="I649" t="str">
        <v>JE00B4T3BW64</v>
      </c>
      <c r="J649" t="str">
        <v>Excluded</v>
      </c>
      <c r="K649">
        <v>0</v>
      </c>
      <c r="L649" t="str" cm="1">
        <f t="array" ref="L649">_xlfn.TEXTJOIN(",",TRUE,_xlfn._xlws.FILTER($C$5:$C$1727,($D$5:$D$1727=I649)*($E$5:$E$1727=J649)*($F$5:$F$1727=K649)))</f>
        <v>Global</v>
      </c>
      <c r="M649" t="b">
        <f t="shared" si="20"/>
        <v>0</v>
      </c>
      <c r="N649">
        <f t="shared" si="21"/>
        <v>0</v>
      </c>
    </row>
    <row r="650" spans="3:14" x14ac:dyDescent="0.25">
      <c r="C650" t="s">
        <v>1548</v>
      </c>
      <c r="D650" t="s">
        <v>622</v>
      </c>
      <c r="E650" t="s">
        <v>400</v>
      </c>
      <c r="F650">
        <v>0</v>
      </c>
      <c r="I650" t="str">
        <v>JE00BJ1F3079</v>
      </c>
      <c r="J650" t="str">
        <v>Circular economy</v>
      </c>
      <c r="K650">
        <v>0.35</v>
      </c>
      <c r="L650" t="str" cm="1">
        <f t="array" ref="L650">_xlfn.TEXTJOIN(",",TRUE,_xlfn._xlws.FILTER($C$5:$C$1727,($D$5:$D$1727=I650)*($E$5:$E$1727=J650)*($F$5:$F$1727=K650)))</f>
        <v>Global</v>
      </c>
      <c r="M650" t="b">
        <f t="shared" si="20"/>
        <v>0</v>
      </c>
      <c r="N650">
        <f t="shared" si="21"/>
        <v>0</v>
      </c>
    </row>
    <row r="651" spans="3:14" x14ac:dyDescent="0.25">
      <c r="C651" t="s">
        <v>1548</v>
      </c>
      <c r="D651" t="s">
        <v>623</v>
      </c>
      <c r="E651" t="s">
        <v>401</v>
      </c>
      <c r="F651">
        <v>0</v>
      </c>
      <c r="I651" t="str">
        <v>JE00BRX98089</v>
      </c>
      <c r="J651" t="str">
        <v>Excluded</v>
      </c>
      <c r="K651">
        <v>0</v>
      </c>
      <c r="L651" t="str" cm="1">
        <f t="array" ref="L651">_xlfn.TEXTJOIN(",",TRUE,_xlfn._xlws.FILTER($C$5:$C$1727,($D$5:$D$1727=I651)*($E$5:$E$1727=J651)*($F$5:$F$1727=K651)))</f>
        <v>EZ</v>
      </c>
      <c r="M651" t="b">
        <f t="shared" si="20"/>
        <v>0</v>
      </c>
      <c r="N651">
        <f t="shared" si="21"/>
        <v>1</v>
      </c>
    </row>
    <row r="652" spans="3:14" x14ac:dyDescent="0.25">
      <c r="C652" t="s">
        <v>1548</v>
      </c>
      <c r="D652" t="s">
        <v>624</v>
      </c>
      <c r="E652" t="s">
        <v>404</v>
      </c>
      <c r="F652">
        <v>0.14000000000000001</v>
      </c>
      <c r="I652" t="str">
        <v>JE00BTDN8H13</v>
      </c>
      <c r="J652" t="str">
        <v>Excluded</v>
      </c>
      <c r="K652">
        <v>0</v>
      </c>
      <c r="L652" t="str" cm="1">
        <f t="array" ref="L652">_xlfn.TEXTJOIN(",",TRUE,_xlfn._xlws.FILTER($C$5:$C$1727,($D$5:$D$1727=I652)*($E$5:$E$1727=J652)*($F$5:$F$1727=K652)))</f>
        <v>Global</v>
      </c>
      <c r="M652" t="b">
        <f t="shared" si="20"/>
        <v>0</v>
      </c>
      <c r="N652">
        <f t="shared" si="21"/>
        <v>0</v>
      </c>
    </row>
    <row r="653" spans="3:14" x14ac:dyDescent="0.25">
      <c r="C653" t="s">
        <v>1548</v>
      </c>
      <c r="D653" t="s">
        <v>625</v>
      </c>
      <c r="E653" t="s">
        <v>407</v>
      </c>
      <c r="F653">
        <v>0.76</v>
      </c>
      <c r="I653" t="str">
        <v>JP3027670003</v>
      </c>
      <c r="J653" t="str">
        <v>Ecoconstruction</v>
      </c>
      <c r="K653">
        <v>1</v>
      </c>
      <c r="L653" t="str" cm="1">
        <f t="array" ref="L653">_xlfn.TEXTJOIN(",",TRUE,_xlfn._xlws.FILTER($C$5:$C$1727,($D$5:$D$1727=I653)*($E$5:$E$1727=J653)*($F$5:$F$1727=K653)))</f>
        <v>Global</v>
      </c>
      <c r="M653" t="b">
        <f t="shared" si="20"/>
        <v>0</v>
      </c>
      <c r="N653">
        <f t="shared" si="21"/>
        <v>0</v>
      </c>
    </row>
    <row r="654" spans="3:14" x14ac:dyDescent="0.25">
      <c r="C654" t="s">
        <v>1548</v>
      </c>
      <c r="D654" t="s">
        <v>626</v>
      </c>
      <c r="E654" t="s">
        <v>400</v>
      </c>
      <c r="F654">
        <v>0</v>
      </c>
      <c r="I654" t="str">
        <v>JP3102000001</v>
      </c>
      <c r="J654" t="str">
        <v>Excluded</v>
      </c>
      <c r="K654">
        <v>0</v>
      </c>
      <c r="L654" t="str" cm="1">
        <f t="array" ref="L654">_xlfn.TEXTJOIN(",",TRUE,_xlfn._xlws.FILTER($C$5:$C$1727,($D$5:$D$1727=I654)*($E$5:$E$1727=J654)*($F$5:$F$1727=K654)))</f>
        <v>Global</v>
      </c>
      <c r="M654" t="b">
        <f t="shared" si="20"/>
        <v>0</v>
      </c>
      <c r="N654">
        <f t="shared" si="21"/>
        <v>0</v>
      </c>
    </row>
    <row r="655" spans="3:14" x14ac:dyDescent="0.25">
      <c r="C655" t="s">
        <v>1548</v>
      </c>
      <c r="D655" t="s">
        <v>627</v>
      </c>
      <c r="E655" t="s">
        <v>401</v>
      </c>
      <c r="F655">
        <v>0</v>
      </c>
      <c r="I655" t="str">
        <v>JP3104890003</v>
      </c>
      <c r="J655" t="str">
        <v>Not included in a theme</v>
      </c>
      <c r="K655">
        <v>0</v>
      </c>
      <c r="L655" t="str" cm="1">
        <f t="array" ref="L655">_xlfn.TEXTJOIN(",",TRUE,_xlfn._xlws.FILTER($C$5:$C$1727,($D$5:$D$1727=I655)*($E$5:$E$1727=J655)*($F$5:$F$1727=K655)))</f>
        <v>Global</v>
      </c>
      <c r="M655" t="b">
        <f t="shared" si="20"/>
        <v>0</v>
      </c>
      <c r="N655">
        <f t="shared" si="21"/>
        <v>0</v>
      </c>
    </row>
    <row r="656" spans="3:14" x14ac:dyDescent="0.25">
      <c r="C656" t="s">
        <v>1548</v>
      </c>
      <c r="D656" t="s">
        <v>628</v>
      </c>
      <c r="E656" t="s">
        <v>401</v>
      </c>
      <c r="F656">
        <v>0</v>
      </c>
      <c r="I656" t="str">
        <v>JP3111200006</v>
      </c>
      <c r="J656" t="str">
        <v>Ecoconstruction</v>
      </c>
      <c r="K656">
        <v>0.28999999999999998</v>
      </c>
      <c r="L656" t="str" cm="1">
        <f t="array" ref="L656">_xlfn.TEXTJOIN(",",TRUE,_xlfn._xlws.FILTER($C$5:$C$1727,($D$5:$D$1727=I656)*($E$5:$E$1727=J656)*($F$5:$F$1727=K656)))</f>
        <v>Global</v>
      </c>
      <c r="M656" t="b">
        <f t="shared" si="20"/>
        <v>0</v>
      </c>
      <c r="N656">
        <f t="shared" si="21"/>
        <v>0</v>
      </c>
    </row>
    <row r="657" spans="3:14" x14ac:dyDescent="0.25">
      <c r="C657" t="s">
        <v>1548</v>
      </c>
      <c r="D657" t="s">
        <v>629</v>
      </c>
      <c r="E657" t="s">
        <v>402</v>
      </c>
      <c r="F657">
        <v>0.78</v>
      </c>
      <c r="I657" t="str">
        <v>JP3112000009</v>
      </c>
      <c r="J657" t="str">
        <v>Not included in a theme</v>
      </c>
      <c r="K657">
        <v>0</v>
      </c>
      <c r="L657" t="str" cm="1">
        <f t="array" ref="L657">_xlfn.TEXTJOIN(",",TRUE,_xlfn._xlws.FILTER($C$5:$C$1727,($D$5:$D$1727=I657)*($E$5:$E$1727=J657)*($F$5:$F$1727=K657)))</f>
        <v>Global</v>
      </c>
      <c r="M657" t="b">
        <f t="shared" si="20"/>
        <v>0</v>
      </c>
      <c r="N657">
        <f t="shared" si="21"/>
        <v>0</v>
      </c>
    </row>
    <row r="658" spans="3:14" x14ac:dyDescent="0.25">
      <c r="C658" t="s">
        <v>1548</v>
      </c>
      <c r="D658" t="s">
        <v>630</v>
      </c>
      <c r="E658" t="s">
        <v>400</v>
      </c>
      <c r="F658">
        <v>0</v>
      </c>
      <c r="I658" t="str">
        <v>JP3116000005</v>
      </c>
      <c r="J658" t="str">
        <v>Excluded</v>
      </c>
      <c r="K658">
        <v>0</v>
      </c>
      <c r="L658" t="str" cm="1">
        <f t="array" ref="L658">_xlfn.TEXTJOIN(",",TRUE,_xlfn._xlws.FILTER($C$5:$C$1727,($D$5:$D$1727=I658)*($E$5:$E$1727=J658)*($F$5:$F$1727=K658)))</f>
        <v>Global</v>
      </c>
      <c r="M658" t="b">
        <f t="shared" si="20"/>
        <v>0</v>
      </c>
      <c r="N658">
        <f t="shared" si="21"/>
        <v>0</v>
      </c>
    </row>
    <row r="659" spans="3:14" x14ac:dyDescent="0.25">
      <c r="C659" t="s">
        <v>1548</v>
      </c>
      <c r="D659" t="s">
        <v>631</v>
      </c>
      <c r="E659" t="s">
        <v>400</v>
      </c>
      <c r="F659">
        <v>0</v>
      </c>
      <c r="I659" t="str">
        <v>JP3117700009</v>
      </c>
      <c r="J659" t="str">
        <v>Excluded</v>
      </c>
      <c r="K659">
        <v>0</v>
      </c>
      <c r="L659" t="str" cm="1">
        <f t="array" ref="L659">_xlfn.TEXTJOIN(",",TRUE,_xlfn._xlws.FILTER($C$5:$C$1727,($D$5:$D$1727=I659)*($E$5:$E$1727=J659)*($F$5:$F$1727=K659)))</f>
        <v>Global</v>
      </c>
      <c r="M659" t="b">
        <f t="shared" si="20"/>
        <v>0</v>
      </c>
      <c r="N659">
        <f t="shared" si="21"/>
        <v>0</v>
      </c>
    </row>
    <row r="660" spans="3:14" x14ac:dyDescent="0.25">
      <c r="C660" t="s">
        <v>1548</v>
      </c>
      <c r="D660" t="s">
        <v>632</v>
      </c>
      <c r="E660" t="s">
        <v>399</v>
      </c>
      <c r="F660">
        <v>1</v>
      </c>
      <c r="I660" t="str">
        <v>JP3118000003</v>
      </c>
      <c r="J660" t="str">
        <v>Excluded</v>
      </c>
      <c r="K660">
        <v>0</v>
      </c>
      <c r="L660" t="str" cm="1">
        <f t="array" ref="L660">_xlfn.TEXTJOIN(",",TRUE,_xlfn._xlws.FILTER($C$5:$C$1727,($D$5:$D$1727=I660)*($E$5:$E$1727=J660)*($F$5:$F$1727=K660)))</f>
        <v>Global</v>
      </c>
      <c r="M660" t="b">
        <f t="shared" si="20"/>
        <v>0</v>
      </c>
      <c r="N660">
        <f t="shared" si="21"/>
        <v>0</v>
      </c>
    </row>
    <row r="661" spans="3:14" x14ac:dyDescent="0.25">
      <c r="C661" t="s">
        <v>1548</v>
      </c>
      <c r="D661" t="s">
        <v>26</v>
      </c>
      <c r="E661" t="s">
        <v>400</v>
      </c>
      <c r="F661">
        <v>0</v>
      </c>
      <c r="I661" t="str">
        <v>JP3119600009</v>
      </c>
      <c r="J661" t="str">
        <v>Circular economy</v>
      </c>
      <c r="K661">
        <v>0.56000000000000005</v>
      </c>
      <c r="L661" t="str" cm="1">
        <f t="array" ref="L661">_xlfn.TEXTJOIN(",",TRUE,_xlfn._xlws.FILTER($C$5:$C$1727,($D$5:$D$1727=I661)*($E$5:$E$1727=J661)*($F$5:$F$1727=K661)))</f>
        <v>Global</v>
      </c>
      <c r="M661" t="b">
        <f t="shared" si="20"/>
        <v>0</v>
      </c>
      <c r="N661">
        <f t="shared" si="21"/>
        <v>0</v>
      </c>
    </row>
    <row r="662" spans="3:14" x14ac:dyDescent="0.25">
      <c r="C662" t="s">
        <v>1548</v>
      </c>
      <c r="D662" t="s">
        <v>633</v>
      </c>
      <c r="E662" t="s">
        <v>400</v>
      </c>
      <c r="F662">
        <v>0</v>
      </c>
      <c r="I662" t="str">
        <v>JP3122400009</v>
      </c>
      <c r="J662" t="str">
        <v>Information technology</v>
      </c>
      <c r="K662">
        <v>1</v>
      </c>
      <c r="L662" t="str" cm="1">
        <f t="array" ref="L662">_xlfn.TEXTJOIN(",",TRUE,_xlfn._xlws.FILTER($C$5:$C$1727,($D$5:$D$1727=I662)*($E$5:$E$1727=J662)*($F$5:$F$1727=K662)))</f>
        <v>Global</v>
      </c>
      <c r="M662" t="b">
        <f t="shared" si="20"/>
        <v>0</v>
      </c>
      <c r="N662">
        <f t="shared" si="21"/>
        <v>0</v>
      </c>
    </row>
    <row r="663" spans="3:14" x14ac:dyDescent="0.25">
      <c r="C663" t="s">
        <v>1548</v>
      </c>
      <c r="D663" t="s">
        <v>634</v>
      </c>
      <c r="E663" t="s">
        <v>401</v>
      </c>
      <c r="F663">
        <v>0</v>
      </c>
      <c r="I663" t="str">
        <v>JP3134800006</v>
      </c>
      <c r="J663" t="str">
        <v>Excluded</v>
      </c>
      <c r="K663">
        <v>0</v>
      </c>
      <c r="L663" t="str" cm="1">
        <f t="array" ref="L663">_xlfn.TEXTJOIN(",",TRUE,_xlfn._xlws.FILTER($C$5:$C$1727,($D$5:$D$1727=I663)*($E$5:$E$1727=J663)*($F$5:$F$1727=K663)))</f>
        <v>Global</v>
      </c>
      <c r="M663" t="b">
        <f t="shared" si="20"/>
        <v>0</v>
      </c>
      <c r="N663">
        <f t="shared" si="21"/>
        <v>0</v>
      </c>
    </row>
    <row r="664" spans="3:14" x14ac:dyDescent="0.25">
      <c r="C664" t="s">
        <v>1548</v>
      </c>
      <c r="D664" t="s">
        <v>635</v>
      </c>
      <c r="E664" t="s">
        <v>399</v>
      </c>
      <c r="F664">
        <v>0.13</v>
      </c>
      <c r="I664" t="str">
        <v>JP3137200006</v>
      </c>
      <c r="J664" t="str">
        <v>Excluded</v>
      </c>
      <c r="K664">
        <v>0</v>
      </c>
      <c r="L664" t="str" cm="1">
        <f t="array" ref="L664">_xlfn.TEXTJOIN(",",TRUE,_xlfn._xlws.FILTER($C$5:$C$1727,($D$5:$D$1727=I664)*($E$5:$E$1727=J664)*($F$5:$F$1727=K664)))</f>
        <v>Global</v>
      </c>
      <c r="M664" t="b">
        <f t="shared" si="20"/>
        <v>0</v>
      </c>
      <c r="N664">
        <f t="shared" si="21"/>
        <v>0</v>
      </c>
    </row>
    <row r="665" spans="3:14" x14ac:dyDescent="0.25">
      <c r="C665" t="s">
        <v>1548</v>
      </c>
      <c r="D665" t="s">
        <v>636</v>
      </c>
      <c r="E665" t="s">
        <v>404</v>
      </c>
      <c r="F665">
        <v>1</v>
      </c>
      <c r="I665" t="str">
        <v>JP3142500002</v>
      </c>
      <c r="J665" t="str">
        <v>Excluded</v>
      </c>
      <c r="K665">
        <v>0</v>
      </c>
      <c r="L665" t="str" cm="1">
        <f t="array" ref="L665">_xlfn.TEXTJOIN(",",TRUE,_xlfn._xlws.FILTER($C$5:$C$1727,($D$5:$D$1727=I665)*($E$5:$E$1727=J665)*($F$5:$F$1727=K665)))</f>
        <v>Global</v>
      </c>
      <c r="M665" t="b">
        <f t="shared" si="20"/>
        <v>0</v>
      </c>
      <c r="N665">
        <f t="shared" si="21"/>
        <v>0</v>
      </c>
    </row>
    <row r="666" spans="3:14" x14ac:dyDescent="0.25">
      <c r="C666" t="s">
        <v>1548</v>
      </c>
      <c r="D666" t="s">
        <v>637</v>
      </c>
      <c r="E666" t="s">
        <v>400</v>
      </c>
      <c r="F666">
        <v>0</v>
      </c>
      <c r="I666" t="str">
        <v>JP3143600009</v>
      </c>
      <c r="J666" t="str">
        <v>Excluded</v>
      </c>
      <c r="K666">
        <v>0</v>
      </c>
      <c r="L666" t="str" cm="1">
        <f t="array" ref="L666">_xlfn.TEXTJOIN(",",TRUE,_xlfn._xlws.FILTER($C$5:$C$1727,($D$5:$D$1727=I666)*($E$5:$E$1727=J666)*($F$5:$F$1727=K666)))</f>
        <v>Global</v>
      </c>
      <c r="M666" t="b">
        <f t="shared" si="20"/>
        <v>0</v>
      </c>
      <c r="N666">
        <f t="shared" si="21"/>
        <v>0</v>
      </c>
    </row>
    <row r="667" spans="3:14" x14ac:dyDescent="0.25">
      <c r="C667" t="s">
        <v>1548</v>
      </c>
      <c r="D667" t="s">
        <v>638</v>
      </c>
      <c r="E667" t="s">
        <v>400</v>
      </c>
      <c r="F667">
        <v>0</v>
      </c>
      <c r="I667" t="str">
        <v>JP3148800000</v>
      </c>
      <c r="J667" t="str">
        <v>Information technology</v>
      </c>
      <c r="K667">
        <v>1</v>
      </c>
      <c r="L667" t="str" cm="1">
        <f t="array" ref="L667">_xlfn.TEXTJOIN(",",TRUE,_xlfn._xlws.FILTER($C$5:$C$1727,($D$5:$D$1727=I667)*($E$5:$E$1727=J667)*($F$5:$F$1727=K667)))</f>
        <v>Global</v>
      </c>
      <c r="M667" t="b">
        <f t="shared" si="20"/>
        <v>0</v>
      </c>
      <c r="N667">
        <f t="shared" si="21"/>
        <v>0</v>
      </c>
    </row>
    <row r="668" spans="3:14" x14ac:dyDescent="0.25">
      <c r="C668" t="s">
        <v>1548</v>
      </c>
      <c r="D668" t="s">
        <v>639</v>
      </c>
      <c r="E668" t="s">
        <v>400</v>
      </c>
      <c r="F668">
        <v>0</v>
      </c>
      <c r="I668" t="str">
        <v>JP3160400002</v>
      </c>
      <c r="J668" t="str">
        <v>Not included in a theme</v>
      </c>
      <c r="K668">
        <v>0</v>
      </c>
      <c r="L668" t="str" cm="1">
        <f t="array" ref="L668">_xlfn.TEXTJOIN(",",TRUE,_xlfn._xlws.FILTER($C$5:$C$1727,($D$5:$D$1727=I668)*($E$5:$E$1727=J668)*($F$5:$F$1727=K668)))</f>
        <v>Global</v>
      </c>
      <c r="M668" t="b">
        <f t="shared" si="20"/>
        <v>0</v>
      </c>
      <c r="N668">
        <f t="shared" si="21"/>
        <v>0</v>
      </c>
    </row>
    <row r="669" spans="3:14" x14ac:dyDescent="0.25">
      <c r="C669" t="s">
        <v>1548</v>
      </c>
      <c r="D669" t="s">
        <v>640</v>
      </c>
      <c r="E669" t="s">
        <v>400</v>
      </c>
      <c r="F669">
        <v>0</v>
      </c>
      <c r="I669" t="str">
        <v>JP3162600005</v>
      </c>
      <c r="J669" t="str">
        <v>Excluded</v>
      </c>
      <c r="K669">
        <v>0</v>
      </c>
      <c r="L669" t="str" cm="1">
        <f t="array" ref="L669">_xlfn.TEXTJOIN(",",TRUE,_xlfn._xlws.FILTER($C$5:$C$1727,($D$5:$D$1727=I669)*($E$5:$E$1727=J669)*($F$5:$F$1727=K669)))</f>
        <v>Global</v>
      </c>
      <c r="M669" t="b">
        <f t="shared" si="20"/>
        <v>0</v>
      </c>
      <c r="N669">
        <f t="shared" si="21"/>
        <v>0</v>
      </c>
    </row>
    <row r="670" spans="3:14" x14ac:dyDescent="0.25">
      <c r="C670" t="s">
        <v>1548</v>
      </c>
      <c r="D670" t="s">
        <v>641</v>
      </c>
      <c r="E670" t="s">
        <v>400</v>
      </c>
      <c r="F670">
        <v>0</v>
      </c>
      <c r="I670" t="str">
        <v>JP3164720009</v>
      </c>
      <c r="J670" t="str">
        <v>Information technology</v>
      </c>
      <c r="K670">
        <v>0.7</v>
      </c>
      <c r="L670" t="str" cm="1">
        <f t="array" ref="L670">_xlfn.TEXTJOIN(",",TRUE,_xlfn._xlws.FILTER($C$5:$C$1727,($D$5:$D$1727=I670)*($E$5:$E$1727=J670)*($F$5:$F$1727=K670)))</f>
        <v>Global</v>
      </c>
      <c r="M670" t="b">
        <f t="shared" si="20"/>
        <v>0</v>
      </c>
      <c r="N670">
        <f t="shared" si="21"/>
        <v>0</v>
      </c>
    </row>
    <row r="671" spans="3:14" x14ac:dyDescent="0.25">
      <c r="C671" t="s">
        <v>1548</v>
      </c>
      <c r="D671" t="s">
        <v>642</v>
      </c>
      <c r="E671" t="s">
        <v>403</v>
      </c>
      <c r="F671">
        <v>0.4</v>
      </c>
      <c r="I671" t="str">
        <v>JP3165000005</v>
      </c>
      <c r="J671" t="str">
        <v>Not included in a theme</v>
      </c>
      <c r="K671">
        <v>0</v>
      </c>
      <c r="L671" t="str" cm="1">
        <f t="array" ref="L671">_xlfn.TEXTJOIN(",",TRUE,_xlfn._xlws.FILTER($C$5:$C$1727,($D$5:$D$1727=I671)*($E$5:$E$1727=J671)*($F$5:$F$1727=K671)))</f>
        <v>Global</v>
      </c>
      <c r="M671" t="b">
        <f t="shared" si="20"/>
        <v>0</v>
      </c>
      <c r="N671">
        <f t="shared" si="21"/>
        <v>0</v>
      </c>
    </row>
    <row r="672" spans="3:14" x14ac:dyDescent="0.25">
      <c r="C672" t="s">
        <v>1548</v>
      </c>
      <c r="D672" t="s">
        <v>643</v>
      </c>
      <c r="E672" t="s">
        <v>401</v>
      </c>
      <c r="F672">
        <v>0</v>
      </c>
      <c r="I672" t="str">
        <v>JP3166000004</v>
      </c>
      <c r="J672" t="str">
        <v>Excluded</v>
      </c>
      <c r="K672">
        <v>0</v>
      </c>
      <c r="L672" t="str" cm="1">
        <f t="array" ref="L672">_xlfn.TEXTJOIN(",",TRUE,_xlfn._xlws.FILTER($C$5:$C$1727,($D$5:$D$1727=I672)*($E$5:$E$1727=J672)*($F$5:$F$1727=K672)))</f>
        <v>Global</v>
      </c>
      <c r="M672" t="b">
        <f t="shared" si="20"/>
        <v>0</v>
      </c>
      <c r="N672">
        <f t="shared" si="21"/>
        <v>0</v>
      </c>
    </row>
    <row r="673" spans="3:14" x14ac:dyDescent="0.25">
      <c r="C673" t="s">
        <v>1548</v>
      </c>
      <c r="D673" t="s">
        <v>644</v>
      </c>
      <c r="E673" t="s">
        <v>399</v>
      </c>
      <c r="F673">
        <v>1</v>
      </c>
      <c r="I673" t="str">
        <v>JP3173400007</v>
      </c>
      <c r="J673" t="str">
        <v>Excluded</v>
      </c>
      <c r="K673">
        <v>0</v>
      </c>
      <c r="L673" t="str" cm="1">
        <f t="array" ref="L673">_xlfn.TEXTJOIN(",",TRUE,_xlfn._xlws.FILTER($C$5:$C$1727,($D$5:$D$1727=I673)*($E$5:$E$1727=J673)*($F$5:$F$1727=K673)))</f>
        <v>Global</v>
      </c>
      <c r="M673" t="b">
        <f t="shared" si="20"/>
        <v>0</v>
      </c>
      <c r="N673">
        <f t="shared" si="21"/>
        <v>0</v>
      </c>
    </row>
    <row r="674" spans="3:14" x14ac:dyDescent="0.25">
      <c r="C674" t="s">
        <v>1548</v>
      </c>
      <c r="D674" t="s">
        <v>645</v>
      </c>
      <c r="E674" t="s">
        <v>400</v>
      </c>
      <c r="F674">
        <v>0</v>
      </c>
      <c r="I674" t="str">
        <v>JP3180400008</v>
      </c>
      <c r="J674" t="str">
        <v>Excluded</v>
      </c>
      <c r="K674">
        <v>0</v>
      </c>
      <c r="L674" t="str" cm="1">
        <f t="array" ref="L674">_xlfn.TEXTJOIN(",",TRUE,_xlfn._xlws.FILTER($C$5:$C$1727,($D$5:$D$1727=I674)*($E$5:$E$1727=J674)*($F$5:$F$1727=K674)))</f>
        <v>Global</v>
      </c>
      <c r="M674" t="b">
        <f t="shared" si="20"/>
        <v>0</v>
      </c>
      <c r="N674">
        <f t="shared" si="21"/>
        <v>0</v>
      </c>
    </row>
    <row r="675" spans="3:14" x14ac:dyDescent="0.25">
      <c r="C675" t="s">
        <v>1548</v>
      </c>
      <c r="D675" t="s">
        <v>646</v>
      </c>
      <c r="E675" t="s">
        <v>400</v>
      </c>
      <c r="F675">
        <v>0</v>
      </c>
      <c r="I675" t="str">
        <v>JP3183200009</v>
      </c>
      <c r="J675" t="str">
        <v>Excluded</v>
      </c>
      <c r="K675">
        <v>0</v>
      </c>
      <c r="L675" t="str" cm="1">
        <f t="array" ref="L675">_xlfn.TEXTJOIN(",",TRUE,_xlfn._xlws.FILTER($C$5:$C$1727,($D$5:$D$1727=I675)*($E$5:$E$1727=J675)*($F$5:$F$1727=K675)))</f>
        <v>Global</v>
      </c>
      <c r="M675" t="b">
        <f t="shared" si="20"/>
        <v>0</v>
      </c>
      <c r="N675">
        <f t="shared" si="21"/>
        <v>0</v>
      </c>
    </row>
    <row r="676" spans="3:14" x14ac:dyDescent="0.25">
      <c r="C676" t="s">
        <v>1548</v>
      </c>
      <c r="D676" t="s">
        <v>41</v>
      </c>
      <c r="E676" t="s">
        <v>400</v>
      </c>
      <c r="F676">
        <v>0</v>
      </c>
      <c r="I676" t="str">
        <v>JP3188220002</v>
      </c>
      <c r="J676" t="str">
        <v>Not included in a theme</v>
      </c>
      <c r="K676">
        <v>0</v>
      </c>
      <c r="L676" t="str" cm="1">
        <f t="array" ref="L676">_xlfn.TEXTJOIN(",",TRUE,_xlfn._xlws.FILTER($C$5:$C$1727,($D$5:$D$1727=I676)*($E$5:$E$1727=J676)*($F$5:$F$1727=K676)))</f>
        <v>Global</v>
      </c>
      <c r="M676" t="b">
        <f t="shared" si="20"/>
        <v>0</v>
      </c>
      <c r="N676">
        <f t="shared" si="21"/>
        <v>0</v>
      </c>
    </row>
    <row r="677" spans="3:14" x14ac:dyDescent="0.25">
      <c r="C677" t="s">
        <v>1548</v>
      </c>
      <c r="D677" t="s">
        <v>12</v>
      </c>
      <c r="E677" t="s">
        <v>400</v>
      </c>
      <c r="F677">
        <v>0</v>
      </c>
      <c r="I677" t="str">
        <v>JP3190000004</v>
      </c>
      <c r="J677" t="str">
        <v>Excluded</v>
      </c>
      <c r="K677">
        <v>0</v>
      </c>
      <c r="L677" t="str" cm="1">
        <f t="array" ref="L677">_xlfn.TEXTJOIN(",",TRUE,_xlfn._xlws.FILTER($C$5:$C$1727,($D$5:$D$1727=I677)*($E$5:$E$1727=J677)*($F$5:$F$1727=K677)))</f>
        <v>Global</v>
      </c>
      <c r="M677" t="b">
        <f t="shared" si="20"/>
        <v>0</v>
      </c>
      <c r="N677">
        <f t="shared" si="21"/>
        <v>0</v>
      </c>
    </row>
    <row r="678" spans="3:14" x14ac:dyDescent="0.25">
      <c r="C678" t="s">
        <v>1548</v>
      </c>
      <c r="D678" t="s">
        <v>647</v>
      </c>
      <c r="E678" t="s">
        <v>400</v>
      </c>
      <c r="F678">
        <v>0</v>
      </c>
      <c r="I678" t="str">
        <v>JP3197600004</v>
      </c>
      <c r="J678" t="str">
        <v>Not included in a theme</v>
      </c>
      <c r="K678">
        <v>0</v>
      </c>
      <c r="L678" t="str" cm="1">
        <f t="array" ref="L678">_xlfn.TEXTJOIN(",",TRUE,_xlfn._xlws.FILTER($C$5:$C$1727,($D$5:$D$1727=I678)*($E$5:$E$1727=J678)*($F$5:$F$1727=K678)))</f>
        <v>Global</v>
      </c>
      <c r="M678" t="b">
        <f t="shared" si="20"/>
        <v>0</v>
      </c>
      <c r="N678">
        <f t="shared" si="21"/>
        <v>0</v>
      </c>
    </row>
    <row r="679" spans="3:14" x14ac:dyDescent="0.25">
      <c r="C679" t="s">
        <v>1548</v>
      </c>
      <c r="D679" t="s">
        <v>648</v>
      </c>
      <c r="E679" t="s">
        <v>400</v>
      </c>
      <c r="F679">
        <v>0</v>
      </c>
      <c r="I679" t="str">
        <v>JP3198900007</v>
      </c>
      <c r="J679" t="str">
        <v>Not included in a theme</v>
      </c>
      <c r="K679">
        <v>0</v>
      </c>
      <c r="L679" t="str" cm="1">
        <f t="array" ref="L679">_xlfn.TEXTJOIN(",",TRUE,_xlfn._xlws.FILTER($C$5:$C$1727,($D$5:$D$1727=I679)*($E$5:$E$1727=J679)*($F$5:$F$1727=K679)))</f>
        <v>Global</v>
      </c>
      <c r="M679" t="b">
        <f t="shared" si="20"/>
        <v>0</v>
      </c>
      <c r="N679">
        <f t="shared" si="21"/>
        <v>0</v>
      </c>
    </row>
    <row r="680" spans="3:14" x14ac:dyDescent="0.25">
      <c r="C680" t="s">
        <v>1548</v>
      </c>
      <c r="D680" t="s">
        <v>649</v>
      </c>
      <c r="E680" t="s">
        <v>400</v>
      </c>
      <c r="F680">
        <v>0</v>
      </c>
      <c r="I680" t="str">
        <v>JP3200450009</v>
      </c>
      <c r="J680" t="str">
        <v>Excluded</v>
      </c>
      <c r="K680">
        <v>0</v>
      </c>
      <c r="L680" t="str" cm="1">
        <f t="array" ref="L680">_xlfn.TEXTJOIN(",",TRUE,_xlfn._xlws.FILTER($C$5:$C$1727,($D$5:$D$1727=I680)*($E$5:$E$1727=J680)*($F$5:$F$1727=K680)))</f>
        <v>Global</v>
      </c>
      <c r="M680" t="b">
        <f t="shared" si="20"/>
        <v>0</v>
      </c>
      <c r="N680">
        <f t="shared" si="21"/>
        <v>0</v>
      </c>
    </row>
    <row r="681" spans="3:14" x14ac:dyDescent="0.25">
      <c r="C681" t="s">
        <v>1548</v>
      </c>
      <c r="D681" t="s">
        <v>650</v>
      </c>
      <c r="E681" t="s">
        <v>400</v>
      </c>
      <c r="F681">
        <v>0</v>
      </c>
      <c r="I681" t="str">
        <v>JP3201200007</v>
      </c>
      <c r="J681" t="str">
        <v>Not included in a theme</v>
      </c>
      <c r="K681">
        <v>0</v>
      </c>
      <c r="L681" t="str" cm="1">
        <f t="array" ref="L681">_xlfn.TEXTJOIN(",",TRUE,_xlfn._xlws.FILTER($C$5:$C$1727,($D$5:$D$1727=I681)*($E$5:$E$1727=J681)*($F$5:$F$1727=K681)))</f>
        <v>Global</v>
      </c>
      <c r="M681" t="b">
        <f t="shared" si="20"/>
        <v>0</v>
      </c>
      <c r="N681">
        <f t="shared" si="21"/>
        <v>0</v>
      </c>
    </row>
    <row r="682" spans="3:14" x14ac:dyDescent="0.25">
      <c r="C682" t="s">
        <v>1548</v>
      </c>
      <c r="D682" t="s">
        <v>651</v>
      </c>
      <c r="E682" t="s">
        <v>401</v>
      </c>
      <c r="F682">
        <v>0</v>
      </c>
      <c r="I682" t="str">
        <v>JP3205800000</v>
      </c>
      <c r="J682" t="str">
        <v>Circular economy</v>
      </c>
      <c r="K682">
        <v>0.17</v>
      </c>
      <c r="L682" t="str" cm="1">
        <f t="array" ref="L682">_xlfn.TEXTJOIN(",",TRUE,_xlfn._xlws.FILTER($C$5:$C$1727,($D$5:$D$1727=I682)*($E$5:$E$1727=J682)*($F$5:$F$1727=K682)))</f>
        <v>Global</v>
      </c>
      <c r="M682" t="b">
        <f t="shared" si="20"/>
        <v>0</v>
      </c>
      <c r="N682">
        <f t="shared" si="21"/>
        <v>0</v>
      </c>
    </row>
    <row r="683" spans="3:14" x14ac:dyDescent="0.25">
      <c r="C683" t="s">
        <v>1548</v>
      </c>
      <c r="D683" t="s">
        <v>652</v>
      </c>
      <c r="E683" t="s">
        <v>400</v>
      </c>
      <c r="F683">
        <v>0</v>
      </c>
      <c r="I683" t="str">
        <v>JP3210200006</v>
      </c>
      <c r="J683" t="str">
        <v>Excluded</v>
      </c>
      <c r="K683">
        <v>0</v>
      </c>
      <c r="L683" t="str" cm="1">
        <f t="array" ref="L683">_xlfn.TEXTJOIN(",",TRUE,_xlfn._xlws.FILTER($C$5:$C$1727,($D$5:$D$1727=I683)*($E$5:$E$1727=J683)*($F$5:$F$1727=K683)))</f>
        <v>Global</v>
      </c>
      <c r="M683" t="b">
        <f t="shared" si="20"/>
        <v>0</v>
      </c>
      <c r="N683">
        <f t="shared" si="21"/>
        <v>0</v>
      </c>
    </row>
    <row r="684" spans="3:14" x14ac:dyDescent="0.25">
      <c r="C684" t="s">
        <v>1548</v>
      </c>
      <c r="D684" t="s">
        <v>653</v>
      </c>
      <c r="E684" t="s">
        <v>400</v>
      </c>
      <c r="F684">
        <v>0</v>
      </c>
      <c r="I684" t="str">
        <v>JP3218900003</v>
      </c>
      <c r="J684" t="str">
        <v>Excluded</v>
      </c>
      <c r="K684">
        <v>0</v>
      </c>
      <c r="L684" t="str" cm="1">
        <f t="array" ref="L684">_xlfn.TEXTJOIN(",",TRUE,_xlfn._xlws.FILTER($C$5:$C$1727,($D$5:$D$1727=I684)*($E$5:$E$1727=J684)*($F$5:$F$1727=K684)))</f>
        <v>Global</v>
      </c>
      <c r="M684" t="b">
        <f t="shared" si="20"/>
        <v>0</v>
      </c>
      <c r="N684">
        <f t="shared" si="21"/>
        <v>0</v>
      </c>
    </row>
    <row r="685" spans="3:14" x14ac:dyDescent="0.25">
      <c r="C685" t="s">
        <v>1548</v>
      </c>
      <c r="D685" t="s">
        <v>654</v>
      </c>
      <c r="E685" t="s">
        <v>400</v>
      </c>
      <c r="F685">
        <v>0</v>
      </c>
      <c r="I685" t="str">
        <v>JP3224200000</v>
      </c>
      <c r="J685" t="str">
        <v>Excluded</v>
      </c>
      <c r="K685">
        <v>0</v>
      </c>
      <c r="L685" t="str" cm="1">
        <f t="array" ref="L685">_xlfn.TEXTJOIN(",",TRUE,_xlfn._xlws.FILTER($C$5:$C$1727,($D$5:$D$1727=I685)*($E$5:$E$1727=J685)*($F$5:$F$1727=K685)))</f>
        <v>Global</v>
      </c>
      <c r="M685" t="b">
        <f t="shared" si="20"/>
        <v>0</v>
      </c>
      <c r="N685">
        <f t="shared" si="21"/>
        <v>0</v>
      </c>
    </row>
    <row r="686" spans="3:14" x14ac:dyDescent="0.25">
      <c r="C686" t="s">
        <v>1548</v>
      </c>
      <c r="D686" t="s">
        <v>655</v>
      </c>
      <c r="E686" t="s">
        <v>400</v>
      </c>
      <c r="F686">
        <v>0</v>
      </c>
      <c r="I686" t="str">
        <v>JP3228600007</v>
      </c>
      <c r="J686" t="str">
        <v>Excluded</v>
      </c>
      <c r="K686">
        <v>0</v>
      </c>
      <c r="L686" t="str" cm="1">
        <f t="array" ref="L686">_xlfn.TEXTJOIN(",",TRUE,_xlfn._xlws.FILTER($C$5:$C$1727,($D$5:$D$1727=I686)*($E$5:$E$1727=J686)*($F$5:$F$1727=K686)))</f>
        <v>Global</v>
      </c>
      <c r="M686" t="b">
        <f t="shared" si="20"/>
        <v>0</v>
      </c>
      <c r="N686">
        <f t="shared" si="21"/>
        <v>0</v>
      </c>
    </row>
    <row r="687" spans="3:14" x14ac:dyDescent="0.25">
      <c r="C687" t="s">
        <v>1548</v>
      </c>
      <c r="D687" t="s">
        <v>47</v>
      </c>
      <c r="E687" t="s">
        <v>401</v>
      </c>
      <c r="F687">
        <v>0</v>
      </c>
      <c r="I687" t="str">
        <v>JP3236200006</v>
      </c>
      <c r="J687" t="str">
        <v>Excluded</v>
      </c>
      <c r="K687">
        <v>0</v>
      </c>
      <c r="L687" t="str" cm="1">
        <f t="array" ref="L687">_xlfn.TEXTJOIN(",",TRUE,_xlfn._xlws.FILTER($C$5:$C$1727,($D$5:$D$1727=I687)*($E$5:$E$1727=J687)*($F$5:$F$1727=K687)))</f>
        <v>Global</v>
      </c>
      <c r="M687" t="b">
        <f t="shared" si="20"/>
        <v>0</v>
      </c>
      <c r="N687">
        <f t="shared" si="21"/>
        <v>0</v>
      </c>
    </row>
    <row r="688" spans="3:14" x14ac:dyDescent="0.25">
      <c r="C688" t="s">
        <v>1548</v>
      </c>
      <c r="D688" t="s">
        <v>656</v>
      </c>
      <c r="E688" t="s">
        <v>400</v>
      </c>
      <c r="F688">
        <v>0</v>
      </c>
      <c r="I688" t="str">
        <v>JP3236330001</v>
      </c>
      <c r="J688" t="str">
        <v>Excluded</v>
      </c>
      <c r="K688">
        <v>0</v>
      </c>
      <c r="L688" t="str" cm="1">
        <f t="array" ref="L688">_xlfn.TEXTJOIN(",",TRUE,_xlfn._xlws.FILTER($C$5:$C$1727,($D$5:$D$1727=I688)*($E$5:$E$1727=J688)*($F$5:$F$1727=K688)))</f>
        <v>Global</v>
      </c>
      <c r="M688" t="b">
        <f t="shared" si="20"/>
        <v>0</v>
      </c>
      <c r="N688">
        <f t="shared" si="21"/>
        <v>0</v>
      </c>
    </row>
    <row r="689" spans="3:14" x14ac:dyDescent="0.25">
      <c r="C689" t="s">
        <v>1548</v>
      </c>
      <c r="D689" t="s">
        <v>657</v>
      </c>
      <c r="E689" t="s">
        <v>400</v>
      </c>
      <c r="F689">
        <v>0</v>
      </c>
      <c r="I689" t="str">
        <v>JP3240400006</v>
      </c>
      <c r="J689" t="str">
        <v>Not included in a theme</v>
      </c>
      <c r="K689">
        <v>0</v>
      </c>
      <c r="L689" t="str" cm="1">
        <f t="array" ref="L689">_xlfn.TEXTJOIN(",",TRUE,_xlfn._xlws.FILTER($C$5:$C$1727,($D$5:$D$1727=I689)*($E$5:$E$1727=J689)*($F$5:$F$1727=K689)))</f>
        <v>Global</v>
      </c>
      <c r="M689" t="b">
        <f t="shared" si="20"/>
        <v>0</v>
      </c>
      <c r="N689">
        <f t="shared" si="21"/>
        <v>0</v>
      </c>
    </row>
    <row r="690" spans="3:14" x14ac:dyDescent="0.25">
      <c r="C690" t="s">
        <v>1548</v>
      </c>
      <c r="D690" t="s">
        <v>658</v>
      </c>
      <c r="E690" t="s">
        <v>403</v>
      </c>
      <c r="F690">
        <v>0.93</v>
      </c>
      <c r="I690" t="str">
        <v>JP3242800005</v>
      </c>
      <c r="J690" t="str">
        <v>Not included in a theme</v>
      </c>
      <c r="K690">
        <v>0</v>
      </c>
      <c r="L690" t="str" cm="1">
        <f t="array" ref="L690">_xlfn.TEXTJOIN(",",TRUE,_xlfn._xlws.FILTER($C$5:$C$1727,($D$5:$D$1727=I690)*($E$5:$E$1727=J690)*($F$5:$F$1727=K690)))</f>
        <v>Global</v>
      </c>
      <c r="M690" t="b">
        <f t="shared" si="20"/>
        <v>0</v>
      </c>
      <c r="N690">
        <f t="shared" si="21"/>
        <v>0</v>
      </c>
    </row>
    <row r="691" spans="3:14" x14ac:dyDescent="0.25">
      <c r="C691" t="s">
        <v>1548</v>
      </c>
      <c r="D691" t="s">
        <v>659</v>
      </c>
      <c r="E691" t="s">
        <v>401</v>
      </c>
      <c r="F691">
        <v>0</v>
      </c>
      <c r="I691" t="str">
        <v>JP3249600002</v>
      </c>
      <c r="J691" t="str">
        <v>Excluded</v>
      </c>
      <c r="K691">
        <v>0</v>
      </c>
      <c r="L691" t="str" cm="1">
        <f t="array" ref="L691">_xlfn.TEXTJOIN(",",TRUE,_xlfn._xlws.FILTER($C$5:$C$1727,($D$5:$D$1727=I691)*($E$5:$E$1727=J691)*($F$5:$F$1727=K691)))</f>
        <v>Global</v>
      </c>
      <c r="M691" t="b">
        <f t="shared" si="20"/>
        <v>0</v>
      </c>
      <c r="N691">
        <f t="shared" si="21"/>
        <v>0</v>
      </c>
    </row>
    <row r="692" spans="3:14" x14ac:dyDescent="0.25">
      <c r="C692" t="s">
        <v>1548</v>
      </c>
      <c r="D692" t="s">
        <v>660</v>
      </c>
      <c r="E692" t="s">
        <v>400</v>
      </c>
      <c r="F692">
        <v>0</v>
      </c>
      <c r="I692" t="str">
        <v>JP3258000003</v>
      </c>
      <c r="J692" t="str">
        <v>Not included in a theme</v>
      </c>
      <c r="K692">
        <v>0</v>
      </c>
      <c r="L692" t="str" cm="1">
        <f t="array" ref="L692">_xlfn.TEXTJOIN(",",TRUE,_xlfn._xlws.FILTER($C$5:$C$1727,($D$5:$D$1727=I692)*($E$5:$E$1727=J692)*($F$5:$F$1727=K692)))</f>
        <v>Global</v>
      </c>
      <c r="M692" t="b">
        <f t="shared" si="20"/>
        <v>0</v>
      </c>
      <c r="N692">
        <f t="shared" si="21"/>
        <v>0</v>
      </c>
    </row>
    <row r="693" spans="3:14" x14ac:dyDescent="0.25">
      <c r="C693" t="s">
        <v>1548</v>
      </c>
      <c r="D693" t="s">
        <v>661</v>
      </c>
      <c r="E693" t="s">
        <v>401</v>
      </c>
      <c r="F693">
        <v>0</v>
      </c>
      <c r="I693" t="str">
        <v>JP3266400005</v>
      </c>
      <c r="J693" t="str">
        <v>Excluded</v>
      </c>
      <c r="K693">
        <v>0</v>
      </c>
      <c r="L693" t="str" cm="1">
        <f t="array" ref="L693">_xlfn.TEXTJOIN(",",TRUE,_xlfn._xlws.FILTER($C$5:$C$1727,($D$5:$D$1727=I693)*($E$5:$E$1727=J693)*($F$5:$F$1727=K693)))</f>
        <v>Global</v>
      </c>
      <c r="M693" t="b">
        <f t="shared" si="20"/>
        <v>0</v>
      </c>
      <c r="N693">
        <f t="shared" si="21"/>
        <v>0</v>
      </c>
    </row>
    <row r="694" spans="3:14" x14ac:dyDescent="0.25">
      <c r="C694" t="s">
        <v>1548</v>
      </c>
      <c r="D694" t="s">
        <v>46</v>
      </c>
      <c r="E694" t="s">
        <v>401</v>
      </c>
      <c r="F694">
        <v>0</v>
      </c>
      <c r="I694" t="str">
        <v>JP3294460005</v>
      </c>
      <c r="J694" t="str">
        <v>Excluded</v>
      </c>
      <c r="K694">
        <v>0</v>
      </c>
      <c r="L694" t="str" cm="1">
        <f t="array" ref="L694">_xlfn.TEXTJOIN(",",TRUE,_xlfn._xlws.FILTER($C$5:$C$1727,($D$5:$D$1727=I694)*($E$5:$E$1727=J694)*($F$5:$F$1727=K694)))</f>
        <v>Global</v>
      </c>
      <c r="M694" t="b">
        <f t="shared" si="20"/>
        <v>0</v>
      </c>
      <c r="N694">
        <f t="shared" si="21"/>
        <v>0</v>
      </c>
    </row>
    <row r="695" spans="3:14" x14ac:dyDescent="0.25">
      <c r="C695" t="s">
        <v>1548</v>
      </c>
      <c r="D695" t="s">
        <v>662</v>
      </c>
      <c r="E695" t="s">
        <v>401</v>
      </c>
      <c r="F695">
        <v>0</v>
      </c>
      <c r="I695" t="str">
        <v>JP3300200007</v>
      </c>
      <c r="J695" t="str">
        <v>Not included in a theme</v>
      </c>
      <c r="K695">
        <v>0</v>
      </c>
      <c r="L695" t="str" cm="1">
        <f t="array" ref="L695">_xlfn.TEXTJOIN(",",TRUE,_xlfn._xlws.FILTER($C$5:$C$1727,($D$5:$D$1727=I695)*($E$5:$E$1727=J695)*($F$5:$F$1727=K695)))</f>
        <v>Global</v>
      </c>
      <c r="M695" t="b">
        <f t="shared" si="20"/>
        <v>0</v>
      </c>
      <c r="N695">
        <f t="shared" si="21"/>
        <v>0</v>
      </c>
    </row>
    <row r="696" spans="3:14" x14ac:dyDescent="0.25">
      <c r="C696" t="s">
        <v>1548</v>
      </c>
      <c r="D696" t="s">
        <v>663</v>
      </c>
      <c r="E696" t="s">
        <v>400</v>
      </c>
      <c r="F696">
        <v>0</v>
      </c>
      <c r="I696" t="str">
        <v>JP3304200003</v>
      </c>
      <c r="J696" t="str">
        <v>Circular economy</v>
      </c>
      <c r="K696">
        <v>0.47</v>
      </c>
      <c r="L696" t="str" cm="1">
        <f t="array" ref="L696">_xlfn.TEXTJOIN(",",TRUE,_xlfn._xlws.FILTER($C$5:$C$1727,($D$5:$D$1727=I696)*($E$5:$E$1727=J696)*($F$5:$F$1727=K696)))</f>
        <v>Global</v>
      </c>
      <c r="M696" t="b">
        <f t="shared" si="20"/>
        <v>0</v>
      </c>
      <c r="N696">
        <f t="shared" si="21"/>
        <v>0</v>
      </c>
    </row>
    <row r="697" spans="3:14" x14ac:dyDescent="0.25">
      <c r="C697" t="s">
        <v>1548</v>
      </c>
      <c r="D697" t="s">
        <v>664</v>
      </c>
      <c r="E697" t="s">
        <v>400</v>
      </c>
      <c r="F697">
        <v>0</v>
      </c>
      <c r="I697" t="str">
        <v>JP3305990008</v>
      </c>
      <c r="J697" t="str">
        <v>Excluded</v>
      </c>
      <c r="K697">
        <v>0</v>
      </c>
      <c r="L697" t="str" cm="1">
        <f t="array" ref="L697">_xlfn.TEXTJOIN(",",TRUE,_xlfn._xlws.FILTER($C$5:$C$1727,($D$5:$D$1727=I697)*($E$5:$E$1727=J697)*($F$5:$F$1727=K697)))</f>
        <v>Global</v>
      </c>
      <c r="M697" t="b">
        <f t="shared" si="20"/>
        <v>0</v>
      </c>
      <c r="N697">
        <f t="shared" si="21"/>
        <v>0</v>
      </c>
    </row>
    <row r="698" spans="3:14" x14ac:dyDescent="0.25">
      <c r="C698" t="s">
        <v>1548</v>
      </c>
      <c r="D698" t="s">
        <v>665</v>
      </c>
      <c r="E698" t="s">
        <v>400</v>
      </c>
      <c r="F698">
        <v>0</v>
      </c>
      <c r="I698" t="str">
        <v>JP3343200006</v>
      </c>
      <c r="J698" t="str">
        <v>Excluded</v>
      </c>
      <c r="K698">
        <v>0</v>
      </c>
      <c r="L698" t="str" cm="1">
        <f t="array" ref="L698">_xlfn.TEXTJOIN(",",TRUE,_xlfn._xlws.FILTER($C$5:$C$1727,($D$5:$D$1727=I698)*($E$5:$E$1727=J698)*($F$5:$F$1727=K698)))</f>
        <v>Global</v>
      </c>
      <c r="M698" t="b">
        <f t="shared" si="20"/>
        <v>0</v>
      </c>
      <c r="N698">
        <f t="shared" si="21"/>
        <v>0</v>
      </c>
    </row>
    <row r="699" spans="3:14" x14ac:dyDescent="0.25">
      <c r="C699" t="s">
        <v>1548</v>
      </c>
      <c r="D699" t="s">
        <v>666</v>
      </c>
      <c r="E699" t="s">
        <v>400</v>
      </c>
      <c r="F699">
        <v>0</v>
      </c>
      <c r="I699" t="str">
        <v>JP3347200002</v>
      </c>
      <c r="J699" t="str">
        <v>Not included in a theme</v>
      </c>
      <c r="K699">
        <v>0</v>
      </c>
      <c r="L699" t="str" cm="1">
        <f t="array" ref="L699">_xlfn.TEXTJOIN(",",TRUE,_xlfn._xlws.FILTER($C$5:$C$1727,($D$5:$D$1727=I699)*($E$5:$E$1727=J699)*($F$5:$F$1727=K699)))</f>
        <v>Global</v>
      </c>
      <c r="M699" t="b">
        <f t="shared" si="20"/>
        <v>0</v>
      </c>
      <c r="N699">
        <f t="shared" si="21"/>
        <v>0</v>
      </c>
    </row>
    <row r="700" spans="3:14" x14ac:dyDescent="0.25">
      <c r="C700" t="s">
        <v>1548</v>
      </c>
      <c r="D700" t="s">
        <v>667</v>
      </c>
      <c r="E700" t="s">
        <v>400</v>
      </c>
      <c r="F700">
        <v>0</v>
      </c>
      <c r="I700" t="str">
        <v>JP3351500008</v>
      </c>
      <c r="J700" t="str">
        <v>Excluded</v>
      </c>
      <c r="K700">
        <v>0</v>
      </c>
      <c r="L700" t="str" cm="1">
        <f t="array" ref="L700">_xlfn.TEXTJOIN(",",TRUE,_xlfn._xlws.FILTER($C$5:$C$1727,($D$5:$D$1727=I700)*($E$5:$E$1727=J700)*($F$5:$F$1727=K700)))</f>
        <v>Global</v>
      </c>
      <c r="M700" t="b">
        <f t="shared" si="20"/>
        <v>0</v>
      </c>
      <c r="N700">
        <f t="shared" si="21"/>
        <v>0</v>
      </c>
    </row>
    <row r="701" spans="3:14" x14ac:dyDescent="0.25">
      <c r="C701" t="s">
        <v>1548</v>
      </c>
      <c r="D701" t="s">
        <v>668</v>
      </c>
      <c r="E701" t="s">
        <v>401</v>
      </c>
      <c r="F701">
        <v>0</v>
      </c>
      <c r="I701" t="str">
        <v>JP3357200009</v>
      </c>
      <c r="J701" t="str">
        <v>Eco-efficient industries</v>
      </c>
      <c r="K701">
        <v>0.21</v>
      </c>
      <c r="L701" t="str" cm="1">
        <f t="array" ref="L701">_xlfn.TEXTJOIN(",",TRUE,_xlfn._xlws.FILTER($C$5:$C$1727,($D$5:$D$1727=I701)*($E$5:$E$1727=J701)*($F$5:$F$1727=K701)))</f>
        <v>Global</v>
      </c>
      <c r="M701" t="b">
        <f t="shared" si="20"/>
        <v>0</v>
      </c>
      <c r="N701">
        <f t="shared" si="21"/>
        <v>0</v>
      </c>
    </row>
    <row r="702" spans="3:14" x14ac:dyDescent="0.25">
      <c r="C702" t="s">
        <v>1548</v>
      </c>
      <c r="D702" t="s">
        <v>669</v>
      </c>
      <c r="E702" t="s">
        <v>400</v>
      </c>
      <c r="F702">
        <v>0</v>
      </c>
      <c r="I702" t="str">
        <v>JP3358000002</v>
      </c>
      <c r="J702" t="str">
        <v>Excluded</v>
      </c>
      <c r="K702">
        <v>0</v>
      </c>
      <c r="L702" t="str" cm="1">
        <f t="array" ref="L702">_xlfn.TEXTJOIN(",",TRUE,_xlfn._xlws.FILTER($C$5:$C$1727,($D$5:$D$1727=I702)*($E$5:$E$1727=J702)*($F$5:$F$1727=K702)))</f>
        <v>Global</v>
      </c>
      <c r="M702" t="b">
        <f t="shared" si="20"/>
        <v>0</v>
      </c>
      <c r="N702">
        <f t="shared" si="21"/>
        <v>0</v>
      </c>
    </row>
    <row r="703" spans="3:14" x14ac:dyDescent="0.25">
      <c r="C703" t="s">
        <v>1548</v>
      </c>
      <c r="D703" t="s">
        <v>670</v>
      </c>
      <c r="E703" t="s">
        <v>400</v>
      </c>
      <c r="F703">
        <v>0</v>
      </c>
      <c r="I703" t="str">
        <v>JP3358800005</v>
      </c>
      <c r="J703" t="str">
        <v>Not included in a theme</v>
      </c>
      <c r="K703">
        <v>0</v>
      </c>
      <c r="L703" t="str" cm="1">
        <f t="array" ref="L703">_xlfn.TEXTJOIN(",",TRUE,_xlfn._xlws.FILTER($C$5:$C$1727,($D$5:$D$1727=I703)*($E$5:$E$1727=J703)*($F$5:$F$1727=K703)))</f>
        <v>Global</v>
      </c>
      <c r="M703" t="b">
        <f t="shared" si="20"/>
        <v>0</v>
      </c>
      <c r="N703">
        <f t="shared" si="21"/>
        <v>0</v>
      </c>
    </row>
    <row r="704" spans="3:14" x14ac:dyDescent="0.25">
      <c r="C704" t="s">
        <v>1548</v>
      </c>
      <c r="D704" t="s">
        <v>671</v>
      </c>
      <c r="E704" t="s">
        <v>401</v>
      </c>
      <c r="F704">
        <v>0</v>
      </c>
      <c r="I704" t="str">
        <v>JP3360800001</v>
      </c>
      <c r="J704" t="str">
        <v>Excluded</v>
      </c>
      <c r="K704">
        <v>0</v>
      </c>
      <c r="L704" t="str" cm="1">
        <f t="array" ref="L704">_xlfn.TEXTJOIN(",",TRUE,_xlfn._xlws.FILTER($C$5:$C$1727,($D$5:$D$1727=I704)*($E$5:$E$1727=J704)*($F$5:$F$1727=K704)))</f>
        <v>Global</v>
      </c>
      <c r="M704" t="b">
        <f t="shared" si="20"/>
        <v>0</v>
      </c>
      <c r="N704">
        <f t="shared" si="21"/>
        <v>0</v>
      </c>
    </row>
    <row r="705" spans="3:14" x14ac:dyDescent="0.25">
      <c r="C705" t="s">
        <v>1548</v>
      </c>
      <c r="D705" t="s">
        <v>672</v>
      </c>
      <c r="E705" t="s">
        <v>400</v>
      </c>
      <c r="F705">
        <v>0</v>
      </c>
      <c r="I705" t="str">
        <v>JP3362700001</v>
      </c>
      <c r="J705" t="str">
        <v>Excluded</v>
      </c>
      <c r="K705">
        <v>0</v>
      </c>
      <c r="L705" t="str" cm="1">
        <f t="array" ref="L705">_xlfn.TEXTJOIN(",",TRUE,_xlfn._xlws.FILTER($C$5:$C$1727,($D$5:$D$1727=I705)*($E$5:$E$1727=J705)*($F$5:$F$1727=K705)))</f>
        <v>Global</v>
      </c>
      <c r="M705" t="b">
        <f t="shared" si="20"/>
        <v>0</v>
      </c>
      <c r="N705">
        <f t="shared" si="21"/>
        <v>0</v>
      </c>
    </row>
    <row r="706" spans="3:14" x14ac:dyDescent="0.25">
      <c r="C706" t="s">
        <v>1548</v>
      </c>
      <c r="D706" t="s">
        <v>673</v>
      </c>
      <c r="E706" t="s">
        <v>400</v>
      </c>
      <c r="F706">
        <v>0</v>
      </c>
      <c r="I706" t="str">
        <v>JP3368000000</v>
      </c>
      <c r="J706" t="str">
        <v>Excluded</v>
      </c>
      <c r="K706">
        <v>0</v>
      </c>
      <c r="L706" t="str" cm="1">
        <f t="array" ref="L706">_xlfn.TEXTJOIN(",",TRUE,_xlfn._xlws.FILTER($C$5:$C$1727,($D$5:$D$1727=I706)*($E$5:$E$1727=J706)*($F$5:$F$1727=K706)))</f>
        <v>Global</v>
      </c>
      <c r="M706" t="b">
        <f t="shared" si="20"/>
        <v>0</v>
      </c>
      <c r="N706">
        <f t="shared" si="21"/>
        <v>0</v>
      </c>
    </row>
    <row r="707" spans="3:14" x14ac:dyDescent="0.25">
      <c r="C707" t="s">
        <v>1548</v>
      </c>
      <c r="D707" t="s">
        <v>674</v>
      </c>
      <c r="E707" t="s">
        <v>399</v>
      </c>
      <c r="F707">
        <v>1</v>
      </c>
      <c r="I707" t="str">
        <v>JP3371200001</v>
      </c>
      <c r="J707" t="str">
        <v>Excluded</v>
      </c>
      <c r="K707">
        <v>0</v>
      </c>
      <c r="L707" t="str" cm="1">
        <f t="array" ref="L707">_xlfn.TEXTJOIN(",",TRUE,_xlfn._xlws.FILTER($C$5:$C$1727,($D$5:$D$1727=I707)*($E$5:$E$1727=J707)*($F$5:$F$1727=K707)))</f>
        <v>Global</v>
      </c>
      <c r="M707" t="b">
        <f t="shared" si="20"/>
        <v>0</v>
      </c>
      <c r="N707">
        <f t="shared" si="21"/>
        <v>0</v>
      </c>
    </row>
    <row r="708" spans="3:14" x14ac:dyDescent="0.25">
      <c r="C708" t="s">
        <v>1548</v>
      </c>
      <c r="D708" t="s">
        <v>675</v>
      </c>
      <c r="E708" t="s">
        <v>400</v>
      </c>
      <c r="F708">
        <v>0</v>
      </c>
      <c r="I708" t="str">
        <v>JP3381000003</v>
      </c>
      <c r="J708" t="str">
        <v>Excluded</v>
      </c>
      <c r="K708">
        <v>0</v>
      </c>
      <c r="L708" t="str" cm="1">
        <f t="array" ref="L708">_xlfn.TEXTJOIN(",",TRUE,_xlfn._xlws.FILTER($C$5:$C$1727,($D$5:$D$1727=I708)*($E$5:$E$1727=J708)*($F$5:$F$1727=K708)))</f>
        <v>Global</v>
      </c>
      <c r="M708" t="b">
        <f t="shared" si="20"/>
        <v>0</v>
      </c>
      <c r="N708">
        <f t="shared" si="21"/>
        <v>0</v>
      </c>
    </row>
    <row r="709" spans="3:14" x14ac:dyDescent="0.25">
      <c r="C709" t="s">
        <v>1548</v>
      </c>
      <c r="D709" t="s">
        <v>676</v>
      </c>
      <c r="E709" t="s">
        <v>400</v>
      </c>
      <c r="F709">
        <v>0</v>
      </c>
      <c r="I709" t="str">
        <v>JP3386030005</v>
      </c>
      <c r="J709" t="str">
        <v>Excluded</v>
      </c>
      <c r="K709">
        <v>0</v>
      </c>
      <c r="L709" t="str" cm="1">
        <f t="array" ref="L709">_xlfn.TEXTJOIN(",",TRUE,_xlfn._xlws.FILTER($C$5:$C$1727,($D$5:$D$1727=I709)*($E$5:$E$1727=J709)*($F$5:$F$1727=K709)))</f>
        <v>Global</v>
      </c>
      <c r="M709" t="b">
        <f t="shared" si="20"/>
        <v>0</v>
      </c>
      <c r="N709">
        <f t="shared" si="21"/>
        <v>0</v>
      </c>
    </row>
    <row r="710" spans="3:14" x14ac:dyDescent="0.25">
      <c r="C710" t="s">
        <v>1548</v>
      </c>
      <c r="D710" t="s">
        <v>677</v>
      </c>
      <c r="E710" t="s">
        <v>400</v>
      </c>
      <c r="F710">
        <v>0</v>
      </c>
      <c r="I710" t="str">
        <v>JP3386450005</v>
      </c>
      <c r="J710" t="str">
        <v>Excluded</v>
      </c>
      <c r="K710">
        <v>0</v>
      </c>
      <c r="L710" t="str" cm="1">
        <f t="array" ref="L710">_xlfn.TEXTJOIN(",",TRUE,_xlfn._xlws.FILTER($C$5:$C$1727,($D$5:$D$1727=I710)*($E$5:$E$1727=J710)*($F$5:$F$1727=K710)))</f>
        <v>Global</v>
      </c>
      <c r="M710" t="b">
        <f t="shared" ref="M710:M773" si="22">COUNTIFS($I$5:$I$1556,I710)&gt;1</f>
        <v>0</v>
      </c>
      <c r="N710">
        <f t="shared" ref="N710:N773" si="23">COUNTIFS($U$5:$U$231,I710)</f>
        <v>0</v>
      </c>
    </row>
    <row r="711" spans="3:14" x14ac:dyDescent="0.25">
      <c r="C711" t="s">
        <v>1548</v>
      </c>
      <c r="D711" t="s">
        <v>678</v>
      </c>
      <c r="E711" t="s">
        <v>400</v>
      </c>
      <c r="F711">
        <v>0</v>
      </c>
      <c r="I711" t="str">
        <v>JP3388200002</v>
      </c>
      <c r="J711" t="str">
        <v>Excluded</v>
      </c>
      <c r="K711">
        <v>0</v>
      </c>
      <c r="L711" t="str" cm="1">
        <f t="array" ref="L711">_xlfn.TEXTJOIN(",",TRUE,_xlfn._xlws.FILTER($C$5:$C$1727,($D$5:$D$1727=I711)*($E$5:$E$1727=J711)*($F$5:$F$1727=K711)))</f>
        <v>Global</v>
      </c>
      <c r="M711" t="b">
        <f t="shared" si="22"/>
        <v>0</v>
      </c>
      <c r="N711">
        <f t="shared" si="23"/>
        <v>0</v>
      </c>
    </row>
    <row r="712" spans="3:14" x14ac:dyDescent="0.25">
      <c r="C712" t="s">
        <v>1548</v>
      </c>
      <c r="D712" t="s">
        <v>679</v>
      </c>
      <c r="E712" t="s">
        <v>400</v>
      </c>
      <c r="F712">
        <v>0</v>
      </c>
      <c r="I712" t="str">
        <v>JP3397200001</v>
      </c>
      <c r="J712" t="str">
        <v>Excluded</v>
      </c>
      <c r="K712">
        <v>0</v>
      </c>
      <c r="L712" t="str" cm="1">
        <f t="array" ref="L712">_xlfn.TEXTJOIN(",",TRUE,_xlfn._xlws.FILTER($C$5:$C$1727,($D$5:$D$1727=I712)*($E$5:$E$1727=J712)*($F$5:$F$1727=K712)))</f>
        <v>Global</v>
      </c>
      <c r="M712" t="b">
        <f t="shared" si="22"/>
        <v>0</v>
      </c>
      <c r="N712">
        <f t="shared" si="23"/>
        <v>0</v>
      </c>
    </row>
    <row r="713" spans="3:14" x14ac:dyDescent="0.25">
      <c r="C713" t="s">
        <v>1548</v>
      </c>
      <c r="D713" t="s">
        <v>680</v>
      </c>
      <c r="E713" t="s">
        <v>401</v>
      </c>
      <c r="F713">
        <v>0</v>
      </c>
      <c r="I713" t="str">
        <v>JP3402600005</v>
      </c>
      <c r="J713" t="str">
        <v>Excluded</v>
      </c>
      <c r="K713">
        <v>0</v>
      </c>
      <c r="L713" t="str" cm="1">
        <f t="array" ref="L713">_xlfn.TEXTJOIN(",",TRUE,_xlfn._xlws.FILTER($C$5:$C$1727,($D$5:$D$1727=I713)*($E$5:$E$1727=J713)*($F$5:$F$1727=K713)))</f>
        <v>Global</v>
      </c>
      <c r="M713" t="b">
        <f t="shared" si="22"/>
        <v>0</v>
      </c>
      <c r="N713">
        <f t="shared" si="23"/>
        <v>0</v>
      </c>
    </row>
    <row r="714" spans="3:14" x14ac:dyDescent="0.25">
      <c r="C714" t="s">
        <v>1548</v>
      </c>
      <c r="D714" t="s">
        <v>681</v>
      </c>
      <c r="E714" t="s">
        <v>402</v>
      </c>
      <c r="F714">
        <v>0.35</v>
      </c>
      <c r="I714" t="str">
        <v>JP3404600003</v>
      </c>
      <c r="J714" t="str">
        <v>Excluded</v>
      </c>
      <c r="K714">
        <v>0</v>
      </c>
      <c r="L714" t="str" cm="1">
        <f t="array" ref="L714">_xlfn.TEXTJOIN(",",TRUE,_xlfn._xlws.FILTER($C$5:$C$1727,($D$5:$D$1727=I714)*($E$5:$E$1727=J714)*($F$5:$F$1727=K714)))</f>
        <v>Global</v>
      </c>
      <c r="M714" t="b">
        <f t="shared" si="22"/>
        <v>0</v>
      </c>
      <c r="N714">
        <f t="shared" si="23"/>
        <v>0</v>
      </c>
    </row>
    <row r="715" spans="3:14" x14ac:dyDescent="0.25">
      <c r="C715" t="s">
        <v>1548</v>
      </c>
      <c r="D715" t="s">
        <v>682</v>
      </c>
      <c r="E715" t="s">
        <v>400</v>
      </c>
      <c r="F715">
        <v>0</v>
      </c>
      <c r="I715" t="str">
        <v>JP3407400005</v>
      </c>
      <c r="J715" t="str">
        <v>Excluded</v>
      </c>
      <c r="K715">
        <v>0</v>
      </c>
      <c r="L715" t="str" cm="1">
        <f t="array" ref="L715">_xlfn.TEXTJOIN(",",TRUE,_xlfn._xlws.FILTER($C$5:$C$1727,($D$5:$D$1727=I715)*($E$5:$E$1727=J715)*($F$5:$F$1727=K715)))</f>
        <v>Global</v>
      </c>
      <c r="M715" t="b">
        <f t="shared" si="22"/>
        <v>0</v>
      </c>
      <c r="N715">
        <f t="shared" si="23"/>
        <v>0</v>
      </c>
    </row>
    <row r="716" spans="3:14" x14ac:dyDescent="0.25">
      <c r="C716" t="s">
        <v>1548</v>
      </c>
      <c r="D716" t="s">
        <v>683</v>
      </c>
      <c r="E716" t="s">
        <v>400</v>
      </c>
      <c r="F716">
        <v>0</v>
      </c>
      <c r="I716" t="str">
        <v>JP3409000001</v>
      </c>
      <c r="J716" t="str">
        <v>Excluded</v>
      </c>
      <c r="K716">
        <v>0</v>
      </c>
      <c r="L716" t="str" cm="1">
        <f t="array" ref="L716">_xlfn.TEXTJOIN(",",TRUE,_xlfn._xlws.FILTER($C$5:$C$1727,($D$5:$D$1727=I716)*($E$5:$E$1727=J716)*($F$5:$F$1727=K716)))</f>
        <v>Global</v>
      </c>
      <c r="M716" t="b">
        <f t="shared" si="22"/>
        <v>0</v>
      </c>
      <c r="N716">
        <f t="shared" si="23"/>
        <v>0</v>
      </c>
    </row>
    <row r="717" spans="3:14" x14ac:dyDescent="0.25">
      <c r="C717" t="s">
        <v>1548</v>
      </c>
      <c r="D717" t="s">
        <v>684</v>
      </c>
      <c r="E717" t="s">
        <v>400</v>
      </c>
      <c r="F717">
        <v>0</v>
      </c>
      <c r="I717" t="str">
        <v>JP3409800004</v>
      </c>
      <c r="J717" t="str">
        <v>Agriculture and forestry</v>
      </c>
      <c r="K717">
        <v>0.62</v>
      </c>
      <c r="L717" t="str" cm="1">
        <f t="array" ref="L717">_xlfn.TEXTJOIN(",",TRUE,_xlfn._xlws.FILTER($C$5:$C$1727,($D$5:$D$1727=I717)*($E$5:$E$1727=J717)*($F$5:$F$1727=K717)))</f>
        <v>Global</v>
      </c>
      <c r="M717" t="b">
        <f t="shared" si="22"/>
        <v>0</v>
      </c>
      <c r="N717">
        <f t="shared" si="23"/>
        <v>0</v>
      </c>
    </row>
    <row r="718" spans="3:14" x14ac:dyDescent="0.25">
      <c r="C718" t="s">
        <v>1548</v>
      </c>
      <c r="D718" t="s">
        <v>685</v>
      </c>
      <c r="E718" t="s">
        <v>399</v>
      </c>
      <c r="F718">
        <v>1</v>
      </c>
      <c r="I718" t="str">
        <v>JP3417200007</v>
      </c>
      <c r="J718" t="str">
        <v>Excluded</v>
      </c>
      <c r="K718">
        <v>0</v>
      </c>
      <c r="L718" t="str" cm="1">
        <f t="array" ref="L718">_xlfn.TEXTJOIN(",",TRUE,_xlfn._xlws.FILTER($C$5:$C$1727,($D$5:$D$1727=I718)*($E$5:$E$1727=J718)*($F$5:$F$1727=K718)))</f>
        <v>Global</v>
      </c>
      <c r="M718" t="b">
        <f t="shared" si="22"/>
        <v>0</v>
      </c>
      <c r="N718">
        <f t="shared" si="23"/>
        <v>0</v>
      </c>
    </row>
    <row r="719" spans="3:14" x14ac:dyDescent="0.25">
      <c r="C719" t="s">
        <v>1548</v>
      </c>
      <c r="D719" t="s">
        <v>686</v>
      </c>
      <c r="E719" t="s">
        <v>399</v>
      </c>
      <c r="F719">
        <v>1</v>
      </c>
      <c r="I719" t="str">
        <v>JP3419400001</v>
      </c>
      <c r="J719" t="str">
        <v>Ecoconstruction</v>
      </c>
      <c r="K719">
        <v>0.7</v>
      </c>
      <c r="L719" t="str" cm="1">
        <f t="array" ref="L719">_xlfn.TEXTJOIN(",",TRUE,_xlfn._xlws.FILTER($C$5:$C$1727,($D$5:$D$1727=I719)*($E$5:$E$1727=J719)*($F$5:$F$1727=K719)))</f>
        <v>Global</v>
      </c>
      <c r="M719" t="b">
        <f t="shared" si="22"/>
        <v>0</v>
      </c>
      <c r="N719">
        <f t="shared" si="23"/>
        <v>0</v>
      </c>
    </row>
    <row r="720" spans="3:14" x14ac:dyDescent="0.25">
      <c r="C720" t="s">
        <v>1548</v>
      </c>
      <c r="D720" t="s">
        <v>687</v>
      </c>
      <c r="E720" t="s">
        <v>400</v>
      </c>
      <c r="F720">
        <v>0</v>
      </c>
      <c r="I720" t="str">
        <v>JP3420600003</v>
      </c>
      <c r="J720" t="str">
        <v>Ecoconstruction</v>
      </c>
      <c r="K720">
        <v>0.83499999999999996</v>
      </c>
      <c r="L720" t="str" cm="1">
        <f t="array" ref="L720">_xlfn.TEXTJOIN(",",TRUE,_xlfn._xlws.FILTER($C$5:$C$1727,($D$5:$D$1727=I720)*($E$5:$E$1727=J720)*($F$5:$F$1727=K720)))</f>
        <v>Global</v>
      </c>
      <c r="M720" t="b">
        <f t="shared" si="22"/>
        <v>0</v>
      </c>
      <c r="N720">
        <f t="shared" si="23"/>
        <v>0</v>
      </c>
    </row>
    <row r="721" spans="3:14" x14ac:dyDescent="0.25">
      <c r="C721" t="s">
        <v>1548</v>
      </c>
      <c r="D721" t="s">
        <v>688</v>
      </c>
      <c r="E721" t="s">
        <v>400</v>
      </c>
      <c r="F721">
        <v>0</v>
      </c>
      <c r="I721" t="str">
        <v>JP3421800008</v>
      </c>
      <c r="J721" t="str">
        <v>Information technology</v>
      </c>
      <c r="K721">
        <v>0.1071</v>
      </c>
      <c r="L721" t="str" cm="1">
        <f t="array" ref="L721">_xlfn.TEXTJOIN(",",TRUE,_xlfn._xlws.FILTER($C$5:$C$1727,($D$5:$D$1727=I721)*($E$5:$E$1727=J721)*($F$5:$F$1727=K721)))</f>
        <v>Global</v>
      </c>
      <c r="M721" t="b">
        <f t="shared" si="22"/>
        <v>0</v>
      </c>
      <c r="N721">
        <f t="shared" si="23"/>
        <v>0</v>
      </c>
    </row>
    <row r="722" spans="3:14" x14ac:dyDescent="0.25">
      <c r="C722" t="s">
        <v>1548</v>
      </c>
      <c r="D722" t="s">
        <v>689</v>
      </c>
      <c r="E722" t="s">
        <v>400</v>
      </c>
      <c r="F722">
        <v>0</v>
      </c>
      <c r="I722" t="str">
        <v>JP3422950000</v>
      </c>
      <c r="J722" t="str">
        <v>Excluded</v>
      </c>
      <c r="K722">
        <v>0</v>
      </c>
      <c r="L722" t="str" cm="1">
        <f t="array" ref="L722">_xlfn.TEXTJOIN(",",TRUE,_xlfn._xlws.FILTER($C$5:$C$1727,($D$5:$D$1727=I722)*($E$5:$E$1727=J722)*($F$5:$F$1727=K722)))</f>
        <v>Global</v>
      </c>
      <c r="M722" t="b">
        <f t="shared" si="22"/>
        <v>0</v>
      </c>
      <c r="N722">
        <f t="shared" si="23"/>
        <v>0</v>
      </c>
    </row>
    <row r="723" spans="3:14" x14ac:dyDescent="0.25">
      <c r="C723" t="s">
        <v>1548</v>
      </c>
      <c r="D723" t="s">
        <v>690</v>
      </c>
      <c r="E723" t="s">
        <v>401</v>
      </c>
      <c r="F723">
        <v>0</v>
      </c>
      <c r="I723" t="str">
        <v>JP3429800000</v>
      </c>
      <c r="J723" t="str">
        <v>Excluded</v>
      </c>
      <c r="K723">
        <v>0</v>
      </c>
      <c r="L723" t="str" cm="1">
        <f t="array" ref="L723">_xlfn.TEXTJOIN(",",TRUE,_xlfn._xlws.FILTER($C$5:$C$1727,($D$5:$D$1727=I723)*($E$5:$E$1727=J723)*($F$5:$F$1727=K723)))</f>
        <v>Global</v>
      </c>
      <c r="M723" t="b">
        <f t="shared" si="22"/>
        <v>0</v>
      </c>
      <c r="N723">
        <f t="shared" si="23"/>
        <v>0</v>
      </c>
    </row>
    <row r="724" spans="3:14" x14ac:dyDescent="0.25">
      <c r="C724" t="s">
        <v>1548</v>
      </c>
      <c r="D724" t="s">
        <v>691</v>
      </c>
      <c r="E724" t="s">
        <v>400</v>
      </c>
      <c r="F724">
        <v>0</v>
      </c>
      <c r="I724" t="str">
        <v>JP3435000009</v>
      </c>
      <c r="J724" t="str">
        <v>Not included in a theme</v>
      </c>
      <c r="K724">
        <v>0</v>
      </c>
      <c r="L724" t="str" cm="1">
        <f t="array" ref="L724">_xlfn.TEXTJOIN(",",TRUE,_xlfn._xlws.FILTER($C$5:$C$1727,($D$5:$D$1727=I724)*($E$5:$E$1727=J724)*($F$5:$F$1727=K724)))</f>
        <v>Global</v>
      </c>
      <c r="M724" t="b">
        <f t="shared" si="22"/>
        <v>0</v>
      </c>
      <c r="N724">
        <f t="shared" si="23"/>
        <v>0</v>
      </c>
    </row>
    <row r="725" spans="3:14" x14ac:dyDescent="0.25">
      <c r="C725" t="s">
        <v>1548</v>
      </c>
      <c r="D725" t="s">
        <v>692</v>
      </c>
      <c r="E725" t="s">
        <v>401</v>
      </c>
      <c r="F725">
        <v>0</v>
      </c>
      <c r="I725" t="str">
        <v>JP3435350008</v>
      </c>
      <c r="J725" t="str">
        <v>Excluded</v>
      </c>
      <c r="K725">
        <v>0</v>
      </c>
      <c r="L725" t="str" cm="1">
        <f t="array" ref="L725">_xlfn.TEXTJOIN(",",TRUE,_xlfn._xlws.FILTER($C$5:$C$1727,($D$5:$D$1727=I725)*($E$5:$E$1727=J725)*($F$5:$F$1727=K725)))</f>
        <v>Global</v>
      </c>
      <c r="M725" t="b">
        <f t="shared" si="22"/>
        <v>0</v>
      </c>
      <c r="N725">
        <f t="shared" si="23"/>
        <v>0</v>
      </c>
    </row>
    <row r="726" spans="3:14" x14ac:dyDescent="0.25">
      <c r="C726" t="s">
        <v>1548</v>
      </c>
      <c r="D726" t="s">
        <v>693</v>
      </c>
      <c r="E726" t="s">
        <v>400</v>
      </c>
      <c r="F726">
        <v>0</v>
      </c>
      <c r="I726" t="str">
        <v>JP3435750009</v>
      </c>
      <c r="J726" t="str">
        <v>Excluded</v>
      </c>
      <c r="K726">
        <v>0</v>
      </c>
      <c r="L726" t="str" cm="1">
        <f t="array" ref="L726">_xlfn.TEXTJOIN(",",TRUE,_xlfn._xlws.FILTER($C$5:$C$1727,($D$5:$D$1727=I726)*($E$5:$E$1727=J726)*($F$5:$F$1727=K726)))</f>
        <v>Global</v>
      </c>
      <c r="M726" t="b">
        <f t="shared" si="22"/>
        <v>0</v>
      </c>
      <c r="N726">
        <f t="shared" si="23"/>
        <v>0</v>
      </c>
    </row>
    <row r="727" spans="3:14" x14ac:dyDescent="0.25">
      <c r="C727" t="s">
        <v>1548</v>
      </c>
      <c r="D727" t="s">
        <v>43</v>
      </c>
      <c r="E727" t="s">
        <v>401</v>
      </c>
      <c r="F727">
        <v>0</v>
      </c>
      <c r="I727" t="str">
        <v>JP3436100006</v>
      </c>
      <c r="J727" t="str">
        <v>Excluded</v>
      </c>
      <c r="K727">
        <v>0</v>
      </c>
      <c r="L727" t="str" cm="1">
        <f t="array" ref="L727">_xlfn.TEXTJOIN(",",TRUE,_xlfn._xlws.FILTER($C$5:$C$1727,($D$5:$D$1727=I727)*($E$5:$E$1727=J727)*($F$5:$F$1727=K727)))</f>
        <v>Global</v>
      </c>
      <c r="M727" t="b">
        <f t="shared" si="22"/>
        <v>0</v>
      </c>
      <c r="N727">
        <f t="shared" si="23"/>
        <v>0</v>
      </c>
    </row>
    <row r="728" spans="3:14" x14ac:dyDescent="0.25">
      <c r="C728" t="s">
        <v>1548</v>
      </c>
      <c r="D728" t="s">
        <v>694</v>
      </c>
      <c r="E728" t="s">
        <v>400</v>
      </c>
      <c r="F728">
        <v>0</v>
      </c>
      <c r="I728" t="str">
        <v>JP3436120004</v>
      </c>
      <c r="J728" t="str">
        <v>Excluded</v>
      </c>
      <c r="K728">
        <v>0</v>
      </c>
      <c r="L728" t="str" cm="1">
        <f t="array" ref="L728">_xlfn.TEXTJOIN(",",TRUE,_xlfn._xlws.FILTER($C$5:$C$1727,($D$5:$D$1727=I728)*($E$5:$E$1727=J728)*($F$5:$F$1727=K728)))</f>
        <v>Global</v>
      </c>
      <c r="M728" t="b">
        <f t="shared" si="22"/>
        <v>0</v>
      </c>
      <c r="N728">
        <f t="shared" si="23"/>
        <v>0</v>
      </c>
    </row>
    <row r="729" spans="3:14" x14ac:dyDescent="0.25">
      <c r="C729" t="s">
        <v>1548</v>
      </c>
      <c r="D729" t="s">
        <v>695</v>
      </c>
      <c r="E729" t="s">
        <v>400</v>
      </c>
      <c r="F729">
        <v>0</v>
      </c>
      <c r="I729" t="str">
        <v>JP3443600006</v>
      </c>
      <c r="J729" t="str">
        <v>Excluded</v>
      </c>
      <c r="K729">
        <v>0</v>
      </c>
      <c r="L729" t="str" cm="1">
        <f t="array" ref="L729">_xlfn.TEXTJOIN(",",TRUE,_xlfn._xlws.FILTER($C$5:$C$1727,($D$5:$D$1727=I729)*($E$5:$E$1727=J729)*($F$5:$F$1727=K729)))</f>
        <v>Global</v>
      </c>
      <c r="M729" t="b">
        <f t="shared" si="22"/>
        <v>0</v>
      </c>
      <c r="N729">
        <f t="shared" si="23"/>
        <v>0</v>
      </c>
    </row>
    <row r="730" spans="3:14" x14ac:dyDescent="0.25">
      <c r="C730" t="s">
        <v>1548</v>
      </c>
      <c r="D730" t="s">
        <v>696</v>
      </c>
      <c r="E730" t="s">
        <v>399</v>
      </c>
      <c r="F730">
        <v>1</v>
      </c>
      <c r="I730" t="str">
        <v>JP3463000004</v>
      </c>
      <c r="J730" t="str">
        <v>Not included in a theme</v>
      </c>
      <c r="K730">
        <v>0</v>
      </c>
      <c r="L730" t="str" cm="1">
        <f t="array" ref="L730">_xlfn.TEXTJOIN(",",TRUE,_xlfn._xlws.FILTER($C$5:$C$1727,($D$5:$D$1727=I730)*($E$5:$E$1727=J730)*($F$5:$F$1727=K730)))</f>
        <v>Global</v>
      </c>
      <c r="M730" t="b">
        <f t="shared" si="22"/>
        <v>0</v>
      </c>
      <c r="N730">
        <f t="shared" si="23"/>
        <v>0</v>
      </c>
    </row>
    <row r="731" spans="3:14" x14ac:dyDescent="0.25">
      <c r="C731" t="s">
        <v>1548</v>
      </c>
      <c r="D731" t="s">
        <v>697</v>
      </c>
      <c r="E731" t="s">
        <v>400</v>
      </c>
      <c r="F731">
        <v>0</v>
      </c>
      <c r="I731" t="str">
        <v>JP3475350009</v>
      </c>
      <c r="J731" t="str">
        <v>Not included in a theme</v>
      </c>
      <c r="K731">
        <v>0</v>
      </c>
      <c r="L731" t="str" cm="1">
        <f t="array" ref="L731">_xlfn.TEXTJOIN(",",TRUE,_xlfn._xlws.FILTER($C$5:$C$1727,($D$5:$D$1727=I731)*($E$5:$E$1727=J731)*($F$5:$F$1727=K731)))</f>
        <v>Global</v>
      </c>
      <c r="M731" t="b">
        <f t="shared" si="22"/>
        <v>0</v>
      </c>
      <c r="N731">
        <f t="shared" si="23"/>
        <v>0</v>
      </c>
    </row>
    <row r="732" spans="3:14" x14ac:dyDescent="0.25">
      <c r="C732" t="s">
        <v>1548</v>
      </c>
      <c r="D732" t="s">
        <v>698</v>
      </c>
      <c r="E732" t="s">
        <v>401</v>
      </c>
      <c r="F732">
        <v>0</v>
      </c>
      <c r="I732" t="str">
        <v>JP3476480003</v>
      </c>
      <c r="J732" t="str">
        <v>Excluded</v>
      </c>
      <c r="K732">
        <v>0</v>
      </c>
      <c r="L732" t="str" cm="1">
        <f t="array" ref="L732">_xlfn.TEXTJOIN(",",TRUE,_xlfn._xlws.FILTER($C$5:$C$1727,($D$5:$D$1727=I732)*($E$5:$E$1727=J732)*($F$5:$F$1727=K732)))</f>
        <v>Global</v>
      </c>
      <c r="M732" t="b">
        <f t="shared" si="22"/>
        <v>0</v>
      </c>
      <c r="N732">
        <f t="shared" si="23"/>
        <v>0</v>
      </c>
    </row>
    <row r="733" spans="3:14" x14ac:dyDescent="0.25">
      <c r="C733" t="s">
        <v>1548</v>
      </c>
      <c r="D733" t="s">
        <v>699</v>
      </c>
      <c r="E733" t="s">
        <v>400</v>
      </c>
      <c r="F733">
        <v>0</v>
      </c>
      <c r="I733" t="str">
        <v>JP3481800005</v>
      </c>
      <c r="J733" t="str">
        <v>Ecoconstruction</v>
      </c>
      <c r="K733">
        <v>0.9</v>
      </c>
      <c r="L733" t="str" cm="1">
        <f t="array" ref="L733">_xlfn.TEXTJOIN(",",TRUE,_xlfn._xlws.FILTER($C$5:$C$1727,($D$5:$D$1727=I733)*($E$5:$E$1727=J733)*($F$5:$F$1727=K733)))</f>
        <v>Global</v>
      </c>
      <c r="M733" t="b">
        <f t="shared" si="22"/>
        <v>0</v>
      </c>
      <c r="N733">
        <f t="shared" si="23"/>
        <v>0</v>
      </c>
    </row>
    <row r="734" spans="3:14" x14ac:dyDescent="0.25">
      <c r="C734" t="s">
        <v>1548</v>
      </c>
      <c r="D734" t="s">
        <v>700</v>
      </c>
      <c r="E734" t="s">
        <v>399</v>
      </c>
      <c r="F734">
        <v>0.43</v>
      </c>
      <c r="I734" t="str">
        <v>JP3486800000</v>
      </c>
      <c r="J734" t="str">
        <v>Excluded</v>
      </c>
      <c r="K734">
        <v>0</v>
      </c>
      <c r="L734" t="str" cm="1">
        <f t="array" ref="L734">_xlfn.TEXTJOIN(",",TRUE,_xlfn._xlws.FILTER($C$5:$C$1727,($D$5:$D$1727=I734)*($E$5:$E$1727=J734)*($F$5:$F$1727=K734)))</f>
        <v>Global</v>
      </c>
      <c r="M734" t="b">
        <f t="shared" si="22"/>
        <v>0</v>
      </c>
      <c r="N734">
        <f t="shared" si="23"/>
        <v>0</v>
      </c>
    </row>
    <row r="735" spans="3:14" x14ac:dyDescent="0.25">
      <c r="C735" t="s">
        <v>1548</v>
      </c>
      <c r="D735" t="s">
        <v>701</v>
      </c>
      <c r="E735" t="s">
        <v>400</v>
      </c>
      <c r="F735">
        <v>0</v>
      </c>
      <c r="I735" t="str">
        <v>JP3493800001</v>
      </c>
      <c r="J735" t="str">
        <v>Not included in a theme</v>
      </c>
      <c r="K735">
        <v>0</v>
      </c>
      <c r="L735" t="str" cm="1">
        <f t="array" ref="L735">_xlfn.TEXTJOIN(",",TRUE,_xlfn._xlws.FILTER($C$5:$C$1727,($D$5:$D$1727=I735)*($E$5:$E$1727=J735)*($F$5:$F$1727=K735)))</f>
        <v>Global</v>
      </c>
      <c r="M735" t="b">
        <f t="shared" si="22"/>
        <v>0</v>
      </c>
      <c r="N735">
        <f t="shared" si="23"/>
        <v>0</v>
      </c>
    </row>
    <row r="736" spans="3:14" x14ac:dyDescent="0.25">
      <c r="C736" t="s">
        <v>1548</v>
      </c>
      <c r="D736" t="s">
        <v>702</v>
      </c>
      <c r="E736" t="s">
        <v>400</v>
      </c>
      <c r="F736">
        <v>0</v>
      </c>
      <c r="I736" t="str">
        <v>JP3494600004</v>
      </c>
      <c r="J736" t="str">
        <v>Information technology</v>
      </c>
      <c r="K736">
        <v>0.94</v>
      </c>
      <c r="L736" t="str" cm="1">
        <f t="array" ref="L736">_xlfn.TEXTJOIN(",",TRUE,_xlfn._xlws.FILTER($C$5:$C$1727,($D$5:$D$1727=I736)*($E$5:$E$1727=J736)*($F$5:$F$1727=K736)))</f>
        <v>Global</v>
      </c>
      <c r="M736" t="b">
        <f t="shared" si="22"/>
        <v>0</v>
      </c>
      <c r="N736">
        <f t="shared" si="23"/>
        <v>0</v>
      </c>
    </row>
    <row r="737" spans="3:14" x14ac:dyDescent="0.25">
      <c r="C737" t="s">
        <v>1548</v>
      </c>
      <c r="D737" t="s">
        <v>703</v>
      </c>
      <c r="E737" t="s">
        <v>399</v>
      </c>
      <c r="F737">
        <v>0.9</v>
      </c>
      <c r="I737" t="str">
        <v>JP3496400007</v>
      </c>
      <c r="J737" t="str">
        <v>Not included in a theme</v>
      </c>
      <c r="K737">
        <v>0</v>
      </c>
      <c r="L737" t="str" cm="1">
        <f t="array" ref="L737">_xlfn.TEXTJOIN(",",TRUE,_xlfn._xlws.FILTER($C$5:$C$1727,($D$5:$D$1727=I737)*($E$5:$E$1727=J737)*($F$5:$F$1727=K737)))</f>
        <v>Global</v>
      </c>
      <c r="M737" t="b">
        <f t="shared" si="22"/>
        <v>0</v>
      </c>
      <c r="N737">
        <f t="shared" si="23"/>
        <v>0</v>
      </c>
    </row>
    <row r="738" spans="3:14" x14ac:dyDescent="0.25">
      <c r="C738" t="s">
        <v>1548</v>
      </c>
      <c r="D738" t="s">
        <v>704</v>
      </c>
      <c r="E738" t="s">
        <v>399</v>
      </c>
      <c r="F738">
        <v>0.45</v>
      </c>
      <c r="I738" t="str">
        <v>JP3497400006</v>
      </c>
      <c r="J738" t="str">
        <v>Eco-efficient industries</v>
      </c>
      <c r="K738">
        <v>0.33100000000000002</v>
      </c>
      <c r="L738" t="str" cm="1">
        <f t="array" ref="L738">_xlfn.TEXTJOIN(",",TRUE,_xlfn._xlws.FILTER($C$5:$C$1727,($D$5:$D$1727=I738)*($E$5:$E$1727=J738)*($F$5:$F$1727=K738)))</f>
        <v>Global</v>
      </c>
      <c r="M738" t="b">
        <f t="shared" si="22"/>
        <v>0</v>
      </c>
      <c r="N738">
        <f t="shared" si="23"/>
        <v>0</v>
      </c>
    </row>
    <row r="739" spans="3:14" x14ac:dyDescent="0.25">
      <c r="C739" t="s">
        <v>1548</v>
      </c>
      <c r="D739" t="s">
        <v>56</v>
      </c>
      <c r="E739" t="s">
        <v>399</v>
      </c>
      <c r="F739">
        <v>0.34</v>
      </c>
      <c r="I739" t="str">
        <v>JP3499800005</v>
      </c>
      <c r="J739" t="str">
        <v>Excluded</v>
      </c>
      <c r="K739">
        <v>0</v>
      </c>
      <c r="L739" t="str" cm="1">
        <f t="array" ref="L739">_xlfn.TEXTJOIN(",",TRUE,_xlfn._xlws.FILTER($C$5:$C$1727,($D$5:$D$1727=I739)*($E$5:$E$1727=J739)*($F$5:$F$1727=K739)))</f>
        <v>Global</v>
      </c>
      <c r="M739" t="b">
        <f t="shared" si="22"/>
        <v>0</v>
      </c>
      <c r="N739">
        <f t="shared" si="23"/>
        <v>0</v>
      </c>
    </row>
    <row r="740" spans="3:14" x14ac:dyDescent="0.25">
      <c r="C740" t="s">
        <v>1548</v>
      </c>
      <c r="D740" t="s">
        <v>705</v>
      </c>
      <c r="E740" t="s">
        <v>400</v>
      </c>
      <c r="F740">
        <v>0</v>
      </c>
      <c r="I740" t="str">
        <v>JP3500610005</v>
      </c>
      <c r="J740" t="str">
        <v>Excluded</v>
      </c>
      <c r="K740">
        <v>0</v>
      </c>
      <c r="L740" t="str" cm="1">
        <f t="array" ref="L740">_xlfn.TEXTJOIN(",",TRUE,_xlfn._xlws.FILTER($C$5:$C$1727,($D$5:$D$1727=I740)*($E$5:$E$1727=J740)*($F$5:$F$1727=K740)))</f>
        <v>Global</v>
      </c>
      <c r="M740" t="b">
        <f t="shared" si="22"/>
        <v>0</v>
      </c>
      <c r="N740">
        <f t="shared" si="23"/>
        <v>0</v>
      </c>
    </row>
    <row r="741" spans="3:14" x14ac:dyDescent="0.25">
      <c r="C741" t="s">
        <v>1548</v>
      </c>
      <c r="D741" t="s">
        <v>706</v>
      </c>
      <c r="E741" t="s">
        <v>401</v>
      </c>
      <c r="F741">
        <v>0</v>
      </c>
      <c r="I741" t="str">
        <v>JP3502200003</v>
      </c>
      <c r="J741" t="str">
        <v>Excluded</v>
      </c>
      <c r="K741">
        <v>0</v>
      </c>
      <c r="L741" t="str" cm="1">
        <f t="array" ref="L741">_xlfn.TEXTJOIN(",",TRUE,_xlfn._xlws.FILTER($C$5:$C$1727,($D$5:$D$1727=I741)*($E$5:$E$1727=J741)*($F$5:$F$1727=K741)))</f>
        <v>Global</v>
      </c>
      <c r="M741" t="b">
        <f t="shared" si="22"/>
        <v>0</v>
      </c>
      <c r="N741">
        <f t="shared" si="23"/>
        <v>0</v>
      </c>
    </row>
    <row r="742" spans="3:14" x14ac:dyDescent="0.25">
      <c r="C742" t="s">
        <v>1548</v>
      </c>
      <c r="D742" t="s">
        <v>57</v>
      </c>
      <c r="E742" t="s">
        <v>401</v>
      </c>
      <c r="F742">
        <v>0</v>
      </c>
      <c r="I742" t="str">
        <v>JP3505000004</v>
      </c>
      <c r="J742" t="str">
        <v>Excluded</v>
      </c>
      <c r="K742">
        <v>0</v>
      </c>
      <c r="L742" t="str" cm="1">
        <f t="array" ref="L742">_xlfn.TEXTJOIN(",",TRUE,_xlfn._xlws.FILTER($C$5:$C$1727,($D$5:$D$1727=I742)*($E$5:$E$1727=J742)*($F$5:$F$1727=K742)))</f>
        <v>Global</v>
      </c>
      <c r="M742" t="b">
        <f t="shared" si="22"/>
        <v>0</v>
      </c>
      <c r="N742">
        <f t="shared" si="23"/>
        <v>0</v>
      </c>
    </row>
    <row r="743" spans="3:14" x14ac:dyDescent="0.25">
      <c r="C743" t="s">
        <v>1548</v>
      </c>
      <c r="D743" t="s">
        <v>40</v>
      </c>
      <c r="E743" t="s">
        <v>400</v>
      </c>
      <c r="F743">
        <v>0</v>
      </c>
      <c r="I743" t="str">
        <v>JP3511800009</v>
      </c>
      <c r="J743" t="str">
        <v>Excluded</v>
      </c>
      <c r="K743">
        <v>0</v>
      </c>
      <c r="L743" t="str" cm="1">
        <f t="array" ref="L743">_xlfn.TEXTJOIN(",",TRUE,_xlfn._xlws.FILTER($C$5:$C$1727,($D$5:$D$1727=I743)*($E$5:$E$1727=J743)*($F$5:$F$1727=K743)))</f>
        <v>Global</v>
      </c>
      <c r="M743" t="b">
        <f t="shared" si="22"/>
        <v>0</v>
      </c>
      <c r="N743">
        <f t="shared" si="23"/>
        <v>0</v>
      </c>
    </row>
    <row r="744" spans="3:14" x14ac:dyDescent="0.25">
      <c r="C744" t="s">
        <v>1548</v>
      </c>
      <c r="D744" t="s">
        <v>58</v>
      </c>
      <c r="E744" t="s">
        <v>400</v>
      </c>
      <c r="F744">
        <v>0</v>
      </c>
      <c r="I744" t="str">
        <v>JP3519400000</v>
      </c>
      <c r="J744" t="str">
        <v>Not included in a theme</v>
      </c>
      <c r="K744">
        <v>0</v>
      </c>
      <c r="L744" t="str" cm="1">
        <f t="array" ref="L744">_xlfn.TEXTJOIN(",",TRUE,_xlfn._xlws.FILTER($C$5:$C$1727,($D$5:$D$1727=I744)*($E$5:$E$1727=J744)*($F$5:$F$1727=K744)))</f>
        <v>Global</v>
      </c>
      <c r="M744" t="b">
        <f t="shared" si="22"/>
        <v>0</v>
      </c>
      <c r="N744">
        <f t="shared" si="23"/>
        <v>0</v>
      </c>
    </row>
    <row r="745" spans="3:14" x14ac:dyDescent="0.25">
      <c r="C745" t="s">
        <v>1548</v>
      </c>
      <c r="D745" t="s">
        <v>707</v>
      </c>
      <c r="E745" t="s">
        <v>400</v>
      </c>
      <c r="F745">
        <v>0</v>
      </c>
      <c r="I745" t="str">
        <v>JP3526600006</v>
      </c>
      <c r="J745" t="str">
        <v>Excluded</v>
      </c>
      <c r="K745">
        <v>0</v>
      </c>
      <c r="L745" t="str" cm="1">
        <f t="array" ref="L745">_xlfn.TEXTJOIN(",",TRUE,_xlfn._xlws.FILTER($C$5:$C$1727,($D$5:$D$1727=I745)*($E$5:$E$1727=J745)*($F$5:$F$1727=K745)))</f>
        <v>Global</v>
      </c>
      <c r="M745" t="b">
        <f t="shared" si="22"/>
        <v>0</v>
      </c>
      <c r="N745">
        <f t="shared" si="23"/>
        <v>0</v>
      </c>
    </row>
    <row r="746" spans="3:14" x14ac:dyDescent="0.25">
      <c r="C746" t="s">
        <v>1548</v>
      </c>
      <c r="D746" t="s">
        <v>708</v>
      </c>
      <c r="E746" t="s">
        <v>400</v>
      </c>
      <c r="F746">
        <v>0</v>
      </c>
      <c r="I746" t="str">
        <v>JP3538800008</v>
      </c>
      <c r="J746" t="str">
        <v>Eco-efficient industries</v>
      </c>
      <c r="K746">
        <v>0.53</v>
      </c>
      <c r="L746" t="str" cm="1">
        <f t="array" ref="L746">_xlfn.TEXTJOIN(",",TRUE,_xlfn._xlws.FILTER($C$5:$C$1727,($D$5:$D$1727=I746)*($E$5:$E$1727=J746)*($F$5:$F$1727=K746)))</f>
        <v>Global</v>
      </c>
      <c r="M746" t="b">
        <f t="shared" si="22"/>
        <v>0</v>
      </c>
      <c r="N746">
        <f t="shared" si="23"/>
        <v>0</v>
      </c>
    </row>
    <row r="747" spans="3:14" x14ac:dyDescent="0.25">
      <c r="C747" t="s">
        <v>1548</v>
      </c>
      <c r="D747" t="s">
        <v>709</v>
      </c>
      <c r="E747" t="s">
        <v>401</v>
      </c>
      <c r="F747">
        <v>0</v>
      </c>
      <c r="I747" t="str">
        <v>JP3539220008</v>
      </c>
      <c r="J747" t="str">
        <v>Excluded</v>
      </c>
      <c r="K747">
        <v>0</v>
      </c>
      <c r="L747" t="str" cm="1">
        <f t="array" ref="L747">_xlfn.TEXTJOIN(",",TRUE,_xlfn._xlws.FILTER($C$5:$C$1727,($D$5:$D$1727=I747)*($E$5:$E$1727=J747)*($F$5:$F$1727=K747)))</f>
        <v>Global</v>
      </c>
      <c r="M747" t="b">
        <f t="shared" si="22"/>
        <v>0</v>
      </c>
      <c r="N747">
        <f t="shared" si="23"/>
        <v>0</v>
      </c>
    </row>
    <row r="748" spans="3:14" x14ac:dyDescent="0.25">
      <c r="C748" t="s">
        <v>1548</v>
      </c>
      <c r="D748" t="s">
        <v>710</v>
      </c>
      <c r="E748" t="s">
        <v>403</v>
      </c>
      <c r="F748">
        <v>0.57999999999999996</v>
      </c>
      <c r="I748" t="str">
        <v>JP3546800008</v>
      </c>
      <c r="J748" t="str">
        <v>Not included in a theme</v>
      </c>
      <c r="K748">
        <v>0</v>
      </c>
      <c r="L748" t="str" cm="1">
        <f t="array" ref="L748">_xlfn.TEXTJOIN(",",TRUE,_xlfn._xlws.FILTER($C$5:$C$1727,($D$5:$D$1727=I748)*($E$5:$E$1727=J748)*($F$5:$F$1727=K748)))</f>
        <v>Global</v>
      </c>
      <c r="M748" t="b">
        <f t="shared" si="22"/>
        <v>0</v>
      </c>
      <c r="N748">
        <f t="shared" si="23"/>
        <v>0</v>
      </c>
    </row>
    <row r="749" spans="3:14" x14ac:dyDescent="0.25">
      <c r="C749" t="s">
        <v>1548</v>
      </c>
      <c r="D749" t="s">
        <v>711</v>
      </c>
      <c r="E749" t="s">
        <v>400</v>
      </c>
      <c r="F749">
        <v>0</v>
      </c>
      <c r="I749" t="str">
        <v>JP3548600000</v>
      </c>
      <c r="J749" t="str">
        <v>Excluded</v>
      </c>
      <c r="K749">
        <v>0</v>
      </c>
      <c r="L749" t="str" cm="1">
        <f t="array" ref="L749">_xlfn.TEXTJOIN(",",TRUE,_xlfn._xlws.FILTER($C$5:$C$1727,($D$5:$D$1727=I749)*($E$5:$E$1727=J749)*($F$5:$F$1727=K749)))</f>
        <v>Global</v>
      </c>
      <c r="M749" t="b">
        <f t="shared" si="22"/>
        <v>0</v>
      </c>
      <c r="N749">
        <f t="shared" si="23"/>
        <v>0</v>
      </c>
    </row>
    <row r="750" spans="3:14" x14ac:dyDescent="0.25">
      <c r="C750" t="s">
        <v>1548</v>
      </c>
      <c r="D750" t="s">
        <v>712</v>
      </c>
      <c r="E750" t="s">
        <v>400</v>
      </c>
      <c r="F750">
        <v>0</v>
      </c>
      <c r="I750" t="str">
        <v>JP3551500006</v>
      </c>
      <c r="J750" t="str">
        <v>Excluded</v>
      </c>
      <c r="K750">
        <v>0</v>
      </c>
      <c r="L750" t="str" cm="1">
        <f t="array" ref="L750">_xlfn.TEXTJOIN(",",TRUE,_xlfn._xlws.FILTER($C$5:$C$1727,($D$5:$D$1727=I750)*($E$5:$E$1727=J750)*($F$5:$F$1727=K750)))</f>
        <v>Global</v>
      </c>
      <c r="M750" t="b">
        <f t="shared" si="22"/>
        <v>0</v>
      </c>
      <c r="N750">
        <f t="shared" si="23"/>
        <v>0</v>
      </c>
    </row>
    <row r="751" spans="3:14" x14ac:dyDescent="0.25">
      <c r="C751" t="s">
        <v>1548</v>
      </c>
      <c r="D751" t="s">
        <v>713</v>
      </c>
      <c r="E751" t="s">
        <v>399</v>
      </c>
      <c r="F751">
        <v>0.56999999999999995</v>
      </c>
      <c r="I751" t="str">
        <v>JP3566800003</v>
      </c>
      <c r="J751" t="str">
        <v>Excluded</v>
      </c>
      <c r="K751">
        <v>0</v>
      </c>
      <c r="L751" t="str" cm="1">
        <f t="array" ref="L751">_xlfn.TEXTJOIN(",",TRUE,_xlfn._xlws.FILTER($C$5:$C$1727,($D$5:$D$1727=I751)*($E$5:$E$1727=J751)*($F$5:$F$1727=K751)))</f>
        <v>Global</v>
      </c>
      <c r="M751" t="b">
        <f t="shared" si="22"/>
        <v>0</v>
      </c>
      <c r="N751">
        <f t="shared" si="23"/>
        <v>0</v>
      </c>
    </row>
    <row r="752" spans="3:14" x14ac:dyDescent="0.25">
      <c r="C752" t="s">
        <v>1548</v>
      </c>
      <c r="D752" t="s">
        <v>714</v>
      </c>
      <c r="E752" t="s">
        <v>400</v>
      </c>
      <c r="F752">
        <v>0</v>
      </c>
      <c r="I752" t="str">
        <v>JP3571400005</v>
      </c>
      <c r="J752" t="str">
        <v>Excluded</v>
      </c>
      <c r="K752">
        <v>0</v>
      </c>
      <c r="L752" t="str" cm="1">
        <f t="array" ref="L752">_xlfn.TEXTJOIN(",",TRUE,_xlfn._xlws.FILTER($C$5:$C$1727,($D$5:$D$1727=I752)*($E$5:$E$1727=J752)*($F$5:$F$1727=K752)))</f>
        <v>Global</v>
      </c>
      <c r="M752" t="b">
        <f t="shared" si="22"/>
        <v>0</v>
      </c>
      <c r="N752">
        <f t="shared" si="23"/>
        <v>0</v>
      </c>
    </row>
    <row r="753" spans="3:14" x14ac:dyDescent="0.25">
      <c r="C753" t="s">
        <v>1548</v>
      </c>
      <c r="D753" t="s">
        <v>715</v>
      </c>
      <c r="E753" t="s">
        <v>400</v>
      </c>
      <c r="F753">
        <v>0</v>
      </c>
      <c r="I753" t="str">
        <v>JP3573000001</v>
      </c>
      <c r="J753" t="str">
        <v>Excluded</v>
      </c>
      <c r="K753">
        <v>0</v>
      </c>
      <c r="L753" t="str" cm="1">
        <f t="array" ref="L753">_xlfn.TEXTJOIN(",",TRUE,_xlfn._xlws.FILTER($C$5:$C$1727,($D$5:$D$1727=I753)*($E$5:$E$1727=J753)*($F$5:$F$1727=K753)))</f>
        <v>Global</v>
      </c>
      <c r="M753" t="b">
        <f t="shared" si="22"/>
        <v>0</v>
      </c>
      <c r="N753">
        <f t="shared" si="23"/>
        <v>0</v>
      </c>
    </row>
    <row r="754" spans="3:14" x14ac:dyDescent="0.25">
      <c r="C754" t="s">
        <v>1548</v>
      </c>
      <c r="D754" t="s">
        <v>716</v>
      </c>
      <c r="E754" t="s">
        <v>400</v>
      </c>
      <c r="F754">
        <v>0</v>
      </c>
      <c r="I754" t="str">
        <v>JP3574200006</v>
      </c>
      <c r="J754" t="str">
        <v>Clean transport</v>
      </c>
      <c r="K754">
        <v>0.19</v>
      </c>
      <c r="L754" t="str" cm="1">
        <f t="array" ref="L754">_xlfn.TEXTJOIN(",",TRUE,_xlfn._xlws.FILTER($C$5:$C$1727,($D$5:$D$1727=I754)*($E$5:$E$1727=J754)*($F$5:$F$1727=K754)))</f>
        <v>Global</v>
      </c>
      <c r="M754" t="b">
        <f t="shared" si="22"/>
        <v>0</v>
      </c>
      <c r="N754">
        <f t="shared" si="23"/>
        <v>0</v>
      </c>
    </row>
    <row r="755" spans="3:14" x14ac:dyDescent="0.25">
      <c r="C755" t="s">
        <v>1548</v>
      </c>
      <c r="D755" t="s">
        <v>717</v>
      </c>
      <c r="E755" t="s">
        <v>401</v>
      </c>
      <c r="F755">
        <v>0</v>
      </c>
      <c r="I755" t="str">
        <v>JP3585800000</v>
      </c>
      <c r="J755" t="str">
        <v>Excluded</v>
      </c>
      <c r="K755">
        <v>0</v>
      </c>
      <c r="L755" t="str" cm="1">
        <f t="array" ref="L755">_xlfn.TEXTJOIN(",",TRUE,_xlfn._xlws.FILTER($C$5:$C$1727,($D$5:$D$1727=I755)*($E$5:$E$1727=J755)*($F$5:$F$1727=K755)))</f>
        <v>Global</v>
      </c>
      <c r="M755" t="b">
        <f t="shared" si="22"/>
        <v>0</v>
      </c>
      <c r="N755">
        <f t="shared" si="23"/>
        <v>0</v>
      </c>
    </row>
    <row r="756" spans="3:14" x14ac:dyDescent="0.25">
      <c r="C756" t="s">
        <v>1548</v>
      </c>
      <c r="D756" t="s">
        <v>42</v>
      </c>
      <c r="E756" t="s">
        <v>400</v>
      </c>
      <c r="F756">
        <v>0</v>
      </c>
      <c r="I756" t="str">
        <v>JP3598600009</v>
      </c>
      <c r="J756" t="str">
        <v>Not included in a theme</v>
      </c>
      <c r="K756">
        <v>0</v>
      </c>
      <c r="L756" t="str" cm="1">
        <f t="array" ref="L756">_xlfn.TEXTJOIN(",",TRUE,_xlfn._xlws.FILTER($C$5:$C$1727,($D$5:$D$1727=I756)*($E$5:$E$1727=J756)*($F$5:$F$1727=K756)))</f>
        <v>Global</v>
      </c>
      <c r="M756" t="b">
        <f t="shared" si="22"/>
        <v>0</v>
      </c>
      <c r="N756">
        <f t="shared" si="23"/>
        <v>0</v>
      </c>
    </row>
    <row r="757" spans="3:14" x14ac:dyDescent="0.25">
      <c r="C757" t="s">
        <v>1548</v>
      </c>
      <c r="D757" t="s">
        <v>36</v>
      </c>
      <c r="E757" t="s">
        <v>400</v>
      </c>
      <c r="F757">
        <v>0</v>
      </c>
      <c r="I757" t="str">
        <v>JP3613000003</v>
      </c>
      <c r="J757" t="str">
        <v>Not included in a theme</v>
      </c>
      <c r="K757">
        <v>0</v>
      </c>
      <c r="L757" t="str" cm="1">
        <f t="array" ref="L757">_xlfn.TEXTJOIN(",",TRUE,_xlfn._xlws.FILTER($C$5:$C$1727,($D$5:$D$1727=I757)*($E$5:$E$1727=J757)*($F$5:$F$1727=K757)))</f>
        <v>Global</v>
      </c>
      <c r="M757" t="b">
        <f t="shared" si="22"/>
        <v>0</v>
      </c>
      <c r="N757">
        <f t="shared" si="23"/>
        <v>0</v>
      </c>
    </row>
    <row r="758" spans="3:14" x14ac:dyDescent="0.25">
      <c r="C758" t="s">
        <v>1548</v>
      </c>
      <c r="D758" t="s">
        <v>718</v>
      </c>
      <c r="E758" t="s">
        <v>401</v>
      </c>
      <c r="F758">
        <v>0</v>
      </c>
      <c r="I758" t="str">
        <v>JP3621000003</v>
      </c>
      <c r="J758" t="str">
        <v>Circular economy</v>
      </c>
      <c r="K758">
        <v>0.53</v>
      </c>
      <c r="L758" t="str" cm="1">
        <f t="array" ref="L758">_xlfn.TEXTJOIN(",",TRUE,_xlfn._xlws.FILTER($C$5:$C$1727,($D$5:$D$1727=I758)*($E$5:$E$1727=J758)*($F$5:$F$1727=K758)))</f>
        <v>Global</v>
      </c>
      <c r="M758" t="b">
        <f t="shared" si="22"/>
        <v>0</v>
      </c>
      <c r="N758">
        <f t="shared" si="23"/>
        <v>0</v>
      </c>
    </row>
    <row r="759" spans="3:14" x14ac:dyDescent="0.25">
      <c r="C759" t="s">
        <v>1548</v>
      </c>
      <c r="D759" t="s">
        <v>719</v>
      </c>
      <c r="E759" t="s">
        <v>400</v>
      </c>
      <c r="F759">
        <v>0</v>
      </c>
      <c r="I759" t="str">
        <v>JP3629000005</v>
      </c>
      <c r="J759" t="str">
        <v>Eco-efficient industries</v>
      </c>
      <c r="K759">
        <v>0.73</v>
      </c>
      <c r="L759" t="str" cm="1">
        <f t="array" ref="L759">_xlfn.TEXTJOIN(",",TRUE,_xlfn._xlws.FILTER($C$5:$C$1727,($D$5:$D$1727=I759)*($E$5:$E$1727=J759)*($F$5:$F$1727=K759)))</f>
        <v>Global</v>
      </c>
      <c r="M759" t="b">
        <f t="shared" si="22"/>
        <v>0</v>
      </c>
      <c r="N759">
        <f t="shared" si="23"/>
        <v>0</v>
      </c>
    </row>
    <row r="760" spans="3:14" x14ac:dyDescent="0.25">
      <c r="C760" t="s">
        <v>1548</v>
      </c>
      <c r="D760" t="s">
        <v>63</v>
      </c>
      <c r="E760" t="s">
        <v>400</v>
      </c>
      <c r="F760">
        <v>0</v>
      </c>
      <c r="I760" t="str">
        <v>JP3633400001</v>
      </c>
      <c r="J760" t="str">
        <v>Excluded</v>
      </c>
      <c r="K760">
        <v>0</v>
      </c>
      <c r="L760" t="str" cm="1">
        <f t="array" ref="L760">_xlfn.TEXTJOIN(",",TRUE,_xlfn._xlws.FILTER($C$5:$C$1727,($D$5:$D$1727=I760)*($E$5:$E$1727=J760)*($F$5:$F$1727=K760)))</f>
        <v>Global</v>
      </c>
      <c r="M760" t="b">
        <f t="shared" si="22"/>
        <v>0</v>
      </c>
      <c r="N760">
        <f t="shared" si="23"/>
        <v>0</v>
      </c>
    </row>
    <row r="761" spans="3:14" x14ac:dyDescent="0.25">
      <c r="C761" t="s">
        <v>1548</v>
      </c>
      <c r="D761" t="s">
        <v>720</v>
      </c>
      <c r="E761" t="s">
        <v>400</v>
      </c>
      <c r="F761">
        <v>0</v>
      </c>
      <c r="I761" t="str">
        <v>JP3634600005</v>
      </c>
      <c r="J761" t="str">
        <v>Excluded</v>
      </c>
      <c r="K761">
        <v>0</v>
      </c>
      <c r="L761" t="str" cm="1">
        <f t="array" ref="L761">_xlfn.TEXTJOIN(",",TRUE,_xlfn._xlws.FILTER($C$5:$C$1727,($D$5:$D$1727=I761)*($E$5:$E$1727=J761)*($F$5:$F$1727=K761)))</f>
        <v>Global</v>
      </c>
      <c r="M761" t="b">
        <f t="shared" si="22"/>
        <v>0</v>
      </c>
      <c r="N761">
        <f t="shared" si="23"/>
        <v>0</v>
      </c>
    </row>
    <row r="762" spans="3:14" x14ac:dyDescent="0.25">
      <c r="C762" t="s">
        <v>1548</v>
      </c>
      <c r="D762" t="s">
        <v>721</v>
      </c>
      <c r="E762" t="s">
        <v>400</v>
      </c>
      <c r="F762">
        <v>0</v>
      </c>
      <c r="I762" t="str">
        <v>JP3635000007</v>
      </c>
      <c r="J762" t="str">
        <v>Excluded</v>
      </c>
      <c r="K762">
        <v>0</v>
      </c>
      <c r="L762" t="str" cm="1">
        <f t="array" ref="L762">_xlfn.TEXTJOIN(",",TRUE,_xlfn._xlws.FILTER($C$5:$C$1727,($D$5:$D$1727=I762)*($E$5:$E$1727=J762)*($F$5:$F$1727=K762)))</f>
        <v>Global</v>
      </c>
      <c r="M762" t="b">
        <f t="shared" si="22"/>
        <v>0</v>
      </c>
      <c r="N762">
        <f t="shared" si="23"/>
        <v>0</v>
      </c>
    </row>
    <row r="763" spans="3:14" x14ac:dyDescent="0.25">
      <c r="C763" t="s">
        <v>1548</v>
      </c>
      <c r="D763" t="s">
        <v>722</v>
      </c>
      <c r="E763" t="s">
        <v>404</v>
      </c>
      <c r="F763">
        <v>1</v>
      </c>
      <c r="I763" t="str">
        <v>JP3637300009</v>
      </c>
      <c r="J763" t="str">
        <v>Not included in a theme</v>
      </c>
      <c r="K763">
        <v>0</v>
      </c>
      <c r="L763" t="str" cm="1">
        <f t="array" ref="L763">_xlfn.TEXTJOIN(",",TRUE,_xlfn._xlws.FILTER($C$5:$C$1727,($D$5:$D$1727=I763)*($E$5:$E$1727=J763)*($F$5:$F$1727=K763)))</f>
        <v>Global</v>
      </c>
      <c r="M763" t="b">
        <f t="shared" si="22"/>
        <v>0</v>
      </c>
      <c r="N763">
        <f t="shared" si="23"/>
        <v>0</v>
      </c>
    </row>
    <row r="764" spans="3:14" x14ac:dyDescent="0.25">
      <c r="C764" t="s">
        <v>1548</v>
      </c>
      <c r="D764" t="s">
        <v>54</v>
      </c>
      <c r="E764" t="s">
        <v>400</v>
      </c>
      <c r="F764">
        <v>0</v>
      </c>
      <c r="I764" t="str">
        <v>JP3639650005</v>
      </c>
      <c r="J764" t="str">
        <v>Excluded</v>
      </c>
      <c r="K764">
        <v>0</v>
      </c>
      <c r="L764" t="str" cm="1">
        <f t="array" ref="L764">_xlfn.TEXTJOIN(",",TRUE,_xlfn._xlws.FILTER($C$5:$C$1727,($D$5:$D$1727=I764)*($E$5:$E$1727=J764)*($F$5:$F$1727=K764)))</f>
        <v>Global</v>
      </c>
      <c r="M764" t="b">
        <f t="shared" si="22"/>
        <v>0</v>
      </c>
      <c r="N764">
        <f t="shared" si="23"/>
        <v>0</v>
      </c>
    </row>
    <row r="765" spans="3:14" x14ac:dyDescent="0.25">
      <c r="C765" t="s">
        <v>1548</v>
      </c>
      <c r="D765" t="s">
        <v>723</v>
      </c>
      <c r="E765" t="s">
        <v>402</v>
      </c>
      <c r="F765">
        <v>0.92</v>
      </c>
      <c r="I765" t="str">
        <v>JP3659000008</v>
      </c>
      <c r="J765" t="str">
        <v>Clean transport</v>
      </c>
      <c r="K765">
        <v>0.73</v>
      </c>
      <c r="L765" t="str" cm="1">
        <f t="array" ref="L765">_xlfn.TEXTJOIN(",",TRUE,_xlfn._xlws.FILTER($C$5:$C$1727,($D$5:$D$1727=I765)*($E$5:$E$1727=J765)*($F$5:$F$1727=K765)))</f>
        <v>Global</v>
      </c>
      <c r="M765" t="b">
        <f t="shared" si="22"/>
        <v>0</v>
      </c>
      <c r="N765">
        <f t="shared" si="23"/>
        <v>0</v>
      </c>
    </row>
    <row r="766" spans="3:14" x14ac:dyDescent="0.25">
      <c r="C766" t="s">
        <v>1548</v>
      </c>
      <c r="D766" t="s">
        <v>724</v>
      </c>
      <c r="E766" t="s">
        <v>401</v>
      </c>
      <c r="F766">
        <v>0</v>
      </c>
      <c r="I766" t="str">
        <v>JP3684000007</v>
      </c>
      <c r="J766" t="str">
        <v>Ecoconstruction</v>
      </c>
      <c r="K766">
        <v>0.36</v>
      </c>
      <c r="L766" t="str" cm="1">
        <f t="array" ref="L766">_xlfn.TEXTJOIN(",",TRUE,_xlfn._xlws.FILTER($C$5:$C$1727,($D$5:$D$1727=I766)*($E$5:$E$1727=J766)*($F$5:$F$1727=K766)))</f>
        <v>Global</v>
      </c>
      <c r="M766" t="b">
        <f t="shared" si="22"/>
        <v>0</v>
      </c>
      <c r="N766">
        <f t="shared" si="23"/>
        <v>0</v>
      </c>
    </row>
    <row r="767" spans="3:14" x14ac:dyDescent="0.25">
      <c r="C767" t="s">
        <v>1548</v>
      </c>
      <c r="D767" t="s">
        <v>725</v>
      </c>
      <c r="E767" t="s">
        <v>400</v>
      </c>
      <c r="F767">
        <v>0</v>
      </c>
      <c r="I767" t="str">
        <v>JP3705200008</v>
      </c>
      <c r="J767" t="str">
        <v>Excluded</v>
      </c>
      <c r="K767">
        <v>0</v>
      </c>
      <c r="L767" t="str" cm="1">
        <f t="array" ref="L767">_xlfn.TEXTJOIN(",",TRUE,_xlfn._xlws.FILTER($C$5:$C$1727,($D$5:$D$1727=I767)*($E$5:$E$1727=J767)*($F$5:$F$1727=K767)))</f>
        <v>Global</v>
      </c>
      <c r="M767" t="b">
        <f t="shared" si="22"/>
        <v>0</v>
      </c>
      <c r="N767">
        <f t="shared" si="23"/>
        <v>0</v>
      </c>
    </row>
    <row r="768" spans="3:14" x14ac:dyDescent="0.25">
      <c r="C768" t="s">
        <v>1548</v>
      </c>
      <c r="D768" t="s">
        <v>726</v>
      </c>
      <c r="E768" t="s">
        <v>400</v>
      </c>
      <c r="F768">
        <v>0</v>
      </c>
      <c r="I768" t="str">
        <v>JP3711600001</v>
      </c>
      <c r="J768" t="str">
        <v>Not included in a theme</v>
      </c>
      <c r="K768">
        <v>0</v>
      </c>
      <c r="L768" t="str" cm="1">
        <f t="array" ref="L768">_xlfn.TEXTJOIN(",",TRUE,_xlfn._xlws.FILTER($C$5:$C$1727,($D$5:$D$1727=I768)*($E$5:$E$1727=J768)*($F$5:$F$1727=K768)))</f>
        <v>Global</v>
      </c>
      <c r="M768" t="b">
        <f t="shared" si="22"/>
        <v>0</v>
      </c>
      <c r="N768">
        <f t="shared" si="23"/>
        <v>0</v>
      </c>
    </row>
    <row r="769" spans="3:14" x14ac:dyDescent="0.25">
      <c r="C769" t="s">
        <v>1548</v>
      </c>
      <c r="D769" t="s">
        <v>727</v>
      </c>
      <c r="E769" t="s">
        <v>400</v>
      </c>
      <c r="F769">
        <v>0</v>
      </c>
      <c r="I769" t="str">
        <v>JP3726800000</v>
      </c>
      <c r="J769" t="str">
        <v>Excluded</v>
      </c>
      <c r="K769">
        <v>0</v>
      </c>
      <c r="L769" t="str" cm="1">
        <f t="array" ref="L769">_xlfn.TEXTJOIN(",",TRUE,_xlfn._xlws.FILTER($C$5:$C$1727,($D$5:$D$1727=I769)*($E$5:$E$1727=J769)*($F$5:$F$1727=K769)))</f>
        <v>Global</v>
      </c>
      <c r="M769" t="b">
        <f t="shared" si="22"/>
        <v>0</v>
      </c>
      <c r="N769">
        <f t="shared" si="23"/>
        <v>0</v>
      </c>
    </row>
    <row r="770" spans="3:14" x14ac:dyDescent="0.25">
      <c r="C770" t="s">
        <v>1548</v>
      </c>
      <c r="D770" t="s">
        <v>728</v>
      </c>
      <c r="E770" t="s">
        <v>400</v>
      </c>
      <c r="F770">
        <v>0</v>
      </c>
      <c r="I770" t="str">
        <v>JP3732000009</v>
      </c>
      <c r="J770" t="str">
        <v>Excluded</v>
      </c>
      <c r="K770">
        <v>0</v>
      </c>
      <c r="L770" t="str" cm="1">
        <f t="array" ref="L770">_xlfn.TEXTJOIN(",",TRUE,_xlfn._xlws.FILTER($C$5:$C$1727,($D$5:$D$1727=I770)*($E$5:$E$1727=J770)*($F$5:$F$1727=K770)))</f>
        <v>Global</v>
      </c>
      <c r="M770" t="b">
        <f t="shared" si="22"/>
        <v>0</v>
      </c>
      <c r="N770">
        <f t="shared" si="23"/>
        <v>0</v>
      </c>
    </row>
    <row r="771" spans="3:14" x14ac:dyDescent="0.25">
      <c r="C771" t="s">
        <v>1548</v>
      </c>
      <c r="D771" t="s">
        <v>729</v>
      </c>
      <c r="E771" t="s">
        <v>402</v>
      </c>
      <c r="F771">
        <v>0.97</v>
      </c>
      <c r="I771" t="str">
        <v>JP3733000008</v>
      </c>
      <c r="J771" t="str">
        <v>Information technology</v>
      </c>
      <c r="K771">
        <v>1</v>
      </c>
      <c r="L771" t="str" cm="1">
        <f t="array" ref="L771">_xlfn.TEXTJOIN(",",TRUE,_xlfn._xlws.FILTER($C$5:$C$1727,($D$5:$D$1727=I771)*($E$5:$E$1727=J771)*($F$5:$F$1727=K771)))</f>
        <v>Global</v>
      </c>
      <c r="M771" t="b">
        <f t="shared" si="22"/>
        <v>0</v>
      </c>
      <c r="N771">
        <f t="shared" si="23"/>
        <v>0</v>
      </c>
    </row>
    <row r="772" spans="3:14" x14ac:dyDescent="0.25">
      <c r="C772" t="s">
        <v>1548</v>
      </c>
      <c r="D772" t="s">
        <v>730</v>
      </c>
      <c r="E772" t="s">
        <v>401</v>
      </c>
      <c r="F772">
        <v>0</v>
      </c>
      <c r="I772" t="str">
        <v>JP3734800000</v>
      </c>
      <c r="J772" t="str">
        <v>Eco-efficient industries</v>
      </c>
      <c r="K772">
        <v>1</v>
      </c>
      <c r="L772" t="str" cm="1">
        <f t="array" ref="L772">_xlfn.TEXTJOIN(",",TRUE,_xlfn._xlws.FILTER($C$5:$C$1727,($D$5:$D$1727=I772)*($E$5:$E$1727=J772)*($F$5:$F$1727=K772)))</f>
        <v>Global</v>
      </c>
      <c r="M772" t="b">
        <f t="shared" si="22"/>
        <v>0</v>
      </c>
      <c r="N772">
        <f t="shared" si="23"/>
        <v>0</v>
      </c>
    </row>
    <row r="773" spans="3:14" x14ac:dyDescent="0.25">
      <c r="C773" t="s">
        <v>1548</v>
      </c>
      <c r="D773" t="s">
        <v>731</v>
      </c>
      <c r="E773" t="s">
        <v>400</v>
      </c>
      <c r="F773">
        <v>0</v>
      </c>
      <c r="I773" t="str">
        <v>JP3735400008</v>
      </c>
      <c r="J773" t="str">
        <v>Excluded</v>
      </c>
      <c r="K773">
        <v>0</v>
      </c>
      <c r="L773" t="str" cm="1">
        <f t="array" ref="L773">_xlfn.TEXTJOIN(",",TRUE,_xlfn._xlws.FILTER($C$5:$C$1727,($D$5:$D$1727=I773)*($E$5:$E$1727=J773)*($F$5:$F$1727=K773)))</f>
        <v>Global</v>
      </c>
      <c r="M773" t="b">
        <f t="shared" si="22"/>
        <v>0</v>
      </c>
      <c r="N773">
        <f t="shared" si="23"/>
        <v>0</v>
      </c>
    </row>
    <row r="774" spans="3:14" x14ac:dyDescent="0.25">
      <c r="C774" t="s">
        <v>1548</v>
      </c>
      <c r="D774" t="s">
        <v>732</v>
      </c>
      <c r="E774" t="s">
        <v>404</v>
      </c>
      <c r="F774">
        <v>0.1176</v>
      </c>
      <c r="I774" t="str">
        <v>JP3738600000</v>
      </c>
      <c r="J774" t="str">
        <v>Clean transport</v>
      </c>
      <c r="K774">
        <v>0.4</v>
      </c>
      <c r="L774" t="str" cm="1">
        <f t="array" ref="L774">_xlfn.TEXTJOIN(",",TRUE,_xlfn._xlws.FILTER($C$5:$C$1727,($D$5:$D$1727=I774)*($E$5:$E$1727=J774)*($F$5:$F$1727=K774)))</f>
        <v>Global</v>
      </c>
      <c r="M774" t="b">
        <f t="shared" ref="M774:M837" si="24">COUNTIFS($I$5:$I$1556,I774)&gt;1</f>
        <v>0</v>
      </c>
      <c r="N774">
        <f t="shared" ref="N774:N837" si="25">COUNTIFS($U$5:$U$231,I774)</f>
        <v>0</v>
      </c>
    </row>
    <row r="775" spans="3:14" x14ac:dyDescent="0.25">
      <c r="C775" t="s">
        <v>1548</v>
      </c>
      <c r="D775" t="s">
        <v>733</v>
      </c>
      <c r="E775" t="s">
        <v>400</v>
      </c>
      <c r="F775">
        <v>0</v>
      </c>
      <c r="I775" t="str">
        <v>JP3749400002</v>
      </c>
      <c r="J775" t="str">
        <v>Excluded</v>
      </c>
      <c r="K775">
        <v>0</v>
      </c>
      <c r="L775" t="str" cm="1">
        <f t="array" ref="L775">_xlfn.TEXTJOIN(",",TRUE,_xlfn._xlws.FILTER($C$5:$C$1727,($D$5:$D$1727=I775)*($E$5:$E$1727=J775)*($F$5:$F$1727=K775)))</f>
        <v>Global</v>
      </c>
      <c r="M775" t="b">
        <f t="shared" si="24"/>
        <v>0</v>
      </c>
      <c r="N775">
        <f t="shared" si="25"/>
        <v>0</v>
      </c>
    </row>
    <row r="776" spans="3:14" x14ac:dyDescent="0.25">
      <c r="C776" t="s">
        <v>1548</v>
      </c>
      <c r="D776" t="s">
        <v>734</v>
      </c>
      <c r="E776" t="s">
        <v>400</v>
      </c>
      <c r="F776">
        <v>0</v>
      </c>
      <c r="I776" t="str">
        <v>JP3752900005</v>
      </c>
      <c r="J776" t="str">
        <v>Not included in a theme</v>
      </c>
      <c r="K776">
        <v>0</v>
      </c>
      <c r="L776" t="str" cm="1">
        <f t="array" ref="L776">_xlfn.TEXTJOIN(",",TRUE,_xlfn._xlws.FILTER($C$5:$C$1727,($D$5:$D$1727=I776)*($E$5:$E$1727=J776)*($F$5:$F$1727=K776)))</f>
        <v>Global</v>
      </c>
      <c r="M776" t="b">
        <f t="shared" si="24"/>
        <v>0</v>
      </c>
      <c r="N776">
        <f t="shared" si="25"/>
        <v>0</v>
      </c>
    </row>
    <row r="777" spans="3:14" x14ac:dyDescent="0.25">
      <c r="C777" t="s">
        <v>1548</v>
      </c>
      <c r="D777" t="s">
        <v>735</v>
      </c>
      <c r="E777" t="s">
        <v>403</v>
      </c>
      <c r="F777">
        <v>0.14000000000000001</v>
      </c>
      <c r="I777" t="str">
        <v>JP3753000003</v>
      </c>
      <c r="J777" t="str">
        <v>Excluded</v>
      </c>
      <c r="K777">
        <v>0</v>
      </c>
      <c r="L777" t="str" cm="1">
        <f t="array" ref="L777">_xlfn.TEXTJOIN(",",TRUE,_xlfn._xlws.FILTER($C$5:$C$1727,($D$5:$D$1727=I777)*($E$5:$E$1727=J777)*($F$5:$F$1727=K777)))</f>
        <v>Global</v>
      </c>
      <c r="M777" t="b">
        <f t="shared" si="24"/>
        <v>0</v>
      </c>
      <c r="N777">
        <f t="shared" si="25"/>
        <v>0</v>
      </c>
    </row>
    <row r="778" spans="3:14" x14ac:dyDescent="0.25">
      <c r="C778" t="s">
        <v>1548</v>
      </c>
      <c r="D778" t="s">
        <v>736</v>
      </c>
      <c r="E778" t="s">
        <v>400</v>
      </c>
      <c r="F778">
        <v>0</v>
      </c>
      <c r="I778" t="str">
        <v>JP3756100008</v>
      </c>
      <c r="J778" t="str">
        <v>Excluded</v>
      </c>
      <c r="K778">
        <v>0</v>
      </c>
      <c r="L778" t="str" cm="1">
        <f t="array" ref="L778">_xlfn.TEXTJOIN(",",TRUE,_xlfn._xlws.FILTER($C$5:$C$1727,($D$5:$D$1727=I778)*($E$5:$E$1727=J778)*($F$5:$F$1727=K778)))</f>
        <v>Global</v>
      </c>
      <c r="M778" t="b">
        <f t="shared" si="24"/>
        <v>0</v>
      </c>
      <c r="N778">
        <f t="shared" si="25"/>
        <v>0</v>
      </c>
    </row>
    <row r="779" spans="3:14" x14ac:dyDescent="0.25">
      <c r="C779" t="s">
        <v>1548</v>
      </c>
      <c r="D779" t="s">
        <v>737</v>
      </c>
      <c r="E779" t="s">
        <v>404</v>
      </c>
      <c r="F779">
        <v>0.23</v>
      </c>
      <c r="I779" t="str">
        <v>JP3756600007</v>
      </c>
      <c r="J779" t="str">
        <v>Not included in a theme</v>
      </c>
      <c r="K779">
        <v>0</v>
      </c>
      <c r="L779" t="str" cm="1">
        <f t="array" ref="L779">_xlfn.TEXTJOIN(",",TRUE,_xlfn._xlws.FILTER($C$5:$C$1727,($D$5:$D$1727=I779)*($E$5:$E$1727=J779)*($F$5:$F$1727=K779)))</f>
        <v>Global</v>
      </c>
      <c r="M779" t="b">
        <f t="shared" si="24"/>
        <v>0</v>
      </c>
      <c r="N779">
        <f t="shared" si="25"/>
        <v>0</v>
      </c>
    </row>
    <row r="780" spans="3:14" x14ac:dyDescent="0.25">
      <c r="C780" t="s">
        <v>1548</v>
      </c>
      <c r="D780" t="s">
        <v>738</v>
      </c>
      <c r="E780" t="s">
        <v>400</v>
      </c>
      <c r="F780">
        <v>0</v>
      </c>
      <c r="I780" t="str">
        <v>JP3758190007</v>
      </c>
      <c r="J780" t="str">
        <v>Excluded</v>
      </c>
      <c r="K780">
        <v>0</v>
      </c>
      <c r="L780" t="str" cm="1">
        <f t="array" ref="L780">_xlfn.TEXTJOIN(",",TRUE,_xlfn._xlws.FILTER($C$5:$C$1727,($D$5:$D$1727=I780)*($E$5:$E$1727=J780)*($F$5:$F$1727=K780)))</f>
        <v>Global</v>
      </c>
      <c r="M780" t="b">
        <f t="shared" si="24"/>
        <v>0</v>
      </c>
      <c r="N780">
        <f t="shared" si="25"/>
        <v>0</v>
      </c>
    </row>
    <row r="781" spans="3:14" x14ac:dyDescent="0.25">
      <c r="C781" t="s">
        <v>1548</v>
      </c>
      <c r="D781" t="s">
        <v>739</v>
      </c>
      <c r="E781" t="s">
        <v>400</v>
      </c>
      <c r="F781">
        <v>0</v>
      </c>
      <c r="I781" t="str">
        <v>JP3762600009</v>
      </c>
      <c r="J781" t="str">
        <v>Excluded</v>
      </c>
      <c r="K781">
        <v>0</v>
      </c>
      <c r="L781" t="str" cm="1">
        <f t="array" ref="L781">_xlfn.TEXTJOIN(",",TRUE,_xlfn._xlws.FILTER($C$5:$C$1727,($D$5:$D$1727=I781)*($E$5:$E$1727=J781)*($F$5:$F$1727=K781)))</f>
        <v>Global</v>
      </c>
      <c r="M781" t="b">
        <f t="shared" si="24"/>
        <v>0</v>
      </c>
      <c r="N781">
        <f t="shared" si="25"/>
        <v>0</v>
      </c>
    </row>
    <row r="782" spans="3:14" x14ac:dyDescent="0.25">
      <c r="C782" t="s">
        <v>1548</v>
      </c>
      <c r="D782" t="s">
        <v>740</v>
      </c>
      <c r="E782" t="s">
        <v>400</v>
      </c>
      <c r="F782">
        <v>0</v>
      </c>
      <c r="I782" t="str">
        <v>JP3762800005</v>
      </c>
      <c r="J782" t="str">
        <v>Not included in a theme</v>
      </c>
      <c r="K782">
        <v>0</v>
      </c>
      <c r="L782" t="str" cm="1">
        <f t="array" ref="L782">_xlfn.TEXTJOIN(",",TRUE,_xlfn._xlws.FILTER($C$5:$C$1727,($D$5:$D$1727=I782)*($E$5:$E$1727=J782)*($F$5:$F$1727=K782)))</f>
        <v>Global</v>
      </c>
      <c r="M782" t="b">
        <f t="shared" si="24"/>
        <v>0</v>
      </c>
      <c r="N782">
        <f t="shared" si="25"/>
        <v>0</v>
      </c>
    </row>
    <row r="783" spans="3:14" x14ac:dyDescent="0.25">
      <c r="C783" t="s">
        <v>1548</v>
      </c>
      <c r="D783" t="s">
        <v>741</v>
      </c>
      <c r="E783" t="s">
        <v>400</v>
      </c>
      <c r="F783">
        <v>0</v>
      </c>
      <c r="I783" t="str">
        <v>JP3774200004</v>
      </c>
      <c r="J783" t="str">
        <v>Clean transport</v>
      </c>
      <c r="K783">
        <v>0.19</v>
      </c>
      <c r="L783" t="str" cm="1">
        <f t="array" ref="L783">_xlfn.TEXTJOIN(",",TRUE,_xlfn._xlws.FILTER($C$5:$C$1727,($D$5:$D$1727=I783)*($E$5:$E$1727=J783)*($F$5:$F$1727=K783)))</f>
        <v>Global</v>
      </c>
      <c r="M783" t="b">
        <f t="shared" si="24"/>
        <v>0</v>
      </c>
      <c r="N783">
        <f t="shared" si="25"/>
        <v>0</v>
      </c>
    </row>
    <row r="784" spans="3:14" x14ac:dyDescent="0.25">
      <c r="C784" t="s">
        <v>1548</v>
      </c>
      <c r="D784" t="s">
        <v>61</v>
      </c>
      <c r="E784" t="s">
        <v>403</v>
      </c>
      <c r="F784">
        <v>0.73</v>
      </c>
      <c r="I784" t="str">
        <v>JP3778630008</v>
      </c>
      <c r="J784" t="str">
        <v>Excluded</v>
      </c>
      <c r="K784">
        <v>0</v>
      </c>
      <c r="L784" t="str" cm="1">
        <f t="array" ref="L784">_xlfn.TEXTJOIN(",",TRUE,_xlfn._xlws.FILTER($C$5:$C$1727,($D$5:$D$1727=I784)*($E$5:$E$1727=J784)*($F$5:$F$1727=K784)))</f>
        <v>Global</v>
      </c>
      <c r="M784" t="b">
        <f t="shared" si="24"/>
        <v>0</v>
      </c>
      <c r="N784">
        <f t="shared" si="25"/>
        <v>0</v>
      </c>
    </row>
    <row r="785" spans="3:14" x14ac:dyDescent="0.25">
      <c r="C785" t="s">
        <v>1548</v>
      </c>
      <c r="D785" t="s">
        <v>742</v>
      </c>
      <c r="E785" t="s">
        <v>400</v>
      </c>
      <c r="F785">
        <v>0</v>
      </c>
      <c r="I785" t="str">
        <v>JP3783420007</v>
      </c>
      <c r="J785" t="str">
        <v>Excluded</v>
      </c>
      <c r="K785">
        <v>0</v>
      </c>
      <c r="L785" t="str" cm="1">
        <f t="array" ref="L785">_xlfn.TEXTJOIN(",",TRUE,_xlfn._xlws.FILTER($C$5:$C$1727,($D$5:$D$1727=I785)*($E$5:$E$1727=J785)*($F$5:$F$1727=K785)))</f>
        <v>Global</v>
      </c>
      <c r="M785" t="b">
        <f t="shared" si="24"/>
        <v>0</v>
      </c>
      <c r="N785">
        <f t="shared" si="25"/>
        <v>0</v>
      </c>
    </row>
    <row r="786" spans="3:14" x14ac:dyDescent="0.25">
      <c r="C786" t="s">
        <v>1548</v>
      </c>
      <c r="D786" t="s">
        <v>743</v>
      </c>
      <c r="E786" t="s">
        <v>400</v>
      </c>
      <c r="F786">
        <v>0</v>
      </c>
      <c r="I786" t="str">
        <v>JP3783600004</v>
      </c>
      <c r="J786" t="str">
        <v>Clean transport</v>
      </c>
      <c r="K786">
        <v>0.68</v>
      </c>
      <c r="L786" t="str" cm="1">
        <f t="array" ref="L786">_xlfn.TEXTJOIN(",",TRUE,_xlfn._xlws.FILTER($C$5:$C$1727,($D$5:$D$1727=I786)*($E$5:$E$1727=J786)*($F$5:$F$1727=K786)))</f>
        <v>Global</v>
      </c>
      <c r="M786" t="b">
        <f t="shared" si="24"/>
        <v>0</v>
      </c>
      <c r="N786">
        <f t="shared" si="25"/>
        <v>0</v>
      </c>
    </row>
    <row r="787" spans="3:14" x14ac:dyDescent="0.25">
      <c r="C787" t="s">
        <v>1548</v>
      </c>
      <c r="D787" t="s">
        <v>744</v>
      </c>
      <c r="E787" t="s">
        <v>400</v>
      </c>
      <c r="F787">
        <v>0</v>
      </c>
      <c r="I787" t="str">
        <v>JP3788600009</v>
      </c>
      <c r="J787" t="str">
        <v>Green energy</v>
      </c>
      <c r="K787">
        <v>0.8</v>
      </c>
      <c r="L787" t="str" cm="1">
        <f t="array" ref="L787">_xlfn.TEXTJOIN(",",TRUE,_xlfn._xlws.FILTER($C$5:$C$1727,($D$5:$D$1727=I787)*($E$5:$E$1727=J787)*($F$5:$F$1727=K787)))</f>
        <v>Global</v>
      </c>
      <c r="M787" t="b">
        <f t="shared" si="24"/>
        <v>0</v>
      </c>
      <c r="N787">
        <f t="shared" si="25"/>
        <v>0</v>
      </c>
    </row>
    <row r="788" spans="3:14" x14ac:dyDescent="0.25">
      <c r="C788" t="s">
        <v>1548</v>
      </c>
      <c r="D788" t="s">
        <v>745</v>
      </c>
      <c r="E788" t="s">
        <v>399</v>
      </c>
      <c r="F788">
        <v>1</v>
      </c>
      <c r="I788" t="str">
        <v>JP3802300008</v>
      </c>
      <c r="J788" t="str">
        <v>Excluded</v>
      </c>
      <c r="K788">
        <v>0</v>
      </c>
      <c r="L788" t="str" cm="1">
        <f t="array" ref="L788">_xlfn.TEXTJOIN(",",TRUE,_xlfn._xlws.FILTER($C$5:$C$1727,($D$5:$D$1727=I788)*($E$5:$E$1727=J788)*($F$5:$F$1727=K788)))</f>
        <v>Global</v>
      </c>
      <c r="M788" t="b">
        <f t="shared" si="24"/>
        <v>0</v>
      </c>
      <c r="N788">
        <f t="shared" si="25"/>
        <v>0</v>
      </c>
    </row>
    <row r="789" spans="3:14" x14ac:dyDescent="0.25">
      <c r="C789" t="s">
        <v>1548</v>
      </c>
      <c r="D789" t="s">
        <v>746</v>
      </c>
      <c r="E789" t="s">
        <v>400</v>
      </c>
      <c r="F789">
        <v>0</v>
      </c>
      <c r="I789" t="str">
        <v>JP3802400006</v>
      </c>
      <c r="J789" t="str">
        <v>Excluded</v>
      </c>
      <c r="K789">
        <v>0</v>
      </c>
      <c r="L789" t="str" cm="1">
        <f t="array" ref="L789">_xlfn.TEXTJOIN(",",TRUE,_xlfn._xlws.FILTER($C$5:$C$1727,($D$5:$D$1727=I789)*($E$5:$E$1727=J789)*($F$5:$F$1727=K789)))</f>
        <v>Global</v>
      </c>
      <c r="M789" t="b">
        <f t="shared" si="24"/>
        <v>0</v>
      </c>
      <c r="N789">
        <f t="shared" si="25"/>
        <v>0</v>
      </c>
    </row>
    <row r="790" spans="3:14" x14ac:dyDescent="0.25">
      <c r="C790" t="s">
        <v>1548</v>
      </c>
      <c r="D790" t="s">
        <v>747</v>
      </c>
      <c r="E790" t="s">
        <v>400</v>
      </c>
      <c r="F790">
        <v>0</v>
      </c>
      <c r="I790" t="str">
        <v>JP3805010000</v>
      </c>
      <c r="J790" t="str">
        <v>Excluded</v>
      </c>
      <c r="K790">
        <v>0</v>
      </c>
      <c r="L790" t="str" cm="1">
        <f t="array" ref="L790">_xlfn.TEXTJOIN(",",TRUE,_xlfn._xlws.FILTER($C$5:$C$1727,($D$5:$D$1727=I790)*($E$5:$E$1727=J790)*($F$5:$F$1727=K790)))</f>
        <v>Global</v>
      </c>
      <c r="M790" t="b">
        <f t="shared" si="24"/>
        <v>0</v>
      </c>
      <c r="N790">
        <f t="shared" si="25"/>
        <v>0</v>
      </c>
    </row>
    <row r="791" spans="3:14" x14ac:dyDescent="0.25">
      <c r="C791" t="s">
        <v>1548</v>
      </c>
      <c r="D791" t="s">
        <v>748</v>
      </c>
      <c r="E791" t="s">
        <v>400</v>
      </c>
      <c r="F791">
        <v>0</v>
      </c>
      <c r="I791" t="str">
        <v>JP3811000003</v>
      </c>
      <c r="J791" t="str">
        <v>Eco-efficient industries</v>
      </c>
      <c r="K791">
        <v>0.62</v>
      </c>
      <c r="L791" t="str" cm="1">
        <f t="array" ref="L791">_xlfn.TEXTJOIN(",",TRUE,_xlfn._xlws.FILTER($C$5:$C$1727,($D$5:$D$1727=I791)*($E$5:$E$1727=J791)*($F$5:$F$1727=K791)))</f>
        <v>Global</v>
      </c>
      <c r="M791" t="b">
        <f t="shared" si="24"/>
        <v>0</v>
      </c>
      <c r="N791">
        <f t="shared" si="25"/>
        <v>0</v>
      </c>
    </row>
    <row r="792" spans="3:14" x14ac:dyDescent="0.25">
      <c r="C792" t="s">
        <v>1548</v>
      </c>
      <c r="D792" t="s">
        <v>749</v>
      </c>
      <c r="E792" t="s">
        <v>400</v>
      </c>
      <c r="F792">
        <v>0</v>
      </c>
      <c r="I792" t="str">
        <v>JP3814000000</v>
      </c>
      <c r="J792" t="str">
        <v>Not included in a theme</v>
      </c>
      <c r="K792">
        <v>0</v>
      </c>
      <c r="L792" t="str" cm="1">
        <f t="array" ref="L792">_xlfn.TEXTJOIN(",",TRUE,_xlfn._xlws.FILTER($C$5:$C$1727,($D$5:$D$1727=I792)*($E$5:$E$1727=J792)*($F$5:$F$1727=K792)))</f>
        <v>Global</v>
      </c>
      <c r="M792" t="b">
        <f t="shared" si="24"/>
        <v>0</v>
      </c>
      <c r="N792">
        <f t="shared" si="25"/>
        <v>0</v>
      </c>
    </row>
    <row r="793" spans="3:14" x14ac:dyDescent="0.25">
      <c r="C793" t="s">
        <v>1548</v>
      </c>
      <c r="D793" t="s">
        <v>750</v>
      </c>
      <c r="E793" t="s">
        <v>400</v>
      </c>
      <c r="F793">
        <v>0</v>
      </c>
      <c r="I793" t="str">
        <v>JP3814800003</v>
      </c>
      <c r="J793" t="str">
        <v>Excluded</v>
      </c>
      <c r="K793">
        <v>0</v>
      </c>
      <c r="L793" t="str" cm="1">
        <f t="array" ref="L793">_xlfn.TEXTJOIN(",",TRUE,_xlfn._xlws.FILTER($C$5:$C$1727,($D$5:$D$1727=I793)*($E$5:$E$1727=J793)*($F$5:$F$1727=K793)))</f>
        <v>Global</v>
      </c>
      <c r="M793" t="b">
        <f t="shared" si="24"/>
        <v>0</v>
      </c>
      <c r="N793">
        <f t="shared" si="25"/>
        <v>0</v>
      </c>
    </row>
    <row r="794" spans="3:14" x14ac:dyDescent="0.25">
      <c r="C794" t="s">
        <v>1548</v>
      </c>
      <c r="D794" t="s">
        <v>751</v>
      </c>
      <c r="E794" t="s">
        <v>400</v>
      </c>
      <c r="F794">
        <v>0</v>
      </c>
      <c r="I794" t="str">
        <v>JP3818000006</v>
      </c>
      <c r="J794" t="str">
        <v>Information technology</v>
      </c>
      <c r="K794">
        <v>0.56999999999999995</v>
      </c>
      <c r="L794" t="str" cm="1">
        <f t="array" ref="L794">_xlfn.TEXTJOIN(",",TRUE,_xlfn._xlws.FILTER($C$5:$C$1727,($D$5:$D$1727=I794)*($E$5:$E$1727=J794)*($F$5:$F$1727=K794)))</f>
        <v>Global</v>
      </c>
      <c r="M794" t="b">
        <f t="shared" si="24"/>
        <v>0</v>
      </c>
      <c r="N794">
        <f t="shared" si="25"/>
        <v>0</v>
      </c>
    </row>
    <row r="795" spans="3:14" x14ac:dyDescent="0.25">
      <c r="C795" t="s">
        <v>1548</v>
      </c>
      <c r="D795" t="s">
        <v>752</v>
      </c>
      <c r="E795" t="s">
        <v>401</v>
      </c>
      <c r="F795">
        <v>0</v>
      </c>
      <c r="I795" t="str">
        <v>JP3820000002</v>
      </c>
      <c r="J795" t="str">
        <v>Green energy</v>
      </c>
      <c r="K795">
        <v>0.78</v>
      </c>
      <c r="L795" t="str" cm="1">
        <f t="array" ref="L795">_xlfn.TEXTJOIN(",",TRUE,_xlfn._xlws.FILTER($C$5:$C$1727,($D$5:$D$1727=I795)*($E$5:$E$1727=J795)*($F$5:$F$1727=K795)))</f>
        <v>Global</v>
      </c>
      <c r="M795" t="b">
        <f t="shared" si="24"/>
        <v>0</v>
      </c>
      <c r="N795">
        <f t="shared" si="25"/>
        <v>0</v>
      </c>
    </row>
    <row r="796" spans="3:14" x14ac:dyDescent="0.25">
      <c r="C796" t="s">
        <v>1548</v>
      </c>
      <c r="D796" t="s">
        <v>753</v>
      </c>
      <c r="E796" t="s">
        <v>403</v>
      </c>
      <c r="F796">
        <v>0.13</v>
      </c>
      <c r="I796" t="str">
        <v>JP3830800003</v>
      </c>
      <c r="J796" t="str">
        <v>Excluded</v>
      </c>
      <c r="K796">
        <v>0</v>
      </c>
      <c r="L796" t="str" cm="1">
        <f t="array" ref="L796">_xlfn.TEXTJOIN(",",TRUE,_xlfn._xlws.FILTER($C$5:$C$1727,($D$5:$D$1727=I796)*($E$5:$E$1727=J796)*($F$5:$F$1727=K796)))</f>
        <v>Global</v>
      </c>
      <c r="M796" t="b">
        <f t="shared" si="24"/>
        <v>0</v>
      </c>
      <c r="N796">
        <f t="shared" si="25"/>
        <v>0</v>
      </c>
    </row>
    <row r="797" spans="3:14" x14ac:dyDescent="0.25">
      <c r="C797" t="s">
        <v>1548</v>
      </c>
      <c r="D797" t="s">
        <v>754</v>
      </c>
      <c r="E797" t="s">
        <v>400</v>
      </c>
      <c r="F797">
        <v>0</v>
      </c>
      <c r="I797" t="str">
        <v>JP3835250006</v>
      </c>
      <c r="J797" t="str">
        <v>Excluded</v>
      </c>
      <c r="K797">
        <v>0</v>
      </c>
      <c r="L797" t="str" cm="1">
        <f t="array" ref="L797">_xlfn.TEXTJOIN(",",TRUE,_xlfn._xlws.FILTER($C$5:$C$1727,($D$5:$D$1727=I797)*($E$5:$E$1727=J797)*($F$5:$F$1727=K797)))</f>
        <v>Global</v>
      </c>
      <c r="M797" t="b">
        <f t="shared" si="24"/>
        <v>0</v>
      </c>
      <c r="N797">
        <f t="shared" si="25"/>
        <v>0</v>
      </c>
    </row>
    <row r="798" spans="3:14" x14ac:dyDescent="0.25">
      <c r="C798" t="s">
        <v>1548</v>
      </c>
      <c r="D798" t="s">
        <v>755</v>
      </c>
      <c r="E798" t="s">
        <v>400</v>
      </c>
      <c r="F798">
        <v>0</v>
      </c>
      <c r="I798" t="str">
        <v>JP3837800006</v>
      </c>
      <c r="J798" t="str">
        <v>Excluded</v>
      </c>
      <c r="K798">
        <v>0</v>
      </c>
      <c r="L798" t="str" cm="1">
        <f t="array" ref="L798">_xlfn.TEXTJOIN(",",TRUE,_xlfn._xlws.FILTER($C$5:$C$1727,($D$5:$D$1727=I798)*($E$5:$E$1727=J798)*($F$5:$F$1727=K798)))</f>
        <v>Global</v>
      </c>
      <c r="M798" t="b">
        <f t="shared" si="24"/>
        <v>0</v>
      </c>
      <c r="N798">
        <f t="shared" si="25"/>
        <v>0</v>
      </c>
    </row>
    <row r="799" spans="3:14" x14ac:dyDescent="0.25">
      <c r="C799" t="s">
        <v>1548</v>
      </c>
      <c r="D799" t="s">
        <v>756</v>
      </c>
      <c r="E799" t="s">
        <v>400</v>
      </c>
      <c r="F799">
        <v>0</v>
      </c>
      <c r="I799" t="str">
        <v>JP3854600008</v>
      </c>
      <c r="J799" t="str">
        <v>Excluded</v>
      </c>
      <c r="K799">
        <v>0</v>
      </c>
      <c r="L799" t="str" cm="1">
        <f t="array" ref="L799">_xlfn.TEXTJOIN(",",TRUE,_xlfn._xlws.FILTER($C$5:$C$1727,($D$5:$D$1727=I799)*($E$5:$E$1727=J799)*($F$5:$F$1727=K799)))</f>
        <v>Global</v>
      </c>
      <c r="M799" t="b">
        <f t="shared" si="24"/>
        <v>0</v>
      </c>
      <c r="N799">
        <f t="shared" si="25"/>
        <v>0</v>
      </c>
    </row>
    <row r="800" spans="3:14" x14ac:dyDescent="0.25">
      <c r="C800" t="s">
        <v>1548</v>
      </c>
      <c r="D800" t="s">
        <v>757</v>
      </c>
      <c r="E800" t="s">
        <v>400</v>
      </c>
      <c r="F800">
        <v>0</v>
      </c>
      <c r="I800" t="str">
        <v>JP3862400003</v>
      </c>
      <c r="J800" t="str">
        <v>Excluded</v>
      </c>
      <c r="K800">
        <v>0</v>
      </c>
      <c r="L800" t="str" cm="1">
        <f t="array" ref="L800">_xlfn.TEXTJOIN(",",TRUE,_xlfn._xlws.FILTER($C$5:$C$1727,($D$5:$D$1727=I800)*($E$5:$E$1727=J800)*($F$5:$F$1727=K800)))</f>
        <v>Global</v>
      </c>
      <c r="M800" t="b">
        <f t="shared" si="24"/>
        <v>0</v>
      </c>
      <c r="N800">
        <f t="shared" si="25"/>
        <v>0</v>
      </c>
    </row>
    <row r="801" spans="3:14" x14ac:dyDescent="0.25">
      <c r="C801" t="s">
        <v>1548</v>
      </c>
      <c r="D801" t="s">
        <v>758</v>
      </c>
      <c r="E801" t="s">
        <v>400</v>
      </c>
      <c r="F801">
        <v>0</v>
      </c>
      <c r="I801" t="str">
        <v>JP3866800000</v>
      </c>
      <c r="J801" t="str">
        <v>Eco-efficient industries</v>
      </c>
      <c r="K801">
        <v>0.42</v>
      </c>
      <c r="L801" t="str" cm="1">
        <f t="array" ref="L801">_xlfn.TEXTJOIN(",",TRUE,_xlfn._xlws.FILTER($C$5:$C$1727,($D$5:$D$1727=I801)*($E$5:$E$1727=J801)*($F$5:$F$1727=K801)))</f>
        <v>Global</v>
      </c>
      <c r="M801" t="b">
        <f t="shared" si="24"/>
        <v>0</v>
      </c>
      <c r="N801">
        <f t="shared" si="25"/>
        <v>0</v>
      </c>
    </row>
    <row r="802" spans="3:14" x14ac:dyDescent="0.25">
      <c r="C802" t="s">
        <v>1548</v>
      </c>
      <c r="D802" t="s">
        <v>759</v>
      </c>
      <c r="E802" t="s">
        <v>400</v>
      </c>
      <c r="F802">
        <v>0</v>
      </c>
      <c r="I802" t="str">
        <v>JP3869010003</v>
      </c>
      <c r="J802" t="str">
        <v>Excluded</v>
      </c>
      <c r="K802">
        <v>0</v>
      </c>
      <c r="L802" t="str" cm="1">
        <f t="array" ref="L802">_xlfn.TEXTJOIN(",",TRUE,_xlfn._xlws.FILTER($C$5:$C$1727,($D$5:$D$1727=I802)*($E$5:$E$1727=J802)*($F$5:$F$1727=K802)))</f>
        <v>Global</v>
      </c>
      <c r="M802" t="b">
        <f t="shared" si="24"/>
        <v>0</v>
      </c>
      <c r="N802">
        <f t="shared" si="25"/>
        <v>0</v>
      </c>
    </row>
    <row r="803" spans="3:14" x14ac:dyDescent="0.25">
      <c r="C803" t="s">
        <v>1548</v>
      </c>
      <c r="D803" t="s">
        <v>59</v>
      </c>
      <c r="E803" t="s">
        <v>400</v>
      </c>
      <c r="F803">
        <v>0</v>
      </c>
      <c r="I803" t="str">
        <v>JP3877600001</v>
      </c>
      <c r="J803" t="str">
        <v>Excluded</v>
      </c>
      <c r="K803">
        <v>0</v>
      </c>
      <c r="L803" t="str" cm="1">
        <f t="array" ref="L803">_xlfn.TEXTJOIN(",",TRUE,_xlfn._xlws.FILTER($C$5:$C$1727,($D$5:$D$1727=I803)*($E$5:$E$1727=J803)*($F$5:$F$1727=K803)))</f>
        <v>Global</v>
      </c>
      <c r="M803" t="b">
        <f t="shared" si="24"/>
        <v>0</v>
      </c>
      <c r="N803">
        <f t="shared" si="25"/>
        <v>0</v>
      </c>
    </row>
    <row r="804" spans="3:14" x14ac:dyDescent="0.25">
      <c r="C804" t="s">
        <v>1548</v>
      </c>
      <c r="D804" t="s">
        <v>760</v>
      </c>
      <c r="E804" t="s">
        <v>400</v>
      </c>
      <c r="F804">
        <v>0</v>
      </c>
      <c r="I804" t="str">
        <v>JP3885780001</v>
      </c>
      <c r="J804" t="str">
        <v>Excluded</v>
      </c>
      <c r="K804">
        <v>0</v>
      </c>
      <c r="L804" t="str" cm="1">
        <f t="array" ref="L804">_xlfn.TEXTJOIN(",",TRUE,_xlfn._xlws.FILTER($C$5:$C$1727,($D$5:$D$1727=I804)*($E$5:$E$1727=J804)*($F$5:$F$1727=K804)))</f>
        <v>Global</v>
      </c>
      <c r="M804" t="b">
        <f t="shared" si="24"/>
        <v>0</v>
      </c>
      <c r="N804">
        <f t="shared" si="25"/>
        <v>0</v>
      </c>
    </row>
    <row r="805" spans="3:14" x14ac:dyDescent="0.25">
      <c r="C805" t="s">
        <v>1548</v>
      </c>
      <c r="D805" t="s">
        <v>761</v>
      </c>
      <c r="E805" t="s">
        <v>400</v>
      </c>
      <c r="F805">
        <v>0</v>
      </c>
      <c r="I805" t="str">
        <v>JP3888400003</v>
      </c>
      <c r="J805" t="str">
        <v>Not included in a theme</v>
      </c>
      <c r="K805">
        <v>0</v>
      </c>
      <c r="L805" t="str" cm="1">
        <f t="array" ref="L805">_xlfn.TEXTJOIN(",",TRUE,_xlfn._xlws.FILTER($C$5:$C$1727,($D$5:$D$1727=I805)*($E$5:$E$1727=J805)*($F$5:$F$1727=K805)))</f>
        <v>Global</v>
      </c>
      <c r="M805" t="b">
        <f t="shared" si="24"/>
        <v>0</v>
      </c>
      <c r="N805">
        <f t="shared" si="25"/>
        <v>0</v>
      </c>
    </row>
    <row r="806" spans="3:14" x14ac:dyDescent="0.25">
      <c r="C806" t="s">
        <v>1548</v>
      </c>
      <c r="D806" t="s">
        <v>762</v>
      </c>
      <c r="E806" t="s">
        <v>399</v>
      </c>
      <c r="F806">
        <v>0.69</v>
      </c>
      <c r="I806" t="str">
        <v>JP3890310000</v>
      </c>
      <c r="J806" t="str">
        <v>Not included in a theme</v>
      </c>
      <c r="K806">
        <v>0</v>
      </c>
      <c r="L806" t="str" cm="1">
        <f t="array" ref="L806">_xlfn.TEXTJOIN(",",TRUE,_xlfn._xlws.FILTER($C$5:$C$1727,($D$5:$D$1727=I806)*($E$5:$E$1727=J806)*($F$5:$F$1727=K806)))</f>
        <v>Global</v>
      </c>
      <c r="M806" t="b">
        <f t="shared" si="24"/>
        <v>0</v>
      </c>
      <c r="N806">
        <f t="shared" si="25"/>
        <v>0</v>
      </c>
    </row>
    <row r="807" spans="3:14" x14ac:dyDescent="0.25">
      <c r="C807" t="s">
        <v>1548</v>
      </c>
      <c r="D807" t="s">
        <v>763</v>
      </c>
      <c r="E807" t="s">
        <v>401</v>
      </c>
      <c r="F807">
        <v>0</v>
      </c>
      <c r="I807" t="str">
        <v>JP3890350006</v>
      </c>
      <c r="J807" t="str">
        <v>Excluded</v>
      </c>
      <c r="K807">
        <v>0</v>
      </c>
      <c r="L807" t="str" cm="1">
        <f t="array" ref="L807">_xlfn.TEXTJOIN(",",TRUE,_xlfn._xlws.FILTER($C$5:$C$1727,($D$5:$D$1727=I807)*($E$5:$E$1727=J807)*($F$5:$F$1727=K807)))</f>
        <v>Global</v>
      </c>
      <c r="M807" t="b">
        <f t="shared" si="24"/>
        <v>0</v>
      </c>
      <c r="N807">
        <f t="shared" si="25"/>
        <v>0</v>
      </c>
    </row>
    <row r="808" spans="3:14" x14ac:dyDescent="0.25">
      <c r="C808" t="s">
        <v>1548</v>
      </c>
      <c r="D808" t="s">
        <v>764</v>
      </c>
      <c r="E808" t="s">
        <v>400</v>
      </c>
      <c r="F808">
        <v>0</v>
      </c>
      <c r="I808" t="str">
        <v>JP3892100003</v>
      </c>
      <c r="J808" t="str">
        <v>Excluded</v>
      </c>
      <c r="K808">
        <v>0</v>
      </c>
      <c r="L808" t="str" cm="1">
        <f t="array" ref="L808">_xlfn.TEXTJOIN(",",TRUE,_xlfn._xlws.FILTER($C$5:$C$1727,($D$5:$D$1727=I808)*($E$5:$E$1727=J808)*($F$5:$F$1727=K808)))</f>
        <v>Global</v>
      </c>
      <c r="M808" t="b">
        <f t="shared" si="24"/>
        <v>0</v>
      </c>
      <c r="N808">
        <f t="shared" si="25"/>
        <v>0</v>
      </c>
    </row>
    <row r="809" spans="3:14" x14ac:dyDescent="0.25">
      <c r="C809" t="s">
        <v>1548</v>
      </c>
      <c r="D809" t="s">
        <v>765</v>
      </c>
      <c r="E809" t="s">
        <v>400</v>
      </c>
      <c r="F809">
        <v>0</v>
      </c>
      <c r="I809" t="str">
        <v>JP3893200000</v>
      </c>
      <c r="J809" t="str">
        <v>Excluded</v>
      </c>
      <c r="K809">
        <v>0</v>
      </c>
      <c r="L809" t="str" cm="1">
        <f t="array" ref="L809">_xlfn.TEXTJOIN(",",TRUE,_xlfn._xlws.FILTER($C$5:$C$1727,($D$5:$D$1727=I809)*($E$5:$E$1727=J809)*($F$5:$F$1727=K809)))</f>
        <v>Global</v>
      </c>
      <c r="M809" t="b">
        <f t="shared" si="24"/>
        <v>0</v>
      </c>
      <c r="N809">
        <f t="shared" si="25"/>
        <v>0</v>
      </c>
    </row>
    <row r="810" spans="3:14" x14ac:dyDescent="0.25">
      <c r="C810" t="s">
        <v>1548</v>
      </c>
      <c r="D810" t="s">
        <v>766</v>
      </c>
      <c r="E810" t="s">
        <v>400</v>
      </c>
      <c r="F810">
        <v>0</v>
      </c>
      <c r="I810" t="str">
        <v>JP3893600001</v>
      </c>
      <c r="J810" t="str">
        <v>Excluded</v>
      </c>
      <c r="K810">
        <v>0</v>
      </c>
      <c r="L810" t="str" cm="1">
        <f t="array" ref="L810">_xlfn.TEXTJOIN(",",TRUE,_xlfn._xlws.FILTER($C$5:$C$1727,($D$5:$D$1727=I810)*($E$5:$E$1727=J810)*($F$5:$F$1727=K810)))</f>
        <v>Global</v>
      </c>
      <c r="M810" t="b">
        <f t="shared" si="24"/>
        <v>0</v>
      </c>
      <c r="N810">
        <f t="shared" si="25"/>
        <v>0</v>
      </c>
    </row>
    <row r="811" spans="3:14" x14ac:dyDescent="0.25">
      <c r="C811" t="s">
        <v>1548</v>
      </c>
      <c r="D811" t="s">
        <v>767</v>
      </c>
      <c r="E811" t="s">
        <v>400</v>
      </c>
      <c r="F811">
        <v>0</v>
      </c>
      <c r="I811" t="str">
        <v>JP3897700005</v>
      </c>
      <c r="J811" t="str">
        <v>Excluded</v>
      </c>
      <c r="K811">
        <v>0</v>
      </c>
      <c r="L811" t="str" cm="1">
        <f t="array" ref="L811">_xlfn.TEXTJOIN(",",TRUE,_xlfn._xlws.FILTER($C$5:$C$1727,($D$5:$D$1727=I811)*($E$5:$E$1727=J811)*($F$5:$F$1727=K811)))</f>
        <v>Global</v>
      </c>
      <c r="M811" t="b">
        <f t="shared" si="24"/>
        <v>0</v>
      </c>
      <c r="N811">
        <f t="shared" si="25"/>
        <v>0</v>
      </c>
    </row>
    <row r="812" spans="3:14" x14ac:dyDescent="0.25">
      <c r="C812" t="s">
        <v>1548</v>
      </c>
      <c r="D812" t="s">
        <v>70</v>
      </c>
      <c r="E812" t="s">
        <v>404</v>
      </c>
      <c r="F812">
        <v>0.75</v>
      </c>
      <c r="I812" t="str">
        <v>JP3898400001</v>
      </c>
      <c r="J812" t="str">
        <v>Excluded</v>
      </c>
      <c r="K812">
        <v>0</v>
      </c>
      <c r="L812" t="str" cm="1">
        <f t="array" ref="L812">_xlfn.TEXTJOIN(",",TRUE,_xlfn._xlws.FILTER($C$5:$C$1727,($D$5:$D$1727=I812)*($E$5:$E$1727=J812)*($F$5:$F$1727=K812)))</f>
        <v>Global</v>
      </c>
      <c r="M812" t="b">
        <f t="shared" si="24"/>
        <v>0</v>
      </c>
      <c r="N812">
        <f t="shared" si="25"/>
        <v>0</v>
      </c>
    </row>
    <row r="813" spans="3:14" x14ac:dyDescent="0.25">
      <c r="C813" t="s">
        <v>1548</v>
      </c>
      <c r="D813" t="s">
        <v>44</v>
      </c>
      <c r="E813" t="s">
        <v>400</v>
      </c>
      <c r="F813">
        <v>0</v>
      </c>
      <c r="I813" t="str">
        <v>JP3899600005</v>
      </c>
      <c r="J813" t="str">
        <v>Excluded</v>
      </c>
      <c r="K813">
        <v>0</v>
      </c>
      <c r="L813" t="str" cm="1">
        <f t="array" ref="L813">_xlfn.TEXTJOIN(",",TRUE,_xlfn._xlws.FILTER($C$5:$C$1727,($D$5:$D$1727=I813)*($E$5:$E$1727=J813)*($F$5:$F$1727=K813)))</f>
        <v>Global</v>
      </c>
      <c r="M813" t="b">
        <f t="shared" si="24"/>
        <v>0</v>
      </c>
      <c r="N813">
        <f t="shared" si="25"/>
        <v>0</v>
      </c>
    </row>
    <row r="814" spans="3:14" x14ac:dyDescent="0.25">
      <c r="C814" t="s">
        <v>1548</v>
      </c>
      <c r="D814" t="s">
        <v>768</v>
      </c>
      <c r="E814" t="s">
        <v>400</v>
      </c>
      <c r="F814">
        <v>0</v>
      </c>
      <c r="I814" t="str">
        <v>JP3900000005</v>
      </c>
      <c r="J814" t="str">
        <v>Excluded</v>
      </c>
      <c r="K814">
        <v>0</v>
      </c>
      <c r="L814" t="str" cm="1">
        <f t="array" ref="L814">_xlfn.TEXTJOIN(",",TRUE,_xlfn._xlws.FILTER($C$5:$C$1727,($D$5:$D$1727=I814)*($E$5:$E$1727=J814)*($F$5:$F$1727=K814)))</f>
        <v>Global</v>
      </c>
      <c r="M814" t="b">
        <f t="shared" si="24"/>
        <v>0</v>
      </c>
      <c r="N814">
        <f t="shared" si="25"/>
        <v>0</v>
      </c>
    </row>
    <row r="815" spans="3:14" x14ac:dyDescent="0.25">
      <c r="C815" t="s">
        <v>1548</v>
      </c>
      <c r="D815" t="s">
        <v>769</v>
      </c>
      <c r="E815" t="s">
        <v>400</v>
      </c>
      <c r="F815">
        <v>0</v>
      </c>
      <c r="I815" t="str">
        <v>JP3902400005</v>
      </c>
      <c r="J815" t="str">
        <v>Ecoconstruction</v>
      </c>
      <c r="K815">
        <v>0.93</v>
      </c>
      <c r="L815" t="str" cm="1">
        <f t="array" ref="L815">_xlfn.TEXTJOIN(",",TRUE,_xlfn._xlws.FILTER($C$5:$C$1727,($D$5:$D$1727=I815)*($E$5:$E$1727=J815)*($F$5:$F$1727=K815)))</f>
        <v>Global</v>
      </c>
      <c r="M815" t="b">
        <f t="shared" si="24"/>
        <v>0</v>
      </c>
      <c r="N815">
        <f t="shared" si="25"/>
        <v>0</v>
      </c>
    </row>
    <row r="816" spans="3:14" x14ac:dyDescent="0.25">
      <c r="C816" t="s">
        <v>1548</v>
      </c>
      <c r="D816" t="s">
        <v>770</v>
      </c>
      <c r="E816" t="s">
        <v>400</v>
      </c>
      <c r="F816">
        <v>0</v>
      </c>
      <c r="I816" t="str">
        <v>JP3902900004</v>
      </c>
      <c r="J816" t="str">
        <v>Excluded</v>
      </c>
      <c r="K816">
        <v>0</v>
      </c>
      <c r="L816" t="str" cm="1">
        <f t="array" ref="L816">_xlfn.TEXTJOIN(",",TRUE,_xlfn._xlws.FILTER($C$5:$C$1727,($D$5:$D$1727=I816)*($E$5:$E$1727=J816)*($F$5:$F$1727=K816)))</f>
        <v>Global</v>
      </c>
      <c r="M816" t="b">
        <f t="shared" si="24"/>
        <v>0</v>
      </c>
      <c r="N816">
        <f t="shared" si="25"/>
        <v>0</v>
      </c>
    </row>
    <row r="817" spans="3:14" x14ac:dyDescent="0.25">
      <c r="C817" t="s">
        <v>1548</v>
      </c>
      <c r="D817" t="s">
        <v>771</v>
      </c>
      <c r="E817" t="s">
        <v>400</v>
      </c>
      <c r="F817">
        <v>0</v>
      </c>
      <c r="I817" t="str">
        <v>JP3906000009</v>
      </c>
      <c r="J817" t="str">
        <v>Eco-efficient industries</v>
      </c>
      <c r="K817">
        <v>0.9</v>
      </c>
      <c r="L817" t="str" cm="1">
        <f t="array" ref="L817">_xlfn.TEXTJOIN(",",TRUE,_xlfn._xlws.FILTER($C$5:$C$1727,($D$5:$D$1727=I817)*($E$5:$E$1727=J817)*($F$5:$F$1727=K817)))</f>
        <v>Global</v>
      </c>
      <c r="M817" t="b">
        <f t="shared" si="24"/>
        <v>0</v>
      </c>
      <c r="N817">
        <f t="shared" si="25"/>
        <v>0</v>
      </c>
    </row>
    <row r="818" spans="3:14" x14ac:dyDescent="0.25">
      <c r="C818" t="s">
        <v>1548</v>
      </c>
      <c r="D818" t="s">
        <v>772</v>
      </c>
      <c r="E818" t="s">
        <v>401</v>
      </c>
      <c r="F818">
        <v>0</v>
      </c>
      <c r="I818" t="str">
        <v>JP3910660004</v>
      </c>
      <c r="J818" t="str">
        <v>Not included in a theme</v>
      </c>
      <c r="K818">
        <v>0</v>
      </c>
      <c r="L818" t="str" cm="1">
        <f t="array" ref="L818">_xlfn.TEXTJOIN(",",TRUE,_xlfn._xlws.FILTER($C$5:$C$1727,($D$5:$D$1727=I818)*($E$5:$E$1727=J818)*($F$5:$F$1727=K818)))</f>
        <v>Global</v>
      </c>
      <c r="M818" t="b">
        <f t="shared" si="24"/>
        <v>0</v>
      </c>
      <c r="N818">
        <f t="shared" si="25"/>
        <v>0</v>
      </c>
    </row>
    <row r="819" spans="3:14" x14ac:dyDescent="0.25">
      <c r="C819" t="s">
        <v>1548</v>
      </c>
      <c r="D819" t="s">
        <v>773</v>
      </c>
      <c r="E819" t="s">
        <v>401</v>
      </c>
      <c r="F819">
        <v>0</v>
      </c>
      <c r="I819" t="str">
        <v>JP3914400001</v>
      </c>
      <c r="J819" t="str">
        <v>Information technology</v>
      </c>
      <c r="K819">
        <v>1</v>
      </c>
      <c r="L819" t="str" cm="1">
        <f t="array" ref="L819">_xlfn.TEXTJOIN(",",TRUE,_xlfn._xlws.FILTER($C$5:$C$1727,($D$5:$D$1727=I819)*($E$5:$E$1727=J819)*($F$5:$F$1727=K819)))</f>
        <v>Global</v>
      </c>
      <c r="M819" t="b">
        <f t="shared" si="24"/>
        <v>0</v>
      </c>
      <c r="N819">
        <f t="shared" si="25"/>
        <v>0</v>
      </c>
    </row>
    <row r="820" spans="3:14" x14ac:dyDescent="0.25">
      <c r="C820" t="s">
        <v>1548</v>
      </c>
      <c r="D820" t="s">
        <v>45</v>
      </c>
      <c r="E820" t="s">
        <v>400</v>
      </c>
      <c r="F820">
        <v>0</v>
      </c>
      <c r="I820" t="str">
        <v>JP3932000007</v>
      </c>
      <c r="J820" t="str">
        <v>Excluded</v>
      </c>
      <c r="K820">
        <v>0</v>
      </c>
      <c r="L820" t="str" cm="1">
        <f t="array" ref="L820">_xlfn.TEXTJOIN(",",TRUE,_xlfn._xlws.FILTER($C$5:$C$1727,($D$5:$D$1727=I820)*($E$5:$E$1727=J820)*($F$5:$F$1727=K820)))</f>
        <v>Global</v>
      </c>
      <c r="M820" t="b">
        <f t="shared" si="24"/>
        <v>0</v>
      </c>
      <c r="N820">
        <f t="shared" si="25"/>
        <v>0</v>
      </c>
    </row>
    <row r="821" spans="3:14" x14ac:dyDescent="0.25">
      <c r="C821" t="s">
        <v>1548</v>
      </c>
      <c r="D821" t="s">
        <v>774</v>
      </c>
      <c r="E821" t="s">
        <v>401</v>
      </c>
      <c r="F821">
        <v>0</v>
      </c>
      <c r="I821" t="str">
        <v>JP3933800009</v>
      </c>
      <c r="J821" t="str">
        <v>Excluded</v>
      </c>
      <c r="K821">
        <v>0</v>
      </c>
      <c r="L821" t="str" cm="1">
        <f t="array" ref="L821">_xlfn.TEXTJOIN(",",TRUE,_xlfn._xlws.FILTER($C$5:$C$1727,($D$5:$D$1727=I821)*($E$5:$E$1727=J821)*($F$5:$F$1727=K821)))</f>
        <v>Global</v>
      </c>
      <c r="M821" t="b">
        <f t="shared" si="24"/>
        <v>0</v>
      </c>
      <c r="N821">
        <f t="shared" si="25"/>
        <v>0</v>
      </c>
    </row>
    <row r="822" spans="3:14" x14ac:dyDescent="0.25">
      <c r="C822" t="s">
        <v>1548</v>
      </c>
      <c r="D822" t="s">
        <v>775</v>
      </c>
      <c r="E822" t="s">
        <v>400</v>
      </c>
      <c r="F822">
        <v>0</v>
      </c>
      <c r="I822" t="str">
        <v>JP3942400007</v>
      </c>
      <c r="J822" t="str">
        <v>Not included in a theme</v>
      </c>
      <c r="K822">
        <v>0</v>
      </c>
      <c r="L822" t="str" cm="1">
        <f t="array" ref="L822">_xlfn.TEXTJOIN(",",TRUE,_xlfn._xlws.FILTER($C$5:$C$1727,($D$5:$D$1727=I822)*($E$5:$E$1727=J822)*($F$5:$F$1727=K822)))</f>
        <v>Global</v>
      </c>
      <c r="M822" t="b">
        <f t="shared" si="24"/>
        <v>0</v>
      </c>
      <c r="N822">
        <f t="shared" si="25"/>
        <v>0</v>
      </c>
    </row>
    <row r="823" spans="3:14" x14ac:dyDescent="0.25">
      <c r="C823" t="s">
        <v>1548</v>
      </c>
      <c r="D823" t="s">
        <v>35</v>
      </c>
      <c r="E823" t="s">
        <v>401</v>
      </c>
      <c r="F823">
        <v>0</v>
      </c>
      <c r="I823" t="str">
        <v>JP3942800008</v>
      </c>
      <c r="J823" t="str">
        <v>Excluded</v>
      </c>
      <c r="K823">
        <v>0</v>
      </c>
      <c r="L823" t="str" cm="1">
        <f t="array" ref="L823">_xlfn.TEXTJOIN(",",TRUE,_xlfn._xlws.FILTER($C$5:$C$1727,($D$5:$D$1727=I823)*($E$5:$E$1727=J823)*($F$5:$F$1727=K823)))</f>
        <v>Global</v>
      </c>
      <c r="M823" t="b">
        <f t="shared" si="24"/>
        <v>0</v>
      </c>
      <c r="N823">
        <f t="shared" si="25"/>
        <v>0</v>
      </c>
    </row>
    <row r="824" spans="3:14" x14ac:dyDescent="0.25">
      <c r="C824" t="s">
        <v>1548</v>
      </c>
      <c r="D824" t="s">
        <v>776</v>
      </c>
      <c r="E824" t="s">
        <v>401</v>
      </c>
      <c r="F824">
        <v>0</v>
      </c>
      <c r="I824" t="str">
        <v>JP3946750001</v>
      </c>
      <c r="J824" t="str">
        <v>Excluded</v>
      </c>
      <c r="K824">
        <v>0</v>
      </c>
      <c r="L824" t="str" cm="1">
        <f t="array" ref="L824">_xlfn.TEXTJOIN(",",TRUE,_xlfn._xlws.FILTER($C$5:$C$1727,($D$5:$D$1727=I824)*($E$5:$E$1727=J824)*($F$5:$F$1727=K824)))</f>
        <v>Global</v>
      </c>
      <c r="M824" t="b">
        <f t="shared" si="24"/>
        <v>0</v>
      </c>
      <c r="N824">
        <f t="shared" si="25"/>
        <v>0</v>
      </c>
    </row>
    <row r="825" spans="3:14" x14ac:dyDescent="0.25">
      <c r="C825" t="s">
        <v>1548</v>
      </c>
      <c r="D825" t="s">
        <v>777</v>
      </c>
      <c r="E825" t="s">
        <v>403</v>
      </c>
      <c r="F825">
        <v>0.28999999999999998</v>
      </c>
      <c r="I825" t="str">
        <v>JP3951600000</v>
      </c>
      <c r="J825" t="str">
        <v>Excluded</v>
      </c>
      <c r="K825">
        <v>0</v>
      </c>
      <c r="L825" t="str" cm="1">
        <f t="array" ref="L825">_xlfn.TEXTJOIN(",",TRUE,_xlfn._xlws.FILTER($C$5:$C$1727,($D$5:$D$1727=I825)*($E$5:$E$1727=J825)*($F$5:$F$1727=K825)))</f>
        <v>Global</v>
      </c>
      <c r="M825" t="b">
        <f t="shared" si="24"/>
        <v>0</v>
      </c>
      <c r="N825">
        <f t="shared" si="25"/>
        <v>0</v>
      </c>
    </row>
    <row r="826" spans="3:14" x14ac:dyDescent="0.25">
      <c r="C826" t="s">
        <v>1548</v>
      </c>
      <c r="D826" t="s">
        <v>778</v>
      </c>
      <c r="E826" t="s">
        <v>400</v>
      </c>
      <c r="F826">
        <v>0</v>
      </c>
      <c r="I826" t="str">
        <v>JP3955000009</v>
      </c>
      <c r="J826" t="str">
        <v>Excluded</v>
      </c>
      <c r="K826">
        <v>0</v>
      </c>
      <c r="L826" t="str" cm="1">
        <f t="array" ref="L826">_xlfn.TEXTJOIN(",",TRUE,_xlfn._xlws.FILTER($C$5:$C$1727,($D$5:$D$1727=I826)*($E$5:$E$1727=J826)*($F$5:$F$1727=K826)))</f>
        <v>Global</v>
      </c>
      <c r="M826" t="b">
        <f t="shared" si="24"/>
        <v>0</v>
      </c>
      <c r="N826">
        <f t="shared" si="25"/>
        <v>0</v>
      </c>
    </row>
    <row r="827" spans="3:14" x14ac:dyDescent="0.25">
      <c r="C827" t="s">
        <v>1548</v>
      </c>
      <c r="D827" t="s">
        <v>779</v>
      </c>
      <c r="E827" t="s">
        <v>403</v>
      </c>
      <c r="F827">
        <v>0.22</v>
      </c>
      <c r="I827" t="str">
        <v>JP3967200001</v>
      </c>
      <c r="J827" t="str">
        <v>Not included in a theme</v>
      </c>
      <c r="K827">
        <v>0</v>
      </c>
      <c r="L827" t="str" cm="1">
        <f t="array" ref="L827">_xlfn.TEXTJOIN(",",TRUE,_xlfn._xlws.FILTER($C$5:$C$1727,($D$5:$D$1727=I827)*($E$5:$E$1727=J827)*($F$5:$F$1727=K827)))</f>
        <v>Global</v>
      </c>
      <c r="M827" t="b">
        <f t="shared" si="24"/>
        <v>0</v>
      </c>
      <c r="N827">
        <f t="shared" si="25"/>
        <v>0</v>
      </c>
    </row>
    <row r="828" spans="3:14" x14ac:dyDescent="0.25">
      <c r="C828" t="s">
        <v>1548</v>
      </c>
      <c r="D828" t="s">
        <v>780</v>
      </c>
      <c r="E828" t="s">
        <v>400</v>
      </c>
      <c r="F828">
        <v>0</v>
      </c>
      <c r="I828" t="str">
        <v>JP3970300004</v>
      </c>
      <c r="J828" t="str">
        <v>Excluded</v>
      </c>
      <c r="K828">
        <v>0</v>
      </c>
      <c r="L828" t="str" cm="1">
        <f t="array" ref="L828">_xlfn.TEXTJOIN(",",TRUE,_xlfn._xlws.FILTER($C$5:$C$1727,($D$5:$D$1727=I828)*($E$5:$E$1727=J828)*($F$5:$F$1727=K828)))</f>
        <v>Global</v>
      </c>
      <c r="M828" t="b">
        <f t="shared" si="24"/>
        <v>0</v>
      </c>
      <c r="N828">
        <f t="shared" si="25"/>
        <v>0</v>
      </c>
    </row>
    <row r="829" spans="3:14" x14ac:dyDescent="0.25">
      <c r="C829" t="s">
        <v>1548</v>
      </c>
      <c r="D829" t="s">
        <v>781</v>
      </c>
      <c r="E829" t="s">
        <v>400</v>
      </c>
      <c r="F829">
        <v>0</v>
      </c>
      <c r="I829" t="str">
        <v>JP3976300008</v>
      </c>
      <c r="J829" t="str">
        <v>Excluded</v>
      </c>
      <c r="K829">
        <v>0</v>
      </c>
      <c r="L829" t="str" cm="1">
        <f t="array" ref="L829">_xlfn.TEXTJOIN(",",TRUE,_xlfn._xlws.FILTER($C$5:$C$1727,($D$5:$D$1727=I829)*($E$5:$E$1727=J829)*($F$5:$F$1727=K829)))</f>
        <v>Global</v>
      </c>
      <c r="M829" t="b">
        <f t="shared" si="24"/>
        <v>0</v>
      </c>
      <c r="N829">
        <f t="shared" si="25"/>
        <v>0</v>
      </c>
    </row>
    <row r="830" spans="3:14" x14ac:dyDescent="0.25">
      <c r="C830" t="s">
        <v>1548</v>
      </c>
      <c r="D830" t="s">
        <v>782</v>
      </c>
      <c r="E830" t="s">
        <v>400</v>
      </c>
      <c r="F830">
        <v>0</v>
      </c>
      <c r="I830" t="str">
        <v>JP3979200007</v>
      </c>
      <c r="J830" t="str">
        <v>Excluded</v>
      </c>
      <c r="K830">
        <v>0</v>
      </c>
      <c r="L830" t="str" cm="1">
        <f t="array" ref="L830">_xlfn.TEXTJOIN(",",TRUE,_xlfn._xlws.FILTER($C$5:$C$1727,($D$5:$D$1727=I830)*($E$5:$E$1727=J830)*($F$5:$F$1727=K830)))</f>
        <v>Global</v>
      </c>
      <c r="M830" t="b">
        <f t="shared" si="24"/>
        <v>0</v>
      </c>
      <c r="N830">
        <f t="shared" si="25"/>
        <v>0</v>
      </c>
    </row>
    <row r="831" spans="3:14" x14ac:dyDescent="0.25">
      <c r="C831" t="s">
        <v>1548</v>
      </c>
      <c r="D831" t="s">
        <v>783</v>
      </c>
      <c r="E831" t="s">
        <v>400</v>
      </c>
      <c r="F831">
        <v>0</v>
      </c>
      <c r="I831" t="str">
        <v>KYG0146B1032</v>
      </c>
      <c r="J831" t="str">
        <v>Not included in a theme</v>
      </c>
      <c r="K831">
        <v>0</v>
      </c>
      <c r="L831" t="str" cm="1">
        <f t="array" ref="L831">_xlfn.TEXTJOIN(",",TRUE,_xlfn._xlws.FILTER($C$5:$C$1727,($D$5:$D$1727=I831)*($E$5:$E$1727=J831)*($F$5:$F$1727=K831)))</f>
        <v>Global</v>
      </c>
      <c r="M831" t="b">
        <f t="shared" si="24"/>
        <v>0</v>
      </c>
      <c r="N831">
        <f t="shared" si="25"/>
        <v>0</v>
      </c>
    </row>
    <row r="832" spans="3:14" x14ac:dyDescent="0.25">
      <c r="C832" t="s">
        <v>1548</v>
      </c>
      <c r="D832" t="s">
        <v>784</v>
      </c>
      <c r="E832" t="s">
        <v>400</v>
      </c>
      <c r="F832">
        <v>0</v>
      </c>
      <c r="I832" t="str">
        <v>KYG217651051</v>
      </c>
      <c r="J832" t="str">
        <v>Excluded</v>
      </c>
      <c r="K832">
        <v>0</v>
      </c>
      <c r="L832" t="str" cm="1">
        <f t="array" ref="L832">_xlfn.TEXTJOIN(",",TRUE,_xlfn._xlws.FILTER($C$5:$C$1727,($D$5:$D$1727=I832)*($E$5:$E$1727=J832)*($F$5:$F$1727=K832)))</f>
        <v>Global</v>
      </c>
      <c r="M832" t="b">
        <f t="shared" si="24"/>
        <v>0</v>
      </c>
      <c r="N832">
        <f t="shared" si="25"/>
        <v>0</v>
      </c>
    </row>
    <row r="833" spans="3:14" x14ac:dyDescent="0.25">
      <c r="C833" t="s">
        <v>1548</v>
      </c>
      <c r="D833" t="s">
        <v>785</v>
      </c>
      <c r="E833" t="s">
        <v>399</v>
      </c>
      <c r="F833">
        <v>0.24</v>
      </c>
      <c r="I833" t="str">
        <v>KYG2177B1014</v>
      </c>
      <c r="J833" t="str">
        <v>Not included in a theme</v>
      </c>
      <c r="K833">
        <v>0</v>
      </c>
      <c r="L833" t="str" cm="1">
        <f t="array" ref="L833">_xlfn.TEXTJOIN(",",TRUE,_xlfn._xlws.FILTER($C$5:$C$1727,($D$5:$D$1727=I833)*($E$5:$E$1727=J833)*($F$5:$F$1727=K833)))</f>
        <v>Global</v>
      </c>
      <c r="M833" t="b">
        <f t="shared" si="24"/>
        <v>0</v>
      </c>
      <c r="N833">
        <f t="shared" si="25"/>
        <v>0</v>
      </c>
    </row>
    <row r="834" spans="3:14" x14ac:dyDescent="0.25">
      <c r="C834" t="s">
        <v>1548</v>
      </c>
      <c r="D834" t="s">
        <v>786</v>
      </c>
      <c r="E834" t="s">
        <v>403</v>
      </c>
      <c r="F834">
        <v>0.9</v>
      </c>
      <c r="I834" t="str">
        <v>KYG254571055</v>
      </c>
      <c r="J834" t="str">
        <v>Excluded</v>
      </c>
      <c r="K834">
        <v>0</v>
      </c>
      <c r="L834" t="str" cm="1">
        <f t="array" ref="L834">_xlfn.TEXTJOIN(",",TRUE,_xlfn._xlws.FILTER($C$5:$C$1727,($D$5:$D$1727=I834)*($E$5:$E$1727=J834)*($F$5:$F$1727=K834)))</f>
        <v>Global</v>
      </c>
      <c r="M834" t="b">
        <f t="shared" si="24"/>
        <v>0</v>
      </c>
      <c r="N834">
        <f t="shared" si="25"/>
        <v>0</v>
      </c>
    </row>
    <row r="835" spans="3:14" x14ac:dyDescent="0.25">
      <c r="C835" t="s">
        <v>1548</v>
      </c>
      <c r="D835" t="s">
        <v>787</v>
      </c>
      <c r="E835" t="s">
        <v>400</v>
      </c>
      <c r="F835">
        <v>0</v>
      </c>
      <c r="I835" t="str">
        <v>KYG3323L1005</v>
      </c>
      <c r="J835" t="str">
        <v>Excluded</v>
      </c>
      <c r="K835">
        <v>0</v>
      </c>
      <c r="L835" t="str" cm="1">
        <f t="array" ref="L835">_xlfn.TEXTJOIN(",",TRUE,_xlfn._xlws.FILTER($C$5:$C$1727,($D$5:$D$1727=I835)*($E$5:$E$1727=J835)*($F$5:$F$1727=K835)))</f>
        <v>Global</v>
      </c>
      <c r="M835" t="b">
        <f t="shared" si="24"/>
        <v>0</v>
      </c>
      <c r="N835">
        <f t="shared" si="25"/>
        <v>0</v>
      </c>
    </row>
    <row r="836" spans="3:14" x14ac:dyDescent="0.25">
      <c r="C836" t="s">
        <v>1548</v>
      </c>
      <c r="D836" t="s">
        <v>788</v>
      </c>
      <c r="E836" t="s">
        <v>401</v>
      </c>
      <c r="F836">
        <v>0</v>
      </c>
      <c r="I836" t="str">
        <v>KYG3730V1059</v>
      </c>
      <c r="J836" t="str">
        <v>Excluded</v>
      </c>
      <c r="K836">
        <v>0</v>
      </c>
      <c r="L836" t="str" cm="1">
        <f t="array" ref="L836">_xlfn.TEXTJOIN(",",TRUE,_xlfn._xlws.FILTER($C$5:$C$1727,($D$5:$D$1727=I836)*($E$5:$E$1727=J836)*($F$5:$F$1727=K836)))</f>
        <v>Global</v>
      </c>
      <c r="M836" t="b">
        <f t="shared" si="24"/>
        <v>0</v>
      </c>
      <c r="N836">
        <f t="shared" si="25"/>
        <v>0</v>
      </c>
    </row>
    <row r="837" spans="3:14" x14ac:dyDescent="0.25">
      <c r="C837" t="s">
        <v>1548</v>
      </c>
      <c r="D837" t="s">
        <v>789</v>
      </c>
      <c r="E837" t="s">
        <v>402</v>
      </c>
      <c r="F837">
        <v>0.4</v>
      </c>
      <c r="I837" t="str">
        <v>KYG4124C1096</v>
      </c>
      <c r="J837" t="str">
        <v>Excluded</v>
      </c>
      <c r="K837">
        <v>0</v>
      </c>
      <c r="L837" t="str" cm="1">
        <f t="array" ref="L837">_xlfn.TEXTJOIN(",",TRUE,_xlfn._xlws.FILTER($C$5:$C$1727,($D$5:$D$1727=I837)*($E$5:$E$1727=J837)*($F$5:$F$1727=K837)))</f>
        <v>Global</v>
      </c>
      <c r="M837" t="b">
        <f t="shared" si="24"/>
        <v>0</v>
      </c>
      <c r="N837">
        <f t="shared" si="25"/>
        <v>0</v>
      </c>
    </row>
    <row r="838" spans="3:14" x14ac:dyDescent="0.25">
      <c r="C838" t="s">
        <v>1548</v>
      </c>
      <c r="D838" t="s">
        <v>73</v>
      </c>
      <c r="E838" t="s">
        <v>400</v>
      </c>
      <c r="F838">
        <v>0</v>
      </c>
      <c r="I838" t="str">
        <v>KYG4212T1058</v>
      </c>
      <c r="J838" t="str">
        <v>Excluded</v>
      </c>
      <c r="K838">
        <v>0</v>
      </c>
      <c r="L838" t="str" cm="1">
        <f t="array" ref="L838">_xlfn.TEXTJOIN(",",TRUE,_xlfn._xlws.FILTER($C$5:$C$1727,($D$5:$D$1727=I838)*($E$5:$E$1727=J838)*($F$5:$F$1727=K838)))</f>
        <v>Global</v>
      </c>
      <c r="M838" t="b">
        <f t="shared" ref="M838:M901" si="26">COUNTIFS($I$5:$I$1556,I838)&gt;1</f>
        <v>0</v>
      </c>
      <c r="N838">
        <f t="shared" ref="N838:N901" si="27">COUNTIFS($U$5:$U$231,I838)</f>
        <v>0</v>
      </c>
    </row>
    <row r="839" spans="3:14" x14ac:dyDescent="0.25">
      <c r="C839" t="s">
        <v>1548</v>
      </c>
      <c r="D839" t="s">
        <v>790</v>
      </c>
      <c r="E839" t="s">
        <v>403</v>
      </c>
      <c r="F839">
        <v>1</v>
      </c>
      <c r="I839" t="str">
        <v>KYG6683N1034</v>
      </c>
      <c r="J839" t="str">
        <v>Excluded</v>
      </c>
      <c r="K839">
        <v>0</v>
      </c>
      <c r="L839" t="str" cm="1">
        <f t="array" ref="L839">_xlfn.TEXTJOIN(",",TRUE,_xlfn._xlws.FILTER($C$5:$C$1727,($D$5:$D$1727=I839)*($E$5:$E$1727=J839)*($F$5:$F$1727=K839)))</f>
        <v>Global</v>
      </c>
      <c r="M839" t="b">
        <f t="shared" si="26"/>
        <v>0</v>
      </c>
      <c r="N839">
        <f t="shared" si="27"/>
        <v>0</v>
      </c>
    </row>
    <row r="840" spans="3:14" x14ac:dyDescent="0.25">
      <c r="C840" t="s">
        <v>1548</v>
      </c>
      <c r="D840" t="s">
        <v>791</v>
      </c>
      <c r="E840" t="s">
        <v>401</v>
      </c>
      <c r="F840">
        <v>0</v>
      </c>
      <c r="I840" t="str">
        <v>KYG8087W1015</v>
      </c>
      <c r="J840" t="str">
        <v>Excluded</v>
      </c>
      <c r="K840">
        <v>0</v>
      </c>
      <c r="L840" t="str" cm="1">
        <f t="array" ref="L840">_xlfn.TEXTJOIN(",",TRUE,_xlfn._xlws.FILTER($C$5:$C$1727,($D$5:$D$1727=I840)*($E$5:$E$1727=J840)*($F$5:$F$1727=K840)))</f>
        <v>Global</v>
      </c>
      <c r="M840" t="b">
        <f t="shared" si="26"/>
        <v>0</v>
      </c>
      <c r="N840">
        <f t="shared" si="27"/>
        <v>0</v>
      </c>
    </row>
    <row r="841" spans="3:14" x14ac:dyDescent="0.25">
      <c r="C841" t="s">
        <v>1548</v>
      </c>
      <c r="D841" t="s">
        <v>792</v>
      </c>
      <c r="E841" t="s">
        <v>400</v>
      </c>
      <c r="F841">
        <v>0</v>
      </c>
      <c r="I841" t="str">
        <v>KYG960071028</v>
      </c>
      <c r="J841" t="str">
        <v>Excluded</v>
      </c>
      <c r="K841">
        <v>0</v>
      </c>
      <c r="L841" t="str" cm="1">
        <f t="array" ref="L841">_xlfn.TEXTJOIN(",",TRUE,_xlfn._xlws.FILTER($C$5:$C$1727,($D$5:$D$1727=I841)*($E$5:$E$1727=J841)*($F$5:$F$1727=K841)))</f>
        <v>Global</v>
      </c>
      <c r="M841" t="b">
        <f t="shared" si="26"/>
        <v>0</v>
      </c>
      <c r="N841">
        <f t="shared" si="27"/>
        <v>0</v>
      </c>
    </row>
    <row r="842" spans="3:14" x14ac:dyDescent="0.25">
      <c r="C842" t="s">
        <v>1548</v>
      </c>
      <c r="D842" t="s">
        <v>793</v>
      </c>
      <c r="E842" t="s">
        <v>400</v>
      </c>
      <c r="F842">
        <v>0</v>
      </c>
      <c r="I842" t="str">
        <v>KYG970081173</v>
      </c>
      <c r="J842" t="str">
        <v>Excluded</v>
      </c>
      <c r="K842">
        <v>0</v>
      </c>
      <c r="L842" t="str" cm="1">
        <f t="array" ref="L842">_xlfn.TEXTJOIN(",",TRUE,_xlfn._xlws.FILTER($C$5:$C$1727,($D$5:$D$1727=I842)*($E$5:$E$1727=J842)*($F$5:$F$1727=K842)))</f>
        <v>Global</v>
      </c>
      <c r="M842" t="b">
        <f t="shared" si="26"/>
        <v>0</v>
      </c>
      <c r="N842">
        <f t="shared" si="27"/>
        <v>0</v>
      </c>
    </row>
    <row r="843" spans="3:14" x14ac:dyDescent="0.25">
      <c r="C843" t="s">
        <v>1548</v>
      </c>
      <c r="D843" t="s">
        <v>794</v>
      </c>
      <c r="E843" t="s">
        <v>399</v>
      </c>
      <c r="F843">
        <v>1</v>
      </c>
      <c r="I843" t="str">
        <v>KYG9830T1067</v>
      </c>
      <c r="J843" t="str">
        <v>Excluded</v>
      </c>
      <c r="K843">
        <v>0</v>
      </c>
      <c r="L843" t="str" cm="1">
        <f t="array" ref="L843">_xlfn.TEXTJOIN(",",TRUE,_xlfn._xlws.FILTER($C$5:$C$1727,($D$5:$D$1727=I843)*($E$5:$E$1727=J843)*($F$5:$F$1727=K843)))</f>
        <v>Global</v>
      </c>
      <c r="M843" t="b">
        <f t="shared" si="26"/>
        <v>0</v>
      </c>
      <c r="N843">
        <f t="shared" si="27"/>
        <v>0</v>
      </c>
    </row>
    <row r="844" spans="3:14" x14ac:dyDescent="0.25">
      <c r="C844" t="s">
        <v>1548</v>
      </c>
      <c r="D844" t="s">
        <v>795</v>
      </c>
      <c r="E844" t="s">
        <v>400</v>
      </c>
      <c r="F844">
        <v>0</v>
      </c>
      <c r="I844" t="str">
        <v>KYG9897K1058</v>
      </c>
      <c r="J844" t="str">
        <v>Excluded</v>
      </c>
      <c r="K844">
        <v>0</v>
      </c>
      <c r="L844" t="str" cm="1">
        <f t="array" ref="L844">_xlfn.TEXTJOIN(",",TRUE,_xlfn._xlws.FILTER($C$5:$C$1727,($D$5:$D$1727=I844)*($E$5:$E$1727=J844)*($F$5:$F$1727=K844)))</f>
        <v>Global</v>
      </c>
      <c r="M844" t="b">
        <f t="shared" si="26"/>
        <v>0</v>
      </c>
      <c r="N844">
        <f t="shared" si="27"/>
        <v>0</v>
      </c>
    </row>
    <row r="845" spans="3:14" x14ac:dyDescent="0.25">
      <c r="C845" t="s">
        <v>1548</v>
      </c>
      <c r="D845" t="s">
        <v>796</v>
      </c>
      <c r="E845" t="s">
        <v>401</v>
      </c>
      <c r="F845">
        <v>0</v>
      </c>
      <c r="I845" t="str">
        <v>LR0008862868</v>
      </c>
      <c r="J845" t="str">
        <v>Excluded</v>
      </c>
      <c r="K845">
        <v>0</v>
      </c>
      <c r="L845" t="str" cm="1">
        <f t="array" ref="L845">_xlfn.TEXTJOIN(",",TRUE,_xlfn._xlws.FILTER($C$5:$C$1727,($D$5:$D$1727=I845)*($E$5:$E$1727=J845)*($F$5:$F$1727=K845)))</f>
        <v>Global</v>
      </c>
      <c r="M845" t="b">
        <f t="shared" si="26"/>
        <v>0</v>
      </c>
      <c r="N845">
        <f t="shared" si="27"/>
        <v>0</v>
      </c>
    </row>
    <row r="846" spans="3:14" x14ac:dyDescent="0.25">
      <c r="C846" t="s">
        <v>1548</v>
      </c>
      <c r="D846" t="s">
        <v>797</v>
      </c>
      <c r="E846" t="s">
        <v>401</v>
      </c>
      <c r="F846">
        <v>0</v>
      </c>
      <c r="I846" t="str">
        <v>LU0061462528</v>
      </c>
      <c r="J846" t="str">
        <v>Excluded</v>
      </c>
      <c r="K846">
        <v>0</v>
      </c>
      <c r="L846" t="str" cm="1">
        <f t="array" ref="L846">_xlfn.TEXTJOIN(",",TRUE,_xlfn._xlws.FILTER($C$5:$C$1727,($D$5:$D$1727=I846)*($E$5:$E$1727=J846)*($F$5:$F$1727=K846)))</f>
        <v>EZ</v>
      </c>
      <c r="M846" t="b">
        <f t="shared" si="26"/>
        <v>0</v>
      </c>
      <c r="N846">
        <f t="shared" si="27"/>
        <v>0</v>
      </c>
    </row>
    <row r="847" spans="3:14" x14ac:dyDescent="0.25">
      <c r="C847" t="s">
        <v>1548</v>
      </c>
      <c r="D847" t="s">
        <v>798</v>
      </c>
      <c r="E847" t="s">
        <v>401</v>
      </c>
      <c r="F847">
        <v>0</v>
      </c>
      <c r="I847" t="str">
        <v>LU0088087324</v>
      </c>
      <c r="J847" t="str">
        <v>Not included in a theme</v>
      </c>
      <c r="K847">
        <v>0</v>
      </c>
      <c r="L847" t="str" cm="1">
        <f t="array" ref="L847">_xlfn.TEXTJOIN(",",TRUE,_xlfn._xlws.FILTER($C$5:$C$1727,($D$5:$D$1727=I847)*($E$5:$E$1727=J847)*($F$5:$F$1727=K847)))</f>
        <v>EZ</v>
      </c>
      <c r="M847" t="b">
        <f t="shared" si="26"/>
        <v>0</v>
      </c>
      <c r="N847">
        <f t="shared" si="27"/>
        <v>1</v>
      </c>
    </row>
    <row r="848" spans="3:14" x14ac:dyDescent="0.25">
      <c r="C848" t="s">
        <v>1548</v>
      </c>
      <c r="D848" t="s">
        <v>799</v>
      </c>
      <c r="E848" t="s">
        <v>400</v>
      </c>
      <c r="F848">
        <v>0</v>
      </c>
      <c r="I848" t="str">
        <v>LU0569974404</v>
      </c>
      <c r="J848" t="str">
        <v>Eco-efficient industries</v>
      </c>
      <c r="K848">
        <v>0.83</v>
      </c>
      <c r="L848" t="str" cm="1">
        <f t="array" ref="L848">_xlfn.TEXTJOIN(",",TRUE,_xlfn._xlws.FILTER($C$5:$C$1727,($D$5:$D$1727=I848)*($E$5:$E$1727=J848)*($F$5:$F$1727=K848)))</f>
        <v>EZ</v>
      </c>
      <c r="M848" t="b">
        <f t="shared" si="26"/>
        <v>0</v>
      </c>
      <c r="N848">
        <f t="shared" si="27"/>
        <v>0</v>
      </c>
    </row>
    <row r="849" spans="3:14" x14ac:dyDescent="0.25">
      <c r="C849" t="s">
        <v>1548</v>
      </c>
      <c r="D849" t="s">
        <v>800</v>
      </c>
      <c r="E849" t="s">
        <v>400</v>
      </c>
      <c r="F849">
        <v>0</v>
      </c>
      <c r="I849" t="str">
        <v>LU1068091351</v>
      </c>
      <c r="J849" t="str">
        <v>Excluded</v>
      </c>
      <c r="K849">
        <v>0</v>
      </c>
      <c r="L849" t="str" cm="1">
        <f t="array" ref="L849">_xlfn.TEXTJOIN(",",TRUE,_xlfn._xlws.FILTER($C$5:$C$1727,($D$5:$D$1727=I849)*($E$5:$E$1727=J849)*($F$5:$F$1727=K849)))</f>
        <v>EZ</v>
      </c>
      <c r="M849" t="b">
        <f t="shared" si="26"/>
        <v>0</v>
      </c>
      <c r="N849">
        <f t="shared" si="27"/>
        <v>0</v>
      </c>
    </row>
    <row r="850" spans="3:14" x14ac:dyDescent="0.25">
      <c r="C850" t="s">
        <v>1548</v>
      </c>
      <c r="D850" t="s">
        <v>801</v>
      </c>
      <c r="E850" t="s">
        <v>401</v>
      </c>
      <c r="F850">
        <v>0</v>
      </c>
      <c r="I850" t="str">
        <v>LU1598757687</v>
      </c>
      <c r="J850" t="str">
        <v>Excluded</v>
      </c>
      <c r="K850">
        <v>0</v>
      </c>
      <c r="L850" t="str" cm="1">
        <f t="array" ref="L850">_xlfn.TEXTJOIN(",",TRUE,_xlfn._xlws.FILTER($C$5:$C$1727,($D$5:$D$1727=I850)*($E$5:$E$1727=J850)*($F$5:$F$1727=K850)))</f>
        <v>EZ,Global</v>
      </c>
      <c r="M850" t="b">
        <f t="shared" si="26"/>
        <v>0</v>
      </c>
      <c r="N850">
        <f t="shared" si="27"/>
        <v>0</v>
      </c>
    </row>
    <row r="851" spans="3:14" x14ac:dyDescent="0.25">
      <c r="C851" t="s">
        <v>1548</v>
      </c>
      <c r="D851" t="s">
        <v>802</v>
      </c>
      <c r="E851" t="s">
        <v>402</v>
      </c>
      <c r="F851">
        <v>1</v>
      </c>
      <c r="I851" t="str">
        <v>LU1673108939</v>
      </c>
      <c r="J851" t="str">
        <v>Not included in a theme</v>
      </c>
      <c r="K851">
        <v>0</v>
      </c>
      <c r="L851" t="str" cm="1">
        <f t="array" ref="L851">_xlfn.TEXTJOIN(",",TRUE,_xlfn._xlws.FILTER($C$5:$C$1727,($D$5:$D$1727=I851)*($E$5:$E$1727=J851)*($F$5:$F$1727=K851)))</f>
        <v>EZ</v>
      </c>
      <c r="M851" t="b">
        <f t="shared" si="26"/>
        <v>0</v>
      </c>
      <c r="N851">
        <f t="shared" si="27"/>
        <v>1</v>
      </c>
    </row>
    <row r="852" spans="3:14" x14ac:dyDescent="0.25">
      <c r="C852" t="s">
        <v>1548</v>
      </c>
      <c r="D852" t="s">
        <v>803</v>
      </c>
      <c r="E852" t="s">
        <v>402</v>
      </c>
      <c r="F852">
        <v>0.64</v>
      </c>
      <c r="I852" t="str">
        <v>LU1778762911</v>
      </c>
      <c r="J852" t="str">
        <v>Not included in a theme</v>
      </c>
      <c r="K852">
        <v>0</v>
      </c>
      <c r="L852" t="str" cm="1">
        <f t="array" ref="L852">_xlfn.TEXTJOIN(",",TRUE,_xlfn._xlws.FILTER($C$5:$C$1727,($D$5:$D$1727=I852)*($E$5:$E$1727=J852)*($F$5:$F$1727=K852)))</f>
        <v>Global</v>
      </c>
      <c r="M852" t="b">
        <f t="shared" si="26"/>
        <v>0</v>
      </c>
      <c r="N852">
        <f t="shared" si="27"/>
        <v>0</v>
      </c>
    </row>
    <row r="853" spans="3:14" x14ac:dyDescent="0.25">
      <c r="C853" t="s">
        <v>1548</v>
      </c>
      <c r="D853" t="s">
        <v>804</v>
      </c>
      <c r="E853" t="s">
        <v>400</v>
      </c>
      <c r="F853">
        <v>0</v>
      </c>
      <c r="I853" t="str">
        <v>LU2290522684</v>
      </c>
      <c r="J853" t="str">
        <v>Clean transport</v>
      </c>
      <c r="K853">
        <v>0.4</v>
      </c>
      <c r="L853" t="str" cm="1">
        <f t="array" ref="L853">_xlfn.TEXTJOIN(",",TRUE,_xlfn._xlws.FILTER($C$5:$C$1727,($D$5:$D$1727=I853)*($E$5:$E$1727=J853)*($F$5:$F$1727=K853)))</f>
        <v>EZ</v>
      </c>
      <c r="M853" t="b">
        <f t="shared" si="26"/>
        <v>0</v>
      </c>
      <c r="N853">
        <f t="shared" si="27"/>
        <v>1</v>
      </c>
    </row>
    <row r="854" spans="3:14" x14ac:dyDescent="0.25">
      <c r="C854" t="s">
        <v>1548</v>
      </c>
      <c r="D854" t="s">
        <v>805</v>
      </c>
      <c r="E854" t="s">
        <v>400</v>
      </c>
      <c r="F854">
        <v>0</v>
      </c>
      <c r="I854" t="str">
        <v>LU2598331598</v>
      </c>
      <c r="J854" t="str">
        <v>Excluded</v>
      </c>
      <c r="K854">
        <v>0</v>
      </c>
      <c r="L854" t="str" cm="1">
        <f t="array" ref="L854">_xlfn.TEXTJOIN(",",TRUE,_xlfn._xlws.FILTER($C$5:$C$1727,($D$5:$D$1727=I854)*($E$5:$E$1727=J854)*($F$5:$F$1727=K854)))</f>
        <v>EZ,Global</v>
      </c>
      <c r="M854" t="b">
        <f t="shared" si="26"/>
        <v>0</v>
      </c>
      <c r="N854">
        <f t="shared" si="27"/>
        <v>0</v>
      </c>
    </row>
    <row r="855" spans="3:14" x14ac:dyDescent="0.25">
      <c r="C855" t="s">
        <v>1548</v>
      </c>
      <c r="D855" t="s">
        <v>806</v>
      </c>
      <c r="E855" t="s">
        <v>400</v>
      </c>
      <c r="F855">
        <v>0</v>
      </c>
      <c r="I855" t="str">
        <v>MC0000031187</v>
      </c>
      <c r="J855" t="str">
        <v>Excluded</v>
      </c>
      <c r="K855">
        <v>0</v>
      </c>
      <c r="L855" t="str" cm="1">
        <f t="array" ref="L855">_xlfn.TEXTJOIN(",",TRUE,_xlfn._xlws.FILTER($C$5:$C$1727,($D$5:$D$1727=I855)*($E$5:$E$1727=J855)*($F$5:$F$1727=K855)))</f>
        <v>EZ</v>
      </c>
      <c r="M855" t="b">
        <f t="shared" si="26"/>
        <v>0</v>
      </c>
      <c r="N855">
        <f t="shared" si="27"/>
        <v>0</v>
      </c>
    </row>
    <row r="856" spans="3:14" x14ac:dyDescent="0.25">
      <c r="C856" t="s">
        <v>1548</v>
      </c>
      <c r="D856" t="s">
        <v>807</v>
      </c>
      <c r="E856" t="s">
        <v>400</v>
      </c>
      <c r="F856">
        <v>0</v>
      </c>
      <c r="I856" t="str">
        <v>NL0000009082</v>
      </c>
      <c r="J856" t="str">
        <v>Not included in a theme</v>
      </c>
      <c r="K856">
        <v>0</v>
      </c>
      <c r="L856" t="str" cm="1">
        <f t="array" ref="L856">_xlfn.TEXTJOIN(",",TRUE,_xlfn._xlws.FILTER($C$5:$C$1727,($D$5:$D$1727=I856)*($E$5:$E$1727=J856)*($F$5:$F$1727=K856)))</f>
        <v>EZ,Global</v>
      </c>
      <c r="M856" t="b">
        <f t="shared" si="26"/>
        <v>0</v>
      </c>
      <c r="N856">
        <f t="shared" si="27"/>
        <v>1</v>
      </c>
    </row>
    <row r="857" spans="3:14" x14ac:dyDescent="0.25">
      <c r="C857" t="s">
        <v>1548</v>
      </c>
      <c r="D857" t="s">
        <v>808</v>
      </c>
      <c r="E857" t="s">
        <v>400</v>
      </c>
      <c r="F857">
        <v>0</v>
      </c>
      <c r="I857" t="str">
        <v>NL0000009165</v>
      </c>
      <c r="J857" t="str">
        <v>Excluded</v>
      </c>
      <c r="K857">
        <v>0</v>
      </c>
      <c r="L857" t="str" cm="1">
        <f t="array" ref="L857">_xlfn.TEXTJOIN(",",TRUE,_xlfn._xlws.FILTER($C$5:$C$1727,($D$5:$D$1727=I857)*($E$5:$E$1727=J857)*($F$5:$F$1727=K857)))</f>
        <v>EZ,Global</v>
      </c>
      <c r="M857" t="b">
        <f t="shared" si="26"/>
        <v>0</v>
      </c>
      <c r="N857">
        <f t="shared" si="27"/>
        <v>1</v>
      </c>
    </row>
    <row r="858" spans="3:14" x14ac:dyDescent="0.25">
      <c r="C858" t="s">
        <v>1548</v>
      </c>
      <c r="D858" t="s">
        <v>809</v>
      </c>
      <c r="E858" t="s">
        <v>403</v>
      </c>
      <c r="F858">
        <v>0.49</v>
      </c>
      <c r="I858" t="str">
        <v>NL0000009538</v>
      </c>
      <c r="J858" t="str">
        <v>Not included in a theme</v>
      </c>
      <c r="K858">
        <v>0</v>
      </c>
      <c r="L858" t="str" cm="1">
        <f t="array" ref="L858">_xlfn.TEXTJOIN(",",TRUE,_xlfn._xlws.FILTER($C$5:$C$1727,($D$5:$D$1727=I858)*($E$5:$E$1727=J858)*($F$5:$F$1727=K858)))</f>
        <v>EZ,Global</v>
      </c>
      <c r="M858" t="b">
        <f t="shared" si="26"/>
        <v>0</v>
      </c>
      <c r="N858">
        <f t="shared" si="27"/>
        <v>1</v>
      </c>
    </row>
    <row r="859" spans="3:14" x14ac:dyDescent="0.25">
      <c r="C859" t="s">
        <v>1548</v>
      </c>
      <c r="D859" t="s">
        <v>810</v>
      </c>
      <c r="E859" t="s">
        <v>405</v>
      </c>
      <c r="F859">
        <v>1</v>
      </c>
      <c r="I859" t="str">
        <v>NL0000226223</v>
      </c>
      <c r="J859" t="str">
        <v>Information technology</v>
      </c>
      <c r="K859">
        <v>0.23</v>
      </c>
      <c r="L859" t="str" cm="1">
        <f t="array" ref="L859">_xlfn.TEXTJOIN(",",TRUE,_xlfn._xlws.FILTER($C$5:$C$1727,($D$5:$D$1727=I859)*($E$5:$E$1727=J859)*($F$5:$F$1727=K859)))</f>
        <v>EZ,Global</v>
      </c>
      <c r="M859" t="b">
        <f t="shared" si="26"/>
        <v>0</v>
      </c>
      <c r="N859">
        <f t="shared" si="27"/>
        <v>1</v>
      </c>
    </row>
    <row r="860" spans="3:14" x14ac:dyDescent="0.25">
      <c r="C860" t="s">
        <v>1548</v>
      </c>
      <c r="D860" t="s">
        <v>811</v>
      </c>
      <c r="E860" t="s">
        <v>408</v>
      </c>
      <c r="F860">
        <v>1</v>
      </c>
      <c r="I860" t="str">
        <v>NL0000235190</v>
      </c>
      <c r="J860" t="str">
        <v>Excluded</v>
      </c>
      <c r="K860">
        <v>0</v>
      </c>
      <c r="L860" t="str" cm="1">
        <f t="array" ref="L860">_xlfn.TEXTJOIN(",",TRUE,_xlfn._xlws.FILTER($C$5:$C$1727,($D$5:$D$1727=I860)*($E$5:$E$1727=J860)*($F$5:$F$1727=K860)))</f>
        <v>EZ,Global</v>
      </c>
      <c r="M860" t="b">
        <f t="shared" si="26"/>
        <v>0</v>
      </c>
      <c r="N860">
        <f t="shared" si="27"/>
        <v>0</v>
      </c>
    </row>
    <row r="861" spans="3:14" x14ac:dyDescent="0.25">
      <c r="C861" t="s">
        <v>1548</v>
      </c>
      <c r="D861" t="s">
        <v>812</v>
      </c>
      <c r="E861" t="s">
        <v>406</v>
      </c>
      <c r="F861">
        <v>0.53</v>
      </c>
      <c r="I861" t="str">
        <v>NL0000302636</v>
      </c>
      <c r="J861" t="str">
        <v>Not included in a theme</v>
      </c>
      <c r="K861">
        <v>0</v>
      </c>
      <c r="L861" t="str" cm="1">
        <f t="array" ref="L861">_xlfn.TEXTJOIN(",",TRUE,_xlfn._xlws.FILTER($C$5:$C$1727,($D$5:$D$1727=I861)*($E$5:$E$1727=J861)*($F$5:$F$1727=K861)))</f>
        <v>EZ</v>
      </c>
      <c r="M861" t="b">
        <f t="shared" si="26"/>
        <v>0</v>
      </c>
      <c r="N861">
        <f t="shared" si="27"/>
        <v>0</v>
      </c>
    </row>
    <row r="862" spans="3:14" x14ac:dyDescent="0.25">
      <c r="C862" t="s">
        <v>1548</v>
      </c>
      <c r="D862" t="s">
        <v>813</v>
      </c>
      <c r="E862" t="s">
        <v>400</v>
      </c>
      <c r="F862">
        <v>0</v>
      </c>
      <c r="I862" t="str">
        <v>NL0000334118</v>
      </c>
      <c r="J862" t="str">
        <v>Information technology</v>
      </c>
      <c r="K862">
        <v>1</v>
      </c>
      <c r="L862" t="str" cm="1">
        <f t="array" ref="L862">_xlfn.TEXTJOIN(",",TRUE,_xlfn._xlws.FILTER($C$5:$C$1727,($D$5:$D$1727=I862)*($E$5:$E$1727=J862)*($F$5:$F$1727=K862)))</f>
        <v>EZ,Global</v>
      </c>
      <c r="M862" t="b">
        <f t="shared" si="26"/>
        <v>0</v>
      </c>
      <c r="N862">
        <f t="shared" si="27"/>
        <v>1</v>
      </c>
    </row>
    <row r="863" spans="3:14" x14ac:dyDescent="0.25">
      <c r="C863" t="s">
        <v>1548</v>
      </c>
      <c r="D863" t="s">
        <v>71</v>
      </c>
      <c r="E863" t="s">
        <v>400</v>
      </c>
      <c r="F863">
        <v>0</v>
      </c>
      <c r="I863" t="str">
        <v>NL0000337319</v>
      </c>
      <c r="J863" t="str">
        <v>Ecoconstruction</v>
      </c>
      <c r="K863">
        <v>0.19</v>
      </c>
      <c r="L863" t="str" cm="1">
        <f t="array" ref="L863">_xlfn.TEXTJOIN(",",TRUE,_xlfn._xlws.FILTER($C$5:$C$1727,($D$5:$D$1727=I863)*($E$5:$E$1727=J863)*($F$5:$F$1727=K863)))</f>
        <v>EZ</v>
      </c>
      <c r="M863" t="b">
        <f t="shared" si="26"/>
        <v>0</v>
      </c>
      <c r="N863">
        <f t="shared" si="27"/>
        <v>1</v>
      </c>
    </row>
    <row r="864" spans="3:14" x14ac:dyDescent="0.25">
      <c r="C864" t="s">
        <v>1548</v>
      </c>
      <c r="D864" t="s">
        <v>52</v>
      </c>
      <c r="E864" t="s">
        <v>401</v>
      </c>
      <c r="F864">
        <v>0</v>
      </c>
      <c r="I864" t="str">
        <v>NL0000360618</v>
      </c>
      <c r="J864" t="str">
        <v>Excluded</v>
      </c>
      <c r="K864">
        <v>0</v>
      </c>
      <c r="L864" t="str" cm="1">
        <f t="array" ref="L864">_xlfn.TEXTJOIN(",",TRUE,_xlfn._xlws.FILTER($C$5:$C$1727,($D$5:$D$1727=I864)*($E$5:$E$1727=J864)*($F$5:$F$1727=K864)))</f>
        <v>EZ</v>
      </c>
      <c r="M864" t="b">
        <f t="shared" si="26"/>
        <v>0</v>
      </c>
      <c r="N864">
        <f t="shared" si="27"/>
        <v>0</v>
      </c>
    </row>
    <row r="865" spans="3:14" x14ac:dyDescent="0.25">
      <c r="C865" t="s">
        <v>1548</v>
      </c>
      <c r="D865" t="s">
        <v>66</v>
      </c>
      <c r="E865" t="s">
        <v>401</v>
      </c>
      <c r="F865">
        <v>0</v>
      </c>
      <c r="I865" t="str">
        <v>NL0000379121</v>
      </c>
      <c r="J865" t="str">
        <v>Excluded</v>
      </c>
      <c r="K865">
        <v>0</v>
      </c>
      <c r="L865" t="str" cm="1">
        <f t="array" ref="L865">_xlfn.TEXTJOIN(",",TRUE,_xlfn._xlws.FILTER($C$5:$C$1727,($D$5:$D$1727=I865)*($E$5:$E$1727=J865)*($F$5:$F$1727=K865)))</f>
        <v>EZ</v>
      </c>
      <c r="M865" t="b">
        <f t="shared" si="26"/>
        <v>0</v>
      </c>
      <c r="N865">
        <f t="shared" si="27"/>
        <v>1</v>
      </c>
    </row>
    <row r="866" spans="3:14" x14ac:dyDescent="0.25">
      <c r="C866" t="s">
        <v>1548</v>
      </c>
      <c r="D866" t="s">
        <v>814</v>
      </c>
      <c r="E866" t="s">
        <v>401</v>
      </c>
      <c r="F866">
        <v>0</v>
      </c>
      <c r="I866" t="str">
        <v>NL0000395903</v>
      </c>
      <c r="J866" t="str">
        <v>Not included in a theme</v>
      </c>
      <c r="K866">
        <v>0</v>
      </c>
      <c r="L866" t="str" cm="1">
        <f t="array" ref="L866">_xlfn.TEXTJOIN(",",TRUE,_xlfn._xlws.FILTER($C$5:$C$1727,($D$5:$D$1727=I866)*($E$5:$E$1727=J866)*($F$5:$F$1727=K866)))</f>
        <v>EZ,Global</v>
      </c>
      <c r="M866" t="b">
        <f t="shared" si="26"/>
        <v>0</v>
      </c>
      <c r="N866">
        <f t="shared" si="27"/>
        <v>1</v>
      </c>
    </row>
    <row r="867" spans="3:14" x14ac:dyDescent="0.25">
      <c r="C867" t="s">
        <v>1548</v>
      </c>
      <c r="D867" t="s">
        <v>815</v>
      </c>
      <c r="E867" t="s">
        <v>400</v>
      </c>
      <c r="F867">
        <v>0</v>
      </c>
      <c r="I867" t="str">
        <v>NL0000687663</v>
      </c>
      <c r="J867" t="str">
        <v>Excluded</v>
      </c>
      <c r="K867">
        <v>0</v>
      </c>
      <c r="L867" t="str" cm="1">
        <f t="array" ref="L867">_xlfn.TEXTJOIN(",",TRUE,_xlfn._xlws.FILTER($C$5:$C$1727,($D$5:$D$1727=I867)*($E$5:$E$1727=J867)*($F$5:$F$1727=K867)))</f>
        <v>Global</v>
      </c>
      <c r="M867" t="b">
        <f t="shared" si="26"/>
        <v>0</v>
      </c>
      <c r="N867">
        <f t="shared" si="27"/>
        <v>0</v>
      </c>
    </row>
    <row r="868" spans="3:14" x14ac:dyDescent="0.25">
      <c r="C868" t="s">
        <v>1548</v>
      </c>
      <c r="D868" t="s">
        <v>816</v>
      </c>
      <c r="E868" t="s">
        <v>400</v>
      </c>
      <c r="F868">
        <v>0</v>
      </c>
      <c r="I868" t="str">
        <v>NL0000852564</v>
      </c>
      <c r="J868" t="str">
        <v>Ecoconstruction</v>
      </c>
      <c r="K868">
        <v>0.71</v>
      </c>
      <c r="L868" t="str" cm="1">
        <f t="array" ref="L868">_xlfn.TEXTJOIN(",",TRUE,_xlfn._xlws.FILTER($C$5:$C$1727,($D$5:$D$1727=I868)*($E$5:$E$1727=J868)*($F$5:$F$1727=K868)))</f>
        <v>EZ</v>
      </c>
      <c r="M868" t="b">
        <f t="shared" si="26"/>
        <v>0</v>
      </c>
      <c r="N868">
        <f t="shared" si="27"/>
        <v>0</v>
      </c>
    </row>
    <row r="869" spans="3:14" x14ac:dyDescent="0.25">
      <c r="C869" t="s">
        <v>1548</v>
      </c>
      <c r="D869" t="s">
        <v>817</v>
      </c>
      <c r="E869" t="s">
        <v>400</v>
      </c>
      <c r="F869">
        <v>0</v>
      </c>
      <c r="I869" t="str">
        <v>NL0006237562</v>
      </c>
      <c r="J869" t="str">
        <v>Ecoconstruction</v>
      </c>
      <c r="K869">
        <v>0.78</v>
      </c>
      <c r="L869" t="str" cm="1">
        <f t="array" ref="L869">_xlfn.TEXTJOIN(",",TRUE,_xlfn._xlws.FILTER($C$5:$C$1727,($D$5:$D$1727=I869)*($E$5:$E$1727=J869)*($F$5:$F$1727=K869)))</f>
        <v>EZ</v>
      </c>
      <c r="M869" t="b">
        <f t="shared" si="26"/>
        <v>0</v>
      </c>
      <c r="N869">
        <f t="shared" si="27"/>
        <v>0</v>
      </c>
    </row>
    <row r="870" spans="3:14" x14ac:dyDescent="0.25">
      <c r="C870" t="s">
        <v>1548</v>
      </c>
      <c r="D870" t="s">
        <v>818</v>
      </c>
      <c r="E870" t="s">
        <v>400</v>
      </c>
      <c r="F870">
        <v>0</v>
      </c>
      <c r="I870" t="str">
        <v>NL0006294274</v>
      </c>
      <c r="J870" t="str">
        <v>Excluded</v>
      </c>
      <c r="K870">
        <v>0</v>
      </c>
      <c r="L870" t="str" cm="1">
        <f t="array" ref="L870">_xlfn.TEXTJOIN(",",TRUE,_xlfn._xlws.FILTER($C$5:$C$1727,($D$5:$D$1727=I870)*($E$5:$E$1727=J870)*($F$5:$F$1727=K870)))</f>
        <v>EZ,Global</v>
      </c>
      <c r="M870" t="b">
        <f t="shared" si="26"/>
        <v>0</v>
      </c>
      <c r="N870">
        <f t="shared" si="27"/>
        <v>1</v>
      </c>
    </row>
    <row r="871" spans="3:14" x14ac:dyDescent="0.25">
      <c r="C871" t="s">
        <v>1548</v>
      </c>
      <c r="D871" t="s">
        <v>819</v>
      </c>
      <c r="E871" t="s">
        <v>400</v>
      </c>
      <c r="F871">
        <v>0</v>
      </c>
      <c r="I871" t="str">
        <v>NL0009432491</v>
      </c>
      <c r="J871" t="str">
        <v>Excluded</v>
      </c>
      <c r="K871">
        <v>0</v>
      </c>
      <c r="L871" t="str" cm="1">
        <f t="array" ref="L871">_xlfn.TEXTJOIN(",",TRUE,_xlfn._xlws.FILTER($C$5:$C$1727,($D$5:$D$1727=I871)*($E$5:$E$1727=J871)*($F$5:$F$1727=K871)))</f>
        <v>EZ</v>
      </c>
      <c r="M871" t="b">
        <f t="shared" si="26"/>
        <v>0</v>
      </c>
      <c r="N871">
        <f t="shared" si="27"/>
        <v>0</v>
      </c>
    </row>
    <row r="872" spans="3:14" x14ac:dyDescent="0.25">
      <c r="C872" t="s">
        <v>1548</v>
      </c>
      <c r="D872" t="s">
        <v>820</v>
      </c>
      <c r="E872" t="s">
        <v>401</v>
      </c>
      <c r="F872">
        <v>0</v>
      </c>
      <c r="I872" t="str">
        <v>NL0009434992</v>
      </c>
      <c r="J872" t="str">
        <v>Excluded</v>
      </c>
      <c r="K872">
        <v>0</v>
      </c>
      <c r="L872" t="str" cm="1">
        <f t="array" ref="L872">_xlfn.TEXTJOIN(",",TRUE,_xlfn._xlws.FILTER($C$5:$C$1727,($D$5:$D$1727=I872)*($E$5:$E$1727=J872)*($F$5:$F$1727=K872)))</f>
        <v>Global</v>
      </c>
      <c r="M872" t="b">
        <f t="shared" si="26"/>
        <v>0</v>
      </c>
      <c r="N872">
        <f t="shared" si="27"/>
        <v>0</v>
      </c>
    </row>
    <row r="873" spans="3:14" x14ac:dyDescent="0.25">
      <c r="C873" t="s">
        <v>1548</v>
      </c>
      <c r="D873" t="s">
        <v>78</v>
      </c>
      <c r="E873" t="s">
        <v>400</v>
      </c>
      <c r="F873">
        <v>0</v>
      </c>
      <c r="I873" t="str">
        <v>NL0009538784</v>
      </c>
      <c r="J873" t="str">
        <v>Information technology</v>
      </c>
      <c r="K873">
        <v>0.9</v>
      </c>
      <c r="L873" t="str" cm="1">
        <f t="array" ref="L873">_xlfn.TEXTJOIN(",",TRUE,_xlfn._xlws.FILTER($C$5:$C$1727,($D$5:$D$1727=I873)*($E$5:$E$1727=J873)*($F$5:$F$1727=K873)))</f>
        <v>Global</v>
      </c>
      <c r="M873" t="b">
        <f t="shared" si="26"/>
        <v>0</v>
      </c>
      <c r="N873">
        <f t="shared" si="27"/>
        <v>0</v>
      </c>
    </row>
    <row r="874" spans="3:14" x14ac:dyDescent="0.25">
      <c r="C874" t="s">
        <v>1548</v>
      </c>
      <c r="D874" t="s">
        <v>76</v>
      </c>
      <c r="E874" t="s">
        <v>399</v>
      </c>
      <c r="F874">
        <v>0.34</v>
      </c>
      <c r="I874" t="str">
        <v>NL0009805522</v>
      </c>
      <c r="J874" t="str">
        <v>Excluded</v>
      </c>
      <c r="K874">
        <v>0</v>
      </c>
      <c r="L874" t="str" cm="1">
        <f t="array" ref="L874">_xlfn.TEXTJOIN(",",TRUE,_xlfn._xlws.FILTER($C$5:$C$1727,($D$5:$D$1727=I874)*($E$5:$E$1727=J874)*($F$5:$F$1727=K874)))</f>
        <v>Global</v>
      </c>
      <c r="M874" t="b">
        <f t="shared" si="26"/>
        <v>0</v>
      </c>
      <c r="N874">
        <f t="shared" si="27"/>
        <v>0</v>
      </c>
    </row>
    <row r="875" spans="3:14" x14ac:dyDescent="0.25">
      <c r="C875" t="s">
        <v>1548</v>
      </c>
      <c r="D875" t="s">
        <v>821</v>
      </c>
      <c r="E875" t="s">
        <v>399</v>
      </c>
      <c r="F875">
        <v>1</v>
      </c>
      <c r="I875" t="str">
        <v>NL0010273215</v>
      </c>
      <c r="J875" t="str">
        <v>Information technology</v>
      </c>
      <c r="K875">
        <v>1</v>
      </c>
      <c r="L875" t="str" cm="1">
        <f t="array" ref="L875">_xlfn.TEXTJOIN(",",TRUE,_xlfn._xlws.FILTER($C$5:$C$1727,($D$5:$D$1727=I875)*($E$5:$E$1727=J875)*($F$5:$F$1727=K875)))</f>
        <v>EZ,Global</v>
      </c>
      <c r="M875" t="b">
        <f t="shared" si="26"/>
        <v>0</v>
      </c>
      <c r="N875">
        <f t="shared" si="27"/>
        <v>1</v>
      </c>
    </row>
    <row r="876" spans="3:14" x14ac:dyDescent="0.25">
      <c r="C876" t="s">
        <v>1548</v>
      </c>
      <c r="D876" t="s">
        <v>822</v>
      </c>
      <c r="E876" t="s">
        <v>400</v>
      </c>
      <c r="F876">
        <v>0</v>
      </c>
      <c r="I876" t="str">
        <v>NL0010545661</v>
      </c>
      <c r="J876" t="str">
        <v>Not included in a theme</v>
      </c>
      <c r="K876">
        <v>0</v>
      </c>
      <c r="L876" t="str" cm="1">
        <f t="array" ref="L876">_xlfn.TEXTJOIN(",",TRUE,_xlfn._xlws.FILTER($C$5:$C$1727,($D$5:$D$1727=I876)*($E$5:$E$1727=J876)*($F$5:$F$1727=K876)))</f>
        <v>Global</v>
      </c>
      <c r="M876" t="b">
        <f t="shared" si="26"/>
        <v>0</v>
      </c>
      <c r="N876">
        <f t="shared" si="27"/>
        <v>0</v>
      </c>
    </row>
    <row r="877" spans="3:14" x14ac:dyDescent="0.25">
      <c r="C877" t="s">
        <v>1548</v>
      </c>
      <c r="D877" t="s">
        <v>80</v>
      </c>
      <c r="E877" t="s">
        <v>401</v>
      </c>
      <c r="F877">
        <v>0</v>
      </c>
      <c r="I877" t="str">
        <v>NL0010773842</v>
      </c>
      <c r="J877" t="str">
        <v>Excluded</v>
      </c>
      <c r="K877">
        <v>0</v>
      </c>
      <c r="L877" t="str" cm="1">
        <f t="array" ref="L877">_xlfn.TEXTJOIN(",",TRUE,_xlfn._xlws.FILTER($C$5:$C$1727,($D$5:$D$1727=I877)*($E$5:$E$1727=J877)*($F$5:$F$1727=K877)))</f>
        <v>EZ,Global</v>
      </c>
      <c r="M877" t="b">
        <f t="shared" si="26"/>
        <v>0</v>
      </c>
      <c r="N877">
        <f t="shared" si="27"/>
        <v>1</v>
      </c>
    </row>
    <row r="878" spans="3:14" x14ac:dyDescent="0.25">
      <c r="C878" t="s">
        <v>1548</v>
      </c>
      <c r="D878" t="s">
        <v>823</v>
      </c>
      <c r="E878" t="s">
        <v>400</v>
      </c>
      <c r="F878">
        <v>0</v>
      </c>
      <c r="I878" t="str">
        <v>NL0010801007</v>
      </c>
      <c r="J878" t="str">
        <v>Excluded</v>
      </c>
      <c r="K878">
        <v>0</v>
      </c>
      <c r="L878" t="str" cm="1">
        <f t="array" ref="L878">_xlfn.TEXTJOIN(",",TRUE,_xlfn._xlws.FILTER($C$5:$C$1727,($D$5:$D$1727=I878)*($E$5:$E$1727=J878)*($F$5:$F$1727=K878)))</f>
        <v>EZ</v>
      </c>
      <c r="M878" t="b">
        <f t="shared" si="26"/>
        <v>0</v>
      </c>
      <c r="N878">
        <f t="shared" si="27"/>
        <v>1</v>
      </c>
    </row>
    <row r="879" spans="3:14" x14ac:dyDescent="0.25">
      <c r="C879" t="s">
        <v>1548</v>
      </c>
      <c r="D879" t="s">
        <v>824</v>
      </c>
      <c r="E879" t="s">
        <v>400</v>
      </c>
      <c r="F879">
        <v>0</v>
      </c>
      <c r="I879" t="str">
        <v>NL0010832176</v>
      </c>
      <c r="J879" t="str">
        <v>Not included in a theme</v>
      </c>
      <c r="K879">
        <v>0</v>
      </c>
      <c r="L879" t="str" cm="1">
        <f t="array" ref="L879">_xlfn.TEXTJOIN(",",TRUE,_xlfn._xlws.FILTER($C$5:$C$1727,($D$5:$D$1727=I879)*($E$5:$E$1727=J879)*($F$5:$F$1727=K879)))</f>
        <v>EZ,Global</v>
      </c>
      <c r="M879" t="b">
        <f t="shared" si="26"/>
        <v>0</v>
      </c>
      <c r="N879">
        <f t="shared" si="27"/>
        <v>1</v>
      </c>
    </row>
    <row r="880" spans="3:14" x14ac:dyDescent="0.25">
      <c r="C880" t="s">
        <v>1548</v>
      </c>
      <c r="D880" t="s">
        <v>825</v>
      </c>
      <c r="E880" t="s">
        <v>400</v>
      </c>
      <c r="F880">
        <v>0</v>
      </c>
      <c r="I880" t="str">
        <v>NL0011540547</v>
      </c>
      <c r="J880" t="str">
        <v>Not included in a theme</v>
      </c>
      <c r="K880">
        <v>0</v>
      </c>
      <c r="L880" t="str" cm="1">
        <f t="array" ref="L880">_xlfn.TEXTJOIN(",",TRUE,_xlfn._xlws.FILTER($C$5:$C$1727,($D$5:$D$1727=I880)*($E$5:$E$1727=J880)*($F$5:$F$1727=K880)))</f>
        <v>EZ,Global</v>
      </c>
      <c r="M880" t="b">
        <f t="shared" si="26"/>
        <v>0</v>
      </c>
      <c r="N880">
        <f t="shared" si="27"/>
        <v>1</v>
      </c>
    </row>
    <row r="881" spans="3:14" x14ac:dyDescent="0.25">
      <c r="C881" t="s">
        <v>1548</v>
      </c>
      <c r="D881" t="s">
        <v>826</v>
      </c>
      <c r="E881" t="s">
        <v>400</v>
      </c>
      <c r="F881">
        <v>0</v>
      </c>
      <c r="I881" t="str">
        <v>NL0011585146</v>
      </c>
      <c r="J881" t="str">
        <v>Excluded</v>
      </c>
      <c r="K881">
        <v>0</v>
      </c>
      <c r="L881" t="str" cm="1">
        <f t="array" ref="L881">_xlfn.TEXTJOIN(",",TRUE,_xlfn._xlws.FILTER($C$5:$C$1727,($D$5:$D$1727=I881)*($E$5:$E$1727=J881)*($F$5:$F$1727=K881)))</f>
        <v>EZ,Global</v>
      </c>
      <c r="M881" t="b">
        <f t="shared" si="26"/>
        <v>0</v>
      </c>
      <c r="N881">
        <f t="shared" si="27"/>
        <v>1</v>
      </c>
    </row>
    <row r="882" spans="3:14" x14ac:dyDescent="0.25">
      <c r="C882" t="s">
        <v>1548</v>
      </c>
      <c r="D882" t="s">
        <v>827</v>
      </c>
      <c r="E882" t="s">
        <v>405</v>
      </c>
      <c r="F882">
        <v>0.41</v>
      </c>
      <c r="I882" t="str">
        <v>NL0011794037</v>
      </c>
      <c r="J882" t="str">
        <v>Excluded</v>
      </c>
      <c r="K882">
        <v>0</v>
      </c>
      <c r="L882" t="str" cm="1">
        <f t="array" ref="L882">_xlfn.TEXTJOIN(",",TRUE,_xlfn._xlws.FILTER($C$5:$C$1727,($D$5:$D$1727=I882)*($E$5:$E$1727=J882)*($F$5:$F$1727=K882)))</f>
        <v>EZ,Global</v>
      </c>
      <c r="M882" t="b">
        <f t="shared" si="26"/>
        <v>0</v>
      </c>
      <c r="N882">
        <f t="shared" si="27"/>
        <v>1</v>
      </c>
    </row>
    <row r="883" spans="3:14" x14ac:dyDescent="0.25">
      <c r="C883" t="s">
        <v>1548</v>
      </c>
      <c r="D883" t="s">
        <v>828</v>
      </c>
      <c r="E883" t="s">
        <v>400</v>
      </c>
      <c r="F883">
        <v>0</v>
      </c>
      <c r="I883" t="str">
        <v>NL0011821202</v>
      </c>
      <c r="J883" t="str">
        <v>Not included in a theme</v>
      </c>
      <c r="K883">
        <v>0</v>
      </c>
      <c r="L883" t="str" cm="1">
        <f t="array" ref="L883">_xlfn.TEXTJOIN(",",TRUE,_xlfn._xlws.FILTER($C$5:$C$1727,($D$5:$D$1727=I883)*($E$5:$E$1727=J883)*($F$5:$F$1727=K883)))</f>
        <v>EZ,Global</v>
      </c>
      <c r="M883" t="b">
        <f t="shared" si="26"/>
        <v>0</v>
      </c>
      <c r="N883">
        <f t="shared" si="27"/>
        <v>1</v>
      </c>
    </row>
    <row r="884" spans="3:14" x14ac:dyDescent="0.25">
      <c r="C884" t="s">
        <v>1548</v>
      </c>
      <c r="D884" t="s">
        <v>84</v>
      </c>
      <c r="E884" t="s">
        <v>400</v>
      </c>
      <c r="F884">
        <v>0</v>
      </c>
      <c r="I884" t="str">
        <v>NL0011821392</v>
      </c>
      <c r="J884" t="str">
        <v>Ecoconstruction</v>
      </c>
      <c r="K884">
        <v>0.85</v>
      </c>
      <c r="L884" t="str" cm="1">
        <f t="array" ref="L884">_xlfn.TEXTJOIN(",",TRUE,_xlfn._xlws.FILTER($C$5:$C$1727,($D$5:$D$1727=I884)*($E$5:$E$1727=J884)*($F$5:$F$1727=K884)))</f>
        <v>EZ</v>
      </c>
      <c r="M884" t="b">
        <f t="shared" si="26"/>
        <v>0</v>
      </c>
      <c r="N884">
        <f t="shared" si="27"/>
        <v>1</v>
      </c>
    </row>
    <row r="885" spans="3:14" x14ac:dyDescent="0.25">
      <c r="C885" t="s">
        <v>1548</v>
      </c>
      <c r="D885" t="s">
        <v>829</v>
      </c>
      <c r="E885" t="s">
        <v>404</v>
      </c>
      <c r="F885">
        <v>0.62</v>
      </c>
      <c r="I885" t="str">
        <v>NL0011872643</v>
      </c>
      <c r="J885" t="str">
        <v>Excluded</v>
      </c>
      <c r="K885">
        <v>0</v>
      </c>
      <c r="L885" t="str" cm="1">
        <f t="array" ref="L885">_xlfn.TEXTJOIN(",",TRUE,_xlfn._xlws.FILTER($C$5:$C$1727,($D$5:$D$1727=I885)*($E$5:$E$1727=J885)*($F$5:$F$1727=K885)))</f>
        <v>EZ,Global</v>
      </c>
      <c r="M885" t="b">
        <f t="shared" si="26"/>
        <v>0</v>
      </c>
      <c r="N885">
        <f t="shared" si="27"/>
        <v>1</v>
      </c>
    </row>
    <row r="886" spans="3:14" x14ac:dyDescent="0.25">
      <c r="C886" t="s">
        <v>1548</v>
      </c>
      <c r="D886" t="s">
        <v>830</v>
      </c>
      <c r="E886" t="s">
        <v>401</v>
      </c>
      <c r="F886">
        <v>0</v>
      </c>
      <c r="I886" t="str">
        <v>NL0012059018</v>
      </c>
      <c r="J886" t="str">
        <v>Excluded</v>
      </c>
      <c r="K886">
        <v>0</v>
      </c>
      <c r="L886" t="str" cm="1">
        <f t="array" ref="L886">_xlfn.TEXTJOIN(",",TRUE,_xlfn._xlws.FILTER($C$5:$C$1727,($D$5:$D$1727=I886)*($E$5:$E$1727=J886)*($F$5:$F$1727=K886)))</f>
        <v>EZ,Global</v>
      </c>
      <c r="M886" t="b">
        <f t="shared" si="26"/>
        <v>0</v>
      </c>
      <c r="N886">
        <f t="shared" si="27"/>
        <v>1</v>
      </c>
    </row>
    <row r="887" spans="3:14" x14ac:dyDescent="0.25">
      <c r="C887" t="s">
        <v>1548</v>
      </c>
      <c r="D887" t="s">
        <v>831</v>
      </c>
      <c r="E887" t="s">
        <v>400</v>
      </c>
      <c r="F887">
        <v>0</v>
      </c>
      <c r="I887" t="str">
        <v>NL0012866412</v>
      </c>
      <c r="J887" t="str">
        <v>Information technology</v>
      </c>
      <c r="K887">
        <v>0.89</v>
      </c>
      <c r="L887" t="str" cm="1">
        <f t="array" ref="L887">_xlfn.TEXTJOIN(",",TRUE,_xlfn._xlws.FILTER($C$5:$C$1727,($D$5:$D$1727=I887)*($E$5:$E$1727=J887)*($F$5:$F$1727=K887)))</f>
        <v>EZ,Global</v>
      </c>
      <c r="M887" t="b">
        <f t="shared" si="26"/>
        <v>0</v>
      </c>
      <c r="N887">
        <f t="shared" si="27"/>
        <v>1</v>
      </c>
    </row>
    <row r="888" spans="3:14" x14ac:dyDescent="0.25">
      <c r="C888" t="s">
        <v>1548</v>
      </c>
      <c r="D888" t="s">
        <v>832</v>
      </c>
      <c r="E888" t="s">
        <v>400</v>
      </c>
      <c r="F888">
        <v>0</v>
      </c>
      <c r="I888" t="str">
        <v>NL0012969182</v>
      </c>
      <c r="J888" t="str">
        <v>Excluded</v>
      </c>
      <c r="K888">
        <v>0</v>
      </c>
      <c r="L888" t="str" cm="1">
        <f t="array" ref="L888">_xlfn.TEXTJOIN(",",TRUE,_xlfn._xlws.FILTER($C$5:$C$1727,($D$5:$D$1727=I888)*($E$5:$E$1727=J888)*($F$5:$F$1727=K888)))</f>
        <v>EZ,Global</v>
      </c>
      <c r="M888" t="b">
        <f t="shared" si="26"/>
        <v>0</v>
      </c>
      <c r="N888">
        <f t="shared" si="27"/>
        <v>1</v>
      </c>
    </row>
    <row r="889" spans="3:14" x14ac:dyDescent="0.25">
      <c r="C889" t="s">
        <v>1548</v>
      </c>
      <c r="D889" t="s">
        <v>833</v>
      </c>
      <c r="E889" t="s">
        <v>404</v>
      </c>
      <c r="F889">
        <v>0.51</v>
      </c>
      <c r="I889" t="str">
        <v>NL0013056914</v>
      </c>
      <c r="J889" t="str">
        <v>Not included in a theme</v>
      </c>
      <c r="K889">
        <v>0</v>
      </c>
      <c r="L889" t="str" cm="1">
        <f t="array" ref="L889">_xlfn.TEXTJOIN(",",TRUE,_xlfn._xlws.FILTER($C$5:$C$1727,($D$5:$D$1727=I889)*($E$5:$E$1727=J889)*($F$5:$F$1727=K889)))</f>
        <v>Global</v>
      </c>
      <c r="M889" t="b">
        <f t="shared" si="26"/>
        <v>0</v>
      </c>
      <c r="N889">
        <f t="shared" si="27"/>
        <v>0</v>
      </c>
    </row>
    <row r="890" spans="3:14" x14ac:dyDescent="0.25">
      <c r="C890" t="s">
        <v>1548</v>
      </c>
      <c r="D890" t="s">
        <v>834</v>
      </c>
      <c r="E890" t="s">
        <v>400</v>
      </c>
      <c r="F890">
        <v>0</v>
      </c>
      <c r="I890" t="str">
        <v>NL0013267909</v>
      </c>
      <c r="J890" t="str">
        <v>Ecoconstruction</v>
      </c>
      <c r="K890">
        <v>0.13</v>
      </c>
      <c r="L890" t="str" cm="1">
        <f t="array" ref="L890">_xlfn.TEXTJOIN(",",TRUE,_xlfn._xlws.FILTER($C$5:$C$1727,($D$5:$D$1727=I890)*($E$5:$E$1727=J890)*($F$5:$F$1727=K890)))</f>
        <v>EZ,Global</v>
      </c>
      <c r="M890" t="b">
        <f t="shared" si="26"/>
        <v>0</v>
      </c>
      <c r="N890">
        <f t="shared" si="27"/>
        <v>1</v>
      </c>
    </row>
    <row r="891" spans="3:14" x14ac:dyDescent="0.25">
      <c r="C891" t="s">
        <v>1548</v>
      </c>
      <c r="D891" t="s">
        <v>835</v>
      </c>
      <c r="E891" t="s">
        <v>402</v>
      </c>
      <c r="F891">
        <v>0.47</v>
      </c>
      <c r="I891" t="str">
        <v>NL0013654783</v>
      </c>
      <c r="J891" t="str">
        <v>Excluded</v>
      </c>
      <c r="K891">
        <v>0</v>
      </c>
      <c r="L891" t="str" cm="1">
        <f t="array" ref="L891">_xlfn.TEXTJOIN(",",TRUE,_xlfn._xlws.FILTER($C$5:$C$1727,($D$5:$D$1727=I891)*($E$5:$E$1727=J891)*($F$5:$F$1727=K891)))</f>
        <v>EZ,Global</v>
      </c>
      <c r="M891" t="b">
        <f t="shared" si="26"/>
        <v>0</v>
      </c>
      <c r="N891">
        <f t="shared" si="27"/>
        <v>1</v>
      </c>
    </row>
    <row r="892" spans="3:14" x14ac:dyDescent="0.25">
      <c r="C892" t="s">
        <v>1548</v>
      </c>
      <c r="D892" t="s">
        <v>836</v>
      </c>
      <c r="E892" t="s">
        <v>400</v>
      </c>
      <c r="F892">
        <v>0</v>
      </c>
      <c r="I892" t="str">
        <v>NL0013995087</v>
      </c>
      <c r="J892" t="str">
        <v>Excluded</v>
      </c>
      <c r="K892">
        <v>0</v>
      </c>
      <c r="L892" t="str" cm="1">
        <f t="array" ref="L892">_xlfn.TEXTJOIN(",",TRUE,_xlfn._xlws.FILTER($C$5:$C$1727,($D$5:$D$1727=I892)*($E$5:$E$1727=J892)*($F$5:$F$1727=K892)))</f>
        <v>EZ</v>
      </c>
      <c r="M892" t="b">
        <f t="shared" si="26"/>
        <v>0</v>
      </c>
      <c r="N892">
        <f t="shared" si="27"/>
        <v>0</v>
      </c>
    </row>
    <row r="893" spans="3:14" x14ac:dyDescent="0.25">
      <c r="C893" t="s">
        <v>1548</v>
      </c>
      <c r="D893" t="s">
        <v>837</v>
      </c>
      <c r="E893" t="s">
        <v>400</v>
      </c>
      <c r="F893">
        <v>0</v>
      </c>
      <c r="I893" t="str">
        <v>NL0014332678</v>
      </c>
      <c r="J893" t="str">
        <v>Agriculture and forestry</v>
      </c>
      <c r="K893">
        <v>0.24</v>
      </c>
      <c r="L893" t="str" cm="1">
        <f t="array" ref="L893">_xlfn.TEXTJOIN(",",TRUE,_xlfn._xlws.FILTER($C$5:$C$1727,($D$5:$D$1727=I893)*($E$5:$E$1727=J893)*($F$5:$F$1727=K893)))</f>
        <v>EZ</v>
      </c>
      <c r="M893" t="b">
        <f t="shared" si="26"/>
        <v>0</v>
      </c>
      <c r="N893">
        <f t="shared" si="27"/>
        <v>1</v>
      </c>
    </row>
    <row r="894" spans="3:14" x14ac:dyDescent="0.25">
      <c r="C894" t="s">
        <v>1548</v>
      </c>
      <c r="D894" t="s">
        <v>838</v>
      </c>
      <c r="E894" t="s">
        <v>400</v>
      </c>
      <c r="F894">
        <v>0</v>
      </c>
      <c r="I894" t="str">
        <v>NL0014559478</v>
      </c>
      <c r="J894" t="str">
        <v>Excluded</v>
      </c>
      <c r="K894">
        <v>0</v>
      </c>
      <c r="L894" t="str" cm="1">
        <f t="array" ref="L894">_xlfn.TEXTJOIN(",",TRUE,_xlfn._xlws.FILTER($C$5:$C$1727,($D$5:$D$1727=I894)*($E$5:$E$1727=J894)*($F$5:$F$1727=K894)))</f>
        <v>EZ</v>
      </c>
      <c r="M894" t="b">
        <f t="shared" si="26"/>
        <v>0</v>
      </c>
      <c r="N894">
        <f t="shared" si="27"/>
        <v>0</v>
      </c>
    </row>
    <row r="895" spans="3:14" x14ac:dyDescent="0.25">
      <c r="C895" t="s">
        <v>1548</v>
      </c>
      <c r="D895" t="s">
        <v>839</v>
      </c>
      <c r="E895" t="s">
        <v>400</v>
      </c>
      <c r="F895">
        <v>0</v>
      </c>
      <c r="I895" t="str">
        <v>NL00150001Q9</v>
      </c>
      <c r="J895" t="str">
        <v>Clean transport</v>
      </c>
      <c r="K895">
        <v>0.21</v>
      </c>
      <c r="L895" t="str" cm="1">
        <f t="array" ref="L895">_xlfn.TEXTJOIN(",",TRUE,_xlfn._xlws.FILTER($C$5:$C$1727,($D$5:$D$1727=I895)*($E$5:$E$1727=J895)*($F$5:$F$1727=K895)))</f>
        <v>EZ,Global</v>
      </c>
      <c r="M895" t="b">
        <f t="shared" si="26"/>
        <v>0</v>
      </c>
      <c r="N895">
        <f t="shared" si="27"/>
        <v>1</v>
      </c>
    </row>
    <row r="896" spans="3:14" x14ac:dyDescent="0.25">
      <c r="C896" t="s">
        <v>1548</v>
      </c>
      <c r="D896" t="s">
        <v>840</v>
      </c>
      <c r="E896" t="s">
        <v>400</v>
      </c>
      <c r="F896">
        <v>0</v>
      </c>
      <c r="I896" t="str">
        <v>NL00150006R6</v>
      </c>
      <c r="J896" t="str">
        <v>Ecoconstruction</v>
      </c>
      <c r="K896">
        <v>0.57999999999999996</v>
      </c>
      <c r="L896" t="str" cm="1">
        <f t="array" ref="L896">_xlfn.TEXTJOIN(",",TRUE,_xlfn._xlws.FILTER($C$5:$C$1727,($D$5:$D$1727=I896)*($E$5:$E$1727=J896)*($F$5:$F$1727=K896)))</f>
        <v>EZ</v>
      </c>
      <c r="M896" t="b">
        <f t="shared" si="26"/>
        <v>0</v>
      </c>
      <c r="N896">
        <f t="shared" si="27"/>
        <v>1</v>
      </c>
    </row>
    <row r="897" spans="3:14" x14ac:dyDescent="0.25">
      <c r="C897" t="s">
        <v>1548</v>
      </c>
      <c r="D897" t="s">
        <v>841</v>
      </c>
      <c r="E897" t="s">
        <v>400</v>
      </c>
      <c r="F897">
        <v>0</v>
      </c>
      <c r="I897" t="str">
        <v>NL0015000IY2</v>
      </c>
      <c r="J897" t="str">
        <v>Not included in a theme</v>
      </c>
      <c r="K897">
        <v>0</v>
      </c>
      <c r="L897" t="str" cm="1">
        <f t="array" ref="L897">_xlfn.TEXTJOIN(",",TRUE,_xlfn._xlws.FILTER($C$5:$C$1727,($D$5:$D$1727=I897)*($E$5:$E$1727=J897)*($F$5:$F$1727=K897)))</f>
        <v>EZ,Global</v>
      </c>
      <c r="M897" t="b">
        <f t="shared" si="26"/>
        <v>0</v>
      </c>
      <c r="N897">
        <f t="shared" si="27"/>
        <v>1</v>
      </c>
    </row>
    <row r="898" spans="3:14" x14ac:dyDescent="0.25">
      <c r="C898" t="s">
        <v>1548</v>
      </c>
      <c r="D898" t="s">
        <v>842</v>
      </c>
      <c r="E898" t="s">
        <v>400</v>
      </c>
      <c r="F898">
        <v>0</v>
      </c>
      <c r="I898" t="str">
        <v>NL0015000LU4</v>
      </c>
      <c r="J898" t="str">
        <v>Clean transport</v>
      </c>
      <c r="K898">
        <v>0.64</v>
      </c>
      <c r="L898" t="str" cm="1">
        <f t="array" ref="L898">_xlfn.TEXTJOIN(",",TRUE,_xlfn._xlws.FILTER($C$5:$C$1727,($D$5:$D$1727=I898)*($E$5:$E$1727=J898)*($F$5:$F$1727=K898)))</f>
        <v>EZ</v>
      </c>
      <c r="M898" t="b">
        <f t="shared" si="26"/>
        <v>0</v>
      </c>
      <c r="N898">
        <f t="shared" si="27"/>
        <v>1</v>
      </c>
    </row>
    <row r="899" spans="3:14" x14ac:dyDescent="0.25">
      <c r="C899" t="s">
        <v>1548</v>
      </c>
      <c r="D899" t="s">
        <v>843</v>
      </c>
      <c r="E899" t="s">
        <v>400</v>
      </c>
      <c r="F899">
        <v>0</v>
      </c>
      <c r="I899" t="str">
        <v>NL0015001FS8</v>
      </c>
      <c r="J899" t="str">
        <v>Clean transport</v>
      </c>
      <c r="K899">
        <v>0.34</v>
      </c>
      <c r="L899" t="str" cm="1">
        <f t="array" ref="L899">_xlfn.TEXTJOIN(",",TRUE,_xlfn._xlws.FILTER($C$5:$C$1727,($D$5:$D$1727=I899)*($E$5:$E$1727=J899)*($F$5:$F$1727=K899)))</f>
        <v>EZ</v>
      </c>
      <c r="M899" t="b">
        <f t="shared" si="26"/>
        <v>1</v>
      </c>
      <c r="N899">
        <f t="shared" si="27"/>
        <v>1</v>
      </c>
    </row>
    <row r="900" spans="3:14" x14ac:dyDescent="0.25">
      <c r="C900" t="s">
        <v>1548</v>
      </c>
      <c r="D900" t="s">
        <v>844</v>
      </c>
      <c r="E900" t="s">
        <v>401</v>
      </c>
      <c r="F900">
        <v>0</v>
      </c>
      <c r="I900" t="str">
        <v>NL0015001FS8</v>
      </c>
      <c r="J900" t="str">
        <v>Excluded</v>
      </c>
      <c r="K900">
        <v>0</v>
      </c>
      <c r="L900" t="str" cm="1">
        <f t="array" ref="L900">_xlfn.TEXTJOIN(",",TRUE,_xlfn._xlws.FILTER($C$5:$C$1727,($D$5:$D$1727=I900)*($E$5:$E$1727=J900)*($F$5:$F$1727=K900)))</f>
        <v>Global</v>
      </c>
      <c r="M900" t="b">
        <f t="shared" si="26"/>
        <v>1</v>
      </c>
      <c r="N900">
        <f t="shared" si="27"/>
        <v>1</v>
      </c>
    </row>
    <row r="901" spans="3:14" x14ac:dyDescent="0.25">
      <c r="C901" t="s">
        <v>1548</v>
      </c>
      <c r="D901" t="s">
        <v>845</v>
      </c>
      <c r="E901" t="s">
        <v>401</v>
      </c>
      <c r="F901">
        <v>0</v>
      </c>
      <c r="I901" t="str">
        <v>NL0015001KT6</v>
      </c>
      <c r="J901" t="str">
        <v>Excluded</v>
      </c>
      <c r="K901">
        <v>0</v>
      </c>
      <c r="L901" t="str" cm="1">
        <f t="array" ref="L901">_xlfn.TEXTJOIN(",",TRUE,_xlfn._xlws.FILTER($C$5:$C$1727,($D$5:$D$1727=I901)*($E$5:$E$1727=J901)*($F$5:$F$1727=K901)))</f>
        <v>EZ</v>
      </c>
      <c r="M901" t="b">
        <f t="shared" si="26"/>
        <v>0</v>
      </c>
      <c r="N901">
        <f t="shared" si="27"/>
        <v>0</v>
      </c>
    </row>
    <row r="902" spans="3:14" x14ac:dyDescent="0.25">
      <c r="C902" t="s">
        <v>1548</v>
      </c>
      <c r="D902" t="s">
        <v>846</v>
      </c>
      <c r="E902" t="s">
        <v>401</v>
      </c>
      <c r="F902">
        <v>0</v>
      </c>
      <c r="I902" t="str">
        <v>NL0015001W49</v>
      </c>
      <c r="J902" t="str">
        <v>Excluded</v>
      </c>
      <c r="K902">
        <v>0</v>
      </c>
      <c r="L902" t="str" cm="1">
        <f t="array" ref="L902">_xlfn.TEXTJOIN(",",TRUE,_xlfn._xlws.FILTER($C$5:$C$1727,($D$5:$D$1727=I902)*($E$5:$E$1727=J902)*($F$5:$F$1727=K902)))</f>
        <v>EZ</v>
      </c>
      <c r="M902" t="b">
        <f t="shared" ref="M902:M965" si="28">COUNTIFS($I$5:$I$1556,I902)&gt;1</f>
        <v>0</v>
      </c>
      <c r="N902">
        <f t="shared" ref="N902:N965" si="29">COUNTIFS($U$5:$U$231,I902)</f>
        <v>0</v>
      </c>
    </row>
    <row r="903" spans="3:14" x14ac:dyDescent="0.25">
      <c r="C903" t="s">
        <v>1548</v>
      </c>
      <c r="D903" t="s">
        <v>847</v>
      </c>
      <c r="E903" t="s">
        <v>401</v>
      </c>
      <c r="F903">
        <v>0</v>
      </c>
      <c r="I903" t="str">
        <v>NL0015002CX3</v>
      </c>
      <c r="J903" t="str">
        <v>Not included in a theme</v>
      </c>
      <c r="K903">
        <v>0</v>
      </c>
      <c r="L903" t="str" cm="1">
        <f t="array" ref="L903">_xlfn.TEXTJOIN(",",TRUE,_xlfn._xlws.FILTER($C$5:$C$1727,($D$5:$D$1727=I903)*($E$5:$E$1727=J903)*($F$5:$F$1727=K903)))</f>
        <v>EZ,Global</v>
      </c>
      <c r="M903" t="b">
        <f t="shared" si="28"/>
        <v>0</v>
      </c>
      <c r="N903">
        <f t="shared" si="29"/>
        <v>1</v>
      </c>
    </row>
    <row r="904" spans="3:14" x14ac:dyDescent="0.25">
      <c r="C904" t="s">
        <v>1548</v>
      </c>
      <c r="D904" t="s">
        <v>848</v>
      </c>
      <c r="E904" t="s">
        <v>404</v>
      </c>
      <c r="F904">
        <v>0.53</v>
      </c>
      <c r="I904" t="str">
        <v>NL0015435975</v>
      </c>
      <c r="J904" t="str">
        <v>Excluded</v>
      </c>
      <c r="K904">
        <v>0</v>
      </c>
      <c r="L904" t="str" cm="1">
        <f t="array" ref="L904">_xlfn.TEXTJOIN(",",TRUE,_xlfn._xlws.FILTER($C$5:$C$1727,($D$5:$D$1727=I904)*($E$5:$E$1727=J904)*($F$5:$F$1727=K904)))</f>
        <v>EZ</v>
      </c>
      <c r="M904" t="b">
        <f t="shared" si="28"/>
        <v>0</v>
      </c>
      <c r="N904">
        <f t="shared" si="29"/>
        <v>1</v>
      </c>
    </row>
    <row r="905" spans="3:14" x14ac:dyDescent="0.25">
      <c r="C905" t="s">
        <v>1548</v>
      </c>
      <c r="D905" t="s">
        <v>849</v>
      </c>
      <c r="E905" t="s">
        <v>403</v>
      </c>
      <c r="F905">
        <v>0.86</v>
      </c>
      <c r="I905" t="str">
        <v>NO0003053605</v>
      </c>
      <c r="J905" t="str">
        <v>Not included in a theme</v>
      </c>
      <c r="K905">
        <v>0</v>
      </c>
      <c r="L905" t="str" cm="1">
        <f t="array" ref="L905">_xlfn.TEXTJOIN(",",TRUE,_xlfn._xlws.FILTER($C$5:$C$1727,($D$5:$D$1727=I905)*($E$5:$E$1727=J905)*($F$5:$F$1727=K905)))</f>
        <v>Global</v>
      </c>
      <c r="M905" t="b">
        <f t="shared" si="28"/>
        <v>0</v>
      </c>
      <c r="N905">
        <f t="shared" si="29"/>
        <v>0</v>
      </c>
    </row>
    <row r="906" spans="3:14" x14ac:dyDescent="0.25">
      <c r="C906" t="s">
        <v>1548</v>
      </c>
      <c r="D906" t="s">
        <v>850</v>
      </c>
      <c r="E906" t="s">
        <v>401</v>
      </c>
      <c r="F906">
        <v>0</v>
      </c>
      <c r="I906" t="str">
        <v>NO0003054108</v>
      </c>
      <c r="J906" t="str">
        <v>Excluded</v>
      </c>
      <c r="K906">
        <v>0</v>
      </c>
      <c r="L906" t="str" cm="1">
        <f t="array" ref="L906">_xlfn.TEXTJOIN(",",TRUE,_xlfn._xlws.FILTER($C$5:$C$1727,($D$5:$D$1727=I906)*($E$5:$E$1727=J906)*($F$5:$F$1727=K906)))</f>
        <v>Global</v>
      </c>
      <c r="M906" t="b">
        <f t="shared" si="28"/>
        <v>0</v>
      </c>
      <c r="N906">
        <f t="shared" si="29"/>
        <v>0</v>
      </c>
    </row>
    <row r="907" spans="3:14" x14ac:dyDescent="0.25">
      <c r="C907" t="s">
        <v>1548</v>
      </c>
      <c r="D907" t="s">
        <v>851</v>
      </c>
      <c r="E907" t="s">
        <v>400</v>
      </c>
      <c r="F907">
        <v>0</v>
      </c>
      <c r="I907" t="str">
        <v>NO0003733800</v>
      </c>
      <c r="J907" t="str">
        <v>Excluded</v>
      </c>
      <c r="K907">
        <v>0</v>
      </c>
      <c r="L907" t="str" cm="1">
        <f t="array" ref="L907">_xlfn.TEXTJOIN(",",TRUE,_xlfn._xlws.FILTER($C$5:$C$1727,($D$5:$D$1727=I907)*($E$5:$E$1727=J907)*($F$5:$F$1727=K907)))</f>
        <v>Global</v>
      </c>
      <c r="M907" t="b">
        <f t="shared" si="28"/>
        <v>0</v>
      </c>
      <c r="N907">
        <f t="shared" si="29"/>
        <v>0</v>
      </c>
    </row>
    <row r="908" spans="3:14" x14ac:dyDescent="0.25">
      <c r="C908" t="s">
        <v>1548</v>
      </c>
      <c r="D908" t="s">
        <v>81</v>
      </c>
      <c r="E908" t="s">
        <v>400</v>
      </c>
      <c r="F908">
        <v>0</v>
      </c>
      <c r="I908" t="str">
        <v>NO0005052605</v>
      </c>
      <c r="J908" t="str">
        <v>Excluded</v>
      </c>
      <c r="K908">
        <v>0</v>
      </c>
      <c r="L908" t="str" cm="1">
        <f t="array" ref="L908">_xlfn.TEXTJOIN(",",TRUE,_xlfn._xlws.FILTER($C$5:$C$1727,($D$5:$D$1727=I908)*($E$5:$E$1727=J908)*($F$5:$F$1727=K908)))</f>
        <v>Global</v>
      </c>
      <c r="M908" t="b">
        <f t="shared" si="28"/>
        <v>0</v>
      </c>
      <c r="N908">
        <f t="shared" si="29"/>
        <v>0</v>
      </c>
    </row>
    <row r="909" spans="3:14" x14ac:dyDescent="0.25">
      <c r="C909" t="s">
        <v>1548</v>
      </c>
      <c r="D909" t="s">
        <v>852</v>
      </c>
      <c r="E909" t="s">
        <v>400</v>
      </c>
      <c r="F909">
        <v>0</v>
      </c>
      <c r="I909" t="str">
        <v>NO0010063308</v>
      </c>
      <c r="J909" t="str">
        <v>Not included in a theme</v>
      </c>
      <c r="K909">
        <v>0</v>
      </c>
      <c r="L909" t="str" cm="1">
        <f t="array" ref="L909">_xlfn.TEXTJOIN(",",TRUE,_xlfn._xlws.FILTER($C$5:$C$1727,($D$5:$D$1727=I909)*($E$5:$E$1727=J909)*($F$5:$F$1727=K909)))</f>
        <v>Global</v>
      </c>
      <c r="M909" t="b">
        <f t="shared" si="28"/>
        <v>0</v>
      </c>
      <c r="N909">
        <f t="shared" si="29"/>
        <v>0</v>
      </c>
    </row>
    <row r="910" spans="3:14" x14ac:dyDescent="0.25">
      <c r="C910" t="s">
        <v>1548</v>
      </c>
      <c r="D910" t="s">
        <v>853</v>
      </c>
      <c r="E910" t="s">
        <v>401</v>
      </c>
      <c r="F910">
        <v>0</v>
      </c>
      <c r="I910" t="str">
        <v>NO0010096985</v>
      </c>
      <c r="J910" t="str">
        <v>Excluded</v>
      </c>
      <c r="K910">
        <v>0</v>
      </c>
      <c r="L910" t="str" cm="1">
        <f t="array" ref="L910">_xlfn.TEXTJOIN(",",TRUE,_xlfn._xlws.FILTER($C$5:$C$1727,($D$5:$D$1727=I910)*($E$5:$E$1727=J910)*($F$5:$F$1727=K910)))</f>
        <v>Global</v>
      </c>
      <c r="M910" t="b">
        <f t="shared" si="28"/>
        <v>0</v>
      </c>
      <c r="N910">
        <f t="shared" si="29"/>
        <v>0</v>
      </c>
    </row>
    <row r="911" spans="3:14" x14ac:dyDescent="0.25">
      <c r="C911" t="s">
        <v>1548</v>
      </c>
      <c r="D911" t="s">
        <v>62</v>
      </c>
      <c r="E911" t="s">
        <v>400</v>
      </c>
      <c r="F911">
        <v>0</v>
      </c>
      <c r="I911" t="str">
        <v>NO0010161896</v>
      </c>
      <c r="J911" t="str">
        <v>Not included in a theme</v>
      </c>
      <c r="K911">
        <v>0</v>
      </c>
      <c r="L911" t="str" cm="1">
        <f t="array" ref="L911">_xlfn.TEXTJOIN(",",TRUE,_xlfn._xlws.FILTER($C$5:$C$1727,($D$5:$D$1727=I911)*($E$5:$E$1727=J911)*($F$5:$F$1727=K911)))</f>
        <v>Global</v>
      </c>
      <c r="M911" t="b">
        <f t="shared" si="28"/>
        <v>0</v>
      </c>
      <c r="N911">
        <f t="shared" si="29"/>
        <v>0</v>
      </c>
    </row>
    <row r="912" spans="3:14" x14ac:dyDescent="0.25">
      <c r="C912" t="s">
        <v>1548</v>
      </c>
      <c r="D912" t="s">
        <v>854</v>
      </c>
      <c r="E912" t="s">
        <v>401</v>
      </c>
      <c r="F912">
        <v>0</v>
      </c>
      <c r="I912" t="str">
        <v>NO0010208051</v>
      </c>
      <c r="J912" t="str">
        <v>Excluded</v>
      </c>
      <c r="K912">
        <v>0</v>
      </c>
      <c r="L912" t="str" cm="1">
        <f t="array" ref="L912">_xlfn.TEXTJOIN(",",TRUE,_xlfn._xlws.FILTER($C$5:$C$1727,($D$5:$D$1727=I912)*($E$5:$E$1727=J912)*($F$5:$F$1727=K912)))</f>
        <v>Global</v>
      </c>
      <c r="M912" t="b">
        <f t="shared" si="28"/>
        <v>0</v>
      </c>
      <c r="N912">
        <f t="shared" si="29"/>
        <v>0</v>
      </c>
    </row>
    <row r="913" spans="3:14" x14ac:dyDescent="0.25">
      <c r="C913" t="s">
        <v>1548</v>
      </c>
      <c r="D913" t="s">
        <v>855</v>
      </c>
      <c r="E913" t="s">
        <v>400</v>
      </c>
      <c r="F913">
        <v>0</v>
      </c>
      <c r="I913" t="str">
        <v>NO0010345853</v>
      </c>
      <c r="J913" t="str">
        <v>Excluded</v>
      </c>
      <c r="K913">
        <v>0</v>
      </c>
      <c r="L913" t="str" cm="1">
        <f t="array" ref="L913">_xlfn.TEXTJOIN(",",TRUE,_xlfn._xlws.FILTER($C$5:$C$1727,($D$5:$D$1727=I913)*($E$5:$E$1727=J913)*($F$5:$F$1727=K913)))</f>
        <v>Global</v>
      </c>
      <c r="M913" t="b">
        <f t="shared" si="28"/>
        <v>0</v>
      </c>
      <c r="N913">
        <f t="shared" si="29"/>
        <v>0</v>
      </c>
    </row>
    <row r="914" spans="3:14" x14ac:dyDescent="0.25">
      <c r="C914" t="s">
        <v>1548</v>
      </c>
      <c r="D914" t="s">
        <v>65</v>
      </c>
      <c r="E914" t="s">
        <v>400</v>
      </c>
      <c r="F914">
        <v>0</v>
      </c>
      <c r="I914" t="str">
        <v>NO0013536151</v>
      </c>
      <c r="J914" t="str">
        <v>Excluded</v>
      </c>
      <c r="K914">
        <v>0</v>
      </c>
      <c r="L914" t="str" cm="1">
        <f t="array" ref="L914">_xlfn.TEXTJOIN(",",TRUE,_xlfn._xlws.FILTER($C$5:$C$1727,($D$5:$D$1727=I914)*($E$5:$E$1727=J914)*($F$5:$F$1727=K914)))</f>
        <v>Global</v>
      </c>
      <c r="M914" t="b">
        <f t="shared" si="28"/>
        <v>0</v>
      </c>
      <c r="N914">
        <f t="shared" si="29"/>
        <v>0</v>
      </c>
    </row>
    <row r="915" spans="3:14" x14ac:dyDescent="0.25">
      <c r="C915" t="s">
        <v>1548</v>
      </c>
      <c r="D915" t="s">
        <v>856</v>
      </c>
      <c r="E915" t="s">
        <v>400</v>
      </c>
      <c r="F915">
        <v>0</v>
      </c>
      <c r="I915" t="str">
        <v>NZAIAE0002S6</v>
      </c>
      <c r="J915" t="str">
        <v>Excluded</v>
      </c>
      <c r="K915">
        <v>0</v>
      </c>
      <c r="L915" t="str" cm="1">
        <f t="array" ref="L915">_xlfn.TEXTJOIN(",",TRUE,_xlfn._xlws.FILTER($C$5:$C$1727,($D$5:$D$1727=I915)*($E$5:$E$1727=J915)*($F$5:$F$1727=K915)))</f>
        <v>Global</v>
      </c>
      <c r="M915" t="b">
        <f t="shared" si="28"/>
        <v>0</v>
      </c>
      <c r="N915">
        <f t="shared" si="29"/>
        <v>0</v>
      </c>
    </row>
    <row r="916" spans="3:14" x14ac:dyDescent="0.25">
      <c r="C916" t="s">
        <v>1548</v>
      </c>
      <c r="D916" t="s">
        <v>857</v>
      </c>
      <c r="E916" t="s">
        <v>400</v>
      </c>
      <c r="F916">
        <v>0</v>
      </c>
      <c r="I916" t="str">
        <v>NZFAPE0001S2</v>
      </c>
      <c r="J916" t="str">
        <v>Not included in a theme</v>
      </c>
      <c r="K916">
        <v>0</v>
      </c>
      <c r="L916" t="str" cm="1">
        <f t="array" ref="L916">_xlfn.TEXTJOIN(",",TRUE,_xlfn._xlws.FILTER($C$5:$C$1727,($D$5:$D$1727=I916)*($E$5:$E$1727=J916)*($F$5:$F$1727=K916)))</f>
        <v>Global</v>
      </c>
      <c r="M916" t="b">
        <f t="shared" si="28"/>
        <v>0</v>
      </c>
      <c r="N916">
        <f t="shared" si="29"/>
        <v>0</v>
      </c>
    </row>
    <row r="917" spans="3:14" x14ac:dyDescent="0.25">
      <c r="C917" t="s">
        <v>1548</v>
      </c>
      <c r="D917" t="s">
        <v>858</v>
      </c>
      <c r="E917" t="s">
        <v>401</v>
      </c>
      <c r="F917">
        <v>0</v>
      </c>
      <c r="I917" t="str">
        <v>NZIFTE0003S3</v>
      </c>
      <c r="J917" t="str">
        <v>Excluded</v>
      </c>
      <c r="K917">
        <v>0</v>
      </c>
      <c r="L917" t="str" cm="1">
        <f t="array" ref="L917">_xlfn.TEXTJOIN(",",TRUE,_xlfn._xlws.FILTER($C$5:$C$1727,($D$5:$D$1727=I917)*($E$5:$E$1727=J917)*($F$5:$F$1727=K917)))</f>
        <v>Global</v>
      </c>
      <c r="M917" t="b">
        <f t="shared" si="28"/>
        <v>0</v>
      </c>
      <c r="N917">
        <f t="shared" si="29"/>
        <v>0</v>
      </c>
    </row>
    <row r="918" spans="3:14" x14ac:dyDescent="0.25">
      <c r="C918" t="s">
        <v>1548</v>
      </c>
      <c r="D918" t="s">
        <v>86</v>
      </c>
      <c r="E918" t="s">
        <v>400</v>
      </c>
      <c r="F918">
        <v>0</v>
      </c>
      <c r="I918" t="str">
        <v>NZXROE0001S2</v>
      </c>
      <c r="J918" t="str">
        <v>Information technology</v>
      </c>
      <c r="K918">
        <v>1</v>
      </c>
      <c r="L918" t="str" cm="1">
        <f t="array" ref="L918">_xlfn.TEXTJOIN(",",TRUE,_xlfn._xlws.FILTER($C$5:$C$1727,($D$5:$D$1727=I918)*($E$5:$E$1727=J918)*($F$5:$F$1727=K918)))</f>
        <v>Global</v>
      </c>
      <c r="M918" t="b">
        <f t="shared" si="28"/>
        <v>0</v>
      </c>
      <c r="N918">
        <f t="shared" si="29"/>
        <v>0</v>
      </c>
    </row>
    <row r="919" spans="3:14" x14ac:dyDescent="0.25">
      <c r="C919" t="s">
        <v>1548</v>
      </c>
      <c r="D919" t="s">
        <v>859</v>
      </c>
      <c r="E919" t="s">
        <v>400</v>
      </c>
      <c r="F919">
        <v>0</v>
      </c>
      <c r="I919" t="str">
        <v>PA1436583006</v>
      </c>
      <c r="J919" t="str">
        <v>Not included in a theme</v>
      </c>
      <c r="K919">
        <v>0</v>
      </c>
      <c r="L919" t="str" cm="1">
        <f t="array" ref="L919">_xlfn.TEXTJOIN(",",TRUE,_xlfn._xlws.FILTER($C$5:$C$1727,($D$5:$D$1727=I919)*($E$5:$E$1727=J919)*($F$5:$F$1727=K919)))</f>
        <v>Global</v>
      </c>
      <c r="M919" t="b">
        <f t="shared" si="28"/>
        <v>0</v>
      </c>
      <c r="N919">
        <f t="shared" si="29"/>
        <v>0</v>
      </c>
    </row>
    <row r="920" spans="3:14" x14ac:dyDescent="0.25">
      <c r="C920" t="s">
        <v>1548</v>
      </c>
      <c r="D920" t="s">
        <v>860</v>
      </c>
      <c r="E920" t="s">
        <v>400</v>
      </c>
      <c r="F920">
        <v>0</v>
      </c>
      <c r="I920" t="str">
        <v>PTBCP0AM0015</v>
      </c>
      <c r="J920" t="str">
        <v>Not included in a theme</v>
      </c>
      <c r="K920">
        <v>0</v>
      </c>
      <c r="L920" t="str" cm="1">
        <f t="array" ref="L920">_xlfn.TEXTJOIN(",",TRUE,_xlfn._xlws.FILTER($C$5:$C$1727,($D$5:$D$1727=I920)*($E$5:$E$1727=J920)*($F$5:$F$1727=K920)))</f>
        <v>EZ,Global</v>
      </c>
      <c r="M920" t="b">
        <f t="shared" si="28"/>
        <v>0</v>
      </c>
      <c r="N920">
        <f t="shared" si="29"/>
        <v>1</v>
      </c>
    </row>
    <row r="921" spans="3:14" x14ac:dyDescent="0.25">
      <c r="C921" t="s">
        <v>1548</v>
      </c>
      <c r="D921" t="s">
        <v>861</v>
      </c>
      <c r="E921" t="s">
        <v>400</v>
      </c>
      <c r="F921">
        <v>0</v>
      </c>
      <c r="I921" t="str">
        <v>PTEDP0AM0009</v>
      </c>
      <c r="J921" t="str">
        <v>Excluded</v>
      </c>
      <c r="K921">
        <v>0</v>
      </c>
      <c r="L921" t="str" cm="1">
        <f t="array" ref="L921">_xlfn.TEXTJOIN(",",TRUE,_xlfn._xlws.FILTER($C$5:$C$1727,($D$5:$D$1727=I921)*($E$5:$E$1727=J921)*($F$5:$F$1727=K921)))</f>
        <v>EZ,Global</v>
      </c>
      <c r="M921" t="b">
        <f t="shared" si="28"/>
        <v>0</v>
      </c>
      <c r="N921">
        <f t="shared" si="29"/>
        <v>0</v>
      </c>
    </row>
    <row r="922" spans="3:14" x14ac:dyDescent="0.25">
      <c r="C922" t="s">
        <v>1548</v>
      </c>
      <c r="D922" t="s">
        <v>862</v>
      </c>
      <c r="E922" t="s">
        <v>401</v>
      </c>
      <c r="F922">
        <v>0</v>
      </c>
      <c r="I922" t="str">
        <v>PTGAL0AM0009</v>
      </c>
      <c r="J922" t="str">
        <v>Excluded</v>
      </c>
      <c r="K922">
        <v>0</v>
      </c>
      <c r="L922" t="str" cm="1">
        <f t="array" ref="L922">_xlfn.TEXTJOIN(",",TRUE,_xlfn._xlws.FILTER($C$5:$C$1727,($D$5:$D$1727=I922)*($E$5:$E$1727=J922)*($F$5:$F$1727=K922)))</f>
        <v>EZ,Global</v>
      </c>
      <c r="M922" t="b">
        <f t="shared" si="28"/>
        <v>0</v>
      </c>
      <c r="N922">
        <f t="shared" si="29"/>
        <v>0</v>
      </c>
    </row>
    <row r="923" spans="3:14" x14ac:dyDescent="0.25">
      <c r="C923" t="s">
        <v>1548</v>
      </c>
      <c r="D923" t="s">
        <v>863</v>
      </c>
      <c r="E923" t="s">
        <v>405</v>
      </c>
      <c r="F923">
        <v>0.68</v>
      </c>
      <c r="I923" t="str">
        <v>PTJMT0AE0001</v>
      </c>
      <c r="J923" t="str">
        <v>Not included in a theme</v>
      </c>
      <c r="K923">
        <v>0</v>
      </c>
      <c r="L923" t="str" cm="1">
        <f t="array" ref="L923">_xlfn.TEXTJOIN(",",TRUE,_xlfn._xlws.FILTER($C$5:$C$1727,($D$5:$D$1727=I923)*($E$5:$E$1727=J923)*($F$5:$F$1727=K923)))</f>
        <v>EZ,Global</v>
      </c>
      <c r="M923" t="b">
        <f t="shared" si="28"/>
        <v>0</v>
      </c>
      <c r="N923">
        <f t="shared" si="29"/>
        <v>1</v>
      </c>
    </row>
    <row r="924" spans="3:14" x14ac:dyDescent="0.25">
      <c r="C924" t="s">
        <v>1548</v>
      </c>
      <c r="D924" t="s">
        <v>864</v>
      </c>
      <c r="E924" t="s">
        <v>400</v>
      </c>
      <c r="F924">
        <v>0</v>
      </c>
      <c r="I924" t="str">
        <v>PTREL0AM0008</v>
      </c>
      <c r="J924" t="str">
        <v>Excluded</v>
      </c>
      <c r="K924">
        <v>0</v>
      </c>
      <c r="L924" t="str" cm="1">
        <f t="array" ref="L924">_xlfn.TEXTJOIN(",",TRUE,_xlfn._xlws.FILTER($C$5:$C$1727,($D$5:$D$1727=I924)*($E$5:$E$1727=J924)*($F$5:$F$1727=K924)))</f>
        <v>EZ</v>
      </c>
      <c r="M924" t="b">
        <f t="shared" si="28"/>
        <v>0</v>
      </c>
      <c r="N924">
        <f t="shared" si="29"/>
        <v>0</v>
      </c>
    </row>
    <row r="925" spans="3:14" x14ac:dyDescent="0.25">
      <c r="C925" t="s">
        <v>1548</v>
      </c>
      <c r="D925" t="s">
        <v>55</v>
      </c>
      <c r="E925" t="s">
        <v>401</v>
      </c>
      <c r="F925">
        <v>0</v>
      </c>
      <c r="I925" t="str">
        <v>PTSON0AM0001</v>
      </c>
      <c r="J925" t="str">
        <v>Excluded</v>
      </c>
      <c r="K925">
        <v>0</v>
      </c>
      <c r="L925" t="str" cm="1">
        <f t="array" ref="L925">_xlfn.TEXTJOIN(",",TRUE,_xlfn._xlws.FILTER($C$5:$C$1727,($D$5:$D$1727=I925)*($E$5:$E$1727=J925)*($F$5:$F$1727=K925)))</f>
        <v>EZ</v>
      </c>
      <c r="M925" t="b">
        <f t="shared" si="28"/>
        <v>0</v>
      </c>
      <c r="N925">
        <f t="shared" si="29"/>
        <v>0</v>
      </c>
    </row>
    <row r="926" spans="3:14" x14ac:dyDescent="0.25">
      <c r="C926" t="s">
        <v>1548</v>
      </c>
      <c r="D926" t="s">
        <v>865</v>
      </c>
      <c r="E926" t="s">
        <v>401</v>
      </c>
      <c r="F926">
        <v>0</v>
      </c>
      <c r="I926" t="str">
        <v>SE0000106270</v>
      </c>
      <c r="J926" t="str">
        <v>Excluded</v>
      </c>
      <c r="K926">
        <v>0</v>
      </c>
      <c r="L926" t="str" cm="1">
        <f t="array" ref="L926">_xlfn.TEXTJOIN(",",TRUE,_xlfn._xlws.FILTER($C$5:$C$1727,($D$5:$D$1727=I926)*($E$5:$E$1727=J926)*($F$5:$F$1727=K926)))</f>
        <v>Global</v>
      </c>
      <c r="M926" t="b">
        <f t="shared" si="28"/>
        <v>0</v>
      </c>
      <c r="N926">
        <f t="shared" si="29"/>
        <v>0</v>
      </c>
    </row>
    <row r="927" spans="3:14" x14ac:dyDescent="0.25">
      <c r="C927" t="s">
        <v>1548</v>
      </c>
      <c r="D927" t="s">
        <v>866</v>
      </c>
      <c r="E927" t="s">
        <v>400</v>
      </c>
      <c r="F927">
        <v>0</v>
      </c>
      <c r="I927" t="str">
        <v>SE0000107203</v>
      </c>
      <c r="J927" t="str">
        <v>Excluded</v>
      </c>
      <c r="K927">
        <v>0</v>
      </c>
      <c r="L927" t="str" cm="1">
        <f t="array" ref="L927">_xlfn.TEXTJOIN(",",TRUE,_xlfn._xlws.FILTER($C$5:$C$1727,($D$5:$D$1727=I927)*($E$5:$E$1727=J927)*($F$5:$F$1727=K927)))</f>
        <v>Global</v>
      </c>
      <c r="M927" t="b">
        <f t="shared" si="28"/>
        <v>0</v>
      </c>
      <c r="N927">
        <f t="shared" si="29"/>
        <v>0</v>
      </c>
    </row>
    <row r="928" spans="3:14" x14ac:dyDescent="0.25">
      <c r="C928" t="s">
        <v>1548</v>
      </c>
      <c r="D928" t="s">
        <v>867</v>
      </c>
      <c r="E928" t="s">
        <v>399</v>
      </c>
      <c r="F928">
        <v>1</v>
      </c>
      <c r="I928" t="str">
        <v>SE0000108227</v>
      </c>
      <c r="J928" t="str">
        <v>Not included in a theme</v>
      </c>
      <c r="K928">
        <v>0</v>
      </c>
      <c r="L928" t="str" cm="1">
        <f t="array" ref="L928">_xlfn.TEXTJOIN(",",TRUE,_xlfn._xlws.FILTER($C$5:$C$1727,($D$5:$D$1727=I928)*($E$5:$E$1727=J928)*($F$5:$F$1727=K928)))</f>
        <v>Global</v>
      </c>
      <c r="M928" t="b">
        <f t="shared" si="28"/>
        <v>0</v>
      </c>
      <c r="N928">
        <f t="shared" si="29"/>
        <v>0</v>
      </c>
    </row>
    <row r="929" spans="3:14" x14ac:dyDescent="0.25">
      <c r="C929" t="s">
        <v>1548</v>
      </c>
      <c r="D929" t="s">
        <v>868</v>
      </c>
      <c r="E929" t="s">
        <v>400</v>
      </c>
      <c r="F929">
        <v>0</v>
      </c>
      <c r="I929" t="str">
        <v>SE0000108656</v>
      </c>
      <c r="J929" t="str">
        <v>Information technology</v>
      </c>
      <c r="K929">
        <v>1</v>
      </c>
      <c r="L929" t="str" cm="1">
        <f t="array" ref="L929">_xlfn.TEXTJOIN(",",TRUE,_xlfn._xlws.FILTER($C$5:$C$1727,($D$5:$D$1727=I929)*($E$5:$E$1727=J929)*($F$5:$F$1727=K929)))</f>
        <v>Global</v>
      </c>
      <c r="M929" t="b">
        <f t="shared" si="28"/>
        <v>0</v>
      </c>
      <c r="N929">
        <f t="shared" si="29"/>
        <v>0</v>
      </c>
    </row>
    <row r="930" spans="3:14" x14ac:dyDescent="0.25">
      <c r="C930" t="s">
        <v>1548</v>
      </c>
      <c r="D930" t="s">
        <v>869</v>
      </c>
      <c r="E930" t="s">
        <v>400</v>
      </c>
      <c r="F930">
        <v>0</v>
      </c>
      <c r="I930" t="str">
        <v>SE0000112724</v>
      </c>
      <c r="J930" t="str">
        <v>Excluded</v>
      </c>
      <c r="K930">
        <v>0</v>
      </c>
      <c r="L930" t="str" cm="1">
        <f t="array" ref="L930">_xlfn.TEXTJOIN(",",TRUE,_xlfn._xlws.FILTER($C$5:$C$1727,($D$5:$D$1727=I930)*($E$5:$E$1727=J930)*($F$5:$F$1727=K930)))</f>
        <v>Global</v>
      </c>
      <c r="M930" t="b">
        <f t="shared" si="28"/>
        <v>0</v>
      </c>
      <c r="N930">
        <f t="shared" si="29"/>
        <v>0</v>
      </c>
    </row>
    <row r="931" spans="3:14" x14ac:dyDescent="0.25">
      <c r="C931" t="s">
        <v>1548</v>
      </c>
      <c r="D931" t="s">
        <v>870</v>
      </c>
      <c r="E931" t="s">
        <v>400</v>
      </c>
      <c r="F931">
        <v>0</v>
      </c>
      <c r="I931" t="str">
        <v>SE0000113250</v>
      </c>
      <c r="J931" t="str">
        <v>Excluded</v>
      </c>
      <c r="K931">
        <v>0</v>
      </c>
      <c r="L931" t="str" cm="1">
        <f t="array" ref="L931">_xlfn.TEXTJOIN(",",TRUE,_xlfn._xlws.FILTER($C$5:$C$1727,($D$5:$D$1727=I931)*($E$5:$E$1727=J931)*($F$5:$F$1727=K931)))</f>
        <v>Global</v>
      </c>
      <c r="M931" t="b">
        <f t="shared" si="28"/>
        <v>0</v>
      </c>
      <c r="N931">
        <f t="shared" si="29"/>
        <v>0</v>
      </c>
    </row>
    <row r="932" spans="3:14" x14ac:dyDescent="0.25">
      <c r="C932" t="s">
        <v>1548</v>
      </c>
      <c r="D932" t="s">
        <v>871</v>
      </c>
      <c r="E932" t="s">
        <v>400</v>
      </c>
      <c r="F932">
        <v>0</v>
      </c>
      <c r="I932" t="str">
        <v>SE0000114837</v>
      </c>
      <c r="J932" t="str">
        <v>Excluded</v>
      </c>
      <c r="K932">
        <v>0</v>
      </c>
      <c r="L932" t="str" cm="1">
        <f t="array" ref="L932">_xlfn.TEXTJOIN(",",TRUE,_xlfn._xlws.FILTER($C$5:$C$1727,($D$5:$D$1727=I932)*($E$5:$E$1727=J932)*($F$5:$F$1727=K932)))</f>
        <v>Global</v>
      </c>
      <c r="M932" t="b">
        <f t="shared" si="28"/>
        <v>0</v>
      </c>
      <c r="N932">
        <f t="shared" si="29"/>
        <v>0</v>
      </c>
    </row>
    <row r="933" spans="3:14" x14ac:dyDescent="0.25">
      <c r="C933" t="s">
        <v>1548</v>
      </c>
      <c r="D933" t="s">
        <v>872</v>
      </c>
      <c r="E933" t="s">
        <v>400</v>
      </c>
      <c r="F933">
        <v>0</v>
      </c>
      <c r="I933" t="str">
        <v>SE0000115446</v>
      </c>
      <c r="J933" t="str">
        <v>Excluded</v>
      </c>
      <c r="K933">
        <v>0</v>
      </c>
      <c r="L933" t="str" cm="1">
        <f t="array" ref="L933">_xlfn.TEXTJOIN(",",TRUE,_xlfn._xlws.FILTER($C$5:$C$1727,($D$5:$D$1727=I933)*($E$5:$E$1727=J933)*($F$5:$F$1727=K933)))</f>
        <v>Global</v>
      </c>
      <c r="M933" t="b">
        <f t="shared" si="28"/>
        <v>0</v>
      </c>
      <c r="N933">
        <f t="shared" si="29"/>
        <v>0</v>
      </c>
    </row>
    <row r="934" spans="3:14" x14ac:dyDescent="0.25">
      <c r="C934" t="s">
        <v>1548</v>
      </c>
      <c r="D934" t="s">
        <v>873</v>
      </c>
      <c r="E934" t="s">
        <v>401</v>
      </c>
      <c r="F934">
        <v>0</v>
      </c>
      <c r="I934" t="str">
        <v>SE0000148884</v>
      </c>
      <c r="J934" t="str">
        <v>Not included in a theme</v>
      </c>
      <c r="K934">
        <v>0</v>
      </c>
      <c r="L934" t="str" cm="1">
        <f t="array" ref="L934">_xlfn.TEXTJOIN(",",TRUE,_xlfn._xlws.FILTER($C$5:$C$1727,($D$5:$D$1727=I934)*($E$5:$E$1727=J934)*($F$5:$F$1727=K934)))</f>
        <v>Global</v>
      </c>
      <c r="M934" t="b">
        <f t="shared" si="28"/>
        <v>0</v>
      </c>
      <c r="N934">
        <f t="shared" si="29"/>
        <v>0</v>
      </c>
    </row>
    <row r="935" spans="3:14" x14ac:dyDescent="0.25">
      <c r="C935" t="s">
        <v>1548</v>
      </c>
      <c r="D935" t="s">
        <v>874</v>
      </c>
      <c r="E935" t="s">
        <v>403</v>
      </c>
      <c r="F935">
        <v>1</v>
      </c>
      <c r="I935" t="str">
        <v>SE0000163594</v>
      </c>
      <c r="J935" t="str">
        <v>Excluded</v>
      </c>
      <c r="K935">
        <v>0</v>
      </c>
      <c r="L935" t="str" cm="1">
        <f t="array" ref="L935">_xlfn.TEXTJOIN(",",TRUE,_xlfn._xlws.FILTER($C$5:$C$1727,($D$5:$D$1727=I935)*($E$5:$E$1727=J935)*($F$5:$F$1727=K935)))</f>
        <v>Global</v>
      </c>
      <c r="M935" t="b">
        <f t="shared" si="28"/>
        <v>0</v>
      </c>
      <c r="N935">
        <f t="shared" si="29"/>
        <v>0</v>
      </c>
    </row>
    <row r="936" spans="3:14" x14ac:dyDescent="0.25">
      <c r="C936" t="s">
        <v>1548</v>
      </c>
      <c r="D936" t="s">
        <v>875</v>
      </c>
      <c r="E936" t="s">
        <v>400</v>
      </c>
      <c r="F936">
        <v>0</v>
      </c>
      <c r="I936" t="str">
        <v>SE0000242455</v>
      </c>
      <c r="J936" t="str">
        <v>Not included in a theme</v>
      </c>
      <c r="K936">
        <v>0</v>
      </c>
      <c r="L936" t="str" cm="1">
        <f t="array" ref="L936">_xlfn.TEXTJOIN(",",TRUE,_xlfn._xlws.FILTER($C$5:$C$1727,($D$5:$D$1727=I936)*($E$5:$E$1727=J936)*($F$5:$F$1727=K936)))</f>
        <v>Global</v>
      </c>
      <c r="M936" t="b">
        <f t="shared" si="28"/>
        <v>0</v>
      </c>
      <c r="N936">
        <f t="shared" si="29"/>
        <v>0</v>
      </c>
    </row>
    <row r="937" spans="3:14" x14ac:dyDescent="0.25">
      <c r="C937" t="s">
        <v>1548</v>
      </c>
      <c r="D937" t="s">
        <v>876</v>
      </c>
      <c r="E937" t="s">
        <v>400</v>
      </c>
      <c r="F937">
        <v>0</v>
      </c>
      <c r="I937" t="str">
        <v>SE0000667891</v>
      </c>
      <c r="J937" t="str">
        <v>Eco-efficient industries</v>
      </c>
      <c r="K937">
        <v>0.51</v>
      </c>
      <c r="L937" t="str" cm="1">
        <f t="array" ref="L937">_xlfn.TEXTJOIN(",",TRUE,_xlfn._xlws.FILTER($C$5:$C$1727,($D$5:$D$1727=I937)*($E$5:$E$1727=J937)*($F$5:$F$1727=K937)))</f>
        <v>Global</v>
      </c>
      <c r="M937" t="b">
        <f t="shared" si="28"/>
        <v>0</v>
      </c>
      <c r="N937">
        <f t="shared" si="29"/>
        <v>0</v>
      </c>
    </row>
    <row r="938" spans="3:14" x14ac:dyDescent="0.25">
      <c r="C938" t="s">
        <v>1548</v>
      </c>
      <c r="D938" t="s">
        <v>53</v>
      </c>
      <c r="E938" t="s">
        <v>401</v>
      </c>
      <c r="F938">
        <v>0</v>
      </c>
      <c r="I938" t="str">
        <v>SE0000667925</v>
      </c>
      <c r="J938" t="str">
        <v>Not included in a theme</v>
      </c>
      <c r="K938">
        <v>0</v>
      </c>
      <c r="L938" t="str" cm="1">
        <f t="array" ref="L938">_xlfn.TEXTJOIN(",",TRUE,_xlfn._xlws.FILTER($C$5:$C$1727,($D$5:$D$1727=I938)*($E$5:$E$1727=J938)*($F$5:$F$1727=K938)))</f>
        <v>Global</v>
      </c>
      <c r="M938" t="b">
        <f t="shared" si="28"/>
        <v>0</v>
      </c>
      <c r="N938">
        <f t="shared" si="29"/>
        <v>0</v>
      </c>
    </row>
    <row r="939" spans="3:14" x14ac:dyDescent="0.25">
      <c r="C939" t="s">
        <v>1548</v>
      </c>
      <c r="D939" t="s">
        <v>877</v>
      </c>
      <c r="E939" t="s">
        <v>399</v>
      </c>
      <c r="F939">
        <v>1</v>
      </c>
      <c r="I939" t="str">
        <v>SE0000695876</v>
      </c>
      <c r="J939" t="str">
        <v>Excluded</v>
      </c>
      <c r="K939">
        <v>0</v>
      </c>
      <c r="L939" t="str" cm="1">
        <f t="array" ref="L939">_xlfn.TEXTJOIN(",",TRUE,_xlfn._xlws.FILTER($C$5:$C$1727,($D$5:$D$1727=I939)*($E$5:$E$1727=J939)*($F$5:$F$1727=K939)))</f>
        <v>Global</v>
      </c>
      <c r="M939" t="b">
        <f t="shared" si="28"/>
        <v>0</v>
      </c>
      <c r="N939">
        <f t="shared" si="29"/>
        <v>0</v>
      </c>
    </row>
    <row r="940" spans="3:14" x14ac:dyDescent="0.25">
      <c r="C940" t="s">
        <v>1548</v>
      </c>
      <c r="D940" t="s">
        <v>64</v>
      </c>
      <c r="E940" t="s">
        <v>401</v>
      </c>
      <c r="F940">
        <v>0</v>
      </c>
      <c r="I940" t="str">
        <v>SE0000872095</v>
      </c>
      <c r="J940" t="str">
        <v>Not included in a theme</v>
      </c>
      <c r="K940">
        <v>0</v>
      </c>
      <c r="L940" t="str" cm="1">
        <f t="array" ref="L940">_xlfn.TEXTJOIN(",",TRUE,_xlfn._xlws.FILTER($C$5:$C$1727,($D$5:$D$1727=I940)*($E$5:$E$1727=J940)*($F$5:$F$1727=K940)))</f>
        <v>Global</v>
      </c>
      <c r="M940" t="b">
        <f t="shared" si="28"/>
        <v>0</v>
      </c>
      <c r="N940">
        <f t="shared" si="29"/>
        <v>0</v>
      </c>
    </row>
    <row r="941" spans="3:14" x14ac:dyDescent="0.25">
      <c r="C941" t="s">
        <v>1548</v>
      </c>
      <c r="D941" t="s">
        <v>878</v>
      </c>
      <c r="E941" t="s">
        <v>403</v>
      </c>
      <c r="F941">
        <v>0.18</v>
      </c>
      <c r="I941" t="str">
        <v>SE0001515552</v>
      </c>
      <c r="J941" t="str">
        <v>Eco-efficient industries</v>
      </c>
      <c r="K941">
        <v>0.31</v>
      </c>
      <c r="L941" t="str" cm="1">
        <f t="array" ref="L941">_xlfn.TEXTJOIN(",",TRUE,_xlfn._xlws.FILTER($C$5:$C$1727,($D$5:$D$1727=I941)*($E$5:$E$1727=J941)*($F$5:$F$1727=K941)))</f>
        <v>Global</v>
      </c>
      <c r="M941" t="b">
        <f t="shared" si="28"/>
        <v>0</v>
      </c>
      <c r="N941">
        <f t="shared" si="29"/>
        <v>0</v>
      </c>
    </row>
    <row r="942" spans="3:14" x14ac:dyDescent="0.25">
      <c r="C942" t="s">
        <v>1548</v>
      </c>
      <c r="D942" t="s">
        <v>879</v>
      </c>
      <c r="E942" t="s">
        <v>400</v>
      </c>
      <c r="F942">
        <v>0</v>
      </c>
      <c r="I942" t="str">
        <v>SE0005190238</v>
      </c>
      <c r="J942" t="str">
        <v>Not included in a theme</v>
      </c>
      <c r="K942">
        <v>0</v>
      </c>
      <c r="L942" t="str" cm="1">
        <f t="array" ref="L942">_xlfn.TEXTJOIN(",",TRUE,_xlfn._xlws.FILTER($C$5:$C$1727,($D$5:$D$1727=I942)*($E$5:$E$1727=J942)*($F$5:$F$1727=K942)))</f>
        <v>Global</v>
      </c>
      <c r="M942" t="b">
        <f t="shared" si="28"/>
        <v>0</v>
      </c>
      <c r="N942">
        <f t="shared" si="29"/>
        <v>0</v>
      </c>
    </row>
    <row r="943" spans="3:14" x14ac:dyDescent="0.25">
      <c r="C943" t="s">
        <v>1548</v>
      </c>
      <c r="D943" t="s">
        <v>92</v>
      </c>
      <c r="E943" t="s">
        <v>400</v>
      </c>
      <c r="F943">
        <v>0</v>
      </c>
      <c r="I943" t="str">
        <v>SE0007100581</v>
      </c>
      <c r="J943" t="str">
        <v>Ecoconstruction</v>
      </c>
      <c r="K943">
        <v>1</v>
      </c>
      <c r="L943" t="str" cm="1">
        <f t="array" ref="L943">_xlfn.TEXTJOIN(",",TRUE,_xlfn._xlws.FILTER($C$5:$C$1727,($D$5:$D$1727=I943)*($E$5:$E$1727=J943)*($F$5:$F$1727=K943)))</f>
        <v>Global</v>
      </c>
      <c r="M943" t="b">
        <f t="shared" si="28"/>
        <v>0</v>
      </c>
      <c r="N943">
        <f t="shared" si="29"/>
        <v>0</v>
      </c>
    </row>
    <row r="944" spans="3:14" x14ac:dyDescent="0.25">
      <c r="C944" t="s">
        <v>1548</v>
      </c>
      <c r="D944" t="s">
        <v>880</v>
      </c>
      <c r="E944" t="s">
        <v>400</v>
      </c>
      <c r="F944">
        <v>0</v>
      </c>
      <c r="I944" t="str">
        <v>SE0007100599</v>
      </c>
      <c r="J944" t="str">
        <v>Not included in a theme</v>
      </c>
      <c r="K944">
        <v>0</v>
      </c>
      <c r="L944" t="str" cm="1">
        <f t="array" ref="L944">_xlfn.TEXTJOIN(",",TRUE,_xlfn._xlws.FILTER($C$5:$C$1727,($D$5:$D$1727=I944)*($E$5:$E$1727=J944)*($F$5:$F$1727=K944)))</f>
        <v>Global</v>
      </c>
      <c r="M944" t="b">
        <f t="shared" si="28"/>
        <v>0</v>
      </c>
      <c r="N944">
        <f t="shared" si="29"/>
        <v>0</v>
      </c>
    </row>
    <row r="945" spans="3:14" x14ac:dyDescent="0.25">
      <c r="C945" t="s">
        <v>1548</v>
      </c>
      <c r="D945" t="s">
        <v>881</v>
      </c>
      <c r="E945" t="s">
        <v>399</v>
      </c>
      <c r="F945">
        <v>1</v>
      </c>
      <c r="I945" t="str">
        <v>SE0009922164</v>
      </c>
      <c r="J945" t="str">
        <v>Agriculture and forestry</v>
      </c>
      <c r="K945">
        <v>0.8</v>
      </c>
      <c r="L945" t="str" cm="1">
        <f t="array" ref="L945">_xlfn.TEXTJOIN(",",TRUE,_xlfn._xlws.FILTER($C$5:$C$1727,($D$5:$D$1727=I945)*($E$5:$E$1727=J945)*($F$5:$F$1727=K945)))</f>
        <v>Global</v>
      </c>
      <c r="M945" t="b">
        <f t="shared" si="28"/>
        <v>0</v>
      </c>
      <c r="N945">
        <f t="shared" si="29"/>
        <v>0</v>
      </c>
    </row>
    <row r="946" spans="3:14" x14ac:dyDescent="0.25">
      <c r="C946" t="s">
        <v>1548</v>
      </c>
      <c r="D946" t="s">
        <v>49</v>
      </c>
      <c r="E946" t="s">
        <v>400</v>
      </c>
      <c r="F946">
        <v>0</v>
      </c>
      <c r="I946" t="str">
        <v>SE0012673267</v>
      </c>
      <c r="J946" t="str">
        <v>Excluded</v>
      </c>
      <c r="K946">
        <v>0</v>
      </c>
      <c r="L946" t="str" cm="1">
        <f t="array" ref="L946">_xlfn.TEXTJOIN(",",TRUE,_xlfn._xlws.FILTER($C$5:$C$1727,($D$5:$D$1727=I946)*($E$5:$E$1727=J946)*($F$5:$F$1727=K946)))</f>
        <v>Global</v>
      </c>
      <c r="M946" t="b">
        <f t="shared" si="28"/>
        <v>0</v>
      </c>
      <c r="N946">
        <f t="shared" si="29"/>
        <v>0</v>
      </c>
    </row>
    <row r="947" spans="3:14" x14ac:dyDescent="0.25">
      <c r="C947" t="s">
        <v>1548</v>
      </c>
      <c r="D947" t="s">
        <v>882</v>
      </c>
      <c r="E947" t="s">
        <v>400</v>
      </c>
      <c r="F947">
        <v>0</v>
      </c>
      <c r="I947" t="str">
        <v>SE0012853455</v>
      </c>
      <c r="J947" t="str">
        <v>Excluded</v>
      </c>
      <c r="K947">
        <v>0</v>
      </c>
      <c r="L947" t="str" cm="1">
        <f t="array" ref="L947">_xlfn.TEXTJOIN(",",TRUE,_xlfn._xlws.FILTER($C$5:$C$1727,($D$5:$D$1727=I947)*($E$5:$E$1727=J947)*($F$5:$F$1727=K947)))</f>
        <v>Global</v>
      </c>
      <c r="M947" t="b">
        <f t="shared" si="28"/>
        <v>0</v>
      </c>
      <c r="N947">
        <f t="shared" si="29"/>
        <v>0</v>
      </c>
    </row>
    <row r="948" spans="3:14" x14ac:dyDescent="0.25">
      <c r="C948" t="s">
        <v>1548</v>
      </c>
      <c r="D948" t="s">
        <v>883</v>
      </c>
      <c r="E948" t="s">
        <v>400</v>
      </c>
      <c r="F948">
        <v>0</v>
      </c>
      <c r="I948" t="str">
        <v>SE0014781795</v>
      </c>
      <c r="J948" t="str">
        <v>Green energy</v>
      </c>
      <c r="K948">
        <v>0.67</v>
      </c>
      <c r="L948" t="str" cm="1">
        <f t="array" ref="L948">_xlfn.TEXTJOIN(",",TRUE,_xlfn._xlws.FILTER($C$5:$C$1727,($D$5:$D$1727=I948)*($E$5:$E$1727=J948)*($F$5:$F$1727=K948)))</f>
        <v>Global</v>
      </c>
      <c r="M948" t="b">
        <f t="shared" si="28"/>
        <v>0</v>
      </c>
      <c r="N948">
        <f t="shared" si="29"/>
        <v>0</v>
      </c>
    </row>
    <row r="949" spans="3:14" x14ac:dyDescent="0.25">
      <c r="C949" t="s">
        <v>1548</v>
      </c>
      <c r="D949" t="s">
        <v>884</v>
      </c>
      <c r="E949" t="s">
        <v>401</v>
      </c>
      <c r="F949">
        <v>0</v>
      </c>
      <c r="I949" t="str">
        <v>SE0015658109</v>
      </c>
      <c r="J949" t="str">
        <v>Excluded</v>
      </c>
      <c r="K949">
        <v>0</v>
      </c>
      <c r="L949" t="str" cm="1">
        <f t="array" ref="L949">_xlfn.TEXTJOIN(",",TRUE,_xlfn._xlws.FILTER($C$5:$C$1727,($D$5:$D$1727=I949)*($E$5:$E$1727=J949)*($F$5:$F$1727=K949)))</f>
        <v>Global</v>
      </c>
      <c r="M949" t="b">
        <f t="shared" si="28"/>
        <v>0</v>
      </c>
      <c r="N949">
        <f t="shared" si="29"/>
        <v>0</v>
      </c>
    </row>
    <row r="950" spans="3:14" x14ac:dyDescent="0.25">
      <c r="C950" t="s">
        <v>1548</v>
      </c>
      <c r="D950" t="s">
        <v>885</v>
      </c>
      <c r="E950" t="s">
        <v>400</v>
      </c>
      <c r="F950">
        <v>0</v>
      </c>
      <c r="I950" t="str">
        <v>SE0015811963</v>
      </c>
      <c r="J950" t="str">
        <v>Not included in a theme</v>
      </c>
      <c r="K950">
        <v>0</v>
      </c>
      <c r="L950" t="str" cm="1">
        <f t="array" ref="L950">_xlfn.TEXTJOIN(",",TRUE,_xlfn._xlws.FILTER($C$5:$C$1727,($D$5:$D$1727=I950)*($E$5:$E$1727=J950)*($F$5:$F$1727=K950)))</f>
        <v>Global</v>
      </c>
      <c r="M950" t="b">
        <f t="shared" si="28"/>
        <v>0</v>
      </c>
      <c r="N950">
        <f t="shared" si="29"/>
        <v>0</v>
      </c>
    </row>
    <row r="951" spans="3:14" x14ac:dyDescent="0.25">
      <c r="C951" t="s">
        <v>1548</v>
      </c>
      <c r="D951" t="s">
        <v>886</v>
      </c>
      <c r="E951" t="s">
        <v>404</v>
      </c>
      <c r="F951">
        <v>0.42</v>
      </c>
      <c r="I951" t="str">
        <v>SE0015949201</v>
      </c>
      <c r="J951" t="str">
        <v>Eco-efficient industries</v>
      </c>
      <c r="K951">
        <v>0.495</v>
      </c>
      <c r="L951" t="str" cm="1">
        <f t="array" ref="L951">_xlfn.TEXTJOIN(",",TRUE,_xlfn._xlws.FILTER($C$5:$C$1727,($D$5:$D$1727=I951)*($E$5:$E$1727=J951)*($F$5:$F$1727=K951)))</f>
        <v>Global</v>
      </c>
      <c r="M951" t="b">
        <f t="shared" si="28"/>
        <v>0</v>
      </c>
      <c r="N951">
        <f t="shared" si="29"/>
        <v>0</v>
      </c>
    </row>
    <row r="952" spans="3:14" x14ac:dyDescent="0.25">
      <c r="C952" t="s">
        <v>1548</v>
      </c>
      <c r="D952" t="s">
        <v>887</v>
      </c>
      <c r="E952" t="s">
        <v>400</v>
      </c>
      <c r="F952">
        <v>0</v>
      </c>
      <c r="I952" t="str">
        <v>SE0015949748</v>
      </c>
      <c r="J952" t="str">
        <v>Eco-efficient industries</v>
      </c>
      <c r="K952">
        <v>1</v>
      </c>
      <c r="L952" t="str" cm="1">
        <f t="array" ref="L952">_xlfn.TEXTJOIN(",",TRUE,_xlfn._xlws.FILTER($C$5:$C$1727,($D$5:$D$1727=I952)*($E$5:$E$1727=J952)*($F$5:$F$1727=K952)))</f>
        <v>Global</v>
      </c>
      <c r="M952" t="b">
        <f t="shared" si="28"/>
        <v>0</v>
      </c>
      <c r="N952">
        <f t="shared" si="29"/>
        <v>0</v>
      </c>
    </row>
    <row r="953" spans="3:14" x14ac:dyDescent="0.25">
      <c r="C953" t="s">
        <v>1548</v>
      </c>
      <c r="D953" t="s">
        <v>888</v>
      </c>
      <c r="E953" t="s">
        <v>399</v>
      </c>
      <c r="F953">
        <v>0.6</v>
      </c>
      <c r="I953" t="str">
        <v>SE0015961909</v>
      </c>
      <c r="J953" t="str">
        <v>Information technology</v>
      </c>
      <c r="K953">
        <v>1</v>
      </c>
      <c r="L953" t="str" cm="1">
        <f t="array" ref="L953">_xlfn.TEXTJOIN(",",TRUE,_xlfn._xlws.FILTER($C$5:$C$1727,($D$5:$D$1727=I953)*($E$5:$E$1727=J953)*($F$5:$F$1727=K953)))</f>
        <v>Global</v>
      </c>
      <c r="M953" t="b">
        <f t="shared" si="28"/>
        <v>0</v>
      </c>
      <c r="N953">
        <f t="shared" si="29"/>
        <v>0</v>
      </c>
    </row>
    <row r="954" spans="3:14" x14ac:dyDescent="0.25">
      <c r="C954" t="s">
        <v>1548</v>
      </c>
      <c r="D954" t="s">
        <v>889</v>
      </c>
      <c r="E954" t="s">
        <v>400</v>
      </c>
      <c r="F954">
        <v>0</v>
      </c>
      <c r="I954" t="str">
        <v>SE0015988019</v>
      </c>
      <c r="J954" t="str">
        <v>Ecoconstruction</v>
      </c>
      <c r="K954">
        <v>0.7</v>
      </c>
      <c r="L954" t="str" cm="1">
        <f t="array" ref="L954">_xlfn.TEXTJOIN(",",TRUE,_xlfn._xlws.FILTER($C$5:$C$1727,($D$5:$D$1727=I954)*($E$5:$E$1727=J954)*($F$5:$F$1727=K954)))</f>
        <v>Global</v>
      </c>
      <c r="M954" t="b">
        <f t="shared" si="28"/>
        <v>0</v>
      </c>
      <c r="N954">
        <f t="shared" si="29"/>
        <v>0</v>
      </c>
    </row>
    <row r="955" spans="3:14" x14ac:dyDescent="0.25">
      <c r="C955" t="s">
        <v>1548</v>
      </c>
      <c r="D955" t="s">
        <v>93</v>
      </c>
      <c r="E955" t="s">
        <v>399</v>
      </c>
      <c r="F955">
        <v>1</v>
      </c>
      <c r="I955" t="str">
        <v>SE0017486889</v>
      </c>
      <c r="J955" t="str">
        <v>Excluded</v>
      </c>
      <c r="K955">
        <v>0</v>
      </c>
      <c r="L955" t="str" cm="1">
        <f t="array" ref="L955">_xlfn.TEXTJOIN(",",TRUE,_xlfn._xlws.FILTER($C$5:$C$1727,($D$5:$D$1727=I955)*($E$5:$E$1727=J955)*($F$5:$F$1727=K955)))</f>
        <v>Global</v>
      </c>
      <c r="M955" t="b">
        <f t="shared" si="28"/>
        <v>0</v>
      </c>
      <c r="N955">
        <f t="shared" si="29"/>
        <v>0</v>
      </c>
    </row>
    <row r="956" spans="3:14" x14ac:dyDescent="0.25">
      <c r="C956" t="s">
        <v>1548</v>
      </c>
      <c r="D956" t="s">
        <v>890</v>
      </c>
      <c r="E956" t="s">
        <v>400</v>
      </c>
      <c r="F956">
        <v>0</v>
      </c>
      <c r="I956" t="str">
        <v>SE0020050417</v>
      </c>
      <c r="J956" t="str">
        <v>Eco-efficient industries</v>
      </c>
      <c r="K956">
        <v>1</v>
      </c>
      <c r="L956" t="str" cm="1">
        <f t="array" ref="L956">_xlfn.TEXTJOIN(",",TRUE,_xlfn._xlws.FILTER($C$5:$C$1727,($D$5:$D$1727=I956)*($E$5:$E$1727=J956)*($F$5:$F$1727=K956)))</f>
        <v>Global</v>
      </c>
      <c r="M956" t="b">
        <f t="shared" si="28"/>
        <v>0</v>
      </c>
      <c r="N956">
        <f t="shared" si="29"/>
        <v>0</v>
      </c>
    </row>
    <row r="957" spans="3:14" x14ac:dyDescent="0.25">
      <c r="C957" t="s">
        <v>1548</v>
      </c>
      <c r="D957" t="s">
        <v>891</v>
      </c>
      <c r="E957" t="s">
        <v>407</v>
      </c>
      <c r="F957">
        <v>1</v>
      </c>
      <c r="I957" t="str">
        <v>SE0021921269</v>
      </c>
      <c r="J957" t="str">
        <v>Excluded</v>
      </c>
      <c r="K957">
        <v>0</v>
      </c>
      <c r="L957" t="str" cm="1">
        <f t="array" ref="L957">_xlfn.TEXTJOIN(",",TRUE,_xlfn._xlws.FILTER($C$5:$C$1727,($D$5:$D$1727=I957)*($E$5:$E$1727=J957)*($F$5:$F$1727=K957)))</f>
        <v>Global</v>
      </c>
      <c r="M957" t="b">
        <f t="shared" si="28"/>
        <v>0</v>
      </c>
      <c r="N957">
        <f t="shared" si="29"/>
        <v>0</v>
      </c>
    </row>
    <row r="958" spans="3:14" x14ac:dyDescent="0.25">
      <c r="C958" t="s">
        <v>1548</v>
      </c>
      <c r="D958" t="s">
        <v>892</v>
      </c>
      <c r="E958" t="s">
        <v>401</v>
      </c>
      <c r="F958">
        <v>0</v>
      </c>
      <c r="I958" t="str">
        <v>SG1F60858221</v>
      </c>
      <c r="J958" t="str">
        <v>Excluded</v>
      </c>
      <c r="K958">
        <v>0</v>
      </c>
      <c r="L958" t="str" cm="1">
        <f t="array" ref="L958">_xlfn.TEXTJOIN(",",TRUE,_xlfn._xlws.FILTER($C$5:$C$1727,($D$5:$D$1727=I958)*($E$5:$E$1727=J958)*($F$5:$F$1727=K958)))</f>
        <v>Global</v>
      </c>
      <c r="M958" t="b">
        <f t="shared" si="28"/>
        <v>0</v>
      </c>
      <c r="N958">
        <f t="shared" si="29"/>
        <v>0</v>
      </c>
    </row>
    <row r="959" spans="3:14" x14ac:dyDescent="0.25">
      <c r="C959" t="s">
        <v>1548</v>
      </c>
      <c r="D959" t="s">
        <v>893</v>
      </c>
      <c r="E959" t="s">
        <v>400</v>
      </c>
      <c r="F959">
        <v>0</v>
      </c>
      <c r="I959" t="str">
        <v>SG1J26887955</v>
      </c>
      <c r="J959" t="str">
        <v>Excluded</v>
      </c>
      <c r="K959">
        <v>0</v>
      </c>
      <c r="L959" t="str" cm="1">
        <f t="array" ref="L959">_xlfn.TEXTJOIN(",",TRUE,_xlfn._xlws.FILTER($C$5:$C$1727,($D$5:$D$1727=I959)*($E$5:$E$1727=J959)*($F$5:$F$1727=K959)))</f>
        <v>Global</v>
      </c>
      <c r="M959" t="b">
        <f t="shared" si="28"/>
        <v>0</v>
      </c>
      <c r="N959">
        <f t="shared" si="29"/>
        <v>0</v>
      </c>
    </row>
    <row r="960" spans="3:14" x14ac:dyDescent="0.25">
      <c r="C960" t="s">
        <v>1548</v>
      </c>
      <c r="D960" t="s">
        <v>894</v>
      </c>
      <c r="E960" t="s">
        <v>400</v>
      </c>
      <c r="F960">
        <v>0</v>
      </c>
      <c r="I960" t="str">
        <v>SG1L01001701</v>
      </c>
      <c r="J960" t="str">
        <v>Excluded</v>
      </c>
      <c r="K960">
        <v>0</v>
      </c>
      <c r="L960" t="str" cm="1">
        <f t="array" ref="L960">_xlfn.TEXTJOIN(",",TRUE,_xlfn._xlws.FILTER($C$5:$C$1727,($D$5:$D$1727=I960)*($E$5:$E$1727=J960)*($F$5:$F$1727=K960)))</f>
        <v>Global</v>
      </c>
      <c r="M960" t="b">
        <f t="shared" si="28"/>
        <v>0</v>
      </c>
      <c r="N960">
        <f t="shared" si="29"/>
        <v>0</v>
      </c>
    </row>
    <row r="961" spans="3:14" x14ac:dyDescent="0.25">
      <c r="C961" t="s">
        <v>1548</v>
      </c>
      <c r="D961" t="s">
        <v>895</v>
      </c>
      <c r="E961" t="s">
        <v>400</v>
      </c>
      <c r="F961">
        <v>0</v>
      </c>
      <c r="I961" t="str">
        <v>SG1M31001969</v>
      </c>
      <c r="J961" t="str">
        <v>Excluded</v>
      </c>
      <c r="K961">
        <v>0</v>
      </c>
      <c r="L961" t="str" cm="1">
        <f t="array" ref="L961">_xlfn.TEXTJOIN(",",TRUE,_xlfn._xlws.FILTER($C$5:$C$1727,($D$5:$D$1727=I961)*($E$5:$E$1727=J961)*($F$5:$F$1727=K961)))</f>
        <v>Global</v>
      </c>
      <c r="M961" t="b">
        <f t="shared" si="28"/>
        <v>0</v>
      </c>
      <c r="N961">
        <f t="shared" si="29"/>
        <v>0</v>
      </c>
    </row>
    <row r="962" spans="3:14" x14ac:dyDescent="0.25">
      <c r="C962" t="s">
        <v>1548</v>
      </c>
      <c r="D962" t="s">
        <v>896</v>
      </c>
      <c r="E962" t="s">
        <v>400</v>
      </c>
      <c r="F962">
        <v>0</v>
      </c>
      <c r="I962" t="str">
        <v>SG1M51904654</v>
      </c>
      <c r="J962" t="str">
        <v>Ecoconstruction</v>
      </c>
      <c r="K962">
        <v>0.6</v>
      </c>
      <c r="L962" t="str" cm="1">
        <f t="array" ref="L962">_xlfn.TEXTJOIN(",",TRUE,_xlfn._xlws.FILTER($C$5:$C$1727,($D$5:$D$1727=I962)*($E$5:$E$1727=J962)*($F$5:$F$1727=K962)))</f>
        <v>Global</v>
      </c>
      <c r="M962" t="b">
        <f t="shared" si="28"/>
        <v>0</v>
      </c>
      <c r="N962">
        <f t="shared" si="29"/>
        <v>0</v>
      </c>
    </row>
    <row r="963" spans="3:14" x14ac:dyDescent="0.25">
      <c r="C963" t="s">
        <v>1548</v>
      </c>
      <c r="D963" t="s">
        <v>897</v>
      </c>
      <c r="E963" t="s">
        <v>401</v>
      </c>
      <c r="F963">
        <v>0</v>
      </c>
      <c r="I963" t="str">
        <v>SG1M77906915</v>
      </c>
      <c r="J963" t="str">
        <v>Ecoconstruction</v>
      </c>
      <c r="K963">
        <v>1</v>
      </c>
      <c r="L963" t="str" cm="1">
        <f t="array" ref="L963">_xlfn.TEXTJOIN(",",TRUE,_xlfn._xlws.FILTER($C$5:$C$1727,($D$5:$D$1727=I963)*($E$5:$E$1727=J963)*($F$5:$F$1727=K963)))</f>
        <v>Global</v>
      </c>
      <c r="M963" t="b">
        <f t="shared" si="28"/>
        <v>0</v>
      </c>
      <c r="N963">
        <f t="shared" si="29"/>
        <v>0</v>
      </c>
    </row>
    <row r="964" spans="3:14" x14ac:dyDescent="0.25">
      <c r="C964" t="s">
        <v>1548</v>
      </c>
      <c r="D964" t="s">
        <v>898</v>
      </c>
      <c r="E964" t="s">
        <v>408</v>
      </c>
      <c r="F964">
        <v>1</v>
      </c>
      <c r="I964" t="str">
        <v>SG1S04926220</v>
      </c>
      <c r="J964" t="str">
        <v>Excluded</v>
      </c>
      <c r="K964">
        <v>0</v>
      </c>
      <c r="L964" t="str" cm="1">
        <f t="array" ref="L964">_xlfn.TEXTJOIN(",",TRUE,_xlfn._xlws.FILTER($C$5:$C$1727,($D$5:$D$1727=I964)*($E$5:$E$1727=J964)*($F$5:$F$1727=K964)))</f>
        <v>Global</v>
      </c>
      <c r="M964" t="b">
        <f t="shared" si="28"/>
        <v>0</v>
      </c>
      <c r="N964">
        <f t="shared" si="29"/>
        <v>0</v>
      </c>
    </row>
    <row r="965" spans="3:14" x14ac:dyDescent="0.25">
      <c r="C965" t="s">
        <v>1548</v>
      </c>
      <c r="D965" t="s">
        <v>899</v>
      </c>
      <c r="E965" t="s">
        <v>400</v>
      </c>
      <c r="F965">
        <v>0</v>
      </c>
      <c r="I965" t="str">
        <v>SG1T56930848</v>
      </c>
      <c r="J965" t="str">
        <v>Excluded</v>
      </c>
      <c r="K965">
        <v>0</v>
      </c>
      <c r="L965" t="str" cm="1">
        <f t="array" ref="L965">_xlfn.TEXTJOIN(",",TRUE,_xlfn._xlws.FILTER($C$5:$C$1727,($D$5:$D$1727=I965)*($E$5:$E$1727=J965)*($F$5:$F$1727=K965)))</f>
        <v>Global</v>
      </c>
      <c r="M965" t="b">
        <f t="shared" si="28"/>
        <v>0</v>
      </c>
      <c r="N965">
        <f t="shared" si="29"/>
        <v>0</v>
      </c>
    </row>
    <row r="966" spans="3:14" x14ac:dyDescent="0.25">
      <c r="C966" t="s">
        <v>1548</v>
      </c>
      <c r="D966" t="s">
        <v>900</v>
      </c>
      <c r="E966" t="s">
        <v>399</v>
      </c>
      <c r="F966">
        <v>1</v>
      </c>
      <c r="I966" t="str">
        <v>SG1T75931496</v>
      </c>
      <c r="J966" t="str">
        <v>Not included in a theme</v>
      </c>
      <c r="K966">
        <v>0</v>
      </c>
      <c r="L966" t="str" cm="1">
        <f t="array" ref="L966">_xlfn.TEXTJOIN(",",TRUE,_xlfn._xlws.FILTER($C$5:$C$1727,($D$5:$D$1727=I966)*($E$5:$E$1727=J966)*($F$5:$F$1727=K966)))</f>
        <v>Global</v>
      </c>
      <c r="M966" t="b">
        <f t="shared" ref="M966:M1029" si="30">COUNTIFS($I$5:$I$1556,I966)&gt;1</f>
        <v>0</v>
      </c>
      <c r="N966">
        <f t="shared" ref="N966:N1029" si="31">COUNTIFS($U$5:$U$231,I966)</f>
        <v>0</v>
      </c>
    </row>
    <row r="967" spans="3:14" x14ac:dyDescent="0.25">
      <c r="C967" t="s">
        <v>1548</v>
      </c>
      <c r="D967" t="s">
        <v>901</v>
      </c>
      <c r="E967" t="s">
        <v>400</v>
      </c>
      <c r="F967">
        <v>0</v>
      </c>
      <c r="I967" t="str">
        <v>SG1U68934629</v>
      </c>
      <c r="J967" t="str">
        <v>Excluded</v>
      </c>
      <c r="K967">
        <v>0</v>
      </c>
      <c r="L967" t="str" cm="1">
        <f t="array" ref="L967">_xlfn.TEXTJOIN(",",TRUE,_xlfn._xlws.FILTER($C$5:$C$1727,($D$5:$D$1727=I967)*($E$5:$E$1727=J967)*($F$5:$F$1727=K967)))</f>
        <v>Global</v>
      </c>
      <c r="M967" t="b">
        <f t="shared" si="30"/>
        <v>0</v>
      </c>
      <c r="N967">
        <f t="shared" si="31"/>
        <v>0</v>
      </c>
    </row>
    <row r="968" spans="3:14" x14ac:dyDescent="0.25">
      <c r="C968" t="s">
        <v>1548</v>
      </c>
      <c r="D968" t="s">
        <v>902</v>
      </c>
      <c r="E968" t="s">
        <v>400</v>
      </c>
      <c r="F968">
        <v>0</v>
      </c>
      <c r="I968" t="str">
        <v>SG1V61937297</v>
      </c>
      <c r="J968" t="str">
        <v>Excluded</v>
      </c>
      <c r="K968">
        <v>0</v>
      </c>
      <c r="L968" t="str" cm="1">
        <f t="array" ref="L968">_xlfn.TEXTJOIN(",",TRUE,_xlfn._xlws.FILTER($C$5:$C$1727,($D$5:$D$1727=I968)*($E$5:$E$1727=J968)*($F$5:$F$1727=K968)))</f>
        <v>Global</v>
      </c>
      <c r="M968" t="b">
        <f t="shared" si="30"/>
        <v>0</v>
      </c>
      <c r="N968">
        <f t="shared" si="31"/>
        <v>0</v>
      </c>
    </row>
    <row r="969" spans="3:14" x14ac:dyDescent="0.25">
      <c r="C969" t="s">
        <v>1548</v>
      </c>
      <c r="D969" t="s">
        <v>903</v>
      </c>
      <c r="E969" t="s">
        <v>400</v>
      </c>
      <c r="F969">
        <v>0</v>
      </c>
      <c r="I969" t="str">
        <v>SG9999000020</v>
      </c>
      <c r="J969" t="str">
        <v>Information technology</v>
      </c>
      <c r="K969">
        <v>1</v>
      </c>
      <c r="L969" t="str" cm="1">
        <f t="array" ref="L969">_xlfn.TEXTJOIN(",",TRUE,_xlfn._xlws.FILTER($C$5:$C$1727,($D$5:$D$1727=I969)*($E$5:$E$1727=J969)*($F$5:$F$1727=K969)))</f>
        <v>Global</v>
      </c>
      <c r="M969" t="b">
        <f t="shared" si="30"/>
        <v>0</v>
      </c>
      <c r="N969">
        <f t="shared" si="31"/>
        <v>0</v>
      </c>
    </row>
    <row r="970" spans="3:14" x14ac:dyDescent="0.25">
      <c r="C970" t="s">
        <v>1548</v>
      </c>
      <c r="D970" t="s">
        <v>904</v>
      </c>
      <c r="E970" t="s">
        <v>400</v>
      </c>
      <c r="F970">
        <v>0</v>
      </c>
      <c r="I970" t="str">
        <v>US0010551028</v>
      </c>
      <c r="J970" t="str">
        <v>Excluded</v>
      </c>
      <c r="K970">
        <v>0</v>
      </c>
      <c r="L970" t="str" cm="1">
        <f t="array" ref="L970">_xlfn.TEXTJOIN(",",TRUE,_xlfn._xlws.FILTER($C$5:$C$1727,($D$5:$D$1727=I970)*($E$5:$E$1727=J970)*($F$5:$F$1727=K970)))</f>
        <v>Global</v>
      </c>
      <c r="M970" t="b">
        <f t="shared" si="30"/>
        <v>0</v>
      </c>
      <c r="N970">
        <f t="shared" si="31"/>
        <v>0</v>
      </c>
    </row>
    <row r="971" spans="3:14" x14ac:dyDescent="0.25">
      <c r="C971" t="s">
        <v>1548</v>
      </c>
      <c r="D971" t="s">
        <v>905</v>
      </c>
      <c r="E971" t="s">
        <v>400</v>
      </c>
      <c r="F971">
        <v>0</v>
      </c>
      <c r="I971" t="str">
        <v>US00123Q1040</v>
      </c>
      <c r="J971" t="str">
        <v>Excluded</v>
      </c>
      <c r="K971">
        <v>0</v>
      </c>
      <c r="L971" t="str" cm="1">
        <f t="array" ref="L971">_xlfn.TEXTJOIN(",",TRUE,_xlfn._xlws.FILTER($C$5:$C$1727,($D$5:$D$1727=I971)*($E$5:$E$1727=J971)*($F$5:$F$1727=K971)))</f>
        <v>Global</v>
      </c>
      <c r="M971" t="b">
        <f t="shared" si="30"/>
        <v>0</v>
      </c>
      <c r="N971">
        <f t="shared" si="31"/>
        <v>0</v>
      </c>
    </row>
    <row r="972" spans="3:14" x14ac:dyDescent="0.25">
      <c r="C972" t="s">
        <v>1548</v>
      </c>
      <c r="D972" t="s">
        <v>906</v>
      </c>
      <c r="E972" t="s">
        <v>408</v>
      </c>
      <c r="F972">
        <v>1</v>
      </c>
      <c r="I972" t="str">
        <v>US00187Y1001</v>
      </c>
      <c r="J972" t="str">
        <v>Excluded</v>
      </c>
      <c r="K972">
        <v>0</v>
      </c>
      <c r="L972" t="str" cm="1">
        <f t="array" ref="L972">_xlfn.TEXTJOIN(",",TRUE,_xlfn._xlws.FILTER($C$5:$C$1727,($D$5:$D$1727=I972)*($E$5:$E$1727=J972)*($F$5:$F$1727=K972)))</f>
        <v>Global</v>
      </c>
      <c r="M972" t="b">
        <f t="shared" si="30"/>
        <v>0</v>
      </c>
      <c r="N972">
        <f t="shared" si="31"/>
        <v>0</v>
      </c>
    </row>
    <row r="973" spans="3:14" x14ac:dyDescent="0.25">
      <c r="C973" t="s">
        <v>1548</v>
      </c>
      <c r="D973" t="s">
        <v>907</v>
      </c>
      <c r="E973" t="s">
        <v>400</v>
      </c>
      <c r="F973">
        <v>0</v>
      </c>
      <c r="I973" t="str">
        <v>US00206R1023</v>
      </c>
      <c r="J973" t="str">
        <v>Not included in a theme</v>
      </c>
      <c r="K973">
        <v>0</v>
      </c>
      <c r="L973" t="str" cm="1">
        <f t="array" ref="L973">_xlfn.TEXTJOIN(",",TRUE,_xlfn._xlws.FILTER($C$5:$C$1727,($D$5:$D$1727=I973)*($E$5:$E$1727=J973)*($F$5:$F$1727=K973)))</f>
        <v>Global</v>
      </c>
      <c r="M973" t="b">
        <f t="shared" si="30"/>
        <v>0</v>
      </c>
      <c r="N973">
        <f t="shared" si="31"/>
        <v>0</v>
      </c>
    </row>
    <row r="974" spans="3:14" x14ac:dyDescent="0.25">
      <c r="C974" t="s">
        <v>1548</v>
      </c>
      <c r="D974" t="s">
        <v>908</v>
      </c>
      <c r="E974" t="s">
        <v>401</v>
      </c>
      <c r="F974">
        <v>0</v>
      </c>
      <c r="I974" t="str">
        <v>US00217D1000</v>
      </c>
      <c r="J974" t="str">
        <v>Excluded</v>
      </c>
      <c r="K974">
        <v>0</v>
      </c>
      <c r="L974" t="str" cm="1">
        <f t="array" ref="L974">_xlfn.TEXTJOIN(",",TRUE,_xlfn._xlws.FILTER($C$5:$C$1727,($D$5:$D$1727=I974)*($E$5:$E$1727=J974)*($F$5:$F$1727=K974)))</f>
        <v>Global</v>
      </c>
      <c r="M974" t="b">
        <f t="shared" si="30"/>
        <v>0</v>
      </c>
      <c r="N974">
        <f t="shared" si="31"/>
        <v>0</v>
      </c>
    </row>
    <row r="975" spans="3:14" x14ac:dyDescent="0.25">
      <c r="C975" t="s">
        <v>1548</v>
      </c>
      <c r="D975" t="s">
        <v>909</v>
      </c>
      <c r="E975" t="s">
        <v>400</v>
      </c>
      <c r="F975">
        <v>0</v>
      </c>
      <c r="I975" t="str">
        <v>US0028241000</v>
      </c>
      <c r="J975" t="str">
        <v>Not included in a theme</v>
      </c>
      <c r="K975">
        <v>0</v>
      </c>
      <c r="L975" t="str" cm="1">
        <f t="array" ref="L975">_xlfn.TEXTJOIN(",",TRUE,_xlfn._xlws.FILTER($C$5:$C$1727,($D$5:$D$1727=I975)*($E$5:$E$1727=J975)*($F$5:$F$1727=K975)))</f>
        <v>Global</v>
      </c>
      <c r="M975" t="b">
        <f t="shared" si="30"/>
        <v>0</v>
      </c>
      <c r="N975">
        <f t="shared" si="31"/>
        <v>0</v>
      </c>
    </row>
    <row r="976" spans="3:14" x14ac:dyDescent="0.25">
      <c r="C976" t="s">
        <v>1548</v>
      </c>
      <c r="D976" t="s">
        <v>910</v>
      </c>
      <c r="E976" t="s">
        <v>406</v>
      </c>
      <c r="F976">
        <v>0.1</v>
      </c>
      <c r="I976" t="str">
        <v>US00287Y1091</v>
      </c>
      <c r="J976" t="str">
        <v>Not included in a theme</v>
      </c>
      <c r="K976">
        <v>0</v>
      </c>
      <c r="L976" t="str" cm="1">
        <f t="array" ref="L976">_xlfn.TEXTJOIN(",",TRUE,_xlfn._xlws.FILTER($C$5:$C$1727,($D$5:$D$1727=I976)*($E$5:$E$1727=J976)*($F$5:$F$1727=K976)))</f>
        <v>Global</v>
      </c>
      <c r="M976" t="b">
        <f t="shared" si="30"/>
        <v>0</v>
      </c>
      <c r="N976">
        <f t="shared" si="31"/>
        <v>0</v>
      </c>
    </row>
    <row r="977" spans="3:14" x14ac:dyDescent="0.25">
      <c r="C977" t="s">
        <v>1548</v>
      </c>
      <c r="D977" t="s">
        <v>911</v>
      </c>
      <c r="E977" t="s">
        <v>402</v>
      </c>
      <c r="F977">
        <v>0.18</v>
      </c>
      <c r="I977" t="str">
        <v>US00508Y1029</v>
      </c>
      <c r="J977" t="str">
        <v>Ecoconstruction</v>
      </c>
      <c r="K977">
        <v>0.87</v>
      </c>
      <c r="L977" t="str" cm="1">
        <f t="array" ref="L977">_xlfn.TEXTJOIN(",",TRUE,_xlfn._xlws.FILTER($C$5:$C$1727,($D$5:$D$1727=I977)*($E$5:$E$1727=J977)*($F$5:$F$1727=K977)))</f>
        <v>Global</v>
      </c>
      <c r="M977" t="b">
        <f t="shared" si="30"/>
        <v>0</v>
      </c>
      <c r="N977">
        <f t="shared" si="31"/>
        <v>0</v>
      </c>
    </row>
    <row r="978" spans="3:14" x14ac:dyDescent="0.25">
      <c r="C978" t="s">
        <v>1548</v>
      </c>
      <c r="D978" t="s">
        <v>96</v>
      </c>
      <c r="E978" t="s">
        <v>401</v>
      </c>
      <c r="F978">
        <v>0</v>
      </c>
      <c r="I978" t="str">
        <v>US00724F1012</v>
      </c>
      <c r="J978" t="str">
        <v>Not included in a theme</v>
      </c>
      <c r="K978">
        <v>0</v>
      </c>
      <c r="L978" t="str" cm="1">
        <f t="array" ref="L978">_xlfn.TEXTJOIN(",",TRUE,_xlfn._xlws.FILTER($C$5:$C$1727,($D$5:$D$1727=I978)*($E$5:$E$1727=J978)*($F$5:$F$1727=K978)))</f>
        <v>Global</v>
      </c>
      <c r="M978" t="b">
        <f t="shared" si="30"/>
        <v>0</v>
      </c>
      <c r="N978">
        <f t="shared" si="31"/>
        <v>0</v>
      </c>
    </row>
    <row r="979" spans="3:14" x14ac:dyDescent="0.25">
      <c r="C979" t="s">
        <v>1548</v>
      </c>
      <c r="D979" t="s">
        <v>912</v>
      </c>
      <c r="E979" t="s">
        <v>400</v>
      </c>
      <c r="F979">
        <v>0</v>
      </c>
      <c r="I979" t="str">
        <v>US00766T1007</v>
      </c>
      <c r="J979" t="str">
        <v>Excluded</v>
      </c>
      <c r="K979">
        <v>0</v>
      </c>
      <c r="L979" t="str" cm="1">
        <f t="array" ref="L979">_xlfn.TEXTJOIN(",",TRUE,_xlfn._xlws.FILTER($C$5:$C$1727,($D$5:$D$1727=I979)*($E$5:$E$1727=J979)*($F$5:$F$1727=K979)))</f>
        <v>Global</v>
      </c>
      <c r="M979" t="b">
        <f t="shared" si="30"/>
        <v>0</v>
      </c>
      <c r="N979">
        <f t="shared" si="31"/>
        <v>0</v>
      </c>
    </row>
    <row r="980" spans="3:14" x14ac:dyDescent="0.25">
      <c r="C980" t="s">
        <v>1548</v>
      </c>
      <c r="D980" t="s">
        <v>913</v>
      </c>
      <c r="E980" t="s">
        <v>400</v>
      </c>
      <c r="F980">
        <v>0</v>
      </c>
      <c r="I980" t="str">
        <v>US0079031078</v>
      </c>
      <c r="J980" t="str">
        <v>Information technology</v>
      </c>
      <c r="K980">
        <v>0.9</v>
      </c>
      <c r="L980" t="str" cm="1">
        <f t="array" ref="L980">_xlfn.TEXTJOIN(",",TRUE,_xlfn._xlws.FILTER($C$5:$C$1727,($D$5:$D$1727=I980)*($E$5:$E$1727=J980)*($F$5:$F$1727=K980)))</f>
        <v>Global</v>
      </c>
      <c r="M980" t="b">
        <f t="shared" si="30"/>
        <v>0</v>
      </c>
      <c r="N980">
        <f t="shared" si="31"/>
        <v>0</v>
      </c>
    </row>
    <row r="981" spans="3:14" x14ac:dyDescent="0.25">
      <c r="C981" t="s">
        <v>1548</v>
      </c>
      <c r="D981" t="s">
        <v>914</v>
      </c>
      <c r="E981" t="s">
        <v>401</v>
      </c>
      <c r="F981">
        <v>0</v>
      </c>
      <c r="I981" t="str">
        <v>US00790R1041</v>
      </c>
      <c r="J981" t="str">
        <v>Excluded</v>
      </c>
      <c r="K981">
        <v>0</v>
      </c>
      <c r="L981" t="str" cm="1">
        <f t="array" ref="L981">_xlfn.TEXTJOIN(",",TRUE,_xlfn._xlws.FILTER($C$5:$C$1727,($D$5:$D$1727=I981)*($E$5:$E$1727=J981)*($F$5:$F$1727=K981)))</f>
        <v>Global</v>
      </c>
      <c r="M981" t="b">
        <f t="shared" si="30"/>
        <v>0</v>
      </c>
      <c r="N981">
        <f t="shared" si="31"/>
        <v>0</v>
      </c>
    </row>
    <row r="982" spans="3:14" x14ac:dyDescent="0.25">
      <c r="C982" t="s">
        <v>1548</v>
      </c>
      <c r="D982" t="s">
        <v>915</v>
      </c>
      <c r="E982" t="s">
        <v>401</v>
      </c>
      <c r="F982">
        <v>0</v>
      </c>
      <c r="I982" t="str">
        <v>US00827B1061</v>
      </c>
      <c r="J982" t="str">
        <v>Excluded</v>
      </c>
      <c r="K982">
        <v>0</v>
      </c>
      <c r="L982" t="str" cm="1">
        <f t="array" ref="L982">_xlfn.TEXTJOIN(",",TRUE,_xlfn._xlws.FILTER($C$5:$C$1727,($D$5:$D$1727=I982)*($E$5:$E$1727=J982)*($F$5:$F$1727=K982)))</f>
        <v>Global</v>
      </c>
      <c r="M982" t="b">
        <f t="shared" si="30"/>
        <v>0</v>
      </c>
      <c r="N982">
        <f t="shared" si="31"/>
        <v>0</v>
      </c>
    </row>
    <row r="983" spans="3:14" x14ac:dyDescent="0.25">
      <c r="C983" t="s">
        <v>1548</v>
      </c>
      <c r="D983" t="s">
        <v>916</v>
      </c>
      <c r="E983" t="s">
        <v>400</v>
      </c>
      <c r="F983">
        <v>0</v>
      </c>
      <c r="I983" t="str">
        <v>US00846U1016</v>
      </c>
      <c r="J983" t="str">
        <v>Excluded</v>
      </c>
      <c r="K983">
        <v>0</v>
      </c>
      <c r="L983" t="str" cm="1">
        <f t="array" ref="L983">_xlfn.TEXTJOIN(",",TRUE,_xlfn._xlws.FILTER($C$5:$C$1727,($D$5:$D$1727=I983)*($E$5:$E$1727=J983)*($F$5:$F$1727=K983)))</f>
        <v>Global</v>
      </c>
      <c r="M983" t="b">
        <f t="shared" si="30"/>
        <v>0</v>
      </c>
      <c r="N983">
        <f t="shared" si="31"/>
        <v>0</v>
      </c>
    </row>
    <row r="984" spans="3:14" x14ac:dyDescent="0.25">
      <c r="C984" t="s">
        <v>1548</v>
      </c>
      <c r="D984" t="s">
        <v>917</v>
      </c>
      <c r="E984" t="s">
        <v>401</v>
      </c>
      <c r="F984">
        <v>0</v>
      </c>
      <c r="I984" t="str">
        <v>US0090661010</v>
      </c>
      <c r="J984" t="str">
        <v>Excluded</v>
      </c>
      <c r="K984">
        <v>0</v>
      </c>
      <c r="L984" t="str" cm="1">
        <f t="array" ref="L984">_xlfn.TEXTJOIN(",",TRUE,_xlfn._xlws.FILTER($C$5:$C$1727,($D$5:$D$1727=I984)*($E$5:$E$1727=J984)*($F$5:$F$1727=K984)))</f>
        <v>Global</v>
      </c>
      <c r="M984" t="b">
        <f t="shared" si="30"/>
        <v>0</v>
      </c>
      <c r="N984">
        <f t="shared" si="31"/>
        <v>0</v>
      </c>
    </row>
    <row r="985" spans="3:14" x14ac:dyDescent="0.25">
      <c r="C985" t="s">
        <v>1548</v>
      </c>
      <c r="D985" t="s">
        <v>88</v>
      </c>
      <c r="E985" t="s">
        <v>403</v>
      </c>
      <c r="F985">
        <v>0.6</v>
      </c>
      <c r="I985" t="str">
        <v>US0091581068</v>
      </c>
      <c r="J985" t="str">
        <v>Excluded</v>
      </c>
      <c r="K985">
        <v>0</v>
      </c>
      <c r="L985" t="str" cm="1">
        <f t="array" ref="L985">_xlfn.TEXTJOIN(",",TRUE,_xlfn._xlws.FILTER($C$5:$C$1727,($D$5:$D$1727=I985)*($E$5:$E$1727=J985)*($F$5:$F$1727=K985)))</f>
        <v>Global</v>
      </c>
      <c r="M985" t="b">
        <f t="shared" si="30"/>
        <v>0</v>
      </c>
      <c r="N985">
        <f t="shared" si="31"/>
        <v>0</v>
      </c>
    </row>
    <row r="986" spans="3:14" x14ac:dyDescent="0.25">
      <c r="C986" t="s">
        <v>1548</v>
      </c>
      <c r="D986" t="s">
        <v>918</v>
      </c>
      <c r="E986" t="s">
        <v>400</v>
      </c>
      <c r="F986">
        <v>0</v>
      </c>
      <c r="I986" t="str">
        <v>US00971T1016</v>
      </c>
      <c r="J986" t="str">
        <v>Information technology</v>
      </c>
      <c r="K986">
        <v>0.67</v>
      </c>
      <c r="L986" t="str" cm="1">
        <f t="array" ref="L986">_xlfn.TEXTJOIN(",",TRUE,_xlfn._xlws.FILTER($C$5:$C$1727,($D$5:$D$1727=I986)*($E$5:$E$1727=J986)*($F$5:$F$1727=K986)))</f>
        <v>Global</v>
      </c>
      <c r="M986" t="b">
        <f t="shared" si="30"/>
        <v>0</v>
      </c>
      <c r="N986">
        <f t="shared" si="31"/>
        <v>0</v>
      </c>
    </row>
    <row r="987" spans="3:14" x14ac:dyDescent="0.25">
      <c r="C987" t="s">
        <v>1548</v>
      </c>
      <c r="D987" t="s">
        <v>919</v>
      </c>
      <c r="E987" t="s">
        <v>400</v>
      </c>
      <c r="F987">
        <v>0</v>
      </c>
      <c r="I987" t="str">
        <v>US0126531013</v>
      </c>
      <c r="J987" t="str">
        <v>Green energy</v>
      </c>
      <c r="K987">
        <v>0.81</v>
      </c>
      <c r="L987" t="str" cm="1">
        <f t="array" ref="L987">_xlfn.TEXTJOIN(",",TRUE,_xlfn._xlws.FILTER($C$5:$C$1727,($D$5:$D$1727=I987)*($E$5:$E$1727=J987)*($F$5:$F$1727=K987)))</f>
        <v>Global</v>
      </c>
      <c r="M987" t="b">
        <f t="shared" si="30"/>
        <v>0</v>
      </c>
      <c r="N987">
        <f t="shared" si="31"/>
        <v>0</v>
      </c>
    </row>
    <row r="988" spans="3:14" x14ac:dyDescent="0.25">
      <c r="C988" t="s">
        <v>1548</v>
      </c>
      <c r="D988" t="s">
        <v>67</v>
      </c>
      <c r="E988" t="s">
        <v>400</v>
      </c>
      <c r="F988">
        <v>0</v>
      </c>
      <c r="I988" t="str">
        <v>US01741R1023</v>
      </c>
      <c r="J988" t="str">
        <v>Excluded</v>
      </c>
      <c r="K988">
        <v>0</v>
      </c>
      <c r="L988" t="str" cm="1">
        <f t="array" ref="L988">_xlfn.TEXTJOIN(",",TRUE,_xlfn._xlws.FILTER($C$5:$C$1727,($D$5:$D$1727=I988)*($E$5:$E$1727=J988)*($F$5:$F$1727=K988)))</f>
        <v>Global</v>
      </c>
      <c r="M988" t="b">
        <f t="shared" si="30"/>
        <v>0</v>
      </c>
      <c r="N988">
        <f t="shared" si="31"/>
        <v>0</v>
      </c>
    </row>
    <row r="989" spans="3:14" x14ac:dyDescent="0.25">
      <c r="C989" t="s">
        <v>1548</v>
      </c>
      <c r="D989" t="s">
        <v>920</v>
      </c>
      <c r="E989" t="s">
        <v>400</v>
      </c>
      <c r="F989">
        <v>0</v>
      </c>
      <c r="I989" t="str">
        <v>US0188021085</v>
      </c>
      <c r="J989" t="str">
        <v>Excluded</v>
      </c>
      <c r="K989">
        <v>0</v>
      </c>
      <c r="L989" t="str" cm="1">
        <f t="array" ref="L989">_xlfn.TEXTJOIN(",",TRUE,_xlfn._xlws.FILTER($C$5:$C$1727,($D$5:$D$1727=I989)*($E$5:$E$1727=J989)*($F$5:$F$1727=K989)))</f>
        <v>Global</v>
      </c>
      <c r="M989" t="b">
        <f t="shared" si="30"/>
        <v>0</v>
      </c>
      <c r="N989">
        <f t="shared" si="31"/>
        <v>0</v>
      </c>
    </row>
    <row r="990" spans="3:14" x14ac:dyDescent="0.25">
      <c r="C990" t="s">
        <v>1548</v>
      </c>
      <c r="D990" t="s">
        <v>921</v>
      </c>
      <c r="E990" t="s">
        <v>400</v>
      </c>
      <c r="F990">
        <v>0</v>
      </c>
      <c r="I990" t="str">
        <v>US0200021014</v>
      </c>
      <c r="J990" t="str">
        <v>Not included in a theme</v>
      </c>
      <c r="K990">
        <v>0</v>
      </c>
      <c r="L990" t="str" cm="1">
        <f t="array" ref="L990">_xlfn.TEXTJOIN(",",TRUE,_xlfn._xlws.FILTER($C$5:$C$1727,($D$5:$D$1727=I990)*($E$5:$E$1727=J990)*($F$5:$F$1727=K990)))</f>
        <v>Global</v>
      </c>
      <c r="M990" t="b">
        <f t="shared" si="30"/>
        <v>0</v>
      </c>
      <c r="N990">
        <f t="shared" si="31"/>
        <v>0</v>
      </c>
    </row>
    <row r="991" spans="3:14" x14ac:dyDescent="0.25">
      <c r="C991" t="s">
        <v>1548</v>
      </c>
      <c r="D991" t="s">
        <v>922</v>
      </c>
      <c r="E991" t="s">
        <v>399</v>
      </c>
      <c r="F991">
        <v>0.76</v>
      </c>
      <c r="I991" t="str">
        <v>US02005N1000</v>
      </c>
      <c r="J991" t="str">
        <v>Excluded</v>
      </c>
      <c r="K991">
        <v>0</v>
      </c>
      <c r="L991" t="str" cm="1">
        <f t="array" ref="L991">_xlfn.TEXTJOIN(",",TRUE,_xlfn._xlws.FILTER($C$5:$C$1727,($D$5:$D$1727=I991)*($E$5:$E$1727=J991)*($F$5:$F$1727=K991)))</f>
        <v>Global</v>
      </c>
      <c r="M991" t="b">
        <f t="shared" si="30"/>
        <v>0</v>
      </c>
      <c r="N991">
        <f t="shared" si="31"/>
        <v>0</v>
      </c>
    </row>
    <row r="992" spans="3:14" x14ac:dyDescent="0.25">
      <c r="C992" t="s">
        <v>1548</v>
      </c>
      <c r="D992" t="s">
        <v>923</v>
      </c>
      <c r="E992" t="s">
        <v>399</v>
      </c>
      <c r="F992">
        <v>1</v>
      </c>
      <c r="I992" t="str">
        <v>US02043Q1076</v>
      </c>
      <c r="J992" t="str">
        <v>Not included in a theme</v>
      </c>
      <c r="K992">
        <v>0</v>
      </c>
      <c r="L992" t="str" cm="1">
        <f t="array" ref="L992">_xlfn.TEXTJOIN(",",TRUE,_xlfn._xlws.FILTER($C$5:$C$1727,($D$5:$D$1727=I992)*($E$5:$E$1727=J992)*($F$5:$F$1727=K992)))</f>
        <v>Global</v>
      </c>
      <c r="M992" t="b">
        <f t="shared" si="30"/>
        <v>0</v>
      </c>
      <c r="N992">
        <f t="shared" si="31"/>
        <v>0</v>
      </c>
    </row>
    <row r="993" spans="3:14" x14ac:dyDescent="0.25">
      <c r="C993" t="s">
        <v>1548</v>
      </c>
      <c r="D993" t="s">
        <v>924</v>
      </c>
      <c r="E993" t="s">
        <v>400</v>
      </c>
      <c r="F993">
        <v>0</v>
      </c>
      <c r="I993" t="str">
        <v>US02079K3059</v>
      </c>
      <c r="J993" t="str">
        <v>Information technology</v>
      </c>
      <c r="K993">
        <v>0.64</v>
      </c>
      <c r="L993" t="str" cm="1">
        <f t="array" ref="L993">_xlfn.TEXTJOIN(",",TRUE,_xlfn._xlws.FILTER($C$5:$C$1727,($D$5:$D$1727=I993)*($E$5:$E$1727=J993)*($F$5:$F$1727=K993)))</f>
        <v>Global</v>
      </c>
      <c r="M993" t="b">
        <f t="shared" si="30"/>
        <v>0</v>
      </c>
      <c r="N993">
        <f t="shared" si="31"/>
        <v>0</v>
      </c>
    </row>
    <row r="994" spans="3:14" x14ac:dyDescent="0.25">
      <c r="C994" t="s">
        <v>1548</v>
      </c>
      <c r="D994" t="s">
        <v>925</v>
      </c>
      <c r="E994" t="s">
        <v>400</v>
      </c>
      <c r="F994">
        <v>0</v>
      </c>
      <c r="I994" t="str">
        <v>US02156V1098</v>
      </c>
      <c r="J994" t="str">
        <v>Excluded</v>
      </c>
      <c r="K994">
        <v>0</v>
      </c>
      <c r="L994" t="str" cm="1">
        <f t="array" ref="L994">_xlfn.TEXTJOIN(",",TRUE,_xlfn._xlws.FILTER($C$5:$C$1727,($D$5:$D$1727=I994)*($E$5:$E$1727=J994)*($F$5:$F$1727=K994)))</f>
        <v>Global</v>
      </c>
      <c r="M994" t="b">
        <f t="shared" si="30"/>
        <v>0</v>
      </c>
      <c r="N994">
        <f t="shared" si="31"/>
        <v>0</v>
      </c>
    </row>
    <row r="995" spans="3:14" x14ac:dyDescent="0.25">
      <c r="C995" t="s">
        <v>1548</v>
      </c>
      <c r="D995" t="s">
        <v>926</v>
      </c>
      <c r="E995" t="s">
        <v>399</v>
      </c>
      <c r="F995">
        <v>1</v>
      </c>
      <c r="I995" t="str">
        <v>US02209S1033</v>
      </c>
      <c r="J995" t="str">
        <v>Excluded</v>
      </c>
      <c r="K995">
        <v>0</v>
      </c>
      <c r="L995" t="str" cm="1">
        <f t="array" ref="L995">_xlfn.TEXTJOIN(",",TRUE,_xlfn._xlws.FILTER($C$5:$C$1727,($D$5:$D$1727=I995)*($E$5:$E$1727=J995)*($F$5:$F$1727=K995)))</f>
        <v>Global</v>
      </c>
      <c r="M995" t="b">
        <f t="shared" si="30"/>
        <v>0</v>
      </c>
      <c r="N995">
        <f t="shared" si="31"/>
        <v>0</v>
      </c>
    </row>
    <row r="996" spans="3:14" x14ac:dyDescent="0.25">
      <c r="C996" t="s">
        <v>1548</v>
      </c>
      <c r="D996" t="s">
        <v>927</v>
      </c>
      <c r="E996" t="s">
        <v>401</v>
      </c>
      <c r="F996">
        <v>0</v>
      </c>
      <c r="I996" t="str">
        <v>US0231351067</v>
      </c>
      <c r="J996" t="str">
        <v>Excluded</v>
      </c>
      <c r="K996">
        <v>0</v>
      </c>
      <c r="L996" t="str" cm="1">
        <f t="array" ref="L996">_xlfn.TEXTJOIN(",",TRUE,_xlfn._xlws.FILTER($C$5:$C$1727,($D$5:$D$1727=I996)*($E$5:$E$1727=J996)*($F$5:$F$1727=K996)))</f>
        <v>Global</v>
      </c>
      <c r="M996" t="b">
        <f t="shared" si="30"/>
        <v>0</v>
      </c>
      <c r="N996">
        <f t="shared" si="31"/>
        <v>0</v>
      </c>
    </row>
    <row r="997" spans="3:14" x14ac:dyDescent="0.25">
      <c r="C997" t="s">
        <v>1548</v>
      </c>
      <c r="D997" t="s">
        <v>100</v>
      </c>
      <c r="E997" t="s">
        <v>401</v>
      </c>
      <c r="F997">
        <v>0</v>
      </c>
      <c r="I997" t="str">
        <v>US0236081024</v>
      </c>
      <c r="J997" t="str">
        <v>Excluded</v>
      </c>
      <c r="K997">
        <v>0</v>
      </c>
      <c r="L997" t="str" cm="1">
        <f t="array" ref="L997">_xlfn.TEXTJOIN(",",TRUE,_xlfn._xlws.FILTER($C$5:$C$1727,($D$5:$D$1727=I997)*($E$5:$E$1727=J997)*($F$5:$F$1727=K997)))</f>
        <v>Global</v>
      </c>
      <c r="M997" t="b">
        <f t="shared" si="30"/>
        <v>0</v>
      </c>
      <c r="N997">
        <f t="shared" si="31"/>
        <v>0</v>
      </c>
    </row>
    <row r="998" spans="3:14" x14ac:dyDescent="0.25">
      <c r="C998" t="s">
        <v>1548</v>
      </c>
      <c r="D998" t="s">
        <v>68</v>
      </c>
      <c r="E998" t="s">
        <v>401</v>
      </c>
      <c r="F998">
        <v>0</v>
      </c>
      <c r="I998" t="str">
        <v>US0255371017</v>
      </c>
      <c r="J998" t="str">
        <v>Excluded</v>
      </c>
      <c r="K998">
        <v>0</v>
      </c>
      <c r="L998" t="str" cm="1">
        <f t="array" ref="L998">_xlfn.TEXTJOIN(",",TRUE,_xlfn._xlws.FILTER($C$5:$C$1727,($D$5:$D$1727=I998)*($E$5:$E$1727=J998)*($F$5:$F$1727=K998)))</f>
        <v>Global</v>
      </c>
      <c r="M998" t="b">
        <f t="shared" si="30"/>
        <v>0</v>
      </c>
      <c r="N998">
        <f t="shared" si="31"/>
        <v>0</v>
      </c>
    </row>
    <row r="999" spans="3:14" x14ac:dyDescent="0.25">
      <c r="C999" t="s">
        <v>1548</v>
      </c>
      <c r="D999" t="s">
        <v>928</v>
      </c>
      <c r="E999" t="s">
        <v>401</v>
      </c>
      <c r="F999">
        <v>0</v>
      </c>
      <c r="I999" t="str">
        <v>US0258161092</v>
      </c>
      <c r="J999" t="str">
        <v>Excluded</v>
      </c>
      <c r="K999">
        <v>0</v>
      </c>
      <c r="L999" t="str" cm="1">
        <f t="array" ref="L999">_xlfn.TEXTJOIN(",",TRUE,_xlfn._xlws.FILTER($C$5:$C$1727,($D$5:$D$1727=I999)*($E$5:$E$1727=J999)*($F$5:$F$1727=K999)))</f>
        <v>Global</v>
      </c>
      <c r="M999" t="b">
        <f t="shared" si="30"/>
        <v>0</v>
      </c>
      <c r="N999">
        <f t="shared" si="31"/>
        <v>0</v>
      </c>
    </row>
    <row r="1000" spans="3:14" x14ac:dyDescent="0.25">
      <c r="C1000" t="s">
        <v>1548</v>
      </c>
      <c r="D1000" t="s">
        <v>929</v>
      </c>
      <c r="E1000" t="s">
        <v>399</v>
      </c>
      <c r="F1000">
        <v>1</v>
      </c>
      <c r="I1000" t="str">
        <v>US02665T3068</v>
      </c>
      <c r="J1000" t="str">
        <v>Ecoconstruction</v>
      </c>
      <c r="K1000">
        <v>0.16</v>
      </c>
      <c r="L1000" t="str" cm="1">
        <f t="array" ref="L1000">_xlfn.TEXTJOIN(",",TRUE,_xlfn._xlws.FILTER($C$5:$C$1727,($D$5:$D$1727=I1000)*($E$5:$E$1727=J1000)*($F$5:$F$1727=K1000)))</f>
        <v>Global</v>
      </c>
      <c r="M1000" t="b">
        <f t="shared" si="30"/>
        <v>0</v>
      </c>
      <c r="N1000">
        <f t="shared" si="31"/>
        <v>0</v>
      </c>
    </row>
    <row r="1001" spans="3:14" x14ac:dyDescent="0.25">
      <c r="C1001" t="s">
        <v>1548</v>
      </c>
      <c r="D1001" t="s">
        <v>930</v>
      </c>
      <c r="E1001" t="s">
        <v>408</v>
      </c>
      <c r="F1001">
        <v>0.6</v>
      </c>
      <c r="I1001" t="str">
        <v>US0268747849</v>
      </c>
      <c r="J1001" t="str">
        <v>Not included in a theme</v>
      </c>
      <c r="K1001">
        <v>0</v>
      </c>
      <c r="L1001" t="str" cm="1">
        <f t="array" ref="L1001">_xlfn.TEXTJOIN(",",TRUE,_xlfn._xlws.FILTER($C$5:$C$1727,($D$5:$D$1727=I1001)*($E$5:$E$1727=J1001)*($F$5:$F$1727=K1001)))</f>
        <v>Global</v>
      </c>
      <c r="M1001" t="b">
        <f t="shared" si="30"/>
        <v>0</v>
      </c>
      <c r="N1001">
        <f t="shared" si="31"/>
        <v>0</v>
      </c>
    </row>
    <row r="1002" spans="3:14" x14ac:dyDescent="0.25">
      <c r="C1002" t="s">
        <v>1548</v>
      </c>
      <c r="D1002" t="s">
        <v>931</v>
      </c>
      <c r="E1002" t="s">
        <v>399</v>
      </c>
      <c r="F1002">
        <v>1</v>
      </c>
      <c r="I1002" t="str">
        <v>US03027X1000</v>
      </c>
      <c r="J1002" t="str">
        <v>Not included in a theme</v>
      </c>
      <c r="K1002">
        <v>0</v>
      </c>
      <c r="L1002" t="str" cm="1">
        <f t="array" ref="L1002">_xlfn.TEXTJOIN(",",TRUE,_xlfn._xlws.FILTER($C$5:$C$1727,($D$5:$D$1727=I1002)*($E$5:$E$1727=J1002)*($F$5:$F$1727=K1002)))</f>
        <v>Global</v>
      </c>
      <c r="M1002" t="b">
        <f t="shared" si="30"/>
        <v>0</v>
      </c>
      <c r="N1002">
        <f t="shared" si="31"/>
        <v>0</v>
      </c>
    </row>
    <row r="1003" spans="3:14" x14ac:dyDescent="0.25">
      <c r="C1003" t="s">
        <v>1548</v>
      </c>
      <c r="D1003" t="s">
        <v>932</v>
      </c>
      <c r="E1003" t="s">
        <v>400</v>
      </c>
      <c r="F1003">
        <v>0</v>
      </c>
      <c r="I1003" t="str">
        <v>US0304201033</v>
      </c>
      <c r="J1003" t="str">
        <v>Climate change adaptation</v>
      </c>
      <c r="K1003">
        <v>1</v>
      </c>
      <c r="L1003" t="str" cm="1">
        <f t="array" ref="L1003">_xlfn.TEXTJOIN(",",TRUE,_xlfn._xlws.FILTER($C$5:$C$1727,($D$5:$D$1727=I1003)*($E$5:$E$1727=J1003)*($F$5:$F$1727=K1003)))</f>
        <v>Global</v>
      </c>
      <c r="M1003" t="b">
        <f t="shared" si="30"/>
        <v>0</v>
      </c>
      <c r="N1003">
        <f t="shared" si="31"/>
        <v>0</v>
      </c>
    </row>
    <row r="1004" spans="3:14" x14ac:dyDescent="0.25">
      <c r="C1004" t="s">
        <v>1548</v>
      </c>
      <c r="D1004" t="s">
        <v>933</v>
      </c>
      <c r="E1004" t="s">
        <v>403</v>
      </c>
      <c r="F1004">
        <v>0.224</v>
      </c>
      <c r="I1004" t="str">
        <v>US03073E1055</v>
      </c>
      <c r="J1004" t="str">
        <v>Excluded</v>
      </c>
      <c r="K1004">
        <v>0</v>
      </c>
      <c r="L1004" t="str" cm="1">
        <f t="array" ref="L1004">_xlfn.TEXTJOIN(",",TRUE,_xlfn._xlws.FILTER($C$5:$C$1727,($D$5:$D$1727=I1004)*($E$5:$E$1727=J1004)*($F$5:$F$1727=K1004)))</f>
        <v>Global</v>
      </c>
      <c r="M1004" t="b">
        <f t="shared" si="30"/>
        <v>0</v>
      </c>
      <c r="N1004">
        <f t="shared" si="31"/>
        <v>0</v>
      </c>
    </row>
    <row r="1005" spans="3:14" x14ac:dyDescent="0.25">
      <c r="C1005" t="s">
        <v>1548</v>
      </c>
      <c r="D1005" t="s">
        <v>934</v>
      </c>
      <c r="E1005" t="s">
        <v>400</v>
      </c>
      <c r="F1005">
        <v>0</v>
      </c>
      <c r="I1005" t="str">
        <v>US03076C1062</v>
      </c>
      <c r="J1005" t="str">
        <v>Excluded</v>
      </c>
      <c r="K1005">
        <v>0</v>
      </c>
      <c r="L1005" t="str" cm="1">
        <f t="array" ref="L1005">_xlfn.TEXTJOIN(",",TRUE,_xlfn._xlws.FILTER($C$5:$C$1727,($D$5:$D$1727=I1005)*($E$5:$E$1727=J1005)*($F$5:$F$1727=K1005)))</f>
        <v>Global</v>
      </c>
      <c r="M1005" t="b">
        <f t="shared" si="30"/>
        <v>0</v>
      </c>
      <c r="N1005">
        <f t="shared" si="31"/>
        <v>0</v>
      </c>
    </row>
    <row r="1006" spans="3:14" x14ac:dyDescent="0.25">
      <c r="C1006" t="s">
        <v>1548</v>
      </c>
      <c r="D1006" t="s">
        <v>51</v>
      </c>
      <c r="E1006" t="s">
        <v>400</v>
      </c>
      <c r="F1006">
        <v>0</v>
      </c>
      <c r="I1006" t="str">
        <v>US0311001004</v>
      </c>
      <c r="J1006" t="str">
        <v>Eco-efficient industries</v>
      </c>
      <c r="K1006">
        <v>1</v>
      </c>
      <c r="L1006" t="str" cm="1">
        <f t="array" ref="L1006">_xlfn.TEXTJOIN(",",TRUE,_xlfn._xlws.FILTER($C$5:$C$1727,($D$5:$D$1727=I1006)*($E$5:$E$1727=J1006)*($F$5:$F$1727=K1006)))</f>
        <v>Global</v>
      </c>
      <c r="M1006" t="b">
        <f t="shared" si="30"/>
        <v>0</v>
      </c>
      <c r="N1006">
        <f t="shared" si="31"/>
        <v>0</v>
      </c>
    </row>
    <row r="1007" spans="3:14" x14ac:dyDescent="0.25">
      <c r="C1007" t="s">
        <v>1548</v>
      </c>
      <c r="D1007" t="s">
        <v>935</v>
      </c>
      <c r="E1007" t="s">
        <v>400</v>
      </c>
      <c r="F1007">
        <v>0</v>
      </c>
      <c r="I1007" t="str">
        <v>US0311621009</v>
      </c>
      <c r="J1007" t="str">
        <v>Not included in a theme</v>
      </c>
      <c r="K1007">
        <v>0</v>
      </c>
      <c r="L1007" t="str" cm="1">
        <f t="array" ref="L1007">_xlfn.TEXTJOIN(",",TRUE,_xlfn._xlws.FILTER($C$5:$C$1727,($D$5:$D$1727=I1007)*($E$5:$E$1727=J1007)*($F$5:$F$1727=K1007)))</f>
        <v>Global</v>
      </c>
      <c r="M1007" t="b">
        <f t="shared" si="30"/>
        <v>0</v>
      </c>
      <c r="N1007">
        <f t="shared" si="31"/>
        <v>0</v>
      </c>
    </row>
    <row r="1008" spans="3:14" x14ac:dyDescent="0.25">
      <c r="C1008" t="s">
        <v>1548</v>
      </c>
      <c r="D1008" t="s">
        <v>936</v>
      </c>
      <c r="E1008" t="s">
        <v>399</v>
      </c>
      <c r="F1008">
        <v>1</v>
      </c>
      <c r="I1008" t="str">
        <v>US0320951017</v>
      </c>
      <c r="J1008" t="str">
        <v>Information technology</v>
      </c>
      <c r="K1008">
        <v>1</v>
      </c>
      <c r="L1008" t="str" cm="1">
        <f t="array" ref="L1008">_xlfn.TEXTJOIN(",",TRUE,_xlfn._xlws.FILTER($C$5:$C$1727,($D$5:$D$1727=I1008)*($E$5:$E$1727=J1008)*($F$5:$F$1727=K1008)))</f>
        <v>Global</v>
      </c>
      <c r="M1008" t="b">
        <f t="shared" si="30"/>
        <v>0</v>
      </c>
      <c r="N1008">
        <f t="shared" si="31"/>
        <v>0</v>
      </c>
    </row>
    <row r="1009" spans="3:14" x14ac:dyDescent="0.25">
      <c r="C1009" t="s">
        <v>1548</v>
      </c>
      <c r="D1009" t="s">
        <v>937</v>
      </c>
      <c r="E1009" t="s">
        <v>400</v>
      </c>
      <c r="F1009">
        <v>0</v>
      </c>
      <c r="I1009" t="str">
        <v>US0326541051</v>
      </c>
      <c r="J1009" t="str">
        <v>Information technology</v>
      </c>
      <c r="K1009">
        <v>0.87</v>
      </c>
      <c r="L1009" t="str" cm="1">
        <f t="array" ref="L1009">_xlfn.TEXTJOIN(",",TRUE,_xlfn._xlws.FILTER($C$5:$C$1727,($D$5:$D$1727=I1009)*($E$5:$E$1727=J1009)*($F$5:$F$1727=K1009)))</f>
        <v>Global</v>
      </c>
      <c r="M1009" t="b">
        <f t="shared" si="30"/>
        <v>0</v>
      </c>
      <c r="N1009">
        <f t="shared" si="31"/>
        <v>0</v>
      </c>
    </row>
    <row r="1010" spans="3:14" x14ac:dyDescent="0.25">
      <c r="C1010" t="s">
        <v>1548</v>
      </c>
      <c r="D1010" t="s">
        <v>938</v>
      </c>
      <c r="E1010" t="s">
        <v>401</v>
      </c>
      <c r="F1010">
        <v>0</v>
      </c>
      <c r="I1010" t="str">
        <v>US0357108390</v>
      </c>
      <c r="J1010" t="str">
        <v>Excluded</v>
      </c>
      <c r="K1010">
        <v>0</v>
      </c>
      <c r="L1010" t="str" cm="1">
        <f t="array" ref="L1010">_xlfn.TEXTJOIN(",",TRUE,_xlfn._xlws.FILTER($C$5:$C$1727,($D$5:$D$1727=I1010)*($E$5:$E$1727=J1010)*($F$5:$F$1727=K1010)))</f>
        <v>Global</v>
      </c>
      <c r="M1010" t="b">
        <f t="shared" si="30"/>
        <v>0</v>
      </c>
      <c r="N1010">
        <f t="shared" si="31"/>
        <v>0</v>
      </c>
    </row>
    <row r="1011" spans="3:14" x14ac:dyDescent="0.25">
      <c r="C1011" t="s">
        <v>1548</v>
      </c>
      <c r="D1011" t="s">
        <v>939</v>
      </c>
      <c r="E1011" t="s">
        <v>400</v>
      </c>
      <c r="F1011">
        <v>0</v>
      </c>
      <c r="I1011" t="str">
        <v>US0367521038</v>
      </c>
      <c r="J1011" t="str">
        <v>Not included in a theme</v>
      </c>
      <c r="K1011">
        <v>0</v>
      </c>
      <c r="L1011" t="str" cm="1">
        <f t="array" ref="L1011">_xlfn.TEXTJOIN(",",TRUE,_xlfn._xlws.FILTER($C$5:$C$1727,($D$5:$D$1727=I1011)*($E$5:$E$1727=J1011)*($F$5:$F$1727=K1011)))</f>
        <v>Global</v>
      </c>
      <c r="M1011" t="b">
        <f t="shared" si="30"/>
        <v>0</v>
      </c>
      <c r="N1011">
        <f t="shared" si="31"/>
        <v>0</v>
      </c>
    </row>
    <row r="1012" spans="3:14" x14ac:dyDescent="0.25">
      <c r="C1012" t="s">
        <v>1548</v>
      </c>
      <c r="D1012" t="s">
        <v>940</v>
      </c>
      <c r="E1012" t="s">
        <v>400</v>
      </c>
      <c r="F1012">
        <v>0</v>
      </c>
      <c r="I1012" t="str">
        <v>US03769M1062</v>
      </c>
      <c r="J1012" t="str">
        <v>Excluded</v>
      </c>
      <c r="K1012">
        <v>0</v>
      </c>
      <c r="L1012" t="str" cm="1">
        <f t="array" ref="L1012">_xlfn.TEXTJOIN(",",TRUE,_xlfn._xlws.FILTER($C$5:$C$1727,($D$5:$D$1727=I1012)*($E$5:$E$1727=J1012)*($F$5:$F$1727=K1012)))</f>
        <v>Global</v>
      </c>
      <c r="M1012" t="b">
        <f t="shared" si="30"/>
        <v>0</v>
      </c>
      <c r="N1012">
        <f t="shared" si="31"/>
        <v>0</v>
      </c>
    </row>
    <row r="1013" spans="3:14" x14ac:dyDescent="0.25">
      <c r="C1013" t="s">
        <v>1548</v>
      </c>
      <c r="D1013" t="s">
        <v>941</v>
      </c>
      <c r="E1013" t="s">
        <v>401</v>
      </c>
      <c r="F1013">
        <v>0</v>
      </c>
      <c r="I1013" t="str">
        <v>US0378331005</v>
      </c>
      <c r="J1013" t="str">
        <v>Excluded</v>
      </c>
      <c r="K1013">
        <v>0</v>
      </c>
      <c r="L1013" t="str" cm="1">
        <f t="array" ref="L1013">_xlfn.TEXTJOIN(",",TRUE,_xlfn._xlws.FILTER($C$5:$C$1727,($D$5:$D$1727=I1013)*($E$5:$E$1727=J1013)*($F$5:$F$1727=K1013)))</f>
        <v>Global</v>
      </c>
      <c r="M1013" t="b">
        <f t="shared" si="30"/>
        <v>0</v>
      </c>
      <c r="N1013">
        <f t="shared" si="31"/>
        <v>0</v>
      </c>
    </row>
    <row r="1014" spans="3:14" x14ac:dyDescent="0.25">
      <c r="C1014" t="s">
        <v>1548</v>
      </c>
      <c r="D1014" t="s">
        <v>942</v>
      </c>
      <c r="E1014" t="s">
        <v>400</v>
      </c>
      <c r="F1014">
        <v>0</v>
      </c>
      <c r="I1014" t="str">
        <v>US0382221051</v>
      </c>
      <c r="J1014" t="str">
        <v>Information technology</v>
      </c>
      <c r="K1014">
        <v>1</v>
      </c>
      <c r="L1014" t="str" cm="1">
        <f t="array" ref="L1014">_xlfn.TEXTJOIN(",",TRUE,_xlfn._xlws.FILTER($C$5:$C$1727,($D$5:$D$1727=I1014)*($E$5:$E$1727=J1014)*($F$5:$F$1727=K1014)))</f>
        <v>Global</v>
      </c>
      <c r="M1014" t="b">
        <f t="shared" si="30"/>
        <v>0</v>
      </c>
      <c r="N1014">
        <f t="shared" si="31"/>
        <v>0</v>
      </c>
    </row>
    <row r="1015" spans="3:14" x14ac:dyDescent="0.25">
      <c r="C1015" t="s">
        <v>1548</v>
      </c>
      <c r="D1015" t="s">
        <v>943</v>
      </c>
      <c r="E1015" t="s">
        <v>401</v>
      </c>
      <c r="F1015">
        <v>0</v>
      </c>
      <c r="I1015" t="str">
        <v>US03831W1080</v>
      </c>
      <c r="J1015" t="str">
        <v>Excluded</v>
      </c>
      <c r="K1015">
        <v>0</v>
      </c>
      <c r="L1015" t="str" cm="1">
        <f t="array" ref="L1015">_xlfn.TEXTJOIN(",",TRUE,_xlfn._xlws.FILTER($C$5:$C$1727,($D$5:$D$1727=I1015)*($E$5:$E$1727=J1015)*($F$5:$F$1727=K1015)))</f>
        <v>Global</v>
      </c>
      <c r="M1015" t="b">
        <f t="shared" si="30"/>
        <v>0</v>
      </c>
      <c r="N1015">
        <f t="shared" si="31"/>
        <v>0</v>
      </c>
    </row>
    <row r="1016" spans="3:14" x14ac:dyDescent="0.25">
      <c r="C1016" t="s">
        <v>1548</v>
      </c>
      <c r="D1016" t="s">
        <v>944</v>
      </c>
      <c r="E1016" t="s">
        <v>400</v>
      </c>
      <c r="F1016">
        <v>0</v>
      </c>
      <c r="I1016" t="str">
        <v>US0394831020</v>
      </c>
      <c r="J1016" t="str">
        <v>Excluded</v>
      </c>
      <c r="K1016">
        <v>0</v>
      </c>
      <c r="L1016" t="str" cm="1">
        <f t="array" ref="L1016">_xlfn.TEXTJOIN(",",TRUE,_xlfn._xlws.FILTER($C$5:$C$1727,($D$5:$D$1727=I1016)*($E$5:$E$1727=J1016)*($F$5:$F$1727=K1016)))</f>
        <v>Global</v>
      </c>
      <c r="M1016" t="b">
        <f t="shared" si="30"/>
        <v>0</v>
      </c>
      <c r="N1016">
        <f t="shared" si="31"/>
        <v>0</v>
      </c>
    </row>
    <row r="1017" spans="3:14" x14ac:dyDescent="0.25">
      <c r="C1017" t="s">
        <v>1548</v>
      </c>
      <c r="D1017" t="s">
        <v>945</v>
      </c>
      <c r="E1017" t="s">
        <v>400</v>
      </c>
      <c r="F1017">
        <v>0</v>
      </c>
      <c r="I1017" t="str">
        <v>US03990B1017</v>
      </c>
      <c r="J1017" t="str">
        <v>Excluded</v>
      </c>
      <c r="K1017">
        <v>0</v>
      </c>
      <c r="L1017" t="str" cm="1">
        <f t="array" ref="L1017">_xlfn.TEXTJOIN(",",TRUE,_xlfn._xlws.FILTER($C$5:$C$1727,($D$5:$D$1727=I1017)*($E$5:$E$1727=J1017)*($F$5:$F$1727=K1017)))</f>
        <v>Global</v>
      </c>
      <c r="M1017" t="b">
        <f t="shared" si="30"/>
        <v>0</v>
      </c>
      <c r="N1017">
        <f t="shared" si="31"/>
        <v>0</v>
      </c>
    </row>
    <row r="1018" spans="3:14" x14ac:dyDescent="0.25">
      <c r="C1018" t="s">
        <v>1548</v>
      </c>
      <c r="D1018" t="s">
        <v>946</v>
      </c>
      <c r="E1018" t="s">
        <v>400</v>
      </c>
      <c r="F1018">
        <v>0</v>
      </c>
      <c r="I1018" t="str">
        <v>US04010L1035</v>
      </c>
      <c r="J1018" t="str">
        <v>Excluded</v>
      </c>
      <c r="K1018">
        <v>0</v>
      </c>
      <c r="L1018" t="str" cm="1">
        <f t="array" ref="L1018">_xlfn.TEXTJOIN(",",TRUE,_xlfn._xlws.FILTER($C$5:$C$1727,($D$5:$D$1727=I1018)*($E$5:$E$1727=J1018)*($F$5:$F$1727=K1018)))</f>
        <v>Global</v>
      </c>
      <c r="M1018" t="b">
        <f t="shared" si="30"/>
        <v>0</v>
      </c>
      <c r="N1018">
        <f t="shared" si="31"/>
        <v>0</v>
      </c>
    </row>
    <row r="1019" spans="3:14" x14ac:dyDescent="0.25">
      <c r="C1019" t="s">
        <v>1548</v>
      </c>
      <c r="D1019" t="s">
        <v>60</v>
      </c>
      <c r="E1019" t="s">
        <v>400</v>
      </c>
      <c r="F1019">
        <v>0</v>
      </c>
      <c r="I1019" t="str">
        <v>US0404132054</v>
      </c>
      <c r="J1019" t="str">
        <v>Information technology</v>
      </c>
      <c r="K1019">
        <v>1</v>
      </c>
      <c r="L1019" t="str" cm="1">
        <f t="array" ref="L1019">_xlfn.TEXTJOIN(",",TRUE,_xlfn._xlws.FILTER($C$5:$C$1727,($D$5:$D$1727=I1019)*($E$5:$E$1727=J1019)*($F$5:$F$1727=K1019)))</f>
        <v>Global</v>
      </c>
      <c r="M1019" t="b">
        <f t="shared" si="30"/>
        <v>0</v>
      </c>
      <c r="N1019">
        <f t="shared" si="31"/>
        <v>0</v>
      </c>
    </row>
    <row r="1020" spans="3:14" x14ac:dyDescent="0.25">
      <c r="C1020" t="s">
        <v>1548</v>
      </c>
      <c r="D1020" t="s">
        <v>101</v>
      </c>
      <c r="E1020" t="s">
        <v>400</v>
      </c>
      <c r="F1020">
        <v>0</v>
      </c>
      <c r="I1020" t="str">
        <v>US04621X1081</v>
      </c>
      <c r="J1020" t="str">
        <v>Not included in a theme</v>
      </c>
      <c r="K1020">
        <v>0</v>
      </c>
      <c r="L1020" t="str" cm="1">
        <f t="array" ref="L1020">_xlfn.TEXTJOIN(",",TRUE,_xlfn._xlws.FILTER($C$5:$C$1727,($D$5:$D$1727=I1020)*($E$5:$E$1727=J1020)*($F$5:$F$1727=K1020)))</f>
        <v>Global</v>
      </c>
      <c r="M1020" t="b">
        <f t="shared" si="30"/>
        <v>0</v>
      </c>
      <c r="N1020">
        <f t="shared" si="31"/>
        <v>0</v>
      </c>
    </row>
    <row r="1021" spans="3:14" x14ac:dyDescent="0.25">
      <c r="C1021" t="s">
        <v>1548</v>
      </c>
      <c r="D1021" t="s">
        <v>947</v>
      </c>
      <c r="E1021" t="s">
        <v>401</v>
      </c>
      <c r="F1021">
        <v>0</v>
      </c>
      <c r="I1021" t="str">
        <v>US04626A1034</v>
      </c>
      <c r="J1021" t="str">
        <v>Excluded</v>
      </c>
      <c r="K1021">
        <v>0</v>
      </c>
      <c r="L1021" t="str" cm="1">
        <f t="array" ref="L1021">_xlfn.TEXTJOIN(",",TRUE,_xlfn._xlws.FILTER($C$5:$C$1727,($D$5:$D$1727=I1021)*($E$5:$E$1727=J1021)*($F$5:$F$1727=K1021)))</f>
        <v>Global</v>
      </c>
      <c r="M1021" t="b">
        <f t="shared" si="30"/>
        <v>0</v>
      </c>
      <c r="N1021">
        <f t="shared" si="31"/>
        <v>0</v>
      </c>
    </row>
    <row r="1022" spans="3:14" x14ac:dyDescent="0.25">
      <c r="C1022" t="s">
        <v>1548</v>
      </c>
      <c r="D1022" t="s">
        <v>948</v>
      </c>
      <c r="E1022" t="s">
        <v>401</v>
      </c>
      <c r="F1022">
        <v>0</v>
      </c>
      <c r="I1022" t="str">
        <v>US0494681010</v>
      </c>
      <c r="J1022" t="str">
        <v>Information technology</v>
      </c>
      <c r="K1022">
        <v>1</v>
      </c>
      <c r="L1022" t="str" cm="1">
        <f t="array" ref="L1022">_xlfn.TEXTJOIN(",",TRUE,_xlfn._xlws.FILTER($C$5:$C$1727,($D$5:$D$1727=I1022)*($E$5:$E$1727=J1022)*($F$5:$F$1727=K1022)))</f>
        <v>Global</v>
      </c>
      <c r="M1022" t="b">
        <f t="shared" si="30"/>
        <v>0</v>
      </c>
      <c r="N1022">
        <f t="shared" si="31"/>
        <v>0</v>
      </c>
    </row>
    <row r="1023" spans="3:14" x14ac:dyDescent="0.25">
      <c r="C1023" t="s">
        <v>1548</v>
      </c>
      <c r="D1023" t="s">
        <v>949</v>
      </c>
      <c r="E1023" t="s">
        <v>401</v>
      </c>
      <c r="F1023">
        <v>0</v>
      </c>
      <c r="I1023" t="str">
        <v>US0495601058</v>
      </c>
      <c r="J1023" t="str">
        <v>Excluded</v>
      </c>
      <c r="K1023">
        <v>0</v>
      </c>
      <c r="L1023" t="str" cm="1">
        <f t="array" ref="L1023">_xlfn.TEXTJOIN(",",TRUE,_xlfn._xlws.FILTER($C$5:$C$1727,($D$5:$D$1727=I1023)*($E$5:$E$1727=J1023)*($F$5:$F$1727=K1023)))</f>
        <v>Global</v>
      </c>
      <c r="M1023" t="b">
        <f t="shared" si="30"/>
        <v>0</v>
      </c>
      <c r="N1023">
        <f t="shared" si="31"/>
        <v>0</v>
      </c>
    </row>
    <row r="1024" spans="3:14" x14ac:dyDescent="0.25">
      <c r="C1024" t="s">
        <v>1548</v>
      </c>
      <c r="D1024" t="s">
        <v>950</v>
      </c>
      <c r="E1024" t="s">
        <v>400</v>
      </c>
      <c r="F1024">
        <v>0</v>
      </c>
      <c r="I1024" t="str">
        <v>US0527691069</v>
      </c>
      <c r="J1024" t="str">
        <v>Information technology</v>
      </c>
      <c r="K1024">
        <v>1</v>
      </c>
      <c r="L1024" t="str" cm="1">
        <f t="array" ref="L1024">_xlfn.TEXTJOIN(",",TRUE,_xlfn._xlws.FILTER($C$5:$C$1727,($D$5:$D$1727=I1024)*($E$5:$E$1727=J1024)*($F$5:$F$1727=K1024)))</f>
        <v>Global</v>
      </c>
      <c r="M1024" t="b">
        <f t="shared" si="30"/>
        <v>0</v>
      </c>
      <c r="N1024">
        <f t="shared" si="31"/>
        <v>0</v>
      </c>
    </row>
    <row r="1025" spans="3:14" x14ac:dyDescent="0.25">
      <c r="C1025" t="s">
        <v>1548</v>
      </c>
      <c r="D1025" t="s">
        <v>951</v>
      </c>
      <c r="E1025" t="s">
        <v>399</v>
      </c>
      <c r="F1025">
        <v>0.62</v>
      </c>
      <c r="I1025" t="str">
        <v>US0530151036</v>
      </c>
      <c r="J1025" t="str">
        <v>Excluded</v>
      </c>
      <c r="K1025">
        <v>0</v>
      </c>
      <c r="L1025" t="str" cm="1">
        <f t="array" ref="L1025">_xlfn.TEXTJOIN(",",TRUE,_xlfn._xlws.FILTER($C$5:$C$1727,($D$5:$D$1727=I1025)*($E$5:$E$1727=J1025)*($F$5:$F$1727=K1025)))</f>
        <v>Global</v>
      </c>
      <c r="M1025" t="b">
        <f t="shared" si="30"/>
        <v>0</v>
      </c>
      <c r="N1025">
        <f t="shared" si="31"/>
        <v>0</v>
      </c>
    </row>
    <row r="1026" spans="3:14" x14ac:dyDescent="0.25">
      <c r="C1026" t="s">
        <v>1548</v>
      </c>
      <c r="D1026" t="s">
        <v>952</v>
      </c>
      <c r="E1026" t="s">
        <v>400</v>
      </c>
      <c r="F1026">
        <v>0</v>
      </c>
      <c r="I1026" t="str">
        <v>US0533321024</v>
      </c>
      <c r="J1026" t="str">
        <v>Excluded</v>
      </c>
      <c r="K1026">
        <v>0</v>
      </c>
      <c r="L1026" t="str" cm="1">
        <f t="array" ref="L1026">_xlfn.TEXTJOIN(",",TRUE,_xlfn._xlws.FILTER($C$5:$C$1727,($D$5:$D$1727=I1026)*($E$5:$E$1727=J1026)*($F$5:$F$1727=K1026)))</f>
        <v>Global</v>
      </c>
      <c r="M1026" t="b">
        <f t="shared" si="30"/>
        <v>0</v>
      </c>
      <c r="N1026">
        <f t="shared" si="31"/>
        <v>0</v>
      </c>
    </row>
    <row r="1027" spans="3:14" x14ac:dyDescent="0.25">
      <c r="C1027" t="s">
        <v>1548</v>
      </c>
      <c r="D1027" t="s">
        <v>953</v>
      </c>
      <c r="E1027" t="s">
        <v>400</v>
      </c>
      <c r="F1027">
        <v>0</v>
      </c>
      <c r="I1027" t="str">
        <v>US0534841012</v>
      </c>
      <c r="J1027" t="str">
        <v>Ecoconstruction</v>
      </c>
      <c r="K1027">
        <v>0.224</v>
      </c>
      <c r="L1027" t="str" cm="1">
        <f t="array" ref="L1027">_xlfn.TEXTJOIN(",",TRUE,_xlfn._xlws.FILTER($C$5:$C$1727,($D$5:$D$1727=I1027)*($E$5:$E$1727=J1027)*($F$5:$F$1727=K1027)))</f>
        <v>Global</v>
      </c>
      <c r="M1027" t="b">
        <f t="shared" si="30"/>
        <v>0</v>
      </c>
      <c r="N1027">
        <f t="shared" si="31"/>
        <v>0</v>
      </c>
    </row>
    <row r="1028" spans="3:14" x14ac:dyDescent="0.25">
      <c r="C1028" t="s">
        <v>1548</v>
      </c>
      <c r="D1028" t="s">
        <v>954</v>
      </c>
      <c r="E1028" t="s">
        <v>407</v>
      </c>
      <c r="F1028">
        <v>1</v>
      </c>
      <c r="I1028" t="str">
        <v>US0536111091</v>
      </c>
      <c r="J1028" t="str">
        <v>Excluded</v>
      </c>
      <c r="K1028">
        <v>0</v>
      </c>
      <c r="L1028" t="str" cm="1">
        <f t="array" ref="L1028">_xlfn.TEXTJOIN(",",TRUE,_xlfn._xlws.FILTER($C$5:$C$1727,($D$5:$D$1727=I1028)*($E$5:$E$1727=J1028)*($F$5:$F$1727=K1028)))</f>
        <v>Global</v>
      </c>
      <c r="M1028" t="b">
        <f t="shared" si="30"/>
        <v>0</v>
      </c>
      <c r="N1028">
        <f t="shared" si="31"/>
        <v>0</v>
      </c>
    </row>
    <row r="1029" spans="3:14" x14ac:dyDescent="0.25">
      <c r="C1029" t="s">
        <v>1548</v>
      </c>
      <c r="D1029" t="s">
        <v>955</v>
      </c>
      <c r="E1029" t="s">
        <v>400</v>
      </c>
      <c r="F1029">
        <v>0</v>
      </c>
      <c r="I1029" t="str">
        <v>US05464C1018</v>
      </c>
      <c r="J1029" t="str">
        <v>Excluded</v>
      </c>
      <c r="K1029">
        <v>0</v>
      </c>
      <c r="L1029" t="str" cm="1">
        <f t="array" ref="L1029">_xlfn.TEXTJOIN(",",TRUE,_xlfn._xlws.FILTER($C$5:$C$1727,($D$5:$D$1727=I1029)*($E$5:$E$1727=J1029)*($F$5:$F$1727=K1029)))</f>
        <v>Global</v>
      </c>
      <c r="M1029" t="b">
        <f t="shared" si="30"/>
        <v>0</v>
      </c>
      <c r="N1029">
        <f t="shared" si="31"/>
        <v>0</v>
      </c>
    </row>
    <row r="1030" spans="3:14" x14ac:dyDescent="0.25">
      <c r="C1030" t="s">
        <v>1548</v>
      </c>
      <c r="D1030" t="s">
        <v>956</v>
      </c>
      <c r="E1030" t="s">
        <v>401</v>
      </c>
      <c r="F1030">
        <v>0</v>
      </c>
      <c r="I1030" t="str">
        <v>US05550J1016</v>
      </c>
      <c r="J1030" t="str">
        <v>Excluded</v>
      </c>
      <c r="K1030">
        <v>0</v>
      </c>
      <c r="L1030" t="str" cm="1">
        <f t="array" ref="L1030">_xlfn.TEXTJOIN(",",TRUE,_xlfn._xlws.FILTER($C$5:$C$1727,($D$5:$D$1727=I1030)*($E$5:$E$1727=J1030)*($F$5:$F$1727=K1030)))</f>
        <v>Global</v>
      </c>
      <c r="M1030" t="b">
        <f t="shared" ref="M1030:M1093" si="32">COUNTIFS($I$5:$I$1556,I1030)&gt;1</f>
        <v>0</v>
      </c>
      <c r="N1030">
        <f t="shared" ref="N1030:N1093" si="33">COUNTIFS($U$5:$U$231,I1030)</f>
        <v>0</v>
      </c>
    </row>
    <row r="1031" spans="3:14" x14ac:dyDescent="0.25">
      <c r="C1031" t="s">
        <v>1548</v>
      </c>
      <c r="D1031" t="s">
        <v>87</v>
      </c>
      <c r="E1031" t="s">
        <v>401</v>
      </c>
      <c r="F1031">
        <v>0</v>
      </c>
      <c r="I1031" t="str">
        <v>US05605H1005</v>
      </c>
      <c r="J1031" t="str">
        <v>Excluded</v>
      </c>
      <c r="K1031">
        <v>0</v>
      </c>
      <c r="L1031" t="str" cm="1">
        <f t="array" ref="L1031">_xlfn.TEXTJOIN(",",TRUE,_xlfn._xlws.FILTER($C$5:$C$1727,($D$5:$D$1727=I1031)*($E$5:$E$1727=J1031)*($F$5:$F$1727=K1031)))</f>
        <v>Global</v>
      </c>
      <c r="M1031" t="b">
        <f t="shared" si="32"/>
        <v>0</v>
      </c>
      <c r="N1031">
        <f t="shared" si="33"/>
        <v>0</v>
      </c>
    </row>
    <row r="1032" spans="3:14" x14ac:dyDescent="0.25">
      <c r="C1032" t="s">
        <v>1548</v>
      </c>
      <c r="D1032" t="s">
        <v>957</v>
      </c>
      <c r="E1032" t="s">
        <v>401</v>
      </c>
      <c r="F1032">
        <v>0</v>
      </c>
      <c r="I1032" t="str">
        <v>US05722G1004</v>
      </c>
      <c r="J1032" t="str">
        <v>Excluded</v>
      </c>
      <c r="K1032">
        <v>0</v>
      </c>
      <c r="L1032" t="str" cm="1">
        <f t="array" ref="L1032">_xlfn.TEXTJOIN(",",TRUE,_xlfn._xlws.FILTER($C$5:$C$1727,($D$5:$D$1727=I1032)*($E$5:$E$1727=J1032)*($F$5:$F$1727=K1032)))</f>
        <v>Global</v>
      </c>
      <c r="M1032" t="b">
        <f t="shared" si="32"/>
        <v>0</v>
      </c>
      <c r="N1032">
        <f t="shared" si="33"/>
        <v>0</v>
      </c>
    </row>
    <row r="1033" spans="3:14" x14ac:dyDescent="0.25">
      <c r="C1033" t="s">
        <v>1548</v>
      </c>
      <c r="D1033" t="s">
        <v>958</v>
      </c>
      <c r="E1033" t="s">
        <v>400</v>
      </c>
      <c r="F1033">
        <v>0</v>
      </c>
      <c r="I1033" t="str">
        <v>US0584981064</v>
      </c>
      <c r="J1033" t="str">
        <v>Circular economy</v>
      </c>
      <c r="K1033">
        <v>1</v>
      </c>
      <c r="L1033" t="str" cm="1">
        <f t="array" ref="L1033">_xlfn.TEXTJOIN(",",TRUE,_xlfn._xlws.FILTER($C$5:$C$1727,($D$5:$D$1727=I1033)*($E$5:$E$1727=J1033)*($F$5:$F$1727=K1033)))</f>
        <v>Global</v>
      </c>
      <c r="M1033" t="b">
        <f t="shared" si="32"/>
        <v>0</v>
      </c>
      <c r="N1033">
        <f t="shared" si="33"/>
        <v>0</v>
      </c>
    </row>
    <row r="1034" spans="3:14" x14ac:dyDescent="0.25">
      <c r="C1034" t="s">
        <v>1548</v>
      </c>
      <c r="D1034" t="s">
        <v>109</v>
      </c>
      <c r="E1034" t="s">
        <v>400</v>
      </c>
      <c r="F1034">
        <v>0</v>
      </c>
      <c r="I1034" t="str">
        <v>US0605051046</v>
      </c>
      <c r="J1034" t="str">
        <v>Excluded</v>
      </c>
      <c r="K1034">
        <v>0</v>
      </c>
      <c r="L1034" t="str" cm="1">
        <f t="array" ref="L1034">_xlfn.TEXTJOIN(",",TRUE,_xlfn._xlws.FILTER($C$5:$C$1727,($D$5:$D$1727=I1034)*($E$5:$E$1727=J1034)*($F$5:$F$1727=K1034)))</f>
        <v>Global</v>
      </c>
      <c r="M1034" t="b">
        <f t="shared" si="32"/>
        <v>0</v>
      </c>
      <c r="N1034">
        <f t="shared" si="33"/>
        <v>0</v>
      </c>
    </row>
    <row r="1035" spans="3:14" x14ac:dyDescent="0.25">
      <c r="C1035" t="s">
        <v>1548</v>
      </c>
      <c r="D1035" t="s">
        <v>959</v>
      </c>
      <c r="E1035" t="s">
        <v>400</v>
      </c>
      <c r="F1035">
        <v>0</v>
      </c>
      <c r="I1035" t="str">
        <v>US0640581007</v>
      </c>
      <c r="J1035" t="str">
        <v>Excluded</v>
      </c>
      <c r="K1035">
        <v>0</v>
      </c>
      <c r="L1035" t="str" cm="1">
        <f t="array" ref="L1035">_xlfn.TEXTJOIN(",",TRUE,_xlfn._xlws.FILTER($C$5:$C$1727,($D$5:$D$1727=I1035)*($E$5:$E$1727=J1035)*($F$5:$F$1727=K1035)))</f>
        <v>Global</v>
      </c>
      <c r="M1035" t="b">
        <f t="shared" si="32"/>
        <v>0</v>
      </c>
      <c r="N1035">
        <f t="shared" si="33"/>
        <v>0</v>
      </c>
    </row>
    <row r="1036" spans="3:14" x14ac:dyDescent="0.25">
      <c r="C1036" t="s">
        <v>1548</v>
      </c>
      <c r="D1036" t="s">
        <v>960</v>
      </c>
      <c r="E1036" t="s">
        <v>400</v>
      </c>
      <c r="F1036">
        <v>0</v>
      </c>
      <c r="I1036" t="str">
        <v>US0758871091</v>
      </c>
      <c r="J1036" t="str">
        <v>Not included in a theme</v>
      </c>
      <c r="K1036">
        <v>0</v>
      </c>
      <c r="L1036" t="str" cm="1">
        <f t="array" ref="L1036">_xlfn.TEXTJOIN(",",TRUE,_xlfn._xlws.FILTER($C$5:$C$1727,($D$5:$D$1727=I1036)*($E$5:$E$1727=J1036)*($F$5:$F$1727=K1036)))</f>
        <v>Global</v>
      </c>
      <c r="M1036" t="b">
        <f t="shared" si="32"/>
        <v>0</v>
      </c>
      <c r="N1036">
        <f t="shared" si="33"/>
        <v>0</v>
      </c>
    </row>
    <row r="1037" spans="3:14" x14ac:dyDescent="0.25">
      <c r="C1037" t="s">
        <v>1548</v>
      </c>
      <c r="D1037" t="s">
        <v>111</v>
      </c>
      <c r="E1037" t="s">
        <v>400</v>
      </c>
      <c r="F1037">
        <v>0</v>
      </c>
      <c r="I1037" t="str">
        <v>US0844231029</v>
      </c>
      <c r="J1037" t="str">
        <v>Not included in a theme</v>
      </c>
      <c r="K1037">
        <v>0</v>
      </c>
      <c r="L1037" t="str" cm="1">
        <f t="array" ref="L1037">_xlfn.TEXTJOIN(",",TRUE,_xlfn._xlws.FILTER($C$5:$C$1727,($D$5:$D$1727=I1037)*($E$5:$E$1727=J1037)*($F$5:$F$1727=K1037)))</f>
        <v>Global</v>
      </c>
      <c r="M1037" t="b">
        <f t="shared" si="32"/>
        <v>0</v>
      </c>
      <c r="N1037">
        <f t="shared" si="33"/>
        <v>0</v>
      </c>
    </row>
    <row r="1038" spans="3:14" x14ac:dyDescent="0.25">
      <c r="C1038" t="s">
        <v>1548</v>
      </c>
      <c r="D1038" t="s">
        <v>961</v>
      </c>
      <c r="E1038" t="s">
        <v>400</v>
      </c>
      <c r="F1038">
        <v>0</v>
      </c>
      <c r="I1038" t="str">
        <v>US0846707026</v>
      </c>
      <c r="J1038" t="str">
        <v>Excluded</v>
      </c>
      <c r="K1038">
        <v>0</v>
      </c>
      <c r="L1038" t="str" cm="1">
        <f t="array" ref="L1038">_xlfn.TEXTJOIN(",",TRUE,_xlfn._xlws.FILTER($C$5:$C$1727,($D$5:$D$1727=I1038)*($E$5:$E$1727=J1038)*($F$5:$F$1727=K1038)))</f>
        <v>Global</v>
      </c>
      <c r="M1038" t="b">
        <f t="shared" si="32"/>
        <v>0</v>
      </c>
      <c r="N1038">
        <f t="shared" si="33"/>
        <v>0</v>
      </c>
    </row>
    <row r="1039" spans="3:14" x14ac:dyDescent="0.25">
      <c r="C1039" t="s">
        <v>1548</v>
      </c>
      <c r="D1039" t="s">
        <v>962</v>
      </c>
      <c r="E1039" t="s">
        <v>407</v>
      </c>
      <c r="F1039">
        <v>0.66</v>
      </c>
      <c r="I1039" t="str">
        <v>US0865161014</v>
      </c>
      <c r="J1039" t="str">
        <v>Not included in a theme</v>
      </c>
      <c r="K1039">
        <v>0</v>
      </c>
      <c r="L1039" t="str" cm="1">
        <f t="array" ref="L1039">_xlfn.TEXTJOIN(",",TRUE,_xlfn._xlws.FILTER($C$5:$C$1727,($D$5:$D$1727=I1039)*($E$5:$E$1727=J1039)*($F$5:$F$1727=K1039)))</f>
        <v>Global</v>
      </c>
      <c r="M1039" t="b">
        <f t="shared" si="32"/>
        <v>0</v>
      </c>
      <c r="N1039">
        <f t="shared" si="33"/>
        <v>0</v>
      </c>
    </row>
    <row r="1040" spans="3:14" x14ac:dyDescent="0.25">
      <c r="C1040" t="s">
        <v>1548</v>
      </c>
      <c r="D1040" t="s">
        <v>963</v>
      </c>
      <c r="E1040" t="s">
        <v>401</v>
      </c>
      <c r="F1040">
        <v>0</v>
      </c>
      <c r="I1040" t="str">
        <v>US09061G1013</v>
      </c>
      <c r="J1040" t="str">
        <v>Not included in a theme</v>
      </c>
      <c r="K1040">
        <v>0</v>
      </c>
      <c r="L1040" t="str" cm="1">
        <f t="array" ref="L1040">_xlfn.TEXTJOIN(",",TRUE,_xlfn._xlws.FILTER($C$5:$C$1727,($D$5:$D$1727=I1040)*($E$5:$E$1727=J1040)*($F$5:$F$1727=K1040)))</f>
        <v>Global</v>
      </c>
      <c r="M1040" t="b">
        <f t="shared" si="32"/>
        <v>0</v>
      </c>
      <c r="N1040">
        <f t="shared" si="33"/>
        <v>0</v>
      </c>
    </row>
    <row r="1041" spans="3:14" x14ac:dyDescent="0.25">
      <c r="C1041" t="s">
        <v>1548</v>
      </c>
      <c r="D1041" t="s">
        <v>964</v>
      </c>
      <c r="E1041" t="s">
        <v>400</v>
      </c>
      <c r="F1041">
        <v>0</v>
      </c>
      <c r="I1041" t="str">
        <v>US09062X1037</v>
      </c>
      <c r="J1041" t="str">
        <v>Not included in a theme</v>
      </c>
      <c r="K1041">
        <v>0</v>
      </c>
      <c r="L1041" t="str" cm="1">
        <f t="array" ref="L1041">_xlfn.TEXTJOIN(",",TRUE,_xlfn._xlws.FILTER($C$5:$C$1727,($D$5:$D$1727=I1041)*($E$5:$E$1727=J1041)*($F$5:$F$1727=K1041)))</f>
        <v>Global</v>
      </c>
      <c r="M1041" t="b">
        <f t="shared" si="32"/>
        <v>0</v>
      </c>
      <c r="N1041">
        <f t="shared" si="33"/>
        <v>0</v>
      </c>
    </row>
    <row r="1042" spans="3:14" x14ac:dyDescent="0.25">
      <c r="C1042" t="s">
        <v>1548</v>
      </c>
      <c r="D1042" t="s">
        <v>965</v>
      </c>
      <c r="E1042" t="s">
        <v>400</v>
      </c>
      <c r="F1042">
        <v>0</v>
      </c>
      <c r="I1042" t="str">
        <v>US09260D1072</v>
      </c>
      <c r="J1042" t="str">
        <v>Excluded</v>
      </c>
      <c r="K1042">
        <v>0</v>
      </c>
      <c r="L1042" t="str" cm="1">
        <f t="array" ref="L1042">_xlfn.TEXTJOIN(",",TRUE,_xlfn._xlws.FILTER($C$5:$C$1727,($D$5:$D$1727=I1042)*($E$5:$E$1727=J1042)*($F$5:$F$1727=K1042)))</f>
        <v>Global</v>
      </c>
      <c r="M1042" t="b">
        <f t="shared" si="32"/>
        <v>0</v>
      </c>
      <c r="N1042">
        <f t="shared" si="33"/>
        <v>0</v>
      </c>
    </row>
    <row r="1043" spans="3:14" x14ac:dyDescent="0.25">
      <c r="C1043" t="s">
        <v>1548</v>
      </c>
      <c r="D1043" t="s">
        <v>966</v>
      </c>
      <c r="E1043" t="s">
        <v>400</v>
      </c>
      <c r="F1043">
        <v>0</v>
      </c>
      <c r="I1043" t="str">
        <v>US09290D1019</v>
      </c>
      <c r="J1043" t="str">
        <v>Excluded</v>
      </c>
      <c r="K1043">
        <v>0</v>
      </c>
      <c r="L1043" t="str" cm="1">
        <f t="array" ref="L1043">_xlfn.TEXTJOIN(",",TRUE,_xlfn._xlws.FILTER($C$5:$C$1727,($D$5:$D$1727=I1043)*($E$5:$E$1727=J1043)*($F$5:$F$1727=K1043)))</f>
        <v>Global</v>
      </c>
      <c r="M1043" t="b">
        <f t="shared" si="32"/>
        <v>0</v>
      </c>
      <c r="N1043">
        <f t="shared" si="33"/>
        <v>0</v>
      </c>
    </row>
    <row r="1044" spans="3:14" x14ac:dyDescent="0.25">
      <c r="C1044" t="s">
        <v>1548</v>
      </c>
      <c r="D1044" t="s">
        <v>967</v>
      </c>
      <c r="E1044" t="s">
        <v>402</v>
      </c>
      <c r="F1044">
        <v>0.56000000000000005</v>
      </c>
      <c r="I1044" t="str">
        <v>US0937121079</v>
      </c>
      <c r="J1044" t="str">
        <v>Green energy</v>
      </c>
      <c r="K1044">
        <v>1</v>
      </c>
      <c r="L1044" t="str" cm="1">
        <f t="array" ref="L1044">_xlfn.TEXTJOIN(",",TRUE,_xlfn._xlws.FILTER($C$5:$C$1727,($D$5:$D$1727=I1044)*($E$5:$E$1727=J1044)*($F$5:$F$1727=K1044)))</f>
        <v>Global</v>
      </c>
      <c r="M1044" t="b">
        <f t="shared" si="32"/>
        <v>0</v>
      </c>
      <c r="N1044">
        <f t="shared" si="33"/>
        <v>0</v>
      </c>
    </row>
    <row r="1045" spans="3:14" x14ac:dyDescent="0.25">
      <c r="C1045" t="s">
        <v>1548</v>
      </c>
      <c r="D1045" t="s">
        <v>968</v>
      </c>
      <c r="E1045" t="s">
        <v>403</v>
      </c>
      <c r="F1045">
        <v>0.41</v>
      </c>
      <c r="I1045" t="str">
        <v>US0970231058</v>
      </c>
      <c r="J1045" t="str">
        <v>Excluded</v>
      </c>
      <c r="K1045">
        <v>0</v>
      </c>
      <c r="L1045" t="str" cm="1">
        <f t="array" ref="L1045">_xlfn.TEXTJOIN(",",TRUE,_xlfn._xlws.FILTER($C$5:$C$1727,($D$5:$D$1727=I1045)*($E$5:$E$1727=J1045)*($F$5:$F$1727=K1045)))</f>
        <v>Global</v>
      </c>
      <c r="M1045" t="b">
        <f t="shared" si="32"/>
        <v>0</v>
      </c>
      <c r="N1045">
        <f t="shared" si="33"/>
        <v>0</v>
      </c>
    </row>
    <row r="1046" spans="3:14" x14ac:dyDescent="0.25">
      <c r="C1046" t="s">
        <v>1548</v>
      </c>
      <c r="D1046" t="s">
        <v>969</v>
      </c>
      <c r="E1046" t="s">
        <v>400</v>
      </c>
      <c r="F1046">
        <v>0</v>
      </c>
      <c r="I1046" t="str">
        <v>US09857L1089</v>
      </c>
      <c r="J1046" t="str">
        <v>Excluded</v>
      </c>
      <c r="K1046">
        <v>0</v>
      </c>
      <c r="L1046" t="str" cm="1">
        <f t="array" ref="L1046">_xlfn.TEXTJOIN(",",TRUE,_xlfn._xlws.FILTER($C$5:$C$1727,($D$5:$D$1727=I1046)*($E$5:$E$1727=J1046)*($F$5:$F$1727=K1046)))</f>
        <v>Global</v>
      </c>
      <c r="M1046" t="b">
        <f t="shared" si="32"/>
        <v>0</v>
      </c>
      <c r="N1046">
        <f t="shared" si="33"/>
        <v>0</v>
      </c>
    </row>
    <row r="1047" spans="3:14" x14ac:dyDescent="0.25">
      <c r="C1047" t="s">
        <v>1548</v>
      </c>
      <c r="D1047" t="s">
        <v>970</v>
      </c>
      <c r="E1047" t="s">
        <v>401</v>
      </c>
      <c r="F1047">
        <v>0</v>
      </c>
      <c r="I1047" t="str">
        <v>US1011211018</v>
      </c>
      <c r="J1047" t="str">
        <v>Ecoconstruction</v>
      </c>
      <c r="K1047">
        <v>0.57999999999999996</v>
      </c>
      <c r="L1047" t="str" cm="1">
        <f t="array" ref="L1047">_xlfn.TEXTJOIN(",",TRUE,_xlfn._xlws.FILTER($C$5:$C$1727,($D$5:$D$1727=I1047)*($E$5:$E$1727=J1047)*($F$5:$F$1727=K1047)))</f>
        <v>Global</v>
      </c>
      <c r="M1047" t="b">
        <f t="shared" si="32"/>
        <v>0</v>
      </c>
      <c r="N1047">
        <f t="shared" si="33"/>
        <v>0</v>
      </c>
    </row>
    <row r="1048" spans="3:14" x14ac:dyDescent="0.25">
      <c r="C1048" t="s">
        <v>1548</v>
      </c>
      <c r="D1048" t="s">
        <v>95</v>
      </c>
      <c r="E1048" t="s">
        <v>399</v>
      </c>
      <c r="F1048">
        <v>0.49</v>
      </c>
      <c r="I1048" t="str">
        <v>US1011371077</v>
      </c>
      <c r="J1048" t="str">
        <v>Not included in a theme</v>
      </c>
      <c r="K1048">
        <v>0</v>
      </c>
      <c r="L1048" t="str" cm="1">
        <f t="array" ref="L1048">_xlfn.TEXTJOIN(",",TRUE,_xlfn._xlws.FILTER($C$5:$C$1727,($D$5:$D$1727=I1048)*($E$5:$E$1727=J1048)*($F$5:$F$1727=K1048)))</f>
        <v>Global</v>
      </c>
      <c r="M1048" t="b">
        <f t="shared" si="32"/>
        <v>0</v>
      </c>
      <c r="N1048">
        <f t="shared" si="33"/>
        <v>0</v>
      </c>
    </row>
    <row r="1049" spans="3:14" x14ac:dyDescent="0.25">
      <c r="C1049" t="s">
        <v>1548</v>
      </c>
      <c r="D1049" t="s">
        <v>971</v>
      </c>
      <c r="E1049" t="s">
        <v>400</v>
      </c>
      <c r="F1049">
        <v>0</v>
      </c>
      <c r="I1049" t="str">
        <v>US10806X1028</v>
      </c>
      <c r="J1049" t="str">
        <v>Excluded</v>
      </c>
      <c r="K1049">
        <v>0</v>
      </c>
      <c r="L1049" t="str" cm="1">
        <f t="array" ref="L1049">_xlfn.TEXTJOIN(",",TRUE,_xlfn._xlws.FILTER($C$5:$C$1727,($D$5:$D$1727=I1049)*($E$5:$E$1727=J1049)*($F$5:$F$1727=K1049)))</f>
        <v>Global</v>
      </c>
      <c r="M1049" t="b">
        <f t="shared" si="32"/>
        <v>0</v>
      </c>
      <c r="N1049">
        <f t="shared" si="33"/>
        <v>0</v>
      </c>
    </row>
    <row r="1050" spans="3:14" x14ac:dyDescent="0.25">
      <c r="C1050" t="s">
        <v>1548</v>
      </c>
      <c r="D1050" t="s">
        <v>972</v>
      </c>
      <c r="E1050" t="s">
        <v>404</v>
      </c>
      <c r="F1050">
        <v>0.82</v>
      </c>
      <c r="I1050" t="str">
        <v>US1101221083</v>
      </c>
      <c r="J1050" t="str">
        <v>Not included in a theme</v>
      </c>
      <c r="K1050">
        <v>0</v>
      </c>
      <c r="L1050" t="str" cm="1">
        <f t="array" ref="L1050">_xlfn.TEXTJOIN(",",TRUE,_xlfn._xlws.FILTER($C$5:$C$1727,($D$5:$D$1727=I1050)*($E$5:$E$1727=J1050)*($F$5:$F$1727=K1050)))</f>
        <v>Global</v>
      </c>
      <c r="M1050" t="b">
        <f t="shared" si="32"/>
        <v>0</v>
      </c>
      <c r="N1050">
        <f t="shared" si="33"/>
        <v>0</v>
      </c>
    </row>
    <row r="1051" spans="3:14" x14ac:dyDescent="0.25">
      <c r="C1051" t="s">
        <v>1548</v>
      </c>
      <c r="D1051" t="s">
        <v>973</v>
      </c>
      <c r="E1051" t="s">
        <v>400</v>
      </c>
      <c r="F1051">
        <v>0</v>
      </c>
      <c r="I1051" t="str">
        <v>US11133T1034</v>
      </c>
      <c r="J1051" t="str">
        <v>Excluded</v>
      </c>
      <c r="K1051">
        <v>0</v>
      </c>
      <c r="L1051" t="str" cm="1">
        <f t="array" ref="L1051">_xlfn.TEXTJOIN(",",TRUE,_xlfn._xlws.FILTER($C$5:$C$1727,($D$5:$D$1727=I1051)*($E$5:$E$1727=J1051)*($F$5:$F$1727=K1051)))</f>
        <v>Global</v>
      </c>
      <c r="M1051" t="b">
        <f t="shared" si="32"/>
        <v>0</v>
      </c>
      <c r="N1051">
        <f t="shared" si="33"/>
        <v>0</v>
      </c>
    </row>
    <row r="1052" spans="3:14" x14ac:dyDescent="0.25">
      <c r="C1052" t="s">
        <v>1548</v>
      </c>
      <c r="D1052" t="s">
        <v>974</v>
      </c>
      <c r="E1052" t="s">
        <v>400</v>
      </c>
      <c r="F1052">
        <v>0</v>
      </c>
      <c r="I1052" t="str">
        <v>US11135F1012</v>
      </c>
      <c r="J1052" t="str">
        <v>Information technology</v>
      </c>
      <c r="K1052">
        <v>0.57999999999999996</v>
      </c>
      <c r="L1052" t="str" cm="1">
        <f t="array" ref="L1052">_xlfn.TEXTJOIN(",",TRUE,_xlfn._xlws.FILTER($C$5:$C$1727,($D$5:$D$1727=I1052)*($E$5:$E$1727=J1052)*($F$5:$F$1727=K1052)))</f>
        <v>Global</v>
      </c>
      <c r="M1052" t="b">
        <f t="shared" si="32"/>
        <v>0</v>
      </c>
      <c r="N1052">
        <f t="shared" si="33"/>
        <v>0</v>
      </c>
    </row>
    <row r="1053" spans="3:14" x14ac:dyDescent="0.25">
      <c r="C1053" t="s">
        <v>1548</v>
      </c>
      <c r="D1053" t="s">
        <v>975</v>
      </c>
      <c r="E1053" t="s">
        <v>400</v>
      </c>
      <c r="F1053">
        <v>0</v>
      </c>
      <c r="I1053" t="str">
        <v>US1152361010</v>
      </c>
      <c r="J1053" t="str">
        <v>Not included in a theme</v>
      </c>
      <c r="K1053">
        <v>0</v>
      </c>
      <c r="L1053" t="str" cm="1">
        <f t="array" ref="L1053">_xlfn.TEXTJOIN(",",TRUE,_xlfn._xlws.FILTER($C$5:$C$1727,($D$5:$D$1727=I1053)*($E$5:$E$1727=J1053)*($F$5:$F$1727=K1053)))</f>
        <v>Global</v>
      </c>
      <c r="M1053" t="b">
        <f t="shared" si="32"/>
        <v>0</v>
      </c>
      <c r="N1053">
        <f t="shared" si="33"/>
        <v>0</v>
      </c>
    </row>
    <row r="1054" spans="3:14" x14ac:dyDescent="0.25">
      <c r="C1054" t="s">
        <v>1548</v>
      </c>
      <c r="D1054" t="s">
        <v>976</v>
      </c>
      <c r="E1054" t="s">
        <v>402</v>
      </c>
      <c r="F1054">
        <v>0.55000000000000004</v>
      </c>
      <c r="I1054" t="str">
        <v>US12008R1077</v>
      </c>
      <c r="J1054" t="str">
        <v>Ecoconstruction</v>
      </c>
      <c r="K1054">
        <v>0.5</v>
      </c>
      <c r="L1054" t="str" cm="1">
        <f t="array" ref="L1054">_xlfn.TEXTJOIN(",",TRUE,_xlfn._xlws.FILTER($C$5:$C$1727,($D$5:$D$1727=I1054)*($E$5:$E$1727=J1054)*($F$5:$F$1727=K1054)))</f>
        <v>Global</v>
      </c>
      <c r="M1054" t="b">
        <f t="shared" si="32"/>
        <v>0</v>
      </c>
      <c r="N1054">
        <f t="shared" si="33"/>
        <v>0</v>
      </c>
    </row>
    <row r="1055" spans="3:14" x14ac:dyDescent="0.25">
      <c r="C1055" t="s">
        <v>1548</v>
      </c>
      <c r="D1055" t="s">
        <v>977</v>
      </c>
      <c r="E1055" t="s">
        <v>400</v>
      </c>
      <c r="F1055">
        <v>0</v>
      </c>
      <c r="I1055" t="str">
        <v>US1220171060</v>
      </c>
      <c r="J1055" t="str">
        <v>Excluded</v>
      </c>
      <c r="K1055">
        <v>0</v>
      </c>
      <c r="L1055" t="str" cm="1">
        <f t="array" ref="L1055">_xlfn.TEXTJOIN(",",TRUE,_xlfn._xlws.FILTER($C$5:$C$1727,($D$5:$D$1727=I1055)*($E$5:$E$1727=J1055)*($F$5:$F$1727=K1055)))</f>
        <v>Global</v>
      </c>
      <c r="M1055" t="b">
        <f t="shared" si="32"/>
        <v>0</v>
      </c>
      <c r="N1055">
        <f t="shared" si="33"/>
        <v>0</v>
      </c>
    </row>
    <row r="1056" spans="3:14" x14ac:dyDescent="0.25">
      <c r="C1056" t="s">
        <v>1548</v>
      </c>
      <c r="D1056" t="s">
        <v>978</v>
      </c>
      <c r="E1056" t="s">
        <v>400</v>
      </c>
      <c r="F1056">
        <v>0</v>
      </c>
      <c r="I1056" t="str">
        <v>US12504L1098</v>
      </c>
      <c r="J1056" t="str">
        <v>Ecoconstruction</v>
      </c>
      <c r="K1056">
        <v>0.57999999999999996</v>
      </c>
      <c r="L1056" t="str" cm="1">
        <f t="array" ref="L1056">_xlfn.TEXTJOIN(",",TRUE,_xlfn._xlws.FILTER($C$5:$C$1727,($D$5:$D$1727=I1056)*($E$5:$E$1727=J1056)*($F$5:$F$1727=K1056)))</f>
        <v>Global</v>
      </c>
      <c r="M1056" t="b">
        <f t="shared" si="32"/>
        <v>0</v>
      </c>
      <c r="N1056">
        <f t="shared" si="33"/>
        <v>0</v>
      </c>
    </row>
    <row r="1057" spans="3:14" x14ac:dyDescent="0.25">
      <c r="C1057" t="s">
        <v>1548</v>
      </c>
      <c r="D1057" t="s">
        <v>98</v>
      </c>
      <c r="E1057" t="s">
        <v>403</v>
      </c>
      <c r="F1057">
        <v>0.4</v>
      </c>
      <c r="I1057" t="str">
        <v>US12514G1085</v>
      </c>
      <c r="J1057" t="str">
        <v>Not included in a theme</v>
      </c>
      <c r="K1057">
        <v>0</v>
      </c>
      <c r="L1057" t="str" cm="1">
        <f t="array" ref="L1057">_xlfn.TEXTJOIN(",",TRUE,_xlfn._xlws.FILTER($C$5:$C$1727,($D$5:$D$1727=I1057)*($E$5:$E$1727=J1057)*($F$5:$F$1727=K1057)))</f>
        <v>Global</v>
      </c>
      <c r="M1057" t="b">
        <f t="shared" si="32"/>
        <v>0</v>
      </c>
      <c r="N1057">
        <f t="shared" si="33"/>
        <v>0</v>
      </c>
    </row>
    <row r="1058" spans="3:14" x14ac:dyDescent="0.25">
      <c r="C1058" t="s">
        <v>1548</v>
      </c>
      <c r="D1058" t="s">
        <v>116</v>
      </c>
      <c r="E1058" t="s">
        <v>400</v>
      </c>
      <c r="F1058">
        <v>0</v>
      </c>
      <c r="I1058" t="str">
        <v>US1252691001</v>
      </c>
      <c r="J1058" t="str">
        <v>Excluded</v>
      </c>
      <c r="K1058">
        <v>0</v>
      </c>
      <c r="L1058" t="str" cm="1">
        <f t="array" ref="L1058">_xlfn.TEXTJOIN(",",TRUE,_xlfn._xlws.FILTER($C$5:$C$1727,($D$5:$D$1727=I1058)*($E$5:$E$1727=J1058)*($F$5:$F$1727=K1058)))</f>
        <v>Global</v>
      </c>
      <c r="M1058" t="b">
        <f t="shared" si="32"/>
        <v>0</v>
      </c>
      <c r="N1058">
        <f t="shared" si="33"/>
        <v>0</v>
      </c>
    </row>
    <row r="1059" spans="3:14" x14ac:dyDescent="0.25">
      <c r="C1059" t="s">
        <v>1548</v>
      </c>
      <c r="D1059" t="s">
        <v>979</v>
      </c>
      <c r="E1059" t="s">
        <v>400</v>
      </c>
      <c r="F1059">
        <v>0</v>
      </c>
      <c r="I1059" t="str">
        <v>US12541W2098</v>
      </c>
      <c r="J1059" t="str">
        <v>Not included in a theme</v>
      </c>
      <c r="K1059">
        <v>0</v>
      </c>
      <c r="L1059" t="str" cm="1">
        <f t="array" ref="L1059">_xlfn.TEXTJOIN(",",TRUE,_xlfn._xlws.FILTER($C$5:$C$1727,($D$5:$D$1727=I1059)*($E$5:$E$1727=J1059)*($F$5:$F$1727=K1059)))</f>
        <v>Global</v>
      </c>
      <c r="M1059" t="b">
        <f t="shared" si="32"/>
        <v>0</v>
      </c>
      <c r="N1059">
        <f t="shared" si="33"/>
        <v>0</v>
      </c>
    </row>
    <row r="1060" spans="3:14" x14ac:dyDescent="0.25">
      <c r="C1060" t="s">
        <v>1548</v>
      </c>
      <c r="D1060" t="s">
        <v>980</v>
      </c>
      <c r="E1060" t="s">
        <v>399</v>
      </c>
      <c r="F1060">
        <v>1</v>
      </c>
      <c r="I1060" t="str">
        <v>US1255231003</v>
      </c>
      <c r="J1060" t="str">
        <v>Not included in a theme</v>
      </c>
      <c r="K1060">
        <v>0</v>
      </c>
      <c r="L1060" t="str" cm="1">
        <f t="array" ref="L1060">_xlfn.TEXTJOIN(",",TRUE,_xlfn._xlws.FILTER($C$5:$C$1727,($D$5:$D$1727=I1060)*($E$5:$E$1727=J1060)*($F$5:$F$1727=K1060)))</f>
        <v>Global</v>
      </c>
      <c r="M1060" t="b">
        <f t="shared" si="32"/>
        <v>0</v>
      </c>
      <c r="N1060">
        <f t="shared" si="33"/>
        <v>0</v>
      </c>
    </row>
    <row r="1061" spans="3:14" x14ac:dyDescent="0.25">
      <c r="C1061" t="s">
        <v>1548</v>
      </c>
      <c r="D1061" t="s">
        <v>981</v>
      </c>
      <c r="E1061" t="s">
        <v>400</v>
      </c>
      <c r="F1061">
        <v>0</v>
      </c>
      <c r="I1061" t="str">
        <v>US12572Q1058</v>
      </c>
      <c r="J1061" t="str">
        <v>Not included in a theme</v>
      </c>
      <c r="K1061">
        <v>0</v>
      </c>
      <c r="L1061" t="str" cm="1">
        <f t="array" ref="L1061">_xlfn.TEXTJOIN(",",TRUE,_xlfn._xlws.FILTER($C$5:$C$1727,($D$5:$D$1727=I1061)*($E$5:$E$1727=J1061)*($F$5:$F$1727=K1061)))</f>
        <v>Global</v>
      </c>
      <c r="M1061" t="b">
        <f t="shared" si="32"/>
        <v>0</v>
      </c>
      <c r="N1061">
        <f t="shared" si="33"/>
        <v>0</v>
      </c>
    </row>
    <row r="1062" spans="3:14" x14ac:dyDescent="0.25">
      <c r="C1062" t="s">
        <v>1548</v>
      </c>
      <c r="D1062" t="s">
        <v>982</v>
      </c>
      <c r="E1062" t="s">
        <v>399</v>
      </c>
      <c r="F1062">
        <v>0.7</v>
      </c>
      <c r="I1062" t="str">
        <v>US1258961002</v>
      </c>
      <c r="J1062" t="str">
        <v>Excluded</v>
      </c>
      <c r="K1062">
        <v>0</v>
      </c>
      <c r="L1062" t="str" cm="1">
        <f t="array" ref="L1062">_xlfn.TEXTJOIN(",",TRUE,_xlfn._xlws.FILTER($C$5:$C$1727,($D$5:$D$1727=I1062)*($E$5:$E$1727=J1062)*($F$5:$F$1727=K1062)))</f>
        <v>Global</v>
      </c>
      <c r="M1062" t="b">
        <f t="shared" si="32"/>
        <v>0</v>
      </c>
      <c r="N1062">
        <f t="shared" si="33"/>
        <v>0</v>
      </c>
    </row>
    <row r="1063" spans="3:14" x14ac:dyDescent="0.25">
      <c r="C1063" t="s">
        <v>1548</v>
      </c>
      <c r="D1063" t="s">
        <v>85</v>
      </c>
      <c r="E1063" t="s">
        <v>400</v>
      </c>
      <c r="F1063">
        <v>0</v>
      </c>
      <c r="I1063" t="str">
        <v>US1264081035</v>
      </c>
      <c r="J1063" t="str">
        <v>Excluded</v>
      </c>
      <c r="K1063">
        <v>0</v>
      </c>
      <c r="L1063" t="str" cm="1">
        <f t="array" ref="L1063">_xlfn.TEXTJOIN(",",TRUE,_xlfn._xlws.FILTER($C$5:$C$1727,($D$5:$D$1727=I1063)*($E$5:$E$1727=J1063)*($F$5:$F$1727=K1063)))</f>
        <v>Global</v>
      </c>
      <c r="M1063" t="b">
        <f t="shared" si="32"/>
        <v>0</v>
      </c>
      <c r="N1063">
        <f t="shared" si="33"/>
        <v>0</v>
      </c>
    </row>
    <row r="1064" spans="3:14" x14ac:dyDescent="0.25">
      <c r="C1064" t="s">
        <v>1548</v>
      </c>
      <c r="D1064" t="s">
        <v>983</v>
      </c>
      <c r="E1064" t="s">
        <v>399</v>
      </c>
      <c r="F1064">
        <v>1</v>
      </c>
      <c r="I1064" t="str">
        <v>US1266501006</v>
      </c>
      <c r="J1064" t="str">
        <v>Not included in a theme</v>
      </c>
      <c r="K1064">
        <v>0</v>
      </c>
      <c r="L1064" t="str" cm="1">
        <f t="array" ref="L1064">_xlfn.TEXTJOIN(",",TRUE,_xlfn._xlws.FILTER($C$5:$C$1727,($D$5:$D$1727=I1064)*($E$5:$E$1727=J1064)*($F$5:$F$1727=K1064)))</f>
        <v>Global</v>
      </c>
      <c r="M1064" t="b">
        <f t="shared" si="32"/>
        <v>0</v>
      </c>
      <c r="N1064">
        <f t="shared" si="33"/>
        <v>0</v>
      </c>
    </row>
    <row r="1065" spans="3:14" x14ac:dyDescent="0.25">
      <c r="C1065" t="s">
        <v>1548</v>
      </c>
      <c r="D1065" t="s">
        <v>984</v>
      </c>
      <c r="E1065" t="s">
        <v>400</v>
      </c>
      <c r="F1065">
        <v>0</v>
      </c>
      <c r="I1065" t="str">
        <v>US1270971039</v>
      </c>
      <c r="J1065" t="str">
        <v>Excluded</v>
      </c>
      <c r="K1065">
        <v>0</v>
      </c>
      <c r="L1065" t="str" cm="1">
        <f t="array" ref="L1065">_xlfn.TEXTJOIN(",",TRUE,_xlfn._xlws.FILTER($C$5:$C$1727,($D$5:$D$1727=I1065)*($E$5:$E$1727=J1065)*($F$5:$F$1727=K1065)))</f>
        <v>Global</v>
      </c>
      <c r="M1065" t="b">
        <f t="shared" si="32"/>
        <v>0</v>
      </c>
      <c r="N1065">
        <f t="shared" si="33"/>
        <v>0</v>
      </c>
    </row>
    <row r="1066" spans="3:14" x14ac:dyDescent="0.25">
      <c r="C1066" t="s">
        <v>1548</v>
      </c>
      <c r="D1066" t="s">
        <v>985</v>
      </c>
      <c r="E1066" t="s">
        <v>407</v>
      </c>
      <c r="F1066">
        <v>1</v>
      </c>
      <c r="I1066" t="str">
        <v>US1271903049</v>
      </c>
      <c r="J1066" t="str">
        <v>Not included in a theme</v>
      </c>
      <c r="K1066">
        <v>0</v>
      </c>
      <c r="L1066" t="str" cm="1">
        <f t="array" ref="L1066">_xlfn.TEXTJOIN(",",TRUE,_xlfn._xlws.FILTER($C$5:$C$1727,($D$5:$D$1727=I1066)*($E$5:$E$1727=J1066)*($F$5:$F$1727=K1066)))</f>
        <v>Global</v>
      </c>
      <c r="M1066" t="b">
        <f t="shared" si="32"/>
        <v>0</v>
      </c>
      <c r="N1066">
        <f t="shared" si="33"/>
        <v>0</v>
      </c>
    </row>
    <row r="1067" spans="3:14" x14ac:dyDescent="0.25">
      <c r="C1067" t="s">
        <v>1548</v>
      </c>
      <c r="D1067" t="s">
        <v>986</v>
      </c>
      <c r="E1067" t="s">
        <v>400</v>
      </c>
      <c r="F1067">
        <v>0</v>
      </c>
      <c r="I1067" t="str">
        <v>US1273871087</v>
      </c>
      <c r="J1067" t="str">
        <v>Information technology</v>
      </c>
      <c r="K1067">
        <v>1</v>
      </c>
      <c r="L1067" t="str" cm="1">
        <f t="array" ref="L1067">_xlfn.TEXTJOIN(",",TRUE,_xlfn._xlws.FILTER($C$5:$C$1727,($D$5:$D$1727=I1067)*($E$5:$E$1727=J1067)*($F$5:$F$1727=K1067)))</f>
        <v>Global</v>
      </c>
      <c r="M1067" t="b">
        <f t="shared" si="32"/>
        <v>0</v>
      </c>
      <c r="N1067">
        <f t="shared" si="33"/>
        <v>0</v>
      </c>
    </row>
    <row r="1068" spans="3:14" x14ac:dyDescent="0.25">
      <c r="C1068" t="s">
        <v>1548</v>
      </c>
      <c r="D1068" t="s">
        <v>987</v>
      </c>
      <c r="E1068" t="s">
        <v>401</v>
      </c>
      <c r="F1068">
        <v>0</v>
      </c>
      <c r="I1068" t="str">
        <v>US1331311027</v>
      </c>
      <c r="J1068" t="str">
        <v>Not included in a theme</v>
      </c>
      <c r="K1068">
        <v>0</v>
      </c>
      <c r="L1068" t="str" cm="1">
        <f t="array" ref="L1068">_xlfn.TEXTJOIN(",",TRUE,_xlfn._xlws.FILTER($C$5:$C$1727,($D$5:$D$1727=I1068)*($E$5:$E$1727=J1068)*($F$5:$F$1727=K1068)))</f>
        <v>Global</v>
      </c>
      <c r="M1068" t="b">
        <f t="shared" si="32"/>
        <v>0</v>
      </c>
      <c r="N1068">
        <f t="shared" si="33"/>
        <v>0</v>
      </c>
    </row>
    <row r="1069" spans="3:14" x14ac:dyDescent="0.25">
      <c r="C1069" t="s">
        <v>1548</v>
      </c>
      <c r="D1069" t="s">
        <v>988</v>
      </c>
      <c r="E1069" t="s">
        <v>400</v>
      </c>
      <c r="F1069">
        <v>0</v>
      </c>
      <c r="I1069" t="str">
        <v>US14040H1059</v>
      </c>
      <c r="J1069" t="str">
        <v>Excluded</v>
      </c>
      <c r="K1069">
        <v>0</v>
      </c>
      <c r="L1069" t="str" cm="1">
        <f t="array" ref="L1069">_xlfn.TEXTJOIN(",",TRUE,_xlfn._xlws.FILTER($C$5:$C$1727,($D$5:$D$1727=I1069)*($E$5:$E$1727=J1069)*($F$5:$F$1727=K1069)))</f>
        <v>Global</v>
      </c>
      <c r="M1069" t="b">
        <f t="shared" si="32"/>
        <v>0</v>
      </c>
      <c r="N1069">
        <f t="shared" si="33"/>
        <v>0</v>
      </c>
    </row>
    <row r="1070" spans="3:14" x14ac:dyDescent="0.25">
      <c r="C1070" t="s">
        <v>1548</v>
      </c>
      <c r="D1070" t="s">
        <v>989</v>
      </c>
      <c r="E1070" t="s">
        <v>401</v>
      </c>
      <c r="F1070">
        <v>0</v>
      </c>
      <c r="I1070" t="str">
        <v>US14149Y1082</v>
      </c>
      <c r="J1070" t="str">
        <v>Excluded</v>
      </c>
      <c r="K1070">
        <v>0</v>
      </c>
      <c r="L1070" t="str" cm="1">
        <f t="array" ref="L1070">_xlfn.TEXTJOIN(",",TRUE,_xlfn._xlws.FILTER($C$5:$C$1727,($D$5:$D$1727=I1070)*($E$5:$E$1727=J1070)*($F$5:$F$1727=K1070)))</f>
        <v>Global</v>
      </c>
      <c r="M1070" t="b">
        <f t="shared" si="32"/>
        <v>0</v>
      </c>
      <c r="N1070">
        <f t="shared" si="33"/>
        <v>0</v>
      </c>
    </row>
    <row r="1071" spans="3:14" x14ac:dyDescent="0.25">
      <c r="C1071" t="s">
        <v>1548</v>
      </c>
      <c r="D1071" t="s">
        <v>990</v>
      </c>
      <c r="E1071" t="s">
        <v>400</v>
      </c>
      <c r="F1071">
        <v>0</v>
      </c>
      <c r="I1071" t="str">
        <v>US1423391002</v>
      </c>
      <c r="J1071" t="str">
        <v>Ecoconstruction</v>
      </c>
      <c r="K1071">
        <v>0.7</v>
      </c>
      <c r="L1071" t="str" cm="1">
        <f t="array" ref="L1071">_xlfn.TEXTJOIN(",",TRUE,_xlfn._xlws.FILTER($C$5:$C$1727,($D$5:$D$1727=I1071)*($E$5:$E$1727=J1071)*($F$5:$F$1727=K1071)))</f>
        <v>Global</v>
      </c>
      <c r="M1071" t="b">
        <f t="shared" si="32"/>
        <v>0</v>
      </c>
      <c r="N1071">
        <f t="shared" si="33"/>
        <v>0</v>
      </c>
    </row>
    <row r="1072" spans="3:14" x14ac:dyDescent="0.25">
      <c r="C1072" t="s">
        <v>1548</v>
      </c>
      <c r="D1072" t="s">
        <v>991</v>
      </c>
      <c r="E1072" t="s">
        <v>400</v>
      </c>
      <c r="F1072">
        <v>0</v>
      </c>
      <c r="I1072" t="str">
        <v>US14316J1088</v>
      </c>
      <c r="J1072" t="str">
        <v>Excluded</v>
      </c>
      <c r="K1072">
        <v>0</v>
      </c>
      <c r="L1072" t="str" cm="1">
        <f t="array" ref="L1072">_xlfn.TEXTJOIN(",",TRUE,_xlfn._xlws.FILTER($C$5:$C$1727,($D$5:$D$1727=I1072)*($E$5:$E$1727=J1072)*($F$5:$F$1727=K1072)))</f>
        <v>Global</v>
      </c>
      <c r="M1072" t="b">
        <f t="shared" si="32"/>
        <v>0</v>
      </c>
      <c r="N1072">
        <f t="shared" si="33"/>
        <v>0</v>
      </c>
    </row>
    <row r="1073" spans="3:14" x14ac:dyDescent="0.25">
      <c r="C1073" t="s">
        <v>1548</v>
      </c>
      <c r="D1073" t="s">
        <v>992</v>
      </c>
      <c r="E1073" t="s">
        <v>401</v>
      </c>
      <c r="F1073">
        <v>0</v>
      </c>
      <c r="I1073" t="str">
        <v>US1442851036</v>
      </c>
      <c r="J1073" t="str">
        <v>Excluded</v>
      </c>
      <c r="K1073">
        <v>0</v>
      </c>
      <c r="L1073" t="str" cm="1">
        <f t="array" ref="L1073">_xlfn.TEXTJOIN(",",TRUE,_xlfn._xlws.FILTER($C$5:$C$1727,($D$5:$D$1727=I1073)*($E$5:$E$1727=J1073)*($F$5:$F$1727=K1073)))</f>
        <v>Global</v>
      </c>
      <c r="M1073" t="b">
        <f t="shared" si="32"/>
        <v>0</v>
      </c>
      <c r="N1073">
        <f t="shared" si="33"/>
        <v>0</v>
      </c>
    </row>
    <row r="1074" spans="3:14" x14ac:dyDescent="0.25">
      <c r="C1074" t="s">
        <v>1548</v>
      </c>
      <c r="D1074" t="s">
        <v>993</v>
      </c>
      <c r="E1074" t="s">
        <v>403</v>
      </c>
      <c r="F1074">
        <v>0.4</v>
      </c>
      <c r="I1074" t="str">
        <v>US14448C1045</v>
      </c>
      <c r="J1074" t="str">
        <v>Excluded</v>
      </c>
      <c r="K1074">
        <v>0</v>
      </c>
      <c r="L1074" t="str" cm="1">
        <f t="array" ref="L1074">_xlfn.TEXTJOIN(",",TRUE,_xlfn._xlws.FILTER($C$5:$C$1727,($D$5:$D$1727=I1074)*($E$5:$E$1727=J1074)*($F$5:$F$1727=K1074)))</f>
        <v>Global</v>
      </c>
      <c r="M1074" t="b">
        <f t="shared" si="32"/>
        <v>0</v>
      </c>
      <c r="N1074">
        <f t="shared" si="33"/>
        <v>0</v>
      </c>
    </row>
    <row r="1075" spans="3:14" x14ac:dyDescent="0.25">
      <c r="C1075" t="s">
        <v>1548</v>
      </c>
      <c r="D1075" t="s">
        <v>994</v>
      </c>
      <c r="E1075" t="s">
        <v>400</v>
      </c>
      <c r="F1075">
        <v>0</v>
      </c>
      <c r="I1075" t="str">
        <v>US1468691027</v>
      </c>
      <c r="J1075" t="str">
        <v>Excluded</v>
      </c>
      <c r="K1075">
        <v>0</v>
      </c>
      <c r="L1075" t="str" cm="1">
        <f t="array" ref="L1075">_xlfn.TEXTJOIN(",",TRUE,_xlfn._xlws.FILTER($C$5:$C$1727,($D$5:$D$1727=I1075)*($E$5:$E$1727=J1075)*($F$5:$F$1727=K1075)))</f>
        <v>Global</v>
      </c>
      <c r="M1075" t="b">
        <f t="shared" si="32"/>
        <v>0</v>
      </c>
      <c r="N1075">
        <f t="shared" si="33"/>
        <v>0</v>
      </c>
    </row>
    <row r="1076" spans="3:14" x14ac:dyDescent="0.25">
      <c r="C1076" t="s">
        <v>1548</v>
      </c>
      <c r="D1076" t="s">
        <v>995</v>
      </c>
      <c r="E1076" t="s">
        <v>400</v>
      </c>
      <c r="F1076">
        <v>0</v>
      </c>
      <c r="I1076" t="str">
        <v>US1475281036</v>
      </c>
      <c r="J1076" t="str">
        <v>Excluded</v>
      </c>
      <c r="K1076">
        <v>0</v>
      </c>
      <c r="L1076" t="str" cm="1">
        <f t="array" ref="L1076">_xlfn.TEXTJOIN(",",TRUE,_xlfn._xlws.FILTER($C$5:$C$1727,($D$5:$D$1727=I1076)*($E$5:$E$1727=J1076)*($F$5:$F$1727=K1076)))</f>
        <v>Global</v>
      </c>
      <c r="M1076" t="b">
        <f t="shared" si="32"/>
        <v>0</v>
      </c>
      <c r="N1076">
        <f t="shared" si="33"/>
        <v>0</v>
      </c>
    </row>
    <row r="1077" spans="3:14" x14ac:dyDescent="0.25">
      <c r="C1077" t="s">
        <v>1548</v>
      </c>
      <c r="D1077" t="s">
        <v>996</v>
      </c>
      <c r="E1077" t="s">
        <v>399</v>
      </c>
      <c r="F1077">
        <v>1</v>
      </c>
      <c r="I1077" t="str">
        <v>US1491231015</v>
      </c>
      <c r="J1077" t="str">
        <v>Excluded</v>
      </c>
      <c r="K1077">
        <v>0</v>
      </c>
      <c r="L1077" t="str" cm="1">
        <f t="array" ref="L1077">_xlfn.TEXTJOIN(",",TRUE,_xlfn._xlws.FILTER($C$5:$C$1727,($D$5:$D$1727=I1077)*($E$5:$E$1727=J1077)*($F$5:$F$1727=K1077)))</f>
        <v>Global</v>
      </c>
      <c r="M1077" t="b">
        <f t="shared" si="32"/>
        <v>0</v>
      </c>
      <c r="N1077">
        <f t="shared" si="33"/>
        <v>0</v>
      </c>
    </row>
    <row r="1078" spans="3:14" x14ac:dyDescent="0.25">
      <c r="C1078" t="s">
        <v>1548</v>
      </c>
      <c r="D1078" t="s">
        <v>997</v>
      </c>
      <c r="E1078" t="s">
        <v>400</v>
      </c>
      <c r="F1078">
        <v>0</v>
      </c>
      <c r="I1078" t="str">
        <v>US15135B1017</v>
      </c>
      <c r="J1078" t="str">
        <v>Not included in a theme</v>
      </c>
      <c r="K1078">
        <v>0</v>
      </c>
      <c r="L1078" t="str" cm="1">
        <f t="array" ref="L1078">_xlfn.TEXTJOIN(",",TRUE,_xlfn._xlws.FILTER($C$5:$C$1727,($D$5:$D$1727=I1078)*($E$5:$E$1727=J1078)*($F$5:$F$1727=K1078)))</f>
        <v>Global</v>
      </c>
      <c r="M1078" t="b">
        <f t="shared" si="32"/>
        <v>0</v>
      </c>
      <c r="N1078">
        <f t="shared" si="33"/>
        <v>0</v>
      </c>
    </row>
    <row r="1079" spans="3:14" x14ac:dyDescent="0.25">
      <c r="C1079" t="s">
        <v>1548</v>
      </c>
      <c r="D1079" t="s">
        <v>998</v>
      </c>
      <c r="E1079" t="s">
        <v>400</v>
      </c>
      <c r="F1079">
        <v>0</v>
      </c>
      <c r="I1079" t="str">
        <v>US15189T1079</v>
      </c>
      <c r="J1079" t="str">
        <v>Excluded</v>
      </c>
      <c r="K1079">
        <v>0</v>
      </c>
      <c r="L1079" t="str" cm="1">
        <f t="array" ref="L1079">_xlfn.TEXTJOIN(",",TRUE,_xlfn._xlws.FILTER($C$5:$C$1727,($D$5:$D$1727=I1079)*($E$5:$E$1727=J1079)*($F$5:$F$1727=K1079)))</f>
        <v>Global</v>
      </c>
      <c r="M1079" t="b">
        <f t="shared" si="32"/>
        <v>0</v>
      </c>
      <c r="N1079">
        <f t="shared" si="33"/>
        <v>0</v>
      </c>
    </row>
    <row r="1080" spans="3:14" x14ac:dyDescent="0.25">
      <c r="C1080" t="s">
        <v>1548</v>
      </c>
      <c r="D1080" t="s">
        <v>999</v>
      </c>
      <c r="E1080" t="s">
        <v>400</v>
      </c>
      <c r="F1080">
        <v>0</v>
      </c>
      <c r="I1080" t="str">
        <v>US15677J1088</v>
      </c>
      <c r="J1080" t="str">
        <v>Information technology</v>
      </c>
      <c r="K1080">
        <v>0.89</v>
      </c>
      <c r="L1080" t="str" cm="1">
        <f t="array" ref="L1080">_xlfn.TEXTJOIN(",",TRUE,_xlfn._xlws.FILTER($C$5:$C$1727,($D$5:$D$1727=I1080)*($E$5:$E$1727=J1080)*($F$5:$F$1727=K1080)))</f>
        <v>Global</v>
      </c>
      <c r="M1080" t="b">
        <f t="shared" si="32"/>
        <v>0</v>
      </c>
      <c r="N1080">
        <f t="shared" si="33"/>
        <v>0</v>
      </c>
    </row>
    <row r="1081" spans="3:14" x14ac:dyDescent="0.25">
      <c r="C1081" t="s">
        <v>1548</v>
      </c>
      <c r="D1081" t="s">
        <v>94</v>
      </c>
      <c r="E1081" t="s">
        <v>401</v>
      </c>
      <c r="F1081">
        <v>0</v>
      </c>
      <c r="I1081" t="str">
        <v>US16119P1084</v>
      </c>
      <c r="J1081" t="str">
        <v>Excluded</v>
      </c>
      <c r="K1081">
        <v>0</v>
      </c>
      <c r="L1081" t="str" cm="1">
        <f t="array" ref="L1081">_xlfn.TEXTJOIN(",",TRUE,_xlfn._xlws.FILTER($C$5:$C$1727,($D$5:$D$1727=I1081)*($E$5:$E$1727=J1081)*($F$5:$F$1727=K1081)))</f>
        <v>Global</v>
      </c>
      <c r="M1081" t="b">
        <f t="shared" si="32"/>
        <v>0</v>
      </c>
      <c r="N1081">
        <f t="shared" si="33"/>
        <v>0</v>
      </c>
    </row>
    <row r="1082" spans="3:14" x14ac:dyDescent="0.25">
      <c r="C1082" t="s">
        <v>1548</v>
      </c>
      <c r="D1082" t="s">
        <v>1000</v>
      </c>
      <c r="E1082" t="s">
        <v>400</v>
      </c>
      <c r="F1082">
        <v>0</v>
      </c>
      <c r="I1082" t="str">
        <v>US16411R2085</v>
      </c>
      <c r="J1082" t="str">
        <v>Excluded</v>
      </c>
      <c r="K1082">
        <v>0</v>
      </c>
      <c r="L1082" t="str" cm="1">
        <f t="array" ref="L1082">_xlfn.TEXTJOIN(",",TRUE,_xlfn._xlws.FILTER($C$5:$C$1727,($D$5:$D$1727=I1082)*($E$5:$E$1727=J1082)*($F$5:$F$1727=K1082)))</f>
        <v>Global</v>
      </c>
      <c r="M1082" t="b">
        <f t="shared" si="32"/>
        <v>0</v>
      </c>
      <c r="N1082">
        <f t="shared" si="33"/>
        <v>0</v>
      </c>
    </row>
    <row r="1083" spans="3:14" x14ac:dyDescent="0.25">
      <c r="C1083" t="s">
        <v>1548</v>
      </c>
      <c r="D1083" t="s">
        <v>1001</v>
      </c>
      <c r="E1083" t="s">
        <v>401</v>
      </c>
      <c r="F1083">
        <v>0</v>
      </c>
      <c r="I1083" t="str">
        <v>US1651677353</v>
      </c>
      <c r="J1083" t="str">
        <v>Excluded</v>
      </c>
      <c r="K1083">
        <v>0</v>
      </c>
      <c r="L1083" t="str" cm="1">
        <f t="array" ref="L1083">_xlfn.TEXTJOIN(",",TRUE,_xlfn._xlws.FILTER($C$5:$C$1727,($D$5:$D$1727=I1083)*($E$5:$E$1727=J1083)*($F$5:$F$1727=K1083)))</f>
        <v>Global</v>
      </c>
      <c r="M1083" t="b">
        <f t="shared" si="32"/>
        <v>0</v>
      </c>
      <c r="N1083">
        <f t="shared" si="33"/>
        <v>0</v>
      </c>
    </row>
    <row r="1084" spans="3:14" x14ac:dyDescent="0.25">
      <c r="C1084" t="s">
        <v>1548</v>
      </c>
      <c r="D1084" t="s">
        <v>1002</v>
      </c>
      <c r="E1084" t="s">
        <v>403</v>
      </c>
      <c r="F1084">
        <v>0.13</v>
      </c>
      <c r="I1084" t="str">
        <v>US1667641005</v>
      </c>
      <c r="J1084" t="str">
        <v>Excluded</v>
      </c>
      <c r="K1084">
        <v>0</v>
      </c>
      <c r="L1084" t="str" cm="1">
        <f t="array" ref="L1084">_xlfn.TEXTJOIN(",",TRUE,_xlfn._xlws.FILTER($C$5:$C$1727,($D$5:$D$1727=I1084)*($E$5:$E$1727=J1084)*($F$5:$F$1727=K1084)))</f>
        <v>Global</v>
      </c>
      <c r="M1084" t="b">
        <f t="shared" si="32"/>
        <v>0</v>
      </c>
      <c r="N1084">
        <f t="shared" si="33"/>
        <v>0</v>
      </c>
    </row>
    <row r="1085" spans="3:14" x14ac:dyDescent="0.25">
      <c r="C1085" t="s">
        <v>1548</v>
      </c>
      <c r="D1085" t="s">
        <v>102</v>
      </c>
      <c r="E1085" t="s">
        <v>400</v>
      </c>
      <c r="F1085">
        <v>0</v>
      </c>
      <c r="I1085" t="str">
        <v>US1696561059</v>
      </c>
      <c r="J1085" t="str">
        <v>Excluded</v>
      </c>
      <c r="K1085">
        <v>0</v>
      </c>
      <c r="L1085" t="str" cm="1">
        <f t="array" ref="L1085">_xlfn.TEXTJOIN(",",TRUE,_xlfn._xlws.FILTER($C$5:$C$1727,($D$5:$D$1727=I1085)*($E$5:$E$1727=J1085)*($F$5:$F$1727=K1085)))</f>
        <v>Global</v>
      </c>
      <c r="M1085" t="b">
        <f t="shared" si="32"/>
        <v>0</v>
      </c>
      <c r="N1085">
        <f t="shared" si="33"/>
        <v>0</v>
      </c>
    </row>
    <row r="1086" spans="3:14" x14ac:dyDescent="0.25">
      <c r="C1086" t="s">
        <v>1548</v>
      </c>
      <c r="D1086" t="s">
        <v>1003</v>
      </c>
      <c r="E1086" t="s">
        <v>399</v>
      </c>
      <c r="F1086">
        <v>1</v>
      </c>
      <c r="I1086" t="str">
        <v>US1713401024</v>
      </c>
      <c r="J1086" t="str">
        <v>Not included in a theme</v>
      </c>
      <c r="K1086">
        <v>0</v>
      </c>
      <c r="L1086" t="str" cm="1">
        <f t="array" ref="L1086">_xlfn.TEXTJOIN(",",TRUE,_xlfn._xlws.FILTER($C$5:$C$1727,($D$5:$D$1727=I1086)*($E$5:$E$1727=J1086)*($F$5:$F$1727=K1086)))</f>
        <v>Global</v>
      </c>
      <c r="M1086" t="b">
        <f t="shared" si="32"/>
        <v>0</v>
      </c>
      <c r="N1086">
        <f t="shared" si="33"/>
        <v>0</v>
      </c>
    </row>
    <row r="1087" spans="3:14" x14ac:dyDescent="0.25">
      <c r="C1087" t="s">
        <v>1548</v>
      </c>
      <c r="D1087" t="s">
        <v>121</v>
      </c>
      <c r="E1087" t="s">
        <v>401</v>
      </c>
      <c r="F1087">
        <v>0</v>
      </c>
      <c r="I1087" t="str">
        <v>US1717793095</v>
      </c>
      <c r="J1087" t="str">
        <v>Information technology</v>
      </c>
      <c r="K1087">
        <v>0.76</v>
      </c>
      <c r="L1087" t="str" cm="1">
        <f t="array" ref="L1087">_xlfn.TEXTJOIN(",",TRUE,_xlfn._xlws.FILTER($C$5:$C$1727,($D$5:$D$1727=I1087)*($E$5:$E$1727=J1087)*($F$5:$F$1727=K1087)))</f>
        <v>Global</v>
      </c>
      <c r="M1087" t="b">
        <f t="shared" si="32"/>
        <v>0</v>
      </c>
      <c r="N1087">
        <f t="shared" si="33"/>
        <v>0</v>
      </c>
    </row>
    <row r="1088" spans="3:14" x14ac:dyDescent="0.25">
      <c r="C1088" t="s">
        <v>1548</v>
      </c>
      <c r="D1088" t="s">
        <v>1004</v>
      </c>
      <c r="E1088" t="s">
        <v>400</v>
      </c>
      <c r="F1088">
        <v>0</v>
      </c>
      <c r="I1088" t="str">
        <v>US1720621010</v>
      </c>
      <c r="J1088" t="str">
        <v>Excluded</v>
      </c>
      <c r="K1088">
        <v>0</v>
      </c>
      <c r="L1088" t="str" cm="1">
        <f t="array" ref="L1088">_xlfn.TEXTJOIN(",",TRUE,_xlfn._xlws.FILTER($C$5:$C$1727,($D$5:$D$1727=I1088)*($E$5:$E$1727=J1088)*($F$5:$F$1727=K1088)))</f>
        <v>Global</v>
      </c>
      <c r="M1088" t="b">
        <f t="shared" si="32"/>
        <v>0</v>
      </c>
      <c r="N1088">
        <f t="shared" si="33"/>
        <v>0</v>
      </c>
    </row>
    <row r="1089" spans="3:14" x14ac:dyDescent="0.25">
      <c r="C1089" t="s">
        <v>1548</v>
      </c>
      <c r="D1089" t="s">
        <v>1005</v>
      </c>
      <c r="E1089" t="s">
        <v>402</v>
      </c>
      <c r="F1089">
        <v>0.49</v>
      </c>
      <c r="I1089" t="str">
        <v>US17275R1023</v>
      </c>
      <c r="J1089" t="str">
        <v>Not included in a theme</v>
      </c>
      <c r="K1089">
        <v>0</v>
      </c>
      <c r="L1089" t="str" cm="1">
        <f t="array" ref="L1089">_xlfn.TEXTJOIN(",",TRUE,_xlfn._xlws.FILTER($C$5:$C$1727,($D$5:$D$1727=I1089)*($E$5:$E$1727=J1089)*($F$5:$F$1727=K1089)))</f>
        <v>Global</v>
      </c>
      <c r="M1089" t="b">
        <f t="shared" si="32"/>
        <v>0</v>
      </c>
      <c r="N1089">
        <f t="shared" si="33"/>
        <v>0</v>
      </c>
    </row>
    <row r="1090" spans="3:14" x14ac:dyDescent="0.25">
      <c r="C1090" t="s">
        <v>1548</v>
      </c>
      <c r="D1090" t="s">
        <v>1006</v>
      </c>
      <c r="E1090" t="s">
        <v>399</v>
      </c>
      <c r="F1090">
        <v>0.9</v>
      </c>
      <c r="I1090" t="str">
        <v>US1729081059</v>
      </c>
      <c r="J1090" t="str">
        <v>Circular economy</v>
      </c>
      <c r="K1090">
        <v>0.78</v>
      </c>
      <c r="L1090" t="str" cm="1">
        <f t="array" ref="L1090">_xlfn.TEXTJOIN(",",TRUE,_xlfn._xlws.FILTER($C$5:$C$1727,($D$5:$D$1727=I1090)*($E$5:$E$1727=J1090)*($F$5:$F$1727=K1090)))</f>
        <v>Global</v>
      </c>
      <c r="M1090" t="b">
        <f t="shared" si="32"/>
        <v>0</v>
      </c>
      <c r="N1090">
        <f t="shared" si="33"/>
        <v>0</v>
      </c>
    </row>
    <row r="1091" spans="3:14" x14ac:dyDescent="0.25">
      <c r="C1091" t="s">
        <v>1548</v>
      </c>
      <c r="D1091" t="s">
        <v>1007</v>
      </c>
      <c r="E1091" t="s">
        <v>400</v>
      </c>
      <c r="F1091">
        <v>0</v>
      </c>
      <c r="I1091" t="str">
        <v>US1729674242</v>
      </c>
      <c r="J1091" t="str">
        <v>Excluded</v>
      </c>
      <c r="K1091">
        <v>0</v>
      </c>
      <c r="L1091" t="str" cm="1">
        <f t="array" ref="L1091">_xlfn.TEXTJOIN(",",TRUE,_xlfn._xlws.FILTER($C$5:$C$1727,($D$5:$D$1727=I1091)*($E$5:$E$1727=J1091)*($F$5:$F$1727=K1091)))</f>
        <v>Global</v>
      </c>
      <c r="M1091" t="b">
        <f t="shared" si="32"/>
        <v>0</v>
      </c>
      <c r="N1091">
        <f t="shared" si="33"/>
        <v>0</v>
      </c>
    </row>
    <row r="1092" spans="3:14" x14ac:dyDescent="0.25">
      <c r="C1092" t="s">
        <v>1548</v>
      </c>
      <c r="D1092" t="s">
        <v>1008</v>
      </c>
      <c r="E1092" t="s">
        <v>400</v>
      </c>
      <c r="F1092">
        <v>0</v>
      </c>
      <c r="I1092" t="str">
        <v>US1746101054</v>
      </c>
      <c r="J1092" t="str">
        <v>Excluded</v>
      </c>
      <c r="K1092">
        <v>0</v>
      </c>
      <c r="L1092" t="str" cm="1">
        <f t="array" ref="L1092">_xlfn.TEXTJOIN(",",TRUE,_xlfn._xlws.FILTER($C$5:$C$1727,($D$5:$D$1727=I1092)*($E$5:$E$1727=J1092)*($F$5:$F$1727=K1092)))</f>
        <v>Global</v>
      </c>
      <c r="M1092" t="b">
        <f t="shared" si="32"/>
        <v>0</v>
      </c>
      <c r="N1092">
        <f t="shared" si="33"/>
        <v>0</v>
      </c>
    </row>
    <row r="1093" spans="3:14" x14ac:dyDescent="0.25">
      <c r="C1093" t="s">
        <v>1548</v>
      </c>
      <c r="D1093" t="s">
        <v>1009</v>
      </c>
      <c r="E1093" t="s">
        <v>399</v>
      </c>
      <c r="F1093">
        <v>1</v>
      </c>
      <c r="I1093" t="str">
        <v>US1844961078</v>
      </c>
      <c r="J1093" t="str">
        <v>Circular economy</v>
      </c>
      <c r="K1093">
        <v>0.88</v>
      </c>
      <c r="L1093" t="str" cm="1">
        <f t="array" ref="L1093">_xlfn.TEXTJOIN(",",TRUE,_xlfn._xlws.FILTER($C$5:$C$1727,($D$5:$D$1727=I1093)*($E$5:$E$1727=J1093)*($F$5:$F$1727=K1093)))</f>
        <v>Global</v>
      </c>
      <c r="M1093" t="b">
        <f t="shared" si="32"/>
        <v>0</v>
      </c>
      <c r="N1093">
        <f t="shared" si="33"/>
        <v>0</v>
      </c>
    </row>
    <row r="1094" spans="3:14" x14ac:dyDescent="0.25">
      <c r="C1094" t="s">
        <v>1548</v>
      </c>
      <c r="D1094" t="s">
        <v>1010</v>
      </c>
      <c r="E1094" t="s">
        <v>400</v>
      </c>
      <c r="F1094">
        <v>0</v>
      </c>
      <c r="I1094" t="str">
        <v>US1890541097</v>
      </c>
      <c r="J1094" t="str">
        <v>Not included in a theme</v>
      </c>
      <c r="K1094">
        <v>0</v>
      </c>
      <c r="L1094" t="str" cm="1">
        <f t="array" ref="L1094">_xlfn.TEXTJOIN(",",TRUE,_xlfn._xlws.FILTER($C$5:$C$1727,($D$5:$D$1727=I1094)*($E$5:$E$1727=J1094)*($F$5:$F$1727=K1094)))</f>
        <v>Global</v>
      </c>
      <c r="M1094" t="b">
        <f t="shared" ref="M1094:M1157" si="34">COUNTIFS($I$5:$I$1556,I1094)&gt;1</f>
        <v>0</v>
      </c>
      <c r="N1094">
        <f t="shared" ref="N1094:N1157" si="35">COUNTIFS($U$5:$U$231,I1094)</f>
        <v>0</v>
      </c>
    </row>
    <row r="1095" spans="3:14" x14ac:dyDescent="0.25">
      <c r="C1095" t="s">
        <v>1548</v>
      </c>
      <c r="D1095" t="s">
        <v>1011</v>
      </c>
      <c r="E1095" t="s">
        <v>401</v>
      </c>
      <c r="F1095">
        <v>0</v>
      </c>
      <c r="I1095" t="str">
        <v>US18915M1071</v>
      </c>
      <c r="J1095" t="str">
        <v>Information technology</v>
      </c>
      <c r="K1095">
        <v>1</v>
      </c>
      <c r="L1095" t="str" cm="1">
        <f t="array" ref="L1095">_xlfn.TEXTJOIN(",",TRUE,_xlfn._xlws.FILTER($C$5:$C$1727,($D$5:$D$1727=I1095)*($E$5:$E$1727=J1095)*($F$5:$F$1727=K1095)))</f>
        <v>Global</v>
      </c>
      <c r="M1095" t="b">
        <f t="shared" si="34"/>
        <v>0</v>
      </c>
      <c r="N1095">
        <f t="shared" si="35"/>
        <v>0</v>
      </c>
    </row>
    <row r="1096" spans="3:14" x14ac:dyDescent="0.25">
      <c r="C1096" t="s">
        <v>1548</v>
      </c>
      <c r="D1096" t="s">
        <v>1012</v>
      </c>
      <c r="E1096" t="s">
        <v>406</v>
      </c>
      <c r="F1096">
        <v>1</v>
      </c>
      <c r="I1096" t="str">
        <v>US1912161007</v>
      </c>
      <c r="J1096" t="str">
        <v>Excluded</v>
      </c>
      <c r="K1096">
        <v>0</v>
      </c>
      <c r="L1096" t="str" cm="1">
        <f t="array" ref="L1096">_xlfn.TEXTJOIN(",",TRUE,_xlfn._xlws.FILTER($C$5:$C$1727,($D$5:$D$1727=I1096)*($E$5:$E$1727=J1096)*($F$5:$F$1727=K1096)))</f>
        <v>Global</v>
      </c>
      <c r="M1096" t="b">
        <f t="shared" si="34"/>
        <v>0</v>
      </c>
      <c r="N1096">
        <f t="shared" si="35"/>
        <v>0</v>
      </c>
    </row>
    <row r="1097" spans="3:14" x14ac:dyDescent="0.25">
      <c r="C1097" t="s">
        <v>1548</v>
      </c>
      <c r="D1097" t="s">
        <v>122</v>
      </c>
      <c r="E1097" t="s">
        <v>400</v>
      </c>
      <c r="F1097">
        <v>0</v>
      </c>
      <c r="I1097" t="str">
        <v>US1924461023</v>
      </c>
      <c r="J1097" t="str">
        <v>Information technology</v>
      </c>
      <c r="K1097">
        <v>0.24</v>
      </c>
      <c r="L1097" t="str" cm="1">
        <f t="array" ref="L1097">_xlfn.TEXTJOIN(",",TRUE,_xlfn._xlws.FILTER($C$5:$C$1727,($D$5:$D$1727=I1097)*($E$5:$E$1727=J1097)*($F$5:$F$1727=K1097)))</f>
        <v>Global</v>
      </c>
      <c r="M1097" t="b">
        <f t="shared" si="34"/>
        <v>0</v>
      </c>
      <c r="N1097">
        <f t="shared" si="35"/>
        <v>0</v>
      </c>
    </row>
    <row r="1098" spans="3:14" x14ac:dyDescent="0.25">
      <c r="C1098" t="s">
        <v>1548</v>
      </c>
      <c r="D1098" t="s">
        <v>1013</v>
      </c>
      <c r="E1098" t="s">
        <v>401</v>
      </c>
      <c r="F1098">
        <v>0</v>
      </c>
      <c r="I1098" t="str">
        <v>US19247G1076</v>
      </c>
      <c r="J1098" t="str">
        <v>Information technology</v>
      </c>
      <c r="K1098">
        <v>0.7</v>
      </c>
      <c r="L1098" t="str" cm="1">
        <f t="array" ref="L1098">_xlfn.TEXTJOIN(",",TRUE,_xlfn._xlws.FILTER($C$5:$C$1727,($D$5:$D$1727=I1098)*($E$5:$E$1727=J1098)*($F$5:$F$1727=K1098)))</f>
        <v>Global</v>
      </c>
      <c r="M1098" t="b">
        <f t="shared" si="34"/>
        <v>0</v>
      </c>
      <c r="N1098">
        <f t="shared" si="35"/>
        <v>0</v>
      </c>
    </row>
    <row r="1099" spans="3:14" x14ac:dyDescent="0.25">
      <c r="C1099" t="s">
        <v>1548</v>
      </c>
      <c r="D1099" t="s">
        <v>1014</v>
      </c>
      <c r="E1099" t="s">
        <v>400</v>
      </c>
      <c r="F1099">
        <v>0</v>
      </c>
      <c r="I1099" t="str">
        <v>US19260Q1076</v>
      </c>
      <c r="J1099" t="str">
        <v>Excluded</v>
      </c>
      <c r="K1099">
        <v>0</v>
      </c>
      <c r="L1099" t="str" cm="1">
        <f t="array" ref="L1099">_xlfn.TEXTJOIN(",",TRUE,_xlfn._xlws.FILTER($C$5:$C$1727,($D$5:$D$1727=I1099)*($E$5:$E$1727=J1099)*($F$5:$F$1727=K1099)))</f>
        <v>Global</v>
      </c>
      <c r="M1099" t="b">
        <f t="shared" si="34"/>
        <v>0</v>
      </c>
      <c r="N1099">
        <f t="shared" si="35"/>
        <v>0</v>
      </c>
    </row>
    <row r="1100" spans="3:14" x14ac:dyDescent="0.25">
      <c r="C1100" t="s">
        <v>1548</v>
      </c>
      <c r="D1100" t="s">
        <v>1015</v>
      </c>
      <c r="E1100" t="s">
        <v>400</v>
      </c>
      <c r="F1100">
        <v>0</v>
      </c>
      <c r="I1100" t="str">
        <v>US1941621039</v>
      </c>
      <c r="J1100" t="str">
        <v>Excluded</v>
      </c>
      <c r="K1100">
        <v>0</v>
      </c>
      <c r="L1100" t="str" cm="1">
        <f t="array" ref="L1100">_xlfn.TEXTJOIN(",",TRUE,_xlfn._xlws.FILTER($C$5:$C$1727,($D$5:$D$1727=I1100)*($E$5:$E$1727=J1100)*($F$5:$F$1727=K1100)))</f>
        <v>Global</v>
      </c>
      <c r="M1100" t="b">
        <f t="shared" si="34"/>
        <v>0</v>
      </c>
      <c r="N1100">
        <f t="shared" si="35"/>
        <v>0</v>
      </c>
    </row>
    <row r="1101" spans="3:14" x14ac:dyDescent="0.25">
      <c r="C1101" t="s">
        <v>1548</v>
      </c>
      <c r="D1101" t="s">
        <v>1016</v>
      </c>
      <c r="E1101" t="s">
        <v>401</v>
      </c>
      <c r="F1101">
        <v>0</v>
      </c>
      <c r="I1101" t="str">
        <v>US1999081045</v>
      </c>
      <c r="J1101" t="str">
        <v>Excluded</v>
      </c>
      <c r="K1101">
        <v>0</v>
      </c>
      <c r="L1101" t="str" cm="1">
        <f t="array" ref="L1101">_xlfn.TEXTJOIN(",",TRUE,_xlfn._xlws.FILTER($C$5:$C$1727,($D$5:$D$1727=I1101)*($E$5:$E$1727=J1101)*($F$5:$F$1727=K1101)))</f>
        <v>Global</v>
      </c>
      <c r="M1101" t="b">
        <f t="shared" si="34"/>
        <v>0</v>
      </c>
      <c r="N1101">
        <f t="shared" si="35"/>
        <v>0</v>
      </c>
    </row>
    <row r="1102" spans="3:14" x14ac:dyDescent="0.25">
      <c r="C1102" t="s">
        <v>1548</v>
      </c>
      <c r="D1102" t="s">
        <v>1017</v>
      </c>
      <c r="E1102" t="s">
        <v>400</v>
      </c>
      <c r="F1102">
        <v>0</v>
      </c>
      <c r="I1102" t="str">
        <v>US20030N1019</v>
      </c>
      <c r="J1102" t="str">
        <v>Not included in a theme</v>
      </c>
      <c r="K1102">
        <v>0</v>
      </c>
      <c r="L1102" t="str" cm="1">
        <f t="array" ref="L1102">_xlfn.TEXTJOIN(",",TRUE,_xlfn._xlws.FILTER($C$5:$C$1727,($D$5:$D$1727=I1102)*($E$5:$E$1727=J1102)*($F$5:$F$1727=K1102)))</f>
        <v>Global</v>
      </c>
      <c r="M1102" t="b">
        <f t="shared" si="34"/>
        <v>0</v>
      </c>
      <c r="N1102">
        <f t="shared" si="35"/>
        <v>0</v>
      </c>
    </row>
    <row r="1103" spans="3:14" x14ac:dyDescent="0.25">
      <c r="C1103" t="s">
        <v>1548</v>
      </c>
      <c r="D1103" t="s">
        <v>1018</v>
      </c>
      <c r="E1103" t="s">
        <v>404</v>
      </c>
      <c r="F1103">
        <v>1</v>
      </c>
      <c r="I1103" t="str">
        <v>US20825C1045</v>
      </c>
      <c r="J1103" t="str">
        <v>Excluded</v>
      </c>
      <c r="K1103">
        <v>0</v>
      </c>
      <c r="L1103" t="str" cm="1">
        <f t="array" ref="L1103">_xlfn.TEXTJOIN(",",TRUE,_xlfn._xlws.FILTER($C$5:$C$1727,($D$5:$D$1727=I1103)*($E$5:$E$1727=J1103)*($F$5:$F$1727=K1103)))</f>
        <v>Global</v>
      </c>
      <c r="M1103" t="b">
        <f t="shared" si="34"/>
        <v>0</v>
      </c>
      <c r="N1103">
        <f t="shared" si="35"/>
        <v>0</v>
      </c>
    </row>
    <row r="1104" spans="3:14" x14ac:dyDescent="0.25">
      <c r="C1104" t="s">
        <v>1548</v>
      </c>
      <c r="D1104" t="s">
        <v>69</v>
      </c>
      <c r="E1104" t="s">
        <v>400</v>
      </c>
      <c r="F1104">
        <v>0</v>
      </c>
      <c r="I1104" t="str">
        <v>US2091151041</v>
      </c>
      <c r="J1104" t="str">
        <v>Excluded</v>
      </c>
      <c r="K1104">
        <v>0</v>
      </c>
      <c r="L1104" t="str" cm="1">
        <f t="array" ref="L1104">_xlfn.TEXTJOIN(",",TRUE,_xlfn._xlws.FILTER($C$5:$C$1727,($D$5:$D$1727=I1104)*($E$5:$E$1727=J1104)*($F$5:$F$1727=K1104)))</f>
        <v>Global</v>
      </c>
      <c r="M1104" t="b">
        <f t="shared" si="34"/>
        <v>0</v>
      </c>
      <c r="N1104">
        <f t="shared" si="35"/>
        <v>0</v>
      </c>
    </row>
    <row r="1105" spans="3:14" x14ac:dyDescent="0.25">
      <c r="C1105" t="s">
        <v>1548</v>
      </c>
      <c r="D1105" t="s">
        <v>1019</v>
      </c>
      <c r="E1105" t="s">
        <v>400</v>
      </c>
      <c r="F1105">
        <v>0</v>
      </c>
      <c r="I1105" t="str">
        <v>US21036P1084</v>
      </c>
      <c r="J1105" t="str">
        <v>Excluded</v>
      </c>
      <c r="K1105">
        <v>0</v>
      </c>
      <c r="L1105" t="str" cm="1">
        <f t="array" ref="L1105">_xlfn.TEXTJOIN(",",TRUE,_xlfn._xlws.FILTER($C$5:$C$1727,($D$5:$D$1727=I1105)*($E$5:$E$1727=J1105)*($F$5:$F$1727=K1105)))</f>
        <v>Global</v>
      </c>
      <c r="M1105" t="b">
        <f t="shared" si="34"/>
        <v>0</v>
      </c>
      <c r="N1105">
        <f t="shared" si="35"/>
        <v>0</v>
      </c>
    </row>
    <row r="1106" spans="3:14" x14ac:dyDescent="0.25">
      <c r="C1106" t="s">
        <v>1548</v>
      </c>
      <c r="D1106" t="s">
        <v>1020</v>
      </c>
      <c r="E1106" t="s">
        <v>400</v>
      </c>
      <c r="F1106">
        <v>0</v>
      </c>
      <c r="I1106" t="str">
        <v>US21037T1097</v>
      </c>
      <c r="J1106" t="str">
        <v>Excluded</v>
      </c>
      <c r="K1106">
        <v>0</v>
      </c>
      <c r="L1106" t="str" cm="1">
        <f t="array" ref="L1106">_xlfn.TEXTJOIN(",",TRUE,_xlfn._xlws.FILTER($C$5:$C$1727,($D$5:$D$1727=I1106)*($E$5:$E$1727=J1106)*($F$5:$F$1727=K1106)))</f>
        <v>Global</v>
      </c>
      <c r="M1106" t="b">
        <f t="shared" si="34"/>
        <v>0</v>
      </c>
      <c r="N1106">
        <f t="shared" si="35"/>
        <v>0</v>
      </c>
    </row>
    <row r="1107" spans="3:14" x14ac:dyDescent="0.25">
      <c r="C1107" t="s">
        <v>1548</v>
      </c>
      <c r="D1107" t="s">
        <v>1021</v>
      </c>
      <c r="E1107" t="s">
        <v>400</v>
      </c>
      <c r="F1107">
        <v>0</v>
      </c>
      <c r="I1107" t="str">
        <v>US2166485019</v>
      </c>
      <c r="J1107" t="str">
        <v>Excluded</v>
      </c>
      <c r="K1107">
        <v>0</v>
      </c>
      <c r="L1107" t="str" cm="1">
        <f t="array" ref="L1107">_xlfn.TEXTJOIN(",",TRUE,_xlfn._xlws.FILTER($C$5:$C$1727,($D$5:$D$1727=I1107)*($E$5:$E$1727=J1107)*($F$5:$F$1727=K1107)))</f>
        <v>Global</v>
      </c>
      <c r="M1107" t="b">
        <f t="shared" si="34"/>
        <v>0</v>
      </c>
      <c r="N1107">
        <f t="shared" si="35"/>
        <v>0</v>
      </c>
    </row>
    <row r="1108" spans="3:14" x14ac:dyDescent="0.25">
      <c r="C1108" t="s">
        <v>1548</v>
      </c>
      <c r="D1108" t="s">
        <v>1022</v>
      </c>
      <c r="E1108" t="s">
        <v>400</v>
      </c>
      <c r="F1108">
        <v>0</v>
      </c>
      <c r="I1108" t="str">
        <v>US2172041061</v>
      </c>
      <c r="J1108" t="str">
        <v>Circular economy</v>
      </c>
      <c r="K1108">
        <v>1</v>
      </c>
      <c r="L1108" t="str" cm="1">
        <f t="array" ref="L1108">_xlfn.TEXTJOIN(",",TRUE,_xlfn._xlws.FILTER($C$5:$C$1727,($D$5:$D$1727=I1108)*($E$5:$E$1727=J1108)*($F$5:$F$1727=K1108)))</f>
        <v>Global</v>
      </c>
      <c r="M1108" t="b">
        <f t="shared" si="34"/>
        <v>0</v>
      </c>
      <c r="N1108">
        <f t="shared" si="35"/>
        <v>0</v>
      </c>
    </row>
    <row r="1109" spans="3:14" x14ac:dyDescent="0.25">
      <c r="C1109" t="s">
        <v>1548</v>
      </c>
      <c r="D1109" t="s">
        <v>1023</v>
      </c>
      <c r="E1109" t="s">
        <v>402</v>
      </c>
      <c r="F1109">
        <v>0.17</v>
      </c>
      <c r="I1109" t="str">
        <v>US21873S1087</v>
      </c>
      <c r="J1109" t="str">
        <v>Excluded</v>
      </c>
      <c r="K1109">
        <v>0</v>
      </c>
      <c r="L1109" t="str" cm="1">
        <f t="array" ref="L1109">_xlfn.TEXTJOIN(",",TRUE,_xlfn._xlws.FILTER($C$5:$C$1727,($D$5:$D$1727=I1109)*($E$5:$E$1727=J1109)*($F$5:$F$1727=K1109)))</f>
        <v>Global</v>
      </c>
      <c r="M1109" t="b">
        <f t="shared" si="34"/>
        <v>0</v>
      </c>
      <c r="N1109">
        <f t="shared" si="35"/>
        <v>0</v>
      </c>
    </row>
    <row r="1110" spans="3:14" x14ac:dyDescent="0.25">
      <c r="C1110" t="s">
        <v>1548</v>
      </c>
      <c r="D1110" t="s">
        <v>1024</v>
      </c>
      <c r="E1110" t="s">
        <v>400</v>
      </c>
      <c r="F1110">
        <v>0</v>
      </c>
      <c r="I1110" t="str">
        <v>US2193501051</v>
      </c>
      <c r="J1110" t="str">
        <v>Information technology</v>
      </c>
      <c r="K1110">
        <v>0.13</v>
      </c>
      <c r="L1110" t="str" cm="1">
        <f t="array" ref="L1110">_xlfn.TEXTJOIN(",",TRUE,_xlfn._xlws.FILTER($C$5:$C$1727,($D$5:$D$1727=I1110)*($E$5:$E$1727=J1110)*($F$5:$F$1727=K1110)))</f>
        <v>Global</v>
      </c>
      <c r="M1110" t="b">
        <f t="shared" si="34"/>
        <v>0</v>
      </c>
      <c r="N1110">
        <f t="shared" si="35"/>
        <v>0</v>
      </c>
    </row>
    <row r="1111" spans="3:14" x14ac:dyDescent="0.25">
      <c r="C1111" t="s">
        <v>1548</v>
      </c>
      <c r="D1111" t="s">
        <v>91</v>
      </c>
      <c r="E1111" t="s">
        <v>405</v>
      </c>
      <c r="F1111">
        <v>0.21</v>
      </c>
      <c r="I1111" t="str">
        <v>US2199481068</v>
      </c>
      <c r="J1111" t="str">
        <v>Excluded</v>
      </c>
      <c r="K1111">
        <v>0</v>
      </c>
      <c r="L1111" t="str" cm="1">
        <f t="array" ref="L1111">_xlfn.TEXTJOIN(",",TRUE,_xlfn._xlws.FILTER($C$5:$C$1727,($D$5:$D$1727=I1111)*($E$5:$E$1727=J1111)*($F$5:$F$1727=K1111)))</f>
        <v>Global</v>
      </c>
      <c r="M1111" t="b">
        <f t="shared" si="34"/>
        <v>0</v>
      </c>
      <c r="N1111">
        <f t="shared" si="35"/>
        <v>0</v>
      </c>
    </row>
    <row r="1112" spans="3:14" x14ac:dyDescent="0.25">
      <c r="C1112" t="s">
        <v>1548</v>
      </c>
      <c r="D1112" t="s">
        <v>1025</v>
      </c>
      <c r="E1112" t="s">
        <v>402</v>
      </c>
      <c r="F1112">
        <v>0.35</v>
      </c>
      <c r="I1112" t="str">
        <v>US22052L1044</v>
      </c>
      <c r="J1112" t="str">
        <v>Excluded</v>
      </c>
      <c r="K1112">
        <v>0</v>
      </c>
      <c r="L1112" t="str" cm="1">
        <f t="array" ref="L1112">_xlfn.TEXTJOIN(",",TRUE,_xlfn._xlws.FILTER($C$5:$C$1727,($D$5:$D$1727=I1112)*($E$5:$E$1727=J1112)*($F$5:$F$1727=K1112)))</f>
        <v>Global</v>
      </c>
      <c r="M1112" t="b">
        <f t="shared" si="34"/>
        <v>0</v>
      </c>
      <c r="N1112">
        <f t="shared" si="35"/>
        <v>0</v>
      </c>
    </row>
    <row r="1113" spans="3:14" x14ac:dyDescent="0.25">
      <c r="C1113" t="s">
        <v>1548</v>
      </c>
      <c r="D1113" t="s">
        <v>1026</v>
      </c>
      <c r="E1113" t="s">
        <v>401</v>
      </c>
      <c r="F1113">
        <v>0</v>
      </c>
      <c r="I1113" t="str">
        <v>US22160K1051</v>
      </c>
      <c r="J1113" t="str">
        <v>Excluded</v>
      </c>
      <c r="K1113">
        <v>0</v>
      </c>
      <c r="L1113" t="str" cm="1">
        <f t="array" ref="L1113">_xlfn.TEXTJOIN(",",TRUE,_xlfn._xlws.FILTER($C$5:$C$1727,($D$5:$D$1727=I1113)*($E$5:$E$1727=J1113)*($F$5:$F$1727=K1113)))</f>
        <v>Global</v>
      </c>
      <c r="M1113" t="b">
        <f t="shared" si="34"/>
        <v>0</v>
      </c>
      <c r="N1113">
        <f t="shared" si="35"/>
        <v>0</v>
      </c>
    </row>
    <row r="1114" spans="3:14" x14ac:dyDescent="0.25">
      <c r="C1114" t="s">
        <v>1548</v>
      </c>
      <c r="D1114" t="s">
        <v>1027</v>
      </c>
      <c r="E1114" t="s">
        <v>400</v>
      </c>
      <c r="F1114">
        <v>0</v>
      </c>
      <c r="I1114" t="str">
        <v>US22160N1090</v>
      </c>
      <c r="J1114" t="str">
        <v>Not included in a theme</v>
      </c>
      <c r="K1114">
        <v>0</v>
      </c>
      <c r="L1114" t="str" cm="1">
        <f t="array" ref="L1114">_xlfn.TEXTJOIN(",",TRUE,_xlfn._xlws.FILTER($C$5:$C$1727,($D$5:$D$1727=I1114)*($E$5:$E$1727=J1114)*($F$5:$F$1727=K1114)))</f>
        <v>Global</v>
      </c>
      <c r="M1114" t="b">
        <f t="shared" si="34"/>
        <v>0</v>
      </c>
      <c r="N1114">
        <f t="shared" si="35"/>
        <v>0</v>
      </c>
    </row>
    <row r="1115" spans="3:14" x14ac:dyDescent="0.25">
      <c r="C1115" t="s">
        <v>1548</v>
      </c>
      <c r="D1115" t="s">
        <v>1028</v>
      </c>
      <c r="E1115" t="s">
        <v>400</v>
      </c>
      <c r="F1115">
        <v>0</v>
      </c>
      <c r="I1115" t="str">
        <v>US22266T1097</v>
      </c>
      <c r="J1115" t="str">
        <v>Excluded</v>
      </c>
      <c r="K1115">
        <v>0</v>
      </c>
      <c r="L1115" t="str" cm="1">
        <f t="array" ref="L1115">_xlfn.TEXTJOIN(",",TRUE,_xlfn._xlws.FILTER($C$5:$C$1727,($D$5:$D$1727=I1115)*($E$5:$E$1727=J1115)*($F$5:$F$1727=K1115)))</f>
        <v>Global</v>
      </c>
      <c r="M1115" t="b">
        <f t="shared" si="34"/>
        <v>0</v>
      </c>
      <c r="N1115">
        <f t="shared" si="35"/>
        <v>0</v>
      </c>
    </row>
    <row r="1116" spans="3:14" x14ac:dyDescent="0.25">
      <c r="C1116" t="s">
        <v>1548</v>
      </c>
      <c r="D1116" t="s">
        <v>1029</v>
      </c>
      <c r="E1116" t="s">
        <v>401</v>
      </c>
      <c r="F1116">
        <v>0</v>
      </c>
      <c r="I1116" t="str">
        <v>US2244081046</v>
      </c>
      <c r="J1116" t="str">
        <v>Not included in a theme</v>
      </c>
      <c r="K1116">
        <v>0</v>
      </c>
      <c r="L1116" t="str" cm="1">
        <f t="array" ref="L1116">_xlfn.TEXTJOIN(",",TRUE,_xlfn._xlws.FILTER($C$5:$C$1727,($D$5:$D$1727=I1116)*($E$5:$E$1727=J1116)*($F$5:$F$1727=K1116)))</f>
        <v>Global</v>
      </c>
      <c r="M1116" t="b">
        <f t="shared" si="34"/>
        <v>0</v>
      </c>
      <c r="N1116">
        <f t="shared" si="35"/>
        <v>0</v>
      </c>
    </row>
    <row r="1117" spans="3:14" x14ac:dyDescent="0.25">
      <c r="C1117" t="s">
        <v>1548</v>
      </c>
      <c r="D1117" t="s">
        <v>1030</v>
      </c>
      <c r="E1117" t="s">
        <v>400</v>
      </c>
      <c r="F1117">
        <v>0</v>
      </c>
      <c r="I1117" t="str">
        <v>US22788C1053</v>
      </c>
      <c r="J1117" t="str">
        <v>Information technology</v>
      </c>
      <c r="K1117">
        <v>1</v>
      </c>
      <c r="L1117" t="str" cm="1">
        <f t="array" ref="L1117">_xlfn.TEXTJOIN(",",TRUE,_xlfn._xlws.FILTER($C$5:$C$1727,($D$5:$D$1727=I1117)*($E$5:$E$1727=J1117)*($F$5:$F$1727=K1117)))</f>
        <v>Global</v>
      </c>
      <c r="M1117" t="b">
        <f t="shared" si="34"/>
        <v>0</v>
      </c>
      <c r="N1117">
        <f t="shared" si="35"/>
        <v>0</v>
      </c>
    </row>
    <row r="1118" spans="3:14" x14ac:dyDescent="0.25">
      <c r="C1118" t="s">
        <v>1548</v>
      </c>
      <c r="D1118" t="s">
        <v>1031</v>
      </c>
      <c r="E1118" t="s">
        <v>400</v>
      </c>
      <c r="F1118">
        <v>0</v>
      </c>
      <c r="I1118" t="str">
        <v>US22822V1017</v>
      </c>
      <c r="J1118" t="str">
        <v>Not included in a theme</v>
      </c>
      <c r="K1118">
        <v>0</v>
      </c>
      <c r="L1118" t="str" cm="1">
        <f t="array" ref="L1118">_xlfn.TEXTJOIN(",",TRUE,_xlfn._xlws.FILTER($C$5:$C$1727,($D$5:$D$1727=I1118)*($E$5:$E$1727=J1118)*($F$5:$F$1727=K1118)))</f>
        <v>Global</v>
      </c>
      <c r="M1118" t="b">
        <f t="shared" si="34"/>
        <v>0</v>
      </c>
      <c r="N1118">
        <f t="shared" si="35"/>
        <v>0</v>
      </c>
    </row>
    <row r="1119" spans="3:14" x14ac:dyDescent="0.25">
      <c r="C1119" t="s">
        <v>1548</v>
      </c>
      <c r="D1119" t="s">
        <v>1032</v>
      </c>
      <c r="E1119" t="s">
        <v>401</v>
      </c>
      <c r="F1119">
        <v>0</v>
      </c>
      <c r="I1119" t="str">
        <v>US2283681060</v>
      </c>
      <c r="J1119" t="str">
        <v>Circular economy</v>
      </c>
      <c r="K1119">
        <v>0.56000000000000005</v>
      </c>
      <c r="L1119" t="str" cm="1">
        <f t="array" ref="L1119">_xlfn.TEXTJOIN(",",TRUE,_xlfn._xlws.FILTER($C$5:$C$1727,($D$5:$D$1727=I1119)*($E$5:$E$1727=J1119)*($F$5:$F$1727=K1119)))</f>
        <v>Global</v>
      </c>
      <c r="M1119" t="b">
        <f t="shared" si="34"/>
        <v>0</v>
      </c>
      <c r="N1119">
        <f t="shared" si="35"/>
        <v>0</v>
      </c>
    </row>
    <row r="1120" spans="3:14" x14ac:dyDescent="0.25">
      <c r="C1120" t="s">
        <v>1548</v>
      </c>
      <c r="D1120" t="s">
        <v>1033</v>
      </c>
      <c r="E1120" t="s">
        <v>400</v>
      </c>
      <c r="F1120">
        <v>0</v>
      </c>
      <c r="I1120" t="str">
        <v>US2310211063</v>
      </c>
      <c r="J1120" t="str">
        <v>Excluded</v>
      </c>
      <c r="K1120">
        <v>0</v>
      </c>
      <c r="L1120" t="str" cm="1">
        <f t="array" ref="L1120">_xlfn.TEXTJOIN(",",TRUE,_xlfn._xlws.FILTER($C$5:$C$1727,($D$5:$D$1727=I1120)*($E$5:$E$1727=J1120)*($F$5:$F$1727=K1120)))</f>
        <v>Global</v>
      </c>
      <c r="M1120" t="b">
        <f t="shared" si="34"/>
        <v>0</v>
      </c>
      <c r="N1120">
        <f t="shared" si="35"/>
        <v>0</v>
      </c>
    </row>
    <row r="1121" spans="3:14" x14ac:dyDescent="0.25">
      <c r="C1121" t="s">
        <v>1548</v>
      </c>
      <c r="D1121" t="s">
        <v>1034</v>
      </c>
      <c r="E1121" t="s">
        <v>400</v>
      </c>
      <c r="F1121">
        <v>0</v>
      </c>
      <c r="I1121" t="str">
        <v>US2315611010</v>
      </c>
      <c r="J1121" t="str">
        <v>Excluded</v>
      </c>
      <c r="K1121">
        <v>0</v>
      </c>
      <c r="L1121" t="str" cm="1">
        <f t="array" ref="L1121">_xlfn.TEXTJOIN(",",TRUE,_xlfn._xlws.FILTER($C$5:$C$1727,($D$5:$D$1727=I1121)*($E$5:$E$1727=J1121)*($F$5:$F$1727=K1121)))</f>
        <v>Global</v>
      </c>
      <c r="M1121" t="b">
        <f t="shared" si="34"/>
        <v>0</v>
      </c>
      <c r="N1121">
        <f t="shared" si="35"/>
        <v>0</v>
      </c>
    </row>
    <row r="1122" spans="3:14" x14ac:dyDescent="0.25">
      <c r="C1122" t="s">
        <v>1548</v>
      </c>
      <c r="D1122" t="s">
        <v>1035</v>
      </c>
      <c r="E1122" t="s">
        <v>400</v>
      </c>
      <c r="F1122">
        <v>0</v>
      </c>
      <c r="I1122" t="str">
        <v>US23331A1097</v>
      </c>
      <c r="J1122" t="str">
        <v>Ecoconstruction</v>
      </c>
      <c r="K1122">
        <v>0.13</v>
      </c>
      <c r="L1122" t="str" cm="1">
        <f t="array" ref="L1122">_xlfn.TEXTJOIN(",",TRUE,_xlfn._xlws.FILTER($C$5:$C$1727,($D$5:$D$1727=I1122)*($E$5:$E$1727=J1122)*($F$5:$F$1727=K1122)))</f>
        <v>Global</v>
      </c>
      <c r="M1122" t="b">
        <f t="shared" si="34"/>
        <v>0</v>
      </c>
      <c r="N1122">
        <f t="shared" si="35"/>
        <v>0</v>
      </c>
    </row>
    <row r="1123" spans="3:14" x14ac:dyDescent="0.25">
      <c r="C1123" t="s">
        <v>1548</v>
      </c>
      <c r="D1123" t="s">
        <v>1036</v>
      </c>
      <c r="E1123" t="s">
        <v>400</v>
      </c>
      <c r="F1123">
        <v>0</v>
      </c>
      <c r="I1123" t="str">
        <v>US2333311072</v>
      </c>
      <c r="J1123" t="str">
        <v>Excluded</v>
      </c>
      <c r="K1123">
        <v>0</v>
      </c>
      <c r="L1123" t="str" cm="1">
        <f t="array" ref="L1123">_xlfn.TEXTJOIN(",",TRUE,_xlfn._xlws.FILTER($C$5:$C$1727,($D$5:$D$1727=I1123)*($E$5:$E$1727=J1123)*($F$5:$F$1727=K1123)))</f>
        <v>Global</v>
      </c>
      <c r="M1123" t="b">
        <f t="shared" si="34"/>
        <v>0</v>
      </c>
      <c r="N1123">
        <f t="shared" si="35"/>
        <v>0</v>
      </c>
    </row>
    <row r="1124" spans="3:14" x14ac:dyDescent="0.25">
      <c r="C1124" t="s">
        <v>1548</v>
      </c>
      <c r="D1124" t="s">
        <v>1037</v>
      </c>
      <c r="E1124" t="s">
        <v>400</v>
      </c>
      <c r="F1124">
        <v>0</v>
      </c>
      <c r="I1124" t="str">
        <v>US23345M1071</v>
      </c>
      <c r="J1124" t="str">
        <v>Excluded</v>
      </c>
      <c r="K1124">
        <v>0</v>
      </c>
      <c r="L1124" t="str" cm="1">
        <f t="array" ref="L1124">_xlfn.TEXTJOIN(",",TRUE,_xlfn._xlws.FILTER($C$5:$C$1727,($D$5:$D$1727=I1124)*($E$5:$E$1727=J1124)*($F$5:$F$1727=K1124)))</f>
        <v>Global</v>
      </c>
      <c r="M1124" t="b">
        <f t="shared" si="34"/>
        <v>0</v>
      </c>
      <c r="N1124">
        <f t="shared" si="35"/>
        <v>0</v>
      </c>
    </row>
    <row r="1125" spans="3:14" x14ac:dyDescent="0.25">
      <c r="C1125" t="s">
        <v>1548</v>
      </c>
      <c r="D1125" t="s">
        <v>90</v>
      </c>
      <c r="E1125" t="s">
        <v>400</v>
      </c>
      <c r="F1125">
        <v>0</v>
      </c>
      <c r="I1125" t="str">
        <v>US2358511028</v>
      </c>
      <c r="J1125" t="str">
        <v>Not included in a theme</v>
      </c>
      <c r="K1125">
        <v>0</v>
      </c>
      <c r="L1125" t="str" cm="1">
        <f t="array" ref="L1125">_xlfn.TEXTJOIN(",",TRUE,_xlfn._xlws.FILTER($C$5:$C$1727,($D$5:$D$1727=I1125)*($E$5:$E$1727=J1125)*($F$5:$F$1727=K1125)))</f>
        <v>Global</v>
      </c>
      <c r="M1125" t="b">
        <f t="shared" si="34"/>
        <v>0</v>
      </c>
      <c r="N1125">
        <f t="shared" si="35"/>
        <v>0</v>
      </c>
    </row>
    <row r="1126" spans="3:14" x14ac:dyDescent="0.25">
      <c r="C1126" t="s">
        <v>1548</v>
      </c>
      <c r="D1126" t="s">
        <v>1038</v>
      </c>
      <c r="E1126" t="s">
        <v>401</v>
      </c>
      <c r="F1126">
        <v>0</v>
      </c>
      <c r="I1126" t="str">
        <v>US2371941053</v>
      </c>
      <c r="J1126" t="str">
        <v>Excluded</v>
      </c>
      <c r="K1126">
        <v>0</v>
      </c>
      <c r="L1126" t="str" cm="1">
        <f t="array" ref="L1126">_xlfn.TEXTJOIN(",",TRUE,_xlfn._xlws.FILTER($C$5:$C$1727,($D$5:$D$1727=I1126)*($E$5:$E$1727=J1126)*($F$5:$F$1727=K1126)))</f>
        <v>Global</v>
      </c>
      <c r="M1126" t="b">
        <f t="shared" si="34"/>
        <v>0</v>
      </c>
      <c r="N1126">
        <f t="shared" si="35"/>
        <v>0</v>
      </c>
    </row>
    <row r="1127" spans="3:14" x14ac:dyDescent="0.25">
      <c r="C1127" t="s">
        <v>1548</v>
      </c>
      <c r="D1127" t="s">
        <v>1039</v>
      </c>
      <c r="E1127" t="s">
        <v>400</v>
      </c>
      <c r="F1127">
        <v>0</v>
      </c>
      <c r="I1127" t="str">
        <v>US23804L1035</v>
      </c>
      <c r="J1127" t="str">
        <v>Information technology</v>
      </c>
      <c r="K1127">
        <v>1</v>
      </c>
      <c r="L1127" t="str" cm="1">
        <f t="array" ref="L1127">_xlfn.TEXTJOIN(",",TRUE,_xlfn._xlws.FILTER($C$5:$C$1727,($D$5:$D$1727=I1127)*($E$5:$E$1727=J1127)*($F$5:$F$1727=K1127)))</f>
        <v>Global</v>
      </c>
      <c r="M1127" t="b">
        <f t="shared" si="34"/>
        <v>0</v>
      </c>
      <c r="N1127">
        <f t="shared" si="35"/>
        <v>0</v>
      </c>
    </row>
    <row r="1128" spans="3:14" x14ac:dyDescent="0.25">
      <c r="C1128" t="s">
        <v>1548</v>
      </c>
      <c r="D1128" t="s">
        <v>1040</v>
      </c>
      <c r="E1128" t="s">
        <v>400</v>
      </c>
      <c r="F1128">
        <v>0</v>
      </c>
      <c r="I1128" t="str">
        <v>US2435371073</v>
      </c>
      <c r="J1128" t="str">
        <v>Excluded</v>
      </c>
      <c r="K1128">
        <v>0</v>
      </c>
      <c r="L1128" t="str" cm="1">
        <f t="array" ref="L1128">_xlfn.TEXTJOIN(",",TRUE,_xlfn._xlws.FILTER($C$5:$C$1727,($D$5:$D$1727=I1128)*($E$5:$E$1727=J1128)*($F$5:$F$1727=K1128)))</f>
        <v>Global</v>
      </c>
      <c r="M1128" t="b">
        <f t="shared" si="34"/>
        <v>0</v>
      </c>
      <c r="N1128">
        <f t="shared" si="35"/>
        <v>0</v>
      </c>
    </row>
    <row r="1129" spans="3:14" x14ac:dyDescent="0.25">
      <c r="C1129" t="s">
        <v>1548</v>
      </c>
      <c r="D1129" t="s">
        <v>1041</v>
      </c>
      <c r="E1129" t="s">
        <v>400</v>
      </c>
      <c r="F1129">
        <v>0</v>
      </c>
      <c r="I1129" t="str">
        <v>US2441991054</v>
      </c>
      <c r="J1129" t="str">
        <v>Excluded</v>
      </c>
      <c r="K1129">
        <v>0</v>
      </c>
      <c r="L1129" t="str" cm="1">
        <f t="array" ref="L1129">_xlfn.TEXTJOIN(",",TRUE,_xlfn._xlws.FILTER($C$5:$C$1727,($D$5:$D$1727=I1129)*($E$5:$E$1727=J1129)*($F$5:$F$1727=K1129)))</f>
        <v>Global</v>
      </c>
      <c r="M1129" t="b">
        <f t="shared" si="34"/>
        <v>0</v>
      </c>
      <c r="N1129">
        <f t="shared" si="35"/>
        <v>0</v>
      </c>
    </row>
    <row r="1130" spans="3:14" x14ac:dyDescent="0.25">
      <c r="C1130" t="s">
        <v>1548</v>
      </c>
      <c r="D1130" t="s">
        <v>1042</v>
      </c>
      <c r="E1130" t="s">
        <v>400</v>
      </c>
      <c r="F1130">
        <v>0</v>
      </c>
      <c r="I1130" t="str">
        <v>US24703L2025</v>
      </c>
      <c r="J1130" t="str">
        <v>Information technology</v>
      </c>
      <c r="K1130">
        <v>0.69</v>
      </c>
      <c r="L1130" t="str" cm="1">
        <f t="array" ref="L1130">_xlfn.TEXTJOIN(",",TRUE,_xlfn._xlws.FILTER($C$5:$C$1727,($D$5:$D$1727=I1130)*($E$5:$E$1727=J1130)*($F$5:$F$1727=K1130)))</f>
        <v>Global</v>
      </c>
      <c r="M1130" t="b">
        <f t="shared" si="34"/>
        <v>0</v>
      </c>
      <c r="N1130">
        <f t="shared" si="35"/>
        <v>0</v>
      </c>
    </row>
    <row r="1131" spans="3:14" x14ac:dyDescent="0.25">
      <c r="C1131" t="s">
        <v>1548</v>
      </c>
      <c r="D1131" t="s">
        <v>106</v>
      </c>
      <c r="E1131" t="s">
        <v>400</v>
      </c>
      <c r="F1131">
        <v>0</v>
      </c>
      <c r="I1131" t="str">
        <v>US2473617023</v>
      </c>
      <c r="J1131" t="str">
        <v>Excluded</v>
      </c>
      <c r="K1131">
        <v>0</v>
      </c>
      <c r="L1131" t="str" cm="1">
        <f t="array" ref="L1131">_xlfn.TEXTJOIN(",",TRUE,_xlfn._xlws.FILTER($C$5:$C$1727,($D$5:$D$1727=I1131)*($E$5:$E$1727=J1131)*($F$5:$F$1727=K1131)))</f>
        <v>Global</v>
      </c>
      <c r="M1131" t="b">
        <f t="shared" si="34"/>
        <v>0</v>
      </c>
      <c r="N1131">
        <f t="shared" si="35"/>
        <v>0</v>
      </c>
    </row>
    <row r="1132" spans="3:14" x14ac:dyDescent="0.25">
      <c r="C1132" t="s">
        <v>1548</v>
      </c>
      <c r="D1132" t="s">
        <v>1043</v>
      </c>
      <c r="E1132" t="s">
        <v>399</v>
      </c>
      <c r="F1132">
        <v>0.64</v>
      </c>
      <c r="I1132" t="str">
        <v>US25179M1036</v>
      </c>
      <c r="J1132" t="str">
        <v>Excluded</v>
      </c>
      <c r="K1132">
        <v>0</v>
      </c>
      <c r="L1132" t="str" cm="1">
        <f t="array" ref="L1132">_xlfn.TEXTJOIN(",",TRUE,_xlfn._xlws.FILTER($C$5:$C$1727,($D$5:$D$1727=I1132)*($E$5:$E$1727=J1132)*($F$5:$F$1727=K1132)))</f>
        <v>Global</v>
      </c>
      <c r="M1132" t="b">
        <f t="shared" si="34"/>
        <v>0</v>
      </c>
      <c r="N1132">
        <f t="shared" si="35"/>
        <v>0</v>
      </c>
    </row>
    <row r="1133" spans="3:14" x14ac:dyDescent="0.25">
      <c r="C1133" t="s">
        <v>1548</v>
      </c>
      <c r="D1133" t="s">
        <v>83</v>
      </c>
      <c r="E1133" t="s">
        <v>400</v>
      </c>
      <c r="F1133">
        <v>0</v>
      </c>
      <c r="I1133" t="str">
        <v>US2521311074</v>
      </c>
      <c r="J1133" t="str">
        <v>Not included in a theme</v>
      </c>
      <c r="K1133">
        <v>0</v>
      </c>
      <c r="L1133" t="str" cm="1">
        <f t="array" ref="L1133">_xlfn.TEXTJOIN(",",TRUE,_xlfn._xlws.FILTER($C$5:$C$1727,($D$5:$D$1727=I1133)*($E$5:$E$1727=J1133)*($F$5:$F$1727=K1133)))</f>
        <v>Global</v>
      </c>
      <c r="M1133" t="b">
        <f t="shared" si="34"/>
        <v>0</v>
      </c>
      <c r="N1133">
        <f t="shared" si="35"/>
        <v>0</v>
      </c>
    </row>
    <row r="1134" spans="3:14" x14ac:dyDescent="0.25">
      <c r="C1134" t="s">
        <v>1548</v>
      </c>
      <c r="D1134" t="s">
        <v>1044</v>
      </c>
      <c r="E1134" t="s">
        <v>400</v>
      </c>
      <c r="F1134">
        <v>0</v>
      </c>
      <c r="I1134" t="str">
        <v>US25278X1090</v>
      </c>
      <c r="J1134" t="str">
        <v>Excluded</v>
      </c>
      <c r="K1134">
        <v>0</v>
      </c>
      <c r="L1134" t="str" cm="1">
        <f t="array" ref="L1134">_xlfn.TEXTJOIN(",",TRUE,_xlfn._xlws.FILTER($C$5:$C$1727,($D$5:$D$1727=I1134)*($E$5:$E$1727=J1134)*($F$5:$F$1727=K1134)))</f>
        <v>Global</v>
      </c>
      <c r="M1134" t="b">
        <f t="shared" si="34"/>
        <v>0</v>
      </c>
      <c r="N1134">
        <f t="shared" si="35"/>
        <v>0</v>
      </c>
    </row>
    <row r="1135" spans="3:14" x14ac:dyDescent="0.25">
      <c r="C1135" t="s">
        <v>1548</v>
      </c>
      <c r="D1135" t="s">
        <v>1045</v>
      </c>
      <c r="E1135" t="s">
        <v>400</v>
      </c>
      <c r="F1135">
        <v>0</v>
      </c>
      <c r="I1135" t="str">
        <v>US2533931026</v>
      </c>
      <c r="J1135" t="str">
        <v>Excluded</v>
      </c>
      <c r="K1135">
        <v>0</v>
      </c>
      <c r="L1135" t="str" cm="1">
        <f t="array" ref="L1135">_xlfn.TEXTJOIN(",",TRUE,_xlfn._xlws.FILTER($C$5:$C$1727,($D$5:$D$1727=I1135)*($E$5:$E$1727=J1135)*($F$5:$F$1727=K1135)))</f>
        <v>Global</v>
      </c>
      <c r="M1135" t="b">
        <f t="shared" si="34"/>
        <v>0</v>
      </c>
      <c r="N1135">
        <f t="shared" si="35"/>
        <v>0</v>
      </c>
    </row>
    <row r="1136" spans="3:14" x14ac:dyDescent="0.25">
      <c r="C1136" t="s">
        <v>1548</v>
      </c>
      <c r="D1136" t="s">
        <v>1046</v>
      </c>
      <c r="E1136" t="s">
        <v>399</v>
      </c>
      <c r="F1136">
        <v>1</v>
      </c>
      <c r="I1136" t="str">
        <v>US2538681030</v>
      </c>
      <c r="J1136" t="str">
        <v>Information technology</v>
      </c>
      <c r="K1136">
        <v>1</v>
      </c>
      <c r="L1136" t="str" cm="1">
        <f t="array" ref="L1136">_xlfn.TEXTJOIN(",",TRUE,_xlfn._xlws.FILTER($C$5:$C$1727,($D$5:$D$1727=I1136)*($E$5:$E$1727=J1136)*($F$5:$F$1727=K1136)))</f>
        <v>Global</v>
      </c>
      <c r="M1136" t="b">
        <f t="shared" si="34"/>
        <v>0</v>
      </c>
      <c r="N1136">
        <f t="shared" si="35"/>
        <v>0</v>
      </c>
    </row>
    <row r="1137" spans="3:14" x14ac:dyDescent="0.25">
      <c r="C1137" t="s">
        <v>1548</v>
      </c>
      <c r="D1137" t="s">
        <v>1047</v>
      </c>
      <c r="E1137" t="s">
        <v>400</v>
      </c>
      <c r="F1137">
        <v>0</v>
      </c>
      <c r="I1137" t="str">
        <v>US2546871060</v>
      </c>
      <c r="J1137" t="str">
        <v>Not included in a theme</v>
      </c>
      <c r="K1137">
        <v>0</v>
      </c>
      <c r="L1137" t="str" cm="1">
        <f t="array" ref="L1137">_xlfn.TEXTJOIN(",",TRUE,_xlfn._xlws.FILTER($C$5:$C$1727,($D$5:$D$1727=I1137)*($E$5:$E$1727=J1137)*($F$5:$F$1727=K1137)))</f>
        <v>Global</v>
      </c>
      <c r="M1137" t="b">
        <f t="shared" si="34"/>
        <v>0</v>
      </c>
      <c r="N1137">
        <f t="shared" si="35"/>
        <v>0</v>
      </c>
    </row>
    <row r="1138" spans="3:14" x14ac:dyDescent="0.25">
      <c r="C1138" t="s">
        <v>1548</v>
      </c>
      <c r="D1138" t="s">
        <v>1048</v>
      </c>
      <c r="E1138" t="s">
        <v>403</v>
      </c>
      <c r="F1138">
        <v>0.53</v>
      </c>
      <c r="I1138" t="str">
        <v>US2561631068</v>
      </c>
      <c r="J1138" t="str">
        <v>Information technology</v>
      </c>
      <c r="K1138">
        <v>1</v>
      </c>
      <c r="L1138" t="str" cm="1">
        <f t="array" ref="L1138">_xlfn.TEXTJOIN(",",TRUE,_xlfn._xlws.FILTER($C$5:$C$1727,($D$5:$D$1727=I1138)*($E$5:$E$1727=J1138)*($F$5:$F$1727=K1138)))</f>
        <v>Global</v>
      </c>
      <c r="M1138" t="b">
        <f t="shared" si="34"/>
        <v>0</v>
      </c>
      <c r="N1138">
        <f t="shared" si="35"/>
        <v>0</v>
      </c>
    </row>
    <row r="1139" spans="3:14" x14ac:dyDescent="0.25">
      <c r="C1139" t="s">
        <v>1548</v>
      </c>
      <c r="D1139" t="s">
        <v>1049</v>
      </c>
      <c r="E1139" t="s">
        <v>400</v>
      </c>
      <c r="F1139">
        <v>0</v>
      </c>
      <c r="I1139" t="str">
        <v>US2566771059</v>
      </c>
      <c r="J1139" t="str">
        <v>Excluded</v>
      </c>
      <c r="K1139">
        <v>0</v>
      </c>
      <c r="L1139" t="str" cm="1">
        <f t="array" ref="L1139">_xlfn.TEXTJOIN(",",TRUE,_xlfn._xlws.FILTER($C$5:$C$1727,($D$5:$D$1727=I1139)*($E$5:$E$1727=J1139)*($F$5:$F$1727=K1139)))</f>
        <v>Global</v>
      </c>
      <c r="M1139" t="b">
        <f t="shared" si="34"/>
        <v>0</v>
      </c>
      <c r="N1139">
        <f t="shared" si="35"/>
        <v>0</v>
      </c>
    </row>
    <row r="1140" spans="3:14" x14ac:dyDescent="0.25">
      <c r="C1140" t="s">
        <v>1548</v>
      </c>
      <c r="D1140" t="s">
        <v>1050</v>
      </c>
      <c r="E1140" t="s">
        <v>401</v>
      </c>
      <c r="F1140">
        <v>0</v>
      </c>
      <c r="I1140" t="str">
        <v>US2567461080</v>
      </c>
      <c r="J1140" t="str">
        <v>Excluded</v>
      </c>
      <c r="K1140">
        <v>0</v>
      </c>
      <c r="L1140" t="str" cm="1">
        <f t="array" ref="L1140">_xlfn.TEXTJOIN(",",TRUE,_xlfn._xlws.FILTER($C$5:$C$1727,($D$5:$D$1727=I1140)*($E$5:$E$1727=J1140)*($F$5:$F$1727=K1140)))</f>
        <v>Global</v>
      </c>
      <c r="M1140" t="b">
        <f t="shared" si="34"/>
        <v>0</v>
      </c>
      <c r="N1140">
        <f t="shared" si="35"/>
        <v>0</v>
      </c>
    </row>
    <row r="1141" spans="3:14" x14ac:dyDescent="0.25">
      <c r="C1141" t="s">
        <v>1548</v>
      </c>
      <c r="D1141" t="s">
        <v>1051</v>
      </c>
      <c r="E1141" t="s">
        <v>404</v>
      </c>
      <c r="F1141">
        <v>0.1</v>
      </c>
      <c r="I1141" t="str">
        <v>US25746U1097</v>
      </c>
      <c r="J1141" t="str">
        <v>Excluded</v>
      </c>
      <c r="K1141">
        <v>0</v>
      </c>
      <c r="L1141" t="str" cm="1">
        <f t="array" ref="L1141">_xlfn.TEXTJOIN(",",TRUE,_xlfn._xlws.FILTER($C$5:$C$1727,($D$5:$D$1727=I1141)*($E$5:$E$1727=J1141)*($F$5:$F$1727=K1141)))</f>
        <v>Global</v>
      </c>
      <c r="M1141" t="b">
        <f t="shared" si="34"/>
        <v>0</v>
      </c>
      <c r="N1141">
        <f t="shared" si="35"/>
        <v>0</v>
      </c>
    </row>
    <row r="1142" spans="3:14" x14ac:dyDescent="0.25">
      <c r="C1142" t="s">
        <v>1548</v>
      </c>
      <c r="D1142" t="s">
        <v>1052</v>
      </c>
      <c r="E1142" t="s">
        <v>400</v>
      </c>
      <c r="F1142">
        <v>0</v>
      </c>
      <c r="I1142" t="str">
        <v>US25754A2015</v>
      </c>
      <c r="J1142" t="str">
        <v>Excluded</v>
      </c>
      <c r="K1142">
        <v>0</v>
      </c>
      <c r="L1142" t="str" cm="1">
        <f t="array" ref="L1142">_xlfn.TEXTJOIN(",",TRUE,_xlfn._xlws.FILTER($C$5:$C$1727,($D$5:$D$1727=I1142)*($E$5:$E$1727=J1142)*($F$5:$F$1727=K1142)))</f>
        <v>Global</v>
      </c>
      <c r="M1142" t="b">
        <f t="shared" si="34"/>
        <v>0</v>
      </c>
      <c r="N1142">
        <f t="shared" si="35"/>
        <v>0</v>
      </c>
    </row>
    <row r="1143" spans="3:14" x14ac:dyDescent="0.25">
      <c r="C1143" t="s">
        <v>1548</v>
      </c>
      <c r="D1143" t="s">
        <v>1053</v>
      </c>
      <c r="E1143" t="s">
        <v>401</v>
      </c>
      <c r="F1143">
        <v>0</v>
      </c>
      <c r="I1143" t="str">
        <v>US25809K1051</v>
      </c>
      <c r="J1143" t="str">
        <v>Excluded</v>
      </c>
      <c r="K1143">
        <v>0</v>
      </c>
      <c r="L1143" t="str" cm="1">
        <f t="array" ref="L1143">_xlfn.TEXTJOIN(",",TRUE,_xlfn._xlws.FILTER($C$5:$C$1727,($D$5:$D$1727=I1143)*($E$5:$E$1727=J1143)*($F$5:$F$1727=K1143)))</f>
        <v>Global</v>
      </c>
      <c r="M1143" t="b">
        <f t="shared" si="34"/>
        <v>0</v>
      </c>
      <c r="N1143">
        <f t="shared" si="35"/>
        <v>0</v>
      </c>
    </row>
    <row r="1144" spans="3:14" x14ac:dyDescent="0.25">
      <c r="C1144" t="s">
        <v>1548</v>
      </c>
      <c r="D1144" t="s">
        <v>1054</v>
      </c>
      <c r="E1144" t="s">
        <v>400</v>
      </c>
      <c r="F1144">
        <v>0</v>
      </c>
      <c r="I1144" t="str">
        <v>US2600031080</v>
      </c>
      <c r="J1144" t="str">
        <v>Excluded</v>
      </c>
      <c r="K1144">
        <v>0</v>
      </c>
      <c r="L1144" t="str" cm="1">
        <f t="array" ref="L1144">_xlfn.TEXTJOIN(",",TRUE,_xlfn._xlws.FILTER($C$5:$C$1727,($D$5:$D$1727=I1144)*($E$5:$E$1727=J1144)*($F$5:$F$1727=K1144)))</f>
        <v>Global</v>
      </c>
      <c r="M1144" t="b">
        <f t="shared" si="34"/>
        <v>0</v>
      </c>
      <c r="N1144">
        <f t="shared" si="35"/>
        <v>0</v>
      </c>
    </row>
    <row r="1145" spans="3:14" x14ac:dyDescent="0.25">
      <c r="C1145" t="s">
        <v>1548</v>
      </c>
      <c r="D1145" t="s">
        <v>1055</v>
      </c>
      <c r="E1145" t="s">
        <v>400</v>
      </c>
      <c r="F1145">
        <v>0</v>
      </c>
      <c r="I1145" t="str">
        <v>US2605571031</v>
      </c>
      <c r="J1145" t="str">
        <v>Excluded</v>
      </c>
      <c r="K1145">
        <v>0</v>
      </c>
      <c r="L1145" t="str" cm="1">
        <f t="array" ref="L1145">_xlfn.TEXTJOIN(",",TRUE,_xlfn._xlws.FILTER($C$5:$C$1727,($D$5:$D$1727=I1145)*($E$5:$E$1727=J1145)*($F$5:$F$1727=K1145)))</f>
        <v>Global</v>
      </c>
      <c r="M1145" t="b">
        <f t="shared" si="34"/>
        <v>0</v>
      </c>
      <c r="N1145">
        <f t="shared" si="35"/>
        <v>0</v>
      </c>
    </row>
    <row r="1146" spans="3:14" x14ac:dyDescent="0.25">
      <c r="C1146" t="s">
        <v>1548</v>
      </c>
      <c r="D1146" t="s">
        <v>1056</v>
      </c>
      <c r="E1146" t="s">
        <v>399</v>
      </c>
      <c r="F1146">
        <v>1</v>
      </c>
      <c r="I1146" t="str">
        <v>US26142V1052</v>
      </c>
      <c r="J1146" t="str">
        <v>Excluded</v>
      </c>
      <c r="K1146">
        <v>0</v>
      </c>
      <c r="L1146" t="str" cm="1">
        <f t="array" ref="L1146">_xlfn.TEXTJOIN(",",TRUE,_xlfn._xlws.FILTER($C$5:$C$1727,($D$5:$D$1727=I1146)*($E$5:$E$1727=J1146)*($F$5:$F$1727=K1146)))</f>
        <v>Global</v>
      </c>
      <c r="M1146" t="b">
        <f t="shared" si="34"/>
        <v>0</v>
      </c>
      <c r="N1146">
        <f t="shared" si="35"/>
        <v>0</v>
      </c>
    </row>
    <row r="1147" spans="3:14" x14ac:dyDescent="0.25">
      <c r="C1147" t="s">
        <v>1548</v>
      </c>
      <c r="D1147" t="s">
        <v>1057</v>
      </c>
      <c r="E1147" t="s">
        <v>400</v>
      </c>
      <c r="F1147">
        <v>0</v>
      </c>
      <c r="I1147" t="str">
        <v>US26441C2044</v>
      </c>
      <c r="J1147" t="str">
        <v>Excluded</v>
      </c>
      <c r="K1147">
        <v>0</v>
      </c>
      <c r="L1147" t="str" cm="1">
        <f t="array" ref="L1147">_xlfn.TEXTJOIN(",",TRUE,_xlfn._xlws.FILTER($C$5:$C$1727,($D$5:$D$1727=I1147)*($E$5:$E$1727=J1147)*($F$5:$F$1727=K1147)))</f>
        <v>Global</v>
      </c>
      <c r="M1147" t="b">
        <f t="shared" si="34"/>
        <v>0</v>
      </c>
      <c r="N1147">
        <f t="shared" si="35"/>
        <v>0</v>
      </c>
    </row>
    <row r="1148" spans="3:14" x14ac:dyDescent="0.25">
      <c r="C1148" t="s">
        <v>1548</v>
      </c>
      <c r="D1148" t="s">
        <v>1058</v>
      </c>
      <c r="E1148" t="s">
        <v>401</v>
      </c>
      <c r="F1148">
        <v>0</v>
      </c>
      <c r="I1148" t="str">
        <v>US26614N1028</v>
      </c>
      <c r="J1148" t="str">
        <v>Excluded</v>
      </c>
      <c r="K1148">
        <v>0</v>
      </c>
      <c r="L1148" t="str" cm="1">
        <f t="array" ref="L1148">_xlfn.TEXTJOIN(",",TRUE,_xlfn._xlws.FILTER($C$5:$C$1727,($D$5:$D$1727=I1148)*($E$5:$E$1727=J1148)*($F$5:$F$1727=K1148)))</f>
        <v>Global</v>
      </c>
      <c r="M1148" t="b">
        <f t="shared" si="34"/>
        <v>0</v>
      </c>
      <c r="N1148">
        <f t="shared" si="35"/>
        <v>0</v>
      </c>
    </row>
    <row r="1149" spans="3:14" x14ac:dyDescent="0.25">
      <c r="C1149" t="s">
        <v>1548</v>
      </c>
      <c r="D1149" t="s">
        <v>1059</v>
      </c>
      <c r="E1149" t="s">
        <v>400</v>
      </c>
      <c r="F1149">
        <v>0</v>
      </c>
      <c r="I1149" t="str">
        <v>US2681501092</v>
      </c>
      <c r="J1149" t="str">
        <v>Information technology</v>
      </c>
      <c r="K1149">
        <v>1</v>
      </c>
      <c r="L1149" t="str" cm="1">
        <f t="array" ref="L1149">_xlfn.TEXTJOIN(",",TRUE,_xlfn._xlws.FILTER($C$5:$C$1727,($D$5:$D$1727=I1149)*($E$5:$E$1727=J1149)*($F$5:$F$1727=K1149)))</f>
        <v>Global</v>
      </c>
      <c r="M1149" t="b">
        <f t="shared" si="34"/>
        <v>0</v>
      </c>
      <c r="N1149">
        <f t="shared" si="35"/>
        <v>0</v>
      </c>
    </row>
    <row r="1150" spans="3:14" x14ac:dyDescent="0.25">
      <c r="C1150" t="s">
        <v>1548</v>
      </c>
      <c r="D1150" t="s">
        <v>1060</v>
      </c>
      <c r="E1150" t="s">
        <v>400</v>
      </c>
      <c r="F1150">
        <v>0</v>
      </c>
      <c r="I1150" t="str">
        <v>US26875P1012</v>
      </c>
      <c r="J1150" t="str">
        <v>Excluded</v>
      </c>
      <c r="K1150">
        <v>0</v>
      </c>
      <c r="L1150" t="str" cm="1">
        <f t="array" ref="L1150">_xlfn.TEXTJOIN(",",TRUE,_xlfn._xlws.FILTER($C$5:$C$1727,($D$5:$D$1727=I1150)*($E$5:$E$1727=J1150)*($F$5:$F$1727=K1150)))</f>
        <v>Global</v>
      </c>
      <c r="M1150" t="b">
        <f t="shared" si="34"/>
        <v>0</v>
      </c>
      <c r="N1150">
        <f t="shared" si="35"/>
        <v>0</v>
      </c>
    </row>
    <row r="1151" spans="3:14" x14ac:dyDescent="0.25">
      <c r="C1151" t="s">
        <v>1548</v>
      </c>
      <c r="D1151" t="s">
        <v>74</v>
      </c>
      <c r="E1151" t="s">
        <v>399</v>
      </c>
      <c r="F1151">
        <v>0.72</v>
      </c>
      <c r="I1151" t="str">
        <v>US26884L1098</v>
      </c>
      <c r="J1151" t="str">
        <v>Excluded</v>
      </c>
      <c r="K1151">
        <v>0</v>
      </c>
      <c r="L1151" t="str" cm="1">
        <f t="array" ref="L1151">_xlfn.TEXTJOIN(",",TRUE,_xlfn._xlws.FILTER($C$5:$C$1727,($D$5:$D$1727=I1151)*($E$5:$E$1727=J1151)*($F$5:$F$1727=K1151)))</f>
        <v>Global</v>
      </c>
      <c r="M1151" t="b">
        <f t="shared" si="34"/>
        <v>0</v>
      </c>
      <c r="N1151">
        <f t="shared" si="35"/>
        <v>0</v>
      </c>
    </row>
    <row r="1152" spans="3:14" x14ac:dyDescent="0.25">
      <c r="C1152" t="s">
        <v>1548</v>
      </c>
      <c r="D1152" t="s">
        <v>1061</v>
      </c>
      <c r="E1152" t="s">
        <v>400</v>
      </c>
      <c r="F1152">
        <v>0</v>
      </c>
      <c r="I1152" t="str">
        <v>US27579R1041</v>
      </c>
      <c r="J1152" t="str">
        <v>Excluded</v>
      </c>
      <c r="K1152">
        <v>0</v>
      </c>
      <c r="L1152" t="str" cm="1">
        <f t="array" ref="L1152">_xlfn.TEXTJOIN(",",TRUE,_xlfn._xlws.FILTER($C$5:$C$1727,($D$5:$D$1727=I1152)*($E$5:$E$1727=J1152)*($F$5:$F$1727=K1152)))</f>
        <v>Global</v>
      </c>
      <c r="M1152" t="b">
        <f t="shared" si="34"/>
        <v>0</v>
      </c>
      <c r="N1152">
        <f t="shared" si="35"/>
        <v>0</v>
      </c>
    </row>
    <row r="1153" spans="3:14" x14ac:dyDescent="0.25">
      <c r="C1153" t="s">
        <v>1548</v>
      </c>
      <c r="D1153" t="s">
        <v>1062</v>
      </c>
      <c r="E1153" t="s">
        <v>401</v>
      </c>
      <c r="F1153">
        <v>0</v>
      </c>
      <c r="I1153" t="str">
        <v>US2786421030</v>
      </c>
      <c r="J1153" t="str">
        <v>Circular economy</v>
      </c>
      <c r="K1153">
        <v>0.4</v>
      </c>
      <c r="L1153" t="str" cm="1">
        <f t="array" ref="L1153">_xlfn.TEXTJOIN(",",TRUE,_xlfn._xlws.FILTER($C$5:$C$1727,($D$5:$D$1727=I1153)*($E$5:$E$1727=J1153)*($F$5:$F$1727=K1153)))</f>
        <v>Global</v>
      </c>
      <c r="M1153" t="b">
        <f t="shared" si="34"/>
        <v>0</v>
      </c>
      <c r="N1153">
        <f t="shared" si="35"/>
        <v>0</v>
      </c>
    </row>
    <row r="1154" spans="3:14" x14ac:dyDescent="0.25">
      <c r="C1154" t="s">
        <v>1548</v>
      </c>
      <c r="D1154" t="s">
        <v>1063</v>
      </c>
      <c r="E1154" t="s">
        <v>400</v>
      </c>
      <c r="F1154">
        <v>0</v>
      </c>
      <c r="I1154" t="str">
        <v>US2788651006</v>
      </c>
      <c r="J1154" t="str">
        <v>Climate change adaptation</v>
      </c>
      <c r="K1154">
        <v>0.7</v>
      </c>
      <c r="L1154" t="str" cm="1">
        <f t="array" ref="L1154">_xlfn.TEXTJOIN(",",TRUE,_xlfn._xlws.FILTER($C$5:$C$1727,($D$5:$D$1727=I1154)*($E$5:$E$1727=J1154)*($F$5:$F$1727=K1154)))</f>
        <v>Global</v>
      </c>
      <c r="M1154" t="b">
        <f t="shared" si="34"/>
        <v>0</v>
      </c>
      <c r="N1154">
        <f t="shared" si="35"/>
        <v>0</v>
      </c>
    </row>
    <row r="1155" spans="3:14" x14ac:dyDescent="0.25">
      <c r="C1155" t="s">
        <v>1548</v>
      </c>
      <c r="D1155" t="s">
        <v>1064</v>
      </c>
      <c r="E1155" t="s">
        <v>401</v>
      </c>
      <c r="F1155">
        <v>0</v>
      </c>
      <c r="I1155" t="str">
        <v>US2810201077</v>
      </c>
      <c r="J1155" t="str">
        <v>Excluded</v>
      </c>
      <c r="K1155">
        <v>0</v>
      </c>
      <c r="L1155" t="str" cm="1">
        <f t="array" ref="L1155">_xlfn.TEXTJOIN(",",TRUE,_xlfn._xlws.FILTER($C$5:$C$1727,($D$5:$D$1727=I1155)*($E$5:$E$1727=J1155)*($F$5:$F$1727=K1155)))</f>
        <v>Global</v>
      </c>
      <c r="M1155" t="b">
        <f t="shared" si="34"/>
        <v>0</v>
      </c>
      <c r="N1155">
        <f t="shared" si="35"/>
        <v>0</v>
      </c>
    </row>
    <row r="1156" spans="3:14" x14ac:dyDescent="0.25">
      <c r="C1156" t="s">
        <v>1548</v>
      </c>
      <c r="D1156" t="s">
        <v>1065</v>
      </c>
      <c r="E1156" t="s">
        <v>401</v>
      </c>
      <c r="F1156">
        <v>0</v>
      </c>
      <c r="I1156" t="str">
        <v>US28176E1082</v>
      </c>
      <c r="J1156" t="str">
        <v>Not included in a theme</v>
      </c>
      <c r="K1156">
        <v>0</v>
      </c>
      <c r="L1156" t="str" cm="1">
        <f t="array" ref="L1156">_xlfn.TEXTJOIN(",",TRUE,_xlfn._xlws.FILTER($C$5:$C$1727,($D$5:$D$1727=I1156)*($E$5:$E$1727=J1156)*($F$5:$F$1727=K1156)))</f>
        <v>Global</v>
      </c>
      <c r="M1156" t="b">
        <f t="shared" si="34"/>
        <v>0</v>
      </c>
      <c r="N1156">
        <f t="shared" si="35"/>
        <v>0</v>
      </c>
    </row>
    <row r="1157" spans="3:14" x14ac:dyDescent="0.25">
      <c r="C1157" t="s">
        <v>1548</v>
      </c>
      <c r="D1157" t="s">
        <v>1066</v>
      </c>
      <c r="E1157" t="s">
        <v>402</v>
      </c>
      <c r="F1157">
        <v>1</v>
      </c>
      <c r="I1157" t="str">
        <v>US28414H1032</v>
      </c>
      <c r="J1157" t="str">
        <v>Excluded</v>
      </c>
      <c r="K1157">
        <v>0</v>
      </c>
      <c r="L1157" t="str" cm="1">
        <f t="array" ref="L1157">_xlfn.TEXTJOIN(",",TRUE,_xlfn._xlws.FILTER($C$5:$C$1727,($D$5:$D$1727=I1157)*($E$5:$E$1727=J1157)*($F$5:$F$1727=K1157)))</f>
        <v>Global</v>
      </c>
      <c r="M1157" t="b">
        <f t="shared" si="34"/>
        <v>0</v>
      </c>
      <c r="N1157">
        <f t="shared" si="35"/>
        <v>0</v>
      </c>
    </row>
    <row r="1158" spans="3:14" x14ac:dyDescent="0.25">
      <c r="C1158" t="s">
        <v>1548</v>
      </c>
      <c r="D1158" t="s">
        <v>130</v>
      </c>
      <c r="E1158" t="s">
        <v>401</v>
      </c>
      <c r="F1158">
        <v>0</v>
      </c>
      <c r="I1158" t="str">
        <v>US2855121099</v>
      </c>
      <c r="J1158" t="str">
        <v>Excluded</v>
      </c>
      <c r="K1158">
        <v>0</v>
      </c>
      <c r="L1158" t="str" cm="1">
        <f t="array" ref="L1158">_xlfn.TEXTJOIN(",",TRUE,_xlfn._xlws.FILTER($C$5:$C$1727,($D$5:$D$1727=I1158)*($E$5:$E$1727=J1158)*($F$5:$F$1727=K1158)))</f>
        <v>Global</v>
      </c>
      <c r="M1158" t="b">
        <f t="shared" ref="M1158:M1221" si="36">COUNTIFS($I$5:$I$1556,I1158)&gt;1</f>
        <v>0</v>
      </c>
      <c r="N1158">
        <f t="shared" ref="N1158:N1221" si="37">COUNTIFS($U$5:$U$231,I1158)</f>
        <v>0</v>
      </c>
    </row>
    <row r="1159" spans="3:14" x14ac:dyDescent="0.25">
      <c r="C1159" t="s">
        <v>1548</v>
      </c>
      <c r="D1159" t="s">
        <v>1067</v>
      </c>
      <c r="E1159" t="s">
        <v>400</v>
      </c>
      <c r="F1159">
        <v>0</v>
      </c>
      <c r="I1159" t="str">
        <v>US29084Q1004</v>
      </c>
      <c r="J1159" t="str">
        <v>Excluded</v>
      </c>
      <c r="K1159">
        <v>0</v>
      </c>
      <c r="L1159" t="str" cm="1">
        <f t="array" ref="L1159">_xlfn.TEXTJOIN(",",TRUE,_xlfn._xlws.FILTER($C$5:$C$1727,($D$5:$D$1727=I1159)*($E$5:$E$1727=J1159)*($F$5:$F$1727=K1159)))</f>
        <v>Global</v>
      </c>
      <c r="M1159" t="b">
        <f t="shared" si="36"/>
        <v>0</v>
      </c>
      <c r="N1159">
        <f t="shared" si="37"/>
        <v>0</v>
      </c>
    </row>
    <row r="1160" spans="3:14" x14ac:dyDescent="0.25">
      <c r="C1160" t="s">
        <v>1548</v>
      </c>
      <c r="D1160" t="s">
        <v>1068</v>
      </c>
      <c r="E1160" t="s">
        <v>400</v>
      </c>
      <c r="F1160">
        <v>0</v>
      </c>
      <c r="I1160" t="str">
        <v>US2910111044</v>
      </c>
      <c r="J1160" t="str">
        <v>Excluded</v>
      </c>
      <c r="K1160">
        <v>0</v>
      </c>
      <c r="L1160" t="str" cm="1">
        <f t="array" ref="L1160">_xlfn.TEXTJOIN(",",TRUE,_xlfn._xlws.FILTER($C$5:$C$1727,($D$5:$D$1727=I1160)*($E$5:$E$1727=J1160)*($F$5:$F$1727=K1160)))</f>
        <v>Global</v>
      </c>
      <c r="M1160" t="b">
        <f t="shared" si="36"/>
        <v>0</v>
      </c>
      <c r="N1160">
        <f t="shared" si="37"/>
        <v>0</v>
      </c>
    </row>
    <row r="1161" spans="3:14" x14ac:dyDescent="0.25">
      <c r="C1161" t="s">
        <v>1548</v>
      </c>
      <c r="D1161" t="s">
        <v>1069</v>
      </c>
      <c r="E1161" t="s">
        <v>401</v>
      </c>
      <c r="F1161">
        <v>0</v>
      </c>
      <c r="I1161" t="str">
        <v>US29261A1007</v>
      </c>
      <c r="J1161" t="str">
        <v>Excluded</v>
      </c>
      <c r="K1161">
        <v>0</v>
      </c>
      <c r="L1161" t="str" cm="1">
        <f t="array" ref="L1161">_xlfn.TEXTJOIN(",",TRUE,_xlfn._xlws.FILTER($C$5:$C$1727,($D$5:$D$1727=I1161)*($E$5:$E$1727=J1161)*($F$5:$F$1727=K1161)))</f>
        <v>Global</v>
      </c>
      <c r="M1161" t="b">
        <f t="shared" si="36"/>
        <v>0</v>
      </c>
      <c r="N1161">
        <f t="shared" si="37"/>
        <v>0</v>
      </c>
    </row>
    <row r="1162" spans="3:14" x14ac:dyDescent="0.25">
      <c r="C1162" t="s">
        <v>1548</v>
      </c>
      <c r="D1162" t="s">
        <v>1070</v>
      </c>
      <c r="E1162" t="s">
        <v>400</v>
      </c>
      <c r="F1162">
        <v>0</v>
      </c>
      <c r="I1162" t="str">
        <v>US29273V1008</v>
      </c>
      <c r="J1162" t="str">
        <v>Excluded</v>
      </c>
      <c r="K1162">
        <v>0</v>
      </c>
      <c r="L1162" t="str" cm="1">
        <f t="array" ref="L1162">_xlfn.TEXTJOIN(",",TRUE,_xlfn._xlws.FILTER($C$5:$C$1727,($D$5:$D$1727=I1162)*($E$5:$E$1727=J1162)*($F$5:$F$1727=K1162)))</f>
        <v>Global</v>
      </c>
      <c r="M1162" t="b">
        <f t="shared" si="36"/>
        <v>0</v>
      </c>
      <c r="N1162">
        <f t="shared" si="37"/>
        <v>0</v>
      </c>
    </row>
    <row r="1163" spans="3:14" x14ac:dyDescent="0.25">
      <c r="C1163" t="s">
        <v>1548</v>
      </c>
      <c r="D1163" t="s">
        <v>125</v>
      </c>
      <c r="E1163" t="s">
        <v>400</v>
      </c>
      <c r="F1163">
        <v>0</v>
      </c>
      <c r="I1163" t="str">
        <v>US29358P1012</v>
      </c>
      <c r="J1163" t="str">
        <v>Excluded</v>
      </c>
      <c r="K1163">
        <v>0</v>
      </c>
      <c r="L1163" t="str" cm="1">
        <f t="array" ref="L1163">_xlfn.TEXTJOIN(",",TRUE,_xlfn._xlws.FILTER($C$5:$C$1727,($D$5:$D$1727=I1163)*($E$5:$E$1727=J1163)*($F$5:$F$1727=K1163)))</f>
        <v>Global</v>
      </c>
      <c r="M1163" t="b">
        <f t="shared" si="36"/>
        <v>0</v>
      </c>
      <c r="N1163">
        <f t="shared" si="37"/>
        <v>0</v>
      </c>
    </row>
    <row r="1164" spans="3:14" x14ac:dyDescent="0.25">
      <c r="C1164" t="s">
        <v>1548</v>
      </c>
      <c r="D1164" t="s">
        <v>1071</v>
      </c>
      <c r="E1164" t="s">
        <v>400</v>
      </c>
      <c r="F1164">
        <v>0</v>
      </c>
      <c r="I1164" t="str">
        <v>US29362U1043</v>
      </c>
      <c r="J1164" t="str">
        <v>Information technology</v>
      </c>
      <c r="K1164">
        <v>0.63</v>
      </c>
      <c r="L1164" t="str" cm="1">
        <f t="array" ref="L1164">_xlfn.TEXTJOIN(",",TRUE,_xlfn._xlws.FILTER($C$5:$C$1727,($D$5:$D$1727=I1164)*($E$5:$E$1727=J1164)*($F$5:$F$1727=K1164)))</f>
        <v>Global</v>
      </c>
      <c r="M1164" t="b">
        <f t="shared" si="36"/>
        <v>0</v>
      </c>
      <c r="N1164">
        <f t="shared" si="37"/>
        <v>0</v>
      </c>
    </row>
    <row r="1165" spans="3:14" x14ac:dyDescent="0.25">
      <c r="C1165" t="s">
        <v>1548</v>
      </c>
      <c r="D1165" t="s">
        <v>120</v>
      </c>
      <c r="E1165" t="s">
        <v>401</v>
      </c>
      <c r="F1165">
        <v>0</v>
      </c>
      <c r="I1165" t="str">
        <v>US29364G1031</v>
      </c>
      <c r="J1165" t="str">
        <v>Excluded</v>
      </c>
      <c r="K1165">
        <v>0</v>
      </c>
      <c r="L1165" t="str" cm="1">
        <f t="array" ref="L1165">_xlfn.TEXTJOIN(",",TRUE,_xlfn._xlws.FILTER($C$5:$C$1727,($D$5:$D$1727=I1165)*($E$5:$E$1727=J1165)*($F$5:$F$1727=K1165)))</f>
        <v>Global</v>
      </c>
      <c r="M1165" t="b">
        <f t="shared" si="36"/>
        <v>0</v>
      </c>
      <c r="N1165">
        <f t="shared" si="37"/>
        <v>0</v>
      </c>
    </row>
    <row r="1166" spans="3:14" x14ac:dyDescent="0.25">
      <c r="C1166" t="s">
        <v>1548</v>
      </c>
      <c r="D1166" t="s">
        <v>1072</v>
      </c>
      <c r="E1166" t="s">
        <v>400</v>
      </c>
      <c r="F1166">
        <v>0</v>
      </c>
      <c r="I1166" t="str">
        <v>US2937921078</v>
      </c>
      <c r="J1166" t="str">
        <v>Excluded</v>
      </c>
      <c r="K1166">
        <v>0</v>
      </c>
      <c r="L1166" t="str" cm="1">
        <f t="array" ref="L1166">_xlfn.TEXTJOIN(",",TRUE,_xlfn._xlws.FILTER($C$5:$C$1727,($D$5:$D$1727=I1166)*($E$5:$E$1727=J1166)*($F$5:$F$1727=K1166)))</f>
        <v>Global</v>
      </c>
      <c r="M1166" t="b">
        <f t="shared" si="36"/>
        <v>0</v>
      </c>
      <c r="N1166">
        <f t="shared" si="37"/>
        <v>0</v>
      </c>
    </row>
    <row r="1167" spans="3:14" x14ac:dyDescent="0.25">
      <c r="C1167" t="s">
        <v>1548</v>
      </c>
      <c r="D1167" t="s">
        <v>75</v>
      </c>
      <c r="E1167" t="s">
        <v>401</v>
      </c>
      <c r="F1167">
        <v>0</v>
      </c>
      <c r="I1167" t="str">
        <v>US2944291051</v>
      </c>
      <c r="J1167" t="str">
        <v>Excluded</v>
      </c>
      <c r="K1167">
        <v>0</v>
      </c>
      <c r="L1167" t="str" cm="1">
        <f t="array" ref="L1167">_xlfn.TEXTJOIN(",",TRUE,_xlfn._xlws.FILTER($C$5:$C$1727,($D$5:$D$1727=I1167)*($E$5:$E$1727=J1167)*($F$5:$F$1727=K1167)))</f>
        <v>Global</v>
      </c>
      <c r="M1167" t="b">
        <f t="shared" si="36"/>
        <v>0</v>
      </c>
      <c r="N1167">
        <f t="shared" si="37"/>
        <v>0</v>
      </c>
    </row>
    <row r="1168" spans="3:14" x14ac:dyDescent="0.25">
      <c r="C1168" t="s">
        <v>1548</v>
      </c>
      <c r="D1168" t="s">
        <v>1073</v>
      </c>
      <c r="E1168" t="s">
        <v>400</v>
      </c>
      <c r="F1168">
        <v>0</v>
      </c>
      <c r="I1168" t="str">
        <v>US29444U7000</v>
      </c>
      <c r="J1168" t="str">
        <v>Information technology</v>
      </c>
      <c r="K1168">
        <v>0.96</v>
      </c>
      <c r="L1168" t="str" cm="1">
        <f t="array" ref="L1168">_xlfn.TEXTJOIN(",",TRUE,_xlfn._xlws.FILTER($C$5:$C$1727,($D$5:$D$1727=I1168)*($E$5:$E$1727=J1168)*($F$5:$F$1727=K1168)))</f>
        <v>Global</v>
      </c>
      <c r="M1168" t="b">
        <f t="shared" si="36"/>
        <v>0</v>
      </c>
      <c r="N1168">
        <f t="shared" si="37"/>
        <v>0</v>
      </c>
    </row>
    <row r="1169" spans="3:14" x14ac:dyDescent="0.25">
      <c r="C1169" t="s">
        <v>1548</v>
      </c>
      <c r="D1169" t="s">
        <v>1074</v>
      </c>
      <c r="E1169" t="s">
        <v>400</v>
      </c>
      <c r="F1169">
        <v>0</v>
      </c>
      <c r="I1169" t="str">
        <v>US29452E1010</v>
      </c>
      <c r="J1169" t="str">
        <v>Excluded</v>
      </c>
      <c r="K1169">
        <v>0</v>
      </c>
      <c r="L1169" t="str" cm="1">
        <f t="array" ref="L1169">_xlfn.TEXTJOIN(",",TRUE,_xlfn._xlws.FILTER($C$5:$C$1727,($D$5:$D$1727=I1169)*($E$5:$E$1727=J1169)*($F$5:$F$1727=K1169)))</f>
        <v>Global</v>
      </c>
      <c r="M1169" t="b">
        <f t="shared" si="36"/>
        <v>0</v>
      </c>
      <c r="N1169">
        <f t="shared" si="37"/>
        <v>0</v>
      </c>
    </row>
    <row r="1170" spans="3:14" x14ac:dyDescent="0.25">
      <c r="C1170" t="s">
        <v>1548</v>
      </c>
      <c r="D1170" t="s">
        <v>1075</v>
      </c>
      <c r="E1170" t="s">
        <v>402</v>
      </c>
      <c r="F1170">
        <v>0.35</v>
      </c>
      <c r="I1170" t="str">
        <v>US29472R1086</v>
      </c>
      <c r="J1170" t="str">
        <v>Ecoconstruction</v>
      </c>
      <c r="K1170">
        <v>0.57999999999999996</v>
      </c>
      <c r="L1170" t="str" cm="1">
        <f t="array" ref="L1170">_xlfn.TEXTJOIN(",",TRUE,_xlfn._xlws.FILTER($C$5:$C$1727,($D$5:$D$1727=I1170)*($E$5:$E$1727=J1170)*($F$5:$F$1727=K1170)))</f>
        <v>Global</v>
      </c>
      <c r="M1170" t="b">
        <f t="shared" si="36"/>
        <v>0</v>
      </c>
      <c r="N1170">
        <f t="shared" si="37"/>
        <v>0</v>
      </c>
    </row>
    <row r="1171" spans="3:14" x14ac:dyDescent="0.25">
      <c r="C1171" t="s">
        <v>1548</v>
      </c>
      <c r="D1171" t="s">
        <v>133</v>
      </c>
      <c r="E1171" t="s">
        <v>401</v>
      </c>
      <c r="F1171">
        <v>0</v>
      </c>
      <c r="I1171" t="str">
        <v>US29476L1070</v>
      </c>
      <c r="J1171" t="str">
        <v>Ecoconstruction</v>
      </c>
      <c r="K1171">
        <v>0.13</v>
      </c>
      <c r="L1171" t="str" cm="1">
        <f t="array" ref="L1171">_xlfn.TEXTJOIN(",",TRUE,_xlfn._xlws.FILTER($C$5:$C$1727,($D$5:$D$1727=I1171)*($E$5:$E$1727=J1171)*($F$5:$F$1727=K1171)))</f>
        <v>Global</v>
      </c>
      <c r="M1171" t="b">
        <f t="shared" si="36"/>
        <v>0</v>
      </c>
      <c r="N1171">
        <f t="shared" si="37"/>
        <v>0</v>
      </c>
    </row>
    <row r="1172" spans="3:14" x14ac:dyDescent="0.25">
      <c r="C1172" t="s">
        <v>1548</v>
      </c>
      <c r="D1172" t="s">
        <v>1076</v>
      </c>
      <c r="E1172" t="s">
        <v>400</v>
      </c>
      <c r="F1172">
        <v>0</v>
      </c>
      <c r="I1172" t="str">
        <v>US29670G1022</v>
      </c>
      <c r="J1172" t="str">
        <v>Excluded</v>
      </c>
      <c r="K1172">
        <v>0</v>
      </c>
      <c r="L1172" t="str" cm="1">
        <f t="array" ref="L1172">_xlfn.TEXTJOIN(",",TRUE,_xlfn._xlws.FILTER($C$5:$C$1727,($D$5:$D$1727=I1172)*($E$5:$E$1727=J1172)*($F$5:$F$1727=K1172)))</f>
        <v>Global</v>
      </c>
      <c r="M1172" t="b">
        <f t="shared" si="36"/>
        <v>0</v>
      </c>
      <c r="N1172">
        <f t="shared" si="37"/>
        <v>0</v>
      </c>
    </row>
    <row r="1173" spans="3:14" x14ac:dyDescent="0.25">
      <c r="C1173" t="s">
        <v>1548</v>
      </c>
      <c r="D1173" t="s">
        <v>1077</v>
      </c>
      <c r="E1173" t="s">
        <v>400</v>
      </c>
      <c r="F1173">
        <v>0</v>
      </c>
      <c r="I1173" t="str">
        <v>US2971781057</v>
      </c>
      <c r="J1173" t="str">
        <v>Excluded</v>
      </c>
      <c r="K1173">
        <v>0</v>
      </c>
      <c r="L1173" t="str" cm="1">
        <f t="array" ref="L1173">_xlfn.TEXTJOIN(",",TRUE,_xlfn._xlws.FILTER($C$5:$C$1727,($D$5:$D$1727=I1173)*($E$5:$E$1727=J1173)*($F$5:$F$1727=K1173)))</f>
        <v>Global</v>
      </c>
      <c r="M1173" t="b">
        <f t="shared" si="36"/>
        <v>0</v>
      </c>
      <c r="N1173">
        <f t="shared" si="37"/>
        <v>0</v>
      </c>
    </row>
    <row r="1174" spans="3:14" x14ac:dyDescent="0.25">
      <c r="C1174" t="s">
        <v>1548</v>
      </c>
      <c r="D1174" t="s">
        <v>1078</v>
      </c>
      <c r="E1174" t="s">
        <v>399</v>
      </c>
      <c r="F1174">
        <v>0.7</v>
      </c>
      <c r="I1174" t="str">
        <v>US29977A1051</v>
      </c>
      <c r="J1174" t="str">
        <v>Excluded</v>
      </c>
      <c r="K1174">
        <v>0</v>
      </c>
      <c r="L1174" t="str" cm="1">
        <f t="array" ref="L1174">_xlfn.TEXTJOIN(",",TRUE,_xlfn._xlws.FILTER($C$5:$C$1727,($D$5:$D$1727=I1174)*($E$5:$E$1727=J1174)*($F$5:$F$1727=K1174)))</f>
        <v>Global</v>
      </c>
      <c r="M1174" t="b">
        <f t="shared" si="36"/>
        <v>0</v>
      </c>
      <c r="N1174">
        <f t="shared" si="37"/>
        <v>0</v>
      </c>
    </row>
    <row r="1175" spans="3:14" x14ac:dyDescent="0.25">
      <c r="C1175" t="s">
        <v>1548</v>
      </c>
      <c r="D1175" t="s">
        <v>1079</v>
      </c>
      <c r="E1175" t="s">
        <v>400</v>
      </c>
      <c r="F1175">
        <v>0</v>
      </c>
      <c r="I1175" t="str">
        <v>US30034W1062</v>
      </c>
      <c r="J1175" t="str">
        <v>Excluded</v>
      </c>
      <c r="K1175">
        <v>0</v>
      </c>
      <c r="L1175" t="str" cm="1">
        <f t="array" ref="L1175">_xlfn.TEXTJOIN(",",TRUE,_xlfn._xlws.FILTER($C$5:$C$1727,($D$5:$D$1727=I1175)*($E$5:$E$1727=J1175)*($F$5:$F$1727=K1175)))</f>
        <v>Global</v>
      </c>
      <c r="M1175" t="b">
        <f t="shared" si="36"/>
        <v>0</v>
      </c>
      <c r="N1175">
        <f t="shared" si="37"/>
        <v>0</v>
      </c>
    </row>
    <row r="1176" spans="3:14" x14ac:dyDescent="0.25">
      <c r="C1176" t="s">
        <v>1548</v>
      </c>
      <c r="D1176" t="s">
        <v>1080</v>
      </c>
      <c r="E1176" t="s">
        <v>400</v>
      </c>
      <c r="F1176">
        <v>0</v>
      </c>
      <c r="I1176" t="str">
        <v>US30040W1080</v>
      </c>
      <c r="J1176" t="str">
        <v>Excluded</v>
      </c>
      <c r="K1176">
        <v>0</v>
      </c>
      <c r="L1176" t="str" cm="1">
        <f t="array" ref="L1176">_xlfn.TEXTJOIN(",",TRUE,_xlfn._xlws.FILTER($C$5:$C$1727,($D$5:$D$1727=I1176)*($E$5:$E$1727=J1176)*($F$5:$F$1727=K1176)))</f>
        <v>Global</v>
      </c>
      <c r="M1176" t="b">
        <f t="shared" si="36"/>
        <v>0</v>
      </c>
      <c r="N1176">
        <f t="shared" si="37"/>
        <v>0</v>
      </c>
    </row>
    <row r="1177" spans="3:14" x14ac:dyDescent="0.25">
      <c r="C1177" t="s">
        <v>1548</v>
      </c>
      <c r="D1177" t="s">
        <v>1081</v>
      </c>
      <c r="E1177" t="s">
        <v>400</v>
      </c>
      <c r="F1177">
        <v>0</v>
      </c>
      <c r="I1177" t="str">
        <v>US30063P1057</v>
      </c>
      <c r="J1177" t="str">
        <v>Excluded</v>
      </c>
      <c r="K1177">
        <v>0</v>
      </c>
      <c r="L1177" t="str" cm="1">
        <f t="array" ref="L1177">_xlfn.TEXTJOIN(",",TRUE,_xlfn._xlws.FILTER($C$5:$C$1727,($D$5:$D$1727=I1177)*($E$5:$E$1727=J1177)*($F$5:$F$1727=K1177)))</f>
        <v>Global</v>
      </c>
      <c r="M1177" t="b">
        <f t="shared" si="36"/>
        <v>0</v>
      </c>
      <c r="N1177">
        <f t="shared" si="37"/>
        <v>0</v>
      </c>
    </row>
    <row r="1178" spans="3:14" x14ac:dyDescent="0.25">
      <c r="C1178" t="s">
        <v>1548</v>
      </c>
      <c r="D1178" t="s">
        <v>1082</v>
      </c>
      <c r="E1178" t="s">
        <v>400</v>
      </c>
      <c r="F1178">
        <v>0</v>
      </c>
      <c r="I1178" t="str">
        <v>US30161N1019</v>
      </c>
      <c r="J1178" t="str">
        <v>Excluded</v>
      </c>
      <c r="K1178">
        <v>0</v>
      </c>
      <c r="L1178" t="str" cm="1">
        <f t="array" ref="L1178">_xlfn.TEXTJOIN(",",TRUE,_xlfn._xlws.FILTER($C$5:$C$1727,($D$5:$D$1727=I1178)*($E$5:$E$1727=J1178)*($F$5:$F$1727=K1178)))</f>
        <v>Global</v>
      </c>
      <c r="M1178" t="b">
        <f t="shared" si="36"/>
        <v>0</v>
      </c>
      <c r="N1178">
        <f t="shared" si="37"/>
        <v>0</v>
      </c>
    </row>
    <row r="1179" spans="3:14" x14ac:dyDescent="0.25">
      <c r="C1179" t="s">
        <v>1548</v>
      </c>
      <c r="D1179" t="s">
        <v>1083</v>
      </c>
      <c r="E1179" t="s">
        <v>401</v>
      </c>
      <c r="F1179">
        <v>0</v>
      </c>
      <c r="I1179" t="str">
        <v>US30212P3038</v>
      </c>
      <c r="J1179" t="str">
        <v>Excluded</v>
      </c>
      <c r="K1179">
        <v>0</v>
      </c>
      <c r="L1179" t="str" cm="1">
        <f t="array" ref="L1179">_xlfn.TEXTJOIN(",",TRUE,_xlfn._xlws.FILTER($C$5:$C$1727,($D$5:$D$1727=I1179)*($E$5:$E$1727=J1179)*($F$5:$F$1727=K1179)))</f>
        <v>Global</v>
      </c>
      <c r="M1179" t="b">
        <f t="shared" si="36"/>
        <v>0</v>
      </c>
      <c r="N1179">
        <f t="shared" si="37"/>
        <v>0</v>
      </c>
    </row>
    <row r="1180" spans="3:14" x14ac:dyDescent="0.25">
      <c r="C1180" t="s">
        <v>1548</v>
      </c>
      <c r="D1180" t="s">
        <v>1084</v>
      </c>
      <c r="E1180" t="s">
        <v>400</v>
      </c>
      <c r="F1180">
        <v>0</v>
      </c>
      <c r="I1180" t="str">
        <v>US3021301094</v>
      </c>
      <c r="J1180" t="str">
        <v>Excluded</v>
      </c>
      <c r="K1180">
        <v>0</v>
      </c>
      <c r="L1180" t="str" cm="1">
        <f t="array" ref="L1180">_xlfn.TEXTJOIN(",",TRUE,_xlfn._xlws.FILTER($C$5:$C$1727,($D$5:$D$1727=I1180)*($E$5:$E$1727=J1180)*($F$5:$F$1727=K1180)))</f>
        <v>Global</v>
      </c>
      <c r="M1180" t="b">
        <f t="shared" si="36"/>
        <v>0</v>
      </c>
      <c r="N1180">
        <f t="shared" si="37"/>
        <v>0</v>
      </c>
    </row>
    <row r="1181" spans="3:14" x14ac:dyDescent="0.25">
      <c r="C1181" t="s">
        <v>1548</v>
      </c>
      <c r="D1181" t="s">
        <v>1085</v>
      </c>
      <c r="E1181" t="s">
        <v>400</v>
      </c>
      <c r="F1181">
        <v>0</v>
      </c>
      <c r="I1181" t="str">
        <v>US30225T1025</v>
      </c>
      <c r="J1181" t="str">
        <v>Ecoconstruction</v>
      </c>
      <c r="K1181">
        <v>1</v>
      </c>
      <c r="L1181" t="str" cm="1">
        <f t="array" ref="L1181">_xlfn.TEXTJOIN(",",TRUE,_xlfn._xlws.FILTER($C$5:$C$1727,($D$5:$D$1727=I1181)*($E$5:$E$1727=J1181)*($F$5:$F$1727=K1181)))</f>
        <v>Global</v>
      </c>
      <c r="M1181" t="b">
        <f t="shared" si="36"/>
        <v>0</v>
      </c>
      <c r="N1181">
        <f t="shared" si="37"/>
        <v>0</v>
      </c>
    </row>
    <row r="1182" spans="3:14" x14ac:dyDescent="0.25">
      <c r="C1182" t="s">
        <v>1548</v>
      </c>
      <c r="D1182" t="s">
        <v>1086</v>
      </c>
      <c r="E1182" t="s">
        <v>400</v>
      </c>
      <c r="F1182">
        <v>0</v>
      </c>
      <c r="I1182" t="str">
        <v>US30231G1022</v>
      </c>
      <c r="J1182" t="str">
        <v>Excluded</v>
      </c>
      <c r="K1182">
        <v>0</v>
      </c>
      <c r="L1182" t="str" cm="1">
        <f t="array" ref="L1182">_xlfn.TEXTJOIN(",",TRUE,_xlfn._xlws.FILTER($C$5:$C$1727,($D$5:$D$1727=I1182)*($E$5:$E$1727=J1182)*($F$5:$F$1727=K1182)))</f>
        <v>Global</v>
      </c>
      <c r="M1182" t="b">
        <f t="shared" si="36"/>
        <v>0</v>
      </c>
      <c r="N1182">
        <f t="shared" si="37"/>
        <v>0</v>
      </c>
    </row>
    <row r="1183" spans="3:14" x14ac:dyDescent="0.25">
      <c r="C1183" t="s">
        <v>1548</v>
      </c>
      <c r="D1183" t="s">
        <v>1087</v>
      </c>
      <c r="E1183" t="s">
        <v>406</v>
      </c>
      <c r="F1183">
        <v>0.91</v>
      </c>
      <c r="I1183" t="str">
        <v>US30303M1027</v>
      </c>
      <c r="J1183" t="str">
        <v>Excluded</v>
      </c>
      <c r="K1183">
        <v>0</v>
      </c>
      <c r="L1183" t="str" cm="1">
        <f t="array" ref="L1183">_xlfn.TEXTJOIN(",",TRUE,_xlfn._xlws.FILTER($C$5:$C$1727,($D$5:$D$1727=I1183)*($E$5:$E$1727=J1183)*($F$5:$F$1727=K1183)))</f>
        <v>Global</v>
      </c>
      <c r="M1183" t="b">
        <f t="shared" si="36"/>
        <v>0</v>
      </c>
      <c r="N1183">
        <f t="shared" si="37"/>
        <v>0</v>
      </c>
    </row>
    <row r="1184" spans="3:14" x14ac:dyDescent="0.25">
      <c r="C1184" t="s">
        <v>1548</v>
      </c>
      <c r="D1184" t="s">
        <v>1088</v>
      </c>
      <c r="E1184" t="s">
        <v>406</v>
      </c>
      <c r="F1184">
        <v>0.65</v>
      </c>
      <c r="I1184" t="str">
        <v>US3030751057</v>
      </c>
      <c r="J1184" t="str">
        <v>Not included in a theme</v>
      </c>
      <c r="K1184">
        <v>0</v>
      </c>
      <c r="L1184" t="str" cm="1">
        <f t="array" ref="L1184">_xlfn.TEXTJOIN(",",TRUE,_xlfn._xlws.FILTER($C$5:$C$1727,($D$5:$D$1727=I1184)*($E$5:$E$1727=J1184)*($F$5:$F$1727=K1184)))</f>
        <v>Global</v>
      </c>
      <c r="M1184" t="b">
        <f t="shared" si="36"/>
        <v>0</v>
      </c>
      <c r="N1184">
        <f t="shared" si="37"/>
        <v>0</v>
      </c>
    </row>
    <row r="1185" spans="3:14" x14ac:dyDescent="0.25">
      <c r="C1185" t="s">
        <v>1548</v>
      </c>
      <c r="D1185" t="s">
        <v>107</v>
      </c>
      <c r="E1185" t="s">
        <v>401</v>
      </c>
      <c r="F1185">
        <v>0</v>
      </c>
      <c r="I1185" t="str">
        <v>US3032501047</v>
      </c>
      <c r="J1185" t="str">
        <v>Excluded</v>
      </c>
      <c r="K1185">
        <v>0</v>
      </c>
      <c r="L1185" t="str" cm="1">
        <f t="array" ref="L1185">_xlfn.TEXTJOIN(",",TRUE,_xlfn._xlws.FILTER($C$5:$C$1727,($D$5:$D$1727=I1185)*($E$5:$E$1727=J1185)*($F$5:$F$1727=K1185)))</f>
        <v>Global</v>
      </c>
      <c r="M1185" t="b">
        <f t="shared" si="36"/>
        <v>0</v>
      </c>
      <c r="N1185">
        <f t="shared" si="37"/>
        <v>0</v>
      </c>
    </row>
    <row r="1186" spans="3:14" x14ac:dyDescent="0.25">
      <c r="C1186" t="s">
        <v>1548</v>
      </c>
      <c r="D1186" t="s">
        <v>1089</v>
      </c>
      <c r="E1186" t="s">
        <v>402</v>
      </c>
      <c r="F1186">
        <v>0.12</v>
      </c>
      <c r="I1186" t="str">
        <v>US3119001044</v>
      </c>
      <c r="J1186" t="str">
        <v>Excluded</v>
      </c>
      <c r="K1186">
        <v>0</v>
      </c>
      <c r="L1186" t="str" cm="1">
        <f t="array" ref="L1186">_xlfn.TEXTJOIN(",",TRUE,_xlfn._xlws.FILTER($C$5:$C$1727,($D$5:$D$1727=I1186)*($E$5:$E$1727=J1186)*($F$5:$F$1727=K1186)))</f>
        <v>Global</v>
      </c>
      <c r="M1186" t="b">
        <f t="shared" si="36"/>
        <v>0</v>
      </c>
      <c r="N1186">
        <f t="shared" si="37"/>
        <v>0</v>
      </c>
    </row>
    <row r="1187" spans="3:14" x14ac:dyDescent="0.25">
      <c r="C1187" t="s">
        <v>1548</v>
      </c>
      <c r="D1187" t="s">
        <v>1090</v>
      </c>
      <c r="E1187" t="s">
        <v>401</v>
      </c>
      <c r="F1187">
        <v>0</v>
      </c>
      <c r="I1187" t="str">
        <v>US31428X1063</v>
      </c>
      <c r="J1187" t="str">
        <v>Excluded</v>
      </c>
      <c r="K1187">
        <v>0</v>
      </c>
      <c r="L1187" t="str" cm="1">
        <f t="array" ref="L1187">_xlfn.TEXTJOIN(",",TRUE,_xlfn._xlws.FILTER($C$5:$C$1727,($D$5:$D$1727=I1187)*($E$5:$E$1727=J1187)*($F$5:$F$1727=K1187)))</f>
        <v>Global</v>
      </c>
      <c r="M1187" t="b">
        <f t="shared" si="36"/>
        <v>0</v>
      </c>
      <c r="N1187">
        <f t="shared" si="37"/>
        <v>0</v>
      </c>
    </row>
    <row r="1188" spans="3:14" x14ac:dyDescent="0.25">
      <c r="C1188" t="s">
        <v>1548</v>
      </c>
      <c r="D1188" t="s">
        <v>1091</v>
      </c>
      <c r="E1188" t="s">
        <v>408</v>
      </c>
      <c r="F1188">
        <v>0.65</v>
      </c>
      <c r="I1188" t="str">
        <v>US31488V1070</v>
      </c>
      <c r="J1188" t="str">
        <v>Excluded</v>
      </c>
      <c r="K1188">
        <v>0</v>
      </c>
      <c r="L1188" t="str" cm="1">
        <f t="array" ref="L1188">_xlfn.TEXTJOIN(",",TRUE,_xlfn._xlws.FILTER($C$5:$C$1727,($D$5:$D$1727=I1188)*($E$5:$E$1727=J1188)*($F$5:$F$1727=K1188)))</f>
        <v>Global</v>
      </c>
      <c r="M1188" t="b">
        <f t="shared" si="36"/>
        <v>0</v>
      </c>
      <c r="N1188">
        <f t="shared" si="37"/>
        <v>0</v>
      </c>
    </row>
    <row r="1189" spans="3:14" x14ac:dyDescent="0.25">
      <c r="C1189" t="s">
        <v>1548</v>
      </c>
      <c r="D1189" t="s">
        <v>1092</v>
      </c>
      <c r="E1189" t="s">
        <v>401</v>
      </c>
      <c r="F1189">
        <v>0</v>
      </c>
      <c r="I1189" t="str">
        <v>US3156161024</v>
      </c>
      <c r="J1189" t="str">
        <v>Information technology</v>
      </c>
      <c r="K1189">
        <v>0.42</v>
      </c>
      <c r="L1189" t="str" cm="1">
        <f t="array" ref="L1189">_xlfn.TEXTJOIN(",",TRUE,_xlfn._xlws.FILTER($C$5:$C$1727,($D$5:$D$1727=I1189)*($E$5:$E$1727=J1189)*($F$5:$F$1727=K1189)))</f>
        <v>Global</v>
      </c>
      <c r="M1189" t="b">
        <f t="shared" si="36"/>
        <v>0</v>
      </c>
      <c r="N1189">
        <f t="shared" si="37"/>
        <v>0</v>
      </c>
    </row>
    <row r="1190" spans="3:14" x14ac:dyDescent="0.25">
      <c r="C1190" t="s">
        <v>1548</v>
      </c>
      <c r="D1190" t="s">
        <v>1093</v>
      </c>
      <c r="E1190" t="s">
        <v>400</v>
      </c>
      <c r="F1190">
        <v>0</v>
      </c>
      <c r="I1190" t="str">
        <v>US31620M1062</v>
      </c>
      <c r="J1190" t="str">
        <v>Excluded</v>
      </c>
      <c r="K1190">
        <v>0</v>
      </c>
      <c r="L1190" t="str" cm="1">
        <f t="array" ref="L1190">_xlfn.TEXTJOIN(",",TRUE,_xlfn._xlws.FILTER($C$5:$C$1727,($D$5:$D$1727=I1190)*($E$5:$E$1727=J1190)*($F$5:$F$1727=K1190)))</f>
        <v>Global</v>
      </c>
      <c r="M1190" t="b">
        <f t="shared" si="36"/>
        <v>0</v>
      </c>
      <c r="N1190">
        <f t="shared" si="37"/>
        <v>0</v>
      </c>
    </row>
    <row r="1191" spans="3:14" x14ac:dyDescent="0.25">
      <c r="C1191" t="s">
        <v>1548</v>
      </c>
      <c r="D1191" t="s">
        <v>1094</v>
      </c>
      <c r="E1191" t="s">
        <v>400</v>
      </c>
      <c r="F1191">
        <v>0</v>
      </c>
      <c r="I1191" t="str">
        <v>US31620R3030</v>
      </c>
      <c r="J1191" t="str">
        <v>Excluded</v>
      </c>
      <c r="K1191">
        <v>0</v>
      </c>
      <c r="L1191" t="str" cm="1">
        <f t="array" ref="L1191">_xlfn.TEXTJOIN(",",TRUE,_xlfn._xlws.FILTER($C$5:$C$1727,($D$5:$D$1727=I1191)*($E$5:$E$1727=J1191)*($F$5:$F$1727=K1191)))</f>
        <v>Global</v>
      </c>
      <c r="M1191" t="b">
        <f t="shared" si="36"/>
        <v>0</v>
      </c>
      <c r="N1191">
        <f t="shared" si="37"/>
        <v>0</v>
      </c>
    </row>
    <row r="1192" spans="3:14" x14ac:dyDescent="0.25">
      <c r="C1192" t="s">
        <v>1548</v>
      </c>
      <c r="D1192" t="s">
        <v>1095</v>
      </c>
      <c r="E1192" t="s">
        <v>401</v>
      </c>
      <c r="F1192">
        <v>0</v>
      </c>
      <c r="I1192" t="str">
        <v>US3167731005</v>
      </c>
      <c r="J1192" t="str">
        <v>Excluded</v>
      </c>
      <c r="K1192">
        <v>0</v>
      </c>
      <c r="L1192" t="str" cm="1">
        <f t="array" ref="L1192">_xlfn.TEXTJOIN(",",TRUE,_xlfn._xlws.FILTER($C$5:$C$1727,($D$5:$D$1727=I1192)*($E$5:$E$1727=J1192)*($F$5:$F$1727=K1192)))</f>
        <v>Global</v>
      </c>
      <c r="M1192" t="b">
        <f t="shared" si="36"/>
        <v>0</v>
      </c>
      <c r="N1192">
        <f t="shared" si="37"/>
        <v>0</v>
      </c>
    </row>
    <row r="1193" spans="3:14" x14ac:dyDescent="0.25">
      <c r="C1193" t="s">
        <v>1548</v>
      </c>
      <c r="D1193" t="s">
        <v>1096</v>
      </c>
      <c r="E1193" t="s">
        <v>400</v>
      </c>
      <c r="F1193">
        <v>0</v>
      </c>
      <c r="I1193" t="str">
        <v>US31946M1036</v>
      </c>
      <c r="J1193" t="str">
        <v>Excluded</v>
      </c>
      <c r="K1193">
        <v>0</v>
      </c>
      <c r="L1193" t="str" cm="1">
        <f t="array" ref="L1193">_xlfn.TEXTJOIN(",",TRUE,_xlfn._xlws.FILTER($C$5:$C$1727,($D$5:$D$1727=I1193)*($E$5:$E$1727=J1193)*($F$5:$F$1727=K1193)))</f>
        <v>Global</v>
      </c>
      <c r="M1193" t="b">
        <f t="shared" si="36"/>
        <v>0</v>
      </c>
      <c r="N1193">
        <f t="shared" si="37"/>
        <v>0</v>
      </c>
    </row>
    <row r="1194" spans="3:14" x14ac:dyDescent="0.25">
      <c r="C1194" t="s">
        <v>1548</v>
      </c>
      <c r="D1194" t="s">
        <v>110</v>
      </c>
      <c r="E1194" t="s">
        <v>400</v>
      </c>
      <c r="F1194">
        <v>0</v>
      </c>
      <c r="I1194" t="str">
        <v>US3205171057</v>
      </c>
      <c r="J1194" t="str">
        <v>Excluded</v>
      </c>
      <c r="K1194">
        <v>0</v>
      </c>
      <c r="L1194" t="str" cm="1">
        <f t="array" ref="L1194">_xlfn.TEXTJOIN(",",TRUE,_xlfn._xlws.FILTER($C$5:$C$1727,($D$5:$D$1727=I1194)*($E$5:$E$1727=J1194)*($F$5:$F$1727=K1194)))</f>
        <v>Global</v>
      </c>
      <c r="M1194" t="b">
        <f t="shared" si="36"/>
        <v>0</v>
      </c>
      <c r="N1194">
        <f t="shared" si="37"/>
        <v>0</v>
      </c>
    </row>
    <row r="1195" spans="3:14" x14ac:dyDescent="0.25">
      <c r="C1195" t="s">
        <v>1548</v>
      </c>
      <c r="D1195" t="s">
        <v>1097</v>
      </c>
      <c r="E1195" t="s">
        <v>401</v>
      </c>
      <c r="F1195">
        <v>0</v>
      </c>
      <c r="I1195" t="str">
        <v>US3364331070</v>
      </c>
      <c r="J1195" t="str">
        <v>Green energy</v>
      </c>
      <c r="K1195">
        <v>1</v>
      </c>
      <c r="L1195" t="str" cm="1">
        <f t="array" ref="L1195">_xlfn.TEXTJOIN(",",TRUE,_xlfn._xlws.FILTER($C$5:$C$1727,($D$5:$D$1727=I1195)*($E$5:$E$1727=J1195)*($F$5:$F$1727=K1195)))</f>
        <v>Global</v>
      </c>
      <c r="M1195" t="b">
        <f t="shared" si="36"/>
        <v>0</v>
      </c>
      <c r="N1195">
        <f t="shared" si="37"/>
        <v>0</v>
      </c>
    </row>
    <row r="1196" spans="3:14" x14ac:dyDescent="0.25">
      <c r="C1196" t="s">
        <v>1548</v>
      </c>
      <c r="D1196" t="s">
        <v>1098</v>
      </c>
      <c r="E1196" t="s">
        <v>401</v>
      </c>
      <c r="F1196">
        <v>0</v>
      </c>
      <c r="I1196" t="str">
        <v>US3377381088</v>
      </c>
      <c r="J1196" t="str">
        <v>Excluded</v>
      </c>
      <c r="K1196">
        <v>0</v>
      </c>
      <c r="L1196" t="str" cm="1">
        <f t="array" ref="L1196">_xlfn.TEXTJOIN(",",TRUE,_xlfn._xlws.FILTER($C$5:$C$1727,($D$5:$D$1727=I1196)*($E$5:$E$1727=J1196)*($F$5:$F$1727=K1196)))</f>
        <v>Global</v>
      </c>
      <c r="M1196" t="b">
        <f t="shared" si="36"/>
        <v>0</v>
      </c>
      <c r="N1196">
        <f t="shared" si="37"/>
        <v>0</v>
      </c>
    </row>
    <row r="1197" spans="3:14" x14ac:dyDescent="0.25">
      <c r="C1197" t="s">
        <v>1548</v>
      </c>
      <c r="D1197" t="s">
        <v>1099</v>
      </c>
      <c r="E1197" t="s">
        <v>400</v>
      </c>
      <c r="F1197">
        <v>0</v>
      </c>
      <c r="I1197" t="str">
        <v>US3379321074</v>
      </c>
      <c r="J1197" t="str">
        <v>Excluded</v>
      </c>
      <c r="K1197">
        <v>0</v>
      </c>
      <c r="L1197" t="str" cm="1">
        <f t="array" ref="L1197">_xlfn.TEXTJOIN(",",TRUE,_xlfn._xlws.FILTER($C$5:$C$1727,($D$5:$D$1727=I1197)*($E$5:$E$1727=J1197)*($F$5:$F$1727=K1197)))</f>
        <v>Global</v>
      </c>
      <c r="M1197" t="b">
        <f t="shared" si="36"/>
        <v>0</v>
      </c>
      <c r="N1197">
        <f t="shared" si="37"/>
        <v>0</v>
      </c>
    </row>
    <row r="1198" spans="3:14" x14ac:dyDescent="0.25">
      <c r="C1198" t="s">
        <v>1548</v>
      </c>
      <c r="D1198" t="s">
        <v>1100</v>
      </c>
      <c r="E1198" t="s">
        <v>400</v>
      </c>
      <c r="F1198">
        <v>0</v>
      </c>
      <c r="I1198" t="str">
        <v>US3453708600</v>
      </c>
      <c r="J1198" t="str">
        <v>Excluded</v>
      </c>
      <c r="K1198">
        <v>0</v>
      </c>
      <c r="L1198" t="str" cm="1">
        <f t="array" ref="L1198">_xlfn.TEXTJOIN(",",TRUE,_xlfn._xlws.FILTER($C$5:$C$1727,($D$5:$D$1727=I1198)*($E$5:$E$1727=J1198)*($F$5:$F$1727=K1198)))</f>
        <v>Global</v>
      </c>
      <c r="M1198" t="b">
        <f t="shared" si="36"/>
        <v>0</v>
      </c>
      <c r="N1198">
        <f t="shared" si="37"/>
        <v>0</v>
      </c>
    </row>
    <row r="1199" spans="3:14" x14ac:dyDescent="0.25">
      <c r="C1199" t="s">
        <v>1548</v>
      </c>
      <c r="D1199" t="s">
        <v>48</v>
      </c>
      <c r="E1199" t="s">
        <v>400</v>
      </c>
      <c r="F1199">
        <v>0</v>
      </c>
      <c r="I1199" t="str">
        <v>US34959E1091</v>
      </c>
      <c r="J1199" t="str">
        <v>Information technology</v>
      </c>
      <c r="K1199">
        <v>1</v>
      </c>
      <c r="L1199" t="str" cm="1">
        <f t="array" ref="L1199">_xlfn.TEXTJOIN(",",TRUE,_xlfn._xlws.FILTER($C$5:$C$1727,($D$5:$D$1727=I1199)*($E$5:$E$1727=J1199)*($F$5:$F$1727=K1199)))</f>
        <v>Global</v>
      </c>
      <c r="M1199" t="b">
        <f t="shared" si="36"/>
        <v>0</v>
      </c>
      <c r="N1199">
        <f t="shared" si="37"/>
        <v>0</v>
      </c>
    </row>
    <row r="1200" spans="3:14" x14ac:dyDescent="0.25">
      <c r="C1200" t="s">
        <v>1548</v>
      </c>
      <c r="D1200" t="s">
        <v>77</v>
      </c>
      <c r="E1200" t="s">
        <v>400</v>
      </c>
      <c r="F1200">
        <v>0</v>
      </c>
      <c r="I1200" t="str">
        <v>US34959J1088</v>
      </c>
      <c r="J1200" t="str">
        <v>Eco-efficient industries</v>
      </c>
      <c r="K1200">
        <v>0.6</v>
      </c>
      <c r="L1200" t="str" cm="1">
        <f t="array" ref="L1200">_xlfn.TEXTJOIN(",",TRUE,_xlfn._xlws.FILTER($C$5:$C$1727,($D$5:$D$1727=I1200)*($E$5:$E$1727=J1200)*($F$5:$F$1727=K1200)))</f>
        <v>Global</v>
      </c>
      <c r="M1200" t="b">
        <f t="shared" si="36"/>
        <v>0</v>
      </c>
      <c r="N1200">
        <f t="shared" si="37"/>
        <v>0</v>
      </c>
    </row>
    <row r="1201" spans="3:14" x14ac:dyDescent="0.25">
      <c r="C1201" t="s">
        <v>1548</v>
      </c>
      <c r="D1201" t="s">
        <v>137</v>
      </c>
      <c r="E1201" t="s">
        <v>401</v>
      </c>
      <c r="F1201">
        <v>0</v>
      </c>
      <c r="I1201" t="str">
        <v>US35137L1052</v>
      </c>
      <c r="J1201" t="str">
        <v>Not included in a theme</v>
      </c>
      <c r="K1201">
        <v>0</v>
      </c>
      <c r="L1201" t="str" cm="1">
        <f t="array" ref="L1201">_xlfn.TEXTJOIN(",",TRUE,_xlfn._xlws.FILTER($C$5:$C$1727,($D$5:$D$1727=I1201)*($E$5:$E$1727=J1201)*($F$5:$F$1727=K1201)))</f>
        <v>Global</v>
      </c>
      <c r="M1201" t="b">
        <f t="shared" si="36"/>
        <v>0</v>
      </c>
      <c r="N1201">
        <f t="shared" si="37"/>
        <v>0</v>
      </c>
    </row>
    <row r="1202" spans="3:14" x14ac:dyDescent="0.25">
      <c r="C1202" t="s">
        <v>1548</v>
      </c>
      <c r="D1202" t="s">
        <v>1101</v>
      </c>
      <c r="E1202" t="s">
        <v>400</v>
      </c>
      <c r="F1202">
        <v>0</v>
      </c>
      <c r="I1202" t="str">
        <v>US35671D8570</v>
      </c>
      <c r="J1202" t="str">
        <v>Excluded</v>
      </c>
      <c r="K1202">
        <v>0</v>
      </c>
      <c r="L1202" t="str" cm="1">
        <f t="array" ref="L1202">_xlfn.TEXTJOIN(",",TRUE,_xlfn._xlws.FILTER($C$5:$C$1727,($D$5:$D$1727=I1202)*($E$5:$E$1727=J1202)*($F$5:$F$1727=K1202)))</f>
        <v>Global</v>
      </c>
      <c r="M1202" t="b">
        <f t="shared" si="36"/>
        <v>0</v>
      </c>
      <c r="N1202">
        <f t="shared" si="37"/>
        <v>0</v>
      </c>
    </row>
    <row r="1203" spans="3:14" x14ac:dyDescent="0.25">
      <c r="C1203" t="s">
        <v>1548</v>
      </c>
      <c r="D1203" t="s">
        <v>1102</v>
      </c>
      <c r="E1203" t="s">
        <v>401</v>
      </c>
      <c r="F1203">
        <v>0</v>
      </c>
      <c r="I1203" t="str">
        <v>US36266G1076</v>
      </c>
      <c r="J1203" t="str">
        <v>Excluded</v>
      </c>
      <c r="K1203">
        <v>0</v>
      </c>
      <c r="L1203" t="str" cm="1">
        <f t="array" ref="L1203">_xlfn.TEXTJOIN(",",TRUE,_xlfn._xlws.FILTER($C$5:$C$1727,($D$5:$D$1727=I1203)*($E$5:$E$1727=J1203)*($F$5:$F$1727=K1203)))</f>
        <v>Global</v>
      </c>
      <c r="M1203" t="b">
        <f t="shared" si="36"/>
        <v>0</v>
      </c>
      <c r="N1203">
        <f t="shared" si="37"/>
        <v>0</v>
      </c>
    </row>
    <row r="1204" spans="3:14" x14ac:dyDescent="0.25">
      <c r="C1204" t="s">
        <v>1548</v>
      </c>
      <c r="D1204" t="s">
        <v>1103</v>
      </c>
      <c r="E1204" t="s">
        <v>400</v>
      </c>
      <c r="F1204">
        <v>0</v>
      </c>
      <c r="I1204" t="str">
        <v>US3635761097</v>
      </c>
      <c r="J1204" t="str">
        <v>Not included in a theme</v>
      </c>
      <c r="K1204">
        <v>0</v>
      </c>
      <c r="L1204" t="str" cm="1">
        <f t="array" ref="L1204">_xlfn.TEXTJOIN(",",TRUE,_xlfn._xlws.FILTER($C$5:$C$1727,($D$5:$D$1727=I1204)*($E$5:$E$1727=J1204)*($F$5:$F$1727=K1204)))</f>
        <v>Global</v>
      </c>
      <c r="M1204" t="b">
        <f t="shared" si="36"/>
        <v>0</v>
      </c>
      <c r="N1204">
        <f t="shared" si="37"/>
        <v>0</v>
      </c>
    </row>
    <row r="1205" spans="3:14" x14ac:dyDescent="0.25">
      <c r="C1205" t="s">
        <v>1548</v>
      </c>
      <c r="D1205" t="s">
        <v>1104</v>
      </c>
      <c r="E1205" t="s">
        <v>406</v>
      </c>
      <c r="F1205">
        <v>0.8</v>
      </c>
      <c r="I1205" t="str">
        <v>US36467J1088</v>
      </c>
      <c r="J1205" t="str">
        <v>Not included in a theme</v>
      </c>
      <c r="K1205">
        <v>0</v>
      </c>
      <c r="L1205" t="str" cm="1">
        <f t="array" ref="L1205">_xlfn.TEXTJOIN(",",TRUE,_xlfn._xlws.FILTER($C$5:$C$1727,($D$5:$D$1727=I1205)*($E$5:$E$1727=J1205)*($F$5:$F$1727=K1205)))</f>
        <v>Global</v>
      </c>
      <c r="M1205" t="b">
        <f t="shared" si="36"/>
        <v>0</v>
      </c>
      <c r="N1205">
        <f t="shared" si="37"/>
        <v>0</v>
      </c>
    </row>
    <row r="1206" spans="3:14" x14ac:dyDescent="0.25">
      <c r="C1206" t="s">
        <v>1548</v>
      </c>
      <c r="D1206" t="s">
        <v>1105</v>
      </c>
      <c r="E1206" t="s">
        <v>403</v>
      </c>
      <c r="F1206">
        <v>0.36</v>
      </c>
      <c r="I1206" t="str">
        <v>US3666511072</v>
      </c>
      <c r="J1206" t="str">
        <v>Not included in a theme</v>
      </c>
      <c r="K1206">
        <v>0</v>
      </c>
      <c r="L1206" t="str" cm="1">
        <f t="array" ref="L1206">_xlfn.TEXTJOIN(",",TRUE,_xlfn._xlws.FILTER($C$5:$C$1727,($D$5:$D$1727=I1206)*($E$5:$E$1727=J1206)*($F$5:$F$1727=K1206)))</f>
        <v>Global</v>
      </c>
      <c r="M1206" t="b">
        <f t="shared" si="36"/>
        <v>0</v>
      </c>
      <c r="N1206">
        <f t="shared" si="37"/>
        <v>0</v>
      </c>
    </row>
    <row r="1207" spans="3:14" x14ac:dyDescent="0.25">
      <c r="C1207" t="s">
        <v>1548</v>
      </c>
      <c r="D1207" t="s">
        <v>1106</v>
      </c>
      <c r="E1207" t="s">
        <v>400</v>
      </c>
      <c r="F1207">
        <v>0</v>
      </c>
      <c r="I1207" t="str">
        <v>US36828A1016</v>
      </c>
      <c r="J1207" t="str">
        <v>Excluded</v>
      </c>
      <c r="K1207">
        <v>0</v>
      </c>
      <c r="L1207" t="str" cm="1">
        <f t="array" ref="L1207">_xlfn.TEXTJOIN(",",TRUE,_xlfn._xlws.FILTER($C$5:$C$1727,($D$5:$D$1727=I1207)*($E$5:$E$1727=J1207)*($F$5:$F$1727=K1207)))</f>
        <v>Global</v>
      </c>
      <c r="M1207" t="b">
        <f t="shared" si="36"/>
        <v>0</v>
      </c>
      <c r="N1207">
        <f t="shared" si="37"/>
        <v>0</v>
      </c>
    </row>
    <row r="1208" spans="3:14" x14ac:dyDescent="0.25">
      <c r="C1208" t="s">
        <v>1548</v>
      </c>
      <c r="D1208" t="s">
        <v>114</v>
      </c>
      <c r="E1208" t="s">
        <v>401</v>
      </c>
      <c r="F1208">
        <v>0</v>
      </c>
      <c r="I1208" t="str">
        <v>US3695501086</v>
      </c>
      <c r="J1208" t="str">
        <v>Excluded</v>
      </c>
      <c r="K1208">
        <v>0</v>
      </c>
      <c r="L1208" t="str" cm="1">
        <f t="array" ref="L1208">_xlfn.TEXTJOIN(",",TRUE,_xlfn._xlws.FILTER($C$5:$C$1727,($D$5:$D$1727=I1208)*($E$5:$E$1727=J1208)*($F$5:$F$1727=K1208)))</f>
        <v>Global</v>
      </c>
      <c r="M1208" t="b">
        <f t="shared" si="36"/>
        <v>0</v>
      </c>
      <c r="N1208">
        <f t="shared" si="37"/>
        <v>0</v>
      </c>
    </row>
    <row r="1209" spans="3:14" x14ac:dyDescent="0.25">
      <c r="C1209" t="s">
        <v>1548</v>
      </c>
      <c r="D1209" t="s">
        <v>115</v>
      </c>
      <c r="E1209" t="s">
        <v>406</v>
      </c>
      <c r="F1209">
        <v>0.24</v>
      </c>
      <c r="I1209" t="str">
        <v>US3696043013</v>
      </c>
      <c r="J1209" t="str">
        <v>Excluded</v>
      </c>
      <c r="K1209">
        <v>0</v>
      </c>
      <c r="L1209" t="str" cm="1">
        <f t="array" ref="L1209">_xlfn.TEXTJOIN(",",TRUE,_xlfn._xlws.FILTER($C$5:$C$1727,($D$5:$D$1727=I1209)*($E$5:$E$1727=J1209)*($F$5:$F$1727=K1209)))</f>
        <v>Global</v>
      </c>
      <c r="M1209" t="b">
        <f t="shared" si="36"/>
        <v>0</v>
      </c>
      <c r="N1209">
        <f t="shared" si="37"/>
        <v>0</v>
      </c>
    </row>
    <row r="1210" spans="3:14" x14ac:dyDescent="0.25">
      <c r="C1210" t="s">
        <v>1548</v>
      </c>
      <c r="D1210" t="s">
        <v>1107</v>
      </c>
      <c r="E1210" t="s">
        <v>400</v>
      </c>
      <c r="F1210">
        <v>0</v>
      </c>
      <c r="I1210" t="str">
        <v>US3703341046</v>
      </c>
      <c r="J1210" t="str">
        <v>Agriculture and forestry</v>
      </c>
      <c r="K1210">
        <v>0.1</v>
      </c>
      <c r="L1210" t="str" cm="1">
        <f t="array" ref="L1210">_xlfn.TEXTJOIN(",",TRUE,_xlfn._xlws.FILTER($C$5:$C$1727,($D$5:$D$1727=I1210)*($E$5:$E$1727=J1210)*($F$5:$F$1727=K1210)))</f>
        <v>Global</v>
      </c>
      <c r="M1210" t="b">
        <f t="shared" si="36"/>
        <v>0</v>
      </c>
      <c r="N1210">
        <f t="shared" si="37"/>
        <v>0</v>
      </c>
    </row>
    <row r="1211" spans="3:14" x14ac:dyDescent="0.25">
      <c r="C1211" t="s">
        <v>1548</v>
      </c>
      <c r="D1211" t="s">
        <v>1108</v>
      </c>
      <c r="E1211" t="s">
        <v>400</v>
      </c>
      <c r="F1211">
        <v>0</v>
      </c>
      <c r="I1211" t="str">
        <v>US37045V1008</v>
      </c>
      <c r="J1211" t="str">
        <v>Excluded</v>
      </c>
      <c r="K1211">
        <v>0</v>
      </c>
      <c r="L1211" t="str" cm="1">
        <f t="array" ref="L1211">_xlfn.TEXTJOIN(",",TRUE,_xlfn._xlws.FILTER($C$5:$C$1727,($D$5:$D$1727=I1211)*($E$5:$E$1727=J1211)*($F$5:$F$1727=K1211)))</f>
        <v>Global</v>
      </c>
      <c r="M1211" t="b">
        <f t="shared" si="36"/>
        <v>0</v>
      </c>
      <c r="N1211">
        <f t="shared" si="37"/>
        <v>0</v>
      </c>
    </row>
    <row r="1212" spans="3:14" x14ac:dyDescent="0.25">
      <c r="C1212" t="s">
        <v>1548</v>
      </c>
      <c r="D1212" t="s">
        <v>1109</v>
      </c>
      <c r="E1212" t="s">
        <v>400</v>
      </c>
      <c r="F1212">
        <v>0</v>
      </c>
      <c r="I1212" t="str">
        <v>US3724601055</v>
      </c>
      <c r="J1212" t="str">
        <v>Circular economy</v>
      </c>
      <c r="K1212">
        <v>1</v>
      </c>
      <c r="L1212" t="str" cm="1">
        <f t="array" ref="L1212">_xlfn.TEXTJOIN(",",TRUE,_xlfn._xlws.FILTER($C$5:$C$1727,($D$5:$D$1727=I1212)*($E$5:$E$1727=J1212)*($F$5:$F$1727=K1212)))</f>
        <v>Global</v>
      </c>
      <c r="M1212" t="b">
        <f t="shared" si="36"/>
        <v>0</v>
      </c>
      <c r="N1212">
        <f t="shared" si="37"/>
        <v>0</v>
      </c>
    </row>
    <row r="1213" spans="3:14" x14ac:dyDescent="0.25">
      <c r="C1213" t="s">
        <v>1548</v>
      </c>
      <c r="D1213" t="s">
        <v>50</v>
      </c>
      <c r="E1213" t="s">
        <v>401</v>
      </c>
      <c r="F1213">
        <v>0</v>
      </c>
      <c r="I1213" t="str">
        <v>US3755581036</v>
      </c>
      <c r="J1213" t="str">
        <v>Not included in a theme</v>
      </c>
      <c r="K1213">
        <v>0</v>
      </c>
      <c r="L1213" t="str" cm="1">
        <f t="array" ref="L1213">_xlfn.TEXTJOIN(",",TRUE,_xlfn._xlws.FILTER($C$5:$C$1727,($D$5:$D$1727=I1213)*($E$5:$E$1727=J1213)*($F$5:$F$1727=K1213)))</f>
        <v>Global</v>
      </c>
      <c r="M1213" t="b">
        <f t="shared" si="36"/>
        <v>0</v>
      </c>
      <c r="N1213">
        <f t="shared" si="37"/>
        <v>0</v>
      </c>
    </row>
    <row r="1214" spans="3:14" x14ac:dyDescent="0.25">
      <c r="C1214" t="s">
        <v>1548</v>
      </c>
      <c r="D1214" t="s">
        <v>1110</v>
      </c>
      <c r="E1214" t="s">
        <v>400</v>
      </c>
      <c r="F1214">
        <v>0</v>
      </c>
      <c r="I1214" t="str">
        <v>US37940X1028</v>
      </c>
      <c r="J1214" t="str">
        <v>Excluded</v>
      </c>
      <c r="K1214">
        <v>0</v>
      </c>
      <c r="L1214" t="str" cm="1">
        <f t="array" ref="L1214">_xlfn.TEXTJOIN(",",TRUE,_xlfn._xlws.FILTER($C$5:$C$1727,($D$5:$D$1727=I1214)*($E$5:$E$1727=J1214)*($F$5:$F$1727=K1214)))</f>
        <v>Global</v>
      </c>
      <c r="M1214" t="b">
        <f t="shared" si="36"/>
        <v>0</v>
      </c>
      <c r="N1214">
        <f t="shared" si="37"/>
        <v>0</v>
      </c>
    </row>
    <row r="1215" spans="3:14" x14ac:dyDescent="0.25">
      <c r="C1215" t="s">
        <v>1548</v>
      </c>
      <c r="D1215" t="s">
        <v>1111</v>
      </c>
      <c r="E1215" t="s">
        <v>404</v>
      </c>
      <c r="F1215">
        <v>0.85</v>
      </c>
      <c r="I1215" t="str">
        <v>US37959E1029</v>
      </c>
      <c r="J1215" t="str">
        <v>Excluded</v>
      </c>
      <c r="K1215">
        <v>0</v>
      </c>
      <c r="L1215" t="str" cm="1">
        <f t="array" ref="L1215">_xlfn.TEXTJOIN(",",TRUE,_xlfn._xlws.FILTER($C$5:$C$1727,($D$5:$D$1727=I1215)*($E$5:$E$1727=J1215)*($F$5:$F$1727=K1215)))</f>
        <v>Global</v>
      </c>
      <c r="M1215" t="b">
        <f t="shared" si="36"/>
        <v>0</v>
      </c>
      <c r="N1215">
        <f t="shared" si="37"/>
        <v>0</v>
      </c>
    </row>
    <row r="1216" spans="3:14" x14ac:dyDescent="0.25">
      <c r="C1216" t="s">
        <v>1548</v>
      </c>
      <c r="D1216" t="s">
        <v>1112</v>
      </c>
      <c r="E1216" t="s">
        <v>400</v>
      </c>
      <c r="F1216">
        <v>0</v>
      </c>
      <c r="I1216" t="str">
        <v>US3802371076</v>
      </c>
      <c r="J1216" t="str">
        <v>Not included in a theme</v>
      </c>
      <c r="K1216">
        <v>0</v>
      </c>
      <c r="L1216" t="str" cm="1">
        <f t="array" ref="L1216">_xlfn.TEXTJOIN(",",TRUE,_xlfn._xlws.FILTER($C$5:$C$1727,($D$5:$D$1727=I1216)*($E$5:$E$1727=J1216)*($F$5:$F$1727=K1216)))</f>
        <v>Global</v>
      </c>
      <c r="M1216" t="b">
        <f t="shared" si="36"/>
        <v>0</v>
      </c>
      <c r="N1216">
        <f t="shared" si="37"/>
        <v>0</v>
      </c>
    </row>
    <row r="1217" spans="3:14" x14ac:dyDescent="0.25">
      <c r="C1217" t="s">
        <v>1548</v>
      </c>
      <c r="D1217" t="s">
        <v>1113</v>
      </c>
      <c r="E1217" t="s">
        <v>400</v>
      </c>
      <c r="F1217">
        <v>0</v>
      </c>
      <c r="I1217" t="str">
        <v>US38141G1040</v>
      </c>
      <c r="J1217" t="str">
        <v>Excluded</v>
      </c>
      <c r="K1217">
        <v>0</v>
      </c>
      <c r="L1217" t="str" cm="1">
        <f t="array" ref="L1217">_xlfn.TEXTJOIN(",",TRUE,_xlfn._xlws.FILTER($C$5:$C$1727,($D$5:$D$1727=I1217)*($E$5:$E$1727=J1217)*($F$5:$F$1727=K1217)))</f>
        <v>Global</v>
      </c>
      <c r="M1217" t="b">
        <f t="shared" si="36"/>
        <v>0</v>
      </c>
      <c r="N1217">
        <f t="shared" si="37"/>
        <v>0</v>
      </c>
    </row>
    <row r="1218" spans="3:14" x14ac:dyDescent="0.25">
      <c r="C1218" t="s">
        <v>1548</v>
      </c>
      <c r="D1218" t="s">
        <v>1114</v>
      </c>
      <c r="E1218" t="s">
        <v>400</v>
      </c>
      <c r="F1218">
        <v>0</v>
      </c>
      <c r="I1218" t="str">
        <v>US3841091040</v>
      </c>
      <c r="J1218" t="str">
        <v>Eco-efficient industries</v>
      </c>
      <c r="K1218">
        <v>0.24</v>
      </c>
      <c r="L1218" t="str" cm="1">
        <f t="array" ref="L1218">_xlfn.TEXTJOIN(",",TRUE,_xlfn._xlws.FILTER($C$5:$C$1727,($D$5:$D$1727=I1218)*($E$5:$E$1727=J1218)*($F$5:$F$1727=K1218)))</f>
        <v>Global</v>
      </c>
      <c r="M1218" t="b">
        <f t="shared" si="36"/>
        <v>0</v>
      </c>
      <c r="N1218">
        <f t="shared" si="37"/>
        <v>0</v>
      </c>
    </row>
    <row r="1219" spans="3:14" x14ac:dyDescent="0.25">
      <c r="C1219" t="s">
        <v>1548</v>
      </c>
      <c r="D1219" t="s">
        <v>1115</v>
      </c>
      <c r="E1219" t="s">
        <v>400</v>
      </c>
      <c r="F1219">
        <v>0</v>
      </c>
      <c r="I1219" t="str">
        <v>US3848021040</v>
      </c>
      <c r="J1219" t="str">
        <v>Eco-efficient industries</v>
      </c>
      <c r="K1219">
        <v>0.1176</v>
      </c>
      <c r="L1219" t="str" cm="1">
        <f t="array" ref="L1219">_xlfn.TEXTJOIN(",",TRUE,_xlfn._xlws.FILTER($C$5:$C$1727,($D$5:$D$1727=I1219)*($E$5:$E$1727=J1219)*($F$5:$F$1727=K1219)))</f>
        <v>Global</v>
      </c>
      <c r="M1219" t="b">
        <f t="shared" si="36"/>
        <v>0</v>
      </c>
      <c r="N1219">
        <f t="shared" si="37"/>
        <v>0</v>
      </c>
    </row>
    <row r="1220" spans="3:14" x14ac:dyDescent="0.25">
      <c r="C1220" t="s">
        <v>1548</v>
      </c>
      <c r="D1220" t="s">
        <v>1116</v>
      </c>
      <c r="E1220" t="s">
        <v>400</v>
      </c>
      <c r="F1220">
        <v>0</v>
      </c>
      <c r="I1220" t="str">
        <v>US40131M1099</v>
      </c>
      <c r="J1220" t="str">
        <v>Excluded</v>
      </c>
      <c r="K1220">
        <v>0</v>
      </c>
      <c r="L1220" t="str" cm="1">
        <f t="array" ref="L1220">_xlfn.TEXTJOIN(",",TRUE,_xlfn._xlws.FILTER($C$5:$C$1727,($D$5:$D$1727=I1220)*($E$5:$E$1727=J1220)*($F$5:$F$1727=K1220)))</f>
        <v>Global</v>
      </c>
      <c r="M1220" t="b">
        <f t="shared" si="36"/>
        <v>0</v>
      </c>
      <c r="N1220">
        <f t="shared" si="37"/>
        <v>0</v>
      </c>
    </row>
    <row r="1221" spans="3:14" x14ac:dyDescent="0.25">
      <c r="C1221" t="s">
        <v>1548</v>
      </c>
      <c r="D1221" t="s">
        <v>1117</v>
      </c>
      <c r="E1221" t="s">
        <v>400</v>
      </c>
      <c r="F1221">
        <v>0</v>
      </c>
      <c r="I1221" t="str">
        <v>US40171V1008</v>
      </c>
      <c r="J1221" t="str">
        <v>Not included in a theme</v>
      </c>
      <c r="K1221">
        <v>0</v>
      </c>
      <c r="L1221" t="str" cm="1">
        <f t="array" ref="L1221">_xlfn.TEXTJOIN(",",TRUE,_xlfn._xlws.FILTER($C$5:$C$1727,($D$5:$D$1727=I1221)*($E$5:$E$1727=J1221)*($F$5:$F$1727=K1221)))</f>
        <v>Global</v>
      </c>
      <c r="M1221" t="b">
        <f t="shared" si="36"/>
        <v>0</v>
      </c>
      <c r="N1221">
        <f t="shared" si="37"/>
        <v>0</v>
      </c>
    </row>
    <row r="1222" spans="3:14" x14ac:dyDescent="0.25">
      <c r="C1222" t="s">
        <v>1548</v>
      </c>
      <c r="D1222" t="s">
        <v>1118</v>
      </c>
      <c r="E1222" t="s">
        <v>400</v>
      </c>
      <c r="F1222">
        <v>0</v>
      </c>
      <c r="I1222" t="str">
        <v>US40412C1018</v>
      </c>
      <c r="J1222" t="str">
        <v>Not included in a theme</v>
      </c>
      <c r="K1222">
        <v>0</v>
      </c>
      <c r="L1222" t="str" cm="1">
        <f t="array" ref="L1222">_xlfn.TEXTJOIN(",",TRUE,_xlfn._xlws.FILTER($C$5:$C$1727,($D$5:$D$1727=I1222)*($E$5:$E$1727=J1222)*($F$5:$F$1727=K1222)))</f>
        <v>Global</v>
      </c>
      <c r="M1222" t="b">
        <f t="shared" ref="M1222:M1285" si="38">COUNTIFS($I$5:$I$1556,I1222)&gt;1</f>
        <v>0</v>
      </c>
      <c r="N1222">
        <f t="shared" ref="N1222:N1285" si="39">COUNTIFS($U$5:$U$231,I1222)</f>
        <v>0</v>
      </c>
    </row>
    <row r="1223" spans="3:14" x14ac:dyDescent="0.25">
      <c r="C1223" t="s">
        <v>1548</v>
      </c>
      <c r="D1223" t="s">
        <v>1119</v>
      </c>
      <c r="E1223" t="s">
        <v>404</v>
      </c>
      <c r="F1223">
        <v>0.6</v>
      </c>
      <c r="I1223" t="str">
        <v>US40434L1052</v>
      </c>
      <c r="J1223" t="str">
        <v>Not included in a theme</v>
      </c>
      <c r="K1223">
        <v>0</v>
      </c>
      <c r="L1223" t="str" cm="1">
        <f t="array" ref="L1223">_xlfn.TEXTJOIN(",",TRUE,_xlfn._xlws.FILTER($C$5:$C$1727,($D$5:$D$1727=I1223)*($E$5:$E$1727=J1223)*($F$5:$F$1727=K1223)))</f>
        <v>Global</v>
      </c>
      <c r="M1223" t="b">
        <f t="shared" si="38"/>
        <v>0</v>
      </c>
      <c r="N1223">
        <f t="shared" si="39"/>
        <v>0</v>
      </c>
    </row>
    <row r="1224" spans="3:14" x14ac:dyDescent="0.25">
      <c r="C1224" t="s">
        <v>1548</v>
      </c>
      <c r="D1224" t="s">
        <v>136</v>
      </c>
      <c r="E1224" t="s">
        <v>401</v>
      </c>
      <c r="F1224">
        <v>0</v>
      </c>
      <c r="I1224" t="str">
        <v>US4062161017</v>
      </c>
      <c r="J1224" t="str">
        <v>Excluded</v>
      </c>
      <c r="K1224">
        <v>0</v>
      </c>
      <c r="L1224" t="str" cm="1">
        <f t="array" ref="L1224">_xlfn.TEXTJOIN(",",TRUE,_xlfn._xlws.FILTER($C$5:$C$1727,($D$5:$D$1727=I1224)*($E$5:$E$1727=J1224)*($F$5:$F$1727=K1224)))</f>
        <v>Global</v>
      </c>
      <c r="M1224" t="b">
        <f t="shared" si="38"/>
        <v>0</v>
      </c>
      <c r="N1224">
        <f t="shared" si="39"/>
        <v>0</v>
      </c>
    </row>
    <row r="1225" spans="3:14" x14ac:dyDescent="0.25">
      <c r="C1225" t="s">
        <v>1548</v>
      </c>
      <c r="D1225" t="s">
        <v>1120</v>
      </c>
      <c r="E1225" t="s">
        <v>400</v>
      </c>
      <c r="F1225">
        <v>0</v>
      </c>
      <c r="I1225" t="str">
        <v>US4165151048</v>
      </c>
      <c r="J1225" t="str">
        <v>Not included in a theme</v>
      </c>
      <c r="K1225">
        <v>0</v>
      </c>
      <c r="L1225" t="str" cm="1">
        <f t="array" ref="L1225">_xlfn.TEXTJOIN(",",TRUE,_xlfn._xlws.FILTER($C$5:$C$1727,($D$5:$D$1727=I1225)*($E$5:$E$1727=J1225)*($F$5:$F$1727=K1225)))</f>
        <v>Global</v>
      </c>
      <c r="M1225" t="b">
        <f t="shared" si="38"/>
        <v>0</v>
      </c>
      <c r="N1225">
        <f t="shared" si="39"/>
        <v>0</v>
      </c>
    </row>
    <row r="1226" spans="3:14" x14ac:dyDescent="0.25">
      <c r="C1226" t="s">
        <v>1548</v>
      </c>
      <c r="D1226" t="s">
        <v>1121</v>
      </c>
      <c r="E1226" t="s">
        <v>400</v>
      </c>
      <c r="F1226">
        <v>0</v>
      </c>
      <c r="I1226" t="str">
        <v>US4180561072</v>
      </c>
      <c r="J1226" t="str">
        <v>Excluded</v>
      </c>
      <c r="K1226">
        <v>0</v>
      </c>
      <c r="L1226" t="str" cm="1">
        <f t="array" ref="L1226">_xlfn.TEXTJOIN(",",TRUE,_xlfn._xlws.FILTER($C$5:$C$1727,($D$5:$D$1727=I1226)*($E$5:$E$1727=J1226)*($F$5:$F$1727=K1226)))</f>
        <v>Global</v>
      </c>
      <c r="M1226" t="b">
        <f t="shared" si="38"/>
        <v>0</v>
      </c>
      <c r="N1226">
        <f t="shared" si="39"/>
        <v>0</v>
      </c>
    </row>
    <row r="1227" spans="3:14" x14ac:dyDescent="0.25">
      <c r="C1227" t="s">
        <v>1548</v>
      </c>
      <c r="D1227" t="s">
        <v>1122</v>
      </c>
      <c r="E1227" t="s">
        <v>400</v>
      </c>
      <c r="F1227">
        <v>0</v>
      </c>
      <c r="I1227" t="str">
        <v>US42250P1030</v>
      </c>
      <c r="J1227" t="str">
        <v>Ecoconstruction</v>
      </c>
      <c r="K1227">
        <v>0.36</v>
      </c>
      <c r="L1227" t="str" cm="1">
        <f t="array" ref="L1227">_xlfn.TEXTJOIN(",",TRUE,_xlfn._xlws.FILTER($C$5:$C$1727,($D$5:$D$1727=I1227)*($E$5:$E$1727=J1227)*($F$5:$F$1727=K1227)))</f>
        <v>Global</v>
      </c>
      <c r="M1227" t="b">
        <f t="shared" si="38"/>
        <v>0</v>
      </c>
      <c r="N1227">
        <f t="shared" si="39"/>
        <v>0</v>
      </c>
    </row>
    <row r="1228" spans="3:14" x14ac:dyDescent="0.25">
      <c r="C1228" t="s">
        <v>1548</v>
      </c>
      <c r="D1228" t="s">
        <v>1123</v>
      </c>
      <c r="E1228" t="s">
        <v>401</v>
      </c>
      <c r="F1228">
        <v>0</v>
      </c>
      <c r="I1228" t="str">
        <v>US4228061093</v>
      </c>
      <c r="J1228" t="str">
        <v>Excluded</v>
      </c>
      <c r="K1228">
        <v>0</v>
      </c>
      <c r="L1228" t="str" cm="1">
        <f t="array" ref="L1228">_xlfn.TEXTJOIN(",",TRUE,_xlfn._xlws.FILTER($C$5:$C$1727,($D$5:$D$1727=I1228)*($E$5:$E$1727=J1228)*($F$5:$F$1727=K1228)))</f>
        <v>Global</v>
      </c>
      <c r="M1228" t="b">
        <f t="shared" si="38"/>
        <v>0</v>
      </c>
      <c r="N1228">
        <f t="shared" si="39"/>
        <v>0</v>
      </c>
    </row>
    <row r="1229" spans="3:14" x14ac:dyDescent="0.25">
      <c r="C1229" t="s">
        <v>1548</v>
      </c>
      <c r="D1229" t="s">
        <v>1124</v>
      </c>
      <c r="E1229" t="s">
        <v>400</v>
      </c>
      <c r="F1229">
        <v>0</v>
      </c>
      <c r="I1229" t="str">
        <v>US4262811015</v>
      </c>
      <c r="J1229" t="str">
        <v>Excluded</v>
      </c>
      <c r="K1229">
        <v>0</v>
      </c>
      <c r="L1229" t="str" cm="1">
        <f t="array" ref="L1229">_xlfn.TEXTJOIN(",",TRUE,_xlfn._xlws.FILTER($C$5:$C$1727,($D$5:$D$1727=I1229)*($E$5:$E$1727=J1229)*($F$5:$F$1727=K1229)))</f>
        <v>Global</v>
      </c>
      <c r="M1229" t="b">
        <f t="shared" si="38"/>
        <v>0</v>
      </c>
      <c r="N1229">
        <f t="shared" si="39"/>
        <v>0</v>
      </c>
    </row>
    <row r="1230" spans="3:14" x14ac:dyDescent="0.25">
      <c r="C1230" t="s">
        <v>1548</v>
      </c>
      <c r="D1230" t="s">
        <v>1125</v>
      </c>
      <c r="E1230" t="s">
        <v>400</v>
      </c>
      <c r="F1230">
        <v>0</v>
      </c>
      <c r="I1230" t="str">
        <v>US4278661081</v>
      </c>
      <c r="J1230" t="str">
        <v>Excluded</v>
      </c>
      <c r="K1230">
        <v>0</v>
      </c>
      <c r="L1230" t="str" cm="1">
        <f t="array" ref="L1230">_xlfn.TEXTJOIN(",",TRUE,_xlfn._xlws.FILTER($C$5:$C$1727,($D$5:$D$1727=I1230)*($E$5:$E$1727=J1230)*($F$5:$F$1727=K1230)))</f>
        <v>Global</v>
      </c>
      <c r="M1230" t="b">
        <f t="shared" si="38"/>
        <v>0</v>
      </c>
      <c r="N1230">
        <f t="shared" si="39"/>
        <v>0</v>
      </c>
    </row>
    <row r="1231" spans="3:14" x14ac:dyDescent="0.25">
      <c r="C1231" t="s">
        <v>1548</v>
      </c>
      <c r="D1231" t="s">
        <v>1126</v>
      </c>
      <c r="E1231" t="s">
        <v>400</v>
      </c>
      <c r="F1231">
        <v>0</v>
      </c>
      <c r="I1231" t="str">
        <v>US42824C1099</v>
      </c>
      <c r="J1231" t="str">
        <v>Information technology</v>
      </c>
      <c r="K1231">
        <v>0.6</v>
      </c>
      <c r="L1231" t="str" cm="1">
        <f t="array" ref="L1231">_xlfn.TEXTJOIN(",",TRUE,_xlfn._xlws.FILTER($C$5:$C$1727,($D$5:$D$1727=I1231)*($E$5:$E$1727=J1231)*($F$5:$F$1727=K1231)))</f>
        <v>Global</v>
      </c>
      <c r="M1231" t="b">
        <f t="shared" si="38"/>
        <v>0</v>
      </c>
      <c r="N1231">
        <f t="shared" si="39"/>
        <v>0</v>
      </c>
    </row>
    <row r="1232" spans="3:14" x14ac:dyDescent="0.25">
      <c r="C1232" t="s">
        <v>1548</v>
      </c>
      <c r="D1232" t="s">
        <v>1127</v>
      </c>
      <c r="E1232" t="s">
        <v>400</v>
      </c>
      <c r="F1232">
        <v>0</v>
      </c>
      <c r="I1232" t="str">
        <v>US43300A2033</v>
      </c>
      <c r="J1232" t="str">
        <v>Not included in a theme</v>
      </c>
      <c r="K1232">
        <v>0</v>
      </c>
      <c r="L1232" t="str" cm="1">
        <f t="array" ref="L1232">_xlfn.TEXTJOIN(",",TRUE,_xlfn._xlws.FILTER($C$5:$C$1727,($D$5:$D$1727=I1232)*($E$5:$E$1727=J1232)*($F$5:$F$1727=K1232)))</f>
        <v>Global</v>
      </c>
      <c r="M1232" t="b">
        <f t="shared" si="38"/>
        <v>0</v>
      </c>
      <c r="N1232">
        <f t="shared" si="39"/>
        <v>0</v>
      </c>
    </row>
    <row r="1233" spans="3:14" x14ac:dyDescent="0.25">
      <c r="C1233" t="s">
        <v>1548</v>
      </c>
      <c r="D1233" t="s">
        <v>1128</v>
      </c>
      <c r="E1233" t="s">
        <v>399</v>
      </c>
      <c r="F1233">
        <v>0.5</v>
      </c>
      <c r="I1233" t="str">
        <v>US4364401012</v>
      </c>
      <c r="J1233" t="str">
        <v>Not included in a theme</v>
      </c>
      <c r="K1233">
        <v>0</v>
      </c>
      <c r="L1233" t="str" cm="1">
        <f t="array" ref="L1233">_xlfn.TEXTJOIN(",",TRUE,_xlfn._xlws.FILTER($C$5:$C$1727,($D$5:$D$1727=I1233)*($E$5:$E$1727=J1233)*($F$5:$F$1727=K1233)))</f>
        <v>Global</v>
      </c>
      <c r="M1233" t="b">
        <f t="shared" si="38"/>
        <v>0</v>
      </c>
      <c r="N1233">
        <f t="shared" si="39"/>
        <v>0</v>
      </c>
    </row>
    <row r="1234" spans="3:14" x14ac:dyDescent="0.25">
      <c r="C1234" t="s">
        <v>1548</v>
      </c>
      <c r="D1234" t="s">
        <v>1129</v>
      </c>
      <c r="E1234" t="s">
        <v>400</v>
      </c>
      <c r="F1234">
        <v>0</v>
      </c>
      <c r="I1234" t="str">
        <v>US4370761029</v>
      </c>
      <c r="J1234" t="str">
        <v>Ecoconstruction</v>
      </c>
      <c r="K1234">
        <v>0.15</v>
      </c>
      <c r="L1234" t="str" cm="1">
        <f t="array" ref="L1234">_xlfn.TEXTJOIN(",",TRUE,_xlfn._xlws.FILTER($C$5:$C$1727,($D$5:$D$1727=I1234)*($E$5:$E$1727=J1234)*($F$5:$F$1727=K1234)))</f>
        <v>Global</v>
      </c>
      <c r="M1234" t="b">
        <f t="shared" si="38"/>
        <v>0</v>
      </c>
      <c r="N1234">
        <f t="shared" si="39"/>
        <v>0</v>
      </c>
    </row>
    <row r="1235" spans="3:14" x14ac:dyDescent="0.25">
      <c r="C1235" t="s">
        <v>1548</v>
      </c>
      <c r="D1235" t="s">
        <v>105</v>
      </c>
      <c r="E1235" t="s">
        <v>401</v>
      </c>
      <c r="F1235">
        <v>0</v>
      </c>
      <c r="I1235" t="str">
        <v>US4385161066</v>
      </c>
      <c r="J1235" t="str">
        <v>Excluded</v>
      </c>
      <c r="K1235">
        <v>0</v>
      </c>
      <c r="L1235" t="str" cm="1">
        <f t="array" ref="L1235">_xlfn.TEXTJOIN(",",TRUE,_xlfn._xlws.FILTER($C$5:$C$1727,($D$5:$D$1727=I1235)*($E$5:$E$1727=J1235)*($F$5:$F$1727=K1235)))</f>
        <v>Global</v>
      </c>
      <c r="M1235" t="b">
        <f t="shared" si="38"/>
        <v>0</v>
      </c>
      <c r="N1235">
        <f t="shared" si="39"/>
        <v>0</v>
      </c>
    </row>
    <row r="1236" spans="3:14" x14ac:dyDescent="0.25">
      <c r="C1236" t="s">
        <v>1548</v>
      </c>
      <c r="D1236" t="s">
        <v>1130</v>
      </c>
      <c r="E1236" t="s">
        <v>403</v>
      </c>
      <c r="F1236">
        <v>1</v>
      </c>
      <c r="I1236" t="str">
        <v>US44107P1049</v>
      </c>
      <c r="J1236" t="str">
        <v>Not included in a theme</v>
      </c>
      <c r="K1236">
        <v>0</v>
      </c>
      <c r="L1236" t="str" cm="1">
        <f t="array" ref="L1236">_xlfn.TEXTJOIN(",",TRUE,_xlfn._xlws.FILTER($C$5:$C$1727,($D$5:$D$1727=I1236)*($E$5:$E$1727=J1236)*($F$5:$F$1727=K1236)))</f>
        <v>Global</v>
      </c>
      <c r="M1236" t="b">
        <f t="shared" si="38"/>
        <v>0</v>
      </c>
      <c r="N1236">
        <f t="shared" si="39"/>
        <v>0</v>
      </c>
    </row>
    <row r="1237" spans="3:14" x14ac:dyDescent="0.25">
      <c r="C1237" t="s">
        <v>1548</v>
      </c>
      <c r="D1237" t="s">
        <v>1131</v>
      </c>
      <c r="E1237" t="s">
        <v>400</v>
      </c>
      <c r="F1237">
        <v>0</v>
      </c>
      <c r="I1237" t="str">
        <v>US4432011082</v>
      </c>
      <c r="J1237" t="str">
        <v>Not included in a theme</v>
      </c>
      <c r="K1237">
        <v>0</v>
      </c>
      <c r="L1237" t="str" cm="1">
        <f t="array" ref="L1237">_xlfn.TEXTJOIN(",",TRUE,_xlfn._xlws.FILTER($C$5:$C$1727,($D$5:$D$1727=I1237)*($E$5:$E$1727=J1237)*($F$5:$F$1727=K1237)))</f>
        <v>Global</v>
      </c>
      <c r="M1237" t="b">
        <f t="shared" si="38"/>
        <v>0</v>
      </c>
      <c r="N1237">
        <f t="shared" si="39"/>
        <v>0</v>
      </c>
    </row>
    <row r="1238" spans="3:14" x14ac:dyDescent="0.25">
      <c r="C1238" t="s">
        <v>1548</v>
      </c>
      <c r="D1238" t="s">
        <v>1132</v>
      </c>
      <c r="E1238" t="s">
        <v>400</v>
      </c>
      <c r="F1238">
        <v>0</v>
      </c>
      <c r="I1238" t="str">
        <v>US4435106079</v>
      </c>
      <c r="J1238" t="str">
        <v>Green energy</v>
      </c>
      <c r="K1238">
        <v>0.66</v>
      </c>
      <c r="L1238" t="str" cm="1">
        <f t="array" ref="L1238">_xlfn.TEXTJOIN(",",TRUE,_xlfn._xlws.FILTER($C$5:$C$1727,($D$5:$D$1727=I1238)*($E$5:$E$1727=J1238)*($F$5:$F$1727=K1238)))</f>
        <v>Global</v>
      </c>
      <c r="M1238" t="b">
        <f t="shared" si="38"/>
        <v>0</v>
      </c>
      <c r="N1238">
        <f t="shared" si="39"/>
        <v>0</v>
      </c>
    </row>
    <row r="1239" spans="3:14" x14ac:dyDescent="0.25">
      <c r="C1239" t="s">
        <v>1548</v>
      </c>
      <c r="D1239" t="s">
        <v>1133</v>
      </c>
      <c r="E1239" t="s">
        <v>401</v>
      </c>
      <c r="F1239">
        <v>0</v>
      </c>
      <c r="I1239" t="str">
        <v>US4435731009</v>
      </c>
      <c r="J1239" t="str">
        <v>Information technology</v>
      </c>
      <c r="K1239">
        <v>1</v>
      </c>
      <c r="L1239" t="str" cm="1">
        <f t="array" ref="L1239">_xlfn.TEXTJOIN(",",TRUE,_xlfn._xlws.FILTER($C$5:$C$1727,($D$5:$D$1727=I1239)*($E$5:$E$1727=J1239)*($F$5:$F$1727=K1239)))</f>
        <v>Global</v>
      </c>
      <c r="M1239" t="b">
        <f t="shared" si="38"/>
        <v>0</v>
      </c>
      <c r="N1239">
        <f t="shared" si="39"/>
        <v>0</v>
      </c>
    </row>
    <row r="1240" spans="3:14" x14ac:dyDescent="0.25">
      <c r="C1240" t="s">
        <v>1548</v>
      </c>
      <c r="D1240" t="s">
        <v>1134</v>
      </c>
      <c r="E1240" t="s">
        <v>400</v>
      </c>
      <c r="F1240">
        <v>0</v>
      </c>
      <c r="I1240" t="str">
        <v>US4448591028</v>
      </c>
      <c r="J1240" t="str">
        <v>Not included in a theme</v>
      </c>
      <c r="K1240">
        <v>0</v>
      </c>
      <c r="L1240" t="str" cm="1">
        <f t="array" ref="L1240">_xlfn.TEXTJOIN(",",TRUE,_xlfn._xlws.FILTER($C$5:$C$1727,($D$5:$D$1727=I1240)*($E$5:$E$1727=J1240)*($F$5:$F$1727=K1240)))</f>
        <v>Global</v>
      </c>
      <c r="M1240" t="b">
        <f t="shared" si="38"/>
        <v>0</v>
      </c>
      <c r="N1240">
        <f t="shared" si="39"/>
        <v>0</v>
      </c>
    </row>
    <row r="1241" spans="3:14" x14ac:dyDescent="0.25">
      <c r="C1241" t="s">
        <v>1548</v>
      </c>
      <c r="D1241" t="s">
        <v>1135</v>
      </c>
      <c r="E1241" t="s">
        <v>400</v>
      </c>
      <c r="F1241">
        <v>0</v>
      </c>
      <c r="I1241" t="str">
        <v>US4456581077</v>
      </c>
      <c r="J1241" t="str">
        <v>Not included in a theme</v>
      </c>
      <c r="K1241">
        <v>0</v>
      </c>
      <c r="L1241" t="str" cm="1">
        <f t="array" ref="L1241">_xlfn.TEXTJOIN(",",TRUE,_xlfn._xlws.FILTER($C$5:$C$1727,($D$5:$D$1727=I1241)*($E$5:$E$1727=J1241)*($F$5:$F$1727=K1241)))</f>
        <v>Global</v>
      </c>
      <c r="M1241" t="b">
        <f t="shared" si="38"/>
        <v>0</v>
      </c>
      <c r="N1241">
        <f t="shared" si="39"/>
        <v>0</v>
      </c>
    </row>
    <row r="1242" spans="3:14" x14ac:dyDescent="0.25">
      <c r="C1242" t="s">
        <v>1548</v>
      </c>
      <c r="D1242" t="s">
        <v>1136</v>
      </c>
      <c r="E1242" t="s">
        <v>400</v>
      </c>
      <c r="F1242">
        <v>0</v>
      </c>
      <c r="I1242" t="str">
        <v>US4461501045</v>
      </c>
      <c r="J1242" t="str">
        <v>Excluded</v>
      </c>
      <c r="K1242">
        <v>0</v>
      </c>
      <c r="L1242" t="str" cm="1">
        <f t="array" ref="L1242">_xlfn.TEXTJOIN(",",TRUE,_xlfn._xlws.FILTER($C$5:$C$1727,($D$5:$D$1727=I1242)*($E$5:$E$1727=J1242)*($F$5:$F$1727=K1242)))</f>
        <v>Global</v>
      </c>
      <c r="M1242" t="b">
        <f t="shared" si="38"/>
        <v>0</v>
      </c>
      <c r="N1242">
        <f t="shared" si="39"/>
        <v>0</v>
      </c>
    </row>
    <row r="1243" spans="3:14" x14ac:dyDescent="0.25">
      <c r="C1243" t="s">
        <v>1548</v>
      </c>
      <c r="D1243" t="s">
        <v>1137</v>
      </c>
      <c r="E1243" t="s">
        <v>401</v>
      </c>
      <c r="F1243">
        <v>0</v>
      </c>
      <c r="I1243" t="str">
        <v>US4464131063</v>
      </c>
      <c r="J1243" t="str">
        <v>Excluded</v>
      </c>
      <c r="K1243">
        <v>0</v>
      </c>
      <c r="L1243" t="str" cm="1">
        <f t="array" ref="L1243">_xlfn.TEXTJOIN(",",TRUE,_xlfn._xlws.FILTER($C$5:$C$1727,($D$5:$D$1727=I1243)*($E$5:$E$1727=J1243)*($F$5:$F$1727=K1243)))</f>
        <v>Global</v>
      </c>
      <c r="M1243" t="b">
        <f t="shared" si="38"/>
        <v>0</v>
      </c>
      <c r="N1243">
        <f t="shared" si="39"/>
        <v>0</v>
      </c>
    </row>
    <row r="1244" spans="3:14" x14ac:dyDescent="0.25">
      <c r="C1244" t="s">
        <v>1548</v>
      </c>
      <c r="D1244" t="s">
        <v>1138</v>
      </c>
      <c r="E1244" t="s">
        <v>400</v>
      </c>
      <c r="F1244">
        <v>0</v>
      </c>
      <c r="I1244" t="str">
        <v>US45073V1089</v>
      </c>
      <c r="J1244" t="str">
        <v>Excluded</v>
      </c>
      <c r="K1244">
        <v>0</v>
      </c>
      <c r="L1244" t="str" cm="1">
        <f t="array" ref="L1244">_xlfn.TEXTJOIN(",",TRUE,_xlfn._xlws.FILTER($C$5:$C$1727,($D$5:$D$1727=I1244)*($E$5:$E$1727=J1244)*($F$5:$F$1727=K1244)))</f>
        <v>Global</v>
      </c>
      <c r="M1244" t="b">
        <f t="shared" si="38"/>
        <v>0</v>
      </c>
      <c r="N1244">
        <f t="shared" si="39"/>
        <v>0</v>
      </c>
    </row>
    <row r="1245" spans="3:14" x14ac:dyDescent="0.25">
      <c r="C1245" t="s">
        <v>1548</v>
      </c>
      <c r="D1245" t="s">
        <v>1139</v>
      </c>
      <c r="E1245" t="s">
        <v>400</v>
      </c>
      <c r="F1245">
        <v>0</v>
      </c>
      <c r="I1245" t="str">
        <v>US45167R1041</v>
      </c>
      <c r="J1245" t="str">
        <v>Eco-efficient industries</v>
      </c>
      <c r="K1245">
        <v>0.37</v>
      </c>
      <c r="L1245" t="str" cm="1">
        <f t="array" ref="L1245">_xlfn.TEXTJOIN(",",TRUE,_xlfn._xlws.FILTER($C$5:$C$1727,($D$5:$D$1727=I1245)*($E$5:$E$1727=J1245)*($F$5:$F$1727=K1245)))</f>
        <v>Global</v>
      </c>
      <c r="M1245" t="b">
        <f t="shared" si="38"/>
        <v>0</v>
      </c>
      <c r="N1245">
        <f t="shared" si="39"/>
        <v>0</v>
      </c>
    </row>
    <row r="1246" spans="3:14" x14ac:dyDescent="0.25">
      <c r="C1246" t="s">
        <v>1548</v>
      </c>
      <c r="D1246" t="s">
        <v>1140</v>
      </c>
      <c r="E1246" t="s">
        <v>401</v>
      </c>
      <c r="F1246">
        <v>0</v>
      </c>
      <c r="I1246" t="str">
        <v>US45168D1046</v>
      </c>
      <c r="J1246" t="str">
        <v>Excluded</v>
      </c>
      <c r="K1246">
        <v>0</v>
      </c>
      <c r="L1246" t="str" cm="1">
        <f t="array" ref="L1246">_xlfn.TEXTJOIN(",",TRUE,_xlfn._xlws.FILTER($C$5:$C$1727,($D$5:$D$1727=I1246)*($E$5:$E$1727=J1246)*($F$5:$F$1727=K1246)))</f>
        <v>Global</v>
      </c>
      <c r="M1246" t="b">
        <f t="shared" si="38"/>
        <v>0</v>
      </c>
      <c r="N1246">
        <f t="shared" si="39"/>
        <v>0</v>
      </c>
    </row>
    <row r="1247" spans="3:14" x14ac:dyDescent="0.25">
      <c r="C1247" t="s">
        <v>1548</v>
      </c>
      <c r="D1247" t="s">
        <v>1141</v>
      </c>
      <c r="E1247" t="s">
        <v>401</v>
      </c>
      <c r="F1247">
        <v>0</v>
      </c>
      <c r="I1247" t="str">
        <v>US4523081093</v>
      </c>
      <c r="J1247" t="str">
        <v>Eco-efficient industries</v>
      </c>
      <c r="K1247">
        <v>0.32</v>
      </c>
      <c r="L1247" t="str" cm="1">
        <f t="array" ref="L1247">_xlfn.TEXTJOIN(",",TRUE,_xlfn._xlws.FILTER($C$5:$C$1727,($D$5:$D$1727=I1247)*($E$5:$E$1727=J1247)*($F$5:$F$1727=K1247)))</f>
        <v>Global</v>
      </c>
      <c r="M1247" t="b">
        <f t="shared" si="38"/>
        <v>0</v>
      </c>
      <c r="N1247">
        <f t="shared" si="39"/>
        <v>0</v>
      </c>
    </row>
    <row r="1248" spans="3:14" x14ac:dyDescent="0.25">
      <c r="C1248" t="s">
        <v>1548</v>
      </c>
      <c r="D1248" t="s">
        <v>1142</v>
      </c>
      <c r="E1248" t="s">
        <v>400</v>
      </c>
      <c r="F1248">
        <v>0</v>
      </c>
      <c r="I1248" t="str">
        <v>US4523271090</v>
      </c>
      <c r="J1248" t="str">
        <v>Excluded</v>
      </c>
      <c r="K1248">
        <v>0</v>
      </c>
      <c r="L1248" t="str" cm="1">
        <f t="array" ref="L1248">_xlfn.TEXTJOIN(",",TRUE,_xlfn._xlws.FILTER($C$5:$C$1727,($D$5:$D$1727=I1248)*($E$5:$E$1727=J1248)*($F$5:$F$1727=K1248)))</f>
        <v>Global</v>
      </c>
      <c r="M1248" t="b">
        <f t="shared" si="38"/>
        <v>0</v>
      </c>
      <c r="N1248">
        <f t="shared" si="39"/>
        <v>0</v>
      </c>
    </row>
    <row r="1249" spans="3:14" x14ac:dyDescent="0.25">
      <c r="C1249" t="s">
        <v>1548</v>
      </c>
      <c r="D1249" t="s">
        <v>1143</v>
      </c>
      <c r="E1249" t="s">
        <v>401</v>
      </c>
      <c r="F1249">
        <v>0</v>
      </c>
      <c r="I1249" t="str">
        <v>US45337C1027</v>
      </c>
      <c r="J1249" t="str">
        <v>Not included in a theme</v>
      </c>
      <c r="K1249">
        <v>0</v>
      </c>
      <c r="L1249" t="str" cm="1">
        <f t="array" ref="L1249">_xlfn.TEXTJOIN(",",TRUE,_xlfn._xlws.FILTER($C$5:$C$1727,($D$5:$D$1727=I1249)*($E$5:$E$1727=J1249)*($F$5:$F$1727=K1249)))</f>
        <v>Global</v>
      </c>
      <c r="M1249" t="b">
        <f t="shared" si="38"/>
        <v>0</v>
      </c>
      <c r="N1249">
        <f t="shared" si="39"/>
        <v>0</v>
      </c>
    </row>
    <row r="1250" spans="3:14" x14ac:dyDescent="0.25">
      <c r="C1250" t="s">
        <v>1548</v>
      </c>
      <c r="D1250" t="s">
        <v>1144</v>
      </c>
      <c r="E1250" t="s">
        <v>400</v>
      </c>
      <c r="F1250">
        <v>0</v>
      </c>
      <c r="I1250" t="str">
        <v>US45687V1061</v>
      </c>
      <c r="J1250" t="str">
        <v>Excluded</v>
      </c>
      <c r="K1250">
        <v>0</v>
      </c>
      <c r="L1250" t="str" cm="1">
        <f t="array" ref="L1250">_xlfn.TEXTJOIN(",",TRUE,_xlfn._xlws.FILTER($C$5:$C$1727,($D$5:$D$1727=I1250)*($E$5:$E$1727=J1250)*($F$5:$F$1727=K1250)))</f>
        <v>Global</v>
      </c>
      <c r="M1250" t="b">
        <f t="shared" si="38"/>
        <v>0</v>
      </c>
      <c r="N1250">
        <f t="shared" si="39"/>
        <v>0</v>
      </c>
    </row>
    <row r="1251" spans="3:14" x14ac:dyDescent="0.25">
      <c r="C1251" t="s">
        <v>1548</v>
      </c>
      <c r="D1251" t="s">
        <v>1145</v>
      </c>
      <c r="E1251" t="s">
        <v>401</v>
      </c>
      <c r="F1251">
        <v>0</v>
      </c>
      <c r="I1251" t="str">
        <v>US4576693075</v>
      </c>
      <c r="J1251" t="str">
        <v>Excluded</v>
      </c>
      <c r="K1251">
        <v>0</v>
      </c>
      <c r="L1251" t="str" cm="1">
        <f t="array" ref="L1251">_xlfn.TEXTJOIN(",",TRUE,_xlfn._xlws.FILTER($C$5:$C$1727,($D$5:$D$1727=I1251)*($E$5:$E$1727=J1251)*($F$5:$F$1727=K1251)))</f>
        <v>Global</v>
      </c>
      <c r="M1251" t="b">
        <f t="shared" si="38"/>
        <v>0</v>
      </c>
      <c r="N1251">
        <f t="shared" si="39"/>
        <v>0</v>
      </c>
    </row>
    <row r="1252" spans="3:14" x14ac:dyDescent="0.25">
      <c r="C1252" t="s">
        <v>1548</v>
      </c>
      <c r="D1252" t="s">
        <v>1146</v>
      </c>
      <c r="E1252" t="s">
        <v>401</v>
      </c>
      <c r="F1252">
        <v>0</v>
      </c>
      <c r="I1252" t="str">
        <v>US45784P1012</v>
      </c>
      <c r="J1252" t="str">
        <v>Not included in a theme</v>
      </c>
      <c r="K1252">
        <v>0</v>
      </c>
      <c r="L1252" t="str" cm="1">
        <f t="array" ref="L1252">_xlfn.TEXTJOIN(",",TRUE,_xlfn._xlws.FILTER($C$5:$C$1727,($D$5:$D$1727=I1252)*($E$5:$E$1727=J1252)*($F$5:$F$1727=K1252)))</f>
        <v>Global</v>
      </c>
      <c r="M1252" t="b">
        <f t="shared" si="38"/>
        <v>0</v>
      </c>
      <c r="N1252">
        <f t="shared" si="39"/>
        <v>0</v>
      </c>
    </row>
    <row r="1253" spans="3:14" x14ac:dyDescent="0.25">
      <c r="C1253" t="s">
        <v>1548</v>
      </c>
      <c r="D1253" t="s">
        <v>1147</v>
      </c>
      <c r="E1253" t="s">
        <v>400</v>
      </c>
      <c r="F1253">
        <v>0</v>
      </c>
      <c r="I1253" t="str">
        <v>US4581401001</v>
      </c>
      <c r="J1253" t="str">
        <v>Information technology</v>
      </c>
      <c r="K1253">
        <v>1</v>
      </c>
      <c r="L1253" t="str" cm="1">
        <f t="array" ref="L1253">_xlfn.TEXTJOIN(",",TRUE,_xlfn._xlws.FILTER($C$5:$C$1727,($D$5:$D$1727=I1253)*($E$5:$E$1727=J1253)*($F$5:$F$1727=K1253)))</f>
        <v>Global</v>
      </c>
      <c r="M1253" t="b">
        <f t="shared" si="38"/>
        <v>0</v>
      </c>
      <c r="N1253">
        <f t="shared" si="39"/>
        <v>0</v>
      </c>
    </row>
    <row r="1254" spans="3:14" x14ac:dyDescent="0.25">
      <c r="C1254" t="s">
        <v>1548</v>
      </c>
      <c r="D1254" t="s">
        <v>1148</v>
      </c>
      <c r="E1254" t="s">
        <v>400</v>
      </c>
      <c r="F1254">
        <v>0</v>
      </c>
      <c r="I1254" t="str">
        <v>US45841N1072</v>
      </c>
      <c r="J1254" t="str">
        <v>Excluded</v>
      </c>
      <c r="K1254">
        <v>0</v>
      </c>
      <c r="L1254" t="str" cm="1">
        <f t="array" ref="L1254">_xlfn.TEXTJOIN(",",TRUE,_xlfn._xlws.FILTER($C$5:$C$1727,($D$5:$D$1727=I1254)*($E$5:$E$1727=J1254)*($F$5:$F$1727=K1254)))</f>
        <v>Global</v>
      </c>
      <c r="M1254" t="b">
        <f t="shared" si="38"/>
        <v>0</v>
      </c>
      <c r="N1254">
        <f t="shared" si="39"/>
        <v>0</v>
      </c>
    </row>
    <row r="1255" spans="3:14" x14ac:dyDescent="0.25">
      <c r="C1255" t="s">
        <v>1548</v>
      </c>
      <c r="D1255" t="s">
        <v>1149</v>
      </c>
      <c r="E1255" t="s">
        <v>400</v>
      </c>
      <c r="F1255">
        <v>0</v>
      </c>
      <c r="I1255" t="str">
        <v>US45866F1049</v>
      </c>
      <c r="J1255" t="str">
        <v>Excluded</v>
      </c>
      <c r="K1255">
        <v>0</v>
      </c>
      <c r="L1255" t="str" cm="1">
        <f t="array" ref="L1255">_xlfn.TEXTJOIN(",",TRUE,_xlfn._xlws.FILTER($C$5:$C$1727,($D$5:$D$1727=I1255)*($E$5:$E$1727=J1255)*($F$5:$F$1727=K1255)))</f>
        <v>Global</v>
      </c>
      <c r="M1255" t="b">
        <f t="shared" si="38"/>
        <v>0</v>
      </c>
      <c r="N1255">
        <f t="shared" si="39"/>
        <v>0</v>
      </c>
    </row>
    <row r="1256" spans="3:14" x14ac:dyDescent="0.25">
      <c r="C1256" t="s">
        <v>1548</v>
      </c>
      <c r="D1256" t="s">
        <v>1150</v>
      </c>
      <c r="E1256" t="s">
        <v>400</v>
      </c>
      <c r="F1256">
        <v>0</v>
      </c>
      <c r="I1256" t="str">
        <v>US4592001014</v>
      </c>
      <c r="J1256" t="str">
        <v>Excluded</v>
      </c>
      <c r="K1256">
        <v>0</v>
      </c>
      <c r="L1256" t="str" cm="1">
        <f t="array" ref="L1256">_xlfn.TEXTJOIN(",",TRUE,_xlfn._xlws.FILTER($C$5:$C$1727,($D$5:$D$1727=I1256)*($E$5:$E$1727=J1256)*($F$5:$F$1727=K1256)))</f>
        <v>Global</v>
      </c>
      <c r="M1256" t="b">
        <f t="shared" si="38"/>
        <v>0</v>
      </c>
      <c r="N1256">
        <f t="shared" si="39"/>
        <v>0</v>
      </c>
    </row>
    <row r="1257" spans="3:14" x14ac:dyDescent="0.25">
      <c r="C1257" t="s">
        <v>1548</v>
      </c>
      <c r="D1257" t="s">
        <v>1151</v>
      </c>
      <c r="E1257" t="s">
        <v>400</v>
      </c>
      <c r="F1257">
        <v>0</v>
      </c>
      <c r="I1257" t="str">
        <v>US4595061015</v>
      </c>
      <c r="J1257" t="str">
        <v>Agriculture and forestry</v>
      </c>
      <c r="K1257">
        <v>0.91</v>
      </c>
      <c r="L1257" t="str" cm="1">
        <f t="array" ref="L1257">_xlfn.TEXTJOIN(",",TRUE,_xlfn._xlws.FILTER($C$5:$C$1727,($D$5:$D$1727=I1257)*($E$5:$E$1727=J1257)*($F$5:$F$1727=K1257)))</f>
        <v>Global</v>
      </c>
      <c r="M1257" t="b">
        <f t="shared" si="38"/>
        <v>0</v>
      </c>
      <c r="N1257">
        <f t="shared" si="39"/>
        <v>0</v>
      </c>
    </row>
    <row r="1258" spans="3:14" x14ac:dyDescent="0.25">
      <c r="C1258" t="s">
        <v>1548</v>
      </c>
      <c r="D1258" t="s">
        <v>1152</v>
      </c>
      <c r="E1258" t="s">
        <v>400</v>
      </c>
      <c r="F1258">
        <v>0</v>
      </c>
      <c r="I1258" t="str">
        <v>US4601461035</v>
      </c>
      <c r="J1258" t="str">
        <v>Excluded</v>
      </c>
      <c r="K1258">
        <v>0</v>
      </c>
      <c r="L1258" t="str" cm="1">
        <f t="array" ref="L1258">_xlfn.TEXTJOIN(",",TRUE,_xlfn._xlws.FILTER($C$5:$C$1727,($D$5:$D$1727=I1258)*($E$5:$E$1727=J1258)*($F$5:$F$1727=K1258)))</f>
        <v>Global</v>
      </c>
      <c r="M1258" t="b">
        <f t="shared" si="38"/>
        <v>0</v>
      </c>
      <c r="N1258">
        <f t="shared" si="39"/>
        <v>0</v>
      </c>
    </row>
    <row r="1259" spans="3:14" x14ac:dyDescent="0.25">
      <c r="C1259" t="s">
        <v>1548</v>
      </c>
      <c r="D1259" t="s">
        <v>1153</v>
      </c>
      <c r="E1259" t="s">
        <v>401</v>
      </c>
      <c r="F1259">
        <v>0</v>
      </c>
      <c r="I1259" t="str">
        <v>US4612021034</v>
      </c>
      <c r="J1259" t="str">
        <v>Information technology</v>
      </c>
      <c r="K1259">
        <v>1</v>
      </c>
      <c r="L1259" t="str" cm="1">
        <f t="array" ref="L1259">_xlfn.TEXTJOIN(",",TRUE,_xlfn._xlws.FILTER($C$5:$C$1727,($D$5:$D$1727=I1259)*($E$5:$E$1727=J1259)*($F$5:$F$1727=K1259)))</f>
        <v>Global</v>
      </c>
      <c r="M1259" t="b">
        <f t="shared" si="38"/>
        <v>0</v>
      </c>
      <c r="N1259">
        <f t="shared" si="39"/>
        <v>0</v>
      </c>
    </row>
    <row r="1260" spans="3:14" x14ac:dyDescent="0.25">
      <c r="C1260" t="s">
        <v>1548</v>
      </c>
      <c r="D1260" t="s">
        <v>118</v>
      </c>
      <c r="E1260" t="s">
        <v>407</v>
      </c>
      <c r="F1260">
        <v>1</v>
      </c>
      <c r="I1260" t="str">
        <v>US46120E6023</v>
      </c>
      <c r="J1260" t="str">
        <v>Excluded</v>
      </c>
      <c r="K1260">
        <v>0</v>
      </c>
      <c r="L1260" t="str" cm="1">
        <f t="array" ref="L1260">_xlfn.TEXTJOIN(",",TRUE,_xlfn._xlws.FILTER($C$5:$C$1727,($D$5:$D$1727=I1260)*($E$5:$E$1727=J1260)*($F$5:$F$1727=K1260)))</f>
        <v>Global</v>
      </c>
      <c r="M1260" t="b">
        <f t="shared" si="38"/>
        <v>0</v>
      </c>
      <c r="N1260">
        <f t="shared" si="39"/>
        <v>0</v>
      </c>
    </row>
    <row r="1261" spans="3:14" x14ac:dyDescent="0.25">
      <c r="C1261" t="s">
        <v>1548</v>
      </c>
      <c r="D1261" t="s">
        <v>1154</v>
      </c>
      <c r="E1261" t="s">
        <v>399</v>
      </c>
      <c r="F1261">
        <v>0.57999999999999996</v>
      </c>
      <c r="I1261" t="str">
        <v>US46187W1071</v>
      </c>
      <c r="J1261" t="str">
        <v>Ecoconstruction</v>
      </c>
      <c r="K1261">
        <v>1</v>
      </c>
      <c r="L1261" t="str" cm="1">
        <f t="array" ref="L1261">_xlfn.TEXTJOIN(",",TRUE,_xlfn._xlws.FILTER($C$5:$C$1727,($D$5:$D$1727=I1261)*($E$5:$E$1727=J1261)*($F$5:$F$1727=K1261)))</f>
        <v>Global</v>
      </c>
      <c r="M1261" t="b">
        <f t="shared" si="38"/>
        <v>0</v>
      </c>
      <c r="N1261">
        <f t="shared" si="39"/>
        <v>0</v>
      </c>
    </row>
    <row r="1262" spans="3:14" x14ac:dyDescent="0.25">
      <c r="C1262" t="s">
        <v>1548</v>
      </c>
      <c r="D1262" t="s">
        <v>1155</v>
      </c>
      <c r="E1262" t="s">
        <v>400</v>
      </c>
      <c r="F1262">
        <v>0</v>
      </c>
      <c r="I1262" t="str">
        <v>US4622221004</v>
      </c>
      <c r="J1262" t="str">
        <v>Not included in a theme</v>
      </c>
      <c r="K1262">
        <v>0</v>
      </c>
      <c r="L1262" t="str" cm="1">
        <f t="array" ref="L1262">_xlfn.TEXTJOIN(",",TRUE,_xlfn._xlws.FILTER($C$5:$C$1727,($D$5:$D$1727=I1262)*($E$5:$E$1727=J1262)*($F$5:$F$1727=K1262)))</f>
        <v>Global</v>
      </c>
      <c r="M1262" t="b">
        <f t="shared" si="38"/>
        <v>0</v>
      </c>
      <c r="N1262">
        <f t="shared" si="39"/>
        <v>0</v>
      </c>
    </row>
    <row r="1263" spans="3:14" x14ac:dyDescent="0.25">
      <c r="C1263" t="s">
        <v>1548</v>
      </c>
      <c r="D1263" t="s">
        <v>1156</v>
      </c>
      <c r="E1263" t="s">
        <v>401</v>
      </c>
      <c r="F1263">
        <v>0</v>
      </c>
      <c r="I1263" t="str">
        <v>US46222L1089</v>
      </c>
      <c r="J1263" t="str">
        <v>Excluded</v>
      </c>
      <c r="K1263">
        <v>0</v>
      </c>
      <c r="L1263" t="str" cm="1">
        <f t="array" ref="L1263">_xlfn.TEXTJOIN(",",TRUE,_xlfn._xlws.FILTER($C$5:$C$1727,($D$5:$D$1727=I1263)*($E$5:$E$1727=J1263)*($F$5:$F$1727=K1263)))</f>
        <v>Global</v>
      </c>
      <c r="M1263" t="b">
        <f t="shared" si="38"/>
        <v>0</v>
      </c>
      <c r="N1263">
        <f t="shared" si="39"/>
        <v>0</v>
      </c>
    </row>
    <row r="1264" spans="3:14" x14ac:dyDescent="0.25">
      <c r="C1264" t="s">
        <v>1548</v>
      </c>
      <c r="D1264" t="s">
        <v>1157</v>
      </c>
      <c r="E1264" t="s">
        <v>400</v>
      </c>
      <c r="F1264">
        <v>0</v>
      </c>
      <c r="I1264" t="str">
        <v>US46266C1053</v>
      </c>
      <c r="J1264" t="str">
        <v>Excluded</v>
      </c>
      <c r="K1264">
        <v>0</v>
      </c>
      <c r="L1264" t="str" cm="1">
        <f t="array" ref="L1264">_xlfn.TEXTJOIN(",",TRUE,_xlfn._xlws.FILTER($C$5:$C$1727,($D$5:$D$1727=I1264)*($E$5:$E$1727=J1264)*($F$5:$F$1727=K1264)))</f>
        <v>Global</v>
      </c>
      <c r="M1264" t="b">
        <f t="shared" si="38"/>
        <v>0</v>
      </c>
      <c r="N1264">
        <f t="shared" si="39"/>
        <v>0</v>
      </c>
    </row>
    <row r="1265" spans="3:14" x14ac:dyDescent="0.25">
      <c r="C1265" t="s">
        <v>1548</v>
      </c>
      <c r="D1265" t="s">
        <v>1158</v>
      </c>
      <c r="E1265" t="s">
        <v>401</v>
      </c>
      <c r="F1265">
        <v>0</v>
      </c>
      <c r="I1265" t="str">
        <v>US46284V1017</v>
      </c>
      <c r="J1265" t="str">
        <v>Information technology</v>
      </c>
      <c r="K1265">
        <v>1</v>
      </c>
      <c r="L1265" t="str" cm="1">
        <f t="array" ref="L1265">_xlfn.TEXTJOIN(",",TRUE,_xlfn._xlws.FILTER($C$5:$C$1727,($D$5:$D$1727=I1265)*($E$5:$E$1727=J1265)*($F$5:$F$1727=K1265)))</f>
        <v>Global</v>
      </c>
      <c r="M1265" t="b">
        <f t="shared" si="38"/>
        <v>0</v>
      </c>
      <c r="N1265">
        <f t="shared" si="39"/>
        <v>0</v>
      </c>
    </row>
    <row r="1266" spans="3:14" x14ac:dyDescent="0.25">
      <c r="C1266" t="s">
        <v>1548</v>
      </c>
      <c r="D1266" t="s">
        <v>1159</v>
      </c>
      <c r="E1266" t="s">
        <v>401</v>
      </c>
      <c r="F1266">
        <v>0</v>
      </c>
      <c r="I1266" t="str">
        <v>US46625H1005</v>
      </c>
      <c r="J1266" t="str">
        <v>Excluded</v>
      </c>
      <c r="K1266">
        <v>0</v>
      </c>
      <c r="L1266" t="str" cm="1">
        <f t="array" ref="L1266">_xlfn.TEXTJOIN(",",TRUE,_xlfn._xlws.FILTER($C$5:$C$1727,($D$5:$D$1727=I1266)*($E$5:$E$1727=J1266)*($F$5:$F$1727=K1266)))</f>
        <v>Global</v>
      </c>
      <c r="M1266" t="b">
        <f t="shared" si="38"/>
        <v>0</v>
      </c>
      <c r="N1266">
        <f t="shared" si="39"/>
        <v>0</v>
      </c>
    </row>
    <row r="1267" spans="3:14" x14ac:dyDescent="0.25">
      <c r="C1267" t="s">
        <v>1548</v>
      </c>
      <c r="D1267" t="s">
        <v>1160</v>
      </c>
      <c r="E1267" t="s">
        <v>400</v>
      </c>
      <c r="F1267">
        <v>0</v>
      </c>
      <c r="I1267" t="str">
        <v>US4663131039</v>
      </c>
      <c r="J1267" t="str">
        <v>Eco-efficient industries</v>
      </c>
      <c r="K1267">
        <v>1</v>
      </c>
      <c r="L1267" t="str" cm="1">
        <f t="array" ref="L1267">_xlfn.TEXTJOIN(",",TRUE,_xlfn._xlws.FILTER($C$5:$C$1727,($D$5:$D$1727=I1267)*($E$5:$E$1727=J1267)*($F$5:$F$1727=K1267)))</f>
        <v>Global</v>
      </c>
      <c r="M1267" t="b">
        <f t="shared" si="38"/>
        <v>0</v>
      </c>
      <c r="N1267">
        <f t="shared" si="39"/>
        <v>0</v>
      </c>
    </row>
    <row r="1268" spans="3:14" x14ac:dyDescent="0.25">
      <c r="C1268" t="s">
        <v>1548</v>
      </c>
      <c r="D1268" t="s">
        <v>1161</v>
      </c>
      <c r="E1268" t="s">
        <v>406</v>
      </c>
      <c r="F1268">
        <v>0.82</v>
      </c>
      <c r="I1268" t="str">
        <v>US46982L1089</v>
      </c>
      <c r="J1268" t="str">
        <v>Excluded</v>
      </c>
      <c r="K1268">
        <v>0</v>
      </c>
      <c r="L1268" t="str" cm="1">
        <f t="array" ref="L1268">_xlfn.TEXTJOIN(",",TRUE,_xlfn._xlws.FILTER($C$5:$C$1727,($D$5:$D$1727=I1268)*($E$5:$E$1727=J1268)*($F$5:$F$1727=K1268)))</f>
        <v>Global</v>
      </c>
      <c r="M1268" t="b">
        <f t="shared" si="38"/>
        <v>0</v>
      </c>
      <c r="N1268">
        <f t="shared" si="39"/>
        <v>0</v>
      </c>
    </row>
    <row r="1269" spans="3:14" x14ac:dyDescent="0.25">
      <c r="C1269" t="s">
        <v>1548</v>
      </c>
      <c r="D1269" t="s">
        <v>1162</v>
      </c>
      <c r="E1269" t="s">
        <v>401</v>
      </c>
      <c r="F1269">
        <v>0</v>
      </c>
      <c r="I1269" t="str">
        <v>US4781601046</v>
      </c>
      <c r="J1269" t="str">
        <v>Excluded</v>
      </c>
      <c r="K1269">
        <v>0</v>
      </c>
      <c r="L1269" t="str" cm="1">
        <f t="array" ref="L1269">_xlfn.TEXTJOIN(",",TRUE,_xlfn._xlws.FILTER($C$5:$C$1727,($D$5:$D$1727=I1269)*($E$5:$E$1727=J1269)*($F$5:$F$1727=K1269)))</f>
        <v>Global</v>
      </c>
      <c r="M1269" t="b">
        <f t="shared" si="38"/>
        <v>0</v>
      </c>
      <c r="N1269">
        <f t="shared" si="39"/>
        <v>0</v>
      </c>
    </row>
    <row r="1270" spans="3:14" x14ac:dyDescent="0.25">
      <c r="C1270" t="s">
        <v>1548</v>
      </c>
      <c r="D1270" t="s">
        <v>150</v>
      </c>
      <c r="E1270" t="s">
        <v>406</v>
      </c>
      <c r="F1270">
        <v>0.8</v>
      </c>
      <c r="I1270" t="str">
        <v>US48020Q1076</v>
      </c>
      <c r="J1270" t="str">
        <v>Not included in a theme</v>
      </c>
      <c r="K1270">
        <v>0</v>
      </c>
      <c r="L1270" t="str" cm="1">
        <f t="array" ref="L1270">_xlfn.TEXTJOIN(",",TRUE,_xlfn._xlws.FILTER($C$5:$C$1727,($D$5:$D$1727=I1270)*($E$5:$E$1727=J1270)*($F$5:$F$1727=K1270)))</f>
        <v>Global</v>
      </c>
      <c r="M1270" t="b">
        <f t="shared" si="38"/>
        <v>0</v>
      </c>
      <c r="N1270">
        <f t="shared" si="39"/>
        <v>0</v>
      </c>
    </row>
    <row r="1271" spans="3:14" x14ac:dyDescent="0.25">
      <c r="C1271" t="s">
        <v>1548</v>
      </c>
      <c r="D1271" t="s">
        <v>1163</v>
      </c>
      <c r="E1271" t="s">
        <v>400</v>
      </c>
      <c r="F1271">
        <v>0</v>
      </c>
      <c r="I1271" t="str">
        <v>US4824801009</v>
      </c>
      <c r="J1271" t="str">
        <v>Information technology</v>
      </c>
      <c r="K1271">
        <v>1</v>
      </c>
      <c r="L1271" t="str" cm="1">
        <f t="array" ref="L1271">_xlfn.TEXTJOIN(",",TRUE,_xlfn._xlws.FILTER($C$5:$C$1727,($D$5:$D$1727=I1271)*($E$5:$E$1727=J1271)*($F$5:$F$1727=K1271)))</f>
        <v>Global</v>
      </c>
      <c r="M1271" t="b">
        <f t="shared" si="38"/>
        <v>0</v>
      </c>
      <c r="N1271">
        <f t="shared" si="39"/>
        <v>0</v>
      </c>
    </row>
    <row r="1272" spans="3:14" x14ac:dyDescent="0.25">
      <c r="C1272" t="s">
        <v>1548</v>
      </c>
      <c r="D1272" t="s">
        <v>151</v>
      </c>
      <c r="E1272" t="s">
        <v>401</v>
      </c>
      <c r="F1272">
        <v>0</v>
      </c>
      <c r="I1272" t="str">
        <v>US48251W1045</v>
      </c>
      <c r="J1272" t="str">
        <v>Excluded</v>
      </c>
      <c r="K1272">
        <v>0</v>
      </c>
      <c r="L1272" t="str" cm="1">
        <f t="array" ref="L1272">_xlfn.TEXTJOIN(",",TRUE,_xlfn._xlws.FILTER($C$5:$C$1727,($D$5:$D$1727=I1272)*($E$5:$E$1727=J1272)*($F$5:$F$1727=K1272)))</f>
        <v>Global</v>
      </c>
      <c r="M1272" t="b">
        <f t="shared" si="38"/>
        <v>0</v>
      </c>
      <c r="N1272">
        <f t="shared" si="39"/>
        <v>0</v>
      </c>
    </row>
    <row r="1273" spans="3:14" x14ac:dyDescent="0.25">
      <c r="C1273" t="s">
        <v>1548</v>
      </c>
      <c r="D1273" t="s">
        <v>1164</v>
      </c>
      <c r="E1273" t="s">
        <v>400</v>
      </c>
      <c r="F1273">
        <v>0</v>
      </c>
      <c r="I1273" t="str">
        <v>US4878361082</v>
      </c>
      <c r="J1273" t="str">
        <v>Not included in a theme</v>
      </c>
      <c r="K1273">
        <v>0</v>
      </c>
      <c r="L1273" t="str" cm="1">
        <f t="array" ref="L1273">_xlfn.TEXTJOIN(",",TRUE,_xlfn._xlws.FILTER($C$5:$C$1727,($D$5:$D$1727=I1273)*($E$5:$E$1727=J1273)*($F$5:$F$1727=K1273)))</f>
        <v>Global</v>
      </c>
      <c r="M1273" t="b">
        <f t="shared" si="38"/>
        <v>0</v>
      </c>
      <c r="N1273">
        <f t="shared" si="39"/>
        <v>0</v>
      </c>
    </row>
    <row r="1274" spans="3:14" x14ac:dyDescent="0.25">
      <c r="C1274" t="s">
        <v>1548</v>
      </c>
      <c r="D1274" t="s">
        <v>1165</v>
      </c>
      <c r="E1274" t="s">
        <v>400</v>
      </c>
      <c r="F1274">
        <v>0</v>
      </c>
      <c r="I1274" t="str">
        <v>US49177J1025</v>
      </c>
      <c r="J1274" t="str">
        <v>Excluded</v>
      </c>
      <c r="K1274">
        <v>0</v>
      </c>
      <c r="L1274" t="str" cm="1">
        <f t="array" ref="L1274">_xlfn.TEXTJOIN(",",TRUE,_xlfn._xlws.FILTER($C$5:$C$1727,($D$5:$D$1727=I1274)*($E$5:$E$1727=J1274)*($F$5:$F$1727=K1274)))</f>
        <v>Global</v>
      </c>
      <c r="M1274" t="b">
        <f t="shared" si="38"/>
        <v>0</v>
      </c>
      <c r="N1274">
        <f t="shared" si="39"/>
        <v>0</v>
      </c>
    </row>
    <row r="1275" spans="3:14" x14ac:dyDescent="0.25">
      <c r="C1275" t="s">
        <v>1548</v>
      </c>
      <c r="D1275" t="s">
        <v>128</v>
      </c>
      <c r="E1275" t="s">
        <v>400</v>
      </c>
      <c r="F1275">
        <v>0</v>
      </c>
      <c r="I1275" t="str">
        <v>US49271V1008</v>
      </c>
      <c r="J1275" t="str">
        <v>Not included in a theme</v>
      </c>
      <c r="K1275">
        <v>0</v>
      </c>
      <c r="L1275" t="str" cm="1">
        <f t="array" ref="L1275">_xlfn.TEXTJOIN(",",TRUE,_xlfn._xlws.FILTER($C$5:$C$1727,($D$5:$D$1727=I1275)*($E$5:$E$1727=J1275)*($F$5:$F$1727=K1275)))</f>
        <v>Global</v>
      </c>
      <c r="M1275" t="b">
        <f t="shared" si="38"/>
        <v>0</v>
      </c>
      <c r="N1275">
        <f t="shared" si="39"/>
        <v>0</v>
      </c>
    </row>
    <row r="1276" spans="3:14" x14ac:dyDescent="0.25">
      <c r="C1276" t="s">
        <v>1548</v>
      </c>
      <c r="D1276" t="s">
        <v>1166</v>
      </c>
      <c r="E1276" t="s">
        <v>400</v>
      </c>
      <c r="F1276">
        <v>0</v>
      </c>
      <c r="I1276" t="str">
        <v>US4932671088</v>
      </c>
      <c r="J1276" t="str">
        <v>Excluded</v>
      </c>
      <c r="K1276">
        <v>0</v>
      </c>
      <c r="L1276" t="str" cm="1">
        <f t="array" ref="L1276">_xlfn.TEXTJOIN(",",TRUE,_xlfn._xlws.FILTER($C$5:$C$1727,($D$5:$D$1727=I1276)*($E$5:$E$1727=J1276)*($F$5:$F$1727=K1276)))</f>
        <v>Global</v>
      </c>
      <c r="M1276" t="b">
        <f t="shared" si="38"/>
        <v>0</v>
      </c>
      <c r="N1276">
        <f t="shared" si="39"/>
        <v>0</v>
      </c>
    </row>
    <row r="1277" spans="3:14" x14ac:dyDescent="0.25">
      <c r="C1277" t="s">
        <v>1548</v>
      </c>
      <c r="D1277" t="s">
        <v>1167</v>
      </c>
      <c r="E1277" t="s">
        <v>400</v>
      </c>
      <c r="F1277">
        <v>0</v>
      </c>
      <c r="I1277" t="str">
        <v>US49338L1035</v>
      </c>
      <c r="J1277" t="str">
        <v>Not included in a theme</v>
      </c>
      <c r="K1277">
        <v>0</v>
      </c>
      <c r="L1277" t="str" cm="1">
        <f t="array" ref="L1277">_xlfn.TEXTJOIN(",",TRUE,_xlfn._xlws.FILTER($C$5:$C$1727,($D$5:$D$1727=I1277)*($E$5:$E$1727=J1277)*($F$5:$F$1727=K1277)))</f>
        <v>Global</v>
      </c>
      <c r="M1277" t="b">
        <f t="shared" si="38"/>
        <v>0</v>
      </c>
      <c r="N1277">
        <f t="shared" si="39"/>
        <v>0</v>
      </c>
    </row>
    <row r="1278" spans="3:14" x14ac:dyDescent="0.25">
      <c r="C1278" t="s">
        <v>1548</v>
      </c>
      <c r="D1278" t="s">
        <v>1168</v>
      </c>
      <c r="E1278" t="s">
        <v>400</v>
      </c>
      <c r="F1278">
        <v>0</v>
      </c>
      <c r="I1278" t="str">
        <v>US4943681035</v>
      </c>
      <c r="J1278" t="str">
        <v>Circular economy</v>
      </c>
      <c r="K1278">
        <v>0.64</v>
      </c>
      <c r="L1278" t="str" cm="1">
        <f t="array" ref="L1278">_xlfn.TEXTJOIN(",",TRUE,_xlfn._xlws.FILTER($C$5:$C$1727,($D$5:$D$1727=I1278)*($E$5:$E$1727=J1278)*($F$5:$F$1727=K1278)))</f>
        <v>Global</v>
      </c>
      <c r="M1278" t="b">
        <f t="shared" si="38"/>
        <v>0</v>
      </c>
      <c r="N1278">
        <f t="shared" si="39"/>
        <v>0</v>
      </c>
    </row>
    <row r="1279" spans="3:14" x14ac:dyDescent="0.25">
      <c r="C1279" t="s">
        <v>1548</v>
      </c>
      <c r="D1279" t="s">
        <v>1169</v>
      </c>
      <c r="E1279" t="s">
        <v>400</v>
      </c>
      <c r="F1279">
        <v>0</v>
      </c>
      <c r="I1279" t="str">
        <v>US49446R1095</v>
      </c>
      <c r="J1279" t="str">
        <v>Not included in a theme</v>
      </c>
      <c r="K1279">
        <v>0</v>
      </c>
      <c r="L1279" t="str" cm="1">
        <f t="array" ref="L1279">_xlfn.TEXTJOIN(",",TRUE,_xlfn._xlws.FILTER($C$5:$C$1727,($D$5:$D$1727=I1279)*($E$5:$E$1727=J1279)*($F$5:$F$1727=K1279)))</f>
        <v>Global</v>
      </c>
      <c r="M1279" t="b">
        <f t="shared" si="38"/>
        <v>0</v>
      </c>
      <c r="N1279">
        <f t="shared" si="39"/>
        <v>0</v>
      </c>
    </row>
    <row r="1280" spans="3:14" x14ac:dyDescent="0.25">
      <c r="C1280" t="s">
        <v>1548</v>
      </c>
      <c r="D1280" t="s">
        <v>1170</v>
      </c>
      <c r="E1280" t="s">
        <v>403</v>
      </c>
      <c r="F1280">
        <v>0.83499999999999996</v>
      </c>
      <c r="I1280" t="str">
        <v>US49456B1017</v>
      </c>
      <c r="J1280" t="str">
        <v>Excluded</v>
      </c>
      <c r="K1280">
        <v>0</v>
      </c>
      <c r="L1280" t="str" cm="1">
        <f t="array" ref="L1280">_xlfn.TEXTJOIN(",",TRUE,_xlfn._xlws.FILTER($C$5:$C$1727,($D$5:$D$1727=I1280)*($E$5:$E$1727=J1280)*($F$5:$F$1727=K1280)))</f>
        <v>Global</v>
      </c>
      <c r="M1280" t="b">
        <f t="shared" si="38"/>
        <v>0</v>
      </c>
      <c r="N1280">
        <f t="shared" si="39"/>
        <v>0</v>
      </c>
    </row>
    <row r="1281" spans="3:14" x14ac:dyDescent="0.25">
      <c r="C1281" t="s">
        <v>1548</v>
      </c>
      <c r="D1281" t="s">
        <v>1171</v>
      </c>
      <c r="E1281" t="s">
        <v>400</v>
      </c>
      <c r="F1281">
        <v>0</v>
      </c>
      <c r="I1281" t="str">
        <v>US5007541064</v>
      </c>
      <c r="J1281" t="str">
        <v>Excluded</v>
      </c>
      <c r="K1281">
        <v>0</v>
      </c>
      <c r="L1281" t="str" cm="1">
        <f t="array" ref="L1281">_xlfn.TEXTJOIN(",",TRUE,_xlfn._xlws.FILTER($C$5:$C$1727,($D$5:$D$1727=I1281)*($E$5:$E$1727=J1281)*($F$5:$F$1727=K1281)))</f>
        <v>Global</v>
      </c>
      <c r="M1281" t="b">
        <f t="shared" si="38"/>
        <v>0</v>
      </c>
      <c r="N1281">
        <f t="shared" si="39"/>
        <v>0</v>
      </c>
    </row>
    <row r="1282" spans="3:14" x14ac:dyDescent="0.25">
      <c r="C1282" t="s">
        <v>1548</v>
      </c>
      <c r="D1282" t="s">
        <v>1172</v>
      </c>
      <c r="E1282" t="s">
        <v>400</v>
      </c>
      <c r="F1282">
        <v>0</v>
      </c>
      <c r="I1282" t="str">
        <v>US50077B2079</v>
      </c>
      <c r="J1282" t="str">
        <v>Excluded</v>
      </c>
      <c r="K1282">
        <v>0</v>
      </c>
      <c r="L1282" t="str" cm="1">
        <f t="array" ref="L1282">_xlfn.TEXTJOIN(",",TRUE,_xlfn._xlws.FILTER($C$5:$C$1727,($D$5:$D$1727=I1282)*($E$5:$E$1727=J1282)*($F$5:$F$1727=K1282)))</f>
        <v>Global</v>
      </c>
      <c r="M1282" t="b">
        <f t="shared" si="38"/>
        <v>0</v>
      </c>
      <c r="N1282">
        <f t="shared" si="39"/>
        <v>0</v>
      </c>
    </row>
    <row r="1283" spans="3:14" x14ac:dyDescent="0.25">
      <c r="C1283" t="s">
        <v>1548</v>
      </c>
      <c r="D1283" t="s">
        <v>1173</v>
      </c>
      <c r="E1283" t="s">
        <v>400</v>
      </c>
      <c r="F1283">
        <v>0</v>
      </c>
      <c r="I1283" t="str">
        <v>US5010441013</v>
      </c>
      <c r="J1283" t="str">
        <v>Excluded</v>
      </c>
      <c r="K1283">
        <v>0</v>
      </c>
      <c r="L1283" t="str" cm="1">
        <f t="array" ref="L1283">_xlfn.TEXTJOIN(",",TRUE,_xlfn._xlws.FILTER($C$5:$C$1727,($D$5:$D$1727=I1283)*($E$5:$E$1727=J1283)*($F$5:$F$1727=K1283)))</f>
        <v>Global</v>
      </c>
      <c r="M1283" t="b">
        <f t="shared" si="38"/>
        <v>0</v>
      </c>
      <c r="N1283">
        <f t="shared" si="39"/>
        <v>0</v>
      </c>
    </row>
    <row r="1284" spans="3:14" x14ac:dyDescent="0.25">
      <c r="C1284" t="s">
        <v>1548</v>
      </c>
      <c r="D1284" t="s">
        <v>1174</v>
      </c>
      <c r="E1284" t="s">
        <v>400</v>
      </c>
      <c r="F1284">
        <v>0</v>
      </c>
      <c r="I1284" t="str">
        <v>US50212V1008</v>
      </c>
      <c r="J1284" t="str">
        <v>Excluded</v>
      </c>
      <c r="K1284">
        <v>0</v>
      </c>
      <c r="L1284" t="str" cm="1">
        <f t="array" ref="L1284">_xlfn.TEXTJOIN(",",TRUE,_xlfn._xlws.FILTER($C$5:$C$1727,($D$5:$D$1727=I1284)*($E$5:$E$1727=J1284)*($F$5:$F$1727=K1284)))</f>
        <v>Global</v>
      </c>
      <c r="M1284" t="b">
        <f t="shared" si="38"/>
        <v>0</v>
      </c>
      <c r="N1284">
        <f t="shared" si="39"/>
        <v>0</v>
      </c>
    </row>
    <row r="1285" spans="3:14" x14ac:dyDescent="0.25">
      <c r="C1285" t="s">
        <v>1548</v>
      </c>
      <c r="D1285" t="s">
        <v>131</v>
      </c>
      <c r="E1285" t="s">
        <v>400</v>
      </c>
      <c r="F1285">
        <v>0</v>
      </c>
      <c r="I1285" t="str">
        <v>US5024311095</v>
      </c>
      <c r="J1285" t="str">
        <v>Excluded</v>
      </c>
      <c r="K1285">
        <v>0</v>
      </c>
      <c r="L1285" t="str" cm="1">
        <f t="array" ref="L1285">_xlfn.TEXTJOIN(",",TRUE,_xlfn._xlws.FILTER($C$5:$C$1727,($D$5:$D$1727=I1285)*($E$5:$E$1727=J1285)*($F$5:$F$1727=K1285)))</f>
        <v>Global</v>
      </c>
      <c r="M1285" t="b">
        <f t="shared" si="38"/>
        <v>0</v>
      </c>
      <c r="N1285">
        <f t="shared" si="39"/>
        <v>0</v>
      </c>
    </row>
    <row r="1286" spans="3:14" x14ac:dyDescent="0.25">
      <c r="C1286" t="s">
        <v>1548</v>
      </c>
      <c r="D1286" t="s">
        <v>1175</v>
      </c>
      <c r="E1286" t="s">
        <v>400</v>
      </c>
      <c r="F1286">
        <v>0</v>
      </c>
      <c r="I1286" t="str">
        <v>US5049221055</v>
      </c>
      <c r="J1286" t="str">
        <v>Excluded</v>
      </c>
      <c r="K1286">
        <v>0</v>
      </c>
      <c r="L1286" t="str" cm="1">
        <f t="array" ref="L1286">_xlfn.TEXTJOIN(",",TRUE,_xlfn._xlws.FILTER($C$5:$C$1727,($D$5:$D$1727=I1286)*($E$5:$E$1727=J1286)*($F$5:$F$1727=K1286)))</f>
        <v>Global</v>
      </c>
      <c r="M1286" t="b">
        <f t="shared" ref="M1286:M1349" si="40">COUNTIFS($I$5:$I$1556,I1286)&gt;1</f>
        <v>0</v>
      </c>
      <c r="N1286">
        <f t="shared" ref="N1286:N1349" si="41">COUNTIFS($U$5:$U$231,I1286)</f>
        <v>0</v>
      </c>
    </row>
    <row r="1287" spans="3:14" x14ac:dyDescent="0.25">
      <c r="C1287" t="s">
        <v>1548</v>
      </c>
      <c r="D1287" t="s">
        <v>1176</v>
      </c>
      <c r="E1287" t="s">
        <v>400</v>
      </c>
      <c r="F1287">
        <v>0</v>
      </c>
      <c r="I1287" t="str">
        <v>US5128073062</v>
      </c>
      <c r="J1287" t="str">
        <v>Information technology</v>
      </c>
      <c r="K1287">
        <v>1</v>
      </c>
      <c r="L1287" t="str" cm="1">
        <f t="array" ref="L1287">_xlfn.TEXTJOIN(",",TRUE,_xlfn._xlws.FILTER($C$5:$C$1727,($D$5:$D$1727=I1287)*($E$5:$E$1727=J1287)*($F$5:$F$1727=K1287)))</f>
        <v>Global</v>
      </c>
      <c r="M1287" t="b">
        <f t="shared" si="40"/>
        <v>0</v>
      </c>
      <c r="N1287">
        <f t="shared" si="41"/>
        <v>0</v>
      </c>
    </row>
    <row r="1288" spans="3:14" x14ac:dyDescent="0.25">
      <c r="C1288" t="s">
        <v>1548</v>
      </c>
      <c r="D1288" t="s">
        <v>1177</v>
      </c>
      <c r="E1288" t="s">
        <v>400</v>
      </c>
      <c r="F1288">
        <v>0</v>
      </c>
      <c r="I1288" t="str">
        <v>US5128161099</v>
      </c>
      <c r="J1288" t="str">
        <v>Excluded</v>
      </c>
      <c r="K1288">
        <v>0</v>
      </c>
      <c r="L1288" t="str" cm="1">
        <f t="array" ref="L1288">_xlfn.TEXTJOIN(",",TRUE,_xlfn._xlws.FILTER($C$5:$C$1727,($D$5:$D$1727=I1288)*($E$5:$E$1727=J1288)*($F$5:$F$1727=K1288)))</f>
        <v>Global</v>
      </c>
      <c r="M1288" t="b">
        <f t="shared" si="40"/>
        <v>0</v>
      </c>
      <c r="N1288">
        <f t="shared" si="41"/>
        <v>0</v>
      </c>
    </row>
    <row r="1289" spans="3:14" x14ac:dyDescent="0.25">
      <c r="C1289" t="s">
        <v>1548</v>
      </c>
      <c r="D1289" t="s">
        <v>1178</v>
      </c>
      <c r="E1289" t="s">
        <v>400</v>
      </c>
      <c r="F1289">
        <v>0</v>
      </c>
      <c r="I1289" t="str">
        <v>US5178341070</v>
      </c>
      <c r="J1289" t="str">
        <v>Not included in a theme</v>
      </c>
      <c r="K1289">
        <v>0</v>
      </c>
      <c r="L1289" t="str" cm="1">
        <f t="array" ref="L1289">_xlfn.TEXTJOIN(",",TRUE,_xlfn._xlws.FILTER($C$5:$C$1727,($D$5:$D$1727=I1289)*($E$5:$E$1727=J1289)*($F$5:$F$1727=K1289)))</f>
        <v>Global</v>
      </c>
      <c r="M1289" t="b">
        <f t="shared" si="40"/>
        <v>0</v>
      </c>
      <c r="N1289">
        <f t="shared" si="41"/>
        <v>0</v>
      </c>
    </row>
    <row r="1290" spans="3:14" x14ac:dyDescent="0.25">
      <c r="C1290" t="s">
        <v>1548</v>
      </c>
      <c r="D1290" t="s">
        <v>1179</v>
      </c>
      <c r="E1290" t="s">
        <v>400</v>
      </c>
      <c r="F1290">
        <v>0</v>
      </c>
      <c r="I1290" t="str">
        <v>US5184391044</v>
      </c>
      <c r="J1290" t="str">
        <v>Excluded</v>
      </c>
      <c r="K1290">
        <v>0</v>
      </c>
      <c r="L1290" t="str" cm="1">
        <f t="array" ref="L1290">_xlfn.TEXTJOIN(",",TRUE,_xlfn._xlws.FILTER($C$5:$C$1727,($D$5:$D$1727=I1290)*($E$5:$E$1727=J1290)*($F$5:$F$1727=K1290)))</f>
        <v>Global</v>
      </c>
      <c r="M1290" t="b">
        <f t="shared" si="40"/>
        <v>0</v>
      </c>
      <c r="N1290">
        <f t="shared" si="41"/>
        <v>0</v>
      </c>
    </row>
    <row r="1291" spans="3:14" x14ac:dyDescent="0.25">
      <c r="C1291" t="s">
        <v>1548</v>
      </c>
      <c r="D1291" t="s">
        <v>1180</v>
      </c>
      <c r="E1291" t="s">
        <v>401</v>
      </c>
      <c r="F1291">
        <v>0</v>
      </c>
      <c r="I1291" t="str">
        <v>US5253271028</v>
      </c>
      <c r="J1291" t="str">
        <v>Excluded</v>
      </c>
      <c r="K1291">
        <v>0</v>
      </c>
      <c r="L1291" t="str" cm="1">
        <f t="array" ref="L1291">_xlfn.TEXTJOIN(",",TRUE,_xlfn._xlws.FILTER($C$5:$C$1727,($D$5:$D$1727=I1291)*($E$5:$E$1727=J1291)*($F$5:$F$1727=K1291)))</f>
        <v>Global</v>
      </c>
      <c r="M1291" t="b">
        <f t="shared" si="40"/>
        <v>0</v>
      </c>
      <c r="N1291">
        <f t="shared" si="41"/>
        <v>0</v>
      </c>
    </row>
    <row r="1292" spans="3:14" x14ac:dyDescent="0.25">
      <c r="C1292" t="s">
        <v>1548</v>
      </c>
      <c r="D1292" t="s">
        <v>1181</v>
      </c>
      <c r="E1292" t="s">
        <v>401</v>
      </c>
      <c r="F1292">
        <v>0</v>
      </c>
      <c r="I1292" t="str">
        <v>US5260571048</v>
      </c>
      <c r="J1292" t="str">
        <v>Ecoconstruction</v>
      </c>
      <c r="K1292">
        <v>0.18</v>
      </c>
      <c r="L1292" t="str" cm="1">
        <f t="array" ref="L1292">_xlfn.TEXTJOIN(",",TRUE,_xlfn._xlws.FILTER($C$5:$C$1727,($D$5:$D$1727=I1292)*($E$5:$E$1727=J1292)*($F$5:$F$1727=K1292)))</f>
        <v>Global</v>
      </c>
      <c r="M1292" t="b">
        <f t="shared" si="40"/>
        <v>0</v>
      </c>
      <c r="N1292">
        <f t="shared" si="41"/>
        <v>0</v>
      </c>
    </row>
    <row r="1293" spans="3:14" x14ac:dyDescent="0.25">
      <c r="C1293" t="s">
        <v>1548</v>
      </c>
      <c r="D1293" t="s">
        <v>1182</v>
      </c>
      <c r="E1293" t="s">
        <v>400</v>
      </c>
      <c r="F1293">
        <v>0</v>
      </c>
      <c r="I1293" t="str">
        <v>US5261071071</v>
      </c>
      <c r="J1293" t="str">
        <v>Excluded</v>
      </c>
      <c r="K1293">
        <v>0</v>
      </c>
      <c r="L1293" t="str" cm="1">
        <f t="array" ref="L1293">_xlfn.TEXTJOIN(",",TRUE,_xlfn._xlws.FILTER($C$5:$C$1727,($D$5:$D$1727=I1293)*($E$5:$E$1727=J1293)*($F$5:$F$1727=K1293)))</f>
        <v>Global</v>
      </c>
      <c r="M1293" t="b">
        <f t="shared" si="40"/>
        <v>0</v>
      </c>
      <c r="N1293">
        <f t="shared" si="41"/>
        <v>0</v>
      </c>
    </row>
    <row r="1294" spans="3:14" x14ac:dyDescent="0.25">
      <c r="C1294" t="s">
        <v>1548</v>
      </c>
      <c r="D1294" t="s">
        <v>1183</v>
      </c>
      <c r="E1294" t="s">
        <v>403</v>
      </c>
      <c r="F1294">
        <v>0.33</v>
      </c>
      <c r="I1294" t="str">
        <v>US5312297550</v>
      </c>
      <c r="J1294" t="str">
        <v>Excluded</v>
      </c>
      <c r="K1294">
        <v>0</v>
      </c>
      <c r="L1294" t="str" cm="1">
        <f t="array" ref="L1294">_xlfn.TEXTJOIN(",",TRUE,_xlfn._xlws.FILTER($C$5:$C$1727,($D$5:$D$1727=I1294)*($E$5:$E$1727=J1294)*($F$5:$F$1727=K1294)))</f>
        <v>Global</v>
      </c>
      <c r="M1294" t="b">
        <f t="shared" si="40"/>
        <v>0</v>
      </c>
      <c r="N1294">
        <f t="shared" si="41"/>
        <v>0</v>
      </c>
    </row>
    <row r="1295" spans="3:14" x14ac:dyDescent="0.25">
      <c r="C1295" t="s">
        <v>1548</v>
      </c>
      <c r="D1295" t="s">
        <v>1184</v>
      </c>
      <c r="E1295" t="s">
        <v>401</v>
      </c>
      <c r="F1295">
        <v>0</v>
      </c>
      <c r="I1295" t="str">
        <v>US5324571083</v>
      </c>
      <c r="J1295" t="str">
        <v>Not included in a theme</v>
      </c>
      <c r="K1295">
        <v>0</v>
      </c>
      <c r="L1295" t="str" cm="1">
        <f t="array" ref="L1295">_xlfn.TEXTJOIN(",",TRUE,_xlfn._xlws.FILTER($C$5:$C$1727,($D$5:$D$1727=I1295)*($E$5:$E$1727=J1295)*($F$5:$F$1727=K1295)))</f>
        <v>Global</v>
      </c>
      <c r="M1295" t="b">
        <f t="shared" si="40"/>
        <v>0</v>
      </c>
      <c r="N1295">
        <f t="shared" si="41"/>
        <v>0</v>
      </c>
    </row>
    <row r="1296" spans="3:14" x14ac:dyDescent="0.25">
      <c r="C1296" t="s">
        <v>1548</v>
      </c>
      <c r="D1296" t="s">
        <v>1185</v>
      </c>
      <c r="E1296" t="s">
        <v>400</v>
      </c>
      <c r="F1296">
        <v>0</v>
      </c>
      <c r="I1296" t="str">
        <v>US5339001068</v>
      </c>
      <c r="J1296" t="str">
        <v>Excluded</v>
      </c>
      <c r="K1296">
        <v>0</v>
      </c>
      <c r="L1296" t="str" cm="1">
        <f t="array" ref="L1296">_xlfn.TEXTJOIN(",",TRUE,_xlfn._xlws.FILTER($C$5:$C$1727,($D$5:$D$1727=I1296)*($E$5:$E$1727=J1296)*($F$5:$F$1727=K1296)))</f>
        <v>Global</v>
      </c>
      <c r="M1296" t="b">
        <f t="shared" si="40"/>
        <v>0</v>
      </c>
      <c r="N1296">
        <f t="shared" si="41"/>
        <v>0</v>
      </c>
    </row>
    <row r="1297" spans="3:14" x14ac:dyDescent="0.25">
      <c r="C1297" t="s">
        <v>1548</v>
      </c>
      <c r="D1297" t="s">
        <v>1186</v>
      </c>
      <c r="E1297" t="s">
        <v>400</v>
      </c>
      <c r="F1297">
        <v>0</v>
      </c>
      <c r="I1297" t="str">
        <v>US5380341090</v>
      </c>
      <c r="J1297" t="str">
        <v>Not included in a theme</v>
      </c>
      <c r="K1297">
        <v>0</v>
      </c>
      <c r="L1297" t="str" cm="1">
        <f t="array" ref="L1297">_xlfn.TEXTJOIN(",",TRUE,_xlfn._xlws.FILTER($C$5:$C$1727,($D$5:$D$1727=I1297)*($E$5:$E$1727=J1297)*($F$5:$F$1727=K1297)))</f>
        <v>Global</v>
      </c>
      <c r="M1297" t="b">
        <f t="shared" si="40"/>
        <v>0</v>
      </c>
      <c r="N1297">
        <f t="shared" si="41"/>
        <v>0</v>
      </c>
    </row>
    <row r="1298" spans="3:14" x14ac:dyDescent="0.25">
      <c r="C1298" t="s">
        <v>1548</v>
      </c>
      <c r="D1298" t="s">
        <v>1187</v>
      </c>
      <c r="E1298" t="s">
        <v>400</v>
      </c>
      <c r="F1298">
        <v>0</v>
      </c>
      <c r="I1298" t="str">
        <v>US5398301094</v>
      </c>
      <c r="J1298" t="str">
        <v>Excluded</v>
      </c>
      <c r="K1298">
        <v>0</v>
      </c>
      <c r="L1298" t="str" cm="1">
        <f t="array" ref="L1298">_xlfn.TEXTJOIN(",",TRUE,_xlfn._xlws.FILTER($C$5:$C$1727,($D$5:$D$1727=I1298)*($E$5:$E$1727=J1298)*($F$5:$F$1727=K1298)))</f>
        <v>Global</v>
      </c>
      <c r="M1298" t="b">
        <f t="shared" si="40"/>
        <v>0</v>
      </c>
      <c r="N1298">
        <f t="shared" si="41"/>
        <v>0</v>
      </c>
    </row>
    <row r="1299" spans="3:14" x14ac:dyDescent="0.25">
      <c r="C1299" t="s">
        <v>1548</v>
      </c>
      <c r="D1299" t="s">
        <v>158</v>
      </c>
      <c r="E1299" t="s">
        <v>402</v>
      </c>
      <c r="F1299">
        <v>0.96</v>
      </c>
      <c r="I1299" t="str">
        <v>US5404241086</v>
      </c>
      <c r="J1299" t="str">
        <v>Excluded</v>
      </c>
      <c r="K1299">
        <v>0</v>
      </c>
      <c r="L1299" t="str" cm="1">
        <f t="array" ref="L1299">_xlfn.TEXTJOIN(",",TRUE,_xlfn._xlws.FILTER($C$5:$C$1727,($D$5:$D$1727=I1299)*($E$5:$E$1727=J1299)*($F$5:$F$1727=K1299)))</f>
        <v>Global</v>
      </c>
      <c r="M1299" t="b">
        <f t="shared" si="40"/>
        <v>0</v>
      </c>
      <c r="N1299">
        <f t="shared" si="41"/>
        <v>0</v>
      </c>
    </row>
    <row r="1300" spans="3:14" x14ac:dyDescent="0.25">
      <c r="C1300" t="s">
        <v>1548</v>
      </c>
      <c r="D1300" t="s">
        <v>1188</v>
      </c>
      <c r="E1300" t="s">
        <v>399</v>
      </c>
      <c r="F1300">
        <v>0.1071</v>
      </c>
      <c r="I1300" t="str">
        <v>US5486611073</v>
      </c>
      <c r="J1300" t="str">
        <v>Ecoconstruction</v>
      </c>
      <c r="K1300">
        <v>0.12</v>
      </c>
      <c r="L1300" t="str" cm="1">
        <f t="array" ref="L1300">_xlfn.TEXTJOIN(",",TRUE,_xlfn._xlws.FILTER($C$5:$C$1727,($D$5:$D$1727=I1300)*($E$5:$E$1727=J1300)*($F$5:$F$1727=K1300)))</f>
        <v>Global</v>
      </c>
      <c r="M1300" t="b">
        <f t="shared" si="40"/>
        <v>0</v>
      </c>
      <c r="N1300">
        <f t="shared" si="41"/>
        <v>0</v>
      </c>
    </row>
    <row r="1301" spans="3:14" x14ac:dyDescent="0.25">
      <c r="C1301" t="s">
        <v>1548</v>
      </c>
      <c r="D1301" t="s">
        <v>123</v>
      </c>
      <c r="E1301" t="s">
        <v>399</v>
      </c>
      <c r="F1301">
        <v>0.23</v>
      </c>
      <c r="I1301" t="str">
        <v>US5500211090</v>
      </c>
      <c r="J1301" t="str">
        <v>Circular economy</v>
      </c>
      <c r="K1301">
        <v>0.12</v>
      </c>
      <c r="L1301" t="str" cm="1">
        <f t="array" ref="L1301">_xlfn.TEXTJOIN(",",TRUE,_xlfn._xlws.FILTER($C$5:$C$1727,($D$5:$D$1727=I1301)*($E$5:$E$1727=J1301)*($F$5:$F$1727=K1301)))</f>
        <v>Global</v>
      </c>
      <c r="M1301" t="b">
        <f t="shared" si="40"/>
        <v>0</v>
      </c>
      <c r="N1301">
        <f t="shared" si="41"/>
        <v>0</v>
      </c>
    </row>
    <row r="1302" spans="3:14" x14ac:dyDescent="0.25">
      <c r="C1302" t="s">
        <v>1548</v>
      </c>
      <c r="D1302" t="s">
        <v>1189</v>
      </c>
      <c r="E1302" t="s">
        <v>400</v>
      </c>
      <c r="F1302">
        <v>0</v>
      </c>
      <c r="I1302" t="str">
        <v>US55024U1097</v>
      </c>
      <c r="J1302" t="str">
        <v>Excluded</v>
      </c>
      <c r="K1302">
        <v>0</v>
      </c>
      <c r="L1302" t="str" cm="1">
        <f t="array" ref="L1302">_xlfn.TEXTJOIN(",",TRUE,_xlfn._xlws.FILTER($C$5:$C$1727,($D$5:$D$1727=I1302)*($E$5:$E$1727=J1302)*($F$5:$F$1727=K1302)))</f>
        <v>Global</v>
      </c>
      <c r="M1302" t="b">
        <f t="shared" si="40"/>
        <v>0</v>
      </c>
      <c r="N1302">
        <f t="shared" si="41"/>
        <v>0</v>
      </c>
    </row>
    <row r="1303" spans="3:14" x14ac:dyDescent="0.25">
      <c r="C1303" t="s">
        <v>1548</v>
      </c>
      <c r="D1303" t="s">
        <v>1190</v>
      </c>
      <c r="E1303" t="s">
        <v>401</v>
      </c>
      <c r="F1303">
        <v>0</v>
      </c>
      <c r="I1303" t="str">
        <v>US55261F1049</v>
      </c>
      <c r="J1303" t="str">
        <v>Excluded</v>
      </c>
      <c r="K1303">
        <v>0</v>
      </c>
      <c r="L1303" t="str" cm="1">
        <f t="array" ref="L1303">_xlfn.TEXTJOIN(",",TRUE,_xlfn._xlws.FILTER($C$5:$C$1727,($D$5:$D$1727=I1303)*($E$5:$E$1727=J1303)*($F$5:$F$1727=K1303)))</f>
        <v>Global</v>
      </c>
      <c r="M1303" t="b">
        <f t="shared" si="40"/>
        <v>0</v>
      </c>
      <c r="N1303">
        <f t="shared" si="41"/>
        <v>0</v>
      </c>
    </row>
    <row r="1304" spans="3:14" x14ac:dyDescent="0.25">
      <c r="C1304" t="s">
        <v>1548</v>
      </c>
      <c r="D1304" t="s">
        <v>1191</v>
      </c>
      <c r="E1304" t="s">
        <v>400</v>
      </c>
      <c r="F1304">
        <v>0</v>
      </c>
      <c r="I1304" t="str">
        <v>US55336V1008</v>
      </c>
      <c r="J1304" t="str">
        <v>Excluded</v>
      </c>
      <c r="K1304">
        <v>0</v>
      </c>
      <c r="L1304" t="str" cm="1">
        <f t="array" ref="L1304">_xlfn.TEXTJOIN(",",TRUE,_xlfn._xlws.FILTER($C$5:$C$1727,($D$5:$D$1727=I1304)*($E$5:$E$1727=J1304)*($F$5:$F$1727=K1304)))</f>
        <v>Global</v>
      </c>
      <c r="M1304" t="b">
        <f t="shared" si="40"/>
        <v>0</v>
      </c>
      <c r="N1304">
        <f t="shared" si="41"/>
        <v>0</v>
      </c>
    </row>
    <row r="1305" spans="3:14" x14ac:dyDescent="0.25">
      <c r="C1305" t="s">
        <v>1548</v>
      </c>
      <c r="D1305" t="s">
        <v>1192</v>
      </c>
      <c r="E1305" t="s">
        <v>400</v>
      </c>
      <c r="F1305">
        <v>0</v>
      </c>
      <c r="I1305" t="str">
        <v>US55354G1004</v>
      </c>
      <c r="J1305" t="str">
        <v>Excluded</v>
      </c>
      <c r="K1305">
        <v>0</v>
      </c>
      <c r="L1305" t="str" cm="1">
        <f t="array" ref="L1305">_xlfn.TEXTJOIN(",",TRUE,_xlfn._xlws.FILTER($C$5:$C$1727,($D$5:$D$1727=I1305)*($E$5:$E$1727=J1305)*($F$5:$F$1727=K1305)))</f>
        <v>Global</v>
      </c>
      <c r="M1305" t="b">
        <f t="shared" si="40"/>
        <v>0</v>
      </c>
      <c r="N1305">
        <f t="shared" si="41"/>
        <v>0</v>
      </c>
    </row>
    <row r="1306" spans="3:14" x14ac:dyDescent="0.25">
      <c r="C1306" t="s">
        <v>1548</v>
      </c>
      <c r="D1306" t="s">
        <v>1193</v>
      </c>
      <c r="E1306" t="s">
        <v>407</v>
      </c>
      <c r="F1306">
        <v>0.81</v>
      </c>
      <c r="I1306" t="str">
        <v>US55405Y1001</v>
      </c>
      <c r="J1306" t="str">
        <v>Not included in a theme</v>
      </c>
      <c r="K1306">
        <v>0</v>
      </c>
      <c r="L1306" t="str" cm="1">
        <f t="array" ref="L1306">_xlfn.TEXTJOIN(",",TRUE,_xlfn._xlws.FILTER($C$5:$C$1727,($D$5:$D$1727=I1306)*($E$5:$E$1727=J1306)*($F$5:$F$1727=K1306)))</f>
        <v>Global</v>
      </c>
      <c r="M1306" t="b">
        <f t="shared" si="40"/>
        <v>0</v>
      </c>
      <c r="N1306">
        <f t="shared" si="41"/>
        <v>0</v>
      </c>
    </row>
    <row r="1307" spans="3:14" x14ac:dyDescent="0.25">
      <c r="C1307" t="s">
        <v>1548</v>
      </c>
      <c r="D1307" t="s">
        <v>1194</v>
      </c>
      <c r="E1307" t="s">
        <v>400</v>
      </c>
      <c r="F1307">
        <v>0</v>
      </c>
      <c r="I1307" t="str">
        <v>US56585A1025</v>
      </c>
      <c r="J1307" t="str">
        <v>Excluded</v>
      </c>
      <c r="K1307">
        <v>0</v>
      </c>
      <c r="L1307" t="str" cm="1">
        <f t="array" ref="L1307">_xlfn.TEXTJOIN(",",TRUE,_xlfn._xlws.FILTER($C$5:$C$1727,($D$5:$D$1727=I1307)*($E$5:$E$1727=J1307)*($F$5:$F$1727=K1307)))</f>
        <v>Global</v>
      </c>
      <c r="M1307" t="b">
        <f t="shared" si="40"/>
        <v>0</v>
      </c>
      <c r="N1307">
        <f t="shared" si="41"/>
        <v>0</v>
      </c>
    </row>
    <row r="1308" spans="3:14" x14ac:dyDescent="0.25">
      <c r="C1308" t="s">
        <v>1548</v>
      </c>
      <c r="D1308" t="s">
        <v>1195</v>
      </c>
      <c r="E1308" t="s">
        <v>401</v>
      </c>
      <c r="F1308">
        <v>0</v>
      </c>
      <c r="I1308" t="str">
        <v>US5705351048</v>
      </c>
      <c r="J1308" t="str">
        <v>Not included in a theme</v>
      </c>
      <c r="K1308">
        <v>0</v>
      </c>
      <c r="L1308" t="str" cm="1">
        <f t="array" ref="L1308">_xlfn.TEXTJOIN(",",TRUE,_xlfn._xlws.FILTER($C$5:$C$1727,($D$5:$D$1727=I1308)*($E$5:$E$1727=J1308)*($F$5:$F$1727=K1308)))</f>
        <v>Global</v>
      </c>
      <c r="M1308" t="b">
        <f t="shared" si="40"/>
        <v>0</v>
      </c>
      <c r="N1308">
        <f t="shared" si="41"/>
        <v>0</v>
      </c>
    </row>
    <row r="1309" spans="3:14" x14ac:dyDescent="0.25">
      <c r="C1309" t="s">
        <v>1548</v>
      </c>
      <c r="D1309" t="s">
        <v>1196</v>
      </c>
      <c r="E1309" t="s">
        <v>400</v>
      </c>
      <c r="F1309">
        <v>0</v>
      </c>
      <c r="I1309" t="str">
        <v>US5717481023</v>
      </c>
      <c r="J1309" t="str">
        <v>Not included in a theme</v>
      </c>
      <c r="K1309">
        <v>0</v>
      </c>
      <c r="L1309" t="str" cm="1">
        <f t="array" ref="L1309">_xlfn.TEXTJOIN(",",TRUE,_xlfn._xlws.FILTER($C$5:$C$1727,($D$5:$D$1727=I1309)*($E$5:$E$1727=J1309)*($F$5:$F$1727=K1309)))</f>
        <v>Global</v>
      </c>
      <c r="M1309" t="b">
        <f t="shared" si="40"/>
        <v>0</v>
      </c>
      <c r="N1309">
        <f t="shared" si="41"/>
        <v>0</v>
      </c>
    </row>
    <row r="1310" spans="3:14" x14ac:dyDescent="0.25">
      <c r="C1310" t="s">
        <v>1548</v>
      </c>
      <c r="D1310" t="s">
        <v>1197</v>
      </c>
      <c r="E1310" t="s">
        <v>400</v>
      </c>
      <c r="F1310">
        <v>0</v>
      </c>
      <c r="I1310" t="str">
        <v>US5719032022</v>
      </c>
      <c r="J1310" t="str">
        <v>Not included in a theme</v>
      </c>
      <c r="K1310">
        <v>0</v>
      </c>
      <c r="L1310" t="str" cm="1">
        <f t="array" ref="L1310">_xlfn.TEXTJOIN(",",TRUE,_xlfn._xlws.FILTER($C$5:$C$1727,($D$5:$D$1727=I1310)*($E$5:$E$1727=J1310)*($F$5:$F$1727=K1310)))</f>
        <v>Global</v>
      </c>
      <c r="M1310" t="b">
        <f t="shared" si="40"/>
        <v>0</v>
      </c>
      <c r="N1310">
        <f t="shared" si="41"/>
        <v>0</v>
      </c>
    </row>
    <row r="1311" spans="3:14" x14ac:dyDescent="0.25">
      <c r="C1311" t="s">
        <v>1548</v>
      </c>
      <c r="D1311" t="s">
        <v>1198</v>
      </c>
      <c r="E1311" t="s">
        <v>404</v>
      </c>
      <c r="F1311">
        <v>0.24</v>
      </c>
      <c r="I1311" t="str">
        <v>US5732841060</v>
      </c>
      <c r="J1311" t="str">
        <v>Not included in a theme</v>
      </c>
      <c r="K1311">
        <v>0</v>
      </c>
      <c r="L1311" t="str" cm="1">
        <f t="array" ref="L1311">_xlfn.TEXTJOIN(",",TRUE,_xlfn._xlws.FILTER($C$5:$C$1727,($D$5:$D$1727=I1311)*($E$5:$E$1727=J1311)*($F$5:$F$1727=K1311)))</f>
        <v>Global</v>
      </c>
      <c r="M1311" t="b">
        <f t="shared" si="40"/>
        <v>0</v>
      </c>
      <c r="N1311">
        <f t="shared" si="41"/>
        <v>0</v>
      </c>
    </row>
    <row r="1312" spans="3:14" x14ac:dyDescent="0.25">
      <c r="C1312" t="s">
        <v>1548</v>
      </c>
      <c r="D1312" t="s">
        <v>1199</v>
      </c>
      <c r="E1312" t="s">
        <v>400</v>
      </c>
      <c r="F1312">
        <v>0</v>
      </c>
      <c r="I1312" t="str">
        <v>US5738741041</v>
      </c>
      <c r="J1312" t="str">
        <v>Information technology</v>
      </c>
      <c r="K1312">
        <v>1</v>
      </c>
      <c r="L1312" t="str" cm="1">
        <f t="array" ref="L1312">_xlfn.TEXTJOIN(",",TRUE,_xlfn._xlws.FILTER($C$5:$C$1727,($D$5:$D$1727=I1312)*($E$5:$E$1727=J1312)*($F$5:$F$1727=K1312)))</f>
        <v>Global</v>
      </c>
      <c r="M1312" t="b">
        <f t="shared" si="40"/>
        <v>0</v>
      </c>
      <c r="N1312">
        <f t="shared" si="41"/>
        <v>0</v>
      </c>
    </row>
    <row r="1313" spans="3:14" x14ac:dyDescent="0.25">
      <c r="C1313" t="s">
        <v>1548</v>
      </c>
      <c r="D1313" t="s">
        <v>1200</v>
      </c>
      <c r="E1313" t="s">
        <v>400</v>
      </c>
      <c r="F1313">
        <v>0</v>
      </c>
      <c r="I1313" t="str">
        <v>US5745991068</v>
      </c>
      <c r="J1313" t="str">
        <v>Ecoconstruction</v>
      </c>
      <c r="K1313">
        <v>0.5</v>
      </c>
      <c r="L1313" t="str" cm="1">
        <f t="array" ref="L1313">_xlfn.TEXTJOIN(",",TRUE,_xlfn._xlws.FILTER($C$5:$C$1727,($D$5:$D$1727=I1313)*($E$5:$E$1727=J1313)*($F$5:$F$1727=K1313)))</f>
        <v>Global</v>
      </c>
      <c r="M1313" t="b">
        <f t="shared" si="40"/>
        <v>0</v>
      </c>
      <c r="N1313">
        <f t="shared" si="41"/>
        <v>0</v>
      </c>
    </row>
    <row r="1314" spans="3:14" x14ac:dyDescent="0.25">
      <c r="C1314" t="s">
        <v>1548</v>
      </c>
      <c r="D1314" t="s">
        <v>1201</v>
      </c>
      <c r="E1314" t="s">
        <v>401</v>
      </c>
      <c r="F1314">
        <v>0</v>
      </c>
      <c r="I1314" t="str">
        <v>US5763231090</v>
      </c>
      <c r="J1314" t="str">
        <v>Excluded</v>
      </c>
      <c r="K1314">
        <v>0</v>
      </c>
      <c r="L1314" t="str" cm="1">
        <f t="array" ref="L1314">_xlfn.TEXTJOIN(",",TRUE,_xlfn._xlws.FILTER($C$5:$C$1727,($D$5:$D$1727=I1314)*($E$5:$E$1727=J1314)*($F$5:$F$1727=K1314)))</f>
        <v>Global</v>
      </c>
      <c r="M1314" t="b">
        <f t="shared" si="40"/>
        <v>0</v>
      </c>
      <c r="N1314">
        <f t="shared" si="41"/>
        <v>0</v>
      </c>
    </row>
    <row r="1315" spans="3:14" x14ac:dyDescent="0.25">
      <c r="C1315" t="s">
        <v>1548</v>
      </c>
      <c r="D1315" t="s">
        <v>1202</v>
      </c>
      <c r="E1315" t="s">
        <v>400</v>
      </c>
      <c r="F1315">
        <v>0</v>
      </c>
      <c r="I1315" t="str">
        <v>US57636Q1040</v>
      </c>
      <c r="J1315" t="str">
        <v>Excluded</v>
      </c>
      <c r="K1315">
        <v>0</v>
      </c>
      <c r="L1315" t="str" cm="1">
        <f t="array" ref="L1315">_xlfn.TEXTJOIN(",",TRUE,_xlfn._xlws.FILTER($C$5:$C$1727,($D$5:$D$1727=I1315)*($E$5:$E$1727=J1315)*($F$5:$F$1727=K1315)))</f>
        <v>Global</v>
      </c>
      <c r="M1315" t="b">
        <f t="shared" si="40"/>
        <v>0</v>
      </c>
      <c r="N1315">
        <f t="shared" si="41"/>
        <v>0</v>
      </c>
    </row>
    <row r="1316" spans="3:14" x14ac:dyDescent="0.25">
      <c r="C1316" t="s">
        <v>1548</v>
      </c>
      <c r="D1316" t="s">
        <v>1203</v>
      </c>
      <c r="E1316" t="s">
        <v>400</v>
      </c>
      <c r="F1316">
        <v>0</v>
      </c>
      <c r="I1316" t="str">
        <v>US5797802064</v>
      </c>
      <c r="J1316" t="str">
        <v>Agriculture and forestry</v>
      </c>
      <c r="K1316">
        <v>0.65</v>
      </c>
      <c r="L1316" t="str" cm="1">
        <f t="array" ref="L1316">_xlfn.TEXTJOIN(",",TRUE,_xlfn._xlws.FILTER($C$5:$C$1727,($D$5:$D$1727=I1316)*($E$5:$E$1727=J1316)*($F$5:$F$1727=K1316)))</f>
        <v>Global</v>
      </c>
      <c r="M1316" t="b">
        <f t="shared" si="40"/>
        <v>0</v>
      </c>
      <c r="N1316">
        <f t="shared" si="41"/>
        <v>0</v>
      </c>
    </row>
    <row r="1317" spans="3:14" x14ac:dyDescent="0.25">
      <c r="C1317" t="s">
        <v>1548</v>
      </c>
      <c r="D1317" t="s">
        <v>1204</v>
      </c>
      <c r="E1317" t="s">
        <v>403</v>
      </c>
      <c r="F1317">
        <v>1</v>
      </c>
      <c r="I1317" t="str">
        <v>US5801351017</v>
      </c>
      <c r="J1317" t="str">
        <v>Excluded</v>
      </c>
      <c r="K1317">
        <v>0</v>
      </c>
      <c r="L1317" t="str" cm="1">
        <f t="array" ref="L1317">_xlfn.TEXTJOIN(",",TRUE,_xlfn._xlws.FILTER($C$5:$C$1727,($D$5:$D$1727=I1317)*($E$5:$E$1727=J1317)*($F$5:$F$1727=K1317)))</f>
        <v>Global</v>
      </c>
      <c r="M1317" t="b">
        <f t="shared" si="40"/>
        <v>0</v>
      </c>
      <c r="N1317">
        <f t="shared" si="41"/>
        <v>0</v>
      </c>
    </row>
    <row r="1318" spans="3:14" x14ac:dyDescent="0.25">
      <c r="C1318" t="s">
        <v>1548</v>
      </c>
      <c r="D1318" t="s">
        <v>1205</v>
      </c>
      <c r="E1318" t="s">
        <v>399</v>
      </c>
      <c r="F1318">
        <v>0.42</v>
      </c>
      <c r="I1318" t="str">
        <v>US58155Q1031</v>
      </c>
      <c r="J1318" t="str">
        <v>Excluded</v>
      </c>
      <c r="K1318">
        <v>0</v>
      </c>
      <c r="L1318" t="str" cm="1">
        <f t="array" ref="L1318">_xlfn.TEXTJOIN(",",TRUE,_xlfn._xlws.FILTER($C$5:$C$1727,($D$5:$D$1727=I1318)*($E$5:$E$1727=J1318)*($F$5:$F$1727=K1318)))</f>
        <v>Global</v>
      </c>
      <c r="M1318" t="b">
        <f t="shared" si="40"/>
        <v>0</v>
      </c>
      <c r="N1318">
        <f t="shared" si="41"/>
        <v>0</v>
      </c>
    </row>
    <row r="1319" spans="3:14" x14ac:dyDescent="0.25">
      <c r="C1319" t="s">
        <v>1548</v>
      </c>
      <c r="D1319" t="s">
        <v>1206</v>
      </c>
      <c r="E1319" t="s">
        <v>400</v>
      </c>
      <c r="F1319">
        <v>0</v>
      </c>
      <c r="I1319" t="str">
        <v>US58506Q1094</v>
      </c>
      <c r="J1319" t="str">
        <v>Excluded</v>
      </c>
      <c r="K1319">
        <v>0</v>
      </c>
      <c r="L1319" t="str" cm="1">
        <f t="array" ref="L1319">_xlfn.TEXTJOIN(",",TRUE,_xlfn._xlws.FILTER($C$5:$C$1727,($D$5:$D$1727=I1319)*($E$5:$E$1727=J1319)*($F$5:$F$1727=K1319)))</f>
        <v>Global</v>
      </c>
      <c r="M1319" t="b">
        <f t="shared" si="40"/>
        <v>0</v>
      </c>
      <c r="N1319">
        <f t="shared" si="41"/>
        <v>0</v>
      </c>
    </row>
    <row r="1320" spans="3:14" x14ac:dyDescent="0.25">
      <c r="C1320" t="s">
        <v>1548</v>
      </c>
      <c r="D1320" t="s">
        <v>1207</v>
      </c>
      <c r="E1320" t="s">
        <v>400</v>
      </c>
      <c r="F1320">
        <v>0</v>
      </c>
      <c r="I1320" t="str">
        <v>US58733R1023</v>
      </c>
      <c r="J1320" t="str">
        <v>Not included in a theme</v>
      </c>
      <c r="K1320">
        <v>0</v>
      </c>
      <c r="L1320" t="str" cm="1">
        <f t="array" ref="L1320">_xlfn.TEXTJOIN(",",TRUE,_xlfn._xlws.FILTER($C$5:$C$1727,($D$5:$D$1727=I1320)*($E$5:$E$1727=J1320)*($F$5:$F$1727=K1320)))</f>
        <v>Global</v>
      </c>
      <c r="M1320" t="b">
        <f t="shared" si="40"/>
        <v>0</v>
      </c>
      <c r="N1320">
        <f t="shared" si="41"/>
        <v>0</v>
      </c>
    </row>
    <row r="1321" spans="3:14" x14ac:dyDescent="0.25">
      <c r="C1321" t="s">
        <v>1548</v>
      </c>
      <c r="D1321" t="s">
        <v>1208</v>
      </c>
      <c r="E1321" t="s">
        <v>399</v>
      </c>
      <c r="F1321">
        <v>0.84</v>
      </c>
      <c r="I1321" t="str">
        <v>US58933Y1055</v>
      </c>
      <c r="J1321" t="str">
        <v>Not included in a theme</v>
      </c>
      <c r="K1321">
        <v>0</v>
      </c>
      <c r="L1321" t="str" cm="1">
        <f t="array" ref="L1321">_xlfn.TEXTJOIN(",",TRUE,_xlfn._xlws.FILTER($C$5:$C$1727,($D$5:$D$1727=I1321)*($E$5:$E$1727=J1321)*($F$5:$F$1727=K1321)))</f>
        <v>Global</v>
      </c>
      <c r="M1321" t="b">
        <f t="shared" si="40"/>
        <v>0</v>
      </c>
      <c r="N1321">
        <f t="shared" si="41"/>
        <v>0</v>
      </c>
    </row>
    <row r="1322" spans="3:14" x14ac:dyDescent="0.25">
      <c r="C1322" t="s">
        <v>1548</v>
      </c>
      <c r="D1322" t="s">
        <v>1209</v>
      </c>
      <c r="E1322" t="s">
        <v>402</v>
      </c>
      <c r="F1322">
        <v>1</v>
      </c>
      <c r="I1322" t="str">
        <v>US59156R1086</v>
      </c>
      <c r="J1322" t="str">
        <v>Excluded</v>
      </c>
      <c r="K1322">
        <v>0</v>
      </c>
      <c r="L1322" t="str" cm="1">
        <f t="array" ref="L1322">_xlfn.TEXTJOIN(",",TRUE,_xlfn._xlws.FILTER($C$5:$C$1727,($D$5:$D$1727=I1322)*($E$5:$E$1727=J1322)*($F$5:$F$1727=K1322)))</f>
        <v>Global</v>
      </c>
      <c r="M1322" t="b">
        <f t="shared" si="40"/>
        <v>0</v>
      </c>
      <c r="N1322">
        <f t="shared" si="41"/>
        <v>0</v>
      </c>
    </row>
    <row r="1323" spans="3:14" x14ac:dyDescent="0.25">
      <c r="C1323" t="s">
        <v>1548</v>
      </c>
      <c r="D1323" t="s">
        <v>1210</v>
      </c>
      <c r="E1323" t="s">
        <v>400</v>
      </c>
      <c r="F1323">
        <v>0</v>
      </c>
      <c r="I1323" t="str">
        <v>US5926881054</v>
      </c>
      <c r="J1323" t="str">
        <v>Excluded</v>
      </c>
      <c r="K1323">
        <v>0</v>
      </c>
      <c r="L1323" t="str" cm="1">
        <f t="array" ref="L1323">_xlfn.TEXTJOIN(",",TRUE,_xlfn._xlws.FILTER($C$5:$C$1727,($D$5:$D$1727=I1323)*($E$5:$E$1727=J1323)*($F$5:$F$1727=K1323)))</f>
        <v>Global</v>
      </c>
      <c r="M1323" t="b">
        <f t="shared" si="40"/>
        <v>0</v>
      </c>
      <c r="N1323">
        <f t="shared" si="41"/>
        <v>0</v>
      </c>
    </row>
    <row r="1324" spans="3:14" x14ac:dyDescent="0.25">
      <c r="C1324" t="s">
        <v>1548</v>
      </c>
      <c r="D1324" t="s">
        <v>1211</v>
      </c>
      <c r="E1324" t="s">
        <v>400</v>
      </c>
      <c r="F1324">
        <v>0</v>
      </c>
      <c r="I1324" t="str">
        <v>US5949181045</v>
      </c>
      <c r="J1324" t="str">
        <v>Excluded</v>
      </c>
      <c r="K1324">
        <v>0</v>
      </c>
      <c r="L1324" t="str" cm="1">
        <f t="array" ref="L1324">_xlfn.TEXTJOIN(",",TRUE,_xlfn._xlws.FILTER($C$5:$C$1727,($D$5:$D$1727=I1324)*($E$5:$E$1727=J1324)*($F$5:$F$1727=K1324)))</f>
        <v>Global</v>
      </c>
      <c r="M1324" t="b">
        <f t="shared" si="40"/>
        <v>0</v>
      </c>
      <c r="N1324">
        <f t="shared" si="41"/>
        <v>0</v>
      </c>
    </row>
    <row r="1325" spans="3:14" x14ac:dyDescent="0.25">
      <c r="C1325" t="s">
        <v>1548</v>
      </c>
      <c r="D1325" t="s">
        <v>1212</v>
      </c>
      <c r="E1325" t="s">
        <v>401</v>
      </c>
      <c r="F1325">
        <v>0</v>
      </c>
      <c r="I1325" t="str">
        <v>US5949724083</v>
      </c>
      <c r="J1325" t="str">
        <v>Not included in a theme</v>
      </c>
      <c r="K1325">
        <v>0</v>
      </c>
      <c r="L1325" t="str" cm="1">
        <f t="array" ref="L1325">_xlfn.TEXTJOIN(",",TRUE,_xlfn._xlws.FILTER($C$5:$C$1727,($D$5:$D$1727=I1325)*($E$5:$E$1727=J1325)*($F$5:$F$1727=K1325)))</f>
        <v>Global</v>
      </c>
      <c r="M1325" t="b">
        <f t="shared" si="40"/>
        <v>0</v>
      </c>
      <c r="N1325">
        <f t="shared" si="41"/>
        <v>0</v>
      </c>
    </row>
    <row r="1326" spans="3:14" x14ac:dyDescent="0.25">
      <c r="C1326" t="s">
        <v>1548</v>
      </c>
      <c r="D1326" t="s">
        <v>1213</v>
      </c>
      <c r="E1326" t="s">
        <v>400</v>
      </c>
      <c r="F1326">
        <v>0</v>
      </c>
      <c r="I1326" t="str">
        <v>US5950171042</v>
      </c>
      <c r="J1326" t="str">
        <v>Information technology</v>
      </c>
      <c r="K1326">
        <v>1</v>
      </c>
      <c r="L1326" t="str" cm="1">
        <f t="array" ref="L1326">_xlfn.TEXTJOIN(",",TRUE,_xlfn._xlws.FILTER($C$5:$C$1727,($D$5:$D$1727=I1326)*($E$5:$E$1727=J1326)*($F$5:$F$1727=K1326)))</f>
        <v>Global</v>
      </c>
      <c r="M1326" t="b">
        <f t="shared" si="40"/>
        <v>0</v>
      </c>
      <c r="N1326">
        <f t="shared" si="41"/>
        <v>0</v>
      </c>
    </row>
    <row r="1327" spans="3:14" x14ac:dyDescent="0.25">
      <c r="C1327" t="s">
        <v>1548</v>
      </c>
      <c r="D1327" t="s">
        <v>113</v>
      </c>
      <c r="E1327" t="s">
        <v>400</v>
      </c>
      <c r="F1327">
        <v>0</v>
      </c>
      <c r="I1327" t="str">
        <v>US5951121038</v>
      </c>
      <c r="J1327" t="str">
        <v>Information technology</v>
      </c>
      <c r="K1327">
        <v>1</v>
      </c>
      <c r="L1327" t="str" cm="1">
        <f t="array" ref="L1327">_xlfn.TEXTJOIN(",",TRUE,_xlfn._xlws.FILTER($C$5:$C$1727,($D$5:$D$1727=I1327)*($E$5:$E$1727=J1327)*($F$5:$F$1727=K1327)))</f>
        <v>Global</v>
      </c>
      <c r="M1327" t="b">
        <f t="shared" si="40"/>
        <v>0</v>
      </c>
      <c r="N1327">
        <f t="shared" si="41"/>
        <v>0</v>
      </c>
    </row>
    <row r="1328" spans="3:14" x14ac:dyDescent="0.25">
      <c r="C1328" t="s">
        <v>1548</v>
      </c>
      <c r="D1328" t="s">
        <v>1214</v>
      </c>
      <c r="E1328" t="s">
        <v>401</v>
      </c>
      <c r="F1328">
        <v>0</v>
      </c>
      <c r="I1328" t="str">
        <v>US59522J1034</v>
      </c>
      <c r="J1328" t="str">
        <v>Excluded</v>
      </c>
      <c r="K1328">
        <v>0</v>
      </c>
      <c r="L1328" t="str" cm="1">
        <f t="array" ref="L1328">_xlfn.TEXTJOIN(",",TRUE,_xlfn._xlws.FILTER($C$5:$C$1727,($D$5:$D$1727=I1328)*($E$5:$E$1727=J1328)*($F$5:$F$1727=K1328)))</f>
        <v>Global</v>
      </c>
      <c r="M1328" t="b">
        <f t="shared" si="40"/>
        <v>0</v>
      </c>
      <c r="N1328">
        <f t="shared" si="41"/>
        <v>0</v>
      </c>
    </row>
    <row r="1329" spans="3:14" x14ac:dyDescent="0.25">
      <c r="C1329" t="s">
        <v>1548</v>
      </c>
      <c r="D1329" t="s">
        <v>1215</v>
      </c>
      <c r="E1329" t="s">
        <v>401</v>
      </c>
      <c r="F1329">
        <v>0</v>
      </c>
      <c r="I1329" t="str">
        <v>US6092071058</v>
      </c>
      <c r="J1329" t="str">
        <v>Excluded</v>
      </c>
      <c r="K1329">
        <v>0</v>
      </c>
      <c r="L1329" t="str" cm="1">
        <f t="array" ref="L1329">_xlfn.TEXTJOIN(",",TRUE,_xlfn._xlws.FILTER($C$5:$C$1727,($D$5:$D$1727=I1329)*($E$5:$E$1727=J1329)*($F$5:$F$1727=K1329)))</f>
        <v>Global</v>
      </c>
      <c r="M1329" t="b">
        <f t="shared" si="40"/>
        <v>0</v>
      </c>
      <c r="N1329">
        <f t="shared" si="41"/>
        <v>0</v>
      </c>
    </row>
    <row r="1330" spans="3:14" x14ac:dyDescent="0.25">
      <c r="C1330" t="s">
        <v>1548</v>
      </c>
      <c r="D1330" t="s">
        <v>1216</v>
      </c>
      <c r="E1330" t="s">
        <v>400</v>
      </c>
      <c r="F1330">
        <v>0</v>
      </c>
      <c r="I1330" t="str">
        <v>US60937P1066</v>
      </c>
      <c r="J1330" t="str">
        <v>Information technology</v>
      </c>
      <c r="K1330">
        <v>1</v>
      </c>
      <c r="L1330" t="str" cm="1">
        <f t="array" ref="L1330">_xlfn.TEXTJOIN(",",TRUE,_xlfn._xlws.FILTER($C$5:$C$1727,($D$5:$D$1727=I1330)*($E$5:$E$1727=J1330)*($F$5:$F$1727=K1330)))</f>
        <v>Global</v>
      </c>
      <c r="M1330" t="b">
        <f t="shared" si="40"/>
        <v>0</v>
      </c>
      <c r="N1330">
        <f t="shared" si="41"/>
        <v>0</v>
      </c>
    </row>
    <row r="1331" spans="3:14" x14ac:dyDescent="0.25">
      <c r="C1331" t="s">
        <v>1548</v>
      </c>
      <c r="D1331" t="s">
        <v>1217</v>
      </c>
      <c r="E1331" t="s">
        <v>400</v>
      </c>
      <c r="F1331">
        <v>0</v>
      </c>
      <c r="I1331" t="str">
        <v>US6098391054</v>
      </c>
      <c r="J1331" t="str">
        <v>Information technology</v>
      </c>
      <c r="K1331">
        <v>1</v>
      </c>
      <c r="L1331" t="str" cm="1">
        <f t="array" ref="L1331">_xlfn.TEXTJOIN(",",TRUE,_xlfn._xlws.FILTER($C$5:$C$1727,($D$5:$D$1727=I1331)*($E$5:$E$1727=J1331)*($F$5:$F$1727=K1331)))</f>
        <v>Global</v>
      </c>
      <c r="M1331" t="b">
        <f t="shared" si="40"/>
        <v>0</v>
      </c>
      <c r="N1331">
        <f t="shared" si="41"/>
        <v>0</v>
      </c>
    </row>
    <row r="1332" spans="3:14" x14ac:dyDescent="0.25">
      <c r="C1332" t="s">
        <v>1548</v>
      </c>
      <c r="D1332" t="s">
        <v>1218</v>
      </c>
      <c r="E1332" t="s">
        <v>400</v>
      </c>
      <c r="F1332">
        <v>0</v>
      </c>
      <c r="I1332" t="str">
        <v>US61174X1090</v>
      </c>
      <c r="J1332" t="str">
        <v>Excluded</v>
      </c>
      <c r="K1332">
        <v>0</v>
      </c>
      <c r="L1332" t="str" cm="1">
        <f t="array" ref="L1332">_xlfn.TEXTJOIN(",",TRUE,_xlfn._xlws.FILTER($C$5:$C$1727,($D$5:$D$1727=I1332)*($E$5:$E$1727=J1332)*($F$5:$F$1727=K1332)))</f>
        <v>Global</v>
      </c>
      <c r="M1332" t="b">
        <f t="shared" si="40"/>
        <v>0</v>
      </c>
      <c r="N1332">
        <f t="shared" si="41"/>
        <v>0</v>
      </c>
    </row>
    <row r="1333" spans="3:14" x14ac:dyDescent="0.25">
      <c r="C1333" t="s">
        <v>1548</v>
      </c>
      <c r="D1333" t="s">
        <v>1219</v>
      </c>
      <c r="E1333" t="s">
        <v>404</v>
      </c>
      <c r="F1333">
        <v>1</v>
      </c>
      <c r="I1333" t="str">
        <v>US6153691059</v>
      </c>
      <c r="J1333" t="str">
        <v>Excluded</v>
      </c>
      <c r="K1333">
        <v>0</v>
      </c>
      <c r="L1333" t="str" cm="1">
        <f t="array" ref="L1333">_xlfn.TEXTJOIN(",",TRUE,_xlfn._xlws.FILTER($C$5:$C$1727,($D$5:$D$1727=I1333)*($E$5:$E$1727=J1333)*($F$5:$F$1727=K1333)))</f>
        <v>Global</v>
      </c>
      <c r="M1333" t="b">
        <f t="shared" si="40"/>
        <v>0</v>
      </c>
      <c r="N1333">
        <f t="shared" si="41"/>
        <v>0</v>
      </c>
    </row>
    <row r="1334" spans="3:14" x14ac:dyDescent="0.25">
      <c r="C1334" t="s">
        <v>1548</v>
      </c>
      <c r="D1334" t="s">
        <v>1220</v>
      </c>
      <c r="E1334" t="s">
        <v>399</v>
      </c>
      <c r="F1334">
        <v>1</v>
      </c>
      <c r="I1334" t="str">
        <v>US6174464486</v>
      </c>
      <c r="J1334" t="str">
        <v>Excluded</v>
      </c>
      <c r="K1334">
        <v>0</v>
      </c>
      <c r="L1334" t="str" cm="1">
        <f t="array" ref="L1334">_xlfn.TEXTJOIN(",",TRUE,_xlfn._xlws.FILTER($C$5:$C$1727,($D$5:$D$1727=I1334)*($E$5:$E$1727=J1334)*($F$5:$F$1727=K1334)))</f>
        <v>Global</v>
      </c>
      <c r="M1334" t="b">
        <f t="shared" si="40"/>
        <v>0</v>
      </c>
      <c r="N1334">
        <f t="shared" si="41"/>
        <v>0</v>
      </c>
    </row>
    <row r="1335" spans="3:14" x14ac:dyDescent="0.25">
      <c r="C1335" t="s">
        <v>1548</v>
      </c>
      <c r="D1335" t="s">
        <v>1221</v>
      </c>
      <c r="E1335" t="s">
        <v>399</v>
      </c>
      <c r="F1335">
        <v>1</v>
      </c>
      <c r="I1335" t="str">
        <v>US6200763075</v>
      </c>
      <c r="J1335" t="str">
        <v>Not included in a theme</v>
      </c>
      <c r="K1335">
        <v>0</v>
      </c>
      <c r="L1335" t="str" cm="1">
        <f t="array" ref="L1335">_xlfn.TEXTJOIN(",",TRUE,_xlfn._xlws.FILTER($C$5:$C$1727,($D$5:$D$1727=I1335)*($E$5:$E$1727=J1335)*($F$5:$F$1727=K1335)))</f>
        <v>Global</v>
      </c>
      <c r="M1335" t="b">
        <f t="shared" si="40"/>
        <v>0</v>
      </c>
      <c r="N1335">
        <f t="shared" si="41"/>
        <v>0</v>
      </c>
    </row>
    <row r="1336" spans="3:14" x14ac:dyDescent="0.25">
      <c r="C1336" t="s">
        <v>1548</v>
      </c>
      <c r="D1336" t="s">
        <v>1222</v>
      </c>
      <c r="E1336" t="s">
        <v>400</v>
      </c>
      <c r="F1336">
        <v>0</v>
      </c>
      <c r="I1336" t="str">
        <v>US6247561029</v>
      </c>
      <c r="J1336" t="str">
        <v>Excluded</v>
      </c>
      <c r="K1336">
        <v>0</v>
      </c>
      <c r="L1336" t="str" cm="1">
        <f t="array" ref="L1336">_xlfn.TEXTJOIN(",",TRUE,_xlfn._xlws.FILTER($C$5:$C$1727,($D$5:$D$1727=I1336)*($E$5:$E$1727=J1336)*($F$5:$F$1727=K1336)))</f>
        <v>Global</v>
      </c>
      <c r="M1336" t="b">
        <f t="shared" si="40"/>
        <v>0</v>
      </c>
      <c r="N1336">
        <f t="shared" si="41"/>
        <v>0</v>
      </c>
    </row>
    <row r="1337" spans="3:14" x14ac:dyDescent="0.25">
      <c r="C1337" t="s">
        <v>1548</v>
      </c>
      <c r="D1337" t="s">
        <v>1223</v>
      </c>
      <c r="E1337" t="s">
        <v>400</v>
      </c>
      <c r="F1337">
        <v>0</v>
      </c>
      <c r="I1337" t="str">
        <v>US6293775085</v>
      </c>
      <c r="J1337" t="str">
        <v>Excluded</v>
      </c>
      <c r="K1337">
        <v>0</v>
      </c>
      <c r="L1337" t="str" cm="1">
        <f t="array" ref="L1337">_xlfn.TEXTJOIN(",",TRUE,_xlfn._xlws.FILTER($C$5:$C$1727,($D$5:$D$1727=I1337)*($E$5:$E$1727=J1337)*($F$5:$F$1727=K1337)))</f>
        <v>Global</v>
      </c>
      <c r="M1337" t="b">
        <f t="shared" si="40"/>
        <v>0</v>
      </c>
      <c r="N1337">
        <f t="shared" si="41"/>
        <v>0</v>
      </c>
    </row>
    <row r="1338" spans="3:14" x14ac:dyDescent="0.25">
      <c r="C1338" t="s">
        <v>1548</v>
      </c>
      <c r="D1338" t="s">
        <v>1224</v>
      </c>
      <c r="E1338" t="s">
        <v>400</v>
      </c>
      <c r="F1338">
        <v>0</v>
      </c>
      <c r="I1338" t="str">
        <v>US62944T1051</v>
      </c>
      <c r="J1338" t="str">
        <v>Ecoconstruction</v>
      </c>
      <c r="K1338">
        <v>0.4</v>
      </c>
      <c r="L1338" t="str" cm="1">
        <f t="array" ref="L1338">_xlfn.TEXTJOIN(",",TRUE,_xlfn._xlws.FILTER($C$5:$C$1727,($D$5:$D$1727=I1338)*($E$5:$E$1727=J1338)*($F$5:$F$1727=K1338)))</f>
        <v>Global</v>
      </c>
      <c r="M1338" t="b">
        <f t="shared" si="40"/>
        <v>0</v>
      </c>
      <c r="N1338">
        <f t="shared" si="41"/>
        <v>0</v>
      </c>
    </row>
    <row r="1339" spans="3:14" x14ac:dyDescent="0.25">
      <c r="C1339" t="s">
        <v>1548</v>
      </c>
      <c r="D1339" t="s">
        <v>1225</v>
      </c>
      <c r="E1339" t="s">
        <v>400</v>
      </c>
      <c r="F1339">
        <v>0</v>
      </c>
      <c r="I1339" t="str">
        <v>US6311031081</v>
      </c>
      <c r="J1339" t="str">
        <v>Excluded</v>
      </c>
      <c r="K1339">
        <v>0</v>
      </c>
      <c r="L1339" t="str" cm="1">
        <f t="array" ref="L1339">_xlfn.TEXTJOIN(",",TRUE,_xlfn._xlws.FILTER($C$5:$C$1727,($D$5:$D$1727=I1339)*($E$5:$E$1727=J1339)*($F$5:$F$1727=K1339)))</f>
        <v>Global</v>
      </c>
      <c r="M1339" t="b">
        <f t="shared" si="40"/>
        <v>0</v>
      </c>
      <c r="N1339">
        <f t="shared" si="41"/>
        <v>0</v>
      </c>
    </row>
    <row r="1340" spans="3:14" x14ac:dyDescent="0.25">
      <c r="C1340" t="s">
        <v>1548</v>
      </c>
      <c r="D1340" t="s">
        <v>1226</v>
      </c>
      <c r="E1340" t="s">
        <v>401</v>
      </c>
      <c r="F1340">
        <v>0</v>
      </c>
      <c r="I1340" t="str">
        <v>US6323071042</v>
      </c>
      <c r="J1340" t="str">
        <v>Excluded</v>
      </c>
      <c r="K1340">
        <v>0</v>
      </c>
      <c r="L1340" t="str" cm="1">
        <f t="array" ref="L1340">_xlfn.TEXTJOIN(",",TRUE,_xlfn._xlws.FILTER($C$5:$C$1727,($D$5:$D$1727=I1340)*($E$5:$E$1727=J1340)*($F$5:$F$1727=K1340)))</f>
        <v>Global</v>
      </c>
      <c r="M1340" t="b">
        <f t="shared" si="40"/>
        <v>0</v>
      </c>
      <c r="N1340">
        <f t="shared" si="41"/>
        <v>0</v>
      </c>
    </row>
    <row r="1341" spans="3:14" x14ac:dyDescent="0.25">
      <c r="C1341" t="s">
        <v>1548</v>
      </c>
      <c r="D1341" t="s">
        <v>1227</v>
      </c>
      <c r="E1341" t="s">
        <v>400</v>
      </c>
      <c r="F1341">
        <v>0</v>
      </c>
      <c r="I1341" t="str">
        <v>US64110D1046</v>
      </c>
      <c r="J1341" t="str">
        <v>Information technology</v>
      </c>
      <c r="K1341">
        <v>1</v>
      </c>
      <c r="L1341" t="str" cm="1">
        <f t="array" ref="L1341">_xlfn.TEXTJOIN(",",TRUE,_xlfn._xlws.FILTER($C$5:$C$1727,($D$5:$D$1727=I1341)*($E$5:$E$1727=J1341)*($F$5:$F$1727=K1341)))</f>
        <v>Global</v>
      </c>
      <c r="M1341" t="b">
        <f t="shared" si="40"/>
        <v>0</v>
      </c>
      <c r="N1341">
        <f t="shared" si="41"/>
        <v>0</v>
      </c>
    </row>
    <row r="1342" spans="3:14" x14ac:dyDescent="0.25">
      <c r="C1342" t="s">
        <v>1548</v>
      </c>
      <c r="D1342" t="s">
        <v>1228</v>
      </c>
      <c r="E1342" t="s">
        <v>401</v>
      </c>
      <c r="F1342">
        <v>0</v>
      </c>
      <c r="I1342" t="str">
        <v>US64110L1061</v>
      </c>
      <c r="J1342" t="str">
        <v>Excluded</v>
      </c>
      <c r="K1342">
        <v>0</v>
      </c>
      <c r="L1342" t="str" cm="1">
        <f t="array" ref="L1342">_xlfn.TEXTJOIN(",",TRUE,_xlfn._xlws.FILTER($C$5:$C$1727,($D$5:$D$1727=I1342)*($E$5:$E$1727=J1342)*($F$5:$F$1727=K1342)))</f>
        <v>Global</v>
      </c>
      <c r="M1342" t="b">
        <f t="shared" si="40"/>
        <v>0</v>
      </c>
      <c r="N1342">
        <f t="shared" si="41"/>
        <v>0</v>
      </c>
    </row>
    <row r="1343" spans="3:14" x14ac:dyDescent="0.25">
      <c r="C1343" t="s">
        <v>1548</v>
      </c>
      <c r="D1343" t="s">
        <v>1229</v>
      </c>
      <c r="E1343" t="s">
        <v>399</v>
      </c>
      <c r="F1343">
        <v>1</v>
      </c>
      <c r="I1343" t="str">
        <v>US64125C1099</v>
      </c>
      <c r="J1343" t="str">
        <v>Excluded</v>
      </c>
      <c r="K1343">
        <v>0</v>
      </c>
      <c r="L1343" t="str" cm="1">
        <f t="array" ref="L1343">_xlfn.TEXTJOIN(",",TRUE,_xlfn._xlws.FILTER($C$5:$C$1727,($D$5:$D$1727=I1343)*($E$5:$E$1727=J1343)*($F$5:$F$1727=K1343)))</f>
        <v>Global</v>
      </c>
      <c r="M1343" t="b">
        <f t="shared" si="40"/>
        <v>0</v>
      </c>
      <c r="N1343">
        <f t="shared" si="41"/>
        <v>0</v>
      </c>
    </row>
    <row r="1344" spans="3:14" x14ac:dyDescent="0.25">
      <c r="C1344" t="s">
        <v>1548</v>
      </c>
      <c r="D1344" t="s">
        <v>153</v>
      </c>
      <c r="E1344" t="s">
        <v>401</v>
      </c>
      <c r="F1344">
        <v>0</v>
      </c>
      <c r="I1344" t="str">
        <v>US6516391066</v>
      </c>
      <c r="J1344" t="str">
        <v>Eco-efficient industries</v>
      </c>
      <c r="K1344">
        <v>1</v>
      </c>
      <c r="L1344" t="str" cm="1">
        <f t="array" ref="L1344">_xlfn.TEXTJOIN(",",TRUE,_xlfn._xlws.FILTER($C$5:$C$1727,($D$5:$D$1727=I1344)*($E$5:$E$1727=J1344)*($F$5:$F$1727=K1344)))</f>
        <v>Global</v>
      </c>
      <c r="M1344" t="b">
        <f t="shared" si="40"/>
        <v>0</v>
      </c>
      <c r="N1344">
        <f t="shared" si="41"/>
        <v>0</v>
      </c>
    </row>
    <row r="1345" spans="3:14" x14ac:dyDescent="0.25">
      <c r="C1345" t="s">
        <v>1548</v>
      </c>
      <c r="D1345" t="s">
        <v>1230</v>
      </c>
      <c r="E1345" t="s">
        <v>407</v>
      </c>
      <c r="F1345">
        <v>1</v>
      </c>
      <c r="I1345" t="str">
        <v>US65290E1010</v>
      </c>
      <c r="J1345" t="str">
        <v>Green energy</v>
      </c>
      <c r="K1345">
        <v>1</v>
      </c>
      <c r="L1345" t="str" cm="1">
        <f t="array" ref="L1345">_xlfn.TEXTJOIN(",",TRUE,_xlfn._xlws.FILTER($C$5:$C$1727,($D$5:$D$1727=I1345)*($E$5:$E$1727=J1345)*($F$5:$F$1727=K1345)))</f>
        <v>Global</v>
      </c>
      <c r="M1345" t="b">
        <f t="shared" si="40"/>
        <v>0</v>
      </c>
      <c r="N1345">
        <f t="shared" si="41"/>
        <v>0</v>
      </c>
    </row>
    <row r="1346" spans="3:14" x14ac:dyDescent="0.25">
      <c r="C1346" t="s">
        <v>1548</v>
      </c>
      <c r="D1346" t="s">
        <v>1231</v>
      </c>
      <c r="E1346" t="s">
        <v>400</v>
      </c>
      <c r="F1346">
        <v>0</v>
      </c>
      <c r="I1346" t="str">
        <v>US65339F1012</v>
      </c>
      <c r="J1346" t="str">
        <v>Excluded</v>
      </c>
      <c r="K1346">
        <v>0</v>
      </c>
      <c r="L1346" t="str" cm="1">
        <f t="array" ref="L1346">_xlfn.TEXTJOIN(",",TRUE,_xlfn._xlws.FILTER($C$5:$C$1727,($D$5:$D$1727=I1346)*($E$5:$E$1727=J1346)*($F$5:$F$1727=K1346)))</f>
        <v>Global</v>
      </c>
      <c r="M1346" t="b">
        <f t="shared" si="40"/>
        <v>0</v>
      </c>
      <c r="N1346">
        <f t="shared" si="41"/>
        <v>0</v>
      </c>
    </row>
    <row r="1347" spans="3:14" x14ac:dyDescent="0.25">
      <c r="C1347" t="s">
        <v>1548</v>
      </c>
      <c r="D1347" t="s">
        <v>1232</v>
      </c>
      <c r="E1347" t="s">
        <v>403</v>
      </c>
      <c r="F1347">
        <v>0.5</v>
      </c>
      <c r="I1347" t="str">
        <v>US6541061031</v>
      </c>
      <c r="J1347" t="str">
        <v>Excluded</v>
      </c>
      <c r="K1347">
        <v>0</v>
      </c>
      <c r="L1347" t="str" cm="1">
        <f t="array" ref="L1347">_xlfn.TEXTJOIN(",",TRUE,_xlfn._xlws.FILTER($C$5:$C$1727,($D$5:$D$1727=I1347)*($E$5:$E$1727=J1347)*($F$5:$F$1727=K1347)))</f>
        <v>Global</v>
      </c>
      <c r="M1347" t="b">
        <f t="shared" si="40"/>
        <v>0</v>
      </c>
      <c r="N1347">
        <f t="shared" si="41"/>
        <v>0</v>
      </c>
    </row>
    <row r="1348" spans="3:14" x14ac:dyDescent="0.25">
      <c r="C1348" t="s">
        <v>1548</v>
      </c>
      <c r="D1348" t="s">
        <v>1233</v>
      </c>
      <c r="E1348" t="s">
        <v>403</v>
      </c>
      <c r="F1348">
        <v>0.7</v>
      </c>
      <c r="I1348" t="str">
        <v>US65473P1057</v>
      </c>
      <c r="J1348" t="str">
        <v>Excluded</v>
      </c>
      <c r="K1348">
        <v>0</v>
      </c>
      <c r="L1348" t="str" cm="1">
        <f t="array" ref="L1348">_xlfn.TEXTJOIN(",",TRUE,_xlfn._xlws.FILTER($C$5:$C$1727,($D$5:$D$1727=I1348)*($E$5:$E$1727=J1348)*($F$5:$F$1727=K1348)))</f>
        <v>Global</v>
      </c>
      <c r="M1348" t="b">
        <f t="shared" si="40"/>
        <v>0</v>
      </c>
      <c r="N1348">
        <f t="shared" si="41"/>
        <v>0</v>
      </c>
    </row>
    <row r="1349" spans="3:14" x14ac:dyDescent="0.25">
      <c r="C1349" t="s">
        <v>1548</v>
      </c>
      <c r="D1349" t="s">
        <v>1234</v>
      </c>
      <c r="E1349" t="s">
        <v>400</v>
      </c>
      <c r="F1349">
        <v>0</v>
      </c>
      <c r="I1349" t="str">
        <v>US6556631025</v>
      </c>
      <c r="J1349" t="str">
        <v>Excluded</v>
      </c>
      <c r="K1349">
        <v>0</v>
      </c>
      <c r="L1349" t="str" cm="1">
        <f t="array" ref="L1349">_xlfn.TEXTJOIN(",",TRUE,_xlfn._xlws.FILTER($C$5:$C$1727,($D$5:$D$1727=I1349)*($E$5:$E$1727=J1349)*($F$5:$F$1727=K1349)))</f>
        <v>Global</v>
      </c>
      <c r="M1349" t="b">
        <f t="shared" si="40"/>
        <v>0</v>
      </c>
      <c r="N1349">
        <f t="shared" si="41"/>
        <v>0</v>
      </c>
    </row>
    <row r="1350" spans="3:14" x14ac:dyDescent="0.25">
      <c r="C1350" t="s">
        <v>1548</v>
      </c>
      <c r="D1350" t="s">
        <v>1235</v>
      </c>
      <c r="E1350" t="s">
        <v>401</v>
      </c>
      <c r="F1350">
        <v>0</v>
      </c>
      <c r="I1350" t="str">
        <v>US6558441084</v>
      </c>
      <c r="J1350" t="str">
        <v>Excluded</v>
      </c>
      <c r="K1350">
        <v>0</v>
      </c>
      <c r="L1350" t="str" cm="1">
        <f t="array" ref="L1350">_xlfn.TEXTJOIN(",",TRUE,_xlfn._xlws.FILTER($C$5:$C$1727,($D$5:$D$1727=I1350)*($E$5:$E$1727=J1350)*($F$5:$F$1727=K1350)))</f>
        <v>Global</v>
      </c>
      <c r="M1350" t="b">
        <f t="shared" ref="M1350:M1413" si="42">COUNTIFS($I$5:$I$1556,I1350)&gt;1</f>
        <v>0</v>
      </c>
      <c r="N1350">
        <f t="shared" ref="N1350:N1413" si="43">COUNTIFS($U$5:$U$231,I1350)</f>
        <v>0</v>
      </c>
    </row>
    <row r="1351" spans="3:14" x14ac:dyDescent="0.25">
      <c r="C1351" t="s">
        <v>1548</v>
      </c>
      <c r="D1351" t="s">
        <v>1236</v>
      </c>
      <c r="E1351" t="s">
        <v>400</v>
      </c>
      <c r="F1351">
        <v>0</v>
      </c>
      <c r="I1351" t="str">
        <v>US6658591044</v>
      </c>
      <c r="J1351" t="str">
        <v>Excluded</v>
      </c>
      <c r="K1351">
        <v>0</v>
      </c>
      <c r="L1351" t="str" cm="1">
        <f t="array" ref="L1351">_xlfn.TEXTJOIN(",",TRUE,_xlfn._xlws.FILTER($C$5:$C$1727,($D$5:$D$1727=I1351)*($E$5:$E$1727=J1351)*($F$5:$F$1727=K1351)))</f>
        <v>Global</v>
      </c>
      <c r="M1351" t="b">
        <f t="shared" si="42"/>
        <v>0</v>
      </c>
      <c r="N1351">
        <f t="shared" si="43"/>
        <v>0</v>
      </c>
    </row>
    <row r="1352" spans="3:14" x14ac:dyDescent="0.25">
      <c r="C1352" t="s">
        <v>1548</v>
      </c>
      <c r="D1352" t="s">
        <v>1237</v>
      </c>
      <c r="E1352" t="s">
        <v>400</v>
      </c>
      <c r="F1352">
        <v>0</v>
      </c>
      <c r="I1352" t="str">
        <v>US6668071029</v>
      </c>
      <c r="J1352" t="str">
        <v>Excluded</v>
      </c>
      <c r="K1352">
        <v>0</v>
      </c>
      <c r="L1352" t="str" cm="1">
        <f t="array" ref="L1352">_xlfn.TEXTJOIN(",",TRUE,_xlfn._xlws.FILTER($C$5:$C$1727,($D$5:$D$1727=I1352)*($E$5:$E$1727=J1352)*($F$5:$F$1727=K1352)))</f>
        <v>Global</v>
      </c>
      <c r="M1352" t="b">
        <f t="shared" si="42"/>
        <v>0</v>
      </c>
      <c r="N1352">
        <f t="shared" si="43"/>
        <v>0</v>
      </c>
    </row>
    <row r="1353" spans="3:14" x14ac:dyDescent="0.25">
      <c r="C1353" t="s">
        <v>1548</v>
      </c>
      <c r="D1353" t="s">
        <v>1238</v>
      </c>
      <c r="E1353" t="s">
        <v>401</v>
      </c>
      <c r="F1353">
        <v>0</v>
      </c>
      <c r="I1353" t="str">
        <v>US6687711084</v>
      </c>
      <c r="J1353" t="str">
        <v>Not included in a theme</v>
      </c>
      <c r="K1353">
        <v>0</v>
      </c>
      <c r="L1353" t="str" cm="1">
        <f t="array" ref="L1353">_xlfn.TEXTJOIN(",",TRUE,_xlfn._xlws.FILTER($C$5:$C$1727,($D$5:$D$1727=I1353)*($E$5:$E$1727=J1353)*($F$5:$F$1727=K1353)))</f>
        <v>Global</v>
      </c>
      <c r="M1353" t="b">
        <f t="shared" si="42"/>
        <v>0</v>
      </c>
      <c r="N1353">
        <f t="shared" si="43"/>
        <v>0</v>
      </c>
    </row>
    <row r="1354" spans="3:14" x14ac:dyDescent="0.25">
      <c r="C1354" t="s">
        <v>1548</v>
      </c>
      <c r="D1354" t="s">
        <v>1239</v>
      </c>
      <c r="E1354" t="s">
        <v>399</v>
      </c>
      <c r="F1354">
        <v>0.67</v>
      </c>
      <c r="I1354" t="str">
        <v>US6703461052</v>
      </c>
      <c r="J1354" t="str">
        <v>Excluded</v>
      </c>
      <c r="K1354">
        <v>0</v>
      </c>
      <c r="L1354" t="str" cm="1">
        <f t="array" ref="L1354">_xlfn.TEXTJOIN(",",TRUE,_xlfn._xlws.FILTER($C$5:$C$1727,($D$5:$D$1727=I1354)*($E$5:$E$1727=J1354)*($F$5:$F$1727=K1354)))</f>
        <v>Global</v>
      </c>
      <c r="M1354" t="b">
        <f t="shared" si="42"/>
        <v>0</v>
      </c>
      <c r="N1354">
        <f t="shared" si="43"/>
        <v>0</v>
      </c>
    </row>
    <row r="1355" spans="3:14" x14ac:dyDescent="0.25">
      <c r="C1355" t="s">
        <v>1548</v>
      </c>
      <c r="D1355" t="s">
        <v>1240</v>
      </c>
      <c r="E1355" t="s">
        <v>400</v>
      </c>
      <c r="F1355">
        <v>0</v>
      </c>
      <c r="I1355" t="str">
        <v>US67059N1081</v>
      </c>
      <c r="J1355" t="str">
        <v>Information technology</v>
      </c>
      <c r="K1355">
        <v>0.5</v>
      </c>
      <c r="L1355" t="str" cm="1">
        <f t="array" ref="L1355">_xlfn.TEXTJOIN(",",TRUE,_xlfn._xlws.FILTER($C$5:$C$1727,($D$5:$D$1727=I1355)*($E$5:$E$1727=J1355)*($F$5:$F$1727=K1355)))</f>
        <v>Global</v>
      </c>
      <c r="M1355" t="b">
        <f t="shared" si="42"/>
        <v>0</v>
      </c>
      <c r="N1355">
        <f t="shared" si="43"/>
        <v>0</v>
      </c>
    </row>
    <row r="1356" spans="3:14" x14ac:dyDescent="0.25">
      <c r="C1356" t="s">
        <v>1548</v>
      </c>
      <c r="D1356" t="s">
        <v>1241</v>
      </c>
      <c r="E1356" t="s">
        <v>400</v>
      </c>
      <c r="F1356">
        <v>0</v>
      </c>
      <c r="I1356" t="str">
        <v>US67066G1040</v>
      </c>
      <c r="J1356" t="str">
        <v>Information technology</v>
      </c>
      <c r="K1356">
        <v>0.9</v>
      </c>
      <c r="L1356" t="str" cm="1">
        <f t="array" ref="L1356">_xlfn.TEXTJOIN(",",TRUE,_xlfn._xlws.FILTER($C$5:$C$1727,($D$5:$D$1727=I1356)*($E$5:$E$1727=J1356)*($F$5:$F$1727=K1356)))</f>
        <v>Global</v>
      </c>
      <c r="M1356" t="b">
        <f t="shared" si="42"/>
        <v>0</v>
      </c>
      <c r="N1356">
        <f t="shared" si="43"/>
        <v>0</v>
      </c>
    </row>
    <row r="1357" spans="3:14" x14ac:dyDescent="0.25">
      <c r="C1357" t="s">
        <v>1548</v>
      </c>
      <c r="D1357" t="s">
        <v>1242</v>
      </c>
      <c r="E1357" t="s">
        <v>407</v>
      </c>
      <c r="F1357">
        <v>1</v>
      </c>
      <c r="I1357" t="str">
        <v>US67103H1077</v>
      </c>
      <c r="J1357" t="str">
        <v>Excluded</v>
      </c>
      <c r="K1357">
        <v>0</v>
      </c>
      <c r="L1357" t="str" cm="1">
        <f t="array" ref="L1357">_xlfn.TEXTJOIN(",",TRUE,_xlfn._xlws.FILTER($C$5:$C$1727,($D$5:$D$1727=I1357)*($E$5:$E$1727=J1357)*($F$5:$F$1727=K1357)))</f>
        <v>Global</v>
      </c>
      <c r="M1357" t="b">
        <f t="shared" si="42"/>
        <v>0</v>
      </c>
      <c r="N1357">
        <f t="shared" si="43"/>
        <v>0</v>
      </c>
    </row>
    <row r="1358" spans="3:14" x14ac:dyDescent="0.25">
      <c r="C1358" t="s">
        <v>1548</v>
      </c>
      <c r="D1358" t="s">
        <v>1243</v>
      </c>
      <c r="E1358" t="s">
        <v>404</v>
      </c>
      <c r="F1358">
        <v>0.37</v>
      </c>
      <c r="I1358" t="str">
        <v>US6745991058</v>
      </c>
      <c r="J1358" t="str">
        <v>Excluded</v>
      </c>
      <c r="K1358">
        <v>0</v>
      </c>
      <c r="L1358" t="str" cm="1">
        <f t="array" ref="L1358">_xlfn.TEXTJOIN(",",TRUE,_xlfn._xlws.FILTER($C$5:$C$1727,($D$5:$D$1727=I1358)*($E$5:$E$1727=J1358)*($F$5:$F$1727=K1358)))</f>
        <v>Global</v>
      </c>
      <c r="M1358" t="b">
        <f t="shared" si="42"/>
        <v>0</v>
      </c>
      <c r="N1358">
        <f t="shared" si="43"/>
        <v>0</v>
      </c>
    </row>
    <row r="1359" spans="3:14" x14ac:dyDescent="0.25">
      <c r="C1359" t="s">
        <v>1548</v>
      </c>
      <c r="D1359" t="s">
        <v>1244</v>
      </c>
      <c r="E1359" t="s">
        <v>400</v>
      </c>
      <c r="F1359">
        <v>0</v>
      </c>
      <c r="I1359" t="str">
        <v>US6792951054</v>
      </c>
      <c r="J1359" t="str">
        <v>Not included in a theme</v>
      </c>
      <c r="K1359">
        <v>0</v>
      </c>
      <c r="L1359" t="str" cm="1">
        <f t="array" ref="L1359">_xlfn.TEXTJOIN(",",TRUE,_xlfn._xlws.FILTER($C$5:$C$1727,($D$5:$D$1727=I1359)*($E$5:$E$1727=J1359)*($F$5:$F$1727=K1359)))</f>
        <v>Global</v>
      </c>
      <c r="M1359" t="b">
        <f t="shared" si="42"/>
        <v>0</v>
      </c>
      <c r="N1359">
        <f t="shared" si="43"/>
        <v>0</v>
      </c>
    </row>
    <row r="1360" spans="3:14" x14ac:dyDescent="0.25">
      <c r="C1360" t="s">
        <v>1548</v>
      </c>
      <c r="D1360" t="s">
        <v>1245</v>
      </c>
      <c r="E1360" t="s">
        <v>401</v>
      </c>
      <c r="F1360">
        <v>0</v>
      </c>
      <c r="I1360" t="str">
        <v>US6795801009</v>
      </c>
      <c r="J1360" t="str">
        <v>Excluded</v>
      </c>
      <c r="K1360">
        <v>0</v>
      </c>
      <c r="L1360" t="str" cm="1">
        <f t="array" ref="L1360">_xlfn.TEXTJOIN(",",TRUE,_xlfn._xlws.FILTER($C$5:$C$1727,($D$5:$D$1727=I1360)*($E$5:$E$1727=J1360)*($F$5:$F$1727=K1360)))</f>
        <v>Global</v>
      </c>
      <c r="M1360" t="b">
        <f t="shared" si="42"/>
        <v>0</v>
      </c>
      <c r="N1360">
        <f t="shared" si="43"/>
        <v>0</v>
      </c>
    </row>
    <row r="1361" spans="3:14" x14ac:dyDescent="0.25">
      <c r="C1361" t="s">
        <v>1548</v>
      </c>
      <c r="D1361" t="s">
        <v>1246</v>
      </c>
      <c r="E1361" t="s">
        <v>401</v>
      </c>
      <c r="F1361">
        <v>0</v>
      </c>
      <c r="I1361" t="str">
        <v>US6802231042</v>
      </c>
      <c r="J1361" t="str">
        <v>Excluded</v>
      </c>
      <c r="K1361">
        <v>0</v>
      </c>
      <c r="L1361" t="str" cm="1">
        <f t="array" ref="L1361">_xlfn.TEXTJOIN(",",TRUE,_xlfn._xlws.FILTER($C$5:$C$1727,($D$5:$D$1727=I1361)*($E$5:$E$1727=J1361)*($F$5:$F$1727=K1361)))</f>
        <v>Global</v>
      </c>
      <c r="M1361" t="b">
        <f t="shared" si="42"/>
        <v>0</v>
      </c>
      <c r="N1361">
        <f t="shared" si="43"/>
        <v>0</v>
      </c>
    </row>
    <row r="1362" spans="3:14" x14ac:dyDescent="0.25">
      <c r="C1362" t="s">
        <v>1548</v>
      </c>
      <c r="D1362" t="s">
        <v>1247</v>
      </c>
      <c r="E1362" t="s">
        <v>401</v>
      </c>
      <c r="F1362">
        <v>0</v>
      </c>
      <c r="I1362" t="str">
        <v>US6819191064</v>
      </c>
      <c r="J1362" t="str">
        <v>Excluded</v>
      </c>
      <c r="K1362">
        <v>0</v>
      </c>
      <c r="L1362" t="str" cm="1">
        <f t="array" ref="L1362">_xlfn.TEXTJOIN(",",TRUE,_xlfn._xlws.FILTER($C$5:$C$1727,($D$5:$D$1727=I1362)*($E$5:$E$1727=J1362)*($F$5:$F$1727=K1362)))</f>
        <v>Global</v>
      </c>
      <c r="M1362" t="b">
        <f t="shared" si="42"/>
        <v>0</v>
      </c>
      <c r="N1362">
        <f t="shared" si="43"/>
        <v>0</v>
      </c>
    </row>
    <row r="1363" spans="3:14" x14ac:dyDescent="0.25">
      <c r="C1363" t="s">
        <v>1548</v>
      </c>
      <c r="D1363" t="s">
        <v>1248</v>
      </c>
      <c r="E1363" t="s">
        <v>400</v>
      </c>
      <c r="F1363">
        <v>0</v>
      </c>
      <c r="I1363" t="str">
        <v>US6819361006</v>
      </c>
      <c r="J1363" t="str">
        <v>Not included in a theme</v>
      </c>
      <c r="K1363">
        <v>0</v>
      </c>
      <c r="L1363" t="str" cm="1">
        <f t="array" ref="L1363">_xlfn.TEXTJOIN(",",TRUE,_xlfn._xlws.FILTER($C$5:$C$1727,($D$5:$D$1727=I1363)*($E$5:$E$1727=J1363)*($F$5:$F$1727=K1363)))</f>
        <v>Global</v>
      </c>
      <c r="M1363" t="b">
        <f t="shared" si="42"/>
        <v>0</v>
      </c>
      <c r="N1363">
        <f t="shared" si="43"/>
        <v>0</v>
      </c>
    </row>
    <row r="1364" spans="3:14" x14ac:dyDescent="0.25">
      <c r="C1364" t="s">
        <v>1548</v>
      </c>
      <c r="D1364" t="s">
        <v>127</v>
      </c>
      <c r="E1364" t="s">
        <v>400</v>
      </c>
      <c r="F1364">
        <v>0</v>
      </c>
      <c r="I1364" t="str">
        <v>US6821891057</v>
      </c>
      <c r="J1364" t="str">
        <v>Information technology</v>
      </c>
      <c r="K1364">
        <v>0.64</v>
      </c>
      <c r="L1364" t="str" cm="1">
        <f t="array" ref="L1364">_xlfn.TEXTJOIN(",",TRUE,_xlfn._xlws.FILTER($C$5:$C$1727,($D$5:$D$1727=I1364)*($E$5:$E$1727=J1364)*($F$5:$F$1727=K1364)))</f>
        <v>Global</v>
      </c>
      <c r="M1364" t="b">
        <f t="shared" si="42"/>
        <v>0</v>
      </c>
      <c r="N1364">
        <f t="shared" si="43"/>
        <v>0</v>
      </c>
    </row>
    <row r="1365" spans="3:14" x14ac:dyDescent="0.25">
      <c r="C1365" t="s">
        <v>1548</v>
      </c>
      <c r="D1365" t="s">
        <v>1249</v>
      </c>
      <c r="E1365" t="s">
        <v>401</v>
      </c>
      <c r="F1365">
        <v>0</v>
      </c>
      <c r="I1365" t="str">
        <v>US6826801036</v>
      </c>
      <c r="J1365" t="str">
        <v>Excluded</v>
      </c>
      <c r="K1365">
        <v>0</v>
      </c>
      <c r="L1365" t="str" cm="1">
        <f t="array" ref="L1365">_xlfn.TEXTJOIN(",",TRUE,_xlfn._xlws.FILTER($C$5:$C$1727,($D$5:$D$1727=I1365)*($E$5:$E$1727=J1365)*($F$5:$F$1727=K1365)))</f>
        <v>Global</v>
      </c>
      <c r="M1365" t="b">
        <f t="shared" si="42"/>
        <v>0</v>
      </c>
      <c r="N1365">
        <f t="shared" si="43"/>
        <v>0</v>
      </c>
    </row>
    <row r="1366" spans="3:14" x14ac:dyDescent="0.25">
      <c r="C1366" t="s">
        <v>1548</v>
      </c>
      <c r="D1366" t="s">
        <v>1250</v>
      </c>
      <c r="E1366" t="s">
        <v>400</v>
      </c>
      <c r="F1366">
        <v>0</v>
      </c>
      <c r="I1366" t="str">
        <v>US68389X1054</v>
      </c>
      <c r="J1366" t="str">
        <v>Information technology</v>
      </c>
      <c r="K1366">
        <v>1</v>
      </c>
      <c r="L1366" t="str" cm="1">
        <f t="array" ref="L1366">_xlfn.TEXTJOIN(",",TRUE,_xlfn._xlws.FILTER($C$5:$C$1727,($D$5:$D$1727=I1366)*($E$5:$E$1727=J1366)*($F$5:$F$1727=K1366)))</f>
        <v>Global</v>
      </c>
      <c r="M1366" t="b">
        <f t="shared" si="42"/>
        <v>0</v>
      </c>
      <c r="N1366">
        <f t="shared" si="43"/>
        <v>0</v>
      </c>
    </row>
    <row r="1367" spans="3:14" x14ac:dyDescent="0.25">
      <c r="C1367" t="s">
        <v>1548</v>
      </c>
      <c r="D1367" t="s">
        <v>1251</v>
      </c>
      <c r="E1367" t="s">
        <v>400</v>
      </c>
      <c r="F1367">
        <v>0</v>
      </c>
      <c r="I1367" t="str">
        <v>US68902V1070</v>
      </c>
      <c r="J1367" t="str">
        <v>Ecoconstruction</v>
      </c>
      <c r="K1367">
        <v>0.49</v>
      </c>
      <c r="L1367" t="str" cm="1">
        <f t="array" ref="L1367">_xlfn.TEXTJOIN(",",TRUE,_xlfn._xlws.FILTER($C$5:$C$1727,($D$5:$D$1727=I1367)*($E$5:$E$1727=J1367)*($F$5:$F$1727=K1367)))</f>
        <v>Global</v>
      </c>
      <c r="M1367" t="b">
        <f t="shared" si="42"/>
        <v>0</v>
      </c>
      <c r="N1367">
        <f t="shared" si="43"/>
        <v>0</v>
      </c>
    </row>
    <row r="1368" spans="3:14" x14ac:dyDescent="0.25">
      <c r="C1368" t="s">
        <v>1548</v>
      </c>
      <c r="D1368" t="s">
        <v>148</v>
      </c>
      <c r="E1368" t="s">
        <v>403</v>
      </c>
      <c r="F1368">
        <v>1</v>
      </c>
      <c r="I1368" t="str">
        <v>US69331C1080</v>
      </c>
      <c r="J1368" t="str">
        <v>Excluded</v>
      </c>
      <c r="K1368">
        <v>0</v>
      </c>
      <c r="L1368" t="str" cm="1">
        <f t="array" ref="L1368">_xlfn.TEXTJOIN(",",TRUE,_xlfn._xlws.FILTER($C$5:$C$1727,($D$5:$D$1727=I1368)*($E$5:$E$1727=J1368)*($F$5:$F$1727=K1368)))</f>
        <v>Global</v>
      </c>
      <c r="M1368" t="b">
        <f t="shared" si="42"/>
        <v>0</v>
      </c>
      <c r="N1368">
        <f t="shared" si="43"/>
        <v>0</v>
      </c>
    </row>
    <row r="1369" spans="3:14" x14ac:dyDescent="0.25">
      <c r="C1369" t="s">
        <v>1548</v>
      </c>
      <c r="D1369" t="s">
        <v>1252</v>
      </c>
      <c r="E1369" t="s">
        <v>401</v>
      </c>
      <c r="F1369">
        <v>0</v>
      </c>
      <c r="I1369" t="str">
        <v>US6934751057</v>
      </c>
      <c r="J1369" t="str">
        <v>Excluded</v>
      </c>
      <c r="K1369">
        <v>0</v>
      </c>
      <c r="L1369" t="str" cm="1">
        <f t="array" ref="L1369">_xlfn.TEXTJOIN(",",TRUE,_xlfn._xlws.FILTER($C$5:$C$1727,($D$5:$D$1727=I1369)*($E$5:$E$1727=J1369)*($F$5:$F$1727=K1369)))</f>
        <v>Global</v>
      </c>
      <c r="M1369" t="b">
        <f t="shared" si="42"/>
        <v>0</v>
      </c>
      <c r="N1369">
        <f t="shared" si="43"/>
        <v>0</v>
      </c>
    </row>
    <row r="1370" spans="3:14" x14ac:dyDescent="0.25">
      <c r="C1370" t="s">
        <v>1548</v>
      </c>
      <c r="D1370" t="s">
        <v>1253</v>
      </c>
      <c r="E1370" t="s">
        <v>400</v>
      </c>
      <c r="F1370">
        <v>0</v>
      </c>
      <c r="I1370" t="str">
        <v>US6935061076</v>
      </c>
      <c r="J1370" t="str">
        <v>Ecoconstruction</v>
      </c>
      <c r="K1370">
        <v>0.41</v>
      </c>
      <c r="L1370" t="str" cm="1">
        <f t="array" ref="L1370">_xlfn.TEXTJOIN(",",TRUE,_xlfn._xlws.FILTER($C$5:$C$1727,($D$5:$D$1727=I1370)*($E$5:$E$1727=J1370)*($F$5:$F$1727=K1370)))</f>
        <v>Global</v>
      </c>
      <c r="M1370" t="b">
        <f t="shared" si="42"/>
        <v>0</v>
      </c>
      <c r="N1370">
        <f t="shared" si="43"/>
        <v>0</v>
      </c>
    </row>
    <row r="1371" spans="3:14" x14ac:dyDescent="0.25">
      <c r="C1371" t="s">
        <v>1548</v>
      </c>
      <c r="D1371" t="s">
        <v>1254</v>
      </c>
      <c r="E1371" t="s">
        <v>400</v>
      </c>
      <c r="F1371">
        <v>0</v>
      </c>
      <c r="I1371" t="str">
        <v>US69351T1060</v>
      </c>
      <c r="J1371" t="str">
        <v>Excluded</v>
      </c>
      <c r="K1371">
        <v>0</v>
      </c>
      <c r="L1371" t="str" cm="1">
        <f t="array" ref="L1371">_xlfn.TEXTJOIN(",",TRUE,_xlfn._xlws.FILTER($C$5:$C$1727,($D$5:$D$1727=I1371)*($E$5:$E$1727=J1371)*($F$5:$F$1727=K1371)))</f>
        <v>Global</v>
      </c>
      <c r="M1371" t="b">
        <f t="shared" si="42"/>
        <v>0</v>
      </c>
      <c r="N1371">
        <f t="shared" si="43"/>
        <v>0</v>
      </c>
    </row>
    <row r="1372" spans="3:14" x14ac:dyDescent="0.25">
      <c r="C1372" t="s">
        <v>1548</v>
      </c>
      <c r="D1372" t="s">
        <v>1255</v>
      </c>
      <c r="E1372" t="s">
        <v>400</v>
      </c>
      <c r="F1372">
        <v>0</v>
      </c>
      <c r="I1372" t="str">
        <v>US69370C1009</v>
      </c>
      <c r="J1372" t="str">
        <v>Information technology</v>
      </c>
      <c r="K1372">
        <v>1</v>
      </c>
      <c r="L1372" t="str" cm="1">
        <f t="array" ref="L1372">_xlfn.TEXTJOIN(",",TRUE,_xlfn._xlws.FILTER($C$5:$C$1727,($D$5:$D$1727=I1372)*($E$5:$E$1727=J1372)*($F$5:$F$1727=K1372)))</f>
        <v>Global</v>
      </c>
      <c r="M1372" t="b">
        <f t="shared" si="42"/>
        <v>0</v>
      </c>
      <c r="N1372">
        <f t="shared" si="43"/>
        <v>0</v>
      </c>
    </row>
    <row r="1373" spans="3:14" x14ac:dyDescent="0.25">
      <c r="C1373" t="s">
        <v>1548</v>
      </c>
      <c r="D1373" t="s">
        <v>1256</v>
      </c>
      <c r="E1373" t="s">
        <v>403</v>
      </c>
      <c r="F1373">
        <v>0.36</v>
      </c>
      <c r="I1373" t="str">
        <v>US6937181088</v>
      </c>
      <c r="J1373" t="str">
        <v>Not included in a theme</v>
      </c>
      <c r="K1373">
        <v>0</v>
      </c>
      <c r="L1373" t="str" cm="1">
        <f t="array" ref="L1373">_xlfn.TEXTJOIN(",",TRUE,_xlfn._xlws.FILTER($C$5:$C$1727,($D$5:$D$1727=I1373)*($E$5:$E$1727=J1373)*($F$5:$F$1727=K1373)))</f>
        <v>Global</v>
      </c>
      <c r="M1373" t="b">
        <f t="shared" si="42"/>
        <v>0</v>
      </c>
      <c r="N1373">
        <f t="shared" si="43"/>
        <v>0</v>
      </c>
    </row>
    <row r="1374" spans="3:14" x14ac:dyDescent="0.25">
      <c r="C1374" t="s">
        <v>1548</v>
      </c>
      <c r="D1374" t="s">
        <v>1257</v>
      </c>
      <c r="E1374" t="s">
        <v>400</v>
      </c>
      <c r="F1374">
        <v>0</v>
      </c>
      <c r="I1374" t="str">
        <v>US6951561090</v>
      </c>
      <c r="J1374" t="str">
        <v>Excluded</v>
      </c>
      <c r="K1374">
        <v>0</v>
      </c>
      <c r="L1374" t="str" cm="1">
        <f t="array" ref="L1374">_xlfn.TEXTJOIN(",",TRUE,_xlfn._xlws.FILTER($C$5:$C$1727,($D$5:$D$1727=I1374)*($E$5:$E$1727=J1374)*($F$5:$F$1727=K1374)))</f>
        <v>Global</v>
      </c>
      <c r="M1374" t="b">
        <f t="shared" si="42"/>
        <v>0</v>
      </c>
      <c r="N1374">
        <f t="shared" si="43"/>
        <v>0</v>
      </c>
    </row>
    <row r="1375" spans="3:14" x14ac:dyDescent="0.25">
      <c r="C1375" t="s">
        <v>1548</v>
      </c>
      <c r="D1375" t="s">
        <v>1258</v>
      </c>
      <c r="E1375" t="s">
        <v>400</v>
      </c>
      <c r="F1375">
        <v>0</v>
      </c>
      <c r="I1375" t="str">
        <v>US69608A1088</v>
      </c>
      <c r="J1375" t="str">
        <v>Excluded</v>
      </c>
      <c r="K1375">
        <v>0</v>
      </c>
      <c r="L1375" t="str" cm="1">
        <f t="array" ref="L1375">_xlfn.TEXTJOIN(",",TRUE,_xlfn._xlws.FILTER($C$5:$C$1727,($D$5:$D$1727=I1375)*($E$5:$E$1727=J1375)*($F$5:$F$1727=K1375)))</f>
        <v>Global</v>
      </c>
      <c r="M1375" t="b">
        <f t="shared" si="42"/>
        <v>0</v>
      </c>
      <c r="N1375">
        <f t="shared" si="43"/>
        <v>0</v>
      </c>
    </row>
    <row r="1376" spans="3:14" x14ac:dyDescent="0.25">
      <c r="C1376" t="s">
        <v>1548</v>
      </c>
      <c r="D1376" t="s">
        <v>1259</v>
      </c>
      <c r="E1376" t="s">
        <v>400</v>
      </c>
      <c r="F1376">
        <v>0</v>
      </c>
      <c r="I1376" t="str">
        <v>US6974351057</v>
      </c>
      <c r="J1376" t="str">
        <v>Information technology</v>
      </c>
      <c r="K1376">
        <v>1</v>
      </c>
      <c r="L1376" t="str" cm="1">
        <f t="array" ref="L1376">_xlfn.TEXTJOIN(",",TRUE,_xlfn._xlws.FILTER($C$5:$C$1727,($D$5:$D$1727=I1376)*($E$5:$E$1727=J1376)*($F$5:$F$1727=K1376)))</f>
        <v>Global</v>
      </c>
      <c r="M1376" t="b">
        <f t="shared" si="42"/>
        <v>0</v>
      </c>
      <c r="N1376">
        <f t="shared" si="43"/>
        <v>0</v>
      </c>
    </row>
    <row r="1377" spans="3:14" x14ac:dyDescent="0.25">
      <c r="C1377" t="s">
        <v>1548</v>
      </c>
      <c r="D1377" t="s">
        <v>1260</v>
      </c>
      <c r="E1377" t="s">
        <v>400</v>
      </c>
      <c r="F1377">
        <v>0</v>
      </c>
      <c r="I1377" t="str">
        <v>US69932A2042</v>
      </c>
      <c r="J1377" t="str">
        <v>Excluded</v>
      </c>
      <c r="K1377">
        <v>0</v>
      </c>
      <c r="L1377" t="str" cm="1">
        <f t="array" ref="L1377">_xlfn.TEXTJOIN(",",TRUE,_xlfn._xlws.FILTER($C$5:$C$1727,($D$5:$D$1727=I1377)*($E$5:$E$1727=J1377)*($F$5:$F$1727=K1377)))</f>
        <v>Global</v>
      </c>
      <c r="M1377" t="b">
        <f t="shared" si="42"/>
        <v>0</v>
      </c>
      <c r="N1377">
        <f t="shared" si="43"/>
        <v>0</v>
      </c>
    </row>
    <row r="1378" spans="3:14" x14ac:dyDescent="0.25">
      <c r="C1378" t="s">
        <v>1548</v>
      </c>
      <c r="D1378" t="s">
        <v>1261</v>
      </c>
      <c r="E1378" t="s">
        <v>401</v>
      </c>
      <c r="F1378">
        <v>0</v>
      </c>
      <c r="I1378" t="str">
        <v>US7010941042</v>
      </c>
      <c r="J1378" t="str">
        <v>Excluded</v>
      </c>
      <c r="K1378">
        <v>0</v>
      </c>
      <c r="L1378" t="str" cm="1">
        <f t="array" ref="L1378">_xlfn.TEXTJOIN(",",TRUE,_xlfn._xlws.FILTER($C$5:$C$1727,($D$5:$D$1727=I1378)*($E$5:$E$1727=J1378)*($F$5:$F$1727=K1378)))</f>
        <v>Global</v>
      </c>
      <c r="M1378" t="b">
        <f t="shared" si="42"/>
        <v>0</v>
      </c>
      <c r="N1378">
        <f t="shared" si="43"/>
        <v>0</v>
      </c>
    </row>
    <row r="1379" spans="3:14" x14ac:dyDescent="0.25">
      <c r="C1379" t="s">
        <v>1548</v>
      </c>
      <c r="D1379" t="s">
        <v>1262</v>
      </c>
      <c r="E1379" t="s">
        <v>400</v>
      </c>
      <c r="F1379">
        <v>0</v>
      </c>
      <c r="I1379" t="str">
        <v>US7043261079</v>
      </c>
      <c r="J1379" t="str">
        <v>Excluded</v>
      </c>
      <c r="K1379">
        <v>0</v>
      </c>
      <c r="L1379" t="str" cm="1">
        <f t="array" ref="L1379">_xlfn.TEXTJOIN(",",TRUE,_xlfn._xlws.FILTER($C$5:$C$1727,($D$5:$D$1727=I1379)*($E$5:$E$1727=J1379)*($F$5:$F$1727=K1379)))</f>
        <v>Global</v>
      </c>
      <c r="M1379" t="b">
        <f t="shared" si="42"/>
        <v>0</v>
      </c>
      <c r="N1379">
        <f t="shared" si="43"/>
        <v>0</v>
      </c>
    </row>
    <row r="1380" spans="3:14" x14ac:dyDescent="0.25">
      <c r="C1380" t="s">
        <v>1548</v>
      </c>
      <c r="D1380" t="s">
        <v>1263</v>
      </c>
      <c r="E1380" t="s">
        <v>400</v>
      </c>
      <c r="F1380">
        <v>0</v>
      </c>
      <c r="I1380" t="str">
        <v>US70450Y1038</v>
      </c>
      <c r="J1380" t="str">
        <v>Excluded</v>
      </c>
      <c r="K1380">
        <v>0</v>
      </c>
      <c r="L1380" t="str" cm="1">
        <f t="array" ref="L1380">_xlfn.TEXTJOIN(",",TRUE,_xlfn._xlws.FILTER($C$5:$C$1727,($D$5:$D$1727=I1380)*($E$5:$E$1727=J1380)*($F$5:$F$1727=K1380)))</f>
        <v>Global</v>
      </c>
      <c r="M1380" t="b">
        <f t="shared" si="42"/>
        <v>0</v>
      </c>
      <c r="N1380">
        <f t="shared" si="43"/>
        <v>0</v>
      </c>
    </row>
    <row r="1381" spans="3:14" x14ac:dyDescent="0.25">
      <c r="C1381" t="s">
        <v>1548</v>
      </c>
      <c r="D1381" t="s">
        <v>1264</v>
      </c>
      <c r="E1381" t="s">
        <v>400</v>
      </c>
      <c r="F1381">
        <v>0</v>
      </c>
      <c r="I1381" t="str">
        <v>US70975L1070</v>
      </c>
      <c r="J1381" t="str">
        <v>Not included in a theme</v>
      </c>
      <c r="K1381">
        <v>0</v>
      </c>
      <c r="L1381" t="str" cm="1">
        <f t="array" ref="L1381">_xlfn.TEXTJOIN(",",TRUE,_xlfn._xlws.FILTER($C$5:$C$1727,($D$5:$D$1727=I1381)*($E$5:$E$1727=J1381)*($F$5:$F$1727=K1381)))</f>
        <v>Global</v>
      </c>
      <c r="M1381" t="b">
        <f t="shared" si="42"/>
        <v>0</v>
      </c>
      <c r="N1381">
        <f t="shared" si="43"/>
        <v>0</v>
      </c>
    </row>
    <row r="1382" spans="3:14" x14ac:dyDescent="0.25">
      <c r="C1382" t="s">
        <v>1548</v>
      </c>
      <c r="D1382" t="s">
        <v>1265</v>
      </c>
      <c r="E1382" t="s">
        <v>404</v>
      </c>
      <c r="F1382">
        <v>1</v>
      </c>
      <c r="I1382" t="str">
        <v>US7134481081</v>
      </c>
      <c r="J1382" t="str">
        <v>Excluded</v>
      </c>
      <c r="K1382">
        <v>0</v>
      </c>
      <c r="L1382" t="str" cm="1">
        <f t="array" ref="L1382">_xlfn.TEXTJOIN(",",TRUE,_xlfn._xlws.FILTER($C$5:$C$1727,($D$5:$D$1727=I1382)*($E$5:$E$1727=J1382)*($F$5:$F$1727=K1382)))</f>
        <v>Global</v>
      </c>
      <c r="M1382" t="b">
        <f t="shared" si="42"/>
        <v>0</v>
      </c>
      <c r="N1382">
        <f t="shared" si="43"/>
        <v>0</v>
      </c>
    </row>
    <row r="1383" spans="3:14" x14ac:dyDescent="0.25">
      <c r="C1383" t="s">
        <v>1548</v>
      </c>
      <c r="D1383" t="s">
        <v>1266</v>
      </c>
      <c r="E1383" t="s">
        <v>400</v>
      </c>
      <c r="F1383">
        <v>0</v>
      </c>
      <c r="I1383" t="str">
        <v>US71377A1034</v>
      </c>
      <c r="J1383" t="str">
        <v>Excluded</v>
      </c>
      <c r="K1383">
        <v>0</v>
      </c>
      <c r="L1383" t="str" cm="1">
        <f t="array" ref="L1383">_xlfn.TEXTJOIN(",",TRUE,_xlfn._xlws.FILTER($C$5:$C$1727,($D$5:$D$1727=I1383)*($E$5:$E$1727=J1383)*($F$5:$F$1727=K1383)))</f>
        <v>Global</v>
      </c>
      <c r="M1383" t="b">
        <f t="shared" si="42"/>
        <v>0</v>
      </c>
      <c r="N1383">
        <f t="shared" si="43"/>
        <v>0</v>
      </c>
    </row>
    <row r="1384" spans="3:14" x14ac:dyDescent="0.25">
      <c r="C1384" t="s">
        <v>1548</v>
      </c>
      <c r="D1384" t="s">
        <v>1267</v>
      </c>
      <c r="E1384" t="s">
        <v>401</v>
      </c>
      <c r="F1384">
        <v>0</v>
      </c>
      <c r="I1384" t="str">
        <v>US7140461093</v>
      </c>
      <c r="J1384" t="str">
        <v>Not included in a theme</v>
      </c>
      <c r="K1384">
        <v>0</v>
      </c>
      <c r="L1384" t="str" cm="1">
        <f t="array" ref="L1384">_xlfn.TEXTJOIN(",",TRUE,_xlfn._xlws.FILTER($C$5:$C$1727,($D$5:$D$1727=I1384)*($E$5:$E$1727=J1384)*($F$5:$F$1727=K1384)))</f>
        <v>Global</v>
      </c>
      <c r="M1384" t="b">
        <f t="shared" si="42"/>
        <v>0</v>
      </c>
      <c r="N1384">
        <f t="shared" si="43"/>
        <v>0</v>
      </c>
    </row>
    <row r="1385" spans="3:14" x14ac:dyDescent="0.25">
      <c r="C1385" t="s">
        <v>1548</v>
      </c>
      <c r="D1385" t="s">
        <v>1268</v>
      </c>
      <c r="E1385" t="s">
        <v>403</v>
      </c>
      <c r="F1385">
        <v>0.57999999999999996</v>
      </c>
      <c r="I1385" t="str">
        <v>US71424F1057</v>
      </c>
      <c r="J1385" t="str">
        <v>Excluded</v>
      </c>
      <c r="K1385">
        <v>0</v>
      </c>
      <c r="L1385" t="str" cm="1">
        <f t="array" ref="L1385">_xlfn.TEXTJOIN(",",TRUE,_xlfn._xlws.FILTER($C$5:$C$1727,($D$5:$D$1727=I1385)*($E$5:$E$1727=J1385)*($F$5:$F$1727=K1385)))</f>
        <v>Global</v>
      </c>
      <c r="M1385" t="b">
        <f t="shared" si="42"/>
        <v>0</v>
      </c>
      <c r="N1385">
        <f t="shared" si="43"/>
        <v>0</v>
      </c>
    </row>
    <row r="1386" spans="3:14" x14ac:dyDescent="0.25">
      <c r="C1386" t="s">
        <v>1548</v>
      </c>
      <c r="D1386" t="s">
        <v>1269</v>
      </c>
      <c r="E1386" t="s">
        <v>404</v>
      </c>
      <c r="F1386">
        <v>1</v>
      </c>
      <c r="I1386" t="str">
        <v>US7170811035</v>
      </c>
      <c r="J1386" t="str">
        <v>Not included in a theme</v>
      </c>
      <c r="K1386">
        <v>0</v>
      </c>
      <c r="L1386" t="str" cm="1">
        <f t="array" ref="L1386">_xlfn.TEXTJOIN(",",TRUE,_xlfn._xlws.FILTER($C$5:$C$1727,($D$5:$D$1727=I1386)*($E$5:$E$1727=J1386)*($F$5:$F$1727=K1386)))</f>
        <v>Global</v>
      </c>
      <c r="M1386" t="b">
        <f t="shared" si="42"/>
        <v>0</v>
      </c>
      <c r="N1386">
        <f t="shared" si="43"/>
        <v>0</v>
      </c>
    </row>
    <row r="1387" spans="3:14" x14ac:dyDescent="0.25">
      <c r="C1387" t="s">
        <v>1548</v>
      </c>
      <c r="D1387" t="s">
        <v>1270</v>
      </c>
      <c r="E1387" t="s">
        <v>400</v>
      </c>
      <c r="F1387">
        <v>0</v>
      </c>
      <c r="I1387" t="str">
        <v>US7181721090</v>
      </c>
      <c r="J1387" t="str">
        <v>Excluded</v>
      </c>
      <c r="K1387">
        <v>0</v>
      </c>
      <c r="L1387" t="str" cm="1">
        <f t="array" ref="L1387">_xlfn.TEXTJOIN(",",TRUE,_xlfn._xlws.FILTER($C$5:$C$1727,($D$5:$D$1727=I1387)*($E$5:$E$1727=J1387)*($F$5:$F$1727=K1387)))</f>
        <v>Global</v>
      </c>
      <c r="M1387" t="b">
        <f t="shared" si="42"/>
        <v>0</v>
      </c>
      <c r="N1387">
        <f t="shared" si="43"/>
        <v>0</v>
      </c>
    </row>
    <row r="1388" spans="3:14" x14ac:dyDescent="0.25">
      <c r="C1388" t="s">
        <v>1548</v>
      </c>
      <c r="D1388" t="s">
        <v>1271</v>
      </c>
      <c r="E1388" t="s">
        <v>401</v>
      </c>
      <c r="F1388">
        <v>0</v>
      </c>
      <c r="I1388" t="str">
        <v>US7185461040</v>
      </c>
      <c r="J1388" t="str">
        <v>Excluded</v>
      </c>
      <c r="K1388">
        <v>0</v>
      </c>
      <c r="L1388" t="str" cm="1">
        <f t="array" ref="L1388">_xlfn.TEXTJOIN(",",TRUE,_xlfn._xlws.FILTER($C$5:$C$1727,($D$5:$D$1727=I1388)*($E$5:$E$1727=J1388)*($F$5:$F$1727=K1388)))</f>
        <v>Global</v>
      </c>
      <c r="M1388" t="b">
        <f t="shared" si="42"/>
        <v>0</v>
      </c>
      <c r="N1388">
        <f t="shared" si="43"/>
        <v>0</v>
      </c>
    </row>
    <row r="1389" spans="3:14" x14ac:dyDescent="0.25">
      <c r="C1389" t="s">
        <v>1548</v>
      </c>
      <c r="D1389" t="s">
        <v>1272</v>
      </c>
      <c r="E1389" t="s">
        <v>404</v>
      </c>
      <c r="F1389">
        <v>1</v>
      </c>
      <c r="I1389" t="str">
        <v>US7234841010</v>
      </c>
      <c r="J1389" t="str">
        <v>Excluded</v>
      </c>
      <c r="K1389">
        <v>0</v>
      </c>
      <c r="L1389" t="str" cm="1">
        <f t="array" ref="L1389">_xlfn.TEXTJOIN(",",TRUE,_xlfn._xlws.FILTER($C$5:$C$1727,($D$5:$D$1727=I1389)*($E$5:$E$1727=J1389)*($F$5:$F$1727=K1389)))</f>
        <v>Global</v>
      </c>
      <c r="M1389" t="b">
        <f t="shared" si="42"/>
        <v>0</v>
      </c>
      <c r="N1389">
        <f t="shared" si="43"/>
        <v>0</v>
      </c>
    </row>
    <row r="1390" spans="3:14" x14ac:dyDescent="0.25">
      <c r="C1390" t="s">
        <v>1548</v>
      </c>
      <c r="D1390" t="s">
        <v>1273</v>
      </c>
      <c r="E1390" t="s">
        <v>400</v>
      </c>
      <c r="F1390">
        <v>0</v>
      </c>
      <c r="I1390" t="str">
        <v>US72352L1061</v>
      </c>
      <c r="J1390" t="str">
        <v>Excluded</v>
      </c>
      <c r="K1390">
        <v>0</v>
      </c>
      <c r="L1390" t="str" cm="1">
        <f t="array" ref="L1390">_xlfn.TEXTJOIN(",",TRUE,_xlfn._xlws.FILTER($C$5:$C$1727,($D$5:$D$1727=I1390)*($E$5:$E$1727=J1390)*($F$5:$F$1727=K1390)))</f>
        <v>Global</v>
      </c>
      <c r="M1390" t="b">
        <f t="shared" si="42"/>
        <v>0</v>
      </c>
      <c r="N1390">
        <f t="shared" si="43"/>
        <v>0</v>
      </c>
    </row>
    <row r="1391" spans="3:14" x14ac:dyDescent="0.25">
      <c r="C1391" t="s">
        <v>1548</v>
      </c>
      <c r="D1391" t="s">
        <v>1274</v>
      </c>
      <c r="E1391" t="s">
        <v>403</v>
      </c>
      <c r="F1391">
        <v>1</v>
      </c>
      <c r="I1391" t="str">
        <v>US7265031051</v>
      </c>
      <c r="J1391" t="str">
        <v>Excluded</v>
      </c>
      <c r="K1391">
        <v>0</v>
      </c>
      <c r="L1391" t="str" cm="1">
        <f t="array" ref="L1391">_xlfn.TEXTJOIN(",",TRUE,_xlfn._xlws.FILTER($C$5:$C$1727,($D$5:$D$1727=I1391)*($E$5:$E$1727=J1391)*($F$5:$F$1727=K1391)))</f>
        <v>Global</v>
      </c>
      <c r="M1391" t="b">
        <f t="shared" si="42"/>
        <v>0</v>
      </c>
      <c r="N1391">
        <f t="shared" si="43"/>
        <v>0</v>
      </c>
    </row>
    <row r="1392" spans="3:14" x14ac:dyDescent="0.25">
      <c r="C1392" t="s">
        <v>1548</v>
      </c>
      <c r="D1392" t="s">
        <v>1275</v>
      </c>
      <c r="E1392" t="s">
        <v>400</v>
      </c>
      <c r="F1392">
        <v>0</v>
      </c>
      <c r="I1392" t="str">
        <v>US74144T1088</v>
      </c>
      <c r="J1392" t="str">
        <v>Excluded</v>
      </c>
      <c r="K1392">
        <v>0</v>
      </c>
      <c r="L1392" t="str" cm="1">
        <f t="array" ref="L1392">_xlfn.TEXTJOIN(",",TRUE,_xlfn._xlws.FILTER($C$5:$C$1727,($D$5:$D$1727=I1392)*($E$5:$E$1727=J1392)*($F$5:$F$1727=K1392)))</f>
        <v>Global</v>
      </c>
      <c r="M1392" t="b">
        <f t="shared" si="42"/>
        <v>0</v>
      </c>
      <c r="N1392">
        <f t="shared" si="43"/>
        <v>0</v>
      </c>
    </row>
    <row r="1393" spans="3:14" x14ac:dyDescent="0.25">
      <c r="C1393" t="s">
        <v>1548</v>
      </c>
      <c r="D1393" t="s">
        <v>1276</v>
      </c>
      <c r="E1393" t="s">
        <v>400</v>
      </c>
      <c r="F1393">
        <v>0</v>
      </c>
      <c r="I1393" t="str">
        <v>US74251V1026</v>
      </c>
      <c r="J1393" t="str">
        <v>Not included in a theme</v>
      </c>
      <c r="K1393">
        <v>0</v>
      </c>
      <c r="L1393" t="str" cm="1">
        <f t="array" ref="L1393">_xlfn.TEXTJOIN(",",TRUE,_xlfn._xlws.FILTER($C$5:$C$1727,($D$5:$D$1727=I1393)*($E$5:$E$1727=J1393)*($F$5:$F$1727=K1393)))</f>
        <v>Global</v>
      </c>
      <c r="M1393" t="b">
        <f t="shared" si="42"/>
        <v>0</v>
      </c>
      <c r="N1393">
        <f t="shared" si="43"/>
        <v>0</v>
      </c>
    </row>
    <row r="1394" spans="3:14" x14ac:dyDescent="0.25">
      <c r="C1394" t="s">
        <v>1548</v>
      </c>
      <c r="D1394" t="s">
        <v>1277</v>
      </c>
      <c r="E1394" t="s">
        <v>404</v>
      </c>
      <c r="F1394">
        <v>0.33100000000000002</v>
      </c>
      <c r="I1394" t="str">
        <v>US7427181091</v>
      </c>
      <c r="J1394" t="str">
        <v>Excluded</v>
      </c>
      <c r="K1394">
        <v>0</v>
      </c>
      <c r="L1394" t="str" cm="1">
        <f t="array" ref="L1394">_xlfn.TEXTJOIN(",",TRUE,_xlfn._xlws.FILTER($C$5:$C$1727,($D$5:$D$1727=I1394)*($E$5:$E$1727=J1394)*($F$5:$F$1727=K1394)))</f>
        <v>Global</v>
      </c>
      <c r="M1394" t="b">
        <f t="shared" si="42"/>
        <v>0</v>
      </c>
      <c r="N1394">
        <f t="shared" si="43"/>
        <v>0</v>
      </c>
    </row>
    <row r="1395" spans="3:14" x14ac:dyDescent="0.25">
      <c r="C1395" t="s">
        <v>1548</v>
      </c>
      <c r="D1395" t="s">
        <v>1278</v>
      </c>
      <c r="E1395" t="s">
        <v>401</v>
      </c>
      <c r="F1395">
        <v>0</v>
      </c>
      <c r="I1395" t="str">
        <v>US7433151039</v>
      </c>
      <c r="J1395" t="str">
        <v>Not included in a theme</v>
      </c>
      <c r="K1395">
        <v>0</v>
      </c>
      <c r="L1395" t="str" cm="1">
        <f t="array" ref="L1395">_xlfn.TEXTJOIN(",",TRUE,_xlfn._xlws.FILTER($C$5:$C$1727,($D$5:$D$1727=I1395)*($E$5:$E$1727=J1395)*($F$5:$F$1727=K1395)))</f>
        <v>Global</v>
      </c>
      <c r="M1395" t="b">
        <f t="shared" si="42"/>
        <v>0</v>
      </c>
      <c r="N1395">
        <f t="shared" si="43"/>
        <v>0</v>
      </c>
    </row>
    <row r="1396" spans="3:14" x14ac:dyDescent="0.25">
      <c r="C1396" t="s">
        <v>1548</v>
      </c>
      <c r="D1396" t="s">
        <v>1279</v>
      </c>
      <c r="E1396" t="s">
        <v>400</v>
      </c>
      <c r="F1396">
        <v>0</v>
      </c>
      <c r="I1396" t="str">
        <v>US74340W1036</v>
      </c>
      <c r="J1396" t="str">
        <v>Ecoconstruction</v>
      </c>
      <c r="K1396">
        <v>0.23</v>
      </c>
      <c r="L1396" t="str" cm="1">
        <f t="array" ref="L1396">_xlfn.TEXTJOIN(",",TRUE,_xlfn._xlws.FILTER($C$5:$C$1727,($D$5:$D$1727=I1396)*($E$5:$E$1727=J1396)*($F$5:$F$1727=K1396)))</f>
        <v>Global</v>
      </c>
      <c r="M1396" t="b">
        <f t="shared" si="42"/>
        <v>0</v>
      </c>
      <c r="N1396">
        <f t="shared" si="43"/>
        <v>0</v>
      </c>
    </row>
    <row r="1397" spans="3:14" x14ac:dyDescent="0.25">
      <c r="C1397" t="s">
        <v>1548</v>
      </c>
      <c r="D1397" t="s">
        <v>1280</v>
      </c>
      <c r="E1397" t="s">
        <v>400</v>
      </c>
      <c r="F1397">
        <v>0</v>
      </c>
      <c r="I1397" t="str">
        <v>US7443201022</v>
      </c>
      <c r="J1397" t="str">
        <v>Excluded</v>
      </c>
      <c r="K1397">
        <v>0</v>
      </c>
      <c r="L1397" t="str" cm="1">
        <f t="array" ref="L1397">_xlfn.TEXTJOIN(",",TRUE,_xlfn._xlws.FILTER($C$5:$C$1727,($D$5:$D$1727=I1397)*($E$5:$E$1727=J1397)*($F$5:$F$1727=K1397)))</f>
        <v>Global</v>
      </c>
      <c r="M1397" t="b">
        <f t="shared" si="42"/>
        <v>0</v>
      </c>
      <c r="N1397">
        <f t="shared" si="43"/>
        <v>0</v>
      </c>
    </row>
    <row r="1398" spans="3:14" x14ac:dyDescent="0.25">
      <c r="C1398" t="s">
        <v>1548</v>
      </c>
      <c r="D1398" t="s">
        <v>1281</v>
      </c>
      <c r="E1398" t="s">
        <v>400</v>
      </c>
      <c r="F1398">
        <v>0</v>
      </c>
      <c r="I1398" t="str">
        <v>US7445731067</v>
      </c>
      <c r="J1398" t="str">
        <v>Excluded</v>
      </c>
      <c r="K1398">
        <v>0</v>
      </c>
      <c r="L1398" t="str" cm="1">
        <f t="array" ref="L1398">_xlfn.TEXTJOIN(",",TRUE,_xlfn._xlws.FILTER($C$5:$C$1727,($D$5:$D$1727=I1398)*($E$5:$E$1727=J1398)*($F$5:$F$1727=K1398)))</f>
        <v>Global</v>
      </c>
      <c r="M1398" t="b">
        <f t="shared" si="42"/>
        <v>0</v>
      </c>
      <c r="N1398">
        <f t="shared" si="43"/>
        <v>0</v>
      </c>
    </row>
    <row r="1399" spans="3:14" x14ac:dyDescent="0.25">
      <c r="C1399" t="s">
        <v>1548</v>
      </c>
      <c r="D1399" t="s">
        <v>1282</v>
      </c>
      <c r="E1399" t="s">
        <v>400</v>
      </c>
      <c r="F1399">
        <v>0</v>
      </c>
      <c r="I1399" t="str">
        <v>US74460D1090</v>
      </c>
      <c r="J1399" t="str">
        <v>Ecoconstruction</v>
      </c>
      <c r="K1399">
        <v>0.14000000000000001</v>
      </c>
      <c r="L1399" t="str" cm="1">
        <f t="array" ref="L1399">_xlfn.TEXTJOIN(",",TRUE,_xlfn._xlws.FILTER($C$5:$C$1727,($D$5:$D$1727=I1399)*($E$5:$E$1727=J1399)*($F$5:$F$1727=K1399)))</f>
        <v>Global</v>
      </c>
      <c r="M1399" t="b">
        <f t="shared" si="42"/>
        <v>0</v>
      </c>
      <c r="N1399">
        <f t="shared" si="43"/>
        <v>0</v>
      </c>
    </row>
    <row r="1400" spans="3:14" x14ac:dyDescent="0.25">
      <c r="C1400" t="s">
        <v>1548</v>
      </c>
      <c r="D1400" t="s">
        <v>1283</v>
      </c>
      <c r="E1400" t="s">
        <v>400</v>
      </c>
      <c r="F1400">
        <v>0</v>
      </c>
      <c r="I1400" t="str">
        <v>US7458671010</v>
      </c>
      <c r="J1400" t="str">
        <v>Excluded</v>
      </c>
      <c r="K1400">
        <v>0</v>
      </c>
      <c r="L1400" t="str" cm="1">
        <f t="array" ref="L1400">_xlfn.TEXTJOIN(",",TRUE,_xlfn._xlws.FILTER($C$5:$C$1727,($D$5:$D$1727=I1400)*($E$5:$E$1727=J1400)*($F$5:$F$1727=K1400)))</f>
        <v>Global</v>
      </c>
      <c r="M1400" t="b">
        <f t="shared" si="42"/>
        <v>0</v>
      </c>
      <c r="N1400">
        <f t="shared" si="43"/>
        <v>0</v>
      </c>
    </row>
    <row r="1401" spans="3:14" x14ac:dyDescent="0.25">
      <c r="C1401" t="s">
        <v>1548</v>
      </c>
      <c r="D1401" t="s">
        <v>1284</v>
      </c>
      <c r="E1401" t="s">
        <v>400</v>
      </c>
      <c r="F1401">
        <v>0</v>
      </c>
      <c r="I1401" t="str">
        <v>US74624M1027</v>
      </c>
      <c r="J1401" t="str">
        <v>Information technology</v>
      </c>
      <c r="K1401">
        <v>1</v>
      </c>
      <c r="L1401" t="str" cm="1">
        <f t="array" ref="L1401">_xlfn.TEXTJOIN(",",TRUE,_xlfn._xlws.FILTER($C$5:$C$1727,($D$5:$D$1727=I1401)*($E$5:$E$1727=J1401)*($F$5:$F$1727=K1401)))</f>
        <v>Global</v>
      </c>
      <c r="M1401" t="b">
        <f t="shared" si="42"/>
        <v>0</v>
      </c>
      <c r="N1401">
        <f t="shared" si="43"/>
        <v>0</v>
      </c>
    </row>
    <row r="1402" spans="3:14" x14ac:dyDescent="0.25">
      <c r="C1402" t="s">
        <v>1548</v>
      </c>
      <c r="D1402" t="s">
        <v>1285</v>
      </c>
      <c r="E1402" t="s">
        <v>400</v>
      </c>
      <c r="F1402">
        <v>0</v>
      </c>
      <c r="I1402" t="str">
        <v>US74743L1008</v>
      </c>
      <c r="J1402" t="str">
        <v>Excluded</v>
      </c>
      <c r="K1402">
        <v>0</v>
      </c>
      <c r="L1402" t="str" cm="1">
        <f t="array" ref="L1402">_xlfn.TEXTJOIN(",",TRUE,_xlfn._xlws.FILTER($C$5:$C$1727,($D$5:$D$1727=I1402)*($E$5:$E$1727=J1402)*($F$5:$F$1727=K1402)))</f>
        <v>Global</v>
      </c>
      <c r="M1402" t="b">
        <f t="shared" si="42"/>
        <v>0</v>
      </c>
      <c r="N1402">
        <f t="shared" si="43"/>
        <v>0</v>
      </c>
    </row>
    <row r="1403" spans="3:14" x14ac:dyDescent="0.25">
      <c r="C1403" t="s">
        <v>1548</v>
      </c>
      <c r="D1403" t="s">
        <v>1286</v>
      </c>
      <c r="E1403" t="s">
        <v>400</v>
      </c>
      <c r="F1403">
        <v>0</v>
      </c>
      <c r="I1403" t="str">
        <v>US7475251036</v>
      </c>
      <c r="J1403" t="str">
        <v>Excluded</v>
      </c>
      <c r="K1403">
        <v>0</v>
      </c>
      <c r="L1403" t="str" cm="1">
        <f t="array" ref="L1403">_xlfn.TEXTJOIN(",",TRUE,_xlfn._xlws.FILTER($C$5:$C$1727,($D$5:$D$1727=I1403)*($E$5:$E$1727=J1403)*($F$5:$F$1727=K1403)))</f>
        <v>EZ</v>
      </c>
      <c r="M1403" t="b">
        <f t="shared" si="42"/>
        <v>1</v>
      </c>
      <c r="N1403">
        <f t="shared" si="43"/>
        <v>0</v>
      </c>
    </row>
    <row r="1404" spans="3:14" x14ac:dyDescent="0.25">
      <c r="C1404" t="s">
        <v>1548</v>
      </c>
      <c r="D1404" t="s">
        <v>1287</v>
      </c>
      <c r="E1404" t="s">
        <v>401</v>
      </c>
      <c r="F1404">
        <v>0</v>
      </c>
      <c r="I1404" t="str">
        <v>US7475251036</v>
      </c>
      <c r="J1404" t="str">
        <v>Information technology</v>
      </c>
      <c r="K1404">
        <v>1</v>
      </c>
      <c r="L1404" t="str" cm="1">
        <f t="array" ref="L1404">_xlfn.TEXTJOIN(",",TRUE,_xlfn._xlws.FILTER($C$5:$C$1727,($D$5:$D$1727=I1404)*($E$5:$E$1727=J1404)*($F$5:$F$1727=K1404)))</f>
        <v>Global</v>
      </c>
      <c r="M1404" t="b">
        <f t="shared" si="42"/>
        <v>1</v>
      </c>
      <c r="N1404">
        <f t="shared" si="43"/>
        <v>0</v>
      </c>
    </row>
    <row r="1405" spans="3:14" x14ac:dyDescent="0.25">
      <c r="C1405" t="s">
        <v>1548</v>
      </c>
      <c r="D1405" t="s">
        <v>1288</v>
      </c>
      <c r="E1405" t="s">
        <v>400</v>
      </c>
      <c r="F1405">
        <v>0</v>
      </c>
      <c r="I1405" t="str">
        <v>US74762E1029</v>
      </c>
      <c r="J1405" t="str">
        <v>Green energy</v>
      </c>
      <c r="K1405">
        <v>0.76</v>
      </c>
      <c r="L1405" t="str" cm="1">
        <f t="array" ref="L1405">_xlfn.TEXTJOIN(",",TRUE,_xlfn._xlws.FILTER($C$5:$C$1727,($D$5:$D$1727=I1405)*($E$5:$E$1727=J1405)*($F$5:$F$1727=K1405)))</f>
        <v>Global</v>
      </c>
      <c r="M1405" t="b">
        <f t="shared" si="42"/>
        <v>0</v>
      </c>
      <c r="N1405">
        <f t="shared" si="43"/>
        <v>0</v>
      </c>
    </row>
    <row r="1406" spans="3:14" x14ac:dyDescent="0.25">
      <c r="C1406" t="s">
        <v>1548</v>
      </c>
      <c r="D1406" t="s">
        <v>1289</v>
      </c>
      <c r="E1406" t="s">
        <v>400</v>
      </c>
      <c r="F1406">
        <v>0</v>
      </c>
      <c r="I1406" t="str">
        <v>US74834L1008</v>
      </c>
      <c r="J1406" t="str">
        <v>Excluded</v>
      </c>
      <c r="K1406">
        <v>0</v>
      </c>
      <c r="L1406" t="str" cm="1">
        <f t="array" ref="L1406">_xlfn.TEXTJOIN(",",TRUE,_xlfn._xlws.FILTER($C$5:$C$1727,($D$5:$D$1727=I1406)*($E$5:$E$1727=J1406)*($F$5:$F$1727=K1406)))</f>
        <v>Global</v>
      </c>
      <c r="M1406" t="b">
        <f t="shared" si="42"/>
        <v>0</v>
      </c>
      <c r="N1406">
        <f t="shared" si="43"/>
        <v>0</v>
      </c>
    </row>
    <row r="1407" spans="3:14" x14ac:dyDescent="0.25">
      <c r="C1407" t="s">
        <v>1548</v>
      </c>
      <c r="D1407" t="s">
        <v>1290</v>
      </c>
      <c r="E1407" t="s">
        <v>405</v>
      </c>
      <c r="F1407">
        <v>1</v>
      </c>
      <c r="I1407" t="str">
        <v>US7496851038</v>
      </c>
      <c r="J1407" t="str">
        <v>Ecoconstruction</v>
      </c>
      <c r="K1407">
        <v>1</v>
      </c>
      <c r="L1407" t="str" cm="1">
        <f t="array" ref="L1407">_xlfn.TEXTJOIN(",",TRUE,_xlfn._xlws.FILTER($C$5:$C$1727,($D$5:$D$1727=I1407)*($E$5:$E$1727=J1407)*($F$5:$F$1727=K1407)))</f>
        <v>Global</v>
      </c>
      <c r="M1407" t="b">
        <f t="shared" si="42"/>
        <v>0</v>
      </c>
      <c r="N1407">
        <f t="shared" si="43"/>
        <v>0</v>
      </c>
    </row>
    <row r="1408" spans="3:14" x14ac:dyDescent="0.25">
      <c r="C1408" t="s">
        <v>1548</v>
      </c>
      <c r="D1408" t="s">
        <v>167</v>
      </c>
      <c r="E1408" t="s">
        <v>404</v>
      </c>
      <c r="F1408">
        <v>0.3</v>
      </c>
      <c r="I1408" t="str">
        <v>US7512121010</v>
      </c>
      <c r="J1408" t="str">
        <v>Excluded</v>
      </c>
      <c r="K1408">
        <v>0</v>
      </c>
      <c r="L1408" t="str" cm="1">
        <f t="array" ref="L1408">_xlfn.TEXTJOIN(",",TRUE,_xlfn._xlws.FILTER($C$5:$C$1727,($D$5:$D$1727=I1408)*($E$5:$E$1727=J1408)*($F$5:$F$1727=K1408)))</f>
        <v>Global</v>
      </c>
      <c r="M1408" t="b">
        <f t="shared" si="42"/>
        <v>0</v>
      </c>
      <c r="N1408">
        <f t="shared" si="43"/>
        <v>0</v>
      </c>
    </row>
    <row r="1409" spans="3:14" x14ac:dyDescent="0.25">
      <c r="C1409" t="s">
        <v>1548</v>
      </c>
      <c r="D1409" t="s">
        <v>159</v>
      </c>
      <c r="E1409" t="s">
        <v>403</v>
      </c>
      <c r="F1409">
        <v>0.85</v>
      </c>
      <c r="I1409" t="str">
        <v>US7547301090</v>
      </c>
      <c r="J1409" t="str">
        <v>Excluded</v>
      </c>
      <c r="K1409">
        <v>0</v>
      </c>
      <c r="L1409" t="str" cm="1">
        <f t="array" ref="L1409">_xlfn.TEXTJOIN(",",TRUE,_xlfn._xlws.FILTER($C$5:$C$1727,($D$5:$D$1727=I1409)*($E$5:$E$1727=J1409)*($F$5:$F$1727=K1409)))</f>
        <v>Global</v>
      </c>
      <c r="M1409" t="b">
        <f t="shared" si="42"/>
        <v>0</v>
      </c>
      <c r="N1409">
        <f t="shared" si="43"/>
        <v>0</v>
      </c>
    </row>
    <row r="1410" spans="3:14" x14ac:dyDescent="0.25">
      <c r="C1410" t="s">
        <v>1548</v>
      </c>
      <c r="D1410" t="s">
        <v>1291</v>
      </c>
      <c r="E1410" t="s">
        <v>403</v>
      </c>
      <c r="F1410">
        <v>1</v>
      </c>
      <c r="I1410" t="str">
        <v>US75513E1010</v>
      </c>
      <c r="J1410" t="str">
        <v>Excluded</v>
      </c>
      <c r="K1410">
        <v>0</v>
      </c>
      <c r="L1410" t="str" cm="1">
        <f t="array" ref="L1410">_xlfn.TEXTJOIN(",",TRUE,_xlfn._xlws.FILTER($C$5:$C$1727,($D$5:$D$1727=I1410)*($E$5:$E$1727=J1410)*($F$5:$F$1727=K1410)))</f>
        <v>Global</v>
      </c>
      <c r="M1410" t="b">
        <f t="shared" si="42"/>
        <v>0</v>
      </c>
      <c r="N1410">
        <f t="shared" si="43"/>
        <v>0</v>
      </c>
    </row>
    <row r="1411" spans="3:14" x14ac:dyDescent="0.25">
      <c r="C1411" t="s">
        <v>1548</v>
      </c>
      <c r="D1411" t="s">
        <v>1292</v>
      </c>
      <c r="E1411" t="s">
        <v>401</v>
      </c>
      <c r="F1411">
        <v>0</v>
      </c>
      <c r="I1411" t="str">
        <v>US75524B1044</v>
      </c>
      <c r="J1411" t="str">
        <v>Excluded</v>
      </c>
      <c r="K1411">
        <v>0</v>
      </c>
      <c r="L1411" t="str" cm="1">
        <f t="array" ref="L1411">_xlfn.TEXTJOIN(",",TRUE,_xlfn._xlws.FILTER($C$5:$C$1727,($D$5:$D$1727=I1411)*($E$5:$E$1727=J1411)*($F$5:$F$1727=K1411)))</f>
        <v>Global</v>
      </c>
      <c r="M1411" t="b">
        <f t="shared" si="42"/>
        <v>0</v>
      </c>
      <c r="N1411">
        <f t="shared" si="43"/>
        <v>0</v>
      </c>
    </row>
    <row r="1412" spans="3:14" x14ac:dyDescent="0.25">
      <c r="C1412" t="s">
        <v>1548</v>
      </c>
      <c r="D1412" t="s">
        <v>1293</v>
      </c>
      <c r="E1412" t="s">
        <v>400</v>
      </c>
      <c r="F1412">
        <v>0</v>
      </c>
      <c r="I1412" t="str">
        <v>US7561091049</v>
      </c>
      <c r="J1412" t="str">
        <v>Not included in a theme</v>
      </c>
      <c r="K1412">
        <v>0</v>
      </c>
      <c r="L1412" t="str" cm="1">
        <f t="array" ref="L1412">_xlfn.TEXTJOIN(",",TRUE,_xlfn._xlws.FILTER($C$5:$C$1727,($D$5:$D$1727=I1412)*($E$5:$E$1727=J1412)*($F$5:$F$1727=K1412)))</f>
        <v>Global</v>
      </c>
      <c r="M1412" t="b">
        <f t="shared" si="42"/>
        <v>0</v>
      </c>
      <c r="N1412">
        <f t="shared" si="43"/>
        <v>0</v>
      </c>
    </row>
    <row r="1413" spans="3:14" x14ac:dyDescent="0.25">
      <c r="C1413" t="s">
        <v>1548</v>
      </c>
      <c r="D1413" t="s">
        <v>1294</v>
      </c>
      <c r="E1413" t="s">
        <v>401</v>
      </c>
      <c r="F1413">
        <v>0</v>
      </c>
      <c r="I1413" t="str">
        <v>US75734B1008</v>
      </c>
      <c r="J1413" t="str">
        <v>Excluded</v>
      </c>
      <c r="K1413">
        <v>0</v>
      </c>
      <c r="L1413" t="str" cm="1">
        <f t="array" ref="L1413">_xlfn.TEXTJOIN(",",TRUE,_xlfn._xlws.FILTER($C$5:$C$1727,($D$5:$D$1727=I1413)*($E$5:$E$1727=J1413)*($F$5:$F$1727=K1413)))</f>
        <v>Global</v>
      </c>
      <c r="M1413" t="b">
        <f t="shared" si="42"/>
        <v>0</v>
      </c>
      <c r="N1413">
        <f t="shared" si="43"/>
        <v>0</v>
      </c>
    </row>
    <row r="1414" spans="3:14" x14ac:dyDescent="0.25">
      <c r="C1414" t="s">
        <v>1548</v>
      </c>
      <c r="D1414" t="s">
        <v>1295</v>
      </c>
      <c r="E1414" t="s">
        <v>400</v>
      </c>
      <c r="F1414">
        <v>0</v>
      </c>
      <c r="I1414" t="str">
        <v>US7588491032</v>
      </c>
      <c r="J1414" t="str">
        <v>Not included in a theme</v>
      </c>
      <c r="K1414">
        <v>0</v>
      </c>
      <c r="L1414" t="str" cm="1">
        <f t="array" ref="L1414">_xlfn.TEXTJOIN(",",TRUE,_xlfn._xlws.FILTER($C$5:$C$1727,($D$5:$D$1727=I1414)*($E$5:$E$1727=J1414)*($F$5:$F$1727=K1414)))</f>
        <v>Global</v>
      </c>
      <c r="M1414" t="b">
        <f t="shared" ref="M1414:M1477" si="44">COUNTIFS($I$5:$I$1556,I1414)&gt;1</f>
        <v>0</v>
      </c>
      <c r="N1414">
        <f t="shared" ref="N1414:N1477" si="45">COUNTIFS($U$5:$U$231,I1414)</f>
        <v>0</v>
      </c>
    </row>
    <row r="1415" spans="3:14" x14ac:dyDescent="0.25">
      <c r="C1415" t="s">
        <v>1548</v>
      </c>
      <c r="D1415" t="s">
        <v>1296</v>
      </c>
      <c r="E1415" t="s">
        <v>403</v>
      </c>
      <c r="F1415">
        <v>0.94</v>
      </c>
      <c r="I1415" t="str">
        <v>US75886F1075</v>
      </c>
      <c r="J1415" t="str">
        <v>Not included in a theme</v>
      </c>
      <c r="K1415">
        <v>0</v>
      </c>
      <c r="L1415" t="str" cm="1">
        <f t="array" ref="L1415">_xlfn.TEXTJOIN(",",TRUE,_xlfn._xlws.FILTER($C$5:$C$1727,($D$5:$D$1727=I1415)*($E$5:$E$1727=J1415)*($F$5:$F$1727=K1415)))</f>
        <v>Global</v>
      </c>
      <c r="M1415" t="b">
        <f t="shared" si="44"/>
        <v>0</v>
      </c>
      <c r="N1415">
        <f t="shared" si="45"/>
        <v>0</v>
      </c>
    </row>
    <row r="1416" spans="3:14" x14ac:dyDescent="0.25">
      <c r="C1416" t="s">
        <v>1548</v>
      </c>
      <c r="D1416" t="s">
        <v>1297</v>
      </c>
      <c r="E1416" t="s">
        <v>400</v>
      </c>
      <c r="F1416">
        <v>0</v>
      </c>
      <c r="I1416" t="str">
        <v>US7591EP1005</v>
      </c>
      <c r="J1416" t="str">
        <v>Excluded</v>
      </c>
      <c r="K1416">
        <v>0</v>
      </c>
      <c r="L1416" t="str" cm="1">
        <f t="array" ref="L1416">_xlfn.TEXTJOIN(",",TRUE,_xlfn._xlws.FILTER($C$5:$C$1727,($D$5:$D$1727=I1416)*($E$5:$E$1727=J1416)*($F$5:$F$1727=K1416)))</f>
        <v>Global</v>
      </c>
      <c r="M1416" t="b">
        <f t="shared" si="44"/>
        <v>0</v>
      </c>
      <c r="N1416">
        <f t="shared" si="45"/>
        <v>0</v>
      </c>
    </row>
    <row r="1417" spans="3:14" x14ac:dyDescent="0.25">
      <c r="C1417" t="s">
        <v>1548</v>
      </c>
      <c r="D1417" t="s">
        <v>1298</v>
      </c>
      <c r="E1417" t="s">
        <v>400</v>
      </c>
      <c r="F1417">
        <v>0</v>
      </c>
      <c r="I1417" t="str">
        <v>US7593516047</v>
      </c>
      <c r="J1417" t="str">
        <v>Excluded</v>
      </c>
      <c r="K1417">
        <v>0</v>
      </c>
      <c r="L1417" t="str" cm="1">
        <f t="array" ref="L1417">_xlfn.TEXTJOIN(",",TRUE,_xlfn._xlws.FILTER($C$5:$C$1727,($D$5:$D$1727=I1417)*($E$5:$E$1727=J1417)*($F$5:$F$1727=K1417)))</f>
        <v>Global</v>
      </c>
      <c r="M1417" t="b">
        <f t="shared" si="44"/>
        <v>0</v>
      </c>
      <c r="N1417">
        <f t="shared" si="45"/>
        <v>0</v>
      </c>
    </row>
    <row r="1418" spans="3:14" x14ac:dyDescent="0.25">
      <c r="C1418" t="s">
        <v>1548</v>
      </c>
      <c r="D1418" t="s">
        <v>1299</v>
      </c>
      <c r="E1418" t="s">
        <v>400</v>
      </c>
      <c r="F1418">
        <v>0</v>
      </c>
      <c r="I1418" t="str">
        <v>US7595091023</v>
      </c>
      <c r="J1418" t="str">
        <v>Excluded</v>
      </c>
      <c r="K1418">
        <v>0</v>
      </c>
      <c r="L1418" t="str" cm="1">
        <f t="array" ref="L1418">_xlfn.TEXTJOIN(",",TRUE,_xlfn._xlws.FILTER($C$5:$C$1727,($D$5:$D$1727=I1418)*($E$5:$E$1727=J1418)*($F$5:$F$1727=K1418)))</f>
        <v>Global</v>
      </c>
      <c r="M1418" t="b">
        <f t="shared" si="44"/>
        <v>0</v>
      </c>
      <c r="N1418">
        <f t="shared" si="45"/>
        <v>0</v>
      </c>
    </row>
    <row r="1419" spans="3:14" x14ac:dyDescent="0.25">
      <c r="C1419" t="s">
        <v>1548</v>
      </c>
      <c r="D1419" t="s">
        <v>1300</v>
      </c>
      <c r="E1419" t="s">
        <v>401</v>
      </c>
      <c r="F1419">
        <v>0</v>
      </c>
      <c r="I1419" t="str">
        <v>US7607591002</v>
      </c>
      <c r="J1419" t="str">
        <v>Circular economy</v>
      </c>
      <c r="K1419">
        <v>0.97</v>
      </c>
      <c r="L1419" t="str" cm="1">
        <f t="array" ref="L1419">_xlfn.TEXTJOIN(",",TRUE,_xlfn._xlws.FILTER($C$5:$C$1727,($D$5:$D$1727=I1419)*($E$5:$E$1727=J1419)*($F$5:$F$1727=K1419)))</f>
        <v>Global</v>
      </c>
      <c r="M1419" t="b">
        <f t="shared" si="44"/>
        <v>0</v>
      </c>
      <c r="N1419">
        <f t="shared" si="45"/>
        <v>0</v>
      </c>
    </row>
    <row r="1420" spans="3:14" x14ac:dyDescent="0.25">
      <c r="C1420" t="s">
        <v>1548</v>
      </c>
      <c r="D1420" t="s">
        <v>1301</v>
      </c>
      <c r="E1420" t="s">
        <v>400</v>
      </c>
      <c r="F1420">
        <v>0</v>
      </c>
      <c r="I1420" t="str">
        <v>US7611521078</v>
      </c>
      <c r="J1420" t="str">
        <v>Not included in a theme</v>
      </c>
      <c r="K1420">
        <v>0</v>
      </c>
      <c r="L1420" t="str" cm="1">
        <f t="array" ref="L1420">_xlfn.TEXTJOIN(",",TRUE,_xlfn._xlws.FILTER($C$5:$C$1727,($D$5:$D$1727=I1420)*($E$5:$E$1727=J1420)*($F$5:$F$1727=K1420)))</f>
        <v>Global</v>
      </c>
      <c r="M1420" t="b">
        <f t="shared" si="44"/>
        <v>0</v>
      </c>
      <c r="N1420">
        <f t="shared" si="45"/>
        <v>0</v>
      </c>
    </row>
    <row r="1421" spans="3:14" x14ac:dyDescent="0.25">
      <c r="C1421" t="s">
        <v>1548</v>
      </c>
      <c r="D1421" t="s">
        <v>1302</v>
      </c>
      <c r="E1421" t="s">
        <v>400</v>
      </c>
      <c r="F1421">
        <v>0</v>
      </c>
      <c r="I1421" t="str">
        <v>US76155X1000</v>
      </c>
      <c r="J1421" t="str">
        <v>Excluded</v>
      </c>
      <c r="K1421">
        <v>0</v>
      </c>
      <c r="L1421" t="str" cm="1">
        <f t="array" ref="L1421">_xlfn.TEXTJOIN(",",TRUE,_xlfn._xlws.FILTER($C$5:$C$1727,($D$5:$D$1727=I1421)*($E$5:$E$1727=J1421)*($F$5:$F$1727=K1421)))</f>
        <v>Global</v>
      </c>
      <c r="M1421" t="b">
        <f t="shared" si="44"/>
        <v>0</v>
      </c>
      <c r="N1421">
        <f t="shared" si="45"/>
        <v>0</v>
      </c>
    </row>
    <row r="1422" spans="3:14" x14ac:dyDescent="0.25">
      <c r="C1422" t="s">
        <v>1548</v>
      </c>
      <c r="D1422" t="s">
        <v>1303</v>
      </c>
      <c r="E1422" t="s">
        <v>400</v>
      </c>
      <c r="F1422">
        <v>0</v>
      </c>
      <c r="I1422" t="str">
        <v>US76954A1034</v>
      </c>
      <c r="J1422" t="str">
        <v>Clean transport</v>
      </c>
      <c r="K1422">
        <v>1</v>
      </c>
      <c r="L1422" t="str" cm="1">
        <f t="array" ref="L1422">_xlfn.TEXTJOIN(",",TRUE,_xlfn._xlws.FILTER($C$5:$C$1727,($D$5:$D$1727=I1422)*($E$5:$E$1727=J1422)*($F$5:$F$1727=K1422)))</f>
        <v>Global</v>
      </c>
      <c r="M1422" t="b">
        <f t="shared" si="44"/>
        <v>0</v>
      </c>
      <c r="N1422">
        <f t="shared" si="45"/>
        <v>0</v>
      </c>
    </row>
    <row r="1423" spans="3:14" x14ac:dyDescent="0.25">
      <c r="C1423" t="s">
        <v>1548</v>
      </c>
      <c r="D1423" t="s">
        <v>1304</v>
      </c>
      <c r="E1423" t="s">
        <v>400</v>
      </c>
      <c r="F1423">
        <v>0</v>
      </c>
      <c r="I1423" t="str">
        <v>US7707001027</v>
      </c>
      <c r="J1423" t="str">
        <v>Excluded</v>
      </c>
      <c r="K1423">
        <v>0</v>
      </c>
      <c r="L1423" t="str" cm="1">
        <f t="array" ref="L1423">_xlfn.TEXTJOIN(",",TRUE,_xlfn._xlws.FILTER($C$5:$C$1727,($D$5:$D$1727=I1423)*($E$5:$E$1727=J1423)*($F$5:$F$1727=K1423)))</f>
        <v>Global</v>
      </c>
      <c r="M1423" t="b">
        <f t="shared" si="44"/>
        <v>0</v>
      </c>
      <c r="N1423">
        <f t="shared" si="45"/>
        <v>0</v>
      </c>
    </row>
    <row r="1424" spans="3:14" x14ac:dyDescent="0.25">
      <c r="C1424" t="s">
        <v>1548</v>
      </c>
      <c r="D1424" t="s">
        <v>1305</v>
      </c>
      <c r="E1424" t="s">
        <v>400</v>
      </c>
      <c r="F1424">
        <v>0</v>
      </c>
      <c r="I1424" t="str">
        <v>US7710491033</v>
      </c>
      <c r="J1424" t="str">
        <v>Excluded</v>
      </c>
      <c r="K1424">
        <v>0</v>
      </c>
      <c r="L1424" t="str" cm="1">
        <f t="array" ref="L1424">_xlfn.TEXTJOIN(",",TRUE,_xlfn._xlws.FILTER($C$5:$C$1727,($D$5:$D$1727=I1424)*($E$5:$E$1727=J1424)*($F$5:$F$1727=K1424)))</f>
        <v>Global</v>
      </c>
      <c r="M1424" t="b">
        <f t="shared" si="44"/>
        <v>0</v>
      </c>
      <c r="N1424">
        <f t="shared" si="45"/>
        <v>0</v>
      </c>
    </row>
    <row r="1425" spans="3:14" x14ac:dyDescent="0.25">
      <c r="C1425" t="s">
        <v>1548</v>
      </c>
      <c r="D1425" t="s">
        <v>1306</v>
      </c>
      <c r="E1425" t="s">
        <v>400</v>
      </c>
      <c r="F1425">
        <v>0</v>
      </c>
      <c r="I1425" t="str">
        <v>US77311W1018</v>
      </c>
      <c r="J1425" t="str">
        <v>Excluded</v>
      </c>
      <c r="K1425">
        <v>0</v>
      </c>
      <c r="L1425" t="str" cm="1">
        <f t="array" ref="L1425">_xlfn.TEXTJOIN(",",TRUE,_xlfn._xlws.FILTER($C$5:$C$1727,($D$5:$D$1727=I1425)*($E$5:$E$1727=J1425)*($F$5:$F$1727=K1425)))</f>
        <v>Global</v>
      </c>
      <c r="M1425" t="b">
        <f t="shared" si="44"/>
        <v>0</v>
      </c>
      <c r="N1425">
        <f t="shared" si="45"/>
        <v>0</v>
      </c>
    </row>
    <row r="1426" spans="3:14" x14ac:dyDescent="0.25">
      <c r="C1426" t="s">
        <v>1548</v>
      </c>
      <c r="D1426" t="s">
        <v>1307</v>
      </c>
      <c r="E1426" t="s">
        <v>400</v>
      </c>
      <c r="F1426">
        <v>0</v>
      </c>
      <c r="I1426" t="str">
        <v>US7731211089</v>
      </c>
      <c r="J1426" t="str">
        <v>Excluded</v>
      </c>
      <c r="K1426">
        <v>0</v>
      </c>
      <c r="L1426" t="str" cm="1">
        <f t="array" ref="L1426">_xlfn.TEXTJOIN(",",TRUE,_xlfn._xlws.FILTER($C$5:$C$1727,($D$5:$D$1727=I1426)*($E$5:$E$1727=J1426)*($F$5:$F$1727=K1426)))</f>
        <v>Global</v>
      </c>
      <c r="M1426" t="b">
        <f t="shared" si="44"/>
        <v>0</v>
      </c>
      <c r="N1426">
        <f t="shared" si="45"/>
        <v>0</v>
      </c>
    </row>
    <row r="1427" spans="3:14" x14ac:dyDescent="0.25">
      <c r="C1427" t="s">
        <v>1548</v>
      </c>
      <c r="D1427" t="s">
        <v>1308</v>
      </c>
      <c r="E1427" t="s">
        <v>400</v>
      </c>
      <c r="F1427">
        <v>0</v>
      </c>
      <c r="I1427" t="str">
        <v>US7739031091</v>
      </c>
      <c r="J1427" t="str">
        <v>Eco-efficient industries</v>
      </c>
      <c r="K1427">
        <v>0.23</v>
      </c>
      <c r="L1427" t="str" cm="1">
        <f t="array" ref="L1427">_xlfn.TEXTJOIN(",",TRUE,_xlfn._xlws.FILTER($C$5:$C$1727,($D$5:$D$1727=I1427)*($E$5:$E$1727=J1427)*($F$5:$F$1727=K1427)))</f>
        <v>Global</v>
      </c>
      <c r="M1427" t="b">
        <f t="shared" si="44"/>
        <v>0</v>
      </c>
      <c r="N1427">
        <f t="shared" si="45"/>
        <v>0</v>
      </c>
    </row>
    <row r="1428" spans="3:14" x14ac:dyDescent="0.25">
      <c r="C1428" t="s">
        <v>1548</v>
      </c>
      <c r="D1428" t="s">
        <v>1309</v>
      </c>
      <c r="E1428" t="s">
        <v>401</v>
      </c>
      <c r="F1428">
        <v>0</v>
      </c>
      <c r="I1428" t="str">
        <v>US77543R1023</v>
      </c>
      <c r="J1428" t="str">
        <v>Excluded</v>
      </c>
      <c r="K1428">
        <v>0</v>
      </c>
      <c r="L1428" t="str" cm="1">
        <f t="array" ref="L1428">_xlfn.TEXTJOIN(",",TRUE,_xlfn._xlws.FILTER($C$5:$C$1727,($D$5:$D$1727=I1428)*($E$5:$E$1727=J1428)*($F$5:$F$1727=K1428)))</f>
        <v>Global</v>
      </c>
      <c r="M1428" t="b">
        <f t="shared" si="44"/>
        <v>0</v>
      </c>
      <c r="N1428">
        <f t="shared" si="45"/>
        <v>0</v>
      </c>
    </row>
    <row r="1429" spans="3:14" x14ac:dyDescent="0.25">
      <c r="C1429" t="s">
        <v>1548</v>
      </c>
      <c r="D1429" t="s">
        <v>1310</v>
      </c>
      <c r="E1429" t="s">
        <v>400</v>
      </c>
      <c r="F1429">
        <v>0</v>
      </c>
      <c r="I1429" t="str">
        <v>US7757111049</v>
      </c>
      <c r="J1429" t="str">
        <v>Excluded</v>
      </c>
      <c r="K1429">
        <v>0</v>
      </c>
      <c r="L1429" t="str" cm="1">
        <f t="array" ref="L1429">_xlfn.TEXTJOIN(",",TRUE,_xlfn._xlws.FILTER($C$5:$C$1727,($D$5:$D$1727=I1429)*($E$5:$E$1727=J1429)*($F$5:$F$1727=K1429)))</f>
        <v>Global</v>
      </c>
      <c r="M1429" t="b">
        <f t="shared" si="44"/>
        <v>0</v>
      </c>
      <c r="N1429">
        <f t="shared" si="45"/>
        <v>0</v>
      </c>
    </row>
    <row r="1430" spans="3:14" x14ac:dyDescent="0.25">
      <c r="C1430" t="s">
        <v>1548</v>
      </c>
      <c r="D1430" t="s">
        <v>1311</v>
      </c>
      <c r="E1430" t="s">
        <v>401</v>
      </c>
      <c r="F1430">
        <v>0</v>
      </c>
      <c r="I1430" t="str">
        <v>US7766961061</v>
      </c>
      <c r="J1430" t="str">
        <v>Information technology</v>
      </c>
      <c r="K1430">
        <v>0.45</v>
      </c>
      <c r="L1430" t="str" cm="1">
        <f t="array" ref="L1430">_xlfn.TEXTJOIN(",",TRUE,_xlfn._xlws.FILTER($C$5:$C$1727,($D$5:$D$1727=I1430)*($E$5:$E$1727=J1430)*($F$5:$F$1727=K1430)))</f>
        <v>Global</v>
      </c>
      <c r="M1430" t="b">
        <f t="shared" si="44"/>
        <v>0</v>
      </c>
      <c r="N1430">
        <f t="shared" si="45"/>
        <v>0</v>
      </c>
    </row>
    <row r="1431" spans="3:14" x14ac:dyDescent="0.25">
      <c r="C1431" t="s">
        <v>1548</v>
      </c>
      <c r="D1431" t="s">
        <v>1312</v>
      </c>
      <c r="E1431" t="s">
        <v>400</v>
      </c>
      <c r="F1431">
        <v>0</v>
      </c>
      <c r="I1431" t="str">
        <v>US7782961038</v>
      </c>
      <c r="J1431" t="str">
        <v>Excluded</v>
      </c>
      <c r="K1431">
        <v>0</v>
      </c>
      <c r="L1431" t="str" cm="1">
        <f t="array" ref="L1431">_xlfn.TEXTJOIN(",",TRUE,_xlfn._xlws.FILTER($C$5:$C$1727,($D$5:$D$1727=I1431)*($E$5:$E$1727=J1431)*($F$5:$F$1727=K1431)))</f>
        <v>Global</v>
      </c>
      <c r="M1431" t="b">
        <f t="shared" si="44"/>
        <v>0</v>
      </c>
      <c r="N1431">
        <f t="shared" si="45"/>
        <v>0</v>
      </c>
    </row>
    <row r="1432" spans="3:14" x14ac:dyDescent="0.25">
      <c r="C1432" t="s">
        <v>1548</v>
      </c>
      <c r="D1432" t="s">
        <v>1313</v>
      </c>
      <c r="E1432" t="s">
        <v>399</v>
      </c>
      <c r="F1432">
        <v>0.59</v>
      </c>
      <c r="I1432" t="str">
        <v>US7802871084</v>
      </c>
      <c r="J1432" t="str">
        <v>Excluded</v>
      </c>
      <c r="K1432">
        <v>0</v>
      </c>
      <c r="L1432" t="str" cm="1">
        <f t="array" ref="L1432">_xlfn.TEXTJOIN(",",TRUE,_xlfn._xlws.FILTER($C$5:$C$1727,($D$5:$D$1727=I1432)*($E$5:$E$1727=J1432)*($F$5:$F$1727=K1432)))</f>
        <v>Global</v>
      </c>
      <c r="M1432" t="b">
        <f t="shared" si="44"/>
        <v>0</v>
      </c>
      <c r="N1432">
        <f t="shared" si="45"/>
        <v>0</v>
      </c>
    </row>
    <row r="1433" spans="3:14" x14ac:dyDescent="0.25">
      <c r="C1433" t="s">
        <v>1548</v>
      </c>
      <c r="D1433" t="s">
        <v>1314</v>
      </c>
      <c r="E1433" t="s">
        <v>403</v>
      </c>
      <c r="F1433">
        <v>0.28999999999999998</v>
      </c>
      <c r="I1433" t="str">
        <v>US78409V1044</v>
      </c>
      <c r="J1433" t="str">
        <v>Not included in a theme</v>
      </c>
      <c r="K1433">
        <v>0</v>
      </c>
      <c r="L1433" t="str" cm="1">
        <f t="array" ref="L1433">_xlfn.TEXTJOIN(",",TRUE,_xlfn._xlws.FILTER($C$5:$C$1727,($D$5:$D$1727=I1433)*($E$5:$E$1727=J1433)*($F$5:$F$1727=K1433)))</f>
        <v>Global</v>
      </c>
      <c r="M1433" t="b">
        <f t="shared" si="44"/>
        <v>0</v>
      </c>
      <c r="N1433">
        <f t="shared" si="45"/>
        <v>0</v>
      </c>
    </row>
    <row r="1434" spans="3:14" x14ac:dyDescent="0.25">
      <c r="C1434" t="s">
        <v>1548</v>
      </c>
      <c r="D1434" t="s">
        <v>1315</v>
      </c>
      <c r="E1434" t="s">
        <v>401</v>
      </c>
      <c r="F1434">
        <v>0</v>
      </c>
      <c r="I1434" t="str">
        <v>US78410G1040</v>
      </c>
      <c r="J1434" t="str">
        <v>Not included in a theme</v>
      </c>
      <c r="K1434">
        <v>0</v>
      </c>
      <c r="L1434" t="str" cm="1">
        <f t="array" ref="L1434">_xlfn.TEXTJOIN(",",TRUE,_xlfn._xlws.FILTER($C$5:$C$1727,($D$5:$D$1727=I1434)*($E$5:$E$1727=J1434)*($F$5:$F$1727=K1434)))</f>
        <v>Global</v>
      </c>
      <c r="M1434" t="b">
        <f t="shared" si="44"/>
        <v>0</v>
      </c>
      <c r="N1434">
        <f t="shared" si="45"/>
        <v>0</v>
      </c>
    </row>
    <row r="1435" spans="3:14" x14ac:dyDescent="0.25">
      <c r="C1435" t="s">
        <v>1548</v>
      </c>
      <c r="D1435" t="s">
        <v>145</v>
      </c>
      <c r="E1435" t="s">
        <v>400</v>
      </c>
      <c r="F1435">
        <v>0</v>
      </c>
      <c r="I1435" t="str">
        <v>US78467J1007</v>
      </c>
      <c r="J1435" t="str">
        <v>Not included in a theme</v>
      </c>
      <c r="K1435">
        <v>0</v>
      </c>
      <c r="L1435" t="str" cm="1">
        <f t="array" ref="L1435">_xlfn.TEXTJOIN(",",TRUE,_xlfn._xlws.FILTER($C$5:$C$1727,($D$5:$D$1727=I1435)*($E$5:$E$1727=J1435)*($F$5:$F$1727=K1435)))</f>
        <v>Global</v>
      </c>
      <c r="M1435" t="b">
        <f t="shared" si="44"/>
        <v>0</v>
      </c>
      <c r="N1435">
        <f t="shared" si="45"/>
        <v>0</v>
      </c>
    </row>
    <row r="1436" spans="3:14" x14ac:dyDescent="0.25">
      <c r="C1436" t="s">
        <v>1548</v>
      </c>
      <c r="D1436" t="s">
        <v>72</v>
      </c>
      <c r="E1436" t="s">
        <v>400</v>
      </c>
      <c r="F1436">
        <v>0</v>
      </c>
      <c r="I1436" t="str">
        <v>US79466L3024</v>
      </c>
      <c r="J1436" t="str">
        <v>Information technology</v>
      </c>
      <c r="K1436">
        <v>1</v>
      </c>
      <c r="L1436" t="str" cm="1">
        <f t="array" ref="L1436">_xlfn.TEXTJOIN(",",TRUE,_xlfn._xlws.FILTER($C$5:$C$1727,($D$5:$D$1727=I1436)*($E$5:$E$1727=J1436)*($F$5:$F$1727=K1436)))</f>
        <v>Global</v>
      </c>
      <c r="M1436" t="b">
        <f t="shared" si="44"/>
        <v>0</v>
      </c>
      <c r="N1436">
        <f t="shared" si="45"/>
        <v>0</v>
      </c>
    </row>
    <row r="1437" spans="3:14" x14ac:dyDescent="0.25">
      <c r="C1437" t="s">
        <v>1548</v>
      </c>
      <c r="D1437" t="s">
        <v>1316</v>
      </c>
      <c r="E1437" t="s">
        <v>400</v>
      </c>
      <c r="F1437">
        <v>0</v>
      </c>
      <c r="I1437" t="str">
        <v>US79589L1061</v>
      </c>
      <c r="J1437" t="str">
        <v>Not included in a theme</v>
      </c>
      <c r="K1437">
        <v>0</v>
      </c>
      <c r="L1437" t="str" cm="1">
        <f t="array" ref="L1437">_xlfn.TEXTJOIN(",",TRUE,_xlfn._xlws.FILTER($C$5:$C$1727,($D$5:$D$1727=I1437)*($E$5:$E$1727=J1437)*($F$5:$F$1727=K1437)))</f>
        <v>Global</v>
      </c>
      <c r="M1437" t="b">
        <f t="shared" si="44"/>
        <v>0</v>
      </c>
      <c r="N1437">
        <f t="shared" si="45"/>
        <v>0</v>
      </c>
    </row>
    <row r="1438" spans="3:14" x14ac:dyDescent="0.25">
      <c r="C1438" t="s">
        <v>1548</v>
      </c>
      <c r="D1438" t="s">
        <v>1317</v>
      </c>
      <c r="E1438" t="s">
        <v>401</v>
      </c>
      <c r="F1438">
        <v>0</v>
      </c>
      <c r="I1438" t="str">
        <v>US80004C2008</v>
      </c>
      <c r="J1438" t="str">
        <v>Excluded</v>
      </c>
      <c r="K1438">
        <v>0</v>
      </c>
      <c r="L1438" t="str" cm="1">
        <f t="array" ref="L1438">_xlfn.TEXTJOIN(",",TRUE,_xlfn._xlws.FILTER($C$5:$C$1727,($D$5:$D$1727=I1438)*($E$5:$E$1727=J1438)*($F$5:$F$1727=K1438)))</f>
        <v>Global</v>
      </c>
      <c r="M1438" t="b">
        <f t="shared" si="44"/>
        <v>0</v>
      </c>
      <c r="N1438">
        <f t="shared" si="45"/>
        <v>0</v>
      </c>
    </row>
    <row r="1439" spans="3:14" x14ac:dyDescent="0.25">
      <c r="C1439" t="s">
        <v>1548</v>
      </c>
      <c r="D1439" t="s">
        <v>1318</v>
      </c>
      <c r="E1439" t="s">
        <v>400</v>
      </c>
      <c r="F1439">
        <v>0</v>
      </c>
      <c r="I1439" t="str">
        <v>US8085131055</v>
      </c>
      <c r="J1439" t="str">
        <v>Excluded</v>
      </c>
      <c r="K1439">
        <v>0</v>
      </c>
      <c r="L1439" t="str" cm="1">
        <f t="array" ref="L1439">_xlfn.TEXTJOIN(",",TRUE,_xlfn._xlws.FILTER($C$5:$C$1727,($D$5:$D$1727=I1439)*($E$5:$E$1727=J1439)*($F$5:$F$1727=K1439)))</f>
        <v>Global</v>
      </c>
      <c r="M1439" t="b">
        <f t="shared" si="44"/>
        <v>0</v>
      </c>
      <c r="N1439">
        <f t="shared" si="45"/>
        <v>0</v>
      </c>
    </row>
    <row r="1440" spans="3:14" x14ac:dyDescent="0.25">
      <c r="C1440" t="s">
        <v>1548</v>
      </c>
      <c r="D1440" t="s">
        <v>1319</v>
      </c>
      <c r="E1440" t="s">
        <v>403</v>
      </c>
      <c r="F1440">
        <v>0.5</v>
      </c>
      <c r="I1440" t="str">
        <v>US8168511090</v>
      </c>
      <c r="J1440" t="str">
        <v>Excluded</v>
      </c>
      <c r="K1440">
        <v>0</v>
      </c>
      <c r="L1440" t="str" cm="1">
        <f t="array" ref="L1440">_xlfn.TEXTJOIN(",",TRUE,_xlfn._xlws.FILTER($C$5:$C$1727,($D$5:$D$1727=I1440)*($E$5:$E$1727=J1440)*($F$5:$F$1727=K1440)))</f>
        <v>Global</v>
      </c>
      <c r="M1440" t="b">
        <f t="shared" si="44"/>
        <v>0</v>
      </c>
      <c r="N1440">
        <f t="shared" si="45"/>
        <v>0</v>
      </c>
    </row>
    <row r="1441" spans="3:14" x14ac:dyDescent="0.25">
      <c r="C1441" t="s">
        <v>1548</v>
      </c>
      <c r="D1441" t="s">
        <v>1320</v>
      </c>
      <c r="E1441" t="s">
        <v>400</v>
      </c>
      <c r="F1441">
        <v>0</v>
      </c>
      <c r="I1441" t="str">
        <v>US8175651046</v>
      </c>
      <c r="J1441" t="str">
        <v>Excluded</v>
      </c>
      <c r="K1441">
        <v>0</v>
      </c>
      <c r="L1441" t="str" cm="1">
        <f t="array" ref="L1441">_xlfn.TEXTJOIN(",",TRUE,_xlfn._xlws.FILTER($C$5:$C$1727,($D$5:$D$1727=I1441)*($E$5:$E$1727=J1441)*($F$5:$F$1727=K1441)))</f>
        <v>Global</v>
      </c>
      <c r="M1441" t="b">
        <f t="shared" si="44"/>
        <v>0</v>
      </c>
      <c r="N1441">
        <f t="shared" si="45"/>
        <v>0</v>
      </c>
    </row>
    <row r="1442" spans="3:14" x14ac:dyDescent="0.25">
      <c r="C1442" t="s">
        <v>1548</v>
      </c>
      <c r="D1442" t="s">
        <v>1321</v>
      </c>
      <c r="E1442" t="s">
        <v>402</v>
      </c>
      <c r="F1442">
        <v>0.56000000000000005</v>
      </c>
      <c r="I1442" t="str">
        <v>US81762P1021</v>
      </c>
      <c r="J1442" t="str">
        <v>Information technology</v>
      </c>
      <c r="K1442">
        <v>1</v>
      </c>
      <c r="L1442" t="str" cm="1">
        <f t="array" ref="L1442">_xlfn.TEXTJOIN(",",TRUE,_xlfn._xlws.FILTER($C$5:$C$1727,($D$5:$D$1727=I1442)*($E$5:$E$1727=J1442)*($F$5:$F$1727=K1442)))</f>
        <v>Global</v>
      </c>
      <c r="M1442" t="b">
        <f t="shared" si="44"/>
        <v>0</v>
      </c>
      <c r="N1442">
        <f t="shared" si="45"/>
        <v>0</v>
      </c>
    </row>
    <row r="1443" spans="3:14" x14ac:dyDescent="0.25">
      <c r="C1443" t="s">
        <v>1548</v>
      </c>
      <c r="D1443" t="s">
        <v>1322</v>
      </c>
      <c r="E1443" t="s">
        <v>400</v>
      </c>
      <c r="F1443">
        <v>0</v>
      </c>
      <c r="I1443" t="str">
        <v>US8243481061</v>
      </c>
      <c r="J1443" t="str">
        <v>Ecoconstruction</v>
      </c>
      <c r="K1443">
        <v>0.47</v>
      </c>
      <c r="L1443" t="str" cm="1">
        <f t="array" ref="L1443">_xlfn.TEXTJOIN(",",TRUE,_xlfn._xlws.FILTER($C$5:$C$1727,($D$5:$D$1727=I1443)*($E$5:$E$1727=J1443)*($F$5:$F$1727=K1443)))</f>
        <v>Global</v>
      </c>
      <c r="M1443" t="b">
        <f t="shared" si="44"/>
        <v>0</v>
      </c>
      <c r="N1443">
        <f t="shared" si="45"/>
        <v>0</v>
      </c>
    </row>
    <row r="1444" spans="3:14" x14ac:dyDescent="0.25">
      <c r="C1444" t="s">
        <v>1548</v>
      </c>
      <c r="D1444" t="s">
        <v>1323</v>
      </c>
      <c r="E1444" t="s">
        <v>401</v>
      </c>
      <c r="F1444">
        <v>0</v>
      </c>
      <c r="I1444" t="str">
        <v>US82846H4056</v>
      </c>
      <c r="J1444" t="str">
        <v>Not included in a theme</v>
      </c>
      <c r="K1444">
        <v>0</v>
      </c>
      <c r="L1444" t="str" cm="1">
        <f t="array" ref="L1444">_xlfn.TEXTJOIN(",",TRUE,_xlfn._xlws.FILTER($C$5:$C$1727,($D$5:$D$1727=I1444)*($E$5:$E$1727=J1444)*($F$5:$F$1727=K1444)))</f>
        <v>Global</v>
      </c>
      <c r="M1444" t="b">
        <f t="shared" si="44"/>
        <v>0</v>
      </c>
      <c r="N1444">
        <f t="shared" si="45"/>
        <v>0</v>
      </c>
    </row>
    <row r="1445" spans="3:14" x14ac:dyDescent="0.25">
      <c r="C1445" t="s">
        <v>1548</v>
      </c>
      <c r="D1445" t="s">
        <v>1324</v>
      </c>
      <c r="E1445" t="s">
        <v>399</v>
      </c>
      <c r="F1445">
        <v>0.63</v>
      </c>
      <c r="I1445" t="str">
        <v>US8288061091</v>
      </c>
      <c r="J1445" t="str">
        <v>Ecoconstruction</v>
      </c>
      <c r="K1445">
        <v>0.4</v>
      </c>
      <c r="L1445" t="str" cm="1">
        <f t="array" ref="L1445">_xlfn.TEXTJOIN(",",TRUE,_xlfn._xlws.FILTER($C$5:$C$1727,($D$5:$D$1727=I1445)*($E$5:$E$1727=J1445)*($F$5:$F$1727=K1445)))</f>
        <v>Global</v>
      </c>
      <c r="M1445" t="b">
        <f t="shared" si="44"/>
        <v>0</v>
      </c>
      <c r="N1445">
        <f t="shared" si="45"/>
        <v>0</v>
      </c>
    </row>
    <row r="1446" spans="3:14" x14ac:dyDescent="0.25">
      <c r="C1446" t="s">
        <v>1548</v>
      </c>
      <c r="D1446" t="s">
        <v>1325</v>
      </c>
      <c r="E1446" t="s">
        <v>400</v>
      </c>
      <c r="F1446">
        <v>0</v>
      </c>
      <c r="I1446" t="str">
        <v>US8326964058</v>
      </c>
      <c r="J1446" t="str">
        <v>Not included in a theme</v>
      </c>
      <c r="K1446">
        <v>0</v>
      </c>
      <c r="L1446" t="str" cm="1">
        <f t="array" ref="L1446">_xlfn.TEXTJOIN(",",TRUE,_xlfn._xlws.FILTER($C$5:$C$1727,($D$5:$D$1727=I1446)*($E$5:$E$1727=J1446)*($F$5:$F$1727=K1446)))</f>
        <v>Global</v>
      </c>
      <c r="M1446" t="b">
        <f t="shared" si="44"/>
        <v>0</v>
      </c>
      <c r="N1446">
        <f t="shared" si="45"/>
        <v>0</v>
      </c>
    </row>
    <row r="1447" spans="3:14" x14ac:dyDescent="0.25">
      <c r="C1447" t="s">
        <v>1548</v>
      </c>
      <c r="D1447" t="s">
        <v>1326</v>
      </c>
      <c r="E1447" t="s">
        <v>401</v>
      </c>
      <c r="F1447">
        <v>0</v>
      </c>
      <c r="I1447" t="str">
        <v>US8330341012</v>
      </c>
      <c r="J1447" t="str">
        <v>Excluded</v>
      </c>
      <c r="K1447">
        <v>0</v>
      </c>
      <c r="L1447" t="str" cm="1">
        <f t="array" ref="L1447">_xlfn.TEXTJOIN(",",TRUE,_xlfn._xlws.FILTER($C$5:$C$1727,($D$5:$D$1727=I1447)*($E$5:$E$1727=J1447)*($F$5:$F$1727=K1447)))</f>
        <v>Global</v>
      </c>
      <c r="M1447" t="b">
        <f t="shared" si="44"/>
        <v>0</v>
      </c>
      <c r="N1447">
        <f t="shared" si="45"/>
        <v>0</v>
      </c>
    </row>
    <row r="1448" spans="3:14" x14ac:dyDescent="0.25">
      <c r="C1448" t="s">
        <v>1548</v>
      </c>
      <c r="D1448" t="s">
        <v>1327</v>
      </c>
      <c r="E1448" t="s">
        <v>400</v>
      </c>
      <c r="F1448">
        <v>0</v>
      </c>
      <c r="I1448" t="str">
        <v>US8334451098</v>
      </c>
      <c r="J1448" t="str">
        <v>Information technology</v>
      </c>
      <c r="K1448">
        <v>1</v>
      </c>
      <c r="L1448" t="str" cm="1">
        <f t="array" ref="L1448">_xlfn.TEXTJOIN(",",TRUE,_xlfn._xlws.FILTER($C$5:$C$1727,($D$5:$D$1727=I1448)*($E$5:$E$1727=J1448)*($F$5:$F$1727=K1448)))</f>
        <v>Global</v>
      </c>
      <c r="M1448" t="b">
        <f t="shared" si="44"/>
        <v>0</v>
      </c>
      <c r="N1448">
        <f t="shared" si="45"/>
        <v>0</v>
      </c>
    </row>
    <row r="1449" spans="3:14" x14ac:dyDescent="0.25">
      <c r="C1449" t="s">
        <v>1548</v>
      </c>
      <c r="D1449" t="s">
        <v>1328</v>
      </c>
      <c r="E1449" t="s">
        <v>400</v>
      </c>
      <c r="F1449">
        <v>0</v>
      </c>
      <c r="I1449" t="str">
        <v>US83406F1021</v>
      </c>
      <c r="J1449" t="str">
        <v>Excluded</v>
      </c>
      <c r="K1449">
        <v>0</v>
      </c>
      <c r="L1449" t="str" cm="1">
        <f t="array" ref="L1449">_xlfn.TEXTJOIN(",",TRUE,_xlfn._xlws.FILTER($C$5:$C$1727,($D$5:$D$1727=I1449)*($E$5:$E$1727=J1449)*($F$5:$F$1727=K1449)))</f>
        <v>Global</v>
      </c>
      <c r="M1449" t="b">
        <f t="shared" si="44"/>
        <v>0</v>
      </c>
      <c r="N1449">
        <f t="shared" si="45"/>
        <v>0</v>
      </c>
    </row>
    <row r="1450" spans="3:14" x14ac:dyDescent="0.25">
      <c r="C1450" t="s">
        <v>1548</v>
      </c>
      <c r="D1450" t="s">
        <v>1329</v>
      </c>
      <c r="E1450" t="s">
        <v>400</v>
      </c>
      <c r="F1450">
        <v>0</v>
      </c>
      <c r="I1450" t="str">
        <v>US83444M1018</v>
      </c>
      <c r="J1450" t="str">
        <v>Excluded</v>
      </c>
      <c r="K1450">
        <v>0</v>
      </c>
      <c r="L1450" t="str" cm="1">
        <f t="array" ref="L1450">_xlfn.TEXTJOIN(",",TRUE,_xlfn._xlws.FILTER($C$5:$C$1727,($D$5:$D$1727=I1450)*($E$5:$E$1727=J1450)*($F$5:$F$1727=K1450)))</f>
        <v>Global</v>
      </c>
      <c r="M1450" t="b">
        <f t="shared" si="44"/>
        <v>0</v>
      </c>
      <c r="N1450">
        <f t="shared" si="45"/>
        <v>0</v>
      </c>
    </row>
    <row r="1451" spans="3:14" x14ac:dyDescent="0.25">
      <c r="C1451" t="s">
        <v>1548</v>
      </c>
      <c r="D1451" t="s">
        <v>1330</v>
      </c>
      <c r="E1451" t="s">
        <v>403</v>
      </c>
      <c r="F1451">
        <v>0.51</v>
      </c>
      <c r="I1451" t="str">
        <v>US8425871071</v>
      </c>
      <c r="J1451" t="str">
        <v>Excluded</v>
      </c>
      <c r="K1451">
        <v>0</v>
      </c>
      <c r="L1451" t="str" cm="1">
        <f t="array" ref="L1451">_xlfn.TEXTJOIN(",",TRUE,_xlfn._xlws.FILTER($C$5:$C$1727,($D$5:$D$1727=I1451)*($E$5:$E$1727=J1451)*($F$5:$F$1727=K1451)))</f>
        <v>Global</v>
      </c>
      <c r="M1451" t="b">
        <f t="shared" si="44"/>
        <v>0</v>
      </c>
      <c r="N1451">
        <f t="shared" si="45"/>
        <v>0</v>
      </c>
    </row>
    <row r="1452" spans="3:14" x14ac:dyDescent="0.25">
      <c r="C1452" t="s">
        <v>1548</v>
      </c>
      <c r="D1452" t="s">
        <v>1331</v>
      </c>
      <c r="E1452" t="s">
        <v>400</v>
      </c>
      <c r="F1452">
        <v>0</v>
      </c>
      <c r="I1452" t="str">
        <v>US8447411088</v>
      </c>
      <c r="J1452" t="str">
        <v>Excluded</v>
      </c>
      <c r="K1452">
        <v>0</v>
      </c>
      <c r="L1452" t="str" cm="1">
        <f t="array" ref="L1452">_xlfn.TEXTJOIN(",",TRUE,_xlfn._xlws.FILTER($C$5:$C$1727,($D$5:$D$1727=I1452)*($E$5:$E$1727=J1452)*($F$5:$F$1727=K1452)))</f>
        <v>Global</v>
      </c>
      <c r="M1452" t="b">
        <f t="shared" si="44"/>
        <v>0</v>
      </c>
      <c r="N1452">
        <f t="shared" si="45"/>
        <v>0</v>
      </c>
    </row>
    <row r="1453" spans="3:14" x14ac:dyDescent="0.25">
      <c r="C1453" t="s">
        <v>1548</v>
      </c>
      <c r="D1453" t="s">
        <v>1332</v>
      </c>
      <c r="E1453" t="s">
        <v>400</v>
      </c>
      <c r="F1453">
        <v>0</v>
      </c>
      <c r="I1453" t="str">
        <v>US8522341036</v>
      </c>
      <c r="J1453" t="str">
        <v>Excluded</v>
      </c>
      <c r="K1453">
        <v>0</v>
      </c>
      <c r="L1453" t="str" cm="1">
        <f t="array" ref="L1453">_xlfn.TEXTJOIN(",",TRUE,_xlfn._xlws.FILTER($C$5:$C$1727,($D$5:$D$1727=I1453)*($E$5:$E$1727=J1453)*($F$5:$F$1727=K1453)))</f>
        <v>Global</v>
      </c>
      <c r="M1453" t="b">
        <f t="shared" si="44"/>
        <v>0</v>
      </c>
      <c r="N1453">
        <f t="shared" si="45"/>
        <v>0</v>
      </c>
    </row>
    <row r="1454" spans="3:14" x14ac:dyDescent="0.25">
      <c r="C1454" t="s">
        <v>1548</v>
      </c>
      <c r="D1454" t="s">
        <v>1333</v>
      </c>
      <c r="E1454" t="s">
        <v>399</v>
      </c>
      <c r="F1454">
        <v>0.89</v>
      </c>
      <c r="I1454" t="str">
        <v>US8552441094</v>
      </c>
      <c r="J1454" t="str">
        <v>Excluded</v>
      </c>
      <c r="K1454">
        <v>0</v>
      </c>
      <c r="L1454" t="str" cm="1">
        <f t="array" ref="L1454">_xlfn.TEXTJOIN(",",TRUE,_xlfn._xlws.FILTER($C$5:$C$1727,($D$5:$D$1727=I1454)*($E$5:$E$1727=J1454)*($F$5:$F$1727=K1454)))</f>
        <v>Global</v>
      </c>
      <c r="M1454" t="b">
        <f t="shared" si="44"/>
        <v>0</v>
      </c>
      <c r="N1454">
        <f t="shared" si="45"/>
        <v>0</v>
      </c>
    </row>
    <row r="1455" spans="3:14" x14ac:dyDescent="0.25">
      <c r="C1455" t="s">
        <v>1548</v>
      </c>
      <c r="D1455" t="s">
        <v>1334</v>
      </c>
      <c r="E1455" t="s">
        <v>402</v>
      </c>
      <c r="F1455">
        <v>0.88</v>
      </c>
      <c r="I1455" t="str">
        <v>US8574771031</v>
      </c>
      <c r="J1455" t="str">
        <v>Excluded</v>
      </c>
      <c r="K1455">
        <v>0</v>
      </c>
      <c r="L1455" t="str" cm="1">
        <f t="array" ref="L1455">_xlfn.TEXTJOIN(",",TRUE,_xlfn._xlws.FILTER($C$5:$C$1727,($D$5:$D$1727=I1455)*($E$5:$E$1727=J1455)*($F$5:$F$1727=K1455)))</f>
        <v>Global</v>
      </c>
      <c r="M1455" t="b">
        <f t="shared" si="44"/>
        <v>0</v>
      </c>
      <c r="N1455">
        <f t="shared" si="45"/>
        <v>0</v>
      </c>
    </row>
    <row r="1456" spans="3:14" x14ac:dyDescent="0.25">
      <c r="C1456" t="s">
        <v>1548</v>
      </c>
      <c r="D1456" t="s">
        <v>1335</v>
      </c>
      <c r="E1456" t="s">
        <v>400</v>
      </c>
      <c r="F1456">
        <v>0</v>
      </c>
      <c r="I1456" t="str">
        <v>US8581191009</v>
      </c>
      <c r="J1456" t="str">
        <v>Eco-efficient industries</v>
      </c>
      <c r="K1456">
        <v>0.82</v>
      </c>
      <c r="L1456" t="str" cm="1">
        <f t="array" ref="L1456">_xlfn.TEXTJOIN(",",TRUE,_xlfn._xlws.FILTER($C$5:$C$1727,($D$5:$D$1727=I1456)*($E$5:$E$1727=J1456)*($F$5:$F$1727=K1456)))</f>
        <v>Global</v>
      </c>
      <c r="M1456" t="b">
        <f t="shared" si="44"/>
        <v>0</v>
      </c>
      <c r="N1456">
        <f t="shared" si="45"/>
        <v>0</v>
      </c>
    </row>
    <row r="1457" spans="3:14" x14ac:dyDescent="0.25">
      <c r="C1457" t="s">
        <v>1548</v>
      </c>
      <c r="D1457" t="s">
        <v>82</v>
      </c>
      <c r="E1457" t="s">
        <v>401</v>
      </c>
      <c r="F1457">
        <v>0</v>
      </c>
      <c r="I1457" t="str">
        <v>US8606301021</v>
      </c>
      <c r="J1457" t="str">
        <v>Excluded</v>
      </c>
      <c r="K1457">
        <v>0</v>
      </c>
      <c r="L1457" t="str" cm="1">
        <f t="array" ref="L1457">_xlfn.TEXTJOIN(",",TRUE,_xlfn._xlws.FILTER($C$5:$C$1727,($D$5:$D$1727=I1457)*($E$5:$E$1727=J1457)*($F$5:$F$1727=K1457)))</f>
        <v>Global</v>
      </c>
      <c r="M1457" t="b">
        <f t="shared" si="44"/>
        <v>0</v>
      </c>
      <c r="N1457">
        <f t="shared" si="45"/>
        <v>0</v>
      </c>
    </row>
    <row r="1458" spans="3:14" x14ac:dyDescent="0.25">
      <c r="C1458" t="s">
        <v>1548</v>
      </c>
      <c r="D1458" t="s">
        <v>1336</v>
      </c>
      <c r="E1458" t="s">
        <v>400</v>
      </c>
      <c r="F1458">
        <v>0</v>
      </c>
      <c r="I1458" t="str">
        <v>US8636671013</v>
      </c>
      <c r="J1458" t="str">
        <v>Excluded</v>
      </c>
      <c r="K1458">
        <v>0</v>
      </c>
      <c r="L1458" t="str" cm="1">
        <f t="array" ref="L1458">_xlfn.TEXTJOIN(",",TRUE,_xlfn._xlws.FILTER($C$5:$C$1727,($D$5:$D$1727=I1458)*($E$5:$E$1727=J1458)*($F$5:$F$1727=K1458)))</f>
        <v>Global</v>
      </c>
      <c r="M1458" t="b">
        <f t="shared" si="44"/>
        <v>0</v>
      </c>
      <c r="N1458">
        <f t="shared" si="45"/>
        <v>0</v>
      </c>
    </row>
    <row r="1459" spans="3:14" x14ac:dyDescent="0.25">
      <c r="C1459" t="s">
        <v>1548</v>
      </c>
      <c r="D1459" t="s">
        <v>1337</v>
      </c>
      <c r="E1459" t="s">
        <v>400</v>
      </c>
      <c r="F1459">
        <v>0</v>
      </c>
      <c r="I1459" t="str">
        <v>US8666741041</v>
      </c>
      <c r="J1459" t="str">
        <v>Not included in a theme</v>
      </c>
      <c r="K1459">
        <v>0</v>
      </c>
      <c r="L1459" t="str" cm="1">
        <f t="array" ref="L1459">_xlfn.TEXTJOIN(",",TRUE,_xlfn._xlws.FILTER($C$5:$C$1727,($D$5:$D$1727=I1459)*($E$5:$E$1727=J1459)*($F$5:$F$1727=K1459)))</f>
        <v>Global</v>
      </c>
      <c r="M1459" t="b">
        <f t="shared" si="44"/>
        <v>0</v>
      </c>
      <c r="N1459">
        <f t="shared" si="45"/>
        <v>0</v>
      </c>
    </row>
    <row r="1460" spans="3:14" x14ac:dyDescent="0.25">
      <c r="C1460" t="s">
        <v>1548</v>
      </c>
      <c r="D1460" t="s">
        <v>1338</v>
      </c>
      <c r="E1460" t="s">
        <v>400</v>
      </c>
      <c r="F1460">
        <v>0</v>
      </c>
      <c r="I1460" t="str">
        <v>US86800U3023</v>
      </c>
      <c r="J1460" t="str">
        <v>Excluded</v>
      </c>
      <c r="K1460">
        <v>0</v>
      </c>
      <c r="L1460" t="str" cm="1">
        <f t="array" ref="L1460">_xlfn.TEXTJOIN(",",TRUE,_xlfn._xlws.FILTER($C$5:$C$1727,($D$5:$D$1727=I1460)*($E$5:$E$1727=J1460)*($F$5:$F$1727=K1460)))</f>
        <v>Global</v>
      </c>
      <c r="M1460" t="b">
        <f t="shared" si="44"/>
        <v>0</v>
      </c>
      <c r="N1460">
        <f t="shared" si="45"/>
        <v>0</v>
      </c>
    </row>
    <row r="1461" spans="3:14" x14ac:dyDescent="0.25">
      <c r="C1461" t="s">
        <v>1548</v>
      </c>
      <c r="D1461" t="s">
        <v>1339</v>
      </c>
      <c r="E1461" t="s">
        <v>401</v>
      </c>
      <c r="F1461">
        <v>0</v>
      </c>
      <c r="I1461" t="str">
        <v>US8716071076</v>
      </c>
      <c r="J1461" t="str">
        <v>Information technology</v>
      </c>
      <c r="K1461">
        <v>1</v>
      </c>
      <c r="L1461" t="str" cm="1">
        <f t="array" ref="L1461">_xlfn.TEXTJOIN(",",TRUE,_xlfn._xlws.FILTER($C$5:$C$1727,($D$5:$D$1727=I1461)*($E$5:$E$1727=J1461)*($F$5:$F$1727=K1461)))</f>
        <v>Global</v>
      </c>
      <c r="M1461" t="b">
        <f t="shared" si="44"/>
        <v>0</v>
      </c>
      <c r="N1461">
        <f t="shared" si="45"/>
        <v>0</v>
      </c>
    </row>
    <row r="1462" spans="3:14" x14ac:dyDescent="0.25">
      <c r="C1462" t="s">
        <v>1548</v>
      </c>
      <c r="D1462" t="s">
        <v>1340</v>
      </c>
      <c r="E1462" t="s">
        <v>403</v>
      </c>
      <c r="F1462">
        <v>0.6</v>
      </c>
      <c r="I1462" t="str">
        <v>US87162W1009</v>
      </c>
      <c r="J1462" t="str">
        <v>Information technology</v>
      </c>
      <c r="K1462">
        <v>0.59</v>
      </c>
      <c r="L1462" t="str" cm="1">
        <f t="array" ref="L1462">_xlfn.TEXTJOIN(",",TRUE,_xlfn._xlws.FILTER($C$5:$C$1727,($D$5:$D$1727=I1462)*($E$5:$E$1727=J1462)*($F$5:$F$1727=K1462)))</f>
        <v>Global</v>
      </c>
      <c r="M1462" t="b">
        <f t="shared" si="44"/>
        <v>0</v>
      </c>
      <c r="N1462">
        <f t="shared" si="45"/>
        <v>0</v>
      </c>
    </row>
    <row r="1463" spans="3:14" x14ac:dyDescent="0.25">
      <c r="C1463" t="s">
        <v>1548</v>
      </c>
      <c r="D1463" t="s">
        <v>1341</v>
      </c>
      <c r="E1463" t="s">
        <v>400</v>
      </c>
      <c r="F1463">
        <v>0</v>
      </c>
      <c r="I1463" t="str">
        <v>US87165B1035</v>
      </c>
      <c r="J1463" t="str">
        <v>Excluded</v>
      </c>
      <c r="K1463">
        <v>0</v>
      </c>
      <c r="L1463" t="str" cm="1">
        <f t="array" ref="L1463">_xlfn.TEXTJOIN(",",TRUE,_xlfn._xlws.FILTER($C$5:$C$1727,($D$5:$D$1727=I1463)*($E$5:$E$1727=J1463)*($F$5:$F$1727=K1463)))</f>
        <v>Global</v>
      </c>
      <c r="M1463" t="b">
        <f t="shared" si="44"/>
        <v>0</v>
      </c>
      <c r="N1463">
        <f t="shared" si="45"/>
        <v>0</v>
      </c>
    </row>
    <row r="1464" spans="3:14" x14ac:dyDescent="0.25">
      <c r="C1464" t="s">
        <v>1548</v>
      </c>
      <c r="D1464" t="s">
        <v>183</v>
      </c>
      <c r="E1464" t="s">
        <v>402</v>
      </c>
      <c r="F1464">
        <v>0.62</v>
      </c>
      <c r="I1464" t="str">
        <v>US8718291078</v>
      </c>
      <c r="J1464" t="str">
        <v>Excluded</v>
      </c>
      <c r="K1464">
        <v>0</v>
      </c>
      <c r="L1464" t="str" cm="1">
        <f t="array" ref="L1464">_xlfn.TEXTJOIN(",",TRUE,_xlfn._xlws.FILTER($C$5:$C$1727,($D$5:$D$1727=I1464)*($E$5:$E$1727=J1464)*($F$5:$F$1727=K1464)))</f>
        <v>Global</v>
      </c>
      <c r="M1464" t="b">
        <f t="shared" si="44"/>
        <v>0</v>
      </c>
      <c r="N1464">
        <f t="shared" si="45"/>
        <v>0</v>
      </c>
    </row>
    <row r="1465" spans="3:14" x14ac:dyDescent="0.25">
      <c r="C1465" t="s">
        <v>1548</v>
      </c>
      <c r="D1465" t="s">
        <v>1342</v>
      </c>
      <c r="E1465" t="s">
        <v>403</v>
      </c>
      <c r="F1465">
        <v>0.16</v>
      </c>
      <c r="I1465" t="str">
        <v>US8725401090</v>
      </c>
      <c r="J1465" t="str">
        <v>Excluded</v>
      </c>
      <c r="K1465">
        <v>0</v>
      </c>
      <c r="L1465" t="str" cm="1">
        <f t="array" ref="L1465">_xlfn.TEXTJOIN(",",TRUE,_xlfn._xlws.FILTER($C$5:$C$1727,($D$5:$D$1727=I1465)*($E$5:$E$1727=J1465)*($F$5:$F$1727=K1465)))</f>
        <v>Global</v>
      </c>
      <c r="M1465" t="b">
        <f t="shared" si="44"/>
        <v>0</v>
      </c>
      <c r="N1465">
        <f t="shared" si="45"/>
        <v>0</v>
      </c>
    </row>
    <row r="1466" spans="3:14" x14ac:dyDescent="0.25">
      <c r="C1466" t="s">
        <v>1548</v>
      </c>
      <c r="D1466" t="s">
        <v>1343</v>
      </c>
      <c r="E1466" t="s">
        <v>400</v>
      </c>
      <c r="F1466">
        <v>0</v>
      </c>
      <c r="I1466" t="str">
        <v>US87256C1018</v>
      </c>
      <c r="J1466" t="str">
        <v>Excluded</v>
      </c>
      <c r="K1466">
        <v>0</v>
      </c>
      <c r="L1466" t="str" cm="1">
        <f t="array" ref="L1466">_xlfn.TEXTJOIN(",",TRUE,_xlfn._xlws.FILTER($C$5:$C$1727,($D$5:$D$1727=I1466)*($E$5:$E$1727=J1466)*($F$5:$F$1727=K1466)))</f>
        <v>Global</v>
      </c>
      <c r="M1466" t="b">
        <f t="shared" si="44"/>
        <v>0</v>
      </c>
      <c r="N1466">
        <f t="shared" si="45"/>
        <v>0</v>
      </c>
    </row>
    <row r="1467" spans="3:14" x14ac:dyDescent="0.25">
      <c r="C1467" t="s">
        <v>1548</v>
      </c>
      <c r="D1467" t="s">
        <v>1344</v>
      </c>
      <c r="E1467" t="s">
        <v>400</v>
      </c>
      <c r="F1467">
        <v>0</v>
      </c>
      <c r="I1467" t="str">
        <v>US8725901040</v>
      </c>
      <c r="J1467" t="str">
        <v>Not included in a theme</v>
      </c>
      <c r="K1467">
        <v>0</v>
      </c>
      <c r="L1467" t="str" cm="1">
        <f t="array" ref="L1467">_xlfn.TEXTJOIN(",",TRUE,_xlfn._xlws.FILTER($C$5:$C$1727,($D$5:$D$1727=I1467)*($E$5:$E$1727=J1467)*($F$5:$F$1727=K1467)))</f>
        <v>Global</v>
      </c>
      <c r="M1467" t="b">
        <f t="shared" si="44"/>
        <v>0</v>
      </c>
      <c r="N1467">
        <f t="shared" si="45"/>
        <v>0</v>
      </c>
    </row>
    <row r="1468" spans="3:14" x14ac:dyDescent="0.25">
      <c r="C1468" t="s">
        <v>1548</v>
      </c>
      <c r="D1468" t="s">
        <v>1345</v>
      </c>
      <c r="E1468" t="s">
        <v>401</v>
      </c>
      <c r="F1468">
        <v>0</v>
      </c>
      <c r="I1468" t="str">
        <v>US8740541094</v>
      </c>
      <c r="J1468" t="str">
        <v>Excluded</v>
      </c>
      <c r="K1468">
        <v>0</v>
      </c>
      <c r="L1468" t="str" cm="1">
        <f t="array" ref="L1468">_xlfn.TEXTJOIN(",",TRUE,_xlfn._xlws.FILTER($C$5:$C$1727,($D$5:$D$1727=I1468)*($E$5:$E$1727=J1468)*($F$5:$F$1727=K1468)))</f>
        <v>Global</v>
      </c>
      <c r="M1468" t="b">
        <f t="shared" si="44"/>
        <v>0</v>
      </c>
      <c r="N1468">
        <f t="shared" si="45"/>
        <v>0</v>
      </c>
    </row>
    <row r="1469" spans="3:14" x14ac:dyDescent="0.25">
      <c r="C1469" t="s">
        <v>1548</v>
      </c>
      <c r="D1469" t="s">
        <v>1346</v>
      </c>
      <c r="E1469" t="s">
        <v>400</v>
      </c>
      <c r="F1469">
        <v>0</v>
      </c>
      <c r="I1469" t="str">
        <v>US87422Q1094</v>
      </c>
      <c r="J1469" t="str">
        <v>Excluded</v>
      </c>
      <c r="K1469">
        <v>0</v>
      </c>
      <c r="L1469" t="str" cm="1">
        <f t="array" ref="L1469">_xlfn.TEXTJOIN(",",TRUE,_xlfn._xlws.FILTER($C$5:$C$1727,($D$5:$D$1727=I1469)*($E$5:$E$1727=J1469)*($F$5:$F$1727=K1469)))</f>
        <v>Global</v>
      </c>
      <c r="M1469" t="b">
        <f t="shared" si="44"/>
        <v>0</v>
      </c>
      <c r="N1469">
        <f t="shared" si="45"/>
        <v>0</v>
      </c>
    </row>
    <row r="1470" spans="3:14" x14ac:dyDescent="0.25">
      <c r="C1470" t="s">
        <v>1548</v>
      </c>
      <c r="D1470" t="s">
        <v>1347</v>
      </c>
      <c r="E1470" t="s">
        <v>400</v>
      </c>
      <c r="F1470">
        <v>0</v>
      </c>
      <c r="I1470" t="str">
        <v>US8760301072</v>
      </c>
      <c r="J1470" t="str">
        <v>Excluded</v>
      </c>
      <c r="K1470">
        <v>0</v>
      </c>
      <c r="L1470" t="str" cm="1">
        <f t="array" ref="L1470">_xlfn.TEXTJOIN(",",TRUE,_xlfn._xlws.FILTER($C$5:$C$1727,($D$5:$D$1727=I1470)*($E$5:$E$1727=J1470)*($F$5:$F$1727=K1470)))</f>
        <v>Global</v>
      </c>
      <c r="M1470" t="b">
        <f t="shared" si="44"/>
        <v>0</v>
      </c>
      <c r="N1470">
        <f t="shared" si="45"/>
        <v>0</v>
      </c>
    </row>
    <row r="1471" spans="3:14" x14ac:dyDescent="0.25">
      <c r="C1471" t="s">
        <v>1548</v>
      </c>
      <c r="D1471" t="s">
        <v>1348</v>
      </c>
      <c r="E1471" t="s">
        <v>403</v>
      </c>
      <c r="F1471">
        <v>0.62</v>
      </c>
      <c r="I1471" t="str">
        <v>US87612E1064</v>
      </c>
      <c r="J1471" t="str">
        <v>Excluded</v>
      </c>
      <c r="K1471">
        <v>0</v>
      </c>
      <c r="L1471" t="str" cm="1">
        <f t="array" ref="L1471">_xlfn.TEXTJOIN(",",TRUE,_xlfn._xlws.FILTER($C$5:$C$1727,($D$5:$D$1727=I1471)*($E$5:$E$1727=J1471)*($F$5:$F$1727=K1471)))</f>
        <v>Global</v>
      </c>
      <c r="M1471" t="b">
        <f t="shared" si="44"/>
        <v>0</v>
      </c>
      <c r="N1471">
        <f t="shared" si="45"/>
        <v>0</v>
      </c>
    </row>
    <row r="1472" spans="3:14" x14ac:dyDescent="0.25">
      <c r="C1472" t="s">
        <v>1548</v>
      </c>
      <c r="D1472" t="s">
        <v>1349</v>
      </c>
      <c r="E1472" t="s">
        <v>403</v>
      </c>
      <c r="F1472">
        <v>0.87</v>
      </c>
      <c r="I1472" t="str">
        <v>US87612G1013</v>
      </c>
      <c r="J1472" t="str">
        <v>Excluded</v>
      </c>
      <c r="K1472">
        <v>0</v>
      </c>
      <c r="L1472" t="str" cm="1">
        <f t="array" ref="L1472">_xlfn.TEXTJOIN(",",TRUE,_xlfn._xlws.FILTER($C$5:$C$1727,($D$5:$D$1727=I1472)*($E$5:$E$1727=J1472)*($F$5:$F$1727=K1472)))</f>
        <v>Global</v>
      </c>
      <c r="M1472" t="b">
        <f t="shared" si="44"/>
        <v>0</v>
      </c>
      <c r="N1472">
        <f t="shared" si="45"/>
        <v>0</v>
      </c>
    </row>
    <row r="1473" spans="3:14" x14ac:dyDescent="0.25">
      <c r="C1473" t="s">
        <v>1548</v>
      </c>
      <c r="D1473" t="s">
        <v>1350</v>
      </c>
      <c r="E1473" t="s">
        <v>400</v>
      </c>
      <c r="F1473">
        <v>0</v>
      </c>
      <c r="I1473" t="str">
        <v>US8793601050</v>
      </c>
      <c r="J1473" t="str">
        <v>Information technology</v>
      </c>
      <c r="K1473">
        <v>0.62</v>
      </c>
      <c r="L1473" t="str" cm="1">
        <f t="array" ref="L1473">_xlfn.TEXTJOIN(",",TRUE,_xlfn._xlws.FILTER($C$5:$C$1727,($D$5:$D$1727=I1473)*($E$5:$E$1727=J1473)*($F$5:$F$1727=K1473)))</f>
        <v>Global</v>
      </c>
      <c r="M1473" t="b">
        <f t="shared" si="44"/>
        <v>0</v>
      </c>
      <c r="N1473">
        <f t="shared" si="45"/>
        <v>0</v>
      </c>
    </row>
    <row r="1474" spans="3:14" x14ac:dyDescent="0.25">
      <c r="C1474" t="s">
        <v>1548</v>
      </c>
      <c r="D1474" t="s">
        <v>1351</v>
      </c>
      <c r="E1474" t="s">
        <v>404</v>
      </c>
      <c r="F1474">
        <v>0.82</v>
      </c>
      <c r="I1474" t="str">
        <v>US88023U1016</v>
      </c>
      <c r="J1474" t="str">
        <v>Excluded</v>
      </c>
      <c r="K1474">
        <v>0</v>
      </c>
      <c r="L1474" t="str" cm="1">
        <f t="array" ref="L1474">_xlfn.TEXTJOIN(",",TRUE,_xlfn._xlws.FILTER($C$5:$C$1727,($D$5:$D$1727=I1474)*($E$5:$E$1727=J1474)*($F$5:$F$1727=K1474)))</f>
        <v>Global</v>
      </c>
      <c r="M1474" t="b">
        <f t="shared" si="44"/>
        <v>0</v>
      </c>
      <c r="N1474">
        <f t="shared" si="45"/>
        <v>0</v>
      </c>
    </row>
    <row r="1475" spans="3:14" x14ac:dyDescent="0.25">
      <c r="C1475" t="s">
        <v>1548</v>
      </c>
      <c r="D1475" t="s">
        <v>1352</v>
      </c>
      <c r="E1475" t="s">
        <v>401</v>
      </c>
      <c r="F1475">
        <v>0</v>
      </c>
      <c r="I1475" t="str">
        <v>US88033G4073</v>
      </c>
      <c r="J1475" t="str">
        <v>Not included in a theme</v>
      </c>
      <c r="K1475">
        <v>0</v>
      </c>
      <c r="L1475" t="str" cm="1">
        <f t="array" ref="L1475">_xlfn.TEXTJOIN(",",TRUE,_xlfn._xlws.FILTER($C$5:$C$1727,($D$5:$D$1727=I1475)*($E$5:$E$1727=J1475)*($F$5:$F$1727=K1475)))</f>
        <v>Global</v>
      </c>
      <c r="M1475" t="b">
        <f t="shared" si="44"/>
        <v>0</v>
      </c>
      <c r="N1475">
        <f t="shared" si="45"/>
        <v>0</v>
      </c>
    </row>
    <row r="1476" spans="3:14" x14ac:dyDescent="0.25">
      <c r="C1476" t="s">
        <v>1548</v>
      </c>
      <c r="D1476" t="s">
        <v>1353</v>
      </c>
      <c r="E1476" t="s">
        <v>401</v>
      </c>
      <c r="F1476">
        <v>0</v>
      </c>
      <c r="I1476" t="str">
        <v>US8807701029</v>
      </c>
      <c r="J1476" t="str">
        <v>Information technology</v>
      </c>
      <c r="K1476">
        <v>1</v>
      </c>
      <c r="L1476" t="str" cm="1">
        <f t="array" ref="L1476">_xlfn.TEXTJOIN(",",TRUE,_xlfn._xlws.FILTER($C$5:$C$1727,($D$5:$D$1727=I1476)*($E$5:$E$1727=J1476)*($F$5:$F$1727=K1476)))</f>
        <v>Global</v>
      </c>
      <c r="M1476" t="b">
        <f t="shared" si="44"/>
        <v>0</v>
      </c>
      <c r="N1476">
        <f t="shared" si="45"/>
        <v>0</v>
      </c>
    </row>
    <row r="1477" spans="3:14" x14ac:dyDescent="0.25">
      <c r="C1477" t="s">
        <v>1548</v>
      </c>
      <c r="D1477" t="s">
        <v>1354</v>
      </c>
      <c r="E1477" t="s">
        <v>400</v>
      </c>
      <c r="F1477">
        <v>0</v>
      </c>
      <c r="I1477" t="str">
        <v>US88160R1014</v>
      </c>
      <c r="J1477" t="str">
        <v>Excluded</v>
      </c>
      <c r="K1477">
        <v>0</v>
      </c>
      <c r="L1477" t="str" cm="1">
        <f t="array" ref="L1477">_xlfn.TEXTJOIN(",",TRUE,_xlfn._xlws.FILTER($C$5:$C$1727,($D$5:$D$1727=I1477)*($E$5:$E$1727=J1477)*($F$5:$F$1727=K1477)))</f>
        <v>Global</v>
      </c>
      <c r="M1477" t="b">
        <f t="shared" si="44"/>
        <v>0</v>
      </c>
      <c r="N1477">
        <f t="shared" si="45"/>
        <v>0</v>
      </c>
    </row>
    <row r="1478" spans="3:14" x14ac:dyDescent="0.25">
      <c r="C1478" t="s">
        <v>1548</v>
      </c>
      <c r="D1478" t="s">
        <v>1355</v>
      </c>
      <c r="E1478" t="s">
        <v>400</v>
      </c>
      <c r="F1478">
        <v>0</v>
      </c>
      <c r="I1478" t="str">
        <v>US8825081040</v>
      </c>
      <c r="J1478" t="str">
        <v>Information technology</v>
      </c>
      <c r="K1478">
        <v>0.74</v>
      </c>
      <c r="L1478" t="str" cm="1">
        <f t="array" ref="L1478">_xlfn.TEXTJOIN(",",TRUE,_xlfn._xlws.FILTER($C$5:$C$1727,($D$5:$D$1727=I1478)*($E$5:$E$1727=J1478)*($F$5:$F$1727=K1478)))</f>
        <v>Global</v>
      </c>
      <c r="M1478" t="b">
        <f t="shared" ref="M1478:M1541" si="46">COUNTIFS($I$5:$I$1556,I1478)&gt;1</f>
        <v>0</v>
      </c>
      <c r="N1478">
        <f t="shared" ref="N1478:N1541" si="47">COUNTIFS($U$5:$U$231,I1478)</f>
        <v>0</v>
      </c>
    </row>
    <row r="1479" spans="3:14" x14ac:dyDescent="0.25">
      <c r="C1479" t="s">
        <v>1548</v>
      </c>
      <c r="D1479" t="s">
        <v>166</v>
      </c>
      <c r="E1479" t="s">
        <v>401</v>
      </c>
      <c r="F1479">
        <v>0</v>
      </c>
      <c r="I1479" t="str">
        <v>US88262P1021</v>
      </c>
      <c r="J1479" t="str">
        <v>Excluded</v>
      </c>
      <c r="K1479">
        <v>0</v>
      </c>
      <c r="L1479" t="str" cm="1">
        <f t="array" ref="L1479">_xlfn.TEXTJOIN(",",TRUE,_xlfn._xlws.FILTER($C$5:$C$1727,($D$5:$D$1727=I1479)*($E$5:$E$1727=J1479)*($F$5:$F$1727=K1479)))</f>
        <v>Global</v>
      </c>
      <c r="M1479" t="b">
        <f t="shared" si="46"/>
        <v>0</v>
      </c>
      <c r="N1479">
        <f t="shared" si="47"/>
        <v>0</v>
      </c>
    </row>
    <row r="1480" spans="3:14" x14ac:dyDescent="0.25">
      <c r="C1480" t="s">
        <v>1548</v>
      </c>
      <c r="D1480" t="s">
        <v>1356</v>
      </c>
      <c r="E1480" t="s">
        <v>408</v>
      </c>
      <c r="F1480">
        <v>1</v>
      </c>
      <c r="I1480" t="str">
        <v>US8826811098</v>
      </c>
      <c r="J1480" t="str">
        <v>Excluded</v>
      </c>
      <c r="K1480">
        <v>0</v>
      </c>
      <c r="L1480" t="str" cm="1">
        <f t="array" ref="L1480">_xlfn.TEXTJOIN(",",TRUE,_xlfn._xlws.FILTER($C$5:$C$1727,($D$5:$D$1727=I1480)*($E$5:$E$1727=J1480)*($F$5:$F$1727=K1480)))</f>
        <v>Global</v>
      </c>
      <c r="M1480" t="b">
        <f t="shared" si="46"/>
        <v>0</v>
      </c>
      <c r="N1480">
        <f t="shared" si="47"/>
        <v>0</v>
      </c>
    </row>
    <row r="1481" spans="3:14" x14ac:dyDescent="0.25">
      <c r="C1481" t="s">
        <v>1548</v>
      </c>
      <c r="D1481" t="s">
        <v>155</v>
      </c>
      <c r="E1481" t="s">
        <v>404</v>
      </c>
      <c r="F1481">
        <v>0.38</v>
      </c>
      <c r="I1481" t="str">
        <v>US8832031012</v>
      </c>
      <c r="J1481" t="str">
        <v>Excluded</v>
      </c>
      <c r="K1481">
        <v>0</v>
      </c>
      <c r="L1481" t="str" cm="1">
        <f t="array" ref="L1481">_xlfn.TEXTJOIN(",",TRUE,_xlfn._xlws.FILTER($C$5:$C$1727,($D$5:$D$1727=I1481)*($E$5:$E$1727=J1481)*($F$5:$F$1727=K1481)))</f>
        <v>Global</v>
      </c>
      <c r="M1481" t="b">
        <f t="shared" si="46"/>
        <v>0</v>
      </c>
      <c r="N1481">
        <f t="shared" si="47"/>
        <v>0</v>
      </c>
    </row>
    <row r="1482" spans="3:14" x14ac:dyDescent="0.25">
      <c r="C1482" t="s">
        <v>1548</v>
      </c>
      <c r="D1482" t="s">
        <v>1357</v>
      </c>
      <c r="E1482" t="s">
        <v>400</v>
      </c>
      <c r="F1482">
        <v>0</v>
      </c>
      <c r="I1482" t="str">
        <v>US88339J1051</v>
      </c>
      <c r="J1482" t="str">
        <v>Excluded</v>
      </c>
      <c r="K1482">
        <v>0</v>
      </c>
      <c r="L1482" t="str" cm="1">
        <f t="array" ref="L1482">_xlfn.TEXTJOIN(",",TRUE,_xlfn._xlws.FILTER($C$5:$C$1727,($D$5:$D$1727=I1482)*($E$5:$E$1727=J1482)*($F$5:$F$1727=K1482)))</f>
        <v>Global</v>
      </c>
      <c r="M1482" t="b">
        <f t="shared" si="46"/>
        <v>0</v>
      </c>
      <c r="N1482">
        <f t="shared" si="47"/>
        <v>0</v>
      </c>
    </row>
    <row r="1483" spans="3:14" x14ac:dyDescent="0.25">
      <c r="C1483" t="s">
        <v>1548</v>
      </c>
      <c r="D1483" t="s">
        <v>1358</v>
      </c>
      <c r="E1483" t="s">
        <v>403</v>
      </c>
      <c r="F1483">
        <v>0.19</v>
      </c>
      <c r="I1483" t="str">
        <v>US8835561023</v>
      </c>
      <c r="J1483" t="str">
        <v>Excluded</v>
      </c>
      <c r="K1483">
        <v>0</v>
      </c>
      <c r="L1483" t="str" cm="1">
        <f t="array" ref="L1483">_xlfn.TEXTJOIN(",",TRUE,_xlfn._xlws.FILTER($C$5:$C$1727,($D$5:$D$1727=I1483)*($E$5:$E$1727=J1483)*($F$5:$F$1727=K1483)))</f>
        <v>Global</v>
      </c>
      <c r="M1483" t="b">
        <f t="shared" si="46"/>
        <v>0</v>
      </c>
      <c r="N1483">
        <f t="shared" si="47"/>
        <v>0</v>
      </c>
    </row>
    <row r="1484" spans="3:14" x14ac:dyDescent="0.25">
      <c r="C1484" t="s">
        <v>1548</v>
      </c>
      <c r="D1484" t="s">
        <v>1359</v>
      </c>
      <c r="E1484" t="s">
        <v>403</v>
      </c>
      <c r="F1484">
        <v>0.57999999999999996</v>
      </c>
      <c r="I1484" t="str">
        <v>US88579Y1010</v>
      </c>
      <c r="J1484" t="str">
        <v>Circular economy</v>
      </c>
      <c r="K1484">
        <v>1</v>
      </c>
      <c r="L1484" t="str" cm="1">
        <f t="array" ref="L1484">_xlfn.TEXTJOIN(",",TRUE,_xlfn._xlws.FILTER($C$5:$C$1727,($D$5:$D$1727=I1484)*($E$5:$E$1727=J1484)*($F$5:$F$1727=K1484)))</f>
        <v>Global</v>
      </c>
      <c r="M1484" t="b">
        <f t="shared" si="46"/>
        <v>0</v>
      </c>
      <c r="N1484">
        <f t="shared" si="47"/>
        <v>0</v>
      </c>
    </row>
    <row r="1485" spans="3:14" x14ac:dyDescent="0.25">
      <c r="C1485" t="s">
        <v>1548</v>
      </c>
      <c r="D1485" t="s">
        <v>1360</v>
      </c>
      <c r="E1485" t="s">
        <v>400</v>
      </c>
      <c r="F1485">
        <v>0</v>
      </c>
      <c r="I1485" t="str">
        <v>US8887871080</v>
      </c>
      <c r="J1485" t="str">
        <v>Excluded</v>
      </c>
      <c r="K1485">
        <v>0</v>
      </c>
      <c r="L1485" t="str" cm="1">
        <f t="array" ref="L1485">_xlfn.TEXTJOIN(",",TRUE,_xlfn._xlws.FILTER($C$5:$C$1727,($D$5:$D$1727=I1485)*($E$5:$E$1727=J1485)*($F$5:$F$1727=K1485)))</f>
        <v>Global</v>
      </c>
      <c r="M1485" t="b">
        <f t="shared" si="46"/>
        <v>0</v>
      </c>
      <c r="N1485">
        <f t="shared" si="47"/>
        <v>0</v>
      </c>
    </row>
    <row r="1486" spans="3:14" x14ac:dyDescent="0.25">
      <c r="C1486" t="s">
        <v>1548</v>
      </c>
      <c r="D1486" t="s">
        <v>1361</v>
      </c>
      <c r="E1486" t="s">
        <v>400</v>
      </c>
      <c r="F1486">
        <v>0</v>
      </c>
      <c r="I1486" t="str">
        <v>US8894781033</v>
      </c>
      <c r="J1486" t="str">
        <v>Not included in a theme</v>
      </c>
      <c r="K1486">
        <v>0</v>
      </c>
      <c r="L1486" t="str" cm="1">
        <f t="array" ref="L1486">_xlfn.TEXTJOIN(",",TRUE,_xlfn._xlws.FILTER($C$5:$C$1727,($D$5:$D$1727=I1486)*($E$5:$E$1727=J1486)*($F$5:$F$1727=K1486)))</f>
        <v>Global</v>
      </c>
      <c r="M1486" t="b">
        <f t="shared" si="46"/>
        <v>0</v>
      </c>
      <c r="N1486">
        <f t="shared" si="47"/>
        <v>0</v>
      </c>
    </row>
    <row r="1487" spans="3:14" x14ac:dyDescent="0.25">
      <c r="C1487" t="s">
        <v>1548</v>
      </c>
      <c r="D1487" t="s">
        <v>1362</v>
      </c>
      <c r="E1487" t="s">
        <v>401</v>
      </c>
      <c r="F1487">
        <v>0</v>
      </c>
      <c r="I1487" t="str">
        <v>US89055F1030</v>
      </c>
      <c r="J1487" t="str">
        <v>Ecoconstruction</v>
      </c>
      <c r="K1487">
        <v>1</v>
      </c>
      <c r="L1487" t="str" cm="1">
        <f t="array" ref="L1487">_xlfn.TEXTJOIN(",",TRUE,_xlfn._xlws.FILTER($C$5:$C$1727,($D$5:$D$1727=I1487)*($E$5:$E$1727=J1487)*($F$5:$F$1727=K1487)))</f>
        <v>Global</v>
      </c>
      <c r="M1487" t="b">
        <f t="shared" si="46"/>
        <v>0</v>
      </c>
      <c r="N1487">
        <f t="shared" si="47"/>
        <v>0</v>
      </c>
    </row>
    <row r="1488" spans="3:14" x14ac:dyDescent="0.25">
      <c r="C1488" t="s">
        <v>1548</v>
      </c>
      <c r="D1488" t="s">
        <v>1363</v>
      </c>
      <c r="E1488" t="s">
        <v>401</v>
      </c>
      <c r="F1488">
        <v>0</v>
      </c>
      <c r="I1488" t="str">
        <v>US8923561067</v>
      </c>
      <c r="J1488" t="str">
        <v>Excluded</v>
      </c>
      <c r="K1488">
        <v>0</v>
      </c>
      <c r="L1488" t="str" cm="1">
        <f t="array" ref="L1488">_xlfn.TEXTJOIN(",",TRUE,_xlfn._xlws.FILTER($C$5:$C$1727,($D$5:$D$1727=I1488)*($E$5:$E$1727=J1488)*($F$5:$F$1727=K1488)))</f>
        <v>Global</v>
      </c>
      <c r="M1488" t="b">
        <f t="shared" si="46"/>
        <v>0</v>
      </c>
      <c r="N1488">
        <f t="shared" si="47"/>
        <v>0</v>
      </c>
    </row>
    <row r="1489" spans="3:14" x14ac:dyDescent="0.25">
      <c r="C1489" t="s">
        <v>1548</v>
      </c>
      <c r="D1489" t="s">
        <v>1364</v>
      </c>
      <c r="E1489" t="s">
        <v>400</v>
      </c>
      <c r="F1489">
        <v>0</v>
      </c>
      <c r="I1489" t="str">
        <v>US8926721064</v>
      </c>
      <c r="J1489" t="str">
        <v>Excluded</v>
      </c>
      <c r="K1489">
        <v>0</v>
      </c>
      <c r="L1489" t="str" cm="1">
        <f t="array" ref="L1489">_xlfn.TEXTJOIN(",",TRUE,_xlfn._xlws.FILTER($C$5:$C$1727,($D$5:$D$1727=I1489)*($E$5:$E$1727=J1489)*($F$5:$F$1727=K1489)))</f>
        <v>Global</v>
      </c>
      <c r="M1489" t="b">
        <f t="shared" si="46"/>
        <v>0</v>
      </c>
      <c r="N1489">
        <f t="shared" si="47"/>
        <v>0</v>
      </c>
    </row>
    <row r="1490" spans="3:14" x14ac:dyDescent="0.25">
      <c r="C1490" t="s">
        <v>1548</v>
      </c>
      <c r="D1490" t="s">
        <v>187</v>
      </c>
      <c r="E1490" t="s">
        <v>400</v>
      </c>
      <c r="F1490">
        <v>0</v>
      </c>
      <c r="I1490" t="str">
        <v>US8936411003</v>
      </c>
      <c r="J1490" t="str">
        <v>Excluded</v>
      </c>
      <c r="K1490">
        <v>0</v>
      </c>
      <c r="L1490" t="str" cm="1">
        <f t="array" ref="L1490">_xlfn.TEXTJOIN(",",TRUE,_xlfn._xlws.FILTER($C$5:$C$1727,($D$5:$D$1727=I1490)*($E$5:$E$1727=J1490)*($F$5:$F$1727=K1490)))</f>
        <v>Global</v>
      </c>
      <c r="M1490" t="b">
        <f t="shared" si="46"/>
        <v>0</v>
      </c>
      <c r="N1490">
        <f t="shared" si="47"/>
        <v>0</v>
      </c>
    </row>
    <row r="1491" spans="3:14" x14ac:dyDescent="0.25">
      <c r="C1491" t="s">
        <v>1548</v>
      </c>
      <c r="D1491" t="s">
        <v>1365</v>
      </c>
      <c r="E1491" t="s">
        <v>400</v>
      </c>
      <c r="F1491">
        <v>0</v>
      </c>
      <c r="I1491" t="str">
        <v>US89400J1079</v>
      </c>
      <c r="J1491" t="str">
        <v>Excluded</v>
      </c>
      <c r="K1491">
        <v>0</v>
      </c>
      <c r="L1491" t="str" cm="1">
        <f t="array" ref="L1491">_xlfn.TEXTJOIN(",",TRUE,_xlfn._xlws.FILTER($C$5:$C$1727,($D$5:$D$1727=I1491)*($E$5:$E$1727=J1491)*($F$5:$F$1727=K1491)))</f>
        <v>Global</v>
      </c>
      <c r="M1491" t="b">
        <f t="shared" si="46"/>
        <v>0</v>
      </c>
      <c r="N1491">
        <f t="shared" si="47"/>
        <v>0</v>
      </c>
    </row>
    <row r="1492" spans="3:14" x14ac:dyDescent="0.25">
      <c r="C1492" t="s">
        <v>1548</v>
      </c>
      <c r="D1492" t="s">
        <v>1366</v>
      </c>
      <c r="E1492" t="s">
        <v>401</v>
      </c>
      <c r="F1492">
        <v>0</v>
      </c>
      <c r="I1492" t="str">
        <v>US89417E1091</v>
      </c>
      <c r="J1492" t="str">
        <v>Not included in a theme</v>
      </c>
      <c r="K1492">
        <v>0</v>
      </c>
      <c r="L1492" t="str" cm="1">
        <f t="array" ref="L1492">_xlfn.TEXTJOIN(",",TRUE,_xlfn._xlws.FILTER($C$5:$C$1727,($D$5:$D$1727=I1492)*($E$5:$E$1727=J1492)*($F$5:$F$1727=K1492)))</f>
        <v>Global</v>
      </c>
      <c r="M1492" t="b">
        <f t="shared" si="46"/>
        <v>0</v>
      </c>
      <c r="N1492">
        <f t="shared" si="47"/>
        <v>0</v>
      </c>
    </row>
    <row r="1493" spans="3:14" x14ac:dyDescent="0.25">
      <c r="C1493" t="s">
        <v>1548</v>
      </c>
      <c r="D1493" t="s">
        <v>1367</v>
      </c>
      <c r="E1493" t="s">
        <v>400</v>
      </c>
      <c r="F1493">
        <v>0</v>
      </c>
      <c r="I1493" t="str">
        <v>US8962391004</v>
      </c>
      <c r="J1493" t="str">
        <v>Excluded</v>
      </c>
      <c r="K1493">
        <v>0</v>
      </c>
      <c r="L1493" t="str" cm="1">
        <f t="array" ref="L1493">_xlfn.TEXTJOIN(",",TRUE,_xlfn._xlws.FILTER($C$5:$C$1727,($D$5:$D$1727=I1493)*($E$5:$E$1727=J1493)*($F$5:$F$1727=K1493)))</f>
        <v>Global</v>
      </c>
      <c r="M1493" t="b">
        <f t="shared" si="46"/>
        <v>0</v>
      </c>
      <c r="N1493">
        <f t="shared" si="47"/>
        <v>0</v>
      </c>
    </row>
    <row r="1494" spans="3:14" x14ac:dyDescent="0.25">
      <c r="C1494" t="s">
        <v>1548</v>
      </c>
      <c r="D1494" t="s">
        <v>1368</v>
      </c>
      <c r="E1494" t="s">
        <v>401</v>
      </c>
      <c r="F1494">
        <v>0</v>
      </c>
      <c r="I1494" t="str">
        <v>US89832Q1094</v>
      </c>
      <c r="J1494" t="str">
        <v>Excluded</v>
      </c>
      <c r="K1494">
        <v>0</v>
      </c>
      <c r="L1494" t="str" cm="1">
        <f t="array" ref="L1494">_xlfn.TEXTJOIN(",",TRUE,_xlfn._xlws.FILTER($C$5:$C$1727,($D$5:$D$1727=I1494)*($E$5:$E$1727=J1494)*($F$5:$F$1727=K1494)))</f>
        <v>Global</v>
      </c>
      <c r="M1494" t="b">
        <f t="shared" si="46"/>
        <v>0</v>
      </c>
      <c r="N1494">
        <f t="shared" si="47"/>
        <v>0</v>
      </c>
    </row>
    <row r="1495" spans="3:14" x14ac:dyDescent="0.25">
      <c r="C1495" t="s">
        <v>1548</v>
      </c>
      <c r="D1495" t="s">
        <v>1369</v>
      </c>
      <c r="E1495" t="s">
        <v>400</v>
      </c>
      <c r="F1495">
        <v>0</v>
      </c>
      <c r="I1495" t="str">
        <v>US90138F1021</v>
      </c>
      <c r="J1495" t="str">
        <v>Information technology</v>
      </c>
      <c r="K1495">
        <v>1</v>
      </c>
      <c r="L1495" t="str" cm="1">
        <f t="array" ref="L1495">_xlfn.TEXTJOIN(",",TRUE,_xlfn._xlws.FILTER($C$5:$C$1727,($D$5:$D$1727=I1495)*($E$5:$E$1727=J1495)*($F$5:$F$1727=K1495)))</f>
        <v>Global</v>
      </c>
      <c r="M1495" t="b">
        <f t="shared" si="46"/>
        <v>0</v>
      </c>
      <c r="N1495">
        <f t="shared" si="47"/>
        <v>0</v>
      </c>
    </row>
    <row r="1496" spans="3:14" x14ac:dyDescent="0.25">
      <c r="C1496" t="s">
        <v>1548</v>
      </c>
      <c r="D1496" t="s">
        <v>182</v>
      </c>
      <c r="E1496" t="s">
        <v>399</v>
      </c>
      <c r="F1496">
        <v>0.89</v>
      </c>
      <c r="I1496" t="str">
        <v>US9022521051</v>
      </c>
      <c r="J1496" t="str">
        <v>Not included in a theme</v>
      </c>
      <c r="K1496">
        <v>0</v>
      </c>
      <c r="L1496" t="str" cm="1">
        <f t="array" ref="L1496">_xlfn.TEXTJOIN(",",TRUE,_xlfn._xlws.FILTER($C$5:$C$1727,($D$5:$D$1727=I1496)*($E$5:$E$1727=J1496)*($F$5:$F$1727=K1496)))</f>
        <v>Global</v>
      </c>
      <c r="M1496" t="b">
        <f t="shared" si="46"/>
        <v>0</v>
      </c>
      <c r="N1496">
        <f t="shared" si="47"/>
        <v>0</v>
      </c>
    </row>
    <row r="1497" spans="3:14" x14ac:dyDescent="0.25">
      <c r="C1497" t="s">
        <v>1548</v>
      </c>
      <c r="D1497" t="s">
        <v>1370</v>
      </c>
      <c r="E1497" t="s">
        <v>401</v>
      </c>
      <c r="F1497">
        <v>0</v>
      </c>
      <c r="I1497" t="str">
        <v>US9024941034</v>
      </c>
      <c r="J1497" t="str">
        <v>Excluded</v>
      </c>
      <c r="K1497">
        <v>0</v>
      </c>
      <c r="L1497" t="str" cm="1">
        <f t="array" ref="L1497">_xlfn.TEXTJOIN(",",TRUE,_xlfn._xlws.FILTER($C$5:$C$1727,($D$5:$D$1727=I1497)*($E$5:$E$1727=J1497)*($F$5:$F$1727=K1497)))</f>
        <v>Global</v>
      </c>
      <c r="M1497" t="b">
        <f t="shared" si="46"/>
        <v>0</v>
      </c>
      <c r="N1497">
        <f t="shared" si="47"/>
        <v>0</v>
      </c>
    </row>
    <row r="1498" spans="3:14" x14ac:dyDescent="0.25">
      <c r="C1498" t="s">
        <v>1548</v>
      </c>
      <c r="D1498" t="s">
        <v>1371</v>
      </c>
      <c r="E1498" t="s">
        <v>401</v>
      </c>
      <c r="F1498">
        <v>0</v>
      </c>
      <c r="I1498" t="str">
        <v>US9026531049</v>
      </c>
      <c r="J1498" t="str">
        <v>Ecoconstruction</v>
      </c>
      <c r="K1498">
        <v>0.19</v>
      </c>
      <c r="L1498" t="str" cm="1">
        <f t="array" ref="L1498">_xlfn.TEXTJOIN(",",TRUE,_xlfn._xlws.FILTER($C$5:$C$1727,($D$5:$D$1727=I1498)*($E$5:$E$1727=J1498)*($F$5:$F$1727=K1498)))</f>
        <v>Global</v>
      </c>
      <c r="M1498" t="b">
        <f t="shared" si="46"/>
        <v>0</v>
      </c>
      <c r="N1498">
        <f t="shared" si="47"/>
        <v>0</v>
      </c>
    </row>
    <row r="1499" spans="3:14" x14ac:dyDescent="0.25">
      <c r="C1499" t="s">
        <v>1548</v>
      </c>
      <c r="D1499" t="s">
        <v>1372</v>
      </c>
      <c r="E1499" t="s">
        <v>400</v>
      </c>
      <c r="F1499">
        <v>0</v>
      </c>
      <c r="I1499" t="str">
        <v>US9029733048</v>
      </c>
      <c r="J1499" t="str">
        <v>Excluded</v>
      </c>
      <c r="K1499">
        <v>0</v>
      </c>
      <c r="L1499" t="str" cm="1">
        <f t="array" ref="L1499">_xlfn.TEXTJOIN(",",TRUE,_xlfn._xlws.FILTER($C$5:$C$1727,($D$5:$D$1727=I1499)*($E$5:$E$1727=J1499)*($F$5:$F$1727=K1499)))</f>
        <v>Global</v>
      </c>
      <c r="M1499" t="b">
        <f t="shared" si="46"/>
        <v>0</v>
      </c>
      <c r="N1499">
        <f t="shared" si="47"/>
        <v>0</v>
      </c>
    </row>
    <row r="1500" spans="3:14" x14ac:dyDescent="0.25">
      <c r="C1500" t="s">
        <v>1548</v>
      </c>
      <c r="D1500" t="s">
        <v>1373</v>
      </c>
      <c r="E1500" t="s">
        <v>399</v>
      </c>
      <c r="F1500">
        <v>1</v>
      </c>
      <c r="I1500" t="str">
        <v>US90353T1007</v>
      </c>
      <c r="J1500" t="str">
        <v>Excluded</v>
      </c>
      <c r="K1500">
        <v>0</v>
      </c>
      <c r="L1500" t="str" cm="1">
        <f t="array" ref="L1500">_xlfn.TEXTJOIN(",",TRUE,_xlfn._xlws.FILTER($C$5:$C$1727,($D$5:$D$1727=I1500)*($E$5:$E$1727=J1500)*($F$5:$F$1727=K1500)))</f>
        <v>Global</v>
      </c>
      <c r="M1500" t="b">
        <f t="shared" si="46"/>
        <v>0</v>
      </c>
      <c r="N1500">
        <f t="shared" si="47"/>
        <v>0</v>
      </c>
    </row>
    <row r="1501" spans="3:14" x14ac:dyDescent="0.25">
      <c r="C1501" t="s">
        <v>1548</v>
      </c>
      <c r="D1501" t="s">
        <v>1374</v>
      </c>
      <c r="E1501" t="s">
        <v>404</v>
      </c>
      <c r="F1501">
        <v>0.89</v>
      </c>
      <c r="I1501" t="str">
        <v>US90384S3031</v>
      </c>
      <c r="J1501" t="str">
        <v>Excluded</v>
      </c>
      <c r="K1501">
        <v>0</v>
      </c>
      <c r="L1501" t="str" cm="1">
        <f t="array" ref="L1501">_xlfn.TEXTJOIN(",",TRUE,_xlfn._xlws.FILTER($C$5:$C$1727,($D$5:$D$1727=I1501)*($E$5:$E$1727=J1501)*($F$5:$F$1727=K1501)))</f>
        <v>Global</v>
      </c>
      <c r="M1501" t="b">
        <f t="shared" si="46"/>
        <v>0</v>
      </c>
      <c r="N1501">
        <f t="shared" si="47"/>
        <v>0</v>
      </c>
    </row>
    <row r="1502" spans="3:14" x14ac:dyDescent="0.25">
      <c r="C1502" t="s">
        <v>1548</v>
      </c>
      <c r="D1502" t="s">
        <v>1375</v>
      </c>
      <c r="E1502" t="s">
        <v>407</v>
      </c>
      <c r="F1502">
        <v>0.78</v>
      </c>
      <c r="I1502" t="str">
        <v>US9078181081</v>
      </c>
      <c r="J1502" t="str">
        <v>Excluded</v>
      </c>
      <c r="K1502">
        <v>0</v>
      </c>
      <c r="L1502" t="str" cm="1">
        <f t="array" ref="L1502">_xlfn.TEXTJOIN(",",TRUE,_xlfn._xlws.FILTER($C$5:$C$1727,($D$5:$D$1727=I1502)*($E$5:$E$1727=J1502)*($F$5:$F$1727=K1502)))</f>
        <v>Global</v>
      </c>
      <c r="M1502" t="b">
        <f t="shared" si="46"/>
        <v>0</v>
      </c>
      <c r="N1502">
        <f t="shared" si="47"/>
        <v>0</v>
      </c>
    </row>
    <row r="1503" spans="3:14" x14ac:dyDescent="0.25">
      <c r="C1503" t="s">
        <v>1548</v>
      </c>
      <c r="D1503" t="s">
        <v>197</v>
      </c>
      <c r="E1503" t="s">
        <v>401</v>
      </c>
      <c r="F1503">
        <v>0</v>
      </c>
      <c r="I1503" t="str">
        <v>US9100471096</v>
      </c>
      <c r="J1503" t="str">
        <v>Excluded</v>
      </c>
      <c r="K1503">
        <v>0</v>
      </c>
      <c r="L1503" t="str" cm="1">
        <f t="array" ref="L1503">_xlfn.TEXTJOIN(",",TRUE,_xlfn._xlws.FILTER($C$5:$C$1727,($D$5:$D$1727=I1503)*($E$5:$E$1727=J1503)*($F$5:$F$1727=K1503)))</f>
        <v>Global</v>
      </c>
      <c r="M1503" t="b">
        <f t="shared" si="46"/>
        <v>0</v>
      </c>
      <c r="N1503">
        <f t="shared" si="47"/>
        <v>0</v>
      </c>
    </row>
    <row r="1504" spans="3:14" x14ac:dyDescent="0.25">
      <c r="C1504" t="s">
        <v>1548</v>
      </c>
      <c r="D1504" t="s">
        <v>193</v>
      </c>
      <c r="E1504" t="s">
        <v>403</v>
      </c>
      <c r="F1504">
        <v>0.13</v>
      </c>
      <c r="I1504" t="str">
        <v>US9113121068</v>
      </c>
      <c r="J1504" t="str">
        <v>Excluded</v>
      </c>
      <c r="K1504">
        <v>0</v>
      </c>
      <c r="L1504" t="str" cm="1">
        <f t="array" ref="L1504">_xlfn.TEXTJOIN(",",TRUE,_xlfn._xlws.FILTER($C$5:$C$1727,($D$5:$D$1727=I1504)*($E$5:$E$1727=J1504)*($F$5:$F$1727=K1504)))</f>
        <v>Global</v>
      </c>
      <c r="M1504" t="b">
        <f t="shared" si="46"/>
        <v>0</v>
      </c>
      <c r="N1504">
        <f t="shared" si="47"/>
        <v>0</v>
      </c>
    </row>
    <row r="1505" spans="3:14" x14ac:dyDescent="0.25">
      <c r="C1505" t="s">
        <v>1548</v>
      </c>
      <c r="D1505" t="s">
        <v>1376</v>
      </c>
      <c r="E1505" t="s">
        <v>400</v>
      </c>
      <c r="F1505">
        <v>0</v>
      </c>
      <c r="I1505" t="str">
        <v>US9113631090</v>
      </c>
      <c r="J1505" t="str">
        <v>Excluded</v>
      </c>
      <c r="K1505">
        <v>0</v>
      </c>
      <c r="L1505" t="str" cm="1">
        <f t="array" ref="L1505">_xlfn.TEXTJOIN(",",TRUE,_xlfn._xlws.FILTER($C$5:$C$1727,($D$5:$D$1727=I1505)*($E$5:$E$1727=J1505)*($F$5:$F$1727=K1505)))</f>
        <v>Global</v>
      </c>
      <c r="M1505" t="b">
        <f t="shared" si="46"/>
        <v>0</v>
      </c>
      <c r="N1505">
        <f t="shared" si="47"/>
        <v>0</v>
      </c>
    </row>
    <row r="1506" spans="3:14" x14ac:dyDescent="0.25">
      <c r="C1506" t="s">
        <v>1548</v>
      </c>
      <c r="D1506" t="s">
        <v>1377</v>
      </c>
      <c r="E1506" t="s">
        <v>400</v>
      </c>
      <c r="F1506">
        <v>0</v>
      </c>
      <c r="I1506" t="str">
        <v>US9120081099</v>
      </c>
      <c r="J1506" t="str">
        <v>Not included in a theme</v>
      </c>
      <c r="K1506">
        <v>0</v>
      </c>
      <c r="L1506" t="str" cm="1">
        <f t="array" ref="L1506">_xlfn.TEXTJOIN(",",TRUE,_xlfn._xlws.FILTER($C$5:$C$1727,($D$5:$D$1727=I1506)*($E$5:$E$1727=J1506)*($F$5:$F$1727=K1506)))</f>
        <v>Global</v>
      </c>
      <c r="M1506" t="b">
        <f t="shared" si="46"/>
        <v>0</v>
      </c>
      <c r="N1506">
        <f t="shared" si="47"/>
        <v>0</v>
      </c>
    </row>
    <row r="1507" spans="3:14" x14ac:dyDescent="0.25">
      <c r="C1507" t="s">
        <v>1548</v>
      </c>
      <c r="D1507" t="s">
        <v>1378</v>
      </c>
      <c r="E1507" t="s">
        <v>400</v>
      </c>
      <c r="F1507">
        <v>0</v>
      </c>
      <c r="I1507" t="str">
        <v>US91307C1027</v>
      </c>
      <c r="J1507" t="str">
        <v>Excluded</v>
      </c>
      <c r="K1507">
        <v>0</v>
      </c>
      <c r="L1507" t="str" cm="1">
        <f t="array" ref="L1507">_xlfn.TEXTJOIN(",",TRUE,_xlfn._xlws.FILTER($C$5:$C$1727,($D$5:$D$1727=I1507)*($E$5:$E$1727=J1507)*($F$5:$F$1727=K1507)))</f>
        <v>Global</v>
      </c>
      <c r="M1507" t="b">
        <f t="shared" si="46"/>
        <v>0</v>
      </c>
      <c r="N1507">
        <f t="shared" si="47"/>
        <v>0</v>
      </c>
    </row>
    <row r="1508" spans="3:14" x14ac:dyDescent="0.25">
      <c r="C1508" t="s">
        <v>1548</v>
      </c>
      <c r="D1508" t="s">
        <v>202</v>
      </c>
      <c r="E1508" t="s">
        <v>401</v>
      </c>
      <c r="F1508">
        <v>0</v>
      </c>
      <c r="I1508" t="str">
        <v>US91324P1021</v>
      </c>
      <c r="J1508" t="str">
        <v>Not included in a theme</v>
      </c>
      <c r="K1508">
        <v>0</v>
      </c>
      <c r="L1508" t="str" cm="1">
        <f t="array" ref="L1508">_xlfn.TEXTJOIN(",",TRUE,_xlfn._xlws.FILTER($C$5:$C$1727,($D$5:$D$1727=I1508)*($E$5:$E$1727=J1508)*($F$5:$F$1727=K1508)))</f>
        <v>Global</v>
      </c>
      <c r="M1508" t="b">
        <f t="shared" si="46"/>
        <v>0</v>
      </c>
      <c r="N1508">
        <f t="shared" si="47"/>
        <v>0</v>
      </c>
    </row>
    <row r="1509" spans="3:14" x14ac:dyDescent="0.25">
      <c r="C1509" t="s">
        <v>1548</v>
      </c>
      <c r="D1509" t="s">
        <v>1379</v>
      </c>
      <c r="E1509" t="s">
        <v>408</v>
      </c>
      <c r="F1509">
        <v>0.74</v>
      </c>
      <c r="I1509" t="str">
        <v>US91332U1016</v>
      </c>
      <c r="J1509" t="str">
        <v>Not included in a theme</v>
      </c>
      <c r="K1509">
        <v>0</v>
      </c>
      <c r="L1509" t="str" cm="1">
        <f t="array" ref="L1509">_xlfn.TEXTJOIN(",",TRUE,_xlfn._xlws.FILTER($C$5:$C$1727,($D$5:$D$1727=I1509)*($E$5:$E$1727=J1509)*($F$5:$F$1727=K1509)))</f>
        <v>Global</v>
      </c>
      <c r="M1509" t="b">
        <f t="shared" si="46"/>
        <v>0</v>
      </c>
      <c r="N1509">
        <f t="shared" si="47"/>
        <v>0</v>
      </c>
    </row>
    <row r="1510" spans="3:14" x14ac:dyDescent="0.25">
      <c r="C1510" t="s">
        <v>1548</v>
      </c>
      <c r="D1510" t="s">
        <v>1380</v>
      </c>
      <c r="E1510" t="s">
        <v>404</v>
      </c>
      <c r="F1510">
        <v>0.57999999999999996</v>
      </c>
      <c r="I1510" t="str">
        <v>US9139031002</v>
      </c>
      <c r="J1510" t="str">
        <v>Excluded</v>
      </c>
      <c r="K1510">
        <v>0</v>
      </c>
      <c r="L1510" t="str" cm="1">
        <f t="array" ref="L1510">_xlfn.TEXTJOIN(",",TRUE,_xlfn._xlws.FILTER($C$5:$C$1727,($D$5:$D$1727=I1510)*($E$5:$E$1727=J1510)*($F$5:$F$1727=K1510)))</f>
        <v>Global</v>
      </c>
      <c r="M1510" t="b">
        <f t="shared" si="46"/>
        <v>0</v>
      </c>
      <c r="N1510">
        <f t="shared" si="47"/>
        <v>0</v>
      </c>
    </row>
    <row r="1511" spans="3:14" x14ac:dyDescent="0.25">
      <c r="C1511" t="s">
        <v>1548</v>
      </c>
      <c r="D1511" t="s">
        <v>1381</v>
      </c>
      <c r="E1511" t="s">
        <v>400</v>
      </c>
      <c r="F1511">
        <v>0</v>
      </c>
      <c r="I1511" t="str">
        <v>US91529Y1064</v>
      </c>
      <c r="J1511" t="str">
        <v>Excluded</v>
      </c>
      <c r="K1511">
        <v>0</v>
      </c>
      <c r="L1511" t="str" cm="1">
        <f t="array" ref="L1511">_xlfn.TEXTJOIN(",",TRUE,_xlfn._xlws.FILTER($C$5:$C$1727,($D$5:$D$1727=I1511)*($E$5:$E$1727=J1511)*($F$5:$F$1727=K1511)))</f>
        <v>Global</v>
      </c>
      <c r="M1511" t="b">
        <f t="shared" si="46"/>
        <v>0</v>
      </c>
      <c r="N1511">
        <f t="shared" si="47"/>
        <v>0</v>
      </c>
    </row>
    <row r="1512" spans="3:14" x14ac:dyDescent="0.25">
      <c r="C1512" t="s">
        <v>1548</v>
      </c>
      <c r="D1512" t="s">
        <v>1382</v>
      </c>
      <c r="E1512" t="s">
        <v>400</v>
      </c>
      <c r="F1512">
        <v>0</v>
      </c>
      <c r="I1512" t="str">
        <v>US91913Y1001</v>
      </c>
      <c r="J1512" t="str">
        <v>Excluded</v>
      </c>
      <c r="K1512">
        <v>0</v>
      </c>
      <c r="L1512" t="str" cm="1">
        <f t="array" ref="L1512">_xlfn.TEXTJOIN(",",TRUE,_xlfn._xlws.FILTER($C$5:$C$1727,($D$5:$D$1727=I1512)*($E$5:$E$1727=J1512)*($F$5:$F$1727=K1512)))</f>
        <v>Global</v>
      </c>
      <c r="M1512" t="b">
        <f t="shared" si="46"/>
        <v>0</v>
      </c>
      <c r="N1512">
        <f t="shared" si="47"/>
        <v>0</v>
      </c>
    </row>
    <row r="1513" spans="3:14" x14ac:dyDescent="0.25">
      <c r="C1513" t="s">
        <v>1548</v>
      </c>
      <c r="D1513" t="s">
        <v>190</v>
      </c>
      <c r="E1513" t="s">
        <v>404</v>
      </c>
      <c r="F1513">
        <v>1</v>
      </c>
      <c r="I1513" t="str">
        <v>US9224751084</v>
      </c>
      <c r="J1513" t="str">
        <v>Not included in a theme</v>
      </c>
      <c r="K1513">
        <v>0</v>
      </c>
      <c r="L1513" t="str" cm="1">
        <f t="array" ref="L1513">_xlfn.TEXTJOIN(",",TRUE,_xlfn._xlws.FILTER($C$5:$C$1727,($D$5:$D$1727=I1513)*($E$5:$E$1727=J1513)*($F$5:$F$1727=K1513)))</f>
        <v>Global</v>
      </c>
      <c r="M1513" t="b">
        <f t="shared" si="46"/>
        <v>0</v>
      </c>
      <c r="N1513">
        <f t="shared" si="47"/>
        <v>0</v>
      </c>
    </row>
    <row r="1514" spans="3:14" x14ac:dyDescent="0.25">
      <c r="C1514" t="s">
        <v>1548</v>
      </c>
      <c r="D1514" t="s">
        <v>160</v>
      </c>
      <c r="E1514" t="s">
        <v>400</v>
      </c>
      <c r="F1514">
        <v>0</v>
      </c>
      <c r="I1514" t="str">
        <v>US92276F1003</v>
      </c>
      <c r="J1514" t="str">
        <v>Ecoconstruction</v>
      </c>
      <c r="K1514">
        <v>0.22</v>
      </c>
      <c r="L1514" t="str" cm="1">
        <f t="array" ref="L1514">_xlfn.TEXTJOIN(",",TRUE,_xlfn._xlws.FILTER($C$5:$C$1727,($D$5:$D$1727=I1514)*($E$5:$E$1727=J1514)*($F$5:$F$1727=K1514)))</f>
        <v>Global</v>
      </c>
      <c r="M1514" t="b">
        <f t="shared" si="46"/>
        <v>0</v>
      </c>
      <c r="N1514">
        <f t="shared" si="47"/>
        <v>0</v>
      </c>
    </row>
    <row r="1515" spans="3:14" x14ac:dyDescent="0.25">
      <c r="C1515" t="s">
        <v>1548</v>
      </c>
      <c r="D1515" t="s">
        <v>161</v>
      </c>
      <c r="E1515" t="s">
        <v>401</v>
      </c>
      <c r="F1515">
        <v>0</v>
      </c>
      <c r="I1515" t="str">
        <v>US92338C1036</v>
      </c>
      <c r="J1515" t="str">
        <v>Climate change adaptation</v>
      </c>
      <c r="K1515">
        <v>0.6</v>
      </c>
      <c r="L1515" t="str" cm="1">
        <f t="array" ref="L1515">_xlfn.TEXTJOIN(",",TRUE,_xlfn._xlws.FILTER($C$5:$C$1727,($D$5:$D$1727=I1515)*($E$5:$E$1727=J1515)*($F$5:$F$1727=K1515)))</f>
        <v>Global</v>
      </c>
      <c r="M1515" t="b">
        <f t="shared" si="46"/>
        <v>0</v>
      </c>
      <c r="N1515">
        <f t="shared" si="47"/>
        <v>0</v>
      </c>
    </row>
    <row r="1516" spans="3:14" x14ac:dyDescent="0.25">
      <c r="C1516" t="s">
        <v>1548</v>
      </c>
      <c r="D1516" t="s">
        <v>1383</v>
      </c>
      <c r="E1516" t="s">
        <v>401</v>
      </c>
      <c r="F1516">
        <v>0</v>
      </c>
      <c r="I1516" t="str">
        <v>US92343E1029</v>
      </c>
      <c r="J1516" t="str">
        <v>Excluded</v>
      </c>
      <c r="K1516">
        <v>0</v>
      </c>
      <c r="L1516" t="str" cm="1">
        <f t="array" ref="L1516">_xlfn.TEXTJOIN(",",TRUE,_xlfn._xlws.FILTER($C$5:$C$1727,($D$5:$D$1727=I1516)*($E$5:$E$1727=J1516)*($F$5:$F$1727=K1516)))</f>
        <v>Global</v>
      </c>
      <c r="M1516" t="b">
        <f t="shared" si="46"/>
        <v>0</v>
      </c>
      <c r="N1516">
        <f t="shared" si="47"/>
        <v>0</v>
      </c>
    </row>
    <row r="1517" spans="3:14" x14ac:dyDescent="0.25">
      <c r="C1517" t="s">
        <v>1548</v>
      </c>
      <c r="D1517" t="s">
        <v>169</v>
      </c>
      <c r="E1517" t="s">
        <v>401</v>
      </c>
      <c r="F1517">
        <v>0</v>
      </c>
      <c r="I1517" t="str">
        <v>US92343V1044</v>
      </c>
      <c r="J1517" t="str">
        <v>Not included in a theme</v>
      </c>
      <c r="K1517">
        <v>0</v>
      </c>
      <c r="L1517" t="str" cm="1">
        <f t="array" ref="L1517">_xlfn.TEXTJOIN(",",TRUE,_xlfn._xlws.FILTER($C$5:$C$1727,($D$5:$D$1727=I1517)*($E$5:$E$1727=J1517)*($F$5:$F$1727=K1517)))</f>
        <v>Global</v>
      </c>
      <c r="M1517" t="b">
        <f t="shared" si="46"/>
        <v>0</v>
      </c>
      <c r="N1517">
        <f t="shared" si="47"/>
        <v>0</v>
      </c>
    </row>
    <row r="1518" spans="3:14" x14ac:dyDescent="0.25">
      <c r="C1518" t="s">
        <v>1548</v>
      </c>
      <c r="D1518" t="s">
        <v>170</v>
      </c>
      <c r="E1518" t="s">
        <v>400</v>
      </c>
      <c r="F1518">
        <v>0</v>
      </c>
      <c r="I1518" t="str">
        <v>US92345Y1064</v>
      </c>
      <c r="J1518" t="str">
        <v>Not included in a theme</v>
      </c>
      <c r="K1518">
        <v>0</v>
      </c>
      <c r="L1518" t="str" cm="1">
        <f t="array" ref="L1518">_xlfn.TEXTJOIN(",",TRUE,_xlfn._xlws.FILTER($C$5:$C$1727,($D$5:$D$1727=I1518)*($E$5:$E$1727=J1518)*($F$5:$F$1727=K1518)))</f>
        <v>Global</v>
      </c>
      <c r="M1518" t="b">
        <f t="shared" si="46"/>
        <v>0</v>
      </c>
      <c r="N1518">
        <f t="shared" si="47"/>
        <v>0</v>
      </c>
    </row>
    <row r="1519" spans="3:14" x14ac:dyDescent="0.25">
      <c r="C1519" t="s">
        <v>1548</v>
      </c>
      <c r="D1519" t="s">
        <v>1384</v>
      </c>
      <c r="E1519" t="s">
        <v>400</v>
      </c>
      <c r="F1519">
        <v>0</v>
      </c>
      <c r="I1519" t="str">
        <v>US92532F1003</v>
      </c>
      <c r="J1519" t="str">
        <v>Not included in a theme</v>
      </c>
      <c r="K1519">
        <v>0</v>
      </c>
      <c r="L1519" t="str" cm="1">
        <f t="array" ref="L1519">_xlfn.TEXTJOIN(",",TRUE,_xlfn._xlws.FILTER($C$5:$C$1727,($D$5:$D$1727=I1519)*($E$5:$E$1727=J1519)*($F$5:$F$1727=K1519)))</f>
        <v>Global</v>
      </c>
      <c r="M1519" t="b">
        <f t="shared" si="46"/>
        <v>0</v>
      </c>
      <c r="N1519">
        <f t="shared" si="47"/>
        <v>0</v>
      </c>
    </row>
    <row r="1520" spans="3:14" x14ac:dyDescent="0.25">
      <c r="C1520" t="s">
        <v>1548</v>
      </c>
      <c r="D1520" t="s">
        <v>163</v>
      </c>
      <c r="E1520" t="s">
        <v>401</v>
      </c>
      <c r="F1520">
        <v>0</v>
      </c>
      <c r="I1520" t="str">
        <v>US92537N1081</v>
      </c>
      <c r="J1520" t="str">
        <v>Eco-efficient industries</v>
      </c>
      <c r="K1520">
        <v>1</v>
      </c>
      <c r="L1520" t="str" cm="1">
        <f t="array" ref="L1520">_xlfn.TEXTJOIN(",",TRUE,_xlfn._xlws.FILTER($C$5:$C$1727,($D$5:$D$1727=I1520)*($E$5:$E$1727=J1520)*($F$5:$F$1727=K1520)))</f>
        <v>Global</v>
      </c>
      <c r="M1520" t="b">
        <f t="shared" si="46"/>
        <v>0</v>
      </c>
      <c r="N1520">
        <f t="shared" si="47"/>
        <v>0</v>
      </c>
    </row>
    <row r="1521" spans="3:14" x14ac:dyDescent="0.25">
      <c r="C1521" t="s">
        <v>1548</v>
      </c>
      <c r="D1521" t="s">
        <v>1385</v>
      </c>
      <c r="E1521" t="s">
        <v>403</v>
      </c>
      <c r="F1521">
        <v>0.4</v>
      </c>
      <c r="I1521" t="str">
        <v>US92556V1061</v>
      </c>
      <c r="J1521" t="str">
        <v>Not included in a theme</v>
      </c>
      <c r="K1521">
        <v>0</v>
      </c>
      <c r="L1521" t="str" cm="1">
        <f t="array" ref="L1521">_xlfn.TEXTJOIN(",",TRUE,_xlfn._xlws.FILTER($C$5:$C$1727,($D$5:$D$1727=I1521)*($E$5:$E$1727=J1521)*($F$5:$F$1727=K1521)))</f>
        <v>Global</v>
      </c>
      <c r="M1521" t="b">
        <f t="shared" si="46"/>
        <v>0</v>
      </c>
      <c r="N1521">
        <f t="shared" si="47"/>
        <v>0</v>
      </c>
    </row>
    <row r="1522" spans="3:14" x14ac:dyDescent="0.25">
      <c r="C1522" t="s">
        <v>1548</v>
      </c>
      <c r="D1522" t="s">
        <v>1386</v>
      </c>
      <c r="E1522" t="s">
        <v>400</v>
      </c>
      <c r="F1522">
        <v>0</v>
      </c>
      <c r="I1522" t="str">
        <v>US9256521090</v>
      </c>
      <c r="J1522" t="str">
        <v>Excluded</v>
      </c>
      <c r="K1522">
        <v>0</v>
      </c>
      <c r="L1522" t="str" cm="1">
        <f t="array" ref="L1522">_xlfn.TEXTJOIN(",",TRUE,_xlfn._xlws.FILTER($C$5:$C$1727,($D$5:$D$1727=I1522)*($E$5:$E$1727=J1522)*($F$5:$F$1727=K1522)))</f>
        <v>Global</v>
      </c>
      <c r="M1522" t="b">
        <f t="shared" si="46"/>
        <v>0</v>
      </c>
      <c r="N1522">
        <f t="shared" si="47"/>
        <v>0</v>
      </c>
    </row>
    <row r="1523" spans="3:14" x14ac:dyDescent="0.25">
      <c r="C1523" t="s">
        <v>1548</v>
      </c>
      <c r="D1523" t="s">
        <v>1387</v>
      </c>
      <c r="E1523" t="s">
        <v>400</v>
      </c>
      <c r="F1523">
        <v>0</v>
      </c>
      <c r="I1523" t="str">
        <v>US92826C8394</v>
      </c>
      <c r="J1523" t="str">
        <v>Excluded</v>
      </c>
      <c r="K1523">
        <v>0</v>
      </c>
      <c r="L1523" t="str" cm="1">
        <f t="array" ref="L1523">_xlfn.TEXTJOIN(",",TRUE,_xlfn._xlws.FILTER($C$5:$C$1727,($D$5:$D$1727=I1523)*($E$5:$E$1727=J1523)*($F$5:$F$1727=K1523)))</f>
        <v>Global</v>
      </c>
      <c r="M1523" t="b">
        <f t="shared" si="46"/>
        <v>0</v>
      </c>
      <c r="N1523">
        <f t="shared" si="47"/>
        <v>0</v>
      </c>
    </row>
    <row r="1524" spans="3:14" x14ac:dyDescent="0.25">
      <c r="C1524" t="s">
        <v>1548</v>
      </c>
      <c r="D1524" t="s">
        <v>171</v>
      </c>
      <c r="E1524" t="s">
        <v>403</v>
      </c>
      <c r="F1524">
        <v>0.31</v>
      </c>
      <c r="I1524" t="str">
        <v>US92840M1027</v>
      </c>
      <c r="J1524" t="str">
        <v>Excluded</v>
      </c>
      <c r="K1524">
        <v>0</v>
      </c>
      <c r="L1524" t="str" cm="1">
        <f t="array" ref="L1524">_xlfn.TEXTJOIN(",",TRUE,_xlfn._xlws.FILTER($C$5:$C$1727,($D$5:$D$1727=I1524)*($E$5:$E$1727=J1524)*($F$5:$F$1727=K1524)))</f>
        <v>Global</v>
      </c>
      <c r="M1524" t="b">
        <f t="shared" si="46"/>
        <v>0</v>
      </c>
      <c r="N1524">
        <f t="shared" si="47"/>
        <v>0</v>
      </c>
    </row>
    <row r="1525" spans="3:14" x14ac:dyDescent="0.25">
      <c r="C1525" t="s">
        <v>1548</v>
      </c>
      <c r="D1525" t="s">
        <v>1388</v>
      </c>
      <c r="E1525" t="s">
        <v>400</v>
      </c>
      <c r="F1525">
        <v>0</v>
      </c>
      <c r="I1525" t="str">
        <v>US9291601097</v>
      </c>
      <c r="J1525" t="str">
        <v>Excluded</v>
      </c>
      <c r="K1525">
        <v>0</v>
      </c>
      <c r="L1525" t="str" cm="1">
        <f t="array" ref="L1525">_xlfn.TEXTJOIN(",",TRUE,_xlfn._xlws.FILTER($C$5:$C$1727,($D$5:$D$1727=I1525)*($E$5:$E$1727=J1525)*($F$5:$F$1727=K1525)))</f>
        <v>Global</v>
      </c>
      <c r="M1525" t="b">
        <f t="shared" si="46"/>
        <v>0</v>
      </c>
      <c r="N1525">
        <f t="shared" si="47"/>
        <v>0</v>
      </c>
    </row>
    <row r="1526" spans="3:14" x14ac:dyDescent="0.25">
      <c r="C1526" t="s">
        <v>1548</v>
      </c>
      <c r="D1526" t="s">
        <v>1389</v>
      </c>
      <c r="E1526" t="s">
        <v>404</v>
      </c>
      <c r="F1526">
        <v>0.36</v>
      </c>
      <c r="I1526" t="str">
        <v>US92936U1097</v>
      </c>
      <c r="J1526" t="str">
        <v>Not included in a theme</v>
      </c>
      <c r="K1526">
        <v>0</v>
      </c>
      <c r="L1526" t="str" cm="1">
        <f t="array" ref="L1526">_xlfn.TEXTJOIN(",",TRUE,_xlfn._xlws.FILTER($C$5:$C$1727,($D$5:$D$1727=I1526)*($E$5:$E$1727=J1526)*($F$5:$F$1727=K1526)))</f>
        <v>Global</v>
      </c>
      <c r="M1526" t="b">
        <f t="shared" si="46"/>
        <v>0</v>
      </c>
      <c r="N1526">
        <f t="shared" si="47"/>
        <v>0</v>
      </c>
    </row>
    <row r="1527" spans="3:14" x14ac:dyDescent="0.25">
      <c r="C1527" t="s">
        <v>1548</v>
      </c>
      <c r="D1527" t="s">
        <v>1390</v>
      </c>
      <c r="E1527" t="s">
        <v>405</v>
      </c>
      <c r="F1527">
        <v>0.95</v>
      </c>
      <c r="I1527" t="str">
        <v>US92939U1060</v>
      </c>
      <c r="J1527" t="str">
        <v>Excluded</v>
      </c>
      <c r="K1527">
        <v>0</v>
      </c>
      <c r="L1527" t="str" cm="1">
        <f t="array" ref="L1527">_xlfn.TEXTJOIN(",",TRUE,_xlfn._xlws.FILTER($C$5:$C$1727,($D$5:$D$1727=I1527)*($E$5:$E$1727=J1527)*($F$5:$F$1727=K1527)))</f>
        <v>Global</v>
      </c>
      <c r="M1527" t="b">
        <f t="shared" si="46"/>
        <v>0</v>
      </c>
      <c r="N1527">
        <f t="shared" si="47"/>
        <v>0</v>
      </c>
    </row>
    <row r="1528" spans="3:14" x14ac:dyDescent="0.25">
      <c r="C1528" t="s">
        <v>1548</v>
      </c>
      <c r="D1528" t="s">
        <v>124</v>
      </c>
      <c r="E1528" t="s">
        <v>400</v>
      </c>
      <c r="F1528">
        <v>0</v>
      </c>
      <c r="I1528" t="str">
        <v>US9297401088</v>
      </c>
      <c r="J1528" t="str">
        <v>Clean transport</v>
      </c>
      <c r="K1528">
        <v>1</v>
      </c>
      <c r="L1528" t="str" cm="1">
        <f t="array" ref="L1528">_xlfn.TEXTJOIN(",",TRUE,_xlfn._xlws.FILTER($C$5:$C$1727,($D$5:$D$1727=I1528)*($E$5:$E$1727=J1528)*($F$5:$F$1727=K1528)))</f>
        <v>Global</v>
      </c>
      <c r="M1528" t="b">
        <f t="shared" si="46"/>
        <v>0</v>
      </c>
      <c r="N1528">
        <f t="shared" si="47"/>
        <v>0</v>
      </c>
    </row>
    <row r="1529" spans="3:14" x14ac:dyDescent="0.25">
      <c r="C1529" t="s">
        <v>1548</v>
      </c>
      <c r="D1529" t="s">
        <v>188</v>
      </c>
      <c r="E1529" t="s">
        <v>400</v>
      </c>
      <c r="F1529">
        <v>0</v>
      </c>
      <c r="I1529" t="str">
        <v>US9311421039</v>
      </c>
      <c r="J1529" t="str">
        <v>Excluded</v>
      </c>
      <c r="K1529">
        <v>0</v>
      </c>
      <c r="L1529" t="str" cm="1">
        <f t="array" ref="L1529">_xlfn.TEXTJOIN(",",TRUE,_xlfn._xlws.FILTER($C$5:$C$1727,($D$5:$D$1727=I1529)*($E$5:$E$1727=J1529)*($F$5:$F$1727=K1529)))</f>
        <v>Global</v>
      </c>
      <c r="M1529" t="b">
        <f t="shared" si="46"/>
        <v>0</v>
      </c>
      <c r="N1529">
        <f t="shared" si="47"/>
        <v>0</v>
      </c>
    </row>
    <row r="1530" spans="3:14" x14ac:dyDescent="0.25">
      <c r="C1530" t="s">
        <v>1548</v>
      </c>
      <c r="D1530" t="s">
        <v>173</v>
      </c>
      <c r="E1530" t="s">
        <v>400</v>
      </c>
      <c r="F1530">
        <v>0</v>
      </c>
      <c r="I1530" t="str">
        <v>US9344231041</v>
      </c>
      <c r="J1530" t="str">
        <v>Excluded</v>
      </c>
      <c r="K1530">
        <v>0</v>
      </c>
      <c r="L1530" t="str" cm="1">
        <f t="array" ref="L1530">_xlfn.TEXTJOIN(",",TRUE,_xlfn._xlws.FILTER($C$5:$C$1727,($D$5:$D$1727=I1530)*($E$5:$E$1727=J1530)*($F$5:$F$1727=K1530)))</f>
        <v>Global</v>
      </c>
      <c r="M1530" t="b">
        <f t="shared" si="46"/>
        <v>0</v>
      </c>
      <c r="N1530">
        <f t="shared" si="47"/>
        <v>0</v>
      </c>
    </row>
    <row r="1531" spans="3:14" x14ac:dyDescent="0.25">
      <c r="C1531" t="s">
        <v>1548</v>
      </c>
      <c r="D1531" t="s">
        <v>1391</v>
      </c>
      <c r="E1531" t="s">
        <v>400</v>
      </c>
      <c r="F1531">
        <v>0</v>
      </c>
      <c r="I1531" t="str">
        <v>US94106L1098</v>
      </c>
      <c r="J1531" t="str">
        <v>Circular economy</v>
      </c>
      <c r="K1531">
        <v>0.75</v>
      </c>
      <c r="L1531" t="str" cm="1">
        <f t="array" ref="L1531">_xlfn.TEXTJOIN(",",TRUE,_xlfn._xlws.FILTER($C$5:$C$1727,($D$5:$D$1727=I1531)*($E$5:$E$1727=J1531)*($F$5:$F$1727=K1531)))</f>
        <v>Global</v>
      </c>
      <c r="M1531" t="b">
        <f t="shared" si="46"/>
        <v>0</v>
      </c>
      <c r="N1531">
        <f t="shared" si="47"/>
        <v>0</v>
      </c>
    </row>
    <row r="1532" spans="3:14" x14ac:dyDescent="0.25">
      <c r="C1532" t="s">
        <v>1548</v>
      </c>
      <c r="D1532" t="s">
        <v>1392</v>
      </c>
      <c r="E1532" t="s">
        <v>400</v>
      </c>
      <c r="F1532">
        <v>0</v>
      </c>
      <c r="I1532" t="str">
        <v>US9418481035</v>
      </c>
      <c r="J1532" t="str">
        <v>Excluded</v>
      </c>
      <c r="K1532">
        <v>0</v>
      </c>
      <c r="L1532" t="str" cm="1">
        <f t="array" ref="L1532">_xlfn.TEXTJOIN(",",TRUE,_xlfn._xlws.FILTER($C$5:$C$1727,($D$5:$D$1727=I1532)*($E$5:$E$1727=J1532)*($F$5:$F$1727=K1532)))</f>
        <v>Global</v>
      </c>
      <c r="M1532" t="b">
        <f t="shared" si="46"/>
        <v>0</v>
      </c>
      <c r="N1532">
        <f t="shared" si="47"/>
        <v>0</v>
      </c>
    </row>
    <row r="1533" spans="3:14" x14ac:dyDescent="0.25">
      <c r="C1533" t="s">
        <v>1548</v>
      </c>
      <c r="D1533" t="s">
        <v>1393</v>
      </c>
      <c r="E1533" t="s">
        <v>399</v>
      </c>
      <c r="F1533">
        <v>1</v>
      </c>
      <c r="I1533" t="str">
        <v>US9426222009</v>
      </c>
      <c r="J1533" t="str">
        <v>Ecoconstruction</v>
      </c>
      <c r="K1533">
        <v>1</v>
      </c>
      <c r="L1533" t="str" cm="1">
        <f t="array" ref="L1533">_xlfn.TEXTJOIN(",",TRUE,_xlfn._xlws.FILTER($C$5:$C$1727,($D$5:$D$1727=I1533)*($E$5:$E$1727=J1533)*($F$5:$F$1727=K1533)))</f>
        <v>Global</v>
      </c>
      <c r="M1533" t="b">
        <f t="shared" si="46"/>
        <v>0</v>
      </c>
      <c r="N1533">
        <f t="shared" si="47"/>
        <v>0</v>
      </c>
    </row>
    <row r="1534" spans="3:14" x14ac:dyDescent="0.25">
      <c r="C1534" t="s">
        <v>1548</v>
      </c>
      <c r="D1534" t="s">
        <v>1394</v>
      </c>
      <c r="E1534" t="s">
        <v>400</v>
      </c>
      <c r="F1534">
        <v>0</v>
      </c>
      <c r="I1534" t="str">
        <v>US94419L1017</v>
      </c>
      <c r="J1534" t="str">
        <v>Excluded</v>
      </c>
      <c r="K1534">
        <v>0</v>
      </c>
      <c r="L1534" t="str" cm="1">
        <f t="array" ref="L1534">_xlfn.TEXTJOIN(",",TRUE,_xlfn._xlws.FILTER($C$5:$C$1727,($D$5:$D$1727=I1534)*($E$5:$E$1727=J1534)*($F$5:$F$1727=K1534)))</f>
        <v>Global</v>
      </c>
      <c r="M1534" t="b">
        <f t="shared" si="46"/>
        <v>0</v>
      </c>
      <c r="N1534">
        <f t="shared" si="47"/>
        <v>0</v>
      </c>
    </row>
    <row r="1535" spans="3:14" x14ac:dyDescent="0.25">
      <c r="C1535" t="s">
        <v>1548</v>
      </c>
      <c r="D1535" t="s">
        <v>126</v>
      </c>
      <c r="E1535" t="s">
        <v>400</v>
      </c>
      <c r="F1535">
        <v>0</v>
      </c>
      <c r="I1535" t="str">
        <v>US9497461015</v>
      </c>
      <c r="J1535" t="str">
        <v>Excluded</v>
      </c>
      <c r="K1535">
        <v>0</v>
      </c>
      <c r="L1535" t="str" cm="1">
        <f t="array" ref="L1535">_xlfn.TEXTJOIN(",",TRUE,_xlfn._xlws.FILTER($C$5:$C$1727,($D$5:$D$1727=I1535)*($E$5:$E$1727=J1535)*($F$5:$F$1727=K1535)))</f>
        <v>Global</v>
      </c>
      <c r="M1535" t="b">
        <f t="shared" si="46"/>
        <v>0</v>
      </c>
      <c r="N1535">
        <f t="shared" si="47"/>
        <v>0</v>
      </c>
    </row>
    <row r="1536" spans="3:14" x14ac:dyDescent="0.25">
      <c r="C1536" t="s">
        <v>1548</v>
      </c>
      <c r="D1536" t="s">
        <v>1395</v>
      </c>
      <c r="E1536" t="s">
        <v>403</v>
      </c>
      <c r="F1536">
        <v>1</v>
      </c>
      <c r="I1536" t="str">
        <v>US95040Q1040</v>
      </c>
      <c r="J1536" t="str">
        <v>Ecoconstruction</v>
      </c>
      <c r="K1536">
        <v>0.89</v>
      </c>
      <c r="L1536" t="str" cm="1">
        <f t="array" ref="L1536">_xlfn.TEXTJOIN(",",TRUE,_xlfn._xlws.FILTER($C$5:$C$1727,($D$5:$D$1727=I1536)*($E$5:$E$1727=J1536)*($F$5:$F$1727=K1536)))</f>
        <v>Global</v>
      </c>
      <c r="M1536" t="b">
        <f t="shared" si="46"/>
        <v>0</v>
      </c>
      <c r="N1536">
        <f t="shared" si="47"/>
        <v>0</v>
      </c>
    </row>
    <row r="1537" spans="3:14" x14ac:dyDescent="0.25">
      <c r="C1537" t="s">
        <v>1548</v>
      </c>
      <c r="D1537" t="s">
        <v>1396</v>
      </c>
      <c r="E1537" t="s">
        <v>400</v>
      </c>
      <c r="F1537">
        <v>0</v>
      </c>
      <c r="I1537" t="str">
        <v>US95082P1057</v>
      </c>
      <c r="J1537" t="str">
        <v>Eco-efficient industries</v>
      </c>
      <c r="K1537">
        <v>1</v>
      </c>
      <c r="L1537" t="str" cm="1">
        <f t="array" ref="L1537">_xlfn.TEXTJOIN(",",TRUE,_xlfn._xlws.FILTER($C$5:$C$1727,($D$5:$D$1727=I1537)*($E$5:$E$1727=J1537)*($F$5:$F$1727=K1537)))</f>
        <v>Global</v>
      </c>
      <c r="M1537" t="b">
        <f t="shared" si="46"/>
        <v>0</v>
      </c>
      <c r="N1537">
        <f t="shared" si="47"/>
        <v>0</v>
      </c>
    </row>
    <row r="1538" spans="3:14" x14ac:dyDescent="0.25">
      <c r="C1538" t="s">
        <v>1548</v>
      </c>
      <c r="D1538" t="s">
        <v>1397</v>
      </c>
      <c r="E1538" t="s">
        <v>401</v>
      </c>
      <c r="F1538">
        <v>0</v>
      </c>
      <c r="I1538" t="str">
        <v>US9553061055</v>
      </c>
      <c r="J1538" t="str">
        <v>Excluded</v>
      </c>
      <c r="K1538">
        <v>0</v>
      </c>
      <c r="L1538" t="str" cm="1">
        <f t="array" ref="L1538">_xlfn.TEXTJOIN(",",TRUE,_xlfn._xlws.FILTER($C$5:$C$1727,($D$5:$D$1727=I1538)*($E$5:$E$1727=J1538)*($F$5:$F$1727=K1538)))</f>
        <v>Global</v>
      </c>
      <c r="M1538" t="b">
        <f t="shared" si="46"/>
        <v>0</v>
      </c>
      <c r="N1538">
        <f t="shared" si="47"/>
        <v>0</v>
      </c>
    </row>
    <row r="1539" spans="3:14" x14ac:dyDescent="0.25">
      <c r="C1539" t="s">
        <v>1548</v>
      </c>
      <c r="D1539" t="s">
        <v>1398</v>
      </c>
      <c r="E1539" t="s">
        <v>400</v>
      </c>
      <c r="F1539">
        <v>0</v>
      </c>
      <c r="I1539" t="str">
        <v>US9581021055</v>
      </c>
      <c r="J1539" t="str">
        <v>Not included in a theme</v>
      </c>
      <c r="K1539">
        <v>0</v>
      </c>
      <c r="L1539" t="str" cm="1">
        <f t="array" ref="L1539">_xlfn.TEXTJOIN(",",TRUE,_xlfn._xlws.FILTER($C$5:$C$1727,($D$5:$D$1727=I1539)*($E$5:$E$1727=J1539)*($F$5:$F$1727=K1539)))</f>
        <v>Global</v>
      </c>
      <c r="M1539" t="b">
        <f t="shared" si="46"/>
        <v>0</v>
      </c>
      <c r="N1539">
        <f t="shared" si="47"/>
        <v>0</v>
      </c>
    </row>
    <row r="1540" spans="3:14" x14ac:dyDescent="0.25">
      <c r="C1540" t="s">
        <v>1548</v>
      </c>
      <c r="D1540" t="s">
        <v>1399</v>
      </c>
      <c r="E1540" t="s">
        <v>405</v>
      </c>
      <c r="F1540">
        <v>0.73</v>
      </c>
      <c r="I1540" t="str">
        <v>US9586691035</v>
      </c>
      <c r="J1540" t="str">
        <v>Excluded</v>
      </c>
      <c r="K1540">
        <v>0</v>
      </c>
      <c r="L1540" t="str" cm="1">
        <f t="array" ref="L1540">_xlfn.TEXTJOIN(",",TRUE,_xlfn._xlws.FILTER($C$5:$C$1727,($D$5:$D$1727=I1540)*($E$5:$E$1727=J1540)*($F$5:$F$1727=K1540)))</f>
        <v>Global</v>
      </c>
      <c r="M1540" t="b">
        <f t="shared" si="46"/>
        <v>0</v>
      </c>
      <c r="N1540">
        <f t="shared" si="47"/>
        <v>0</v>
      </c>
    </row>
    <row r="1541" spans="3:14" x14ac:dyDescent="0.25">
      <c r="C1541" t="s">
        <v>1548</v>
      </c>
      <c r="D1541" t="s">
        <v>1400</v>
      </c>
      <c r="E1541" t="s">
        <v>400</v>
      </c>
      <c r="F1541">
        <v>0</v>
      </c>
      <c r="I1541" t="str">
        <v>US9621661043</v>
      </c>
      <c r="J1541" t="str">
        <v>Excluded</v>
      </c>
      <c r="K1541">
        <v>0</v>
      </c>
      <c r="L1541" t="str" cm="1">
        <f t="array" ref="L1541">_xlfn.TEXTJOIN(",",TRUE,_xlfn._xlws.FILTER($C$5:$C$1727,($D$5:$D$1727=I1541)*($E$5:$E$1727=J1541)*($F$5:$F$1727=K1541)))</f>
        <v>Global</v>
      </c>
      <c r="M1541" t="b">
        <f t="shared" si="46"/>
        <v>0</v>
      </c>
      <c r="N1541">
        <f t="shared" si="47"/>
        <v>0</v>
      </c>
    </row>
    <row r="1542" spans="3:14" x14ac:dyDescent="0.25">
      <c r="C1542" t="s">
        <v>1548</v>
      </c>
      <c r="D1542" t="s">
        <v>1401</v>
      </c>
      <c r="E1542" t="s">
        <v>401</v>
      </c>
      <c r="F1542">
        <v>0</v>
      </c>
      <c r="I1542" t="str">
        <v>US9694571004</v>
      </c>
      <c r="J1542" t="str">
        <v>Excluded</v>
      </c>
      <c r="K1542">
        <v>0</v>
      </c>
      <c r="L1542" t="str" cm="1">
        <f t="array" ref="L1542">_xlfn.TEXTJOIN(",",TRUE,_xlfn._xlws.FILTER($C$5:$C$1727,($D$5:$D$1727=I1542)*($E$5:$E$1727=J1542)*($F$5:$F$1727=K1542)))</f>
        <v>Global</v>
      </c>
      <c r="M1542" t="b">
        <f t="shared" ref="M1542:M1556" si="48">COUNTIFS($I$5:$I$1556,I1542)&gt;1</f>
        <v>0</v>
      </c>
      <c r="N1542">
        <f t="shared" ref="N1542:N1556" si="49">COUNTIFS($U$5:$U$231,I1542)</f>
        <v>0</v>
      </c>
    </row>
    <row r="1543" spans="3:14" x14ac:dyDescent="0.25">
      <c r="C1543" t="s">
        <v>1548</v>
      </c>
      <c r="D1543" t="s">
        <v>1402</v>
      </c>
      <c r="E1543" t="s">
        <v>400</v>
      </c>
      <c r="F1543">
        <v>0</v>
      </c>
      <c r="I1543" t="str">
        <v>US9699041011</v>
      </c>
      <c r="J1543" t="str">
        <v>Circular economy</v>
      </c>
      <c r="K1543">
        <v>0.49</v>
      </c>
      <c r="L1543" t="str" cm="1">
        <f t="array" ref="L1543">_xlfn.TEXTJOIN(",",TRUE,_xlfn._xlws.FILTER($C$5:$C$1727,($D$5:$D$1727=I1543)*($E$5:$E$1727=J1543)*($F$5:$F$1727=K1543)))</f>
        <v>Global</v>
      </c>
      <c r="M1543" t="b">
        <f t="shared" si="48"/>
        <v>0</v>
      </c>
      <c r="N1543">
        <f t="shared" si="49"/>
        <v>0</v>
      </c>
    </row>
    <row r="1544" spans="3:14" x14ac:dyDescent="0.25">
      <c r="C1544" t="s">
        <v>1548</v>
      </c>
      <c r="D1544" t="s">
        <v>1403</v>
      </c>
      <c r="E1544" t="s">
        <v>402</v>
      </c>
      <c r="F1544">
        <v>0.53</v>
      </c>
      <c r="I1544" t="str">
        <v>US9807451037</v>
      </c>
      <c r="J1544" t="str">
        <v>Excluded</v>
      </c>
      <c r="K1544">
        <v>0</v>
      </c>
      <c r="L1544" t="str" cm="1">
        <f t="array" ref="L1544">_xlfn.TEXTJOIN(",",TRUE,_xlfn._xlws.FILTER($C$5:$C$1727,($D$5:$D$1727=I1544)*($E$5:$E$1727=J1544)*($F$5:$F$1727=K1544)))</f>
        <v>Global</v>
      </c>
      <c r="M1544" t="b">
        <f t="shared" si="48"/>
        <v>0</v>
      </c>
      <c r="N1544">
        <f t="shared" si="49"/>
        <v>0</v>
      </c>
    </row>
    <row r="1545" spans="3:14" x14ac:dyDescent="0.25">
      <c r="C1545" t="s">
        <v>1548</v>
      </c>
      <c r="D1545" t="s">
        <v>1404</v>
      </c>
      <c r="E1545" t="s">
        <v>400</v>
      </c>
      <c r="F1545">
        <v>0</v>
      </c>
      <c r="I1545" t="str">
        <v>US98138H1014</v>
      </c>
      <c r="J1545" t="str">
        <v>Information technology</v>
      </c>
      <c r="K1545">
        <v>0.43</v>
      </c>
      <c r="L1545" t="str" cm="1">
        <f t="array" ref="L1545">_xlfn.TEXTJOIN(",",TRUE,_xlfn._xlws.FILTER($C$5:$C$1727,($D$5:$D$1727=I1545)*($E$5:$E$1727=J1545)*($F$5:$F$1727=K1545)))</f>
        <v>Global</v>
      </c>
      <c r="M1545" t="b">
        <f t="shared" si="48"/>
        <v>0</v>
      </c>
      <c r="N1545">
        <f t="shared" si="49"/>
        <v>0</v>
      </c>
    </row>
    <row r="1546" spans="3:14" x14ac:dyDescent="0.25">
      <c r="C1546" t="s">
        <v>1548</v>
      </c>
      <c r="D1546" t="s">
        <v>1405</v>
      </c>
      <c r="E1546" t="s">
        <v>401</v>
      </c>
      <c r="F1546">
        <v>0</v>
      </c>
      <c r="I1546" t="str">
        <v>US9837931008</v>
      </c>
      <c r="J1546" t="str">
        <v>Not included in a theme</v>
      </c>
      <c r="K1546">
        <v>0</v>
      </c>
      <c r="L1546" t="str" cm="1">
        <f t="array" ref="L1546">_xlfn.TEXTJOIN(",",TRUE,_xlfn._xlws.FILTER($C$5:$C$1727,($D$5:$D$1727=I1546)*($E$5:$E$1727=J1546)*($F$5:$F$1727=K1546)))</f>
        <v>Global</v>
      </c>
      <c r="M1546" t="b">
        <f t="shared" si="48"/>
        <v>0</v>
      </c>
      <c r="N1546">
        <f t="shared" si="49"/>
        <v>0</v>
      </c>
    </row>
    <row r="1547" spans="3:14" x14ac:dyDescent="0.25">
      <c r="C1547" t="s">
        <v>1548</v>
      </c>
      <c r="D1547" t="s">
        <v>1406</v>
      </c>
      <c r="E1547" t="s">
        <v>401</v>
      </c>
      <c r="F1547">
        <v>0</v>
      </c>
      <c r="I1547" t="str">
        <v>US98389B1008</v>
      </c>
      <c r="J1547" t="str">
        <v>Excluded</v>
      </c>
      <c r="K1547">
        <v>0</v>
      </c>
      <c r="L1547" t="str" cm="1">
        <f t="array" ref="L1547">_xlfn.TEXTJOIN(",",TRUE,_xlfn._xlws.FILTER($C$5:$C$1727,($D$5:$D$1727=I1547)*($E$5:$E$1727=J1547)*($F$5:$F$1727=K1547)))</f>
        <v>Global</v>
      </c>
      <c r="M1547" t="b">
        <f t="shared" si="48"/>
        <v>0</v>
      </c>
      <c r="N1547">
        <f t="shared" si="49"/>
        <v>0</v>
      </c>
    </row>
    <row r="1548" spans="3:14" x14ac:dyDescent="0.25">
      <c r="C1548" t="s">
        <v>1548</v>
      </c>
      <c r="D1548" t="s">
        <v>1407</v>
      </c>
      <c r="E1548" t="s">
        <v>400</v>
      </c>
      <c r="F1548">
        <v>0</v>
      </c>
      <c r="I1548" t="str">
        <v>US98419M1009</v>
      </c>
      <c r="J1548" t="str">
        <v>Climate change adaptation</v>
      </c>
      <c r="K1548">
        <v>1</v>
      </c>
      <c r="L1548" t="str" cm="1">
        <f t="array" ref="L1548">_xlfn.TEXTJOIN(",",TRUE,_xlfn._xlws.FILTER($C$5:$C$1727,($D$5:$D$1727=I1548)*($E$5:$E$1727=J1548)*($F$5:$F$1727=K1548)))</f>
        <v>Global</v>
      </c>
      <c r="M1548" t="b">
        <f t="shared" si="48"/>
        <v>0</v>
      </c>
      <c r="N1548">
        <f t="shared" si="49"/>
        <v>0</v>
      </c>
    </row>
    <row r="1549" spans="3:14" x14ac:dyDescent="0.25">
      <c r="C1549" t="s">
        <v>1548</v>
      </c>
      <c r="D1549" t="s">
        <v>178</v>
      </c>
      <c r="E1549" t="s">
        <v>405</v>
      </c>
      <c r="F1549">
        <v>1</v>
      </c>
      <c r="I1549" t="str">
        <v>US9884981013</v>
      </c>
      <c r="J1549" t="str">
        <v>Excluded</v>
      </c>
      <c r="K1549">
        <v>0</v>
      </c>
      <c r="L1549" t="str" cm="1">
        <f t="array" ref="L1549">_xlfn.TEXTJOIN(",",TRUE,_xlfn._xlws.FILTER($C$5:$C$1727,($D$5:$D$1727=I1549)*($E$5:$E$1727=J1549)*($F$5:$F$1727=K1549)))</f>
        <v>Global</v>
      </c>
      <c r="M1549" t="b">
        <f t="shared" si="48"/>
        <v>0</v>
      </c>
      <c r="N1549">
        <f t="shared" si="49"/>
        <v>0</v>
      </c>
    </row>
    <row r="1550" spans="3:14" x14ac:dyDescent="0.25">
      <c r="C1550" t="s">
        <v>1548</v>
      </c>
      <c r="D1550" t="s">
        <v>1408</v>
      </c>
      <c r="E1550" t="s">
        <v>400</v>
      </c>
      <c r="F1550">
        <v>0</v>
      </c>
      <c r="I1550" t="str">
        <v>US98850P1093</v>
      </c>
      <c r="J1550" t="str">
        <v>Excluded</v>
      </c>
      <c r="K1550">
        <v>0</v>
      </c>
      <c r="L1550" t="str" cm="1">
        <f t="array" ref="L1550">_xlfn.TEXTJOIN(",",TRUE,_xlfn._xlws.FILTER($C$5:$C$1727,($D$5:$D$1727=I1550)*($E$5:$E$1727=J1550)*($F$5:$F$1727=K1550)))</f>
        <v>Global</v>
      </c>
      <c r="M1550" t="b">
        <f t="shared" si="48"/>
        <v>0</v>
      </c>
      <c r="N1550">
        <f t="shared" si="49"/>
        <v>0</v>
      </c>
    </row>
    <row r="1551" spans="3:14" x14ac:dyDescent="0.25">
      <c r="C1551" t="s">
        <v>1548</v>
      </c>
      <c r="D1551" t="s">
        <v>1409</v>
      </c>
      <c r="E1551" t="s">
        <v>401</v>
      </c>
      <c r="F1551">
        <v>0</v>
      </c>
      <c r="I1551" t="str">
        <v>US9892071054</v>
      </c>
      <c r="J1551" t="str">
        <v>Eco-efficient industries</v>
      </c>
      <c r="K1551">
        <v>1</v>
      </c>
      <c r="L1551" t="str" cm="1">
        <f t="array" ref="L1551">_xlfn.TEXTJOIN(",",TRUE,_xlfn._xlws.FILTER($C$5:$C$1727,($D$5:$D$1727=I1551)*($E$5:$E$1727=J1551)*($F$5:$F$1727=K1551)))</f>
        <v>Global</v>
      </c>
      <c r="M1551" t="b">
        <f t="shared" si="48"/>
        <v>0</v>
      </c>
      <c r="N1551">
        <f t="shared" si="49"/>
        <v>0</v>
      </c>
    </row>
    <row r="1552" spans="3:14" x14ac:dyDescent="0.25">
      <c r="C1552" t="s">
        <v>1548</v>
      </c>
      <c r="D1552" t="s">
        <v>1410</v>
      </c>
      <c r="E1552" t="s">
        <v>400</v>
      </c>
      <c r="F1552">
        <v>0</v>
      </c>
      <c r="I1552" t="str">
        <v>US98954M2008</v>
      </c>
      <c r="J1552" t="str">
        <v>Excluded</v>
      </c>
      <c r="K1552">
        <v>0</v>
      </c>
      <c r="L1552" t="str" cm="1">
        <f t="array" ref="L1552">_xlfn.TEXTJOIN(",",TRUE,_xlfn._xlws.FILTER($C$5:$C$1727,($D$5:$D$1727=I1552)*($E$5:$E$1727=J1552)*($F$5:$F$1727=K1552)))</f>
        <v>Global</v>
      </c>
      <c r="M1552" t="b">
        <f t="shared" si="48"/>
        <v>0</v>
      </c>
      <c r="N1552">
        <f t="shared" si="49"/>
        <v>0</v>
      </c>
    </row>
    <row r="1553" spans="3:14" x14ac:dyDescent="0.25">
      <c r="C1553" t="s">
        <v>1548</v>
      </c>
      <c r="D1553" t="s">
        <v>1411</v>
      </c>
      <c r="E1553" t="s">
        <v>400</v>
      </c>
      <c r="F1553">
        <v>0</v>
      </c>
      <c r="I1553" t="str">
        <v>US98956P1021</v>
      </c>
      <c r="J1553" t="str">
        <v>Excluded</v>
      </c>
      <c r="K1553">
        <v>0</v>
      </c>
      <c r="L1553" t="str" cm="1">
        <f t="array" ref="L1553">_xlfn.TEXTJOIN(",",TRUE,_xlfn._xlws.FILTER($C$5:$C$1727,($D$5:$D$1727=I1553)*($E$5:$E$1727=J1553)*($F$5:$F$1727=K1553)))</f>
        <v>Global</v>
      </c>
      <c r="M1553" t="b">
        <f t="shared" si="48"/>
        <v>0</v>
      </c>
      <c r="N1553">
        <f t="shared" si="49"/>
        <v>0</v>
      </c>
    </row>
    <row r="1554" spans="3:14" x14ac:dyDescent="0.25">
      <c r="C1554" t="s">
        <v>1548</v>
      </c>
      <c r="D1554" t="s">
        <v>1412</v>
      </c>
      <c r="E1554" t="s">
        <v>400</v>
      </c>
      <c r="F1554">
        <v>0</v>
      </c>
      <c r="I1554" t="str">
        <v>US98978V1035</v>
      </c>
      <c r="J1554" t="str">
        <v>Not included in a theme</v>
      </c>
      <c r="K1554">
        <v>0</v>
      </c>
      <c r="L1554" t="str" cm="1">
        <f t="array" ref="L1554">_xlfn.TEXTJOIN(",",TRUE,_xlfn._xlws.FILTER($C$5:$C$1727,($D$5:$D$1727=I1554)*($E$5:$E$1727=J1554)*($F$5:$F$1727=K1554)))</f>
        <v>Global</v>
      </c>
      <c r="M1554" t="b">
        <f t="shared" si="48"/>
        <v>0</v>
      </c>
      <c r="N1554">
        <f t="shared" si="49"/>
        <v>0</v>
      </c>
    </row>
    <row r="1555" spans="3:14" x14ac:dyDescent="0.25">
      <c r="C1555" t="s">
        <v>1548</v>
      </c>
      <c r="D1555" t="s">
        <v>1413</v>
      </c>
      <c r="E1555" t="s">
        <v>401</v>
      </c>
      <c r="F1555">
        <v>0</v>
      </c>
      <c r="I1555" t="str">
        <v>US98980G1022</v>
      </c>
      <c r="J1555" t="str">
        <v>Information technology</v>
      </c>
      <c r="K1555">
        <v>1</v>
      </c>
      <c r="L1555" t="str" cm="1">
        <f t="array" ref="L1555">_xlfn.TEXTJOIN(",",TRUE,_xlfn._xlws.FILTER($C$5:$C$1727,($D$5:$D$1727=I1555)*($E$5:$E$1727=J1555)*($F$5:$F$1727=K1555)))</f>
        <v>Global</v>
      </c>
      <c r="M1555" t="b">
        <f t="shared" si="48"/>
        <v>0</v>
      </c>
      <c r="N1555">
        <f t="shared" si="49"/>
        <v>0</v>
      </c>
    </row>
    <row r="1556" spans="3:14" x14ac:dyDescent="0.25">
      <c r="C1556" t="s">
        <v>1548</v>
      </c>
      <c r="D1556" t="s">
        <v>1414</v>
      </c>
      <c r="E1556" t="s">
        <v>400</v>
      </c>
      <c r="F1556">
        <v>0</v>
      </c>
      <c r="I1556" t="str">
        <v>US98980L1017</v>
      </c>
      <c r="J1556" t="str">
        <v>Information technology</v>
      </c>
      <c r="K1556">
        <v>1</v>
      </c>
      <c r="L1556" t="str" cm="1">
        <f t="array" ref="L1556">_xlfn.TEXTJOIN(",",TRUE,_xlfn._xlws.FILTER($C$5:$C$1727,($D$5:$D$1727=I1556)*($E$5:$E$1727=J1556)*($F$5:$F$1727=K1556)))</f>
        <v>Global</v>
      </c>
      <c r="M1556" t="b">
        <f t="shared" si="48"/>
        <v>0</v>
      </c>
      <c r="N1556">
        <f t="shared" si="49"/>
        <v>0</v>
      </c>
    </row>
    <row r="1557" spans="3:14" x14ac:dyDescent="0.25">
      <c r="C1557" t="s">
        <v>1548</v>
      </c>
      <c r="D1557" t="s">
        <v>1415</v>
      </c>
      <c r="E1557" t="s">
        <v>401</v>
      </c>
      <c r="F1557">
        <v>0</v>
      </c>
    </row>
    <row r="1558" spans="3:14" x14ac:dyDescent="0.25">
      <c r="C1558" t="s">
        <v>1548</v>
      </c>
      <c r="D1558" t="s">
        <v>1416</v>
      </c>
      <c r="E1558" t="s">
        <v>401</v>
      </c>
      <c r="F1558">
        <v>0</v>
      </c>
    </row>
    <row r="1559" spans="3:14" x14ac:dyDescent="0.25">
      <c r="C1559" t="s">
        <v>1548</v>
      </c>
      <c r="D1559" t="s">
        <v>99</v>
      </c>
      <c r="E1559" t="s">
        <v>401</v>
      </c>
      <c r="F1559">
        <v>0</v>
      </c>
    </row>
    <row r="1560" spans="3:14" x14ac:dyDescent="0.25">
      <c r="C1560" t="s">
        <v>1548</v>
      </c>
      <c r="D1560" t="s">
        <v>1417</v>
      </c>
      <c r="E1560" t="s">
        <v>401</v>
      </c>
      <c r="F1560">
        <v>0</v>
      </c>
    </row>
    <row r="1561" spans="3:14" x14ac:dyDescent="0.25">
      <c r="C1561" t="s">
        <v>1548</v>
      </c>
      <c r="D1561" t="s">
        <v>189</v>
      </c>
      <c r="E1561" t="s">
        <v>403</v>
      </c>
      <c r="F1561">
        <v>0.72</v>
      </c>
    </row>
    <row r="1562" spans="3:14" x14ac:dyDescent="0.25">
      <c r="C1562" t="s">
        <v>1548</v>
      </c>
      <c r="D1562" t="s">
        <v>1418</v>
      </c>
      <c r="E1562" t="s">
        <v>400</v>
      </c>
      <c r="F1562">
        <v>0</v>
      </c>
    </row>
    <row r="1563" spans="3:14" x14ac:dyDescent="0.25">
      <c r="C1563" t="s">
        <v>1548</v>
      </c>
      <c r="D1563" t="s">
        <v>1419</v>
      </c>
      <c r="E1563" t="s">
        <v>400</v>
      </c>
      <c r="F1563">
        <v>0</v>
      </c>
    </row>
    <row r="1564" spans="3:14" x14ac:dyDescent="0.25">
      <c r="C1564" t="s">
        <v>1548</v>
      </c>
      <c r="D1564" t="s">
        <v>1420</v>
      </c>
      <c r="E1564" t="s">
        <v>400</v>
      </c>
      <c r="F1564">
        <v>0</v>
      </c>
    </row>
    <row r="1565" spans="3:14" x14ac:dyDescent="0.25">
      <c r="C1565" t="s">
        <v>1548</v>
      </c>
      <c r="D1565" t="s">
        <v>143</v>
      </c>
      <c r="E1565" t="s">
        <v>401</v>
      </c>
      <c r="F1565">
        <v>0</v>
      </c>
    </row>
    <row r="1566" spans="3:14" x14ac:dyDescent="0.25">
      <c r="C1566" t="s">
        <v>1548</v>
      </c>
      <c r="D1566" t="s">
        <v>1421</v>
      </c>
      <c r="E1566" t="s">
        <v>405</v>
      </c>
      <c r="F1566">
        <v>1</v>
      </c>
    </row>
    <row r="1567" spans="3:14" x14ac:dyDescent="0.25">
      <c r="C1567" t="s">
        <v>1548</v>
      </c>
      <c r="D1567" t="s">
        <v>1422</v>
      </c>
      <c r="E1567" t="s">
        <v>401</v>
      </c>
      <c r="F1567">
        <v>0</v>
      </c>
    </row>
    <row r="1568" spans="3:14" x14ac:dyDescent="0.25">
      <c r="C1568" t="s">
        <v>1548</v>
      </c>
      <c r="D1568" t="s">
        <v>156</v>
      </c>
      <c r="E1568" t="s">
        <v>400</v>
      </c>
      <c r="F1568">
        <v>0</v>
      </c>
    </row>
    <row r="1569" spans="3:6" x14ac:dyDescent="0.25">
      <c r="C1569" t="s">
        <v>1548</v>
      </c>
      <c r="D1569" t="s">
        <v>1423</v>
      </c>
      <c r="E1569" t="s">
        <v>400</v>
      </c>
      <c r="F1569">
        <v>0</v>
      </c>
    </row>
    <row r="1570" spans="3:6" x14ac:dyDescent="0.25">
      <c r="C1570" t="s">
        <v>1548</v>
      </c>
      <c r="D1570" t="s">
        <v>1424</v>
      </c>
      <c r="E1570" t="s">
        <v>401</v>
      </c>
      <c r="F1570">
        <v>0</v>
      </c>
    </row>
    <row r="1571" spans="3:6" x14ac:dyDescent="0.25">
      <c r="C1571" t="s">
        <v>1548</v>
      </c>
      <c r="D1571" t="s">
        <v>1425</v>
      </c>
      <c r="E1571" t="s">
        <v>401</v>
      </c>
      <c r="F1571">
        <v>0</v>
      </c>
    </row>
    <row r="1572" spans="3:6" x14ac:dyDescent="0.25">
      <c r="C1572" t="s">
        <v>1548</v>
      </c>
      <c r="D1572" t="s">
        <v>1426</v>
      </c>
      <c r="E1572" t="s">
        <v>407</v>
      </c>
      <c r="F1572">
        <v>0.67</v>
      </c>
    </row>
    <row r="1573" spans="3:6" x14ac:dyDescent="0.25">
      <c r="C1573" t="s">
        <v>1548</v>
      </c>
      <c r="D1573" t="s">
        <v>1427</v>
      </c>
      <c r="E1573" t="s">
        <v>400</v>
      </c>
      <c r="F1573">
        <v>0</v>
      </c>
    </row>
    <row r="1574" spans="3:6" x14ac:dyDescent="0.25">
      <c r="C1574" t="s">
        <v>1548</v>
      </c>
      <c r="D1574" t="s">
        <v>1428</v>
      </c>
      <c r="E1574" t="s">
        <v>404</v>
      </c>
      <c r="F1574">
        <v>0.495</v>
      </c>
    </row>
    <row r="1575" spans="3:6" x14ac:dyDescent="0.25">
      <c r="C1575" t="s">
        <v>1548</v>
      </c>
      <c r="D1575" t="s">
        <v>1429</v>
      </c>
      <c r="E1575" t="s">
        <v>403</v>
      </c>
      <c r="F1575">
        <v>1</v>
      </c>
    </row>
    <row r="1576" spans="3:6" x14ac:dyDescent="0.25">
      <c r="C1576" t="s">
        <v>1548</v>
      </c>
      <c r="D1576" t="s">
        <v>1430</v>
      </c>
      <c r="E1576" t="s">
        <v>400</v>
      </c>
      <c r="F1576">
        <v>0</v>
      </c>
    </row>
    <row r="1577" spans="3:6" x14ac:dyDescent="0.25">
      <c r="C1577" t="s">
        <v>1548</v>
      </c>
      <c r="D1577" t="s">
        <v>1431</v>
      </c>
      <c r="E1577" t="s">
        <v>400</v>
      </c>
      <c r="F1577">
        <v>0</v>
      </c>
    </row>
    <row r="1578" spans="3:6" x14ac:dyDescent="0.25">
      <c r="C1578" t="s">
        <v>1548</v>
      </c>
      <c r="D1578" t="s">
        <v>1432</v>
      </c>
      <c r="E1578" t="s">
        <v>401</v>
      </c>
      <c r="F1578">
        <v>0</v>
      </c>
    </row>
    <row r="1579" spans="3:6" x14ac:dyDescent="0.25">
      <c r="C1579" t="s">
        <v>1548</v>
      </c>
      <c r="D1579" t="s">
        <v>165</v>
      </c>
      <c r="E1579" t="s">
        <v>401</v>
      </c>
      <c r="F1579">
        <v>0</v>
      </c>
    </row>
    <row r="1580" spans="3:6" x14ac:dyDescent="0.25">
      <c r="C1580" t="s">
        <v>1548</v>
      </c>
      <c r="D1580" t="s">
        <v>147</v>
      </c>
      <c r="E1580" t="s">
        <v>400</v>
      </c>
      <c r="F1580">
        <v>0</v>
      </c>
    </row>
    <row r="1581" spans="3:6" x14ac:dyDescent="0.25">
      <c r="C1581" t="s">
        <v>1548</v>
      </c>
      <c r="D1581" t="s">
        <v>1433</v>
      </c>
      <c r="E1581" t="s">
        <v>402</v>
      </c>
      <c r="F1581">
        <v>1</v>
      </c>
    </row>
    <row r="1582" spans="3:6" x14ac:dyDescent="0.25">
      <c r="C1582" t="s">
        <v>1548</v>
      </c>
      <c r="D1582" t="s">
        <v>129</v>
      </c>
      <c r="E1582" t="s">
        <v>400</v>
      </c>
      <c r="F1582">
        <v>0</v>
      </c>
    </row>
    <row r="1583" spans="3:6" x14ac:dyDescent="0.25">
      <c r="C1583" t="s">
        <v>1548</v>
      </c>
      <c r="D1583" t="s">
        <v>1434</v>
      </c>
      <c r="E1583" t="s">
        <v>400</v>
      </c>
      <c r="F1583">
        <v>0</v>
      </c>
    </row>
    <row r="1584" spans="3:6" x14ac:dyDescent="0.25">
      <c r="C1584" t="s">
        <v>1548</v>
      </c>
      <c r="D1584" t="s">
        <v>1435</v>
      </c>
      <c r="E1584" t="s">
        <v>400</v>
      </c>
      <c r="F1584">
        <v>0</v>
      </c>
    </row>
    <row r="1585" spans="3:6" x14ac:dyDescent="0.25">
      <c r="C1585" t="s">
        <v>1548</v>
      </c>
      <c r="D1585" t="s">
        <v>1436</v>
      </c>
      <c r="E1585" t="s">
        <v>400</v>
      </c>
      <c r="F1585">
        <v>0</v>
      </c>
    </row>
    <row r="1586" spans="3:6" x14ac:dyDescent="0.25">
      <c r="C1586" t="s">
        <v>1548</v>
      </c>
      <c r="D1586" t="s">
        <v>79</v>
      </c>
      <c r="E1586" t="s">
        <v>401</v>
      </c>
      <c r="F1586">
        <v>0</v>
      </c>
    </row>
    <row r="1587" spans="3:6" x14ac:dyDescent="0.25">
      <c r="C1587" t="s">
        <v>1548</v>
      </c>
      <c r="D1587" t="s">
        <v>1437</v>
      </c>
      <c r="E1587" t="s">
        <v>400</v>
      </c>
      <c r="F1587">
        <v>0</v>
      </c>
    </row>
    <row r="1588" spans="3:6" x14ac:dyDescent="0.25">
      <c r="C1588" t="s">
        <v>1548</v>
      </c>
      <c r="D1588" t="s">
        <v>192</v>
      </c>
      <c r="E1588" t="s">
        <v>407</v>
      </c>
      <c r="F1588">
        <v>0.88</v>
      </c>
    </row>
    <row r="1589" spans="3:6" x14ac:dyDescent="0.25">
      <c r="C1589" t="s">
        <v>1548</v>
      </c>
      <c r="D1589" t="s">
        <v>152</v>
      </c>
      <c r="E1589" t="s">
        <v>400</v>
      </c>
      <c r="F1589">
        <v>0</v>
      </c>
    </row>
    <row r="1590" spans="3:6" x14ac:dyDescent="0.25">
      <c r="C1590" t="s">
        <v>1548</v>
      </c>
      <c r="D1590" t="s">
        <v>1438</v>
      </c>
      <c r="E1590" t="s">
        <v>403</v>
      </c>
      <c r="F1590">
        <v>0.99</v>
      </c>
    </row>
    <row r="1591" spans="3:6" x14ac:dyDescent="0.25">
      <c r="C1591" t="s">
        <v>1548</v>
      </c>
      <c r="D1591" t="s">
        <v>1439</v>
      </c>
      <c r="E1591" t="s">
        <v>400</v>
      </c>
      <c r="F1591">
        <v>0</v>
      </c>
    </row>
    <row r="1592" spans="3:6" x14ac:dyDescent="0.25">
      <c r="C1592" t="s">
        <v>1548</v>
      </c>
      <c r="D1592" t="s">
        <v>1440</v>
      </c>
      <c r="E1592" t="s">
        <v>400</v>
      </c>
      <c r="F1592">
        <v>0</v>
      </c>
    </row>
    <row r="1593" spans="3:6" x14ac:dyDescent="0.25">
      <c r="C1593" t="s">
        <v>1548</v>
      </c>
      <c r="D1593" t="s">
        <v>1441</v>
      </c>
      <c r="E1593" t="s">
        <v>401</v>
      </c>
      <c r="F1593">
        <v>0</v>
      </c>
    </row>
    <row r="1594" spans="3:6" x14ac:dyDescent="0.25">
      <c r="C1594" t="s">
        <v>1548</v>
      </c>
      <c r="D1594" t="s">
        <v>1442</v>
      </c>
      <c r="E1594" t="s">
        <v>400</v>
      </c>
      <c r="F1594">
        <v>0</v>
      </c>
    </row>
    <row r="1595" spans="3:6" x14ac:dyDescent="0.25">
      <c r="C1595" t="s">
        <v>1548</v>
      </c>
      <c r="D1595" t="s">
        <v>1443</v>
      </c>
      <c r="E1595" t="s">
        <v>400</v>
      </c>
      <c r="F1595">
        <v>0</v>
      </c>
    </row>
    <row r="1596" spans="3:6" x14ac:dyDescent="0.25">
      <c r="C1596" t="s">
        <v>1548</v>
      </c>
      <c r="D1596" t="s">
        <v>177</v>
      </c>
      <c r="E1596" t="s">
        <v>401</v>
      </c>
      <c r="F1596">
        <v>0</v>
      </c>
    </row>
    <row r="1597" spans="3:6" x14ac:dyDescent="0.25">
      <c r="C1597" t="s">
        <v>1548</v>
      </c>
      <c r="D1597" t="s">
        <v>1444</v>
      </c>
      <c r="E1597" t="s">
        <v>404</v>
      </c>
      <c r="F1597">
        <v>0.21</v>
      </c>
    </row>
    <row r="1598" spans="3:6" x14ac:dyDescent="0.25">
      <c r="C1598" t="s">
        <v>1548</v>
      </c>
      <c r="D1598" t="s">
        <v>1445</v>
      </c>
      <c r="E1598" t="s">
        <v>400</v>
      </c>
      <c r="F1598">
        <v>0</v>
      </c>
    </row>
    <row r="1599" spans="3:6" x14ac:dyDescent="0.25">
      <c r="C1599" t="s">
        <v>1548</v>
      </c>
      <c r="D1599" t="s">
        <v>1446</v>
      </c>
      <c r="E1599" t="s">
        <v>400</v>
      </c>
      <c r="F1599">
        <v>0</v>
      </c>
    </row>
    <row r="1600" spans="3:6" x14ac:dyDescent="0.25">
      <c r="C1600" t="s">
        <v>1548</v>
      </c>
      <c r="D1600" t="s">
        <v>1447</v>
      </c>
      <c r="E1600" t="s">
        <v>400</v>
      </c>
      <c r="F1600">
        <v>0</v>
      </c>
    </row>
    <row r="1601" spans="3:6" x14ac:dyDescent="0.25">
      <c r="C1601" t="s">
        <v>1548</v>
      </c>
      <c r="D1601" t="s">
        <v>1448</v>
      </c>
      <c r="E1601" t="s">
        <v>400</v>
      </c>
      <c r="F1601">
        <v>0</v>
      </c>
    </row>
    <row r="1602" spans="3:6" x14ac:dyDescent="0.25">
      <c r="C1602" t="s">
        <v>1548</v>
      </c>
      <c r="D1602" t="s">
        <v>1449</v>
      </c>
      <c r="E1602" t="s">
        <v>400</v>
      </c>
      <c r="F1602">
        <v>0</v>
      </c>
    </row>
    <row r="1603" spans="3:6" x14ac:dyDescent="0.25">
      <c r="C1603" t="s">
        <v>1548</v>
      </c>
      <c r="D1603" t="s">
        <v>1450</v>
      </c>
      <c r="E1603" t="s">
        <v>400</v>
      </c>
      <c r="F1603">
        <v>0</v>
      </c>
    </row>
    <row r="1604" spans="3:6" x14ac:dyDescent="0.25">
      <c r="C1604" t="s">
        <v>1548</v>
      </c>
      <c r="D1604" t="s">
        <v>1451</v>
      </c>
      <c r="E1604" t="s">
        <v>400</v>
      </c>
      <c r="F1604">
        <v>0</v>
      </c>
    </row>
    <row r="1605" spans="3:6" x14ac:dyDescent="0.25">
      <c r="C1605" t="s">
        <v>1548</v>
      </c>
      <c r="D1605" t="s">
        <v>1452</v>
      </c>
      <c r="E1605" t="s">
        <v>400</v>
      </c>
      <c r="F1605">
        <v>0</v>
      </c>
    </row>
    <row r="1606" spans="3:6" x14ac:dyDescent="0.25">
      <c r="C1606" t="s">
        <v>1548</v>
      </c>
      <c r="D1606" t="s">
        <v>215</v>
      </c>
      <c r="E1606" t="s">
        <v>404</v>
      </c>
      <c r="F1606">
        <v>0.49</v>
      </c>
    </row>
    <row r="1607" spans="3:6" x14ac:dyDescent="0.25">
      <c r="C1607" t="s">
        <v>1548</v>
      </c>
      <c r="D1607" t="s">
        <v>1453</v>
      </c>
      <c r="E1607" t="s">
        <v>400</v>
      </c>
      <c r="F1607">
        <v>0</v>
      </c>
    </row>
    <row r="1608" spans="3:6" x14ac:dyDescent="0.25">
      <c r="C1608" t="s">
        <v>1548</v>
      </c>
      <c r="D1608" t="s">
        <v>1454</v>
      </c>
      <c r="E1608" t="s">
        <v>400</v>
      </c>
      <c r="F1608">
        <v>0</v>
      </c>
    </row>
    <row r="1609" spans="3:6" x14ac:dyDescent="0.25">
      <c r="C1609" t="s">
        <v>1548</v>
      </c>
      <c r="D1609" t="s">
        <v>181</v>
      </c>
      <c r="E1609" t="s">
        <v>400</v>
      </c>
      <c r="F1609">
        <v>0</v>
      </c>
    </row>
    <row r="1610" spans="3:6" x14ac:dyDescent="0.25">
      <c r="C1610" t="s">
        <v>1548</v>
      </c>
      <c r="D1610" t="s">
        <v>135</v>
      </c>
      <c r="E1610" t="s">
        <v>400</v>
      </c>
      <c r="F1610">
        <v>0</v>
      </c>
    </row>
    <row r="1611" spans="3:6" x14ac:dyDescent="0.25">
      <c r="C1611" t="s">
        <v>1548</v>
      </c>
      <c r="D1611" t="s">
        <v>1455</v>
      </c>
      <c r="E1611" t="s">
        <v>400</v>
      </c>
      <c r="F1611">
        <v>0</v>
      </c>
    </row>
    <row r="1612" spans="3:6" x14ac:dyDescent="0.25">
      <c r="C1612" t="s">
        <v>1548</v>
      </c>
      <c r="D1612" t="s">
        <v>1456</v>
      </c>
      <c r="E1612" t="s">
        <v>399</v>
      </c>
      <c r="F1612">
        <v>0.94</v>
      </c>
    </row>
    <row r="1613" spans="3:6" x14ac:dyDescent="0.25">
      <c r="C1613" t="s">
        <v>1548</v>
      </c>
      <c r="D1613" t="s">
        <v>1457</v>
      </c>
      <c r="E1613" t="s">
        <v>404</v>
      </c>
      <c r="F1613">
        <v>0.9</v>
      </c>
    </row>
    <row r="1614" spans="3:6" x14ac:dyDescent="0.25">
      <c r="C1614" t="s">
        <v>1548</v>
      </c>
      <c r="D1614" t="s">
        <v>1458</v>
      </c>
      <c r="E1614" t="s">
        <v>401</v>
      </c>
      <c r="F1614">
        <v>0</v>
      </c>
    </row>
    <row r="1615" spans="3:6" x14ac:dyDescent="0.25">
      <c r="C1615" t="s">
        <v>1548</v>
      </c>
      <c r="D1615" t="s">
        <v>227</v>
      </c>
      <c r="E1615" t="s">
        <v>401</v>
      </c>
      <c r="F1615">
        <v>0</v>
      </c>
    </row>
    <row r="1616" spans="3:6" x14ac:dyDescent="0.25">
      <c r="C1616" t="s">
        <v>1548</v>
      </c>
      <c r="D1616" t="s">
        <v>1459</v>
      </c>
      <c r="E1616" t="s">
        <v>400</v>
      </c>
      <c r="F1616">
        <v>0</v>
      </c>
    </row>
    <row r="1617" spans="3:6" x14ac:dyDescent="0.25">
      <c r="C1617" t="s">
        <v>1548</v>
      </c>
      <c r="D1617" t="s">
        <v>1460</v>
      </c>
      <c r="E1617" t="s">
        <v>400</v>
      </c>
      <c r="F1617">
        <v>0</v>
      </c>
    </row>
    <row r="1618" spans="3:6" x14ac:dyDescent="0.25">
      <c r="C1618" t="s">
        <v>1548</v>
      </c>
      <c r="D1618" t="s">
        <v>1461</v>
      </c>
      <c r="E1618" t="s">
        <v>400</v>
      </c>
      <c r="F1618">
        <v>0</v>
      </c>
    </row>
    <row r="1619" spans="3:6" x14ac:dyDescent="0.25">
      <c r="C1619" t="s">
        <v>1548</v>
      </c>
      <c r="D1619" t="s">
        <v>1462</v>
      </c>
      <c r="E1619" t="s">
        <v>400</v>
      </c>
      <c r="F1619">
        <v>0</v>
      </c>
    </row>
    <row r="1620" spans="3:6" x14ac:dyDescent="0.25">
      <c r="C1620" t="s">
        <v>1548</v>
      </c>
      <c r="D1620" t="s">
        <v>1463</v>
      </c>
      <c r="E1620" t="s">
        <v>400</v>
      </c>
      <c r="F1620">
        <v>0</v>
      </c>
    </row>
    <row r="1621" spans="3:6" x14ac:dyDescent="0.25">
      <c r="C1621" t="s">
        <v>1548</v>
      </c>
      <c r="D1621" t="s">
        <v>1464</v>
      </c>
      <c r="E1621" t="s">
        <v>400</v>
      </c>
      <c r="F1621">
        <v>0</v>
      </c>
    </row>
    <row r="1622" spans="3:6" x14ac:dyDescent="0.25">
      <c r="C1622" t="s">
        <v>1548</v>
      </c>
      <c r="D1622" t="s">
        <v>1465</v>
      </c>
      <c r="E1622" t="s">
        <v>400</v>
      </c>
      <c r="F1622">
        <v>0</v>
      </c>
    </row>
    <row r="1623" spans="3:6" x14ac:dyDescent="0.25">
      <c r="C1623" t="s">
        <v>1548</v>
      </c>
      <c r="D1623" t="s">
        <v>1466</v>
      </c>
      <c r="E1623" t="s">
        <v>400</v>
      </c>
      <c r="F1623">
        <v>0</v>
      </c>
    </row>
    <row r="1624" spans="3:6" x14ac:dyDescent="0.25">
      <c r="C1624" t="s">
        <v>1548</v>
      </c>
      <c r="D1624" t="s">
        <v>119</v>
      </c>
      <c r="E1624" t="s">
        <v>400</v>
      </c>
      <c r="F1624">
        <v>0</v>
      </c>
    </row>
    <row r="1625" spans="3:6" x14ac:dyDescent="0.25">
      <c r="C1625" t="s">
        <v>1548</v>
      </c>
      <c r="D1625" t="s">
        <v>1467</v>
      </c>
      <c r="E1625" t="s">
        <v>402</v>
      </c>
      <c r="F1625">
        <v>0.6</v>
      </c>
    </row>
    <row r="1626" spans="3:6" x14ac:dyDescent="0.25">
      <c r="C1626" t="s">
        <v>1548</v>
      </c>
      <c r="D1626" t="s">
        <v>1468</v>
      </c>
      <c r="E1626" t="s">
        <v>403</v>
      </c>
      <c r="F1626">
        <v>1</v>
      </c>
    </row>
    <row r="1627" spans="3:6" x14ac:dyDescent="0.25">
      <c r="C1627" t="s">
        <v>1548</v>
      </c>
      <c r="D1627" t="s">
        <v>1469</v>
      </c>
      <c r="E1627" t="s">
        <v>400</v>
      </c>
      <c r="F1627">
        <v>0</v>
      </c>
    </row>
    <row r="1628" spans="3:6" x14ac:dyDescent="0.25">
      <c r="C1628" t="s">
        <v>1548</v>
      </c>
      <c r="D1628" t="s">
        <v>89</v>
      </c>
      <c r="E1628" t="s">
        <v>400</v>
      </c>
      <c r="F1628">
        <v>0</v>
      </c>
    </row>
    <row r="1629" spans="3:6" x14ac:dyDescent="0.25">
      <c r="C1629" t="s">
        <v>1548</v>
      </c>
      <c r="D1629" t="s">
        <v>1470</v>
      </c>
      <c r="E1629" t="s">
        <v>404</v>
      </c>
      <c r="F1629">
        <v>0.73</v>
      </c>
    </row>
    <row r="1630" spans="3:6" x14ac:dyDescent="0.25">
      <c r="C1630" t="s">
        <v>1548</v>
      </c>
      <c r="D1630" t="s">
        <v>1471</v>
      </c>
      <c r="E1630" t="s">
        <v>400</v>
      </c>
      <c r="F1630">
        <v>0</v>
      </c>
    </row>
    <row r="1631" spans="3:6" x14ac:dyDescent="0.25">
      <c r="C1631" t="s">
        <v>1548</v>
      </c>
      <c r="D1631" t="s">
        <v>231</v>
      </c>
      <c r="E1631" t="s">
        <v>400</v>
      </c>
      <c r="F1631">
        <v>0</v>
      </c>
    </row>
    <row r="1632" spans="3:6" x14ac:dyDescent="0.25">
      <c r="C1632" t="s">
        <v>1548</v>
      </c>
      <c r="D1632" t="s">
        <v>224</v>
      </c>
      <c r="E1632" t="s">
        <v>400</v>
      </c>
      <c r="F1632">
        <v>0</v>
      </c>
    </row>
    <row r="1633" spans="3:6" x14ac:dyDescent="0.25">
      <c r="C1633" t="s">
        <v>1548</v>
      </c>
      <c r="D1633" t="s">
        <v>1472</v>
      </c>
      <c r="E1633" t="s">
        <v>401</v>
      </c>
      <c r="F1633">
        <v>0</v>
      </c>
    </row>
    <row r="1634" spans="3:6" x14ac:dyDescent="0.25">
      <c r="C1634" t="s">
        <v>1548</v>
      </c>
      <c r="D1634" t="s">
        <v>1473</v>
      </c>
      <c r="E1634" t="s">
        <v>400</v>
      </c>
      <c r="F1634">
        <v>0</v>
      </c>
    </row>
    <row r="1635" spans="3:6" x14ac:dyDescent="0.25">
      <c r="C1635" t="s">
        <v>1548</v>
      </c>
      <c r="D1635" t="s">
        <v>1474</v>
      </c>
      <c r="E1635" t="s">
        <v>400</v>
      </c>
      <c r="F1635">
        <v>0</v>
      </c>
    </row>
    <row r="1636" spans="3:6" x14ac:dyDescent="0.25">
      <c r="C1636" t="s">
        <v>1548</v>
      </c>
      <c r="D1636" t="s">
        <v>185</v>
      </c>
      <c r="E1636" t="s">
        <v>400</v>
      </c>
      <c r="F1636">
        <v>0</v>
      </c>
    </row>
    <row r="1637" spans="3:6" x14ac:dyDescent="0.25">
      <c r="C1637" t="s">
        <v>1548</v>
      </c>
      <c r="D1637" t="s">
        <v>1475</v>
      </c>
      <c r="E1637" t="s">
        <v>400</v>
      </c>
      <c r="F1637">
        <v>0</v>
      </c>
    </row>
    <row r="1638" spans="3:6" x14ac:dyDescent="0.25">
      <c r="C1638" t="s">
        <v>1548</v>
      </c>
      <c r="D1638" t="s">
        <v>1476</v>
      </c>
      <c r="E1638" t="s">
        <v>401</v>
      </c>
      <c r="F1638">
        <v>0</v>
      </c>
    </row>
    <row r="1639" spans="3:6" x14ac:dyDescent="0.25">
      <c r="C1639" t="s">
        <v>1548</v>
      </c>
      <c r="D1639" t="s">
        <v>1477</v>
      </c>
      <c r="E1639" t="s">
        <v>400</v>
      </c>
      <c r="F1639">
        <v>0</v>
      </c>
    </row>
    <row r="1640" spans="3:6" x14ac:dyDescent="0.25">
      <c r="C1640" t="s">
        <v>1548</v>
      </c>
      <c r="D1640" t="s">
        <v>1478</v>
      </c>
      <c r="E1640" t="s">
        <v>400</v>
      </c>
      <c r="F1640">
        <v>0</v>
      </c>
    </row>
    <row r="1641" spans="3:6" x14ac:dyDescent="0.25">
      <c r="C1641" t="s">
        <v>1548</v>
      </c>
      <c r="D1641" t="s">
        <v>179</v>
      </c>
      <c r="E1641" t="s">
        <v>403</v>
      </c>
      <c r="F1641">
        <v>0.18</v>
      </c>
    </row>
    <row r="1642" spans="3:6" x14ac:dyDescent="0.25">
      <c r="C1642" t="s">
        <v>1548</v>
      </c>
      <c r="D1642" t="s">
        <v>1479</v>
      </c>
      <c r="E1642" t="s">
        <v>405</v>
      </c>
      <c r="F1642">
        <v>0.4</v>
      </c>
    </row>
    <row r="1643" spans="3:6" x14ac:dyDescent="0.25">
      <c r="C1643" t="s">
        <v>1548</v>
      </c>
      <c r="D1643" t="s">
        <v>1480</v>
      </c>
      <c r="E1643" t="s">
        <v>400</v>
      </c>
      <c r="F1643">
        <v>0</v>
      </c>
    </row>
    <row r="1644" spans="3:6" x14ac:dyDescent="0.25">
      <c r="C1644" t="s">
        <v>1548</v>
      </c>
      <c r="D1644" t="s">
        <v>1481</v>
      </c>
      <c r="E1644" t="s">
        <v>400</v>
      </c>
      <c r="F1644">
        <v>0</v>
      </c>
    </row>
    <row r="1645" spans="3:6" x14ac:dyDescent="0.25">
      <c r="C1645" t="s">
        <v>1548</v>
      </c>
      <c r="D1645" t="s">
        <v>1482</v>
      </c>
      <c r="E1645" t="s">
        <v>401</v>
      </c>
      <c r="F1645">
        <v>0</v>
      </c>
    </row>
    <row r="1646" spans="3:6" x14ac:dyDescent="0.25">
      <c r="C1646" t="s">
        <v>1548</v>
      </c>
      <c r="D1646" t="s">
        <v>1483</v>
      </c>
      <c r="E1646" t="s">
        <v>401</v>
      </c>
      <c r="F1646">
        <v>0</v>
      </c>
    </row>
    <row r="1647" spans="3:6" x14ac:dyDescent="0.25">
      <c r="C1647" t="s">
        <v>1548</v>
      </c>
      <c r="D1647" t="s">
        <v>142</v>
      </c>
      <c r="E1647" t="s">
        <v>401</v>
      </c>
      <c r="F1647">
        <v>0</v>
      </c>
    </row>
    <row r="1648" spans="3:6" x14ac:dyDescent="0.25">
      <c r="C1648" t="s">
        <v>1548</v>
      </c>
      <c r="D1648" t="s">
        <v>206</v>
      </c>
      <c r="E1648" t="s">
        <v>407</v>
      </c>
      <c r="F1648">
        <v>0.87</v>
      </c>
    </row>
    <row r="1649" spans="3:6" x14ac:dyDescent="0.25">
      <c r="C1649" t="s">
        <v>1548</v>
      </c>
      <c r="D1649" t="s">
        <v>1484</v>
      </c>
      <c r="E1649" t="s">
        <v>400</v>
      </c>
      <c r="F1649">
        <v>0</v>
      </c>
    </row>
    <row r="1650" spans="3:6" x14ac:dyDescent="0.25">
      <c r="C1650" t="s">
        <v>1548</v>
      </c>
      <c r="D1650" t="s">
        <v>1485</v>
      </c>
      <c r="E1650" t="s">
        <v>400</v>
      </c>
      <c r="F1650">
        <v>0</v>
      </c>
    </row>
    <row r="1651" spans="3:6" x14ac:dyDescent="0.25">
      <c r="C1651" t="s">
        <v>1548</v>
      </c>
      <c r="D1651" t="s">
        <v>1486</v>
      </c>
      <c r="E1651" t="s">
        <v>401</v>
      </c>
      <c r="F1651">
        <v>0</v>
      </c>
    </row>
    <row r="1652" spans="3:6" x14ac:dyDescent="0.25">
      <c r="C1652" t="s">
        <v>1548</v>
      </c>
      <c r="D1652" t="s">
        <v>1487</v>
      </c>
      <c r="E1652" t="s">
        <v>400</v>
      </c>
      <c r="F1652">
        <v>0</v>
      </c>
    </row>
    <row r="1653" spans="3:6" x14ac:dyDescent="0.25">
      <c r="C1653" t="s">
        <v>1548</v>
      </c>
      <c r="D1653" t="s">
        <v>1488</v>
      </c>
      <c r="E1653" t="s">
        <v>400</v>
      </c>
      <c r="F1653">
        <v>0</v>
      </c>
    </row>
    <row r="1654" spans="3:6" x14ac:dyDescent="0.25">
      <c r="C1654" t="s">
        <v>1548</v>
      </c>
      <c r="D1654" t="s">
        <v>1489</v>
      </c>
      <c r="E1654" t="s">
        <v>403</v>
      </c>
      <c r="F1654">
        <v>0.7</v>
      </c>
    </row>
    <row r="1655" spans="3:6" x14ac:dyDescent="0.25">
      <c r="C1655" t="s">
        <v>1548</v>
      </c>
      <c r="D1655" t="s">
        <v>1490</v>
      </c>
      <c r="E1655" t="s">
        <v>401</v>
      </c>
      <c r="F1655">
        <v>0</v>
      </c>
    </row>
    <row r="1656" spans="3:6" x14ac:dyDescent="0.25">
      <c r="C1656" t="s">
        <v>1548</v>
      </c>
      <c r="D1656" t="s">
        <v>1491</v>
      </c>
      <c r="E1656" t="s">
        <v>400</v>
      </c>
      <c r="F1656">
        <v>0</v>
      </c>
    </row>
    <row r="1657" spans="3:6" x14ac:dyDescent="0.25">
      <c r="C1657" t="s">
        <v>1548</v>
      </c>
      <c r="D1657" t="s">
        <v>1492</v>
      </c>
      <c r="E1657" t="s">
        <v>401</v>
      </c>
      <c r="F1657">
        <v>0</v>
      </c>
    </row>
    <row r="1658" spans="3:6" x14ac:dyDescent="0.25">
      <c r="C1658" t="s">
        <v>1548</v>
      </c>
      <c r="D1658" t="s">
        <v>220</v>
      </c>
      <c r="E1658" t="s">
        <v>400</v>
      </c>
      <c r="F1658">
        <v>0</v>
      </c>
    </row>
    <row r="1659" spans="3:6" x14ac:dyDescent="0.25">
      <c r="C1659" t="s">
        <v>1548</v>
      </c>
      <c r="D1659" t="s">
        <v>1493</v>
      </c>
      <c r="E1659" t="s">
        <v>400</v>
      </c>
      <c r="F1659">
        <v>0</v>
      </c>
    </row>
    <row r="1660" spans="3:6" x14ac:dyDescent="0.25">
      <c r="C1660" t="s">
        <v>1548</v>
      </c>
      <c r="D1660" t="s">
        <v>1494</v>
      </c>
      <c r="E1660" t="s">
        <v>400</v>
      </c>
      <c r="F1660">
        <v>0</v>
      </c>
    </row>
    <row r="1661" spans="3:6" x14ac:dyDescent="0.25">
      <c r="C1661" t="s">
        <v>1548</v>
      </c>
      <c r="D1661" t="s">
        <v>1495</v>
      </c>
      <c r="E1661" t="s">
        <v>400</v>
      </c>
      <c r="F1661">
        <v>0</v>
      </c>
    </row>
    <row r="1662" spans="3:6" x14ac:dyDescent="0.25">
      <c r="C1662" t="s">
        <v>1548</v>
      </c>
      <c r="D1662" t="s">
        <v>1496</v>
      </c>
      <c r="E1662" t="s">
        <v>401</v>
      </c>
      <c r="F1662">
        <v>0</v>
      </c>
    </row>
    <row r="1663" spans="3:6" x14ac:dyDescent="0.25">
      <c r="C1663" t="s">
        <v>1548</v>
      </c>
      <c r="D1663" t="s">
        <v>246</v>
      </c>
      <c r="E1663" t="s">
        <v>406</v>
      </c>
      <c r="F1663">
        <v>1</v>
      </c>
    </row>
    <row r="1664" spans="3:6" x14ac:dyDescent="0.25">
      <c r="C1664" t="s">
        <v>1548</v>
      </c>
      <c r="D1664" t="s">
        <v>248</v>
      </c>
      <c r="E1664" t="s">
        <v>400</v>
      </c>
      <c r="F1664">
        <v>0</v>
      </c>
    </row>
    <row r="1665" spans="3:6" x14ac:dyDescent="0.25">
      <c r="C1665" t="s">
        <v>1548</v>
      </c>
      <c r="D1665" t="s">
        <v>1497</v>
      </c>
      <c r="E1665" t="s">
        <v>401</v>
      </c>
      <c r="F1665">
        <v>0</v>
      </c>
    </row>
    <row r="1666" spans="3:6" x14ac:dyDescent="0.25">
      <c r="C1666" t="s">
        <v>1548</v>
      </c>
      <c r="D1666" t="s">
        <v>1498</v>
      </c>
      <c r="E1666" t="s">
        <v>401</v>
      </c>
      <c r="F1666">
        <v>0</v>
      </c>
    </row>
    <row r="1667" spans="3:6" x14ac:dyDescent="0.25">
      <c r="C1667" t="s">
        <v>1548</v>
      </c>
      <c r="D1667" t="s">
        <v>1499</v>
      </c>
      <c r="E1667" t="s">
        <v>400</v>
      </c>
      <c r="F1667">
        <v>0</v>
      </c>
    </row>
    <row r="1668" spans="3:6" x14ac:dyDescent="0.25">
      <c r="C1668" t="s">
        <v>1548</v>
      </c>
      <c r="D1668" t="s">
        <v>1500</v>
      </c>
      <c r="E1668" t="s">
        <v>400</v>
      </c>
      <c r="F1668">
        <v>0</v>
      </c>
    </row>
    <row r="1669" spans="3:6" x14ac:dyDescent="0.25">
      <c r="C1669" t="s">
        <v>1548</v>
      </c>
      <c r="D1669" t="s">
        <v>1501</v>
      </c>
      <c r="E1669" t="s">
        <v>403</v>
      </c>
      <c r="F1669">
        <v>0.65</v>
      </c>
    </row>
    <row r="1670" spans="3:6" x14ac:dyDescent="0.25">
      <c r="C1670" t="s">
        <v>1548</v>
      </c>
      <c r="D1670" t="s">
        <v>1502</v>
      </c>
      <c r="E1670" t="s">
        <v>403</v>
      </c>
      <c r="F1670">
        <v>0.99</v>
      </c>
    </row>
    <row r="1671" spans="3:6" x14ac:dyDescent="0.25">
      <c r="C1671" t="s">
        <v>1548</v>
      </c>
      <c r="D1671" t="s">
        <v>176</v>
      </c>
      <c r="E1671" t="s">
        <v>401</v>
      </c>
      <c r="F1671">
        <v>0</v>
      </c>
    </row>
    <row r="1672" spans="3:6" x14ac:dyDescent="0.25">
      <c r="C1672" t="s">
        <v>1548</v>
      </c>
      <c r="D1672" t="s">
        <v>1503</v>
      </c>
      <c r="E1672" t="s">
        <v>401</v>
      </c>
      <c r="F1672">
        <v>0</v>
      </c>
    </row>
    <row r="1673" spans="3:6" x14ac:dyDescent="0.25">
      <c r="C1673" t="s">
        <v>1548</v>
      </c>
      <c r="D1673" t="s">
        <v>1504</v>
      </c>
      <c r="E1673" t="s">
        <v>401</v>
      </c>
      <c r="F1673">
        <v>0</v>
      </c>
    </row>
    <row r="1674" spans="3:6" x14ac:dyDescent="0.25">
      <c r="C1674" t="s">
        <v>1548</v>
      </c>
      <c r="D1674" t="s">
        <v>228</v>
      </c>
      <c r="E1674" t="s">
        <v>405</v>
      </c>
      <c r="F1674">
        <v>0.64</v>
      </c>
    </row>
    <row r="1675" spans="3:6" x14ac:dyDescent="0.25">
      <c r="C1675" t="s">
        <v>1548</v>
      </c>
      <c r="D1675" t="s">
        <v>1505</v>
      </c>
      <c r="E1675" t="s">
        <v>401</v>
      </c>
      <c r="F1675">
        <v>0</v>
      </c>
    </row>
    <row r="1676" spans="3:6" x14ac:dyDescent="0.25">
      <c r="C1676" t="s">
        <v>1548</v>
      </c>
      <c r="D1676" t="s">
        <v>1506</v>
      </c>
      <c r="E1676" t="s">
        <v>400</v>
      </c>
      <c r="F1676">
        <v>0</v>
      </c>
    </row>
    <row r="1677" spans="3:6" x14ac:dyDescent="0.25">
      <c r="C1677" t="s">
        <v>1548</v>
      </c>
      <c r="D1677" t="s">
        <v>1507</v>
      </c>
      <c r="E1677" t="s">
        <v>400</v>
      </c>
      <c r="F1677">
        <v>0</v>
      </c>
    </row>
    <row r="1678" spans="3:6" x14ac:dyDescent="0.25">
      <c r="C1678" t="s">
        <v>1548</v>
      </c>
      <c r="D1678" t="s">
        <v>229</v>
      </c>
      <c r="E1678" t="s">
        <v>401</v>
      </c>
      <c r="F1678">
        <v>0</v>
      </c>
    </row>
    <row r="1679" spans="3:6" x14ac:dyDescent="0.25">
      <c r="C1679" t="s">
        <v>1548</v>
      </c>
      <c r="D1679" t="s">
        <v>1508</v>
      </c>
      <c r="E1679" t="s">
        <v>400</v>
      </c>
      <c r="F1679">
        <v>0</v>
      </c>
    </row>
    <row r="1680" spans="3:6" x14ac:dyDescent="0.25">
      <c r="C1680" t="s">
        <v>1548</v>
      </c>
      <c r="D1680" t="s">
        <v>1509</v>
      </c>
      <c r="E1680" t="s">
        <v>400</v>
      </c>
      <c r="F1680">
        <v>0</v>
      </c>
    </row>
    <row r="1681" spans="3:6" x14ac:dyDescent="0.25">
      <c r="C1681" t="s">
        <v>1548</v>
      </c>
      <c r="D1681" t="s">
        <v>1510</v>
      </c>
      <c r="E1681" t="s">
        <v>405</v>
      </c>
      <c r="F1681">
        <v>0.19</v>
      </c>
    </row>
    <row r="1682" spans="3:6" x14ac:dyDescent="0.25">
      <c r="C1682" t="s">
        <v>1548</v>
      </c>
      <c r="D1682" t="s">
        <v>1511</v>
      </c>
      <c r="E1682" t="s">
        <v>400</v>
      </c>
      <c r="F1682">
        <v>0</v>
      </c>
    </row>
    <row r="1683" spans="3:6" x14ac:dyDescent="0.25">
      <c r="C1683" t="s">
        <v>1548</v>
      </c>
      <c r="D1683" t="s">
        <v>1512</v>
      </c>
      <c r="E1683" t="s">
        <v>400</v>
      </c>
      <c r="F1683">
        <v>0</v>
      </c>
    </row>
    <row r="1684" spans="3:6" x14ac:dyDescent="0.25">
      <c r="C1684" t="s">
        <v>1548</v>
      </c>
      <c r="D1684" t="s">
        <v>1513</v>
      </c>
      <c r="E1684" t="s">
        <v>400</v>
      </c>
      <c r="F1684">
        <v>0</v>
      </c>
    </row>
    <row r="1685" spans="3:6" x14ac:dyDescent="0.25">
      <c r="C1685" t="s">
        <v>1548</v>
      </c>
      <c r="D1685" t="s">
        <v>1514</v>
      </c>
      <c r="E1685" t="s">
        <v>400</v>
      </c>
      <c r="F1685">
        <v>0</v>
      </c>
    </row>
    <row r="1686" spans="3:6" x14ac:dyDescent="0.25">
      <c r="C1686" t="s">
        <v>1548</v>
      </c>
      <c r="D1686" t="s">
        <v>1515</v>
      </c>
      <c r="E1686" t="s">
        <v>400</v>
      </c>
      <c r="F1686">
        <v>0</v>
      </c>
    </row>
    <row r="1687" spans="3:6" x14ac:dyDescent="0.25">
      <c r="C1687" t="s">
        <v>1548</v>
      </c>
      <c r="D1687" t="s">
        <v>1516</v>
      </c>
      <c r="E1687" t="s">
        <v>400</v>
      </c>
      <c r="F1687">
        <v>0</v>
      </c>
    </row>
    <row r="1688" spans="3:6" x14ac:dyDescent="0.25">
      <c r="C1688" t="s">
        <v>1548</v>
      </c>
      <c r="D1688" t="s">
        <v>212</v>
      </c>
      <c r="E1688" t="s">
        <v>401</v>
      </c>
      <c r="F1688">
        <v>0</v>
      </c>
    </row>
    <row r="1689" spans="3:6" x14ac:dyDescent="0.25">
      <c r="C1689" t="s">
        <v>1548</v>
      </c>
      <c r="D1689" t="s">
        <v>208</v>
      </c>
      <c r="E1689" t="s">
        <v>400</v>
      </c>
      <c r="F1689">
        <v>0</v>
      </c>
    </row>
    <row r="1690" spans="3:6" x14ac:dyDescent="0.25">
      <c r="C1690" t="s">
        <v>1548</v>
      </c>
      <c r="D1690" t="s">
        <v>1517</v>
      </c>
      <c r="E1690" t="s">
        <v>404</v>
      </c>
      <c r="F1690">
        <v>0.31</v>
      </c>
    </row>
    <row r="1691" spans="3:6" x14ac:dyDescent="0.25">
      <c r="C1691" t="s">
        <v>1548</v>
      </c>
      <c r="D1691" t="s">
        <v>117</v>
      </c>
      <c r="E1691" t="s">
        <v>401</v>
      </c>
      <c r="F1691">
        <v>0</v>
      </c>
    </row>
    <row r="1692" spans="3:6" x14ac:dyDescent="0.25">
      <c r="C1692" t="s">
        <v>1548</v>
      </c>
      <c r="D1692" t="s">
        <v>1518</v>
      </c>
      <c r="E1692" t="s">
        <v>401</v>
      </c>
      <c r="F1692">
        <v>0</v>
      </c>
    </row>
    <row r="1693" spans="3:6" x14ac:dyDescent="0.25">
      <c r="C1693" t="s">
        <v>1548</v>
      </c>
      <c r="D1693" t="s">
        <v>1519</v>
      </c>
      <c r="E1693" t="s">
        <v>400</v>
      </c>
      <c r="F1693">
        <v>0</v>
      </c>
    </row>
    <row r="1694" spans="3:6" x14ac:dyDescent="0.25">
      <c r="C1694" t="s">
        <v>1548</v>
      </c>
      <c r="D1694" t="s">
        <v>1520</v>
      </c>
      <c r="E1694" t="s">
        <v>400</v>
      </c>
      <c r="F1694">
        <v>0</v>
      </c>
    </row>
    <row r="1695" spans="3:6" x14ac:dyDescent="0.25">
      <c r="C1695" t="s">
        <v>1548</v>
      </c>
      <c r="D1695" t="s">
        <v>203</v>
      </c>
      <c r="E1695" t="s">
        <v>400</v>
      </c>
      <c r="F1695">
        <v>0</v>
      </c>
    </row>
    <row r="1696" spans="3:6" x14ac:dyDescent="0.25">
      <c r="C1696" t="s">
        <v>1548</v>
      </c>
      <c r="D1696" t="s">
        <v>252</v>
      </c>
      <c r="E1696" t="s">
        <v>400</v>
      </c>
      <c r="F1696">
        <v>0</v>
      </c>
    </row>
    <row r="1697" spans="3:6" x14ac:dyDescent="0.25">
      <c r="C1697" t="s">
        <v>1548</v>
      </c>
      <c r="D1697" t="s">
        <v>1521</v>
      </c>
      <c r="E1697" t="s">
        <v>401</v>
      </c>
      <c r="F1697">
        <v>0</v>
      </c>
    </row>
    <row r="1698" spans="3:6" x14ac:dyDescent="0.25">
      <c r="C1698" t="s">
        <v>1548</v>
      </c>
      <c r="D1698" t="s">
        <v>1522</v>
      </c>
      <c r="E1698" t="s">
        <v>400</v>
      </c>
      <c r="F1698">
        <v>0</v>
      </c>
    </row>
    <row r="1699" spans="3:6" x14ac:dyDescent="0.25">
      <c r="C1699" t="s">
        <v>1548</v>
      </c>
      <c r="D1699" t="s">
        <v>1523</v>
      </c>
      <c r="E1699" t="s">
        <v>404</v>
      </c>
      <c r="F1699">
        <v>1</v>
      </c>
    </row>
    <row r="1700" spans="3:6" x14ac:dyDescent="0.25">
      <c r="C1700" t="s">
        <v>1548</v>
      </c>
      <c r="D1700" t="s">
        <v>1524</v>
      </c>
      <c r="E1700" t="s">
        <v>403</v>
      </c>
      <c r="F1700">
        <v>0.65</v>
      </c>
    </row>
    <row r="1701" spans="3:6" x14ac:dyDescent="0.25">
      <c r="C1701" t="s">
        <v>1548</v>
      </c>
      <c r="D1701" t="s">
        <v>144</v>
      </c>
      <c r="E1701" t="s">
        <v>405</v>
      </c>
      <c r="F1701">
        <v>0.54</v>
      </c>
    </row>
    <row r="1702" spans="3:6" x14ac:dyDescent="0.25">
      <c r="C1702" t="s">
        <v>1548</v>
      </c>
      <c r="D1702" t="s">
        <v>1525</v>
      </c>
      <c r="E1702" t="s">
        <v>404</v>
      </c>
      <c r="F1702">
        <v>0.12</v>
      </c>
    </row>
    <row r="1703" spans="3:6" x14ac:dyDescent="0.25">
      <c r="C1703" t="s">
        <v>1548</v>
      </c>
      <c r="D1703" t="s">
        <v>1526</v>
      </c>
      <c r="E1703" t="s">
        <v>401</v>
      </c>
      <c r="F1703">
        <v>0</v>
      </c>
    </row>
    <row r="1704" spans="3:6" x14ac:dyDescent="0.25">
      <c r="C1704" t="s">
        <v>1548</v>
      </c>
      <c r="D1704" t="s">
        <v>1527</v>
      </c>
      <c r="E1704" t="s">
        <v>400</v>
      </c>
      <c r="F1704">
        <v>0</v>
      </c>
    </row>
    <row r="1705" spans="3:6" x14ac:dyDescent="0.25">
      <c r="C1705" t="s">
        <v>1548</v>
      </c>
      <c r="D1705" t="s">
        <v>1528</v>
      </c>
      <c r="E1705" t="s">
        <v>400</v>
      </c>
      <c r="F1705">
        <v>0</v>
      </c>
    </row>
    <row r="1706" spans="3:6" x14ac:dyDescent="0.25">
      <c r="C1706" t="s">
        <v>1548</v>
      </c>
      <c r="D1706" t="s">
        <v>184</v>
      </c>
      <c r="E1706" t="s">
        <v>400</v>
      </c>
      <c r="F1706">
        <v>0</v>
      </c>
    </row>
    <row r="1707" spans="3:6" x14ac:dyDescent="0.25">
      <c r="C1707" t="s">
        <v>1548</v>
      </c>
      <c r="D1707" t="s">
        <v>1529</v>
      </c>
      <c r="E1707" t="s">
        <v>406</v>
      </c>
      <c r="F1707">
        <v>0.62</v>
      </c>
    </row>
    <row r="1708" spans="3:6" x14ac:dyDescent="0.25">
      <c r="C1708" t="s">
        <v>1548</v>
      </c>
      <c r="D1708" t="s">
        <v>1530</v>
      </c>
      <c r="E1708" t="s">
        <v>405</v>
      </c>
      <c r="F1708">
        <v>0.83</v>
      </c>
    </row>
    <row r="1709" spans="3:6" x14ac:dyDescent="0.25">
      <c r="C1709" t="s">
        <v>1548</v>
      </c>
      <c r="D1709" t="s">
        <v>1531</v>
      </c>
      <c r="E1709" t="s">
        <v>400</v>
      </c>
      <c r="F1709">
        <v>0</v>
      </c>
    </row>
    <row r="1710" spans="3:6" x14ac:dyDescent="0.25">
      <c r="C1710" t="s">
        <v>1548</v>
      </c>
      <c r="D1710" t="s">
        <v>250</v>
      </c>
      <c r="E1710" t="s">
        <v>400</v>
      </c>
      <c r="F1710">
        <v>0</v>
      </c>
    </row>
    <row r="1711" spans="3:6" x14ac:dyDescent="0.25">
      <c r="C1711" t="s">
        <v>1548</v>
      </c>
      <c r="D1711" t="s">
        <v>1532</v>
      </c>
      <c r="E1711" t="s">
        <v>400</v>
      </c>
      <c r="F1711">
        <v>0</v>
      </c>
    </row>
    <row r="1712" spans="3:6" x14ac:dyDescent="0.25">
      <c r="C1712" t="s">
        <v>1548</v>
      </c>
      <c r="D1712" t="s">
        <v>1533</v>
      </c>
      <c r="E1712" t="s">
        <v>405</v>
      </c>
      <c r="F1712">
        <v>0.19</v>
      </c>
    </row>
    <row r="1713" spans="3:6" x14ac:dyDescent="0.25">
      <c r="C1713" t="s">
        <v>1548</v>
      </c>
      <c r="D1713" t="s">
        <v>104</v>
      </c>
      <c r="E1713" t="s">
        <v>400</v>
      </c>
      <c r="F1713">
        <v>0</v>
      </c>
    </row>
    <row r="1714" spans="3:6" x14ac:dyDescent="0.25">
      <c r="C1714" t="s">
        <v>1548</v>
      </c>
      <c r="D1714" t="s">
        <v>1534</v>
      </c>
      <c r="E1714" t="s">
        <v>400</v>
      </c>
      <c r="F1714">
        <v>0</v>
      </c>
    </row>
    <row r="1715" spans="3:6" x14ac:dyDescent="0.25">
      <c r="C1715" t="s">
        <v>1548</v>
      </c>
      <c r="D1715" t="s">
        <v>258</v>
      </c>
      <c r="E1715" t="s">
        <v>400</v>
      </c>
      <c r="F1715">
        <v>0</v>
      </c>
    </row>
    <row r="1716" spans="3:6" x14ac:dyDescent="0.25">
      <c r="C1716" t="s">
        <v>1548</v>
      </c>
      <c r="D1716" t="s">
        <v>1535</v>
      </c>
      <c r="E1716" t="s">
        <v>403</v>
      </c>
      <c r="F1716">
        <v>0.7</v>
      </c>
    </row>
    <row r="1717" spans="3:6" x14ac:dyDescent="0.25">
      <c r="C1717" t="s">
        <v>1548</v>
      </c>
      <c r="D1717" t="s">
        <v>1536</v>
      </c>
      <c r="E1717" t="s">
        <v>400</v>
      </c>
      <c r="F1717">
        <v>0</v>
      </c>
    </row>
    <row r="1718" spans="3:6" x14ac:dyDescent="0.25">
      <c r="C1718" t="s">
        <v>1548</v>
      </c>
      <c r="D1718" t="s">
        <v>1537</v>
      </c>
      <c r="E1718" t="s">
        <v>403</v>
      </c>
      <c r="F1718">
        <v>0.42</v>
      </c>
    </row>
    <row r="1719" spans="3:6" x14ac:dyDescent="0.25">
      <c r="C1719" t="s">
        <v>1548</v>
      </c>
      <c r="D1719" t="s">
        <v>1538</v>
      </c>
      <c r="E1719" t="s">
        <v>400</v>
      </c>
      <c r="F1719">
        <v>0</v>
      </c>
    </row>
    <row r="1720" spans="3:6" x14ac:dyDescent="0.25">
      <c r="C1720" t="s">
        <v>1548</v>
      </c>
      <c r="D1720" t="s">
        <v>1539</v>
      </c>
      <c r="E1720" t="s">
        <v>400</v>
      </c>
      <c r="F1720">
        <v>0</v>
      </c>
    </row>
    <row r="1721" spans="3:6" x14ac:dyDescent="0.25">
      <c r="C1721" t="s">
        <v>1548</v>
      </c>
      <c r="D1721" t="s">
        <v>168</v>
      </c>
      <c r="E1721" t="s">
        <v>407</v>
      </c>
      <c r="F1721">
        <v>1</v>
      </c>
    </row>
    <row r="1722" spans="3:6" x14ac:dyDescent="0.25">
      <c r="C1722" t="s">
        <v>1548</v>
      </c>
      <c r="D1722" t="s">
        <v>149</v>
      </c>
      <c r="E1722" t="s">
        <v>401</v>
      </c>
      <c r="F1722">
        <v>0</v>
      </c>
    </row>
    <row r="1723" spans="3:6" x14ac:dyDescent="0.25">
      <c r="C1723" t="s">
        <v>1548</v>
      </c>
      <c r="D1723" t="s">
        <v>1540</v>
      </c>
      <c r="E1723" t="s">
        <v>400</v>
      </c>
      <c r="F1723">
        <v>0</v>
      </c>
    </row>
    <row r="1724" spans="3:6" x14ac:dyDescent="0.25">
      <c r="C1724" t="s">
        <v>1548</v>
      </c>
      <c r="D1724" t="s">
        <v>1541</v>
      </c>
      <c r="E1724" t="s">
        <v>400</v>
      </c>
      <c r="F1724">
        <v>0</v>
      </c>
    </row>
    <row r="1725" spans="3:6" x14ac:dyDescent="0.25">
      <c r="C1725" t="s">
        <v>1548</v>
      </c>
      <c r="D1725" t="s">
        <v>1542</v>
      </c>
      <c r="E1725" t="s">
        <v>400</v>
      </c>
      <c r="F1725">
        <v>0</v>
      </c>
    </row>
    <row r="1726" spans="3:6" x14ac:dyDescent="0.25">
      <c r="C1726" t="s">
        <v>1548</v>
      </c>
      <c r="D1726" t="s">
        <v>1543</v>
      </c>
      <c r="E1726" t="s">
        <v>400</v>
      </c>
      <c r="F1726">
        <v>0</v>
      </c>
    </row>
    <row r="1727" spans="3:6" x14ac:dyDescent="0.25">
      <c r="C1727" t="s">
        <v>1548</v>
      </c>
      <c r="D1727" t="s">
        <v>1544</v>
      </c>
      <c r="E1727" t="s">
        <v>400</v>
      </c>
      <c r="F1727">
        <v>0</v>
      </c>
    </row>
  </sheetData>
  <conditionalFormatting sqref="I5:I155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Eurozone</vt:lpstr>
      <vt:lpstr>Global</vt:lpstr>
      <vt:lpstr>duplicates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TRULES</dc:creator>
  <cp:lastModifiedBy>Francesco Bernardi</cp:lastModifiedBy>
  <dcterms:created xsi:type="dcterms:W3CDTF">2025-12-05T10:39:29Z</dcterms:created>
  <dcterms:modified xsi:type="dcterms:W3CDTF">2025-12-11T22:22:56Z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2025-12-11T12:46:06Z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f94c3fe6-5ca2-44d5-810e-92dc35a55715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