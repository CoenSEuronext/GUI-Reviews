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Index Reviews/output/2024/12/FRD4P/"/>
    </mc:Choice>
  </mc:AlternateContent>
  <xr:revisionPtr revIDLastSave="5" documentId="11_1055D2ACD330D40C8FFB3A11595ED87656CDC870" xr6:coauthVersionLast="47" xr6:coauthVersionMax="47" xr10:uidLastSave="{3F7B71B8-3662-4FE4-839B-10AD972A80F0}"/>
  <bookViews>
    <workbookView xWindow="-120" yWindow="-120" windowWidth="29040" windowHeight="15840" xr2:uid="{00000000-000D-0000-FFFF-FFFF00000000}"/>
  </bookViews>
  <sheets>
    <sheet name="Sheet1" sheetId="1" r:id="rId1"/>
  </sheets>
  <externalReferences>
    <externalReference r:id="rId2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41" i="1" l="1"/>
  <c r="I40" i="1"/>
  <c r="I39" i="1"/>
  <c r="I38" i="1"/>
  <c r="I37" i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I4" i="1"/>
  <c r="I3" i="1"/>
  <c r="I2" i="1"/>
</calcChain>
</file>

<file path=xl/sharedStrings.xml><?xml version="1.0" encoding="utf-8"?>
<sst xmlns="http://schemas.openxmlformats.org/spreadsheetml/2006/main" count="208" uniqueCount="105">
  <si>
    <t>Name</t>
  </si>
  <si>
    <t>ISIN</t>
  </si>
  <si>
    <t>MIC</t>
  </si>
  <si>
    <t>NOSH</t>
  </si>
  <si>
    <t>Free Float</t>
  </si>
  <si>
    <t>Final Capping</t>
  </si>
  <si>
    <t>Effective Date of Review</t>
  </si>
  <si>
    <t>Currency</t>
  </si>
  <si>
    <t>3I GROUP PLC</t>
  </si>
  <si>
    <t>GB00B1YW4409</t>
  </si>
  <si>
    <t>XLON</t>
  </si>
  <si>
    <t>23-Dec-24</t>
  </si>
  <si>
    <t>GBP</t>
  </si>
  <si>
    <t>ACCENTURE PLC-A</t>
  </si>
  <si>
    <t>IE00B4BNMY34</t>
  </si>
  <si>
    <t>XNYS</t>
  </si>
  <si>
    <t>USD</t>
  </si>
  <si>
    <t>ACCOR</t>
  </si>
  <si>
    <t>FR0000120404</t>
  </si>
  <si>
    <t>XPAR</t>
  </si>
  <si>
    <t>EUR</t>
  </si>
  <si>
    <t>ADP</t>
  </si>
  <si>
    <t>FR0010340141</t>
  </si>
  <si>
    <t>ALSTOM</t>
  </si>
  <si>
    <t>FR0010220475</t>
  </si>
  <si>
    <t>AMADEUS IT GROUP</t>
  </si>
  <si>
    <t>ES0109067019</t>
  </si>
  <si>
    <t>XMAD</t>
  </si>
  <si>
    <t>AXA</t>
  </si>
  <si>
    <t>FR0000120628</t>
  </si>
  <si>
    <t>BECTON DICKINSON</t>
  </si>
  <si>
    <t>US0758871091</t>
  </si>
  <si>
    <t>BNP PARIBAS ACT.A</t>
  </si>
  <si>
    <t>FR0000131104</t>
  </si>
  <si>
    <t>BOUYGUES</t>
  </si>
  <si>
    <t>FR0000120503</t>
  </si>
  <si>
    <t>CARREFOUR</t>
  </si>
  <si>
    <t>FR0000120172</t>
  </si>
  <si>
    <t>CGI INC. CLASS A</t>
  </si>
  <si>
    <t>CA12532H1047</t>
  </si>
  <si>
    <t>XTSE</t>
  </si>
  <si>
    <t>CAD</t>
  </si>
  <si>
    <t>CREDIT AGRICOLE</t>
  </si>
  <si>
    <t>FR0000045072</t>
  </si>
  <si>
    <t>EIFFAGE</t>
  </si>
  <si>
    <t>FR0000130452</t>
  </si>
  <si>
    <t>EQUINIX INC</t>
  </si>
  <si>
    <t>US29444U7000</t>
  </si>
  <si>
    <t>XNGS</t>
  </si>
  <si>
    <t>GE AEROSPACE</t>
  </si>
  <si>
    <t>US3696043013</t>
  </si>
  <si>
    <t>GENERAL MILLS INC.</t>
  </si>
  <si>
    <t>US3703341046</t>
  </si>
  <si>
    <t>GSK PLC</t>
  </si>
  <si>
    <t>GB00BN7SWP63</t>
  </si>
  <si>
    <t>HERMES INTL</t>
  </si>
  <si>
    <t>FR0000052292</t>
  </si>
  <si>
    <t>INTEL CORP</t>
  </si>
  <si>
    <t>US4581401001</t>
  </si>
  <si>
    <t>L'OREAL</t>
  </si>
  <si>
    <t>FR0000120321</t>
  </si>
  <si>
    <t>LVMH</t>
  </si>
  <si>
    <t>FR0000121014</t>
  </si>
  <si>
    <t>MERCK KGA</t>
  </si>
  <si>
    <t>DE0006599905</t>
  </si>
  <si>
    <t>XETR</t>
  </si>
  <si>
    <t>MITSUBISHI HEAVY</t>
  </si>
  <si>
    <t>JP3900000005</t>
  </si>
  <si>
    <t>XTKS</t>
  </si>
  <si>
    <t>JPY</t>
  </si>
  <si>
    <t>NOKIA</t>
  </si>
  <si>
    <t>FI0009000681</t>
  </si>
  <si>
    <t>XHEL</t>
  </si>
  <si>
    <t>ORANGE</t>
  </si>
  <si>
    <t>FR0000133308</t>
  </si>
  <si>
    <t>PUBLICIS GROUPE SA</t>
  </si>
  <si>
    <t>FR0000130577</t>
  </si>
  <si>
    <t>RANDSTAD NV</t>
  </si>
  <si>
    <t>NL0000379121</t>
  </si>
  <si>
    <t>XAMS</t>
  </si>
  <si>
    <t>RENAULT</t>
  </si>
  <si>
    <t>FR0000131906</t>
  </si>
  <si>
    <t>SAINT GOBAIN</t>
  </si>
  <si>
    <t>FR0000125007</t>
  </si>
  <si>
    <t>SANOFI</t>
  </si>
  <si>
    <t>FR0000120578</t>
  </si>
  <si>
    <t>SARTORIUS STED BIO</t>
  </si>
  <si>
    <t>FR0013154002</t>
  </si>
  <si>
    <t>STELLANTIS NV</t>
  </si>
  <si>
    <t>NL00150001Q9</t>
  </si>
  <si>
    <t>MTAA</t>
  </si>
  <si>
    <t>STMICROELECTRONICS</t>
  </si>
  <si>
    <t>NL0000226223</t>
  </si>
  <si>
    <t>STRYKER CORPORATION</t>
  </si>
  <si>
    <t>US8636671013</t>
  </si>
  <si>
    <t>THE WALT DISNEY COMP</t>
  </si>
  <si>
    <t>US2546871060</t>
  </si>
  <si>
    <t>THERMO FISHER SCIENT</t>
  </si>
  <si>
    <t>US8835561023</t>
  </si>
  <si>
    <t>TOYOTA MOTOR CORP</t>
  </si>
  <si>
    <t>JP3633400001</t>
  </si>
  <si>
    <t>VINCI</t>
  </si>
  <si>
    <t>FR0000125486</t>
  </si>
  <si>
    <t>WEST PHARMACEUTICAL</t>
  </si>
  <si>
    <t>US9553061055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</si>
</sst>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euronext-my.sharepoint.com/personal/csonneveld_euronext_com/Documents/Documents/Projects/FRD4P/Test/FRD4P_df.xlsx" TargetMode="External"/><Relationship Id="rId1" Type="http://schemas.openxmlformats.org/officeDocument/2006/relationships/externalLinkPath" Target="/personal/csonneveld_euronext_com/Documents/Documents/Projects/FRD4P/Test/FRD4P_df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>
        <row r="2">
          <cell r="A2" t="str">
            <v>3I GROUP PLC</v>
          </cell>
        </row>
        <row r="3">
          <cell r="A3" t="str">
            <v>ACCENTURE PLC-A</v>
          </cell>
        </row>
        <row r="4">
          <cell r="A4" t="str">
            <v>ACCOR</v>
          </cell>
        </row>
        <row r="5">
          <cell r="A5" t="str">
            <v>ADMIRAL GROUP PLC</v>
          </cell>
        </row>
        <row r="6">
          <cell r="A6" t="str">
            <v>ALSTOM</v>
          </cell>
        </row>
        <row r="7">
          <cell r="A7" t="str">
            <v>AMADEUS IT GROUP</v>
          </cell>
        </row>
        <row r="8">
          <cell r="A8" t="str">
            <v>ASTRAZENECA</v>
          </cell>
        </row>
        <row r="9">
          <cell r="A9" t="str">
            <v>AXA</v>
          </cell>
        </row>
        <row r="10">
          <cell r="A10" t="str">
            <v>BECTON DICKINSON</v>
          </cell>
        </row>
        <row r="11">
          <cell r="A11" t="str">
            <v>BIOGEN INC</v>
          </cell>
        </row>
        <row r="12">
          <cell r="A12" t="str">
            <v>BIOMERIEUX</v>
          </cell>
        </row>
        <row r="13">
          <cell r="A13" t="str">
            <v>BLACKSTONE INC</v>
          </cell>
        </row>
        <row r="14">
          <cell r="A14" t="str">
            <v>BNP PARIBAS ACT.A</v>
          </cell>
        </row>
        <row r="15">
          <cell r="A15" t="str">
            <v>BOUYGUES</v>
          </cell>
        </row>
        <row r="16">
          <cell r="A16" t="str">
            <v>CGI INC. CLASS A</v>
          </cell>
        </row>
        <row r="17">
          <cell r="A17" t="str">
            <v>CORNING INC</v>
          </cell>
        </row>
        <row r="18">
          <cell r="A18" t="str">
            <v>CREDIT AGRICOLE</v>
          </cell>
        </row>
        <row r="19">
          <cell r="A19" t="str">
            <v>DANONE</v>
          </cell>
        </row>
        <row r="20">
          <cell r="A20" t="str">
            <v>EIFFAGE</v>
          </cell>
        </row>
        <row r="21">
          <cell r="A21" t="str">
            <v>EQUINIX INC</v>
          </cell>
        </row>
        <row r="22">
          <cell r="A22" t="str">
            <v>GENERAL MILLS INC.</v>
          </cell>
        </row>
        <row r="23">
          <cell r="A23" t="str">
            <v>GSK PLC</v>
          </cell>
        </row>
        <row r="24">
          <cell r="A24" t="str">
            <v>HERMES INTL</v>
          </cell>
        </row>
        <row r="25">
          <cell r="A25" t="str">
            <v>KINGFISHER</v>
          </cell>
        </row>
        <row r="26">
          <cell r="A26" t="str">
            <v>L'OREAL</v>
          </cell>
        </row>
        <row r="27">
          <cell r="A27" t="str">
            <v>LVMH</v>
          </cell>
        </row>
        <row r="28">
          <cell r="A28" t="str">
            <v>MERCK KGA</v>
          </cell>
        </row>
        <row r="29">
          <cell r="A29" t="str">
            <v>NEXANS</v>
          </cell>
        </row>
        <row r="30">
          <cell r="A30" t="str">
            <v>NOKIA</v>
          </cell>
        </row>
        <row r="31">
          <cell r="A31" t="str">
            <v>PUBLICIS GROUPE SA</v>
          </cell>
        </row>
        <row r="32">
          <cell r="A32" t="str">
            <v>RANDSTAD NV</v>
          </cell>
        </row>
        <row r="33">
          <cell r="A33" t="str">
            <v>RENAULT</v>
          </cell>
        </row>
        <row r="34">
          <cell r="A34" t="str">
            <v>REXEL</v>
          </cell>
        </row>
        <row r="35">
          <cell r="A35" t="str">
            <v>SAINT GOBAIN</v>
          </cell>
        </row>
        <row r="36">
          <cell r="A36" t="str">
            <v>SANOFI</v>
          </cell>
        </row>
        <row r="37">
          <cell r="A37" t="str">
            <v>SIEMENS AG</v>
          </cell>
        </row>
        <row r="38">
          <cell r="A38" t="str">
            <v>STMICROELECTRONICS</v>
          </cell>
        </row>
        <row r="39">
          <cell r="A39" t="str">
            <v>THERMO FISHER SCIENT</v>
          </cell>
        </row>
        <row r="40">
          <cell r="A40" t="str">
            <v>TOYOTA MOTOR CORP</v>
          </cell>
        </row>
        <row r="41">
          <cell r="A41" t="str">
            <v>VINCI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1"/>
  <sheetViews>
    <sheetView tabSelected="1" workbookViewId="0">
      <selection activeCell="I3" sqref="I3:I41"/>
    </sheetView>
  </sheetViews>
  <sheetFormatPr defaultRowHeight="15" x14ac:dyDescent="0.25"/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9" x14ac:dyDescent="0.25">
      <c r="A2" t="s">
        <v>8</v>
      </c>
      <c r="B2" t="s">
        <v>9</v>
      </c>
      <c r="C2" t="s">
        <v>10</v>
      </c>
      <c r="D2">
        <v>973388700</v>
      </c>
      <c r="E2">
        <v>1</v>
      </c>
      <c r="F2">
        <v>4.42185E-9</v>
      </c>
      <c r="G2" t="s">
        <v>11</v>
      </c>
      <c r="H2" t="s">
        <v>12</v>
      </c>
      <c r="I2" t="b">
        <f>[1]Sheet1!A2=A2</f>
        <v>1</v>
      </c>
    </row>
    <row r="3" spans="1:9" x14ac:dyDescent="0.25">
      <c r="A3" t="s">
        <v>13</v>
      </c>
      <c r="B3" t="s">
        <v>14</v>
      </c>
      <c r="C3" t="s">
        <v>15</v>
      </c>
      <c r="D3">
        <v>624855650</v>
      </c>
      <c r="E3">
        <v>1</v>
      </c>
      <c r="F3">
        <v>4.42185E-9</v>
      </c>
      <c r="G3" t="s">
        <v>11</v>
      </c>
      <c r="H3" t="s">
        <v>16</v>
      </c>
      <c r="I3" t="b">
        <f>[1]Sheet1!A3=A3</f>
        <v>1</v>
      </c>
    </row>
    <row r="4" spans="1:9" x14ac:dyDescent="0.25">
      <c r="A4" t="s">
        <v>17</v>
      </c>
      <c r="B4" t="s">
        <v>18</v>
      </c>
      <c r="C4" t="s">
        <v>19</v>
      </c>
      <c r="D4">
        <v>243667720</v>
      </c>
      <c r="E4">
        <v>0.85000000000000009</v>
      </c>
      <c r="F4">
        <v>1</v>
      </c>
      <c r="G4" t="s">
        <v>11</v>
      </c>
      <c r="H4" t="s">
        <v>20</v>
      </c>
      <c r="I4" t="b">
        <f>[1]Sheet1!A4=A4</f>
        <v>1</v>
      </c>
    </row>
    <row r="5" spans="1:9" x14ac:dyDescent="0.25">
      <c r="A5" t="s">
        <v>21</v>
      </c>
      <c r="B5" t="s">
        <v>22</v>
      </c>
      <c r="C5" t="s">
        <v>19</v>
      </c>
      <c r="D5">
        <v>98960602</v>
      </c>
      <c r="E5">
        <v>0.3</v>
      </c>
      <c r="F5">
        <v>1</v>
      </c>
      <c r="G5" t="s">
        <v>11</v>
      </c>
      <c r="H5" t="s">
        <v>20</v>
      </c>
      <c r="I5" t="b">
        <f>[1]Sheet1!A5=A5</f>
        <v>0</v>
      </c>
    </row>
    <row r="6" spans="1:9" x14ac:dyDescent="0.25">
      <c r="A6" t="s">
        <v>23</v>
      </c>
      <c r="B6" t="s">
        <v>24</v>
      </c>
      <c r="C6" t="s">
        <v>19</v>
      </c>
      <c r="D6">
        <v>461509585</v>
      </c>
      <c r="E6">
        <v>0.75</v>
      </c>
      <c r="F6">
        <v>1</v>
      </c>
      <c r="G6" t="s">
        <v>11</v>
      </c>
      <c r="H6" t="s">
        <v>20</v>
      </c>
      <c r="I6" t="b">
        <f>[1]Sheet1!A6=A6</f>
        <v>1</v>
      </c>
    </row>
    <row r="7" spans="1:9" x14ac:dyDescent="0.25">
      <c r="A7" t="s">
        <v>25</v>
      </c>
      <c r="B7" t="s">
        <v>26</v>
      </c>
      <c r="C7" t="s">
        <v>27</v>
      </c>
      <c r="D7">
        <v>450499200</v>
      </c>
      <c r="E7">
        <v>1</v>
      </c>
      <c r="F7">
        <v>4.42185E-9</v>
      </c>
      <c r="G7" t="s">
        <v>11</v>
      </c>
      <c r="H7" t="s">
        <v>20</v>
      </c>
      <c r="I7" t="b">
        <f>[1]Sheet1!A7=A7</f>
        <v>1</v>
      </c>
    </row>
    <row r="8" spans="1:9" x14ac:dyDescent="0.25">
      <c r="A8" t="s">
        <v>28</v>
      </c>
      <c r="B8" t="s">
        <v>29</v>
      </c>
      <c r="C8" t="s">
        <v>19</v>
      </c>
      <c r="D8">
        <v>2201287926</v>
      </c>
      <c r="E8">
        <v>0.85000000000000009</v>
      </c>
      <c r="F8">
        <v>1</v>
      </c>
      <c r="G8" t="s">
        <v>11</v>
      </c>
      <c r="H8" t="s">
        <v>20</v>
      </c>
      <c r="I8" t="b">
        <f>[1]Sheet1!A8=A8</f>
        <v>0</v>
      </c>
    </row>
    <row r="9" spans="1:9" x14ac:dyDescent="0.25">
      <c r="A9" t="s">
        <v>30</v>
      </c>
      <c r="B9" t="s">
        <v>31</v>
      </c>
      <c r="C9" t="s">
        <v>15</v>
      </c>
      <c r="D9">
        <v>289042420</v>
      </c>
      <c r="E9">
        <v>1</v>
      </c>
      <c r="F9">
        <v>4.42185E-9</v>
      </c>
      <c r="G9" t="s">
        <v>11</v>
      </c>
      <c r="H9" t="s">
        <v>16</v>
      </c>
      <c r="I9" t="b">
        <f>[1]Sheet1!A9=A9</f>
        <v>0</v>
      </c>
    </row>
    <row r="10" spans="1:9" x14ac:dyDescent="0.25">
      <c r="A10" t="s">
        <v>32</v>
      </c>
      <c r="B10" t="s">
        <v>33</v>
      </c>
      <c r="C10" t="s">
        <v>19</v>
      </c>
      <c r="D10">
        <v>1130810671</v>
      </c>
      <c r="E10">
        <v>0.95000000000000007</v>
      </c>
      <c r="F10">
        <v>1</v>
      </c>
      <c r="G10" t="s">
        <v>11</v>
      </c>
      <c r="H10" t="s">
        <v>20</v>
      </c>
      <c r="I10" t="b">
        <f>[1]Sheet1!A10=A10</f>
        <v>0</v>
      </c>
    </row>
    <row r="11" spans="1:9" x14ac:dyDescent="0.25">
      <c r="A11" t="s">
        <v>34</v>
      </c>
      <c r="B11" t="s">
        <v>35</v>
      </c>
      <c r="C11" t="s">
        <v>19</v>
      </c>
      <c r="D11">
        <v>378957297</v>
      </c>
      <c r="E11">
        <v>0.5</v>
      </c>
      <c r="F11">
        <v>1</v>
      </c>
      <c r="G11" t="s">
        <v>11</v>
      </c>
      <c r="H11" t="s">
        <v>20</v>
      </c>
      <c r="I11" t="b">
        <f>[1]Sheet1!A11=A11</f>
        <v>0</v>
      </c>
    </row>
    <row r="12" spans="1:9" x14ac:dyDescent="0.25">
      <c r="A12" t="s">
        <v>36</v>
      </c>
      <c r="B12" t="s">
        <v>37</v>
      </c>
      <c r="C12" t="s">
        <v>19</v>
      </c>
      <c r="D12">
        <v>677969188</v>
      </c>
      <c r="E12">
        <v>0.85000000000000009</v>
      </c>
      <c r="F12">
        <v>1</v>
      </c>
      <c r="G12" t="s">
        <v>11</v>
      </c>
      <c r="H12" t="s">
        <v>20</v>
      </c>
      <c r="I12" t="b">
        <f>[1]Sheet1!A12=A12</f>
        <v>0</v>
      </c>
    </row>
    <row r="13" spans="1:9" x14ac:dyDescent="0.25">
      <c r="A13" t="s">
        <v>38</v>
      </c>
      <c r="B13" t="s">
        <v>39</v>
      </c>
      <c r="C13" t="s">
        <v>40</v>
      </c>
      <c r="D13">
        <v>203856400</v>
      </c>
      <c r="E13">
        <v>0.9</v>
      </c>
      <c r="F13">
        <v>4.42185E-9</v>
      </c>
      <c r="G13" t="s">
        <v>11</v>
      </c>
      <c r="H13" t="s">
        <v>41</v>
      </c>
      <c r="I13" t="b">
        <f>[1]Sheet1!A13=A13</f>
        <v>0</v>
      </c>
    </row>
    <row r="14" spans="1:9" x14ac:dyDescent="0.25">
      <c r="A14" t="s">
        <v>42</v>
      </c>
      <c r="B14" t="s">
        <v>43</v>
      </c>
      <c r="C14" t="s">
        <v>19</v>
      </c>
      <c r="D14">
        <v>3041031027</v>
      </c>
      <c r="E14">
        <v>0.3</v>
      </c>
      <c r="F14">
        <v>1</v>
      </c>
      <c r="G14" t="s">
        <v>11</v>
      </c>
      <c r="H14" t="s">
        <v>20</v>
      </c>
      <c r="I14" t="b">
        <f>[1]Sheet1!A14=A14</f>
        <v>0</v>
      </c>
    </row>
    <row r="15" spans="1:9" x14ac:dyDescent="0.25">
      <c r="A15" t="s">
        <v>44</v>
      </c>
      <c r="B15" t="s">
        <v>45</v>
      </c>
      <c r="C15" t="s">
        <v>19</v>
      </c>
      <c r="D15">
        <v>98000000</v>
      </c>
      <c r="E15">
        <v>0.75</v>
      </c>
      <c r="F15">
        <v>1</v>
      </c>
      <c r="G15" t="s">
        <v>11</v>
      </c>
      <c r="H15" t="s">
        <v>20</v>
      </c>
      <c r="I15" t="b">
        <f>[1]Sheet1!A15=A15</f>
        <v>0</v>
      </c>
    </row>
    <row r="16" spans="1:9" x14ac:dyDescent="0.25">
      <c r="A16" t="s">
        <v>46</v>
      </c>
      <c r="B16" t="s">
        <v>47</v>
      </c>
      <c r="C16" t="s">
        <v>48</v>
      </c>
      <c r="D16">
        <v>96488190</v>
      </c>
      <c r="E16">
        <v>1</v>
      </c>
      <c r="F16">
        <v>4.42185E-9</v>
      </c>
      <c r="G16" t="s">
        <v>11</v>
      </c>
      <c r="H16" t="s">
        <v>16</v>
      </c>
      <c r="I16" t="b">
        <f>[1]Sheet1!A16=A16</f>
        <v>0</v>
      </c>
    </row>
    <row r="17" spans="1:9" x14ac:dyDescent="0.25">
      <c r="A17" t="s">
        <v>49</v>
      </c>
      <c r="B17" t="s">
        <v>50</v>
      </c>
      <c r="C17" t="s">
        <v>15</v>
      </c>
      <c r="D17">
        <v>1082294000</v>
      </c>
      <c r="E17">
        <v>1</v>
      </c>
      <c r="F17">
        <v>4.42185E-9</v>
      </c>
      <c r="G17" t="s">
        <v>11</v>
      </c>
      <c r="H17" t="s">
        <v>16</v>
      </c>
      <c r="I17" t="b">
        <f>[1]Sheet1!A17=A17</f>
        <v>0</v>
      </c>
    </row>
    <row r="18" spans="1:9" x14ac:dyDescent="0.25">
      <c r="A18" t="s">
        <v>51</v>
      </c>
      <c r="B18" t="s">
        <v>52</v>
      </c>
      <c r="C18" t="s">
        <v>15</v>
      </c>
      <c r="D18">
        <v>555158900</v>
      </c>
      <c r="E18">
        <v>1</v>
      </c>
      <c r="F18">
        <v>4.42185E-9</v>
      </c>
      <c r="G18" t="s">
        <v>11</v>
      </c>
      <c r="H18" t="s">
        <v>16</v>
      </c>
      <c r="I18" t="b">
        <f>[1]Sheet1!A18=A18</f>
        <v>0</v>
      </c>
    </row>
    <row r="19" spans="1:9" x14ac:dyDescent="0.25">
      <c r="A19" t="s">
        <v>53</v>
      </c>
      <c r="B19" t="s">
        <v>54</v>
      </c>
      <c r="C19" t="s">
        <v>10</v>
      </c>
      <c r="D19">
        <v>4145099600</v>
      </c>
      <c r="E19">
        <v>1</v>
      </c>
      <c r="F19">
        <v>4.42185E-9</v>
      </c>
      <c r="G19" t="s">
        <v>11</v>
      </c>
      <c r="H19" t="s">
        <v>12</v>
      </c>
      <c r="I19" t="b">
        <f>[1]Sheet1!A19=A19</f>
        <v>0</v>
      </c>
    </row>
    <row r="20" spans="1:9" x14ac:dyDescent="0.25">
      <c r="A20" t="s">
        <v>55</v>
      </c>
      <c r="B20" t="s">
        <v>56</v>
      </c>
      <c r="C20" t="s">
        <v>19</v>
      </c>
      <c r="D20">
        <v>105569412</v>
      </c>
      <c r="E20">
        <v>0.3</v>
      </c>
      <c r="F20">
        <v>1</v>
      </c>
      <c r="G20" t="s">
        <v>11</v>
      </c>
      <c r="H20" t="s">
        <v>20</v>
      </c>
      <c r="I20" t="b">
        <f>[1]Sheet1!A20=A20</f>
        <v>0</v>
      </c>
    </row>
    <row r="21" spans="1:9" x14ac:dyDescent="0.25">
      <c r="A21" t="s">
        <v>57</v>
      </c>
      <c r="B21" t="s">
        <v>58</v>
      </c>
      <c r="C21" t="s">
        <v>48</v>
      </c>
      <c r="D21">
        <v>4313000000</v>
      </c>
      <c r="E21">
        <v>1</v>
      </c>
      <c r="F21">
        <v>4.42185E-9</v>
      </c>
      <c r="G21" t="s">
        <v>11</v>
      </c>
      <c r="H21" t="s">
        <v>16</v>
      </c>
      <c r="I21" t="b">
        <f>[1]Sheet1!A21=A21</f>
        <v>0</v>
      </c>
    </row>
    <row r="22" spans="1:9" x14ac:dyDescent="0.25">
      <c r="A22" t="s">
        <v>59</v>
      </c>
      <c r="B22" t="s">
        <v>60</v>
      </c>
      <c r="C22" t="s">
        <v>19</v>
      </c>
      <c r="D22">
        <v>534311946</v>
      </c>
      <c r="E22">
        <v>0.45</v>
      </c>
      <c r="F22">
        <v>1</v>
      </c>
      <c r="G22" t="s">
        <v>11</v>
      </c>
      <c r="H22" t="s">
        <v>20</v>
      </c>
      <c r="I22" t="b">
        <f>[1]Sheet1!A22=A22</f>
        <v>0</v>
      </c>
    </row>
    <row r="23" spans="1:9" x14ac:dyDescent="0.25">
      <c r="A23" t="s">
        <v>61</v>
      </c>
      <c r="B23" t="s">
        <v>62</v>
      </c>
      <c r="C23" t="s">
        <v>19</v>
      </c>
      <c r="D23">
        <v>500141700</v>
      </c>
      <c r="E23">
        <v>0.5</v>
      </c>
      <c r="F23">
        <v>1</v>
      </c>
      <c r="G23" t="s">
        <v>11</v>
      </c>
      <c r="H23" t="s">
        <v>20</v>
      </c>
      <c r="I23" t="b">
        <f>[1]Sheet1!A23=A23</f>
        <v>0</v>
      </c>
    </row>
    <row r="24" spans="1:9" x14ac:dyDescent="0.25">
      <c r="A24" t="s">
        <v>63</v>
      </c>
      <c r="B24" t="s">
        <v>64</v>
      </c>
      <c r="C24" t="s">
        <v>65</v>
      </c>
      <c r="D24">
        <v>129242250</v>
      </c>
      <c r="E24">
        <v>1</v>
      </c>
      <c r="F24">
        <v>4.42185E-9</v>
      </c>
      <c r="G24" t="s">
        <v>11</v>
      </c>
      <c r="H24" t="s">
        <v>20</v>
      </c>
      <c r="I24" t="b">
        <f>[1]Sheet1!A24=A24</f>
        <v>0</v>
      </c>
    </row>
    <row r="25" spans="1:9" x14ac:dyDescent="0.25">
      <c r="A25" t="s">
        <v>66</v>
      </c>
      <c r="B25" t="s">
        <v>67</v>
      </c>
      <c r="C25" t="s">
        <v>68</v>
      </c>
      <c r="D25">
        <v>3373647700</v>
      </c>
      <c r="E25">
        <v>1</v>
      </c>
      <c r="F25">
        <v>4.42185E-9</v>
      </c>
      <c r="G25" t="s">
        <v>11</v>
      </c>
      <c r="H25" t="s">
        <v>69</v>
      </c>
      <c r="I25" t="b">
        <f>[1]Sheet1!A25=A25</f>
        <v>0</v>
      </c>
    </row>
    <row r="26" spans="1:9" x14ac:dyDescent="0.25">
      <c r="A26" t="s">
        <v>70</v>
      </c>
      <c r="B26" t="s">
        <v>71</v>
      </c>
      <c r="C26" t="s">
        <v>72</v>
      </c>
      <c r="D26">
        <v>5613496600</v>
      </c>
      <c r="E26">
        <v>0.95</v>
      </c>
      <c r="F26">
        <v>4.42185E-9</v>
      </c>
      <c r="G26" t="s">
        <v>11</v>
      </c>
      <c r="H26" t="s">
        <v>20</v>
      </c>
      <c r="I26" t="b">
        <f>[1]Sheet1!A26=A26</f>
        <v>0</v>
      </c>
    </row>
    <row r="27" spans="1:9" x14ac:dyDescent="0.25">
      <c r="A27" t="s">
        <v>73</v>
      </c>
      <c r="B27" t="s">
        <v>74</v>
      </c>
      <c r="C27" t="s">
        <v>19</v>
      </c>
      <c r="D27">
        <v>2660056599</v>
      </c>
      <c r="E27">
        <v>0.65</v>
      </c>
      <c r="F27">
        <v>1</v>
      </c>
      <c r="G27" t="s">
        <v>11</v>
      </c>
      <c r="H27" t="s">
        <v>20</v>
      </c>
      <c r="I27" t="b">
        <f>[1]Sheet1!A27=A27</f>
        <v>0</v>
      </c>
    </row>
    <row r="28" spans="1:9" x14ac:dyDescent="0.25">
      <c r="A28" t="s">
        <v>75</v>
      </c>
      <c r="B28" t="s">
        <v>76</v>
      </c>
      <c r="C28" t="s">
        <v>19</v>
      </c>
      <c r="D28">
        <v>254311860</v>
      </c>
      <c r="E28">
        <v>0.9</v>
      </c>
      <c r="F28">
        <v>1</v>
      </c>
      <c r="G28" t="s">
        <v>11</v>
      </c>
      <c r="H28" t="s">
        <v>20</v>
      </c>
      <c r="I28" t="b">
        <f>[1]Sheet1!A28=A28</f>
        <v>0</v>
      </c>
    </row>
    <row r="29" spans="1:9" x14ac:dyDescent="0.25">
      <c r="A29" t="s">
        <v>77</v>
      </c>
      <c r="B29" t="s">
        <v>78</v>
      </c>
      <c r="C29" t="s">
        <v>79</v>
      </c>
      <c r="D29">
        <v>180869312</v>
      </c>
      <c r="E29">
        <v>0.5</v>
      </c>
      <c r="F29">
        <v>4.42185E-9</v>
      </c>
      <c r="G29" t="s">
        <v>11</v>
      </c>
      <c r="H29" t="s">
        <v>20</v>
      </c>
      <c r="I29" t="b">
        <f>[1]Sheet1!A29=A29</f>
        <v>0</v>
      </c>
    </row>
    <row r="30" spans="1:9" x14ac:dyDescent="0.25">
      <c r="A30" t="s">
        <v>80</v>
      </c>
      <c r="B30" t="s">
        <v>81</v>
      </c>
      <c r="C30" t="s">
        <v>19</v>
      </c>
      <c r="D30">
        <v>295722284</v>
      </c>
      <c r="E30">
        <v>0.70000000000000007</v>
      </c>
      <c r="F30">
        <v>1</v>
      </c>
      <c r="G30" t="s">
        <v>11</v>
      </c>
      <c r="H30" t="s">
        <v>20</v>
      </c>
      <c r="I30" t="b">
        <f>[1]Sheet1!A30=A30</f>
        <v>0</v>
      </c>
    </row>
    <row r="31" spans="1:9" x14ac:dyDescent="0.25">
      <c r="A31" t="s">
        <v>82</v>
      </c>
      <c r="B31" t="s">
        <v>83</v>
      </c>
      <c r="C31" t="s">
        <v>19</v>
      </c>
      <c r="D31">
        <v>504005802</v>
      </c>
      <c r="E31">
        <v>0.9</v>
      </c>
      <c r="F31">
        <v>1</v>
      </c>
      <c r="G31" t="s">
        <v>11</v>
      </c>
      <c r="H31" t="s">
        <v>20</v>
      </c>
      <c r="I31" t="b">
        <f>[1]Sheet1!A31=A31</f>
        <v>0</v>
      </c>
    </row>
    <row r="32" spans="1:9" x14ac:dyDescent="0.25">
      <c r="A32" t="s">
        <v>84</v>
      </c>
      <c r="B32" t="s">
        <v>85</v>
      </c>
      <c r="C32" t="s">
        <v>19</v>
      </c>
      <c r="D32">
        <v>1268922721</v>
      </c>
      <c r="E32">
        <v>0.9</v>
      </c>
      <c r="F32">
        <v>0.90432639810280002</v>
      </c>
      <c r="G32" t="s">
        <v>11</v>
      </c>
      <c r="H32" t="s">
        <v>20</v>
      </c>
      <c r="I32" t="b">
        <f>[1]Sheet1!A32=A32</f>
        <v>0</v>
      </c>
    </row>
    <row r="33" spans="1:9" x14ac:dyDescent="0.25">
      <c r="A33" t="s">
        <v>86</v>
      </c>
      <c r="B33" t="s">
        <v>87</v>
      </c>
      <c r="C33" t="s">
        <v>19</v>
      </c>
      <c r="D33">
        <v>97330405</v>
      </c>
      <c r="E33">
        <v>0.3</v>
      </c>
      <c r="F33">
        <v>1</v>
      </c>
      <c r="G33" t="s">
        <v>11</v>
      </c>
      <c r="H33" t="s">
        <v>20</v>
      </c>
      <c r="I33" t="b">
        <f>[1]Sheet1!A33=A33</f>
        <v>0</v>
      </c>
    </row>
    <row r="34" spans="1:9" x14ac:dyDescent="0.25">
      <c r="A34" t="s">
        <v>88</v>
      </c>
      <c r="B34" t="s">
        <v>89</v>
      </c>
      <c r="C34" t="s">
        <v>90</v>
      </c>
      <c r="D34">
        <v>3023129879</v>
      </c>
      <c r="E34">
        <v>0.70000000000000007</v>
      </c>
      <c r="F34">
        <v>4.42185E-9</v>
      </c>
      <c r="G34" t="s">
        <v>11</v>
      </c>
      <c r="H34" t="s">
        <v>20</v>
      </c>
      <c r="I34" t="b">
        <f>[1]Sheet1!A34=A34</f>
        <v>0</v>
      </c>
    </row>
    <row r="35" spans="1:9" x14ac:dyDescent="0.25">
      <c r="A35" t="s">
        <v>91</v>
      </c>
      <c r="B35" t="s">
        <v>92</v>
      </c>
      <c r="C35" t="s">
        <v>19</v>
      </c>
      <c r="D35">
        <v>911281920</v>
      </c>
      <c r="E35">
        <v>0.70000000000000007</v>
      </c>
      <c r="F35">
        <v>1</v>
      </c>
      <c r="G35" t="s">
        <v>11</v>
      </c>
      <c r="H35" t="s">
        <v>20</v>
      </c>
      <c r="I35" t="b">
        <f>[1]Sheet1!A35=A35</f>
        <v>0</v>
      </c>
    </row>
    <row r="36" spans="1:9" x14ac:dyDescent="0.25">
      <c r="A36" t="s">
        <v>93</v>
      </c>
      <c r="B36" t="s">
        <v>94</v>
      </c>
      <c r="C36" t="s">
        <v>15</v>
      </c>
      <c r="D36">
        <v>381215760</v>
      </c>
      <c r="E36">
        <v>0.95</v>
      </c>
      <c r="F36">
        <v>4.42185E-9</v>
      </c>
      <c r="G36" t="s">
        <v>11</v>
      </c>
      <c r="H36" t="s">
        <v>16</v>
      </c>
      <c r="I36" t="b">
        <f>[1]Sheet1!A36=A36</f>
        <v>0</v>
      </c>
    </row>
    <row r="37" spans="1:9" x14ac:dyDescent="0.25">
      <c r="A37" t="s">
        <v>95</v>
      </c>
      <c r="B37" t="s">
        <v>96</v>
      </c>
      <c r="C37" t="s">
        <v>15</v>
      </c>
      <c r="D37">
        <v>1810939300</v>
      </c>
      <c r="E37">
        <v>1</v>
      </c>
      <c r="F37">
        <v>4.42185E-9</v>
      </c>
      <c r="G37" t="s">
        <v>11</v>
      </c>
      <c r="H37" t="s">
        <v>16</v>
      </c>
      <c r="I37" t="b">
        <f>[1]Sheet1!A37=A37</f>
        <v>0</v>
      </c>
    </row>
    <row r="38" spans="1:9" x14ac:dyDescent="0.25">
      <c r="A38" t="s">
        <v>97</v>
      </c>
      <c r="B38" t="s">
        <v>98</v>
      </c>
      <c r="C38" t="s">
        <v>15</v>
      </c>
      <c r="D38">
        <v>382500270</v>
      </c>
      <c r="E38">
        <v>1</v>
      </c>
      <c r="F38">
        <v>4.42185E-9</v>
      </c>
      <c r="G38" t="s">
        <v>11</v>
      </c>
      <c r="H38" t="s">
        <v>16</v>
      </c>
      <c r="I38" t="b">
        <f>[1]Sheet1!A38=A38</f>
        <v>0</v>
      </c>
    </row>
    <row r="39" spans="1:9" x14ac:dyDescent="0.25">
      <c r="A39" t="s">
        <v>99</v>
      </c>
      <c r="B39" t="s">
        <v>100</v>
      </c>
      <c r="C39" t="s">
        <v>68</v>
      </c>
      <c r="D39">
        <v>15794987000</v>
      </c>
      <c r="E39">
        <v>0.75</v>
      </c>
      <c r="F39">
        <v>4.42185E-9</v>
      </c>
      <c r="G39" t="s">
        <v>11</v>
      </c>
      <c r="H39" t="s">
        <v>69</v>
      </c>
      <c r="I39" t="b">
        <f>[1]Sheet1!A39=A39</f>
        <v>0</v>
      </c>
    </row>
    <row r="40" spans="1:9" x14ac:dyDescent="0.25">
      <c r="A40" t="s">
        <v>101</v>
      </c>
      <c r="B40" t="s">
        <v>102</v>
      </c>
      <c r="C40" t="s">
        <v>19</v>
      </c>
      <c r="D40">
        <v>589895166</v>
      </c>
      <c r="E40">
        <v>0.9</v>
      </c>
      <c r="F40">
        <v>1</v>
      </c>
      <c r="G40" t="s">
        <v>11</v>
      </c>
      <c r="H40" t="s">
        <v>20</v>
      </c>
      <c r="I40" t="b">
        <f>[1]Sheet1!A40=A40</f>
        <v>0</v>
      </c>
    </row>
    <row r="41" spans="1:9" x14ac:dyDescent="0.25">
      <c r="A41" t="s">
        <v>103</v>
      </c>
      <c r="B41" t="s">
        <v>104</v>
      </c>
      <c r="C41" t="s">
        <v>15</v>
      </c>
      <c r="D41">
        <v>72422350</v>
      </c>
      <c r="E41">
        <v>1</v>
      </c>
      <c r="F41">
        <v>4.42185E-9</v>
      </c>
      <c r="G41" t="s">
        <v>11</v>
      </c>
      <c r="H41" t="s">
        <v>16</v>
      </c>
      <c r="I41" t="b">
        <f>[1]Sheet1!A41=A41</f>
        <v>0</v>
      </c>
    </row>
  </sheetData>
  <pageMargins left="0.75" right="0.75" top="1" bottom="1" header="0.5" footer="0.5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Coen Sonneveld</cp:lastModifiedBy>
  <dcterms:created xsi:type="dcterms:W3CDTF">2024-12-12T13:47:29Z</dcterms:created>
  <dcterms:modified xsi:type="dcterms:W3CDTF">2024-12-12T13:50:12Z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2024-12-12T13:50:12Z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ba5cb72c-565e-46e0-adf5-07b7d4e52be9</vt:lpwstr>
  </property>
  <property fmtid="{D5CDD505-2E9C-101B-9397-08002B2CF9AE}" pid="8" name="MSIP_Label_ac0b9ce6-6e99-42a1-af95-429494370cbc_ContentBits">
    <vt:lpwstr>2</vt:lpwstr>
  </property>
</Properties>
</file>