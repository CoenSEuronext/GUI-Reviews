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FRD4P/Test/"/>
    </mc:Choice>
  </mc:AlternateContent>
  <xr:revisionPtr revIDLastSave="3" documentId="11_1861B2A4D340DE7357DB3711595ED87656CD94CF" xr6:coauthVersionLast="47" xr6:coauthVersionMax="47" xr10:uidLastSave="{98384246-55E3-4551-9C1C-1E540BD2219D}"/>
  <bookViews>
    <workbookView xWindow="-29370" yWindow="195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2" i="1"/>
</calcChain>
</file>

<file path=xl/sharedStrings.xml><?xml version="1.0" encoding="utf-8"?>
<sst xmlns="http://schemas.openxmlformats.org/spreadsheetml/2006/main" count="366" uniqueCount="188">
  <si>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</si>
  <si>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</si>
  <si>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</si>
  <si>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</si>
  <si>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</si>
  <si>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</si>
  <si>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</si>
  <si>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</si>
  <si>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</si>
  <si>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</si>
  <si>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</si>
  <si>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</si>
  <si>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</si>
  <si>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exclude</t>
  </si>
  <si>
    <t>Job_score_3Y</t>
  </si>
  <si>
    <t>CRStaffRatingNum</t>
  </si>
  <si>
    <t>MC-FR</t>
  </si>
  <si>
    <t>LVMH</t>
  </si>
  <si>
    <t>FR0000121014</t>
  </si>
  <si>
    <t>XPAR</t>
  </si>
  <si>
    <t>EUR</t>
  </si>
  <si>
    <t>EU500;EZ300</t>
  </si>
  <si>
    <t>EU</t>
  </si>
  <si>
    <t>BNP-FR</t>
  </si>
  <si>
    <t>BNP PARIBAS ACT.A</t>
  </si>
  <si>
    <t>FR0000131104</t>
  </si>
  <si>
    <t>RNO-FR</t>
  </si>
  <si>
    <t>RENAULT</t>
  </si>
  <si>
    <t>FR0000131906</t>
  </si>
  <si>
    <t>ALO-FR</t>
  </si>
  <si>
    <t>ALSTOM</t>
  </si>
  <si>
    <t>FR0010220475</t>
  </si>
  <si>
    <t>SGO-FR</t>
  </si>
  <si>
    <t>SAINT GOBAIN</t>
  </si>
  <si>
    <t>FR0000125007</t>
  </si>
  <si>
    <t>STMPA-FR</t>
  </si>
  <si>
    <t>STMICROELECTRONICS</t>
  </si>
  <si>
    <t>NL0000226223</t>
  </si>
  <si>
    <t>RMS-FR</t>
  </si>
  <si>
    <t>HERMES INTL</t>
  </si>
  <si>
    <t>FR0000052292</t>
  </si>
  <si>
    <t>ACA-FR</t>
  </si>
  <si>
    <t>CREDIT AGRICOLE</t>
  </si>
  <si>
    <t>FR0000045072</t>
  </si>
  <si>
    <t>SAN-FR</t>
  </si>
  <si>
    <t>SANOFI</t>
  </si>
  <si>
    <t>FR0000120578</t>
  </si>
  <si>
    <t>OR-FR</t>
  </si>
  <si>
    <t>L'OREAL</t>
  </si>
  <si>
    <t>FR0000120321</t>
  </si>
  <si>
    <t>FGR-FR</t>
  </si>
  <si>
    <t>EIFFAGE</t>
  </si>
  <si>
    <t>FR0000130452</t>
  </si>
  <si>
    <t>AC-FR</t>
  </si>
  <si>
    <t>ACCOR</t>
  </si>
  <si>
    <t>FR0000120404</t>
  </si>
  <si>
    <t>EN-FR</t>
  </si>
  <si>
    <t>BOUYGUES</t>
  </si>
  <si>
    <t>FR0000120503</t>
  </si>
  <si>
    <t>PUB-FR</t>
  </si>
  <si>
    <t>PUBLICIS GROUPE SA</t>
  </si>
  <si>
    <t>FR0000130577</t>
  </si>
  <si>
    <t>DG-FR</t>
  </si>
  <si>
    <t>VINCI</t>
  </si>
  <si>
    <t>FR0000125486</t>
  </si>
  <si>
    <t>CS-FR</t>
  </si>
  <si>
    <t>AXA</t>
  </si>
  <si>
    <t>FR0000120628</t>
  </si>
  <si>
    <t>NEX-FR</t>
  </si>
  <si>
    <t>NEXANS</t>
  </si>
  <si>
    <t>FR0000044448</t>
  </si>
  <si>
    <t>BN-FR</t>
  </si>
  <si>
    <t>DANONE</t>
  </si>
  <si>
    <t>FR0000120644</t>
  </si>
  <si>
    <t>BIM-FR</t>
  </si>
  <si>
    <t>BIOMERIEUX</t>
  </si>
  <si>
    <t>FR0013280286</t>
  </si>
  <si>
    <t>RXL-FR</t>
  </si>
  <si>
    <t>REXEL</t>
  </si>
  <si>
    <t>FR0010451203</t>
  </si>
  <si>
    <t>ML-FR</t>
  </si>
  <si>
    <t>MICHELIN</t>
  </si>
  <si>
    <t>FR001400AJ45</t>
  </si>
  <si>
    <t>AKE-FR</t>
  </si>
  <si>
    <t>ARKEMA</t>
  </si>
  <si>
    <t>FR0010313833</t>
  </si>
  <si>
    <t>GLE-FR</t>
  </si>
  <si>
    <t>SOCIETE GENERALE</t>
  </si>
  <si>
    <t>FR0000130809</t>
  </si>
  <si>
    <t>KER-FR</t>
  </si>
  <si>
    <t>KERING</t>
  </si>
  <si>
    <t>FR0000121485</t>
  </si>
  <si>
    <t>SU-FR</t>
  </si>
  <si>
    <t>SCHNEIDER ELECTRIC</t>
  </si>
  <si>
    <t>FR0000121972</t>
  </si>
  <si>
    <t>RAND-NL</t>
  </si>
  <si>
    <t>RANDSTAD NV</t>
  </si>
  <si>
    <t>NL0000379121</t>
  </si>
  <si>
    <t>XAMS</t>
  </si>
  <si>
    <t>GIB.A-CA</t>
  </si>
  <si>
    <t>CGI INC. CLASS A</t>
  </si>
  <si>
    <t>CA12532H1047</t>
  </si>
  <si>
    <t>XTSE</t>
  </si>
  <si>
    <t>CAD</t>
  </si>
  <si>
    <t>NA500</t>
  </si>
  <si>
    <t>NA</t>
  </si>
  <si>
    <t>ACN-US</t>
  </si>
  <si>
    <t>ACCENTURE PLC-A</t>
  </si>
  <si>
    <t>IE00B4BNMY34</t>
  </si>
  <si>
    <t>XNYS</t>
  </si>
  <si>
    <t>USD</t>
  </si>
  <si>
    <t>AMS-ES</t>
  </si>
  <si>
    <t>AMADEUS IT GROUP</t>
  </si>
  <si>
    <t>ES0109067019</t>
  </si>
  <si>
    <t>XMAD</t>
  </si>
  <si>
    <t>7203-JP</t>
  </si>
  <si>
    <t>TOYOTA MOTOR CORP</t>
  </si>
  <si>
    <t>JP3633400001</t>
  </si>
  <si>
    <t>XTKS</t>
  </si>
  <si>
    <t>JPY</t>
  </si>
  <si>
    <t>AS500</t>
  </si>
  <si>
    <t>AS</t>
  </si>
  <si>
    <t>III-GB</t>
  </si>
  <si>
    <t>3I GROUP PLC</t>
  </si>
  <si>
    <t>GB00B1YW4409</t>
  </si>
  <si>
    <t>XLON</t>
  </si>
  <si>
    <t>GBP</t>
  </si>
  <si>
    <t>EU500</t>
  </si>
  <si>
    <t>MRK-DE</t>
  </si>
  <si>
    <t>MERCK KGA</t>
  </si>
  <si>
    <t>DE0006599905</t>
  </si>
  <si>
    <t>XETR</t>
  </si>
  <si>
    <t>BDX-US</t>
  </si>
  <si>
    <t>BECTON DICKINSON</t>
  </si>
  <si>
    <t>US0758871091</t>
  </si>
  <si>
    <t>GSK-GB</t>
  </si>
  <si>
    <t>GSK PLC</t>
  </si>
  <si>
    <t>GB00BN7SWP63</t>
  </si>
  <si>
    <t>EQIX-US</t>
  </si>
  <si>
    <t>EQUINIX INC</t>
  </si>
  <si>
    <t>US29444U7000</t>
  </si>
  <si>
    <t>XNGS</t>
  </si>
  <si>
    <t>NOKIA-FI</t>
  </si>
  <si>
    <t>NOKIA</t>
  </si>
  <si>
    <t>FI0009000681</t>
  </si>
  <si>
    <t>XHEL</t>
  </si>
  <si>
    <t>GIS-US</t>
  </si>
  <si>
    <t>GENERAL MILLS INC.</t>
  </si>
  <si>
    <t>US3703341046</t>
  </si>
  <si>
    <t>TMO-US</t>
  </si>
  <si>
    <t>THERMO FISHER SCIENT</t>
  </si>
  <si>
    <t>US8835561023</t>
  </si>
  <si>
    <t>BIIB-US</t>
  </si>
  <si>
    <t>BIOGEN INC</t>
  </si>
  <si>
    <t>US09062X1037</t>
  </si>
  <si>
    <t>AZN-GB</t>
  </si>
  <si>
    <t>ASTRAZENECA</t>
  </si>
  <si>
    <t>GB0009895292</t>
  </si>
  <si>
    <t>GLW-US</t>
  </si>
  <si>
    <t>CORNING INC</t>
  </si>
  <si>
    <t>US2193501051</t>
  </si>
  <si>
    <t>BX-US</t>
  </si>
  <si>
    <t>BLACKSTONE INC</t>
  </si>
  <si>
    <t>US09260D1072</t>
  </si>
  <si>
    <t>SIE-DE</t>
  </si>
  <si>
    <t>SIEMENS AG</t>
  </si>
  <si>
    <t>DE0007236101</t>
  </si>
  <si>
    <t>KGF-GB</t>
  </si>
  <si>
    <t>KINGFISHER</t>
  </si>
  <si>
    <t>GB0033195214</t>
  </si>
  <si>
    <t>ADM-GB</t>
  </si>
  <si>
    <t>ADMIRAL GROUP PLC</t>
  </si>
  <si>
    <t>GB00B02J6398</t>
  </si>
  <si>
    <t>MDLZ-US</t>
  </si>
  <si>
    <t>MONDELEZ INT CLASS A</t>
  </si>
  <si>
    <t>US6092071058</t>
  </si>
  <si>
    <t>PPG-US</t>
  </si>
  <si>
    <t>PPG INDUSTRIES INC</t>
  </si>
  <si>
    <t>US6935061076</t>
  </si>
  <si>
    <t>FRE-DE</t>
  </si>
  <si>
    <t>FRESENIUS SE &amp; CO</t>
  </si>
  <si>
    <t>DE0005785604</t>
  </si>
  <si>
    <t>SMDS-GB</t>
  </si>
  <si>
    <t>DS SMITH</t>
  </si>
  <si>
    <t>GB0008220112</t>
  </si>
  <si>
    <t>C-US</t>
  </si>
  <si>
    <t>CITIGROUP INC</t>
  </si>
  <si>
    <t>US1729674242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</si>
</sst>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FRD4P_EMS_2024-11-22%2023_59_59_2024-12-11-11-21-45%20(2).xlsx" TargetMode="External"/><Relationship Id="rId1" Type="http://schemas.openxmlformats.org/officeDocument/2006/relationships/externalLinkPath" Target="file:///C:\Users\CSonneveld\Downloads\FRD4P_EMS_2024-11-22%2023_59_59_2024-12-11-11-21-45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GB00B1YW4409</v>
          </cell>
          <cell r="C2" t="str">
            <v>XLON</v>
          </cell>
        </row>
        <row r="3">
          <cell r="B3" t="str">
            <v>IE00B4BNMY34</v>
          </cell>
          <cell r="C3" t="str">
            <v>XNYS</v>
          </cell>
        </row>
        <row r="4">
          <cell r="B4" t="str">
            <v>FR0000120404</v>
          </cell>
          <cell r="C4" t="str">
            <v>XPAR</v>
          </cell>
        </row>
        <row r="5">
          <cell r="B5" t="str">
            <v>GB00B02J6398</v>
          </cell>
          <cell r="C5" t="str">
            <v>XLON</v>
          </cell>
        </row>
        <row r="6">
          <cell r="B6" t="str">
            <v>FR0010220475</v>
          </cell>
          <cell r="C6" t="str">
            <v>XPAR</v>
          </cell>
        </row>
        <row r="7">
          <cell r="B7" t="str">
            <v>ES0109067019</v>
          </cell>
          <cell r="C7" t="str">
            <v>XMAD</v>
          </cell>
        </row>
        <row r="8">
          <cell r="B8" t="str">
            <v>GB0009895292</v>
          </cell>
          <cell r="C8" t="str">
            <v>XLON</v>
          </cell>
        </row>
        <row r="9">
          <cell r="B9" t="str">
            <v>FR0000120628</v>
          </cell>
          <cell r="C9" t="str">
            <v>XPAR</v>
          </cell>
        </row>
        <row r="10">
          <cell r="B10" t="str">
            <v>US0758871091</v>
          </cell>
          <cell r="C10" t="str">
            <v>XNYS</v>
          </cell>
        </row>
        <row r="11">
          <cell r="B11" t="str">
            <v>US09062X1037</v>
          </cell>
          <cell r="C11" t="str">
            <v>XNGS</v>
          </cell>
        </row>
        <row r="12">
          <cell r="B12" t="str">
            <v>FR0013280286</v>
          </cell>
          <cell r="C12" t="str">
            <v>XPAR</v>
          </cell>
        </row>
        <row r="13">
          <cell r="B13" t="str">
            <v>US09260D1072</v>
          </cell>
          <cell r="C13" t="str">
            <v>XNYS</v>
          </cell>
        </row>
        <row r="14">
          <cell r="B14" t="str">
            <v>FR0000131104</v>
          </cell>
          <cell r="C14" t="str">
            <v>XPAR</v>
          </cell>
        </row>
        <row r="15">
          <cell r="B15" t="str">
            <v>FR0000120503</v>
          </cell>
          <cell r="C15" t="str">
            <v>XPAR</v>
          </cell>
        </row>
        <row r="16">
          <cell r="B16" t="str">
            <v>CA12532H1047</v>
          </cell>
          <cell r="C16" t="str">
            <v>XTSE</v>
          </cell>
        </row>
        <row r="17">
          <cell r="B17" t="str">
            <v>US2193501051</v>
          </cell>
          <cell r="C17" t="str">
            <v>XNYS</v>
          </cell>
        </row>
        <row r="18">
          <cell r="B18" t="str">
            <v>FR0000045072</v>
          </cell>
          <cell r="C18" t="str">
            <v>XPAR</v>
          </cell>
        </row>
        <row r="19">
          <cell r="B19" t="str">
            <v>FR0000120644</v>
          </cell>
          <cell r="C19" t="str">
            <v>XPAR</v>
          </cell>
        </row>
        <row r="20">
          <cell r="B20" t="str">
            <v>FR0000130452</v>
          </cell>
          <cell r="C20" t="str">
            <v>XPAR</v>
          </cell>
        </row>
        <row r="21">
          <cell r="B21" t="str">
            <v>US29444U7000</v>
          </cell>
          <cell r="C21" t="str">
            <v>XNGS</v>
          </cell>
        </row>
        <row r="22">
          <cell r="B22" t="str">
            <v>US3703341046</v>
          </cell>
          <cell r="C22" t="str">
            <v>XNYS</v>
          </cell>
        </row>
        <row r="23">
          <cell r="B23" t="str">
            <v>GB00BN7SWP63</v>
          </cell>
          <cell r="C23" t="str">
            <v>XLON</v>
          </cell>
        </row>
        <row r="24">
          <cell r="B24" t="str">
            <v>FR0000052292</v>
          </cell>
          <cell r="C24" t="str">
            <v>XPAR</v>
          </cell>
        </row>
        <row r="25">
          <cell r="B25" t="str">
            <v>GB0033195214</v>
          </cell>
          <cell r="C25" t="str">
            <v>XLON</v>
          </cell>
        </row>
        <row r="26">
          <cell r="B26" t="str">
            <v>FR0000120321</v>
          </cell>
          <cell r="C26" t="str">
            <v>XPAR</v>
          </cell>
        </row>
        <row r="27">
          <cell r="B27" t="str">
            <v>FR0000121014</v>
          </cell>
          <cell r="C27" t="str">
            <v>XPAR</v>
          </cell>
        </row>
        <row r="28">
          <cell r="B28" t="str">
            <v>DE0006599905</v>
          </cell>
          <cell r="C28" t="str">
            <v>XETR</v>
          </cell>
        </row>
        <row r="29">
          <cell r="B29" t="str">
            <v>FR0000044448</v>
          </cell>
          <cell r="C29" t="str">
            <v>XPAR</v>
          </cell>
        </row>
        <row r="30">
          <cell r="B30" t="str">
            <v>FI0009000681</v>
          </cell>
          <cell r="C30" t="str">
            <v>XHEL</v>
          </cell>
        </row>
        <row r="31">
          <cell r="B31" t="str">
            <v>FR0000130577</v>
          </cell>
          <cell r="C31" t="str">
            <v>XPAR</v>
          </cell>
        </row>
        <row r="32">
          <cell r="B32" t="str">
            <v>NL0000379121</v>
          </cell>
          <cell r="C32" t="str">
            <v>XAMS</v>
          </cell>
        </row>
        <row r="33">
          <cell r="B33" t="str">
            <v>FR0000131906</v>
          </cell>
          <cell r="C33" t="str">
            <v>XPAR</v>
          </cell>
        </row>
        <row r="34">
          <cell r="B34" t="str">
            <v>FR0010451203</v>
          </cell>
          <cell r="C34" t="str">
            <v>XPAR</v>
          </cell>
        </row>
        <row r="35">
          <cell r="B35" t="str">
            <v>FR0000125007</v>
          </cell>
          <cell r="C35" t="str">
            <v>XPAR</v>
          </cell>
        </row>
        <row r="36">
          <cell r="B36" t="str">
            <v>FR0000120578</v>
          </cell>
          <cell r="C36" t="str">
            <v>XPAR</v>
          </cell>
        </row>
        <row r="37">
          <cell r="B37" t="str">
            <v>DE0007236101</v>
          </cell>
          <cell r="C37" t="str">
            <v>XETR</v>
          </cell>
        </row>
        <row r="38">
          <cell r="B38" t="str">
            <v>NL0000226223</v>
          </cell>
          <cell r="C38" t="str">
            <v>XPAR</v>
          </cell>
        </row>
        <row r="39">
          <cell r="B39" t="str">
            <v>US8835561023</v>
          </cell>
          <cell r="C39" t="str">
            <v>XNYS</v>
          </cell>
        </row>
        <row r="40">
          <cell r="B40" t="str">
            <v>JP3633400001</v>
          </cell>
          <cell r="C40" t="str">
            <v>XTKS</v>
          </cell>
        </row>
        <row r="41">
          <cell r="B41" t="str">
            <v>FR0000125486</v>
          </cell>
          <cell r="C41" t="str">
            <v>XPAR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A16" workbookViewId="0">
      <selection activeCell="AB24" sqref="AB24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818</v>
      </c>
      <c r="B2" t="s">
        <v>16</v>
      </c>
      <c r="C2" t="s">
        <v>17</v>
      </c>
      <c r="D2" t="s">
        <v>18</v>
      </c>
      <c r="E2" t="s">
        <v>19</v>
      </c>
      <c r="F2">
        <v>500141700</v>
      </c>
      <c r="G2">
        <v>583</v>
      </c>
      <c r="H2" t="s">
        <v>20</v>
      </c>
      <c r="I2">
        <v>291582611100</v>
      </c>
      <c r="J2" t="s">
        <v>21</v>
      </c>
      <c r="K2">
        <v>300338143.14469701</v>
      </c>
      <c r="L2">
        <v>1</v>
      </c>
      <c r="M2" t="s">
        <v>22</v>
      </c>
      <c r="N2" t="str">
        <f>_xlfn.XLOOKUP(D2,[1]selection!$B$2:$B$41,[1]selection!$C$2:$C$41)</f>
        <v>XPAR</v>
      </c>
      <c r="O2">
        <v>4286</v>
      </c>
      <c r="P2">
        <v>2.5950000000000002</v>
      </c>
    </row>
    <row r="3" spans="1:16" x14ac:dyDescent="0.25">
      <c r="A3">
        <v>205</v>
      </c>
      <c r="B3" t="s">
        <v>23</v>
      </c>
      <c r="C3" t="s">
        <v>24</v>
      </c>
      <c r="D3" t="s">
        <v>25</v>
      </c>
      <c r="E3" t="s">
        <v>19</v>
      </c>
      <c r="F3">
        <v>1130810671</v>
      </c>
      <c r="G3">
        <v>56.92</v>
      </c>
      <c r="H3" t="s">
        <v>20</v>
      </c>
      <c r="I3">
        <v>64365743393.32</v>
      </c>
      <c r="J3" t="s">
        <v>21</v>
      </c>
      <c r="K3">
        <v>153023752.153561</v>
      </c>
      <c r="L3">
        <v>1</v>
      </c>
      <c r="M3" t="s">
        <v>22</v>
      </c>
      <c r="N3" t="str">
        <f>_xlfn.XLOOKUP(D3,[1]selection!$B$2:$B$41,[1]selection!$C$2:$C$41)</f>
        <v>XPAR</v>
      </c>
      <c r="O3">
        <v>3380</v>
      </c>
      <c r="P3">
        <v>2.4929999999999999</v>
      </c>
    </row>
    <row r="4" spans="1:16" x14ac:dyDescent="0.25">
      <c r="A4">
        <v>1108</v>
      </c>
      <c r="B4" t="s">
        <v>26</v>
      </c>
      <c r="C4" t="s">
        <v>27</v>
      </c>
      <c r="D4" t="s">
        <v>28</v>
      </c>
      <c r="E4" t="s">
        <v>19</v>
      </c>
      <c r="F4">
        <v>295722284</v>
      </c>
      <c r="G4">
        <v>40.31</v>
      </c>
      <c r="H4" t="s">
        <v>20</v>
      </c>
      <c r="I4">
        <v>11920565268.040001</v>
      </c>
      <c r="J4" t="s">
        <v>21</v>
      </c>
      <c r="K4">
        <v>40107823.654772699</v>
      </c>
      <c r="L4">
        <v>1</v>
      </c>
      <c r="M4" t="s">
        <v>22</v>
      </c>
      <c r="N4" t="str">
        <f>_xlfn.XLOOKUP(D4,[1]selection!$B$2:$B$41,[1]selection!$C$2:$C$41)</f>
        <v>XPAR</v>
      </c>
      <c r="O4">
        <v>2571</v>
      </c>
      <c r="P4">
        <v>2.3660000000000001</v>
      </c>
    </row>
    <row r="5" spans="1:16" x14ac:dyDescent="0.25">
      <c r="A5">
        <v>67</v>
      </c>
      <c r="B5" t="s">
        <v>29</v>
      </c>
      <c r="C5" t="s">
        <v>30</v>
      </c>
      <c r="D5" t="s">
        <v>31</v>
      </c>
      <c r="E5" t="s">
        <v>19</v>
      </c>
      <c r="F5">
        <v>461509585</v>
      </c>
      <c r="G5">
        <v>21.05</v>
      </c>
      <c r="H5" t="s">
        <v>20</v>
      </c>
      <c r="I5">
        <v>9714776764.25</v>
      </c>
      <c r="J5" t="s">
        <v>21</v>
      </c>
      <c r="K5">
        <v>19280343.7399242</v>
      </c>
      <c r="L5">
        <v>1</v>
      </c>
      <c r="M5" t="s">
        <v>22</v>
      </c>
      <c r="N5" t="str">
        <f>_xlfn.XLOOKUP(D5,[1]selection!$B$2:$B$41,[1]selection!$C$2:$C$41)</f>
        <v>XPAR</v>
      </c>
      <c r="O5">
        <v>1980</v>
      </c>
      <c r="P5">
        <v>2.8460000000000001</v>
      </c>
    </row>
    <row r="6" spans="1:16" x14ac:dyDescent="0.25">
      <c r="A6">
        <v>1150</v>
      </c>
      <c r="B6" t="s">
        <v>32</v>
      </c>
      <c r="C6" t="s">
        <v>33</v>
      </c>
      <c r="D6" t="s">
        <v>34</v>
      </c>
      <c r="E6" t="s">
        <v>19</v>
      </c>
      <c r="F6">
        <v>504005802</v>
      </c>
      <c r="G6">
        <v>87.5</v>
      </c>
      <c r="H6" t="s">
        <v>20</v>
      </c>
      <c r="I6">
        <v>44100507675</v>
      </c>
      <c r="J6" t="s">
        <v>21</v>
      </c>
      <c r="K6">
        <v>77231325.471060604</v>
      </c>
      <c r="L6">
        <v>1</v>
      </c>
      <c r="M6" t="s">
        <v>22</v>
      </c>
      <c r="N6" t="str">
        <f>_xlfn.XLOOKUP(D6,[1]selection!$B$2:$B$41,[1]selection!$C$2:$C$41)</f>
        <v>XPAR</v>
      </c>
      <c r="O6">
        <v>1165</v>
      </c>
      <c r="P6">
        <v>2.5510000000000002</v>
      </c>
    </row>
    <row r="7" spans="1:16" x14ac:dyDescent="0.25">
      <c r="A7">
        <v>1281</v>
      </c>
      <c r="B7" t="s">
        <v>35</v>
      </c>
      <c r="C7" t="s">
        <v>36</v>
      </c>
      <c r="D7" t="s">
        <v>37</v>
      </c>
      <c r="E7" t="s">
        <v>19</v>
      </c>
      <c r="F7">
        <v>911281920</v>
      </c>
      <c r="G7">
        <v>23.4</v>
      </c>
      <c r="H7" t="s">
        <v>20</v>
      </c>
      <c r="I7">
        <v>21323996928</v>
      </c>
      <c r="J7" t="s">
        <v>21</v>
      </c>
      <c r="K7">
        <v>62364105.928106099</v>
      </c>
      <c r="L7">
        <v>1</v>
      </c>
      <c r="M7" t="s">
        <v>22</v>
      </c>
      <c r="N7" t="str">
        <f>_xlfn.XLOOKUP(D7,[1]selection!$B$2:$B$41,[1]selection!$C$2:$C$41)</f>
        <v>XPAR</v>
      </c>
      <c r="O7">
        <v>1047</v>
      </c>
      <c r="P7">
        <v>2.976</v>
      </c>
    </row>
    <row r="8" spans="1:16" x14ac:dyDescent="0.25">
      <c r="A8">
        <v>591</v>
      </c>
      <c r="B8" t="s">
        <v>38</v>
      </c>
      <c r="C8" t="s">
        <v>39</v>
      </c>
      <c r="D8" t="s">
        <v>40</v>
      </c>
      <c r="E8" t="s">
        <v>19</v>
      </c>
      <c r="F8">
        <v>105569412</v>
      </c>
      <c r="G8">
        <v>2020</v>
      </c>
      <c r="H8" t="s">
        <v>20</v>
      </c>
      <c r="I8">
        <v>213250212240</v>
      </c>
      <c r="J8" t="s">
        <v>21</v>
      </c>
      <c r="K8">
        <v>128252810.424243</v>
      </c>
      <c r="L8">
        <v>1</v>
      </c>
      <c r="M8" t="s">
        <v>22</v>
      </c>
      <c r="N8" t="str">
        <f>_xlfn.XLOOKUP(D8,[1]selection!$B$2:$B$41,[1]selection!$C$2:$C$41)</f>
        <v>XPAR</v>
      </c>
      <c r="O8">
        <v>820</v>
      </c>
      <c r="P8">
        <v>2.7189999999999999</v>
      </c>
    </row>
    <row r="9" spans="1:16" x14ac:dyDescent="0.25">
      <c r="A9">
        <v>344</v>
      </c>
      <c r="B9" t="s">
        <v>41</v>
      </c>
      <c r="C9" t="s">
        <v>42</v>
      </c>
      <c r="D9" t="s">
        <v>43</v>
      </c>
      <c r="E9" t="s">
        <v>19</v>
      </c>
      <c r="F9">
        <v>3041031027</v>
      </c>
      <c r="G9">
        <v>13.05</v>
      </c>
      <c r="H9" t="s">
        <v>20</v>
      </c>
      <c r="I9">
        <v>39685454902.349998</v>
      </c>
      <c r="J9" t="s">
        <v>21</v>
      </c>
      <c r="K9">
        <v>68887037.723106101</v>
      </c>
      <c r="L9">
        <v>1</v>
      </c>
      <c r="M9" t="s">
        <v>22</v>
      </c>
      <c r="N9" t="str">
        <f>_xlfn.XLOOKUP(D9,[1]selection!$B$2:$B$41,[1]selection!$C$2:$C$41)</f>
        <v>XPAR</v>
      </c>
      <c r="O9">
        <v>763</v>
      </c>
      <c r="P9">
        <v>2.464</v>
      </c>
    </row>
    <row r="10" spans="1:16" x14ac:dyDescent="0.25">
      <c r="A10">
        <v>1161</v>
      </c>
      <c r="B10" t="s">
        <v>44</v>
      </c>
      <c r="C10" t="s">
        <v>45</v>
      </c>
      <c r="D10" t="s">
        <v>46</v>
      </c>
      <c r="E10" t="s">
        <v>19</v>
      </c>
      <c r="F10">
        <v>1268922721</v>
      </c>
      <c r="G10">
        <v>93.17</v>
      </c>
      <c r="H10" t="s">
        <v>20</v>
      </c>
      <c r="I10">
        <v>118225529915.57001</v>
      </c>
      <c r="J10" t="s">
        <v>21</v>
      </c>
      <c r="K10">
        <v>152651625.662727</v>
      </c>
      <c r="L10">
        <v>1</v>
      </c>
      <c r="M10" t="s">
        <v>22</v>
      </c>
      <c r="N10" t="str">
        <f>_xlfn.XLOOKUP(D10,[1]selection!$B$2:$B$41,[1]selection!$C$2:$C$41)</f>
        <v>XPAR</v>
      </c>
      <c r="O10">
        <v>611</v>
      </c>
      <c r="P10">
        <v>2.6640000000000001</v>
      </c>
    </row>
    <row r="11" spans="1:16" x14ac:dyDescent="0.25">
      <c r="A11">
        <v>810</v>
      </c>
      <c r="B11" t="s">
        <v>47</v>
      </c>
      <c r="C11" t="s">
        <v>48</v>
      </c>
      <c r="D11" t="s">
        <v>49</v>
      </c>
      <c r="E11" t="s">
        <v>19</v>
      </c>
      <c r="F11">
        <v>534311946</v>
      </c>
      <c r="G11">
        <v>329.05</v>
      </c>
      <c r="H11" t="s">
        <v>20</v>
      </c>
      <c r="I11">
        <v>175815345831.29999</v>
      </c>
      <c r="J11" t="s">
        <v>21</v>
      </c>
      <c r="K11">
        <v>145486129.623864</v>
      </c>
      <c r="L11">
        <v>1</v>
      </c>
      <c r="M11" t="s">
        <v>22</v>
      </c>
      <c r="N11" t="str">
        <f>_xlfn.XLOOKUP(D11,[1]selection!$B$2:$B$41,[1]selection!$C$2:$C$41)</f>
        <v>XPAR</v>
      </c>
      <c r="O11">
        <v>550</v>
      </c>
      <c r="P11">
        <v>2.456</v>
      </c>
    </row>
    <row r="12" spans="1:16" x14ac:dyDescent="0.25">
      <c r="A12">
        <v>429</v>
      </c>
      <c r="B12" t="s">
        <v>50</v>
      </c>
      <c r="C12" t="s">
        <v>51</v>
      </c>
      <c r="D12" t="s">
        <v>52</v>
      </c>
      <c r="E12" t="s">
        <v>19</v>
      </c>
      <c r="F12">
        <v>98000000</v>
      </c>
      <c r="G12">
        <v>84.68</v>
      </c>
      <c r="H12" t="s">
        <v>20</v>
      </c>
      <c r="I12">
        <v>8298640000.000001</v>
      </c>
      <c r="J12" t="s">
        <v>21</v>
      </c>
      <c r="K12">
        <v>23663164.076969702</v>
      </c>
      <c r="L12">
        <v>1</v>
      </c>
      <c r="M12" t="s">
        <v>22</v>
      </c>
      <c r="N12" t="str">
        <f>_xlfn.XLOOKUP(D12,[1]selection!$B$2:$B$41,[1]selection!$C$2:$C$41)</f>
        <v>XPAR</v>
      </c>
      <c r="O12">
        <v>485</v>
      </c>
      <c r="P12">
        <v>2.1629999999999998</v>
      </c>
    </row>
    <row r="13" spans="1:16" x14ac:dyDescent="0.25">
      <c r="A13">
        <v>19</v>
      </c>
      <c r="B13" t="s">
        <v>53</v>
      </c>
      <c r="C13" t="s">
        <v>54</v>
      </c>
      <c r="D13" t="s">
        <v>55</v>
      </c>
      <c r="E13" t="s">
        <v>19</v>
      </c>
      <c r="F13">
        <v>243667720</v>
      </c>
      <c r="G13">
        <v>42.48</v>
      </c>
      <c r="H13" t="s">
        <v>20</v>
      </c>
      <c r="I13">
        <v>10351004745.6</v>
      </c>
      <c r="J13" t="s">
        <v>21</v>
      </c>
      <c r="K13">
        <v>26967320.712045401</v>
      </c>
      <c r="L13">
        <v>1</v>
      </c>
      <c r="M13" t="s">
        <v>22</v>
      </c>
      <c r="N13" t="str">
        <f>_xlfn.XLOOKUP(D13,[1]selection!$B$2:$B$41,[1]selection!$C$2:$C$41)</f>
        <v>XPAR</v>
      </c>
      <c r="O13">
        <v>304</v>
      </c>
      <c r="P13">
        <v>2.2930000000000001</v>
      </c>
    </row>
    <row r="14" spans="1:16" x14ac:dyDescent="0.25">
      <c r="A14">
        <v>212</v>
      </c>
      <c r="B14" t="s">
        <v>56</v>
      </c>
      <c r="C14" t="s">
        <v>57</v>
      </c>
      <c r="D14" t="s">
        <v>58</v>
      </c>
      <c r="E14" t="s">
        <v>19</v>
      </c>
      <c r="F14">
        <v>378957297</v>
      </c>
      <c r="G14">
        <v>28.8</v>
      </c>
      <c r="H14" t="s">
        <v>20</v>
      </c>
      <c r="I14">
        <v>10913970153.6</v>
      </c>
      <c r="J14" t="s">
        <v>21</v>
      </c>
      <c r="K14">
        <v>23713874.551666699</v>
      </c>
      <c r="L14">
        <v>1</v>
      </c>
      <c r="M14" t="s">
        <v>22</v>
      </c>
      <c r="N14" t="str">
        <f>_xlfn.XLOOKUP(D14,[1]selection!$B$2:$B$41,[1]selection!$C$2:$C$41)</f>
        <v>XPAR</v>
      </c>
      <c r="O14">
        <v>225</v>
      </c>
      <c r="P14">
        <v>2.085</v>
      </c>
    </row>
    <row r="15" spans="1:16" x14ac:dyDescent="0.25">
      <c r="A15">
        <v>1075</v>
      </c>
      <c r="B15" t="s">
        <v>59</v>
      </c>
      <c r="C15" t="s">
        <v>60</v>
      </c>
      <c r="D15" t="s">
        <v>61</v>
      </c>
      <c r="E15" t="s">
        <v>19</v>
      </c>
      <c r="F15">
        <v>254311860</v>
      </c>
      <c r="G15">
        <v>102.45</v>
      </c>
      <c r="H15" t="s">
        <v>20</v>
      </c>
      <c r="I15">
        <v>26054250057</v>
      </c>
      <c r="J15" t="s">
        <v>21</v>
      </c>
      <c r="K15">
        <v>37416327.662500001</v>
      </c>
      <c r="L15">
        <v>1</v>
      </c>
      <c r="M15" t="s">
        <v>22</v>
      </c>
      <c r="N15" t="str">
        <f>_xlfn.XLOOKUP(D15,[1]selection!$B$2:$B$41,[1]selection!$C$2:$C$41)</f>
        <v>XPAR</v>
      </c>
      <c r="O15">
        <v>200</v>
      </c>
      <c r="P15">
        <v>2.4329999999999998</v>
      </c>
    </row>
    <row r="16" spans="1:16" x14ac:dyDescent="0.25">
      <c r="A16">
        <v>1465</v>
      </c>
      <c r="B16" t="s">
        <v>62</v>
      </c>
      <c r="C16" t="s">
        <v>63</v>
      </c>
      <c r="D16" t="s">
        <v>64</v>
      </c>
      <c r="E16" t="s">
        <v>19</v>
      </c>
      <c r="F16">
        <v>589895166</v>
      </c>
      <c r="G16">
        <v>100.7</v>
      </c>
      <c r="H16" t="s">
        <v>20</v>
      </c>
      <c r="I16">
        <v>59402443216.199997</v>
      </c>
      <c r="J16" t="s">
        <v>21</v>
      </c>
      <c r="K16">
        <v>97651529.224393904</v>
      </c>
      <c r="L16">
        <v>1</v>
      </c>
      <c r="M16" t="s">
        <v>22</v>
      </c>
      <c r="N16" t="str">
        <f>_xlfn.XLOOKUP(D16,[1]selection!$B$2:$B$41,[1]selection!$C$2:$C$41)</f>
        <v>XPAR</v>
      </c>
      <c r="O16">
        <v>113</v>
      </c>
      <c r="P16">
        <v>2.02</v>
      </c>
    </row>
    <row r="17" spans="1:16" x14ac:dyDescent="0.25">
      <c r="A17">
        <v>145</v>
      </c>
      <c r="B17" t="s">
        <v>65</v>
      </c>
      <c r="C17" t="s">
        <v>66</v>
      </c>
      <c r="D17" t="s">
        <v>67</v>
      </c>
      <c r="E17" t="s">
        <v>19</v>
      </c>
      <c r="F17">
        <v>2201287926</v>
      </c>
      <c r="G17">
        <v>34.08</v>
      </c>
      <c r="H17" t="s">
        <v>20</v>
      </c>
      <c r="I17">
        <v>75019892518.080002</v>
      </c>
      <c r="J17" t="s">
        <v>21</v>
      </c>
      <c r="K17">
        <v>123346360.814924</v>
      </c>
      <c r="L17">
        <v>1</v>
      </c>
      <c r="M17" t="s">
        <v>22</v>
      </c>
      <c r="N17" t="str">
        <f>_xlfn.XLOOKUP(D17,[1]selection!$B$2:$B$41,[1]selection!$C$2:$C$41)</f>
        <v>XPAR</v>
      </c>
      <c r="O17">
        <v>100</v>
      </c>
      <c r="P17">
        <v>2.508</v>
      </c>
    </row>
    <row r="18" spans="1:16" x14ac:dyDescent="0.25">
      <c r="A18">
        <v>932</v>
      </c>
      <c r="B18" t="s">
        <v>68</v>
      </c>
      <c r="C18" t="s">
        <v>69</v>
      </c>
      <c r="D18" t="s">
        <v>70</v>
      </c>
      <c r="E18" t="s">
        <v>19</v>
      </c>
      <c r="F18">
        <v>43753380</v>
      </c>
      <c r="G18">
        <v>105.7</v>
      </c>
      <c r="H18" t="s">
        <v>20</v>
      </c>
      <c r="I18">
        <v>4624732266</v>
      </c>
      <c r="J18" t="s">
        <v>21</v>
      </c>
      <c r="K18">
        <v>18075375.859848499</v>
      </c>
      <c r="L18">
        <v>1</v>
      </c>
      <c r="M18" t="s">
        <v>22</v>
      </c>
      <c r="N18" t="str">
        <f>_xlfn.XLOOKUP(D18,[1]selection!$B$2:$B$41,[1]selection!$C$2:$C$41)</f>
        <v>XPAR</v>
      </c>
      <c r="O18">
        <v>100</v>
      </c>
      <c r="P18">
        <v>2.4340000000000002</v>
      </c>
    </row>
    <row r="19" spans="1:16" x14ac:dyDescent="0.25">
      <c r="A19">
        <v>369</v>
      </c>
      <c r="B19" t="s">
        <v>71</v>
      </c>
      <c r="C19" t="s">
        <v>72</v>
      </c>
      <c r="D19" t="s">
        <v>73</v>
      </c>
      <c r="E19" t="s">
        <v>19</v>
      </c>
      <c r="F19">
        <v>679553991</v>
      </c>
      <c r="G19">
        <v>65.459999999999994</v>
      </c>
      <c r="H19" t="s">
        <v>20</v>
      </c>
      <c r="I19">
        <v>44483604250.859993</v>
      </c>
      <c r="J19" t="s">
        <v>21</v>
      </c>
      <c r="K19">
        <v>74070055.874697</v>
      </c>
      <c r="L19">
        <v>1</v>
      </c>
      <c r="M19" t="s">
        <v>22</v>
      </c>
      <c r="N19" t="str">
        <f>_xlfn.XLOOKUP(D19,[1]selection!$B$2:$B$41,[1]selection!$C$2:$C$41)</f>
        <v>XPAR</v>
      </c>
      <c r="O19">
        <v>100</v>
      </c>
      <c r="P19">
        <v>2.367</v>
      </c>
    </row>
    <row r="20" spans="1:16" x14ac:dyDescent="0.25">
      <c r="A20">
        <v>198</v>
      </c>
      <c r="B20" t="s">
        <v>74</v>
      </c>
      <c r="C20" t="s">
        <v>75</v>
      </c>
      <c r="D20" t="s">
        <v>76</v>
      </c>
      <c r="E20" t="s">
        <v>19</v>
      </c>
      <c r="F20">
        <v>118361220</v>
      </c>
      <c r="G20">
        <v>98.7</v>
      </c>
      <c r="H20" t="s">
        <v>20</v>
      </c>
      <c r="I20">
        <v>11682252414</v>
      </c>
      <c r="J20" t="s">
        <v>21</v>
      </c>
      <c r="K20">
        <v>11212899.401893901</v>
      </c>
      <c r="L20">
        <v>1</v>
      </c>
      <c r="M20" t="s">
        <v>22</v>
      </c>
      <c r="N20" t="str">
        <f>_xlfn.XLOOKUP(D20,[1]selection!$B$2:$B$41,[1]selection!$C$2:$C$41)</f>
        <v>XPAR</v>
      </c>
      <c r="O20">
        <v>40</v>
      </c>
      <c r="P20">
        <v>2.851</v>
      </c>
    </row>
    <row r="21" spans="1:16" x14ac:dyDescent="0.25">
      <c r="A21">
        <v>1117</v>
      </c>
      <c r="B21" t="s">
        <v>77</v>
      </c>
      <c r="C21" t="s">
        <v>78</v>
      </c>
      <c r="D21" t="s">
        <v>79</v>
      </c>
      <c r="E21" t="s">
        <v>19</v>
      </c>
      <c r="F21">
        <v>298233069</v>
      </c>
      <c r="G21">
        <v>25.1</v>
      </c>
      <c r="H21" t="s">
        <v>20</v>
      </c>
      <c r="I21">
        <v>7485650031.9000006</v>
      </c>
      <c r="J21" t="s">
        <v>21</v>
      </c>
      <c r="K21">
        <v>16786165.326439399</v>
      </c>
      <c r="L21">
        <v>1</v>
      </c>
      <c r="M21" t="s">
        <v>22</v>
      </c>
      <c r="N21" t="str">
        <f>_xlfn.XLOOKUP(D21,[1]selection!$B$2:$B$41,[1]selection!$C$2:$C$41)</f>
        <v>XPAR</v>
      </c>
      <c r="O21">
        <v>35</v>
      </c>
      <c r="P21">
        <v>2.298</v>
      </c>
    </row>
    <row r="22" spans="1:16" x14ac:dyDescent="0.25">
      <c r="A22">
        <v>871</v>
      </c>
      <c r="B22" t="s">
        <v>80</v>
      </c>
      <c r="C22" t="s">
        <v>81</v>
      </c>
      <c r="D22" t="s">
        <v>82</v>
      </c>
      <c r="E22" t="s">
        <v>19</v>
      </c>
      <c r="F22">
        <v>708499977</v>
      </c>
      <c r="G22">
        <v>31.1</v>
      </c>
      <c r="H22" t="s">
        <v>20</v>
      </c>
      <c r="I22">
        <v>22034349284.700001</v>
      </c>
      <c r="J22" t="s">
        <v>21</v>
      </c>
      <c r="K22">
        <v>45800356.509772703</v>
      </c>
      <c r="L22">
        <v>1</v>
      </c>
      <c r="M22" t="s">
        <v>22</v>
      </c>
      <c r="N22" t="e">
        <f>_xlfn.XLOOKUP(D22,[1]selection!$B$2:$B$41,[1]selection!$C$2:$C$41)</f>
        <v>#N/A</v>
      </c>
      <c r="O22">
        <v>27</v>
      </c>
      <c r="P22">
        <v>2.7309999999999999</v>
      </c>
    </row>
    <row r="23" spans="1:16" x14ac:dyDescent="0.25">
      <c r="A23">
        <v>111</v>
      </c>
      <c r="B23" t="s">
        <v>83</v>
      </c>
      <c r="C23" t="s">
        <v>84</v>
      </c>
      <c r="D23" t="s">
        <v>85</v>
      </c>
      <c r="E23" t="s">
        <v>19</v>
      </c>
      <c r="F23">
        <v>76060831</v>
      </c>
      <c r="G23">
        <v>74.8</v>
      </c>
      <c r="H23" t="s">
        <v>20</v>
      </c>
      <c r="I23">
        <v>5689350158.8000002</v>
      </c>
      <c r="J23" t="s">
        <v>21</v>
      </c>
      <c r="K23">
        <v>13407913.262499999</v>
      </c>
      <c r="L23">
        <v>1</v>
      </c>
      <c r="M23" t="s">
        <v>22</v>
      </c>
      <c r="N23" t="e">
        <f>_xlfn.XLOOKUP(D23,[1]selection!$B$2:$B$41,[1]selection!$C$2:$C$41)</f>
        <v>#N/A</v>
      </c>
      <c r="O23">
        <v>25</v>
      </c>
      <c r="P23">
        <v>2.8740000000000001</v>
      </c>
    </row>
    <row r="24" spans="1:16" x14ac:dyDescent="0.25">
      <c r="A24">
        <v>1247</v>
      </c>
      <c r="B24" t="s">
        <v>86</v>
      </c>
      <c r="C24" t="s">
        <v>87</v>
      </c>
      <c r="D24" t="s">
        <v>88</v>
      </c>
      <c r="E24" t="s">
        <v>19</v>
      </c>
      <c r="F24">
        <v>800316777</v>
      </c>
      <c r="G24">
        <v>25.95</v>
      </c>
      <c r="H24" t="s">
        <v>20</v>
      </c>
      <c r="I24">
        <v>20768220363.150002</v>
      </c>
      <c r="J24" t="s">
        <v>21</v>
      </c>
      <c r="K24">
        <v>72716604.827727199</v>
      </c>
      <c r="L24">
        <v>1</v>
      </c>
      <c r="M24" t="s">
        <v>22</v>
      </c>
      <c r="N24" t="e">
        <f>_xlfn.XLOOKUP(D24,[1]selection!$B$2:$B$41,[1]selection!$C$2:$C$41)</f>
        <v>#N/A</v>
      </c>
      <c r="O24">
        <v>15</v>
      </c>
      <c r="P24">
        <v>2.5920000000000001</v>
      </c>
    </row>
    <row r="25" spans="1:16" x14ac:dyDescent="0.25">
      <c r="A25">
        <v>736</v>
      </c>
      <c r="B25" t="s">
        <v>89</v>
      </c>
      <c r="C25" t="s">
        <v>90</v>
      </c>
      <c r="D25" t="s">
        <v>91</v>
      </c>
      <c r="E25" t="s">
        <v>19</v>
      </c>
      <c r="F25">
        <v>123420778</v>
      </c>
      <c r="G25">
        <v>210.1</v>
      </c>
      <c r="H25" t="s">
        <v>20</v>
      </c>
      <c r="I25">
        <v>25930705457.799999</v>
      </c>
      <c r="J25" t="s">
        <v>21</v>
      </c>
      <c r="K25">
        <v>81640249.743181795</v>
      </c>
      <c r="L25">
        <v>1</v>
      </c>
      <c r="M25" t="s">
        <v>22</v>
      </c>
      <c r="N25" t="e">
        <f>_xlfn.XLOOKUP(D25,[1]selection!$B$2:$B$41,[1]selection!$C$2:$C$41)</f>
        <v>#N/A</v>
      </c>
      <c r="O25">
        <v>0</v>
      </c>
      <c r="P25">
        <v>2.9129999999999998</v>
      </c>
    </row>
    <row r="26" spans="1:16" x14ac:dyDescent="0.25">
      <c r="A26">
        <v>1178</v>
      </c>
      <c r="B26" t="s">
        <v>92</v>
      </c>
      <c r="C26" t="s">
        <v>93</v>
      </c>
      <c r="D26" t="s">
        <v>94</v>
      </c>
      <c r="E26" t="s">
        <v>19</v>
      </c>
      <c r="F26">
        <v>575628037</v>
      </c>
      <c r="G26">
        <v>241.75</v>
      </c>
      <c r="H26" t="s">
        <v>20</v>
      </c>
      <c r="I26">
        <v>139158077944.75</v>
      </c>
      <c r="J26" t="s">
        <v>21</v>
      </c>
      <c r="K26">
        <v>160002640.630303</v>
      </c>
      <c r="L26">
        <v>1</v>
      </c>
      <c r="M26" t="s">
        <v>22</v>
      </c>
      <c r="N26" t="e">
        <f>_xlfn.XLOOKUP(D26,[1]selection!$B$2:$B$41,[1]selection!$C$2:$C$41)</f>
        <v>#N/A</v>
      </c>
      <c r="O26">
        <v>0</v>
      </c>
      <c r="P26">
        <v>2.9009999999999998</v>
      </c>
    </row>
    <row r="27" spans="1:16" x14ac:dyDescent="0.25">
      <c r="A27">
        <v>1090</v>
      </c>
      <c r="B27" t="s">
        <v>95</v>
      </c>
      <c r="C27" t="s">
        <v>96</v>
      </c>
      <c r="D27" t="s">
        <v>97</v>
      </c>
      <c r="E27" t="s">
        <v>98</v>
      </c>
      <c r="F27">
        <v>180869312</v>
      </c>
      <c r="G27">
        <v>40.61</v>
      </c>
      <c r="H27" t="s">
        <v>20</v>
      </c>
      <c r="I27">
        <v>7345102760.3199997</v>
      </c>
      <c r="J27" t="s">
        <v>21</v>
      </c>
      <c r="K27">
        <v>14234479.458787899</v>
      </c>
      <c r="L27">
        <v>0</v>
      </c>
      <c r="M27" t="s">
        <v>22</v>
      </c>
      <c r="N27" t="str">
        <f>_xlfn.XLOOKUP(D27,[1]selection!$B$2:$B$41,[1]selection!$C$2:$C$41)</f>
        <v>XAMS</v>
      </c>
      <c r="O27">
        <v>7627</v>
      </c>
      <c r="P27">
        <v>2.1709999999999998</v>
      </c>
    </row>
    <row r="28" spans="1:16" x14ac:dyDescent="0.25">
      <c r="A28">
        <v>274</v>
      </c>
      <c r="B28" t="s">
        <v>99</v>
      </c>
      <c r="C28" t="s">
        <v>100</v>
      </c>
      <c r="D28" t="s">
        <v>101</v>
      </c>
      <c r="E28" t="s">
        <v>102</v>
      </c>
      <c r="F28">
        <v>203856400</v>
      </c>
      <c r="G28">
        <v>107.2664</v>
      </c>
      <c r="H28" t="s">
        <v>103</v>
      </c>
      <c r="I28">
        <v>21866942144.959999</v>
      </c>
      <c r="J28" t="s">
        <v>104</v>
      </c>
      <c r="K28">
        <v>33842963.639021203</v>
      </c>
      <c r="L28">
        <v>0</v>
      </c>
      <c r="M28" t="s">
        <v>105</v>
      </c>
      <c r="N28" t="str">
        <f>_xlfn.XLOOKUP(D28,[1]selection!$B$2:$B$41,[1]selection!$C$2:$C$41)</f>
        <v>XTSE</v>
      </c>
      <c r="O28">
        <v>5025</v>
      </c>
      <c r="P28">
        <v>2.3889999999999998</v>
      </c>
    </row>
    <row r="29" spans="1:16" x14ac:dyDescent="0.25">
      <c r="A29">
        <v>17</v>
      </c>
      <c r="B29" t="s">
        <v>106</v>
      </c>
      <c r="C29" t="s">
        <v>107</v>
      </c>
      <c r="D29" t="s">
        <v>108</v>
      </c>
      <c r="E29" t="s">
        <v>109</v>
      </c>
      <c r="F29">
        <v>624855650</v>
      </c>
      <c r="G29">
        <v>344.53410000000002</v>
      </c>
      <c r="H29" t="s">
        <v>110</v>
      </c>
      <c r="I29">
        <v>215284079002.66501</v>
      </c>
      <c r="J29" t="s">
        <v>104</v>
      </c>
      <c r="K29">
        <v>771863850.01271105</v>
      </c>
      <c r="L29">
        <v>0</v>
      </c>
      <c r="M29" t="s">
        <v>105</v>
      </c>
      <c r="N29" t="str">
        <f>_xlfn.XLOOKUP(D29,[1]selection!$B$2:$B$41,[1]selection!$C$2:$C$41)</f>
        <v>XNYS</v>
      </c>
      <c r="O29">
        <v>2540</v>
      </c>
      <c r="P29">
        <v>2.2000000000000002</v>
      </c>
    </row>
    <row r="30" spans="1:16" x14ac:dyDescent="0.25">
      <c r="A30">
        <v>71</v>
      </c>
      <c r="B30" t="s">
        <v>111</v>
      </c>
      <c r="C30" t="s">
        <v>112</v>
      </c>
      <c r="D30" t="s">
        <v>113</v>
      </c>
      <c r="E30" t="s">
        <v>114</v>
      </c>
      <c r="F30">
        <v>450499200</v>
      </c>
      <c r="G30">
        <v>67.08</v>
      </c>
      <c r="H30" t="s">
        <v>20</v>
      </c>
      <c r="I30">
        <v>30219486336</v>
      </c>
      <c r="J30" t="s">
        <v>21</v>
      </c>
      <c r="K30">
        <v>36549333.469772696</v>
      </c>
      <c r="L30">
        <v>0</v>
      </c>
      <c r="M30" t="s">
        <v>22</v>
      </c>
      <c r="N30" t="str">
        <f>_xlfn.XLOOKUP(D30,[1]selection!$B$2:$B$41,[1]selection!$C$2:$C$41)</f>
        <v>XMAD</v>
      </c>
      <c r="O30">
        <v>800</v>
      </c>
      <c r="P30">
        <v>2.6080000000000001</v>
      </c>
    </row>
    <row r="31" spans="1:16" x14ac:dyDescent="0.25">
      <c r="A31">
        <v>1402</v>
      </c>
      <c r="B31" t="s">
        <v>115</v>
      </c>
      <c r="C31" t="s">
        <v>116</v>
      </c>
      <c r="D31" t="s">
        <v>117</v>
      </c>
      <c r="E31" t="s">
        <v>118</v>
      </c>
      <c r="F31">
        <v>15794987000</v>
      </c>
      <c r="G31">
        <v>16.523409999999998</v>
      </c>
      <c r="H31" t="s">
        <v>119</v>
      </c>
      <c r="I31">
        <v>260987046145.67001</v>
      </c>
      <c r="J31" t="s">
        <v>120</v>
      </c>
      <c r="K31">
        <v>469011895.83860803</v>
      </c>
      <c r="L31">
        <v>0</v>
      </c>
      <c r="M31" t="s">
        <v>121</v>
      </c>
      <c r="N31" t="str">
        <f>_xlfn.XLOOKUP(D31,[1]selection!$B$2:$B$41,[1]selection!$C$2:$C$41)</f>
        <v>XTKS</v>
      </c>
      <c r="O31">
        <v>545</v>
      </c>
      <c r="P31">
        <v>2.2679999999999998</v>
      </c>
    </row>
    <row r="32" spans="1:16" x14ac:dyDescent="0.25">
      <c r="A32">
        <v>1</v>
      </c>
      <c r="B32" t="s">
        <v>122</v>
      </c>
      <c r="C32" t="s">
        <v>123</v>
      </c>
      <c r="D32" t="s">
        <v>124</v>
      </c>
      <c r="E32" t="s">
        <v>125</v>
      </c>
      <c r="F32">
        <v>973388700</v>
      </c>
      <c r="G32">
        <v>42.94285</v>
      </c>
      <c r="H32" t="s">
        <v>126</v>
      </c>
      <c r="I32">
        <v>41800084935.794998</v>
      </c>
      <c r="J32" t="s">
        <v>127</v>
      </c>
      <c r="K32">
        <v>39485894.3651108</v>
      </c>
      <c r="L32">
        <v>0</v>
      </c>
      <c r="M32" t="s">
        <v>22</v>
      </c>
      <c r="N32" t="str">
        <f>_xlfn.XLOOKUP(D32,[1]selection!$B$2:$B$41,[1]selection!$C$2:$C$41)</f>
        <v>XLON</v>
      </c>
      <c r="O32">
        <v>400</v>
      </c>
      <c r="P32">
        <v>2.726</v>
      </c>
    </row>
    <row r="33" spans="1:16" x14ac:dyDescent="0.25">
      <c r="A33">
        <v>862</v>
      </c>
      <c r="B33" t="s">
        <v>128</v>
      </c>
      <c r="C33" t="s">
        <v>129</v>
      </c>
      <c r="D33" t="s">
        <v>130</v>
      </c>
      <c r="E33" t="s">
        <v>131</v>
      </c>
      <c r="F33">
        <v>129242250</v>
      </c>
      <c r="G33">
        <v>141.75</v>
      </c>
      <c r="H33" t="s">
        <v>20</v>
      </c>
      <c r="I33">
        <v>18320088937.5</v>
      </c>
      <c r="J33" t="s">
        <v>21</v>
      </c>
      <c r="K33">
        <v>41017195.746212102</v>
      </c>
      <c r="L33">
        <v>0</v>
      </c>
      <c r="M33" t="s">
        <v>22</v>
      </c>
      <c r="N33" t="str">
        <f>_xlfn.XLOOKUP(D33,[1]selection!$B$2:$B$41,[1]selection!$C$2:$C$41)</f>
        <v>XETR</v>
      </c>
      <c r="O33">
        <v>300</v>
      </c>
      <c r="P33">
        <v>2.6709999999999998</v>
      </c>
    </row>
    <row r="34" spans="1:16" x14ac:dyDescent="0.25">
      <c r="A34">
        <v>187</v>
      </c>
      <c r="B34" t="s">
        <v>132</v>
      </c>
      <c r="C34" t="s">
        <v>133</v>
      </c>
      <c r="D34" t="s">
        <v>134</v>
      </c>
      <c r="E34" t="s">
        <v>109</v>
      </c>
      <c r="F34">
        <v>289042420</v>
      </c>
      <c r="G34">
        <v>215.17769999999999</v>
      </c>
      <c r="H34" t="s">
        <v>110</v>
      </c>
      <c r="I34">
        <v>62195483138.033997</v>
      </c>
      <c r="J34" t="s">
        <v>104</v>
      </c>
      <c r="K34">
        <v>290115412.52083099</v>
      </c>
      <c r="L34">
        <v>0</v>
      </c>
      <c r="M34" t="s">
        <v>105</v>
      </c>
      <c r="N34" t="str">
        <f>_xlfn.XLOOKUP(D34,[1]selection!$B$2:$B$41,[1]selection!$C$2:$C$41)</f>
        <v>XNYS</v>
      </c>
      <c r="O34">
        <v>220</v>
      </c>
      <c r="P34">
        <v>2.448</v>
      </c>
    </row>
    <row r="35" spans="1:16" x14ac:dyDescent="0.25">
      <c r="A35">
        <v>566</v>
      </c>
      <c r="B35" t="s">
        <v>135</v>
      </c>
      <c r="C35" t="s">
        <v>136</v>
      </c>
      <c r="D35" t="s">
        <v>137</v>
      </c>
      <c r="E35" t="s">
        <v>125</v>
      </c>
      <c r="F35">
        <v>4145099600</v>
      </c>
      <c r="G35">
        <v>16.147189999999998</v>
      </c>
      <c r="H35" t="s">
        <v>126</v>
      </c>
      <c r="I35">
        <v>66931710810.123993</v>
      </c>
      <c r="J35" t="s">
        <v>127</v>
      </c>
      <c r="K35">
        <v>106972771.706746</v>
      </c>
      <c r="L35">
        <v>0</v>
      </c>
      <c r="M35" t="s">
        <v>22</v>
      </c>
      <c r="N35" t="str">
        <f>_xlfn.XLOOKUP(D35,[1]selection!$B$2:$B$41,[1]selection!$C$2:$C$41)</f>
        <v>XLON</v>
      </c>
      <c r="O35">
        <v>215</v>
      </c>
      <c r="P35">
        <v>2.4820000000000002</v>
      </c>
    </row>
    <row r="36" spans="1:16" x14ac:dyDescent="0.25">
      <c r="A36">
        <v>458</v>
      </c>
      <c r="B36" t="s">
        <v>138</v>
      </c>
      <c r="C36" t="s">
        <v>139</v>
      </c>
      <c r="D36" t="s">
        <v>140</v>
      </c>
      <c r="E36" t="s">
        <v>141</v>
      </c>
      <c r="F36">
        <v>96488190</v>
      </c>
      <c r="G36">
        <v>899.49090000000001</v>
      </c>
      <c r="H36" t="s">
        <v>110</v>
      </c>
      <c r="I36">
        <v>86790248862.471008</v>
      </c>
      <c r="J36" t="s">
        <v>104</v>
      </c>
      <c r="K36">
        <v>360957352.93676603</v>
      </c>
      <c r="L36">
        <v>0</v>
      </c>
      <c r="M36" t="s">
        <v>105</v>
      </c>
      <c r="N36" t="str">
        <f>_xlfn.XLOOKUP(D36,[1]selection!$B$2:$B$41,[1]selection!$C$2:$C$41)</f>
        <v>XNGS</v>
      </c>
      <c r="O36">
        <v>165</v>
      </c>
      <c r="P36">
        <v>2.399</v>
      </c>
    </row>
    <row r="37" spans="1:16" x14ac:dyDescent="0.25">
      <c r="A37">
        <v>967</v>
      </c>
      <c r="B37" t="s">
        <v>142</v>
      </c>
      <c r="C37" t="s">
        <v>143</v>
      </c>
      <c r="D37" t="s">
        <v>144</v>
      </c>
      <c r="E37" t="s">
        <v>145</v>
      </c>
      <c r="F37">
        <v>5613496600</v>
      </c>
      <c r="G37">
        <v>4.0110000000000001</v>
      </c>
      <c r="H37" t="s">
        <v>20</v>
      </c>
      <c r="I37">
        <v>22515734862.599998</v>
      </c>
      <c r="J37" t="s">
        <v>21</v>
      </c>
      <c r="K37">
        <v>50744691.277575798</v>
      </c>
      <c r="L37">
        <v>0</v>
      </c>
      <c r="M37" t="s">
        <v>22</v>
      </c>
      <c r="N37" t="str">
        <f>_xlfn.XLOOKUP(D37,[1]selection!$B$2:$B$41,[1]selection!$C$2:$C$41)</f>
        <v>XHEL</v>
      </c>
      <c r="O37">
        <v>145</v>
      </c>
      <c r="P37">
        <v>2.581</v>
      </c>
    </row>
    <row r="38" spans="1:16" x14ac:dyDescent="0.25">
      <c r="A38">
        <v>541</v>
      </c>
      <c r="B38" t="s">
        <v>146</v>
      </c>
      <c r="C38" t="s">
        <v>147</v>
      </c>
      <c r="D38" t="s">
        <v>148</v>
      </c>
      <c r="E38" t="s">
        <v>109</v>
      </c>
      <c r="F38">
        <v>555158900</v>
      </c>
      <c r="G38">
        <v>62.439959999999999</v>
      </c>
      <c r="H38" t="s">
        <v>110</v>
      </c>
      <c r="I38">
        <v>34664099509.643997</v>
      </c>
      <c r="J38" t="s">
        <v>104</v>
      </c>
      <c r="K38">
        <v>235561503.56383699</v>
      </c>
      <c r="L38">
        <v>0</v>
      </c>
      <c r="M38" t="s">
        <v>105</v>
      </c>
      <c r="N38" t="str">
        <f>_xlfn.XLOOKUP(D38,[1]selection!$B$2:$B$41,[1]selection!$C$2:$C$41)</f>
        <v>XNYS</v>
      </c>
      <c r="O38">
        <v>132</v>
      </c>
      <c r="P38">
        <v>1.8540000000000001</v>
      </c>
    </row>
    <row r="39" spans="1:16" x14ac:dyDescent="0.25">
      <c r="A39">
        <v>1371</v>
      </c>
      <c r="B39" t="s">
        <v>149</v>
      </c>
      <c r="C39" t="s">
        <v>150</v>
      </c>
      <c r="D39" t="s">
        <v>151</v>
      </c>
      <c r="E39" t="s">
        <v>109</v>
      </c>
      <c r="F39">
        <v>382500270</v>
      </c>
      <c r="G39">
        <v>493.04520000000002</v>
      </c>
      <c r="H39" t="s">
        <v>110</v>
      </c>
      <c r="I39">
        <v>188589922122.20401</v>
      </c>
      <c r="J39" t="s">
        <v>104</v>
      </c>
      <c r="K39">
        <v>737909845.73320103</v>
      </c>
      <c r="L39">
        <v>0</v>
      </c>
      <c r="M39" t="s">
        <v>105</v>
      </c>
      <c r="N39" t="str">
        <f>_xlfn.XLOOKUP(D39,[1]selection!$B$2:$B$41,[1]selection!$C$2:$C$41)</f>
        <v>XNYS</v>
      </c>
      <c r="O39">
        <v>127</v>
      </c>
      <c r="P39">
        <v>2.4609999999999999</v>
      </c>
    </row>
    <row r="40" spans="1:16" x14ac:dyDescent="0.25">
      <c r="A40">
        <v>197</v>
      </c>
      <c r="B40" t="s">
        <v>152</v>
      </c>
      <c r="C40" t="s">
        <v>153</v>
      </c>
      <c r="D40" t="s">
        <v>154</v>
      </c>
      <c r="E40" t="s">
        <v>141</v>
      </c>
      <c r="F40">
        <v>145719350</v>
      </c>
      <c r="G40">
        <v>151.68109999999999</v>
      </c>
      <c r="H40" t="s">
        <v>110</v>
      </c>
      <c r="I40">
        <v>22102871299.285</v>
      </c>
      <c r="J40" t="s">
        <v>104</v>
      </c>
      <c r="K40">
        <v>222217331.42787001</v>
      </c>
      <c r="L40">
        <v>0</v>
      </c>
      <c r="M40" t="s">
        <v>105</v>
      </c>
      <c r="N40" t="str">
        <f>_xlfn.XLOOKUP(D40,[1]selection!$B$2:$B$41,[1]selection!$C$2:$C$41)</f>
        <v>XNGS</v>
      </c>
      <c r="O40">
        <v>100</v>
      </c>
      <c r="P40">
        <v>2.7639999999999998</v>
      </c>
    </row>
    <row r="41" spans="1:16" x14ac:dyDescent="0.25">
      <c r="A41">
        <v>127</v>
      </c>
      <c r="B41" t="s">
        <v>155</v>
      </c>
      <c r="C41" t="s">
        <v>156</v>
      </c>
      <c r="D41" t="s">
        <v>157</v>
      </c>
      <c r="E41" t="s">
        <v>125</v>
      </c>
      <c r="F41">
        <v>1550303800</v>
      </c>
      <c r="G41">
        <v>126.02509999999999</v>
      </c>
      <c r="H41" t="s">
        <v>126</v>
      </c>
      <c r="I41">
        <v>195377191425.38</v>
      </c>
      <c r="J41" t="s">
        <v>127</v>
      </c>
      <c r="K41">
        <v>222908111.372071</v>
      </c>
      <c r="L41">
        <v>0</v>
      </c>
      <c r="M41" t="s">
        <v>22</v>
      </c>
      <c r="N41" t="str">
        <f>_xlfn.XLOOKUP(D41,[1]selection!$B$2:$B$41,[1]selection!$C$2:$C$41)</f>
        <v>XLON</v>
      </c>
      <c r="O41">
        <v>100</v>
      </c>
      <c r="P41">
        <v>2.5499999999999998</v>
      </c>
    </row>
    <row r="42" spans="1:16" x14ac:dyDescent="0.25">
      <c r="A42">
        <v>332</v>
      </c>
      <c r="B42" t="s">
        <v>158</v>
      </c>
      <c r="C42" t="s">
        <v>159</v>
      </c>
      <c r="D42" t="s">
        <v>160</v>
      </c>
      <c r="E42" t="s">
        <v>109</v>
      </c>
      <c r="F42">
        <v>856208740</v>
      </c>
      <c r="G42">
        <v>46.609029999999997</v>
      </c>
      <c r="H42" t="s">
        <v>110</v>
      </c>
      <c r="I42">
        <v>39907058848.922203</v>
      </c>
      <c r="J42" t="s">
        <v>104</v>
      </c>
      <c r="K42">
        <v>186512192.97031999</v>
      </c>
      <c r="L42">
        <v>0</v>
      </c>
      <c r="M42" t="s">
        <v>105</v>
      </c>
      <c r="N42" t="str">
        <f>_xlfn.XLOOKUP(D42,[1]selection!$B$2:$B$41,[1]selection!$C$2:$C$41)</f>
        <v>XNYS</v>
      </c>
      <c r="O42">
        <v>100</v>
      </c>
      <c r="P42">
        <v>1.909</v>
      </c>
    </row>
    <row r="43" spans="1:16" x14ac:dyDescent="0.25">
      <c r="A43">
        <v>201</v>
      </c>
      <c r="B43" t="s">
        <v>161</v>
      </c>
      <c r="C43" t="s">
        <v>162</v>
      </c>
      <c r="D43" t="s">
        <v>163</v>
      </c>
      <c r="E43" t="s">
        <v>109</v>
      </c>
      <c r="F43">
        <v>722002700</v>
      </c>
      <c r="G43">
        <v>191.21039999999999</v>
      </c>
      <c r="H43" t="s">
        <v>110</v>
      </c>
      <c r="I43">
        <v>138054425068.07999</v>
      </c>
      <c r="J43" t="s">
        <v>104</v>
      </c>
      <c r="K43">
        <v>474630015.65563899</v>
      </c>
      <c r="L43">
        <v>0</v>
      </c>
      <c r="M43" t="s">
        <v>105</v>
      </c>
      <c r="N43" t="str">
        <f>_xlfn.XLOOKUP(D43,[1]selection!$B$2:$B$41,[1]selection!$C$2:$C$41)</f>
        <v>XNYS</v>
      </c>
      <c r="O43">
        <v>90</v>
      </c>
      <c r="P43">
        <v>1.665</v>
      </c>
    </row>
    <row r="44" spans="1:16" x14ac:dyDescent="0.25">
      <c r="A44">
        <v>1221</v>
      </c>
      <c r="B44" t="s">
        <v>164</v>
      </c>
      <c r="C44" t="s">
        <v>165</v>
      </c>
      <c r="D44" t="s">
        <v>166</v>
      </c>
      <c r="E44" t="s">
        <v>131</v>
      </c>
      <c r="F44">
        <v>800000000</v>
      </c>
      <c r="G44">
        <v>177.56</v>
      </c>
      <c r="H44" t="s">
        <v>20</v>
      </c>
      <c r="I44">
        <v>142048000000</v>
      </c>
      <c r="J44" t="s">
        <v>21</v>
      </c>
      <c r="K44">
        <v>202722973.723939</v>
      </c>
      <c r="L44">
        <v>0</v>
      </c>
      <c r="M44" t="s">
        <v>22</v>
      </c>
      <c r="N44" t="str">
        <f>_xlfn.XLOOKUP(D44,[1]selection!$B$2:$B$41,[1]selection!$C$2:$C$41)</f>
        <v>XETR</v>
      </c>
      <c r="O44">
        <v>80</v>
      </c>
      <c r="P44">
        <v>2.7949999999999999</v>
      </c>
    </row>
    <row r="45" spans="1:16" x14ac:dyDescent="0.25">
      <c r="A45">
        <v>748</v>
      </c>
      <c r="B45" t="s">
        <v>167</v>
      </c>
      <c r="C45" t="s">
        <v>168</v>
      </c>
      <c r="D45" t="s">
        <v>169</v>
      </c>
      <c r="E45" t="s">
        <v>125</v>
      </c>
      <c r="F45">
        <v>1813468600</v>
      </c>
      <c r="G45">
        <v>3.5482900000000002</v>
      </c>
      <c r="H45" t="s">
        <v>126</v>
      </c>
      <c r="I45">
        <v>6434712498.6940002</v>
      </c>
      <c r="J45" t="s">
        <v>127</v>
      </c>
      <c r="K45">
        <v>16675433.14996</v>
      </c>
      <c r="L45">
        <v>0</v>
      </c>
      <c r="M45" t="s">
        <v>22</v>
      </c>
      <c r="N45" t="str">
        <f>_xlfn.XLOOKUP(D45,[1]selection!$B$2:$B$41,[1]selection!$C$2:$C$41)</f>
        <v>XLON</v>
      </c>
      <c r="O45">
        <v>80</v>
      </c>
      <c r="P45">
        <v>2.254</v>
      </c>
    </row>
    <row r="46" spans="1:16" x14ac:dyDescent="0.25">
      <c r="A46">
        <v>25</v>
      </c>
      <c r="B46" t="s">
        <v>170</v>
      </c>
      <c r="C46" t="s">
        <v>171</v>
      </c>
      <c r="D46" t="s">
        <v>172</v>
      </c>
      <c r="E46" t="s">
        <v>125</v>
      </c>
      <c r="F46">
        <v>306304700</v>
      </c>
      <c r="G46">
        <v>29.478840000000002</v>
      </c>
      <c r="H46" t="s">
        <v>126</v>
      </c>
      <c r="I46">
        <v>9029507242.5480003</v>
      </c>
      <c r="J46" t="s">
        <v>127</v>
      </c>
      <c r="K46">
        <v>12229719.3350551</v>
      </c>
      <c r="L46">
        <v>0</v>
      </c>
      <c r="M46" t="s">
        <v>22</v>
      </c>
      <c r="N46" t="str">
        <f>_xlfn.XLOOKUP(D46,[1]selection!$B$2:$B$41,[1]selection!$C$2:$C$41)</f>
        <v>XLON</v>
      </c>
      <c r="O46">
        <v>80</v>
      </c>
      <c r="P46">
        <v>2.2290000000000001</v>
      </c>
    </row>
    <row r="47" spans="1:16" x14ac:dyDescent="0.25">
      <c r="A47">
        <v>897</v>
      </c>
      <c r="B47" t="s">
        <v>173</v>
      </c>
      <c r="C47" t="s">
        <v>174</v>
      </c>
      <c r="D47" t="s">
        <v>175</v>
      </c>
      <c r="E47" t="s">
        <v>141</v>
      </c>
      <c r="F47">
        <v>1337194200</v>
      </c>
      <c r="G47">
        <v>61.863590000000002</v>
      </c>
      <c r="H47" t="s">
        <v>110</v>
      </c>
      <c r="I47">
        <v>82723633739.178009</v>
      </c>
      <c r="J47" t="s">
        <v>104</v>
      </c>
      <c r="K47">
        <v>380537598.22833002</v>
      </c>
      <c r="L47">
        <v>0</v>
      </c>
      <c r="M47" t="s">
        <v>105</v>
      </c>
      <c r="N47" t="e">
        <f>_xlfn.XLOOKUP(D47,[1]selection!$B$2:$B$41,[1]selection!$C$2:$C$41)</f>
        <v>#N/A</v>
      </c>
      <c r="O47">
        <v>62</v>
      </c>
      <c r="P47">
        <v>1.8340000000000001</v>
      </c>
    </row>
    <row r="48" spans="1:16" x14ac:dyDescent="0.25">
      <c r="A48">
        <v>1059</v>
      </c>
      <c r="B48" t="s">
        <v>176</v>
      </c>
      <c r="C48" t="s">
        <v>177</v>
      </c>
      <c r="D48" t="s">
        <v>178</v>
      </c>
      <c r="E48" t="s">
        <v>109</v>
      </c>
      <c r="F48">
        <v>232000000</v>
      </c>
      <c r="G48">
        <v>117.8194</v>
      </c>
      <c r="H48" t="s">
        <v>110</v>
      </c>
      <c r="I48">
        <v>27334100800</v>
      </c>
      <c r="J48" t="s">
        <v>104</v>
      </c>
      <c r="K48">
        <v>164855143.52312699</v>
      </c>
      <c r="L48">
        <v>0</v>
      </c>
      <c r="M48" t="s">
        <v>105</v>
      </c>
      <c r="N48" t="e">
        <f>_xlfn.XLOOKUP(D48,[1]selection!$B$2:$B$41,[1]selection!$C$2:$C$41)</f>
        <v>#N/A</v>
      </c>
      <c r="O48">
        <v>50</v>
      </c>
      <c r="P48">
        <v>2.06</v>
      </c>
    </row>
    <row r="49" spans="1:16" x14ac:dyDescent="0.25">
      <c r="A49">
        <v>517</v>
      </c>
      <c r="B49" t="s">
        <v>179</v>
      </c>
      <c r="C49" t="s">
        <v>180</v>
      </c>
      <c r="D49" t="s">
        <v>181</v>
      </c>
      <c r="E49" t="s">
        <v>131</v>
      </c>
      <c r="F49">
        <v>563237300</v>
      </c>
      <c r="G49">
        <v>33.31</v>
      </c>
      <c r="H49" t="s">
        <v>20</v>
      </c>
      <c r="I49">
        <v>18761434463</v>
      </c>
      <c r="J49" t="s">
        <v>21</v>
      </c>
      <c r="K49">
        <v>30890245.311515201</v>
      </c>
      <c r="L49">
        <v>0</v>
      </c>
      <c r="M49" t="s">
        <v>22</v>
      </c>
      <c r="N49" t="e">
        <f>_xlfn.XLOOKUP(D49,[1]selection!$B$2:$B$41,[1]selection!$C$2:$C$41)</f>
        <v>#N/A</v>
      </c>
      <c r="O49">
        <v>42</v>
      </c>
      <c r="P49">
        <v>2.4329999999999998</v>
      </c>
    </row>
    <row r="50" spans="1:16" x14ac:dyDescent="0.25">
      <c r="A50">
        <v>410</v>
      </c>
      <c r="B50" t="s">
        <v>182</v>
      </c>
      <c r="C50" t="s">
        <v>183</v>
      </c>
      <c r="D50" t="s">
        <v>184</v>
      </c>
      <c r="E50" t="s">
        <v>125</v>
      </c>
      <c r="F50">
        <v>1380500200</v>
      </c>
      <c r="G50">
        <v>7.1410989999999996</v>
      </c>
      <c r="H50" t="s">
        <v>126</v>
      </c>
      <c r="I50">
        <v>9858288597.719799</v>
      </c>
      <c r="J50" t="s">
        <v>127</v>
      </c>
      <c r="K50">
        <v>21507745.662571698</v>
      </c>
      <c r="L50">
        <v>0</v>
      </c>
      <c r="M50" t="s">
        <v>22</v>
      </c>
      <c r="N50" t="e">
        <f>_xlfn.XLOOKUP(D50,[1]selection!$B$2:$B$41,[1]selection!$C$2:$C$41)</f>
        <v>#N/A</v>
      </c>
      <c r="O50">
        <v>37</v>
      </c>
      <c r="P50">
        <v>2.5529999999999999</v>
      </c>
    </row>
    <row r="51" spans="1:16" x14ac:dyDescent="0.25">
      <c r="A51">
        <v>292</v>
      </c>
      <c r="B51" t="s">
        <v>185</v>
      </c>
      <c r="C51" t="s">
        <v>186</v>
      </c>
      <c r="D51" t="s">
        <v>187</v>
      </c>
      <c r="E51" t="s">
        <v>109</v>
      </c>
      <c r="F51">
        <v>1891264800</v>
      </c>
      <c r="G51">
        <v>67.089330000000004</v>
      </c>
      <c r="H51" t="s">
        <v>110</v>
      </c>
      <c r="I51">
        <v>126883688284.584</v>
      </c>
      <c r="J51" t="s">
        <v>104</v>
      </c>
      <c r="K51">
        <v>782132599.01463902</v>
      </c>
      <c r="L51">
        <v>0</v>
      </c>
      <c r="M51" t="s">
        <v>105</v>
      </c>
      <c r="N51" t="e">
        <f>_xlfn.XLOOKUP(D51,[1]selection!$B$2:$B$41,[1]selection!$C$2:$C$41)</f>
        <v>#N/A</v>
      </c>
      <c r="O51">
        <v>35</v>
      </c>
      <c r="P51">
        <v>2.4009999999999998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Coen Sonneveld</cp:lastModifiedBy>
  <dcterms:created xsi:type="dcterms:W3CDTF">2024-12-11T15:56:41Z</dcterms:created>
  <dcterms:modified xsi:type="dcterms:W3CDTF">2024-12-11T15:58:20Z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2024-12-11T15:57:28Z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0e501c44-82e6-4e41-ab0d-c2e9bee104b6</vt:lpwstr>
  </property>
  <property fmtid="{D5CDD505-2E9C-101B-9397-08002B2CF9AE}" pid="8" name="MSIP_Label_ac0b9ce6-6e99-42a1-af95-429494370cbc_ContentBits">
    <vt:lpwstr>2</vt:lpwstr>
  </property>
</Properties>
</file>